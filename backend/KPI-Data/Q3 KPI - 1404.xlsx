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akchoob\KPI\"/>
    </mc:Choice>
  </mc:AlternateContent>
  <xr:revisionPtr revIDLastSave="0" documentId="13_ncr:1_{C4F85AFF-3F1D-41A2-A1CF-418543FD2CCF}" xr6:coauthVersionLast="47" xr6:coauthVersionMax="47" xr10:uidLastSave="{00000000-0000-0000-0000-000000000000}"/>
  <bookViews>
    <workbookView xWindow="-108" yWindow="-108" windowWidth="23256" windowHeight="12456" xr2:uid="{58B86F75-5195-41D4-B2E3-D70F8BC0217F}"/>
  </bookViews>
  <sheets>
    <sheet name="پاک‌چوب خوزستان" sheetId="2" r:id="rId1"/>
    <sheet name="تخته فشرده " sheetId="4" r:id="rId2"/>
    <sheet name="خراسان" sheetId="5" r:id="rId3"/>
    <sheet name="ایرانیان" sheetId="6" r:id="rId4"/>
    <sheet name="گروه صنعتی" sheetId="7" r:id="rId5"/>
  </sheets>
  <definedNames>
    <definedName name="_xlnm._FilterDatabase" localSheetId="3" hidden="1">ایرانیان!$A$1:$W$343</definedName>
    <definedName name="_xlnm._FilterDatabase" localSheetId="0" hidden="1">'پاک‌چوب خوزستان'!$A$1:$W$837</definedName>
    <definedName name="_xlnm._FilterDatabase" localSheetId="1" hidden="1">'تخته فشرده '!$A$1:$W$1517</definedName>
    <definedName name="_xlnm._FilterDatabase" localSheetId="2" hidden="1">خراسان!$A$1:$W$314</definedName>
    <definedName name="_xlnm._FilterDatabase" localSheetId="4" hidden="1">'گروه صنعتی'!$A$1:$W$2162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62" i="7" l="1"/>
  <c r="T2162" i="7" s="1"/>
  <c r="S2161" i="7"/>
  <c r="T2161" i="7" s="1"/>
  <c r="S2160" i="7"/>
  <c r="T2160" i="7" s="1"/>
  <c r="S2159" i="7"/>
  <c r="T2159" i="7" s="1"/>
  <c r="S2158" i="7"/>
  <c r="T2158" i="7" s="1"/>
  <c r="S2157" i="7"/>
  <c r="T2157" i="7" s="1"/>
  <c r="S2156" i="7"/>
  <c r="T2156" i="7" s="1"/>
  <c r="S2155" i="7"/>
  <c r="T2155" i="7" s="1"/>
  <c r="S2154" i="7"/>
  <c r="T2154" i="7" s="1"/>
  <c r="S2153" i="7"/>
  <c r="T2153" i="7" s="1"/>
  <c r="S2152" i="7"/>
  <c r="T2152" i="7" s="1"/>
  <c r="S2151" i="7"/>
  <c r="T2151" i="7" s="1"/>
  <c r="S2150" i="7"/>
  <c r="T2150" i="7" s="1"/>
  <c r="S2149" i="7"/>
  <c r="T2149" i="7" s="1"/>
  <c r="S2148" i="7"/>
  <c r="T2148" i="7" s="1"/>
  <c r="S2147" i="7"/>
  <c r="T2147" i="7" s="1"/>
  <c r="S2146" i="7"/>
  <c r="T2146" i="7" s="1"/>
  <c r="S2145" i="7"/>
  <c r="T2145" i="7" s="1"/>
  <c r="S2144" i="7"/>
  <c r="T2144" i="7" s="1"/>
  <c r="S2143" i="7"/>
  <c r="T2143" i="7" s="1"/>
  <c r="S2142" i="7"/>
  <c r="T2142" i="7" s="1"/>
  <c r="S2141" i="7"/>
  <c r="T2141" i="7" s="1"/>
  <c r="S2140" i="7"/>
  <c r="T2140" i="7" s="1"/>
  <c r="S2139" i="7"/>
  <c r="T2139" i="7" s="1"/>
  <c r="S2138" i="7"/>
  <c r="T2138" i="7" s="1"/>
  <c r="S2137" i="7"/>
  <c r="T2137" i="7" s="1"/>
  <c r="S2136" i="7"/>
  <c r="T2136" i="7" s="1"/>
  <c r="S2135" i="7"/>
  <c r="T2135" i="7" s="1"/>
  <c r="S2134" i="7"/>
  <c r="T2134" i="7" s="1"/>
  <c r="S2133" i="7"/>
  <c r="T2133" i="7" s="1"/>
  <c r="S2132" i="7"/>
  <c r="T2132" i="7" s="1"/>
  <c r="S2131" i="7"/>
  <c r="T2131" i="7" s="1"/>
  <c r="S2130" i="7"/>
  <c r="T2130" i="7" s="1"/>
  <c r="S2129" i="7"/>
  <c r="T2129" i="7" s="1"/>
  <c r="S2128" i="7"/>
  <c r="T2128" i="7" s="1"/>
  <c r="S2127" i="7"/>
  <c r="T2127" i="7" s="1"/>
  <c r="S2126" i="7"/>
  <c r="T2126" i="7" s="1"/>
  <c r="S2125" i="7"/>
  <c r="T2125" i="7" s="1"/>
  <c r="S2124" i="7"/>
  <c r="T2124" i="7" s="1"/>
  <c r="S2123" i="7"/>
  <c r="T2123" i="7" s="1"/>
  <c r="S2122" i="7"/>
  <c r="T2122" i="7" s="1"/>
  <c r="S2121" i="7"/>
  <c r="T2121" i="7" s="1"/>
  <c r="T2120" i="7"/>
  <c r="S2120" i="7"/>
  <c r="S2119" i="7"/>
  <c r="T2119" i="7" s="1"/>
  <c r="S2118" i="7"/>
  <c r="T2118" i="7" s="1"/>
  <c r="S2117" i="7"/>
  <c r="T2117" i="7" s="1"/>
  <c r="S2116" i="7"/>
  <c r="T2116" i="7" s="1"/>
  <c r="S2115" i="7"/>
  <c r="T2115" i="7" s="1"/>
  <c r="S2114" i="7"/>
  <c r="T2114" i="7" s="1"/>
  <c r="S2113" i="7"/>
  <c r="T2113" i="7" s="1"/>
  <c r="S2112" i="7"/>
  <c r="T2112" i="7" s="1"/>
  <c r="S2111" i="7"/>
  <c r="T2111" i="7" s="1"/>
  <c r="S2110" i="7"/>
  <c r="T2110" i="7" s="1"/>
  <c r="S2109" i="7"/>
  <c r="T2109" i="7" s="1"/>
  <c r="S2108" i="7"/>
  <c r="T2108" i="7" s="1"/>
  <c r="S2107" i="7"/>
  <c r="T2107" i="7" s="1"/>
  <c r="S2106" i="7"/>
  <c r="T2106" i="7" s="1"/>
  <c r="S2105" i="7"/>
  <c r="T2105" i="7" s="1"/>
  <c r="S2104" i="7"/>
  <c r="T2104" i="7" s="1"/>
  <c r="S2103" i="7"/>
  <c r="T2103" i="7" s="1"/>
  <c r="S2102" i="7"/>
  <c r="T2102" i="7" s="1"/>
  <c r="S2101" i="7"/>
  <c r="T2101" i="7" s="1"/>
  <c r="S2100" i="7"/>
  <c r="T2100" i="7" s="1"/>
  <c r="S2099" i="7"/>
  <c r="T2099" i="7" s="1"/>
  <c r="S2098" i="7"/>
  <c r="T2098" i="7" s="1"/>
  <c r="S2097" i="7"/>
  <c r="T2097" i="7" s="1"/>
  <c r="S2096" i="7"/>
  <c r="T2096" i="7" s="1"/>
  <c r="S2095" i="7"/>
  <c r="T2095" i="7" s="1"/>
  <c r="S2094" i="7"/>
  <c r="T2094" i="7" s="1"/>
  <c r="S2093" i="7"/>
  <c r="T2093" i="7" s="1"/>
  <c r="S2092" i="7"/>
  <c r="T2092" i="7" s="1"/>
  <c r="S2091" i="7"/>
  <c r="T2091" i="7" s="1"/>
  <c r="S2090" i="7"/>
  <c r="T2090" i="7" s="1"/>
  <c r="S2089" i="7"/>
  <c r="T2089" i="7" s="1"/>
  <c r="S2088" i="7"/>
  <c r="T2088" i="7" s="1"/>
  <c r="S2087" i="7"/>
  <c r="T2087" i="7" s="1"/>
  <c r="S2086" i="7"/>
  <c r="T2086" i="7" s="1"/>
  <c r="S2085" i="7"/>
  <c r="T2085" i="7" s="1"/>
  <c r="S2084" i="7"/>
  <c r="T2084" i="7" s="1"/>
  <c r="S2083" i="7"/>
  <c r="T2083" i="7" s="1"/>
  <c r="S2082" i="7"/>
  <c r="T2082" i="7" s="1"/>
  <c r="S2081" i="7"/>
  <c r="T2081" i="7" s="1"/>
  <c r="S2080" i="7"/>
  <c r="T2080" i="7" s="1"/>
  <c r="S2079" i="7"/>
  <c r="T2079" i="7" s="1"/>
  <c r="S2078" i="7"/>
  <c r="T2078" i="7" s="1"/>
  <c r="S2077" i="7"/>
  <c r="T2077" i="7" s="1"/>
  <c r="S2076" i="7"/>
  <c r="T2076" i="7" s="1"/>
  <c r="S2075" i="7"/>
  <c r="T2075" i="7" s="1"/>
  <c r="S2074" i="7"/>
  <c r="T2074" i="7" s="1"/>
  <c r="S2073" i="7"/>
  <c r="T2073" i="7" s="1"/>
  <c r="S2072" i="7"/>
  <c r="T2072" i="7" s="1"/>
  <c r="S2071" i="7"/>
  <c r="T2071" i="7" s="1"/>
  <c r="S2070" i="7"/>
  <c r="T2070" i="7" s="1"/>
  <c r="S2069" i="7"/>
  <c r="T2069" i="7" s="1"/>
  <c r="S2068" i="7"/>
  <c r="T2068" i="7" s="1"/>
  <c r="T2067" i="7"/>
  <c r="S2067" i="7"/>
  <c r="S2066" i="7"/>
  <c r="T2066" i="7" s="1"/>
  <c r="S2065" i="7"/>
  <c r="T2065" i="7" s="1"/>
  <c r="S2064" i="7"/>
  <c r="T2064" i="7" s="1"/>
  <c r="T2063" i="7"/>
  <c r="S2063" i="7"/>
  <c r="S2062" i="7"/>
  <c r="T2062" i="7" s="1"/>
  <c r="S2061" i="7"/>
  <c r="T2061" i="7" s="1"/>
  <c r="S2060" i="7"/>
  <c r="T2060" i="7" s="1"/>
  <c r="S2059" i="7"/>
  <c r="T2059" i="7" s="1"/>
  <c r="S2058" i="7"/>
  <c r="T2058" i="7" s="1"/>
  <c r="S2057" i="7"/>
  <c r="T2057" i="7" s="1"/>
  <c r="S2056" i="7"/>
  <c r="T2056" i="7" s="1"/>
  <c r="S2055" i="7"/>
  <c r="T2055" i="7" s="1"/>
  <c r="S2054" i="7"/>
  <c r="T2054" i="7" s="1"/>
  <c r="S2053" i="7"/>
  <c r="T2053" i="7" s="1"/>
  <c r="S2052" i="7"/>
  <c r="T2052" i="7" s="1"/>
  <c r="S2051" i="7"/>
  <c r="T2051" i="7" s="1"/>
  <c r="S2050" i="7"/>
  <c r="T2050" i="7" s="1"/>
  <c r="S2049" i="7"/>
  <c r="T2049" i="7" s="1"/>
  <c r="S2048" i="7"/>
  <c r="T2048" i="7" s="1"/>
  <c r="V2048" i="7" s="1"/>
  <c r="S2047" i="7"/>
  <c r="T2047" i="7" s="1"/>
  <c r="S2046" i="7"/>
  <c r="T2046" i="7" s="1"/>
  <c r="T2045" i="7"/>
  <c r="S2045" i="7"/>
  <c r="S2044" i="7"/>
  <c r="T2044" i="7" s="1"/>
  <c r="S2043" i="7"/>
  <c r="T2043" i="7" s="1"/>
  <c r="S2042" i="7"/>
  <c r="T2042" i="7" s="1"/>
  <c r="T2041" i="7"/>
  <c r="S2041" i="7"/>
  <c r="S2040" i="7"/>
  <c r="T2040" i="7" s="1"/>
  <c r="S2039" i="7"/>
  <c r="T2039" i="7" s="1"/>
  <c r="S2038" i="7"/>
  <c r="T2038" i="7" s="1"/>
  <c r="S2037" i="7"/>
  <c r="T2037" i="7" s="1"/>
  <c r="S2036" i="7"/>
  <c r="T2036" i="7" s="1"/>
  <c r="S2035" i="7"/>
  <c r="T2035" i="7" s="1"/>
  <c r="S2034" i="7"/>
  <c r="T2034" i="7" s="1"/>
  <c r="S2033" i="7"/>
  <c r="T2033" i="7" s="1"/>
  <c r="S2032" i="7"/>
  <c r="T2032" i="7" s="1"/>
  <c r="S2031" i="7"/>
  <c r="T2031" i="7" s="1"/>
  <c r="S2030" i="7"/>
  <c r="T2030" i="7" s="1"/>
  <c r="S2029" i="7"/>
  <c r="T2029" i="7" s="1"/>
  <c r="S2028" i="7"/>
  <c r="T2028" i="7" s="1"/>
  <c r="S2027" i="7"/>
  <c r="T2027" i="7" s="1"/>
  <c r="S2026" i="7"/>
  <c r="T2026" i="7" s="1"/>
  <c r="S2025" i="7"/>
  <c r="T2025" i="7" s="1"/>
  <c r="S2024" i="7"/>
  <c r="T2024" i="7" s="1"/>
  <c r="S2023" i="7"/>
  <c r="T2023" i="7" s="1"/>
  <c r="S2022" i="7"/>
  <c r="T2022" i="7" s="1"/>
  <c r="S2021" i="7"/>
  <c r="T2021" i="7" s="1"/>
  <c r="S2020" i="7"/>
  <c r="T2020" i="7" s="1"/>
  <c r="S2019" i="7"/>
  <c r="T2019" i="7" s="1"/>
  <c r="S2018" i="7"/>
  <c r="T2018" i="7" s="1"/>
  <c r="S2017" i="7"/>
  <c r="T2017" i="7" s="1"/>
  <c r="S2016" i="7"/>
  <c r="T2016" i="7" s="1"/>
  <c r="S2015" i="7"/>
  <c r="T2015" i="7" s="1"/>
  <c r="S2014" i="7"/>
  <c r="T2014" i="7" s="1"/>
  <c r="S2013" i="7"/>
  <c r="T2013" i="7" s="1"/>
  <c r="S2012" i="7"/>
  <c r="T2012" i="7" s="1"/>
  <c r="S2011" i="7"/>
  <c r="T2011" i="7" s="1"/>
  <c r="S2010" i="7"/>
  <c r="T2010" i="7" s="1"/>
  <c r="S2009" i="7"/>
  <c r="T2009" i="7" s="1"/>
  <c r="S2008" i="7"/>
  <c r="T2008" i="7" s="1"/>
  <c r="S2007" i="7"/>
  <c r="T2007" i="7" s="1"/>
  <c r="S2006" i="7"/>
  <c r="T2006" i="7" s="1"/>
  <c r="S2005" i="7"/>
  <c r="T2005" i="7" s="1"/>
  <c r="S2004" i="7"/>
  <c r="T2004" i="7" s="1"/>
  <c r="S2003" i="7"/>
  <c r="T2003" i="7" s="1"/>
  <c r="S2002" i="7"/>
  <c r="T2002" i="7" s="1"/>
  <c r="S2001" i="7"/>
  <c r="T2001" i="7" s="1"/>
  <c r="S2000" i="7"/>
  <c r="T2000" i="7" s="1"/>
  <c r="S1999" i="7"/>
  <c r="T1999" i="7" s="1"/>
  <c r="S1998" i="7"/>
  <c r="T1998" i="7" s="1"/>
  <c r="S1997" i="7"/>
  <c r="T1997" i="7" s="1"/>
  <c r="S1996" i="7"/>
  <c r="T1996" i="7" s="1"/>
  <c r="S1995" i="7"/>
  <c r="T1995" i="7" s="1"/>
  <c r="S1994" i="7"/>
  <c r="T1994" i="7" s="1"/>
  <c r="S1993" i="7"/>
  <c r="T1993" i="7" s="1"/>
  <c r="S1992" i="7"/>
  <c r="T1992" i="7" s="1"/>
  <c r="S1991" i="7"/>
  <c r="T1991" i="7" s="1"/>
  <c r="S1990" i="7"/>
  <c r="T1990" i="7" s="1"/>
  <c r="S1989" i="7"/>
  <c r="T1989" i="7" s="1"/>
  <c r="S1988" i="7"/>
  <c r="T1988" i="7" s="1"/>
  <c r="S1987" i="7"/>
  <c r="T1987" i="7" s="1"/>
  <c r="S1986" i="7"/>
  <c r="T1986" i="7" s="1"/>
  <c r="S1985" i="7"/>
  <c r="T1985" i="7" s="1"/>
  <c r="S1984" i="7"/>
  <c r="T1984" i="7" s="1"/>
  <c r="S1983" i="7"/>
  <c r="T1983" i="7" s="1"/>
  <c r="S1982" i="7"/>
  <c r="T1982" i="7" s="1"/>
  <c r="S1981" i="7"/>
  <c r="T1981" i="7" s="1"/>
  <c r="S1980" i="7"/>
  <c r="T1980" i="7" s="1"/>
  <c r="S1979" i="7"/>
  <c r="T1979" i="7" s="1"/>
  <c r="S1978" i="7"/>
  <c r="T1978" i="7" s="1"/>
  <c r="S1977" i="7"/>
  <c r="T1977" i="7" s="1"/>
  <c r="S1976" i="7"/>
  <c r="T1976" i="7" s="1"/>
  <c r="S1975" i="7"/>
  <c r="T1975" i="7" s="1"/>
  <c r="S1974" i="7"/>
  <c r="T1974" i="7" s="1"/>
  <c r="S1973" i="7"/>
  <c r="T1973" i="7" s="1"/>
  <c r="S1972" i="7"/>
  <c r="T1972" i="7" s="1"/>
  <c r="S1971" i="7"/>
  <c r="T1971" i="7" s="1"/>
  <c r="S1970" i="7"/>
  <c r="T1970" i="7" s="1"/>
  <c r="S1969" i="7"/>
  <c r="T1969" i="7" s="1"/>
  <c r="S1968" i="7"/>
  <c r="T1968" i="7" s="1"/>
  <c r="S1967" i="7"/>
  <c r="T1967" i="7" s="1"/>
  <c r="S1966" i="7"/>
  <c r="T1966" i="7" s="1"/>
  <c r="S1965" i="7"/>
  <c r="T1965" i="7" s="1"/>
  <c r="S1964" i="7"/>
  <c r="T1964" i="7" s="1"/>
  <c r="S1963" i="7"/>
  <c r="T1963" i="7" s="1"/>
  <c r="S1962" i="7"/>
  <c r="T1962" i="7" s="1"/>
  <c r="S1961" i="7"/>
  <c r="T1961" i="7" s="1"/>
  <c r="S1960" i="7"/>
  <c r="T1960" i="7" s="1"/>
  <c r="S1959" i="7"/>
  <c r="T1959" i="7" s="1"/>
  <c r="S1958" i="7"/>
  <c r="T1958" i="7" s="1"/>
  <c r="S1957" i="7"/>
  <c r="T1957" i="7" s="1"/>
  <c r="S1956" i="7"/>
  <c r="T1956" i="7" s="1"/>
  <c r="S1955" i="7"/>
  <c r="T1955" i="7" s="1"/>
  <c r="S1954" i="7"/>
  <c r="T1954" i="7" s="1"/>
  <c r="S1953" i="7"/>
  <c r="T1953" i="7" s="1"/>
  <c r="S1952" i="7"/>
  <c r="T1952" i="7" s="1"/>
  <c r="S1951" i="7"/>
  <c r="T1951" i="7" s="1"/>
  <c r="S1950" i="7"/>
  <c r="T1950" i="7" s="1"/>
  <c r="S1949" i="7"/>
  <c r="T1949" i="7" s="1"/>
  <c r="S1948" i="7"/>
  <c r="T1948" i="7" s="1"/>
  <c r="S1947" i="7"/>
  <c r="T1947" i="7" s="1"/>
  <c r="S1946" i="7"/>
  <c r="T1946" i="7" s="1"/>
  <c r="S1945" i="7"/>
  <c r="T1945" i="7" s="1"/>
  <c r="S1944" i="7"/>
  <c r="T1944" i="7" s="1"/>
  <c r="S1943" i="7"/>
  <c r="T1943" i="7" s="1"/>
  <c r="S1942" i="7"/>
  <c r="T1942" i="7" s="1"/>
  <c r="S1941" i="7"/>
  <c r="T1941" i="7" s="1"/>
  <c r="S1940" i="7"/>
  <c r="T1940" i="7" s="1"/>
  <c r="S1939" i="7"/>
  <c r="T1939" i="7" s="1"/>
  <c r="S1938" i="7"/>
  <c r="T1938" i="7" s="1"/>
  <c r="S1937" i="7"/>
  <c r="T1937" i="7" s="1"/>
  <c r="S1936" i="7"/>
  <c r="T1936" i="7" s="1"/>
  <c r="S1935" i="7"/>
  <c r="T1935" i="7" s="1"/>
  <c r="S1934" i="7"/>
  <c r="T1934" i="7" s="1"/>
  <c r="S1933" i="7"/>
  <c r="T1933" i="7" s="1"/>
  <c r="S1932" i="7"/>
  <c r="T1932" i="7" s="1"/>
  <c r="S1931" i="7"/>
  <c r="T1931" i="7" s="1"/>
  <c r="S1930" i="7"/>
  <c r="T1930" i="7" s="1"/>
  <c r="S1929" i="7"/>
  <c r="T1929" i="7" s="1"/>
  <c r="S1928" i="7"/>
  <c r="T1928" i="7" s="1"/>
  <c r="S1927" i="7"/>
  <c r="T1927" i="7" s="1"/>
  <c r="S1926" i="7"/>
  <c r="T1926" i="7" s="1"/>
  <c r="S1925" i="7"/>
  <c r="T1925" i="7" s="1"/>
  <c r="S1924" i="7"/>
  <c r="T1924" i="7" s="1"/>
  <c r="S1923" i="7"/>
  <c r="T1923" i="7" s="1"/>
  <c r="S1922" i="7"/>
  <c r="T1922" i="7" s="1"/>
  <c r="S1921" i="7"/>
  <c r="T1921" i="7" s="1"/>
  <c r="S1920" i="7"/>
  <c r="T1920" i="7" s="1"/>
  <c r="S1919" i="7"/>
  <c r="T1919" i="7" s="1"/>
  <c r="S1918" i="7"/>
  <c r="T1918" i="7" s="1"/>
  <c r="S1917" i="7"/>
  <c r="T1917" i="7" s="1"/>
  <c r="S1916" i="7"/>
  <c r="T1916" i="7" s="1"/>
  <c r="S1915" i="7"/>
  <c r="T1915" i="7" s="1"/>
  <c r="S1914" i="7"/>
  <c r="T1914" i="7" s="1"/>
  <c r="S1913" i="7"/>
  <c r="T1913" i="7" s="1"/>
  <c r="S1912" i="7"/>
  <c r="T1912" i="7" s="1"/>
  <c r="S1911" i="7"/>
  <c r="T1911" i="7" s="1"/>
  <c r="S1910" i="7"/>
  <c r="T1910" i="7" s="1"/>
  <c r="S1909" i="7"/>
  <c r="T1909" i="7" s="1"/>
  <c r="S1908" i="7"/>
  <c r="T1908" i="7" s="1"/>
  <c r="S1907" i="7"/>
  <c r="T1907" i="7" s="1"/>
  <c r="S1906" i="7"/>
  <c r="T1906" i="7" s="1"/>
  <c r="S1905" i="7"/>
  <c r="T1905" i="7" s="1"/>
  <c r="S1904" i="7"/>
  <c r="T1904" i="7" s="1"/>
  <c r="S1903" i="7"/>
  <c r="T1903" i="7" s="1"/>
  <c r="S1902" i="7"/>
  <c r="T1902" i="7" s="1"/>
  <c r="S1901" i="7"/>
  <c r="T1901" i="7" s="1"/>
  <c r="S1900" i="7"/>
  <c r="T1900" i="7" s="1"/>
  <c r="S1899" i="7"/>
  <c r="T1899" i="7" s="1"/>
  <c r="S1898" i="7"/>
  <c r="T1898" i="7" s="1"/>
  <c r="S1897" i="7"/>
  <c r="T1897" i="7" s="1"/>
  <c r="S1896" i="7"/>
  <c r="T1896" i="7" s="1"/>
  <c r="S1895" i="7"/>
  <c r="T1895" i="7" s="1"/>
  <c r="S1894" i="7"/>
  <c r="T1894" i="7" s="1"/>
  <c r="S1893" i="7"/>
  <c r="T1893" i="7" s="1"/>
  <c r="S1892" i="7"/>
  <c r="T1892" i="7" s="1"/>
  <c r="S1891" i="7"/>
  <c r="T1891" i="7" s="1"/>
  <c r="S1890" i="7"/>
  <c r="T1890" i="7" s="1"/>
  <c r="S1889" i="7"/>
  <c r="T1889" i="7" s="1"/>
  <c r="S1888" i="7"/>
  <c r="T1888" i="7" s="1"/>
  <c r="S1887" i="7"/>
  <c r="T1887" i="7" s="1"/>
  <c r="S1886" i="7"/>
  <c r="T1886" i="7" s="1"/>
  <c r="S1885" i="7"/>
  <c r="T1885" i="7" s="1"/>
  <c r="S1884" i="7"/>
  <c r="T1884" i="7" s="1"/>
  <c r="S1883" i="7"/>
  <c r="T1883" i="7" s="1"/>
  <c r="S1882" i="7"/>
  <c r="T1882" i="7" s="1"/>
  <c r="S1881" i="7"/>
  <c r="T1881" i="7" s="1"/>
  <c r="S1880" i="7"/>
  <c r="T1880" i="7" s="1"/>
  <c r="S1879" i="7"/>
  <c r="T1879" i="7" s="1"/>
  <c r="S1878" i="7"/>
  <c r="T1878" i="7" s="1"/>
  <c r="S1877" i="7"/>
  <c r="T1877" i="7" s="1"/>
  <c r="S1876" i="7"/>
  <c r="T1876" i="7" s="1"/>
  <c r="S1875" i="7"/>
  <c r="T1875" i="7" s="1"/>
  <c r="S1874" i="7"/>
  <c r="T1874" i="7" s="1"/>
  <c r="S1873" i="7"/>
  <c r="T1873" i="7" s="1"/>
  <c r="S1872" i="7"/>
  <c r="T1872" i="7" s="1"/>
  <c r="S1871" i="7"/>
  <c r="T1871" i="7" s="1"/>
  <c r="S1870" i="7"/>
  <c r="T1870" i="7" s="1"/>
  <c r="S1869" i="7"/>
  <c r="T1869" i="7" s="1"/>
  <c r="S1868" i="7"/>
  <c r="T1868" i="7" s="1"/>
  <c r="S1867" i="7"/>
  <c r="T1867" i="7" s="1"/>
  <c r="S1866" i="7"/>
  <c r="T1866" i="7" s="1"/>
  <c r="S1865" i="7"/>
  <c r="T1865" i="7" s="1"/>
  <c r="S1864" i="7"/>
  <c r="T1864" i="7" s="1"/>
  <c r="S1863" i="7"/>
  <c r="T1863" i="7" s="1"/>
  <c r="S1862" i="7"/>
  <c r="T1862" i="7" s="1"/>
  <c r="S1861" i="7"/>
  <c r="T1861" i="7" s="1"/>
  <c r="S1860" i="7"/>
  <c r="T1860" i="7" s="1"/>
  <c r="S1859" i="7"/>
  <c r="T1859" i="7" s="1"/>
  <c r="S1858" i="7"/>
  <c r="T1858" i="7" s="1"/>
  <c r="S1857" i="7"/>
  <c r="T1857" i="7" s="1"/>
  <c r="S1856" i="7"/>
  <c r="T1856" i="7" s="1"/>
  <c r="S1855" i="7"/>
  <c r="T1855" i="7" s="1"/>
  <c r="S1854" i="7"/>
  <c r="T1854" i="7" s="1"/>
  <c r="S1853" i="7"/>
  <c r="T1853" i="7" s="1"/>
  <c r="S1852" i="7"/>
  <c r="T1852" i="7" s="1"/>
  <c r="S1851" i="7"/>
  <c r="T1851" i="7" s="1"/>
  <c r="S1850" i="7"/>
  <c r="T1850" i="7" s="1"/>
  <c r="S1849" i="7"/>
  <c r="T1849" i="7" s="1"/>
  <c r="S1848" i="7"/>
  <c r="T1848" i="7" s="1"/>
  <c r="S1847" i="7"/>
  <c r="T1847" i="7" s="1"/>
  <c r="S1846" i="7"/>
  <c r="T1846" i="7" s="1"/>
  <c r="S1845" i="7"/>
  <c r="T1845" i="7" s="1"/>
  <c r="S1844" i="7"/>
  <c r="T1844" i="7" s="1"/>
  <c r="S1843" i="7"/>
  <c r="T1843" i="7" s="1"/>
  <c r="S1842" i="7"/>
  <c r="T1842" i="7" s="1"/>
  <c r="S1841" i="7"/>
  <c r="T1841" i="7" s="1"/>
  <c r="S1840" i="7"/>
  <c r="T1840" i="7" s="1"/>
  <c r="S1839" i="7"/>
  <c r="T1839" i="7" s="1"/>
  <c r="S1838" i="7"/>
  <c r="T1838" i="7" s="1"/>
  <c r="S1837" i="7"/>
  <c r="T1837" i="7" s="1"/>
  <c r="S1836" i="7"/>
  <c r="T1836" i="7" s="1"/>
  <c r="S1835" i="7"/>
  <c r="T1835" i="7" s="1"/>
  <c r="S1834" i="7"/>
  <c r="T1834" i="7" s="1"/>
  <c r="S1833" i="7"/>
  <c r="T1833" i="7" s="1"/>
  <c r="S1832" i="7"/>
  <c r="T1832" i="7" s="1"/>
  <c r="S1831" i="7"/>
  <c r="T1831" i="7" s="1"/>
  <c r="S1830" i="7"/>
  <c r="T1830" i="7" s="1"/>
  <c r="S1829" i="7"/>
  <c r="T1829" i="7" s="1"/>
  <c r="S1828" i="7"/>
  <c r="T1828" i="7" s="1"/>
  <c r="S1827" i="7"/>
  <c r="T1827" i="7" s="1"/>
  <c r="S1826" i="7"/>
  <c r="T1826" i="7" s="1"/>
  <c r="S1825" i="7"/>
  <c r="T1825" i="7" s="1"/>
  <c r="S1824" i="7"/>
  <c r="T1824" i="7" s="1"/>
  <c r="S1823" i="7"/>
  <c r="T1823" i="7" s="1"/>
  <c r="S1822" i="7"/>
  <c r="T1822" i="7" s="1"/>
  <c r="S1821" i="7"/>
  <c r="T1821" i="7" s="1"/>
  <c r="S1820" i="7"/>
  <c r="T1820" i="7" s="1"/>
  <c r="S1819" i="7"/>
  <c r="T1819" i="7" s="1"/>
  <c r="S1818" i="7"/>
  <c r="T1818" i="7" s="1"/>
  <c r="S1817" i="7"/>
  <c r="T1817" i="7" s="1"/>
  <c r="S1816" i="7"/>
  <c r="T1816" i="7" s="1"/>
  <c r="S1815" i="7"/>
  <c r="T1815" i="7" s="1"/>
  <c r="S1814" i="7"/>
  <c r="T1814" i="7" s="1"/>
  <c r="S1813" i="7"/>
  <c r="T1813" i="7" s="1"/>
  <c r="S1812" i="7"/>
  <c r="T1812" i="7" s="1"/>
  <c r="S1811" i="7"/>
  <c r="T1811" i="7" s="1"/>
  <c r="S1810" i="7"/>
  <c r="T1810" i="7" s="1"/>
  <c r="S1809" i="7"/>
  <c r="T1809" i="7" s="1"/>
  <c r="S1808" i="7"/>
  <c r="T1808" i="7" s="1"/>
  <c r="S1807" i="7"/>
  <c r="T1807" i="7" s="1"/>
  <c r="S1806" i="7"/>
  <c r="T1806" i="7" s="1"/>
  <c r="S1805" i="7"/>
  <c r="T1805" i="7" s="1"/>
  <c r="S1804" i="7"/>
  <c r="T1804" i="7" s="1"/>
  <c r="S1803" i="7"/>
  <c r="T1803" i="7" s="1"/>
  <c r="S1802" i="7"/>
  <c r="T1802" i="7" s="1"/>
  <c r="S1801" i="7"/>
  <c r="T1801" i="7" s="1"/>
  <c r="S1800" i="7"/>
  <c r="T1800" i="7" s="1"/>
  <c r="S1799" i="7"/>
  <c r="T1799" i="7" s="1"/>
  <c r="S1798" i="7"/>
  <c r="T1798" i="7" s="1"/>
  <c r="S1797" i="7"/>
  <c r="T1797" i="7" s="1"/>
  <c r="S1796" i="7"/>
  <c r="T1796" i="7" s="1"/>
  <c r="S1795" i="7"/>
  <c r="T1795" i="7" s="1"/>
  <c r="S1794" i="7"/>
  <c r="T1794" i="7" s="1"/>
  <c r="S1793" i="7"/>
  <c r="T1793" i="7" s="1"/>
  <c r="S1792" i="7"/>
  <c r="T1792" i="7" s="1"/>
  <c r="S1791" i="7"/>
  <c r="T1791" i="7" s="1"/>
  <c r="S1790" i="7"/>
  <c r="T1790" i="7" s="1"/>
  <c r="S1789" i="7"/>
  <c r="T1789" i="7" s="1"/>
  <c r="S1788" i="7"/>
  <c r="T1788" i="7" s="1"/>
  <c r="S1787" i="7"/>
  <c r="T1787" i="7" s="1"/>
  <c r="S1786" i="7"/>
  <c r="T1786" i="7" s="1"/>
  <c r="S1785" i="7"/>
  <c r="T1785" i="7" s="1"/>
  <c r="S1784" i="7"/>
  <c r="T1784" i="7" s="1"/>
  <c r="S1783" i="7"/>
  <c r="T1783" i="7" s="1"/>
  <c r="S1782" i="7"/>
  <c r="T1782" i="7" s="1"/>
  <c r="S1781" i="7"/>
  <c r="T1781" i="7" s="1"/>
  <c r="S1780" i="7"/>
  <c r="T1780" i="7" s="1"/>
  <c r="S1779" i="7"/>
  <c r="T1779" i="7" s="1"/>
  <c r="S1778" i="7"/>
  <c r="T1778" i="7" s="1"/>
  <c r="S1777" i="7"/>
  <c r="T1777" i="7" s="1"/>
  <c r="S1776" i="7"/>
  <c r="T1776" i="7" s="1"/>
  <c r="S1775" i="7"/>
  <c r="T1775" i="7" s="1"/>
  <c r="S1774" i="7"/>
  <c r="T1774" i="7" s="1"/>
  <c r="S1773" i="7"/>
  <c r="T1773" i="7" s="1"/>
  <c r="S1772" i="7"/>
  <c r="T1772" i="7" s="1"/>
  <c r="S1771" i="7"/>
  <c r="T1771" i="7" s="1"/>
  <c r="S1770" i="7"/>
  <c r="T1770" i="7" s="1"/>
  <c r="S1769" i="7"/>
  <c r="T1769" i="7" s="1"/>
  <c r="S1768" i="7"/>
  <c r="T1768" i="7" s="1"/>
  <c r="T1767" i="7"/>
  <c r="S1767" i="7"/>
  <c r="T1766" i="7"/>
  <c r="S1766" i="7"/>
  <c r="T1765" i="7"/>
  <c r="S1765" i="7"/>
  <c r="T1764" i="7"/>
  <c r="S1764" i="7"/>
  <c r="T1763" i="7"/>
  <c r="S1763" i="7"/>
  <c r="T1762" i="7"/>
  <c r="S1762" i="7"/>
  <c r="T1761" i="7"/>
  <c r="S1761" i="7"/>
  <c r="T1760" i="7"/>
  <c r="S1760" i="7"/>
  <c r="T1759" i="7"/>
  <c r="S1759" i="7"/>
  <c r="S1758" i="7"/>
  <c r="T1758" i="7" s="1"/>
  <c r="S1757" i="7"/>
  <c r="T1757" i="7" s="1"/>
  <c r="S1756" i="7"/>
  <c r="T1756" i="7" s="1"/>
  <c r="S1755" i="7"/>
  <c r="T1755" i="7" s="1"/>
  <c r="S1754" i="7"/>
  <c r="T1754" i="7" s="1"/>
  <c r="S1753" i="7"/>
  <c r="T1753" i="7" s="1"/>
  <c r="S1752" i="7"/>
  <c r="T1752" i="7" s="1"/>
  <c r="S1751" i="7"/>
  <c r="T1751" i="7" s="1"/>
  <c r="S1750" i="7"/>
  <c r="T1750" i="7" s="1"/>
  <c r="S1749" i="7"/>
  <c r="T1749" i="7" s="1"/>
  <c r="S1748" i="7"/>
  <c r="T1748" i="7" s="1"/>
  <c r="S1747" i="7"/>
  <c r="T1747" i="7" s="1"/>
  <c r="S1746" i="7"/>
  <c r="T1746" i="7" s="1"/>
  <c r="S1745" i="7"/>
  <c r="T1745" i="7" s="1"/>
  <c r="S1744" i="7"/>
  <c r="T1744" i="7" s="1"/>
  <c r="S1743" i="7"/>
  <c r="T1743" i="7" s="1"/>
  <c r="S1742" i="7"/>
  <c r="T1742" i="7" s="1"/>
  <c r="S1741" i="7"/>
  <c r="T1741" i="7" s="1"/>
  <c r="S1740" i="7"/>
  <c r="T1740" i="7" s="1"/>
  <c r="S1739" i="7"/>
  <c r="T1739" i="7" s="1"/>
  <c r="S1738" i="7"/>
  <c r="T1738" i="7" s="1"/>
  <c r="S1737" i="7"/>
  <c r="T1737" i="7" s="1"/>
  <c r="S1736" i="7"/>
  <c r="T1736" i="7" s="1"/>
  <c r="S1735" i="7"/>
  <c r="T1735" i="7" s="1"/>
  <c r="S1734" i="7"/>
  <c r="T1734" i="7" s="1"/>
  <c r="S1733" i="7"/>
  <c r="T1733" i="7" s="1"/>
  <c r="S1732" i="7"/>
  <c r="T1732" i="7" s="1"/>
  <c r="S1731" i="7"/>
  <c r="T1731" i="7" s="1"/>
  <c r="S1730" i="7"/>
  <c r="T1730" i="7" s="1"/>
  <c r="S1729" i="7"/>
  <c r="T1729" i="7" s="1"/>
  <c r="S1728" i="7"/>
  <c r="T1728" i="7" s="1"/>
  <c r="S1727" i="7"/>
  <c r="T1727" i="7" s="1"/>
  <c r="S1726" i="7"/>
  <c r="T1726" i="7" s="1"/>
  <c r="S1725" i="7"/>
  <c r="T1725" i="7" s="1"/>
  <c r="S1724" i="7"/>
  <c r="T1724" i="7" s="1"/>
  <c r="S1723" i="7"/>
  <c r="T1723" i="7" s="1"/>
  <c r="S1722" i="7"/>
  <c r="T1722" i="7" s="1"/>
  <c r="S1721" i="7"/>
  <c r="T1721" i="7" s="1"/>
  <c r="S1720" i="7"/>
  <c r="T1720" i="7" s="1"/>
  <c r="S1719" i="7"/>
  <c r="T1719" i="7" s="1"/>
  <c r="S1718" i="7"/>
  <c r="T1718" i="7" s="1"/>
  <c r="S1717" i="7"/>
  <c r="T1717" i="7" s="1"/>
  <c r="S1716" i="7"/>
  <c r="T1716" i="7" s="1"/>
  <c r="S1715" i="7"/>
  <c r="T1715" i="7" s="1"/>
  <c r="S1714" i="7"/>
  <c r="T1714" i="7" s="1"/>
  <c r="S1713" i="7"/>
  <c r="T1713" i="7" s="1"/>
  <c r="S1712" i="7"/>
  <c r="T1712" i="7" s="1"/>
  <c r="S1711" i="7"/>
  <c r="T1711" i="7" s="1"/>
  <c r="S1710" i="7"/>
  <c r="T1710" i="7" s="1"/>
  <c r="S1709" i="7"/>
  <c r="T1709" i="7" s="1"/>
  <c r="S1708" i="7"/>
  <c r="T1708" i="7" s="1"/>
  <c r="S1707" i="7"/>
  <c r="T1707" i="7" s="1"/>
  <c r="S1706" i="7"/>
  <c r="T1706" i="7" s="1"/>
  <c r="S1705" i="7"/>
  <c r="T1705" i="7" s="1"/>
  <c r="S1704" i="7"/>
  <c r="T1704" i="7" s="1"/>
  <c r="S1703" i="7"/>
  <c r="T1703" i="7" s="1"/>
  <c r="S1702" i="7"/>
  <c r="T1702" i="7" s="1"/>
  <c r="S1701" i="7"/>
  <c r="T1701" i="7" s="1"/>
  <c r="S1700" i="7"/>
  <c r="T1700" i="7" s="1"/>
  <c r="S1699" i="7"/>
  <c r="T1699" i="7" s="1"/>
  <c r="S1698" i="7"/>
  <c r="T1698" i="7" s="1"/>
  <c r="S1697" i="7"/>
  <c r="T1697" i="7" s="1"/>
  <c r="S1696" i="7"/>
  <c r="T1696" i="7" s="1"/>
  <c r="S1695" i="7"/>
  <c r="T1695" i="7" s="1"/>
  <c r="S1694" i="7"/>
  <c r="T1694" i="7" s="1"/>
  <c r="S1693" i="7"/>
  <c r="T1693" i="7" s="1"/>
  <c r="S1692" i="7"/>
  <c r="T1692" i="7" s="1"/>
  <c r="S1691" i="7"/>
  <c r="T1691" i="7" s="1"/>
  <c r="S1690" i="7"/>
  <c r="T1690" i="7" s="1"/>
  <c r="S1689" i="7"/>
  <c r="T1689" i="7" s="1"/>
  <c r="S1688" i="7"/>
  <c r="T1688" i="7" s="1"/>
  <c r="S1687" i="7"/>
  <c r="T1687" i="7" s="1"/>
  <c r="S1686" i="7"/>
  <c r="T1686" i="7" s="1"/>
  <c r="S1685" i="7"/>
  <c r="T1685" i="7" s="1"/>
  <c r="S1684" i="7"/>
  <c r="T1684" i="7" s="1"/>
  <c r="S1683" i="7"/>
  <c r="T1683" i="7" s="1"/>
  <c r="S1682" i="7"/>
  <c r="T1682" i="7" s="1"/>
  <c r="S1681" i="7"/>
  <c r="T1681" i="7" s="1"/>
  <c r="S1680" i="7"/>
  <c r="T1680" i="7" s="1"/>
  <c r="S1679" i="7"/>
  <c r="T1679" i="7" s="1"/>
  <c r="S1678" i="7"/>
  <c r="T1678" i="7" s="1"/>
  <c r="S1677" i="7"/>
  <c r="T1677" i="7" s="1"/>
  <c r="S1676" i="7"/>
  <c r="T1676" i="7" s="1"/>
  <c r="S1675" i="7"/>
  <c r="T1675" i="7" s="1"/>
  <c r="S1674" i="7"/>
  <c r="T1674" i="7" s="1"/>
  <c r="S1673" i="7"/>
  <c r="T1673" i="7" s="1"/>
  <c r="S1672" i="7"/>
  <c r="T1672" i="7" s="1"/>
  <c r="S1671" i="7"/>
  <c r="T1671" i="7" s="1"/>
  <c r="S1670" i="7"/>
  <c r="T1670" i="7" s="1"/>
  <c r="S1669" i="7"/>
  <c r="T1669" i="7" s="1"/>
  <c r="S1668" i="7"/>
  <c r="T1668" i="7" s="1"/>
  <c r="S1667" i="7"/>
  <c r="T1667" i="7" s="1"/>
  <c r="S1666" i="7"/>
  <c r="T1666" i="7" s="1"/>
  <c r="S1665" i="7"/>
  <c r="T1665" i="7" s="1"/>
  <c r="S1664" i="7"/>
  <c r="T1664" i="7" s="1"/>
  <c r="S1663" i="7"/>
  <c r="T1663" i="7" s="1"/>
  <c r="T1662" i="7"/>
  <c r="S1662" i="7"/>
  <c r="T1661" i="7"/>
  <c r="S1661" i="7"/>
  <c r="T1660" i="7"/>
  <c r="S1660" i="7"/>
  <c r="T1659" i="7"/>
  <c r="S1659" i="7"/>
  <c r="T1658" i="7"/>
  <c r="S1658" i="7"/>
  <c r="T1657" i="7"/>
  <c r="S1657" i="7"/>
  <c r="T1656" i="7"/>
  <c r="S1656" i="7"/>
  <c r="T1655" i="7"/>
  <c r="S1655" i="7"/>
  <c r="S1654" i="7"/>
  <c r="T1654" i="7" s="1"/>
  <c r="S1653" i="7"/>
  <c r="T1653" i="7" s="1"/>
  <c r="S1652" i="7"/>
  <c r="T1652" i="7" s="1"/>
  <c r="S1651" i="7"/>
  <c r="T1651" i="7" s="1"/>
  <c r="S1650" i="7"/>
  <c r="T1650" i="7" s="1"/>
  <c r="S1649" i="7"/>
  <c r="T1649" i="7" s="1"/>
  <c r="S1648" i="7"/>
  <c r="T1648" i="7" s="1"/>
  <c r="S1647" i="7"/>
  <c r="T1647" i="7" s="1"/>
  <c r="T1646" i="7"/>
  <c r="S1646" i="7"/>
  <c r="S1645" i="7"/>
  <c r="T1645" i="7" s="1"/>
  <c r="S1644" i="7"/>
  <c r="T1644" i="7" s="1"/>
  <c r="S1643" i="7"/>
  <c r="T1643" i="7" s="1"/>
  <c r="S1642" i="7"/>
  <c r="T1642" i="7" s="1"/>
  <c r="S1641" i="7"/>
  <c r="T1641" i="7" s="1"/>
  <c r="S1640" i="7"/>
  <c r="T1640" i="7" s="1"/>
  <c r="S1639" i="7"/>
  <c r="T1639" i="7" s="1"/>
  <c r="T1638" i="7"/>
  <c r="S1638" i="7"/>
  <c r="S1637" i="7"/>
  <c r="T1637" i="7" s="1"/>
  <c r="S1636" i="7"/>
  <c r="T1636" i="7" s="1"/>
  <c r="S1635" i="7"/>
  <c r="T1635" i="7" s="1"/>
  <c r="S1634" i="7"/>
  <c r="T1634" i="7" s="1"/>
  <c r="S1633" i="7"/>
  <c r="T1633" i="7" s="1"/>
  <c r="S1632" i="7"/>
  <c r="T1632" i="7" s="1"/>
  <c r="S1631" i="7"/>
  <c r="T1631" i="7" s="1"/>
  <c r="S1630" i="7"/>
  <c r="T1630" i="7" s="1"/>
  <c r="S1629" i="7"/>
  <c r="T1629" i="7" s="1"/>
  <c r="S1628" i="7"/>
  <c r="T1628" i="7" s="1"/>
  <c r="S1627" i="7"/>
  <c r="T1627" i="7" s="1"/>
  <c r="S1626" i="7"/>
  <c r="T1626" i="7" s="1"/>
  <c r="S1625" i="7"/>
  <c r="T1625" i="7" s="1"/>
  <c r="S1624" i="7"/>
  <c r="T1624" i="7" s="1"/>
  <c r="S1623" i="7"/>
  <c r="T1623" i="7" s="1"/>
  <c r="S1622" i="7"/>
  <c r="T1622" i="7" s="1"/>
  <c r="S1621" i="7"/>
  <c r="T1621" i="7" s="1"/>
  <c r="S1620" i="7"/>
  <c r="T1620" i="7" s="1"/>
  <c r="S1619" i="7"/>
  <c r="T1619" i="7" s="1"/>
  <c r="S1618" i="7"/>
  <c r="T1618" i="7" s="1"/>
  <c r="S1617" i="7"/>
  <c r="T1617" i="7" s="1"/>
  <c r="S1616" i="7"/>
  <c r="T1616" i="7" s="1"/>
  <c r="S1615" i="7"/>
  <c r="T1615" i="7" s="1"/>
  <c r="S1614" i="7"/>
  <c r="T1614" i="7" s="1"/>
  <c r="S1613" i="7"/>
  <c r="T1613" i="7" s="1"/>
  <c r="S1612" i="7"/>
  <c r="T1612" i="7" s="1"/>
  <c r="S1611" i="7"/>
  <c r="T1611" i="7" s="1"/>
  <c r="S1610" i="7"/>
  <c r="T1610" i="7" s="1"/>
  <c r="S1609" i="7"/>
  <c r="T1609" i="7" s="1"/>
  <c r="S1608" i="7"/>
  <c r="T1608" i="7" s="1"/>
  <c r="S1607" i="7"/>
  <c r="T1607" i="7" s="1"/>
  <c r="S1606" i="7"/>
  <c r="T1606" i="7" s="1"/>
  <c r="S1605" i="7"/>
  <c r="T1605" i="7" s="1"/>
  <c r="S1604" i="7"/>
  <c r="T1604" i="7" s="1"/>
  <c r="S1603" i="7"/>
  <c r="T1603" i="7" s="1"/>
  <c r="S1602" i="7"/>
  <c r="T1602" i="7" s="1"/>
  <c r="S1601" i="7"/>
  <c r="T1601" i="7" s="1"/>
  <c r="S1600" i="7"/>
  <c r="T1600" i="7" s="1"/>
  <c r="S1599" i="7"/>
  <c r="T1599" i="7" s="1"/>
  <c r="S1598" i="7"/>
  <c r="T1598" i="7" s="1"/>
  <c r="S1597" i="7"/>
  <c r="T1597" i="7" s="1"/>
  <c r="S1596" i="7"/>
  <c r="T1596" i="7" s="1"/>
  <c r="S1595" i="7"/>
  <c r="T1595" i="7" s="1"/>
  <c r="S1594" i="7"/>
  <c r="T1594" i="7" s="1"/>
  <c r="S1593" i="7"/>
  <c r="T1593" i="7" s="1"/>
  <c r="S1592" i="7"/>
  <c r="T1592" i="7" s="1"/>
  <c r="S1591" i="7"/>
  <c r="T1591" i="7" s="1"/>
  <c r="S1590" i="7"/>
  <c r="T1590" i="7" s="1"/>
  <c r="S1589" i="7"/>
  <c r="T1589" i="7" s="1"/>
  <c r="S1588" i="7"/>
  <c r="T1588" i="7" s="1"/>
  <c r="S1587" i="7"/>
  <c r="T1587" i="7" s="1"/>
  <c r="S1586" i="7"/>
  <c r="T1586" i="7" s="1"/>
  <c r="S1585" i="7"/>
  <c r="T1585" i="7" s="1"/>
  <c r="S1584" i="7"/>
  <c r="T1584" i="7" s="1"/>
  <c r="S1583" i="7"/>
  <c r="T1583" i="7" s="1"/>
  <c r="S1582" i="7"/>
  <c r="T1582" i="7" s="1"/>
  <c r="S1581" i="7"/>
  <c r="T1581" i="7" s="1"/>
  <c r="S1580" i="7"/>
  <c r="T1580" i="7" s="1"/>
  <c r="S1579" i="7"/>
  <c r="T1579" i="7" s="1"/>
  <c r="S1578" i="7"/>
  <c r="T1578" i="7" s="1"/>
  <c r="S1577" i="7"/>
  <c r="T1577" i="7" s="1"/>
  <c r="S1576" i="7"/>
  <c r="T1576" i="7" s="1"/>
  <c r="S1575" i="7"/>
  <c r="T1575" i="7" s="1"/>
  <c r="S1574" i="7"/>
  <c r="T1574" i="7" s="1"/>
  <c r="S1573" i="7"/>
  <c r="T1573" i="7" s="1"/>
  <c r="S1572" i="7"/>
  <c r="T1572" i="7" s="1"/>
  <c r="T1571" i="7"/>
  <c r="S1571" i="7"/>
  <c r="S1570" i="7"/>
  <c r="T1570" i="7" s="1"/>
  <c r="S1569" i="7"/>
  <c r="T1569" i="7" s="1"/>
  <c r="S1568" i="7"/>
  <c r="T1568" i="7" s="1"/>
  <c r="S1567" i="7"/>
  <c r="T1567" i="7" s="1"/>
  <c r="S1566" i="7"/>
  <c r="T1566" i="7" s="1"/>
  <c r="S1565" i="7"/>
  <c r="T1565" i="7" s="1"/>
  <c r="S1564" i="7"/>
  <c r="T1564" i="7" s="1"/>
  <c r="S1563" i="7"/>
  <c r="T1563" i="7" s="1"/>
  <c r="S1562" i="7"/>
  <c r="T1562" i="7" s="1"/>
  <c r="S1561" i="7"/>
  <c r="T1561" i="7" s="1"/>
  <c r="S1560" i="7"/>
  <c r="T1560" i="7" s="1"/>
  <c r="S1559" i="7"/>
  <c r="T1559" i="7" s="1"/>
  <c r="S1558" i="7"/>
  <c r="T1558" i="7" s="1"/>
  <c r="S1557" i="7"/>
  <c r="T1557" i="7" s="1"/>
  <c r="S1556" i="7"/>
  <c r="T1556" i="7" s="1"/>
  <c r="S1555" i="7"/>
  <c r="T1555" i="7" s="1"/>
  <c r="S1554" i="7"/>
  <c r="T1554" i="7" s="1"/>
  <c r="T1553" i="7"/>
  <c r="S1553" i="7"/>
  <c r="S1552" i="7"/>
  <c r="T1552" i="7" s="1"/>
  <c r="S1551" i="7"/>
  <c r="T1551" i="7" s="1"/>
  <c r="S1550" i="7"/>
  <c r="T1550" i="7" s="1"/>
  <c r="S1549" i="7"/>
  <c r="T1549" i="7" s="1"/>
  <c r="S1548" i="7"/>
  <c r="T1548" i="7" s="1"/>
  <c r="S1547" i="7"/>
  <c r="T1547" i="7" s="1"/>
  <c r="S1546" i="7"/>
  <c r="T1546" i="7" s="1"/>
  <c r="S1545" i="7"/>
  <c r="T1545" i="7" s="1"/>
  <c r="S1544" i="7"/>
  <c r="T1544" i="7" s="1"/>
  <c r="S1543" i="7"/>
  <c r="T1543" i="7" s="1"/>
  <c r="S1542" i="7"/>
  <c r="T1542" i="7" s="1"/>
  <c r="S1541" i="7"/>
  <c r="T1541" i="7" s="1"/>
  <c r="S1540" i="7"/>
  <c r="T1540" i="7" s="1"/>
  <c r="S1539" i="7"/>
  <c r="T1539" i="7" s="1"/>
  <c r="S1538" i="7"/>
  <c r="T1538" i="7" s="1"/>
  <c r="S1537" i="7"/>
  <c r="T1537" i="7" s="1"/>
  <c r="S1536" i="7"/>
  <c r="T1536" i="7" s="1"/>
  <c r="T1535" i="7"/>
  <c r="S1535" i="7"/>
  <c r="S1534" i="7"/>
  <c r="T1534" i="7" s="1"/>
  <c r="S1533" i="7"/>
  <c r="T1533" i="7" s="1"/>
  <c r="S1532" i="7"/>
  <c r="T1532" i="7" s="1"/>
  <c r="S1531" i="7"/>
  <c r="T1531" i="7" s="1"/>
  <c r="S1530" i="7"/>
  <c r="T1530" i="7" s="1"/>
  <c r="S1529" i="7"/>
  <c r="T1529" i="7" s="1"/>
  <c r="S1528" i="7"/>
  <c r="T1528" i="7" s="1"/>
  <c r="S1527" i="7"/>
  <c r="T1527" i="7" s="1"/>
  <c r="S1526" i="7"/>
  <c r="T1526" i="7" s="1"/>
  <c r="S1525" i="7"/>
  <c r="T1525" i="7" s="1"/>
  <c r="S1524" i="7"/>
  <c r="T1524" i="7" s="1"/>
  <c r="S1523" i="7"/>
  <c r="T1523" i="7" s="1"/>
  <c r="S1522" i="7"/>
  <c r="T1522" i="7" s="1"/>
  <c r="S1521" i="7"/>
  <c r="T1521" i="7" s="1"/>
  <c r="S1520" i="7"/>
  <c r="T1520" i="7" s="1"/>
  <c r="S1519" i="7"/>
  <c r="T1519" i="7" s="1"/>
  <c r="T1518" i="7"/>
  <c r="S1518" i="7"/>
  <c r="T1517" i="7"/>
  <c r="S1517" i="7"/>
  <c r="T1516" i="7"/>
  <c r="S1516" i="7"/>
  <c r="S1515" i="7"/>
  <c r="T1515" i="7" s="1"/>
  <c r="S1514" i="7"/>
  <c r="T1514" i="7" s="1"/>
  <c r="T1513" i="7"/>
  <c r="S1513" i="7"/>
  <c r="S1512" i="7"/>
  <c r="T1512" i="7" s="1"/>
  <c r="S1511" i="7"/>
  <c r="T1511" i="7" s="1"/>
  <c r="T1510" i="7"/>
  <c r="S1510" i="7"/>
  <c r="T1509" i="7"/>
  <c r="S1509" i="7"/>
  <c r="T1508" i="7"/>
  <c r="S1508" i="7"/>
  <c r="S1507" i="7"/>
  <c r="T1507" i="7" s="1"/>
  <c r="S1506" i="7"/>
  <c r="T1506" i="7" s="1"/>
  <c r="S1505" i="7"/>
  <c r="T1505" i="7" s="1"/>
  <c r="S1504" i="7"/>
  <c r="T1504" i="7" s="1"/>
  <c r="T1503" i="7"/>
  <c r="S1503" i="7"/>
  <c r="S1502" i="7"/>
  <c r="T1502" i="7" s="1"/>
  <c r="S1501" i="7"/>
  <c r="T1501" i="7" s="1"/>
  <c r="S1500" i="7"/>
  <c r="T1500" i="7" s="1"/>
  <c r="S1499" i="7"/>
  <c r="T1499" i="7" s="1"/>
  <c r="S1498" i="7"/>
  <c r="T1498" i="7" s="1"/>
  <c r="S1497" i="7"/>
  <c r="T1497" i="7" s="1"/>
  <c r="S1496" i="7"/>
  <c r="T1496" i="7" s="1"/>
  <c r="S1495" i="7"/>
  <c r="T1495" i="7" s="1"/>
  <c r="S1494" i="7"/>
  <c r="T1494" i="7" s="1"/>
  <c r="T1493" i="7"/>
  <c r="S1493" i="7"/>
  <c r="S1492" i="7"/>
  <c r="T1492" i="7" s="1"/>
  <c r="S1491" i="7"/>
  <c r="T1491" i="7" s="1"/>
  <c r="S1490" i="7"/>
  <c r="T1490" i="7" s="1"/>
  <c r="S1489" i="7"/>
  <c r="T1489" i="7" s="1"/>
  <c r="S1488" i="7"/>
  <c r="T1488" i="7" s="1"/>
  <c r="S1487" i="7"/>
  <c r="T1487" i="7" s="1"/>
  <c r="S1486" i="7"/>
  <c r="T1486" i="7" s="1"/>
  <c r="S1485" i="7"/>
  <c r="T1485" i="7" s="1"/>
  <c r="S1484" i="7"/>
  <c r="T1484" i="7" s="1"/>
  <c r="T1483" i="7"/>
  <c r="S1483" i="7"/>
  <c r="T1482" i="7"/>
  <c r="S1482" i="7"/>
  <c r="T1481" i="7"/>
  <c r="S1481" i="7"/>
  <c r="S1480" i="7"/>
  <c r="T1480" i="7" s="1"/>
  <c r="S1479" i="7"/>
  <c r="T1479" i="7" s="1"/>
  <c r="S1478" i="7"/>
  <c r="T1478" i="7" s="1"/>
  <c r="S1477" i="7"/>
  <c r="T1477" i="7" s="1"/>
  <c r="S1476" i="7"/>
  <c r="T1476" i="7" s="1"/>
  <c r="T1475" i="7"/>
  <c r="S1475" i="7"/>
  <c r="T1474" i="7"/>
  <c r="S1474" i="7"/>
  <c r="T1473" i="7"/>
  <c r="S1473" i="7"/>
  <c r="S1472" i="7"/>
  <c r="T1472" i="7" s="1"/>
  <c r="S1471" i="7"/>
  <c r="T1471" i="7" s="1"/>
  <c r="S1470" i="7"/>
  <c r="T1470" i="7" s="1"/>
  <c r="S1469" i="7"/>
  <c r="T1469" i="7" s="1"/>
  <c r="S1468" i="7"/>
  <c r="T1468" i="7" s="1"/>
  <c r="S1467" i="7"/>
  <c r="T1467" i="7" s="1"/>
  <c r="S1466" i="7"/>
  <c r="T1466" i="7" s="1"/>
  <c r="S1465" i="7"/>
  <c r="T1465" i="7" s="1"/>
  <c r="S1464" i="7"/>
  <c r="T1464" i="7" s="1"/>
  <c r="S1463" i="7"/>
  <c r="T1463" i="7" s="1"/>
  <c r="S1462" i="7"/>
  <c r="T1462" i="7" s="1"/>
  <c r="S1461" i="7"/>
  <c r="T1461" i="7" s="1"/>
  <c r="S1460" i="7"/>
  <c r="T1460" i="7" s="1"/>
  <c r="S1459" i="7"/>
  <c r="T1459" i="7" s="1"/>
  <c r="S1458" i="7"/>
  <c r="T1458" i="7" s="1"/>
  <c r="S1457" i="7"/>
  <c r="T1457" i="7" s="1"/>
  <c r="T1456" i="7"/>
  <c r="S1456" i="7"/>
  <c r="S1455" i="7"/>
  <c r="T1455" i="7" s="1"/>
  <c r="S1454" i="7"/>
  <c r="T1454" i="7" s="1"/>
  <c r="S1453" i="7"/>
  <c r="T1453" i="7" s="1"/>
  <c r="S1452" i="7"/>
  <c r="T1452" i="7" s="1"/>
  <c r="S1451" i="7"/>
  <c r="T1451" i="7" s="1"/>
  <c r="S1450" i="7"/>
  <c r="T1450" i="7" s="1"/>
  <c r="S1449" i="7"/>
  <c r="T1449" i="7" s="1"/>
  <c r="S1448" i="7"/>
  <c r="T1448" i="7" s="1"/>
  <c r="S1447" i="7"/>
  <c r="T1447" i="7" s="1"/>
  <c r="S1446" i="7"/>
  <c r="T1446" i="7" s="1"/>
  <c r="S1445" i="7"/>
  <c r="T1445" i="7" s="1"/>
  <c r="T1444" i="7"/>
  <c r="S1444" i="7"/>
  <c r="S1443" i="7"/>
  <c r="T1443" i="7" s="1"/>
  <c r="S1442" i="7"/>
  <c r="T1442" i="7" s="1"/>
  <c r="S1441" i="7"/>
  <c r="T1441" i="7" s="1"/>
  <c r="S1440" i="7"/>
  <c r="T1440" i="7" s="1"/>
  <c r="T1439" i="7"/>
  <c r="S1439" i="7"/>
  <c r="T1438" i="7"/>
  <c r="S1438" i="7"/>
  <c r="S1437" i="7"/>
  <c r="T1437" i="7" s="1"/>
  <c r="S1436" i="7"/>
  <c r="T1436" i="7" s="1"/>
  <c r="T1435" i="7"/>
  <c r="S1435" i="7"/>
  <c r="S1434" i="7"/>
  <c r="T1434" i="7" s="1"/>
  <c r="S1433" i="7"/>
  <c r="T1433" i="7" s="1"/>
  <c r="T1432" i="7"/>
  <c r="S1432" i="7"/>
  <c r="T1431" i="7"/>
  <c r="S1431" i="7"/>
  <c r="T1430" i="7"/>
  <c r="S1430" i="7"/>
  <c r="S1429" i="7"/>
  <c r="T1429" i="7" s="1"/>
  <c r="S1428" i="7"/>
  <c r="T1428" i="7" s="1"/>
  <c r="S1427" i="7"/>
  <c r="T1427" i="7" s="1"/>
  <c r="S1426" i="7"/>
  <c r="T1426" i="7" s="1"/>
  <c r="S1425" i="7"/>
  <c r="T1425" i="7" s="1"/>
  <c r="T1424" i="7"/>
  <c r="S1424" i="7"/>
  <c r="T1423" i="7"/>
  <c r="S1423" i="7"/>
  <c r="S1422" i="7"/>
  <c r="T1422" i="7" s="1"/>
  <c r="S1421" i="7"/>
  <c r="T1421" i="7" s="1"/>
  <c r="S1420" i="7"/>
  <c r="T1420" i="7" s="1"/>
  <c r="S1419" i="7"/>
  <c r="T1419" i="7" s="1"/>
  <c r="S1418" i="7"/>
  <c r="T1418" i="7" s="1"/>
  <c r="S1417" i="7"/>
  <c r="T1417" i="7" s="1"/>
  <c r="S1416" i="7"/>
  <c r="T1416" i="7" s="1"/>
  <c r="S1415" i="7"/>
  <c r="T1415" i="7" s="1"/>
  <c r="S1414" i="7"/>
  <c r="T1414" i="7" s="1"/>
  <c r="S1413" i="7"/>
  <c r="T1413" i="7" s="1"/>
  <c r="S1412" i="7"/>
  <c r="T1412" i="7" s="1"/>
  <c r="S1411" i="7"/>
  <c r="T1411" i="7" s="1"/>
  <c r="S1410" i="7"/>
  <c r="T1410" i="7" s="1"/>
  <c r="T1409" i="7"/>
  <c r="S1409" i="7"/>
  <c r="S1408" i="7"/>
  <c r="T1408" i="7" s="1"/>
  <c r="S1407" i="7"/>
  <c r="T1407" i="7" s="1"/>
  <c r="S1406" i="7"/>
  <c r="T1406" i="7" s="1"/>
  <c r="S1405" i="7"/>
  <c r="T1405" i="7" s="1"/>
  <c r="S1404" i="7"/>
  <c r="T1404" i="7" s="1"/>
  <c r="S1403" i="7"/>
  <c r="T1403" i="7" s="1"/>
  <c r="S1402" i="7"/>
  <c r="T1402" i="7" s="1"/>
  <c r="S1401" i="7"/>
  <c r="T1401" i="7" s="1"/>
  <c r="S1400" i="7"/>
  <c r="T1400" i="7" s="1"/>
  <c r="S1399" i="7"/>
  <c r="T1399" i="7" s="1"/>
  <c r="S1398" i="7"/>
  <c r="T1398" i="7" s="1"/>
  <c r="S1397" i="7"/>
  <c r="T1397" i="7" s="1"/>
  <c r="S1396" i="7"/>
  <c r="T1396" i="7" s="1"/>
  <c r="T1395" i="7"/>
  <c r="S1395" i="7"/>
  <c r="S1394" i="7"/>
  <c r="T1394" i="7" s="1"/>
  <c r="S1393" i="7"/>
  <c r="T1393" i="7" s="1"/>
  <c r="S1392" i="7"/>
  <c r="T1392" i="7" s="1"/>
  <c r="S1391" i="7"/>
  <c r="T1391" i="7" s="1"/>
  <c r="S1390" i="7"/>
  <c r="T1390" i="7" s="1"/>
  <c r="T1389" i="7"/>
  <c r="S1389" i="7"/>
  <c r="T1388" i="7"/>
  <c r="S1388" i="7"/>
  <c r="T1387" i="7"/>
  <c r="S1387" i="7"/>
  <c r="S1386" i="7"/>
  <c r="T1386" i="7" s="1"/>
  <c r="S1385" i="7"/>
  <c r="T1385" i="7" s="1"/>
  <c r="S1384" i="7"/>
  <c r="T1384" i="7" s="1"/>
  <c r="S1383" i="7"/>
  <c r="T1383" i="7" s="1"/>
  <c r="S1382" i="7"/>
  <c r="T1382" i="7" s="1"/>
  <c r="S1381" i="7"/>
  <c r="T1381" i="7" s="1"/>
  <c r="S1380" i="7"/>
  <c r="T1380" i="7" s="1"/>
  <c r="S1379" i="7"/>
  <c r="T1379" i="7" s="1"/>
  <c r="S1378" i="7"/>
  <c r="T1378" i="7" s="1"/>
  <c r="T1377" i="7"/>
  <c r="S1377" i="7"/>
  <c r="S1376" i="7"/>
  <c r="T1376" i="7" s="1"/>
  <c r="S1375" i="7"/>
  <c r="T1375" i="7" s="1"/>
  <c r="S1374" i="7"/>
  <c r="T1374" i="7" s="1"/>
  <c r="S1373" i="7"/>
  <c r="T1373" i="7" s="1"/>
  <c r="T1372" i="7"/>
  <c r="S1372" i="7"/>
  <c r="T1371" i="7"/>
  <c r="S1371" i="7"/>
  <c r="S1370" i="7"/>
  <c r="T1370" i="7" s="1"/>
  <c r="S1369" i="7"/>
  <c r="T1369" i="7" s="1"/>
  <c r="S1368" i="7"/>
  <c r="T1368" i="7" s="1"/>
  <c r="S1367" i="7"/>
  <c r="T1367" i="7" s="1"/>
  <c r="S1366" i="7"/>
  <c r="T1366" i="7" s="1"/>
  <c r="S1365" i="7"/>
  <c r="T1365" i="7" s="1"/>
  <c r="S1364" i="7"/>
  <c r="T1364" i="7" s="1"/>
  <c r="S1363" i="7"/>
  <c r="T1363" i="7" s="1"/>
  <c r="T1362" i="7"/>
  <c r="S1362" i="7"/>
  <c r="S1361" i="7"/>
  <c r="T1361" i="7" s="1"/>
  <c r="S1360" i="7"/>
  <c r="T1360" i="7" s="1"/>
  <c r="S1359" i="7"/>
  <c r="T1359" i="7" s="1"/>
  <c r="S1358" i="7"/>
  <c r="T1358" i="7" s="1"/>
  <c r="S1357" i="7"/>
  <c r="T1357" i="7" s="1"/>
  <c r="S1356" i="7"/>
  <c r="T1356" i="7" s="1"/>
  <c r="S1355" i="7"/>
  <c r="T1355" i="7" s="1"/>
  <c r="S1354" i="7"/>
  <c r="T1354" i="7" s="1"/>
  <c r="S1353" i="7"/>
  <c r="T1353" i="7" s="1"/>
  <c r="S1352" i="7"/>
  <c r="T1352" i="7" s="1"/>
  <c r="S1351" i="7"/>
  <c r="T1351" i="7" s="1"/>
  <c r="T1350" i="7"/>
  <c r="S1350" i="7"/>
  <c r="T1349" i="7"/>
  <c r="S1349" i="7"/>
  <c r="T1348" i="7"/>
  <c r="S1348" i="7"/>
  <c r="S1347" i="7"/>
  <c r="T1347" i="7" s="1"/>
  <c r="S1346" i="7"/>
  <c r="T1346" i="7" s="1"/>
  <c r="T1345" i="7"/>
  <c r="S1345" i="7"/>
  <c r="S1344" i="7"/>
  <c r="T1344" i="7" s="1"/>
  <c r="S1343" i="7"/>
  <c r="T1343" i="7" s="1"/>
  <c r="T1342" i="7"/>
  <c r="S1342" i="7"/>
  <c r="S1341" i="7"/>
  <c r="T1341" i="7" s="1"/>
  <c r="S1340" i="7"/>
  <c r="T1340" i="7" s="1"/>
  <c r="S1339" i="7"/>
  <c r="T1339" i="7" s="1"/>
  <c r="S1338" i="7"/>
  <c r="T1338" i="7" s="1"/>
  <c r="S1337" i="7"/>
  <c r="T1337" i="7" s="1"/>
  <c r="T1336" i="7"/>
  <c r="S1336" i="7"/>
  <c r="S1335" i="7"/>
  <c r="T1335" i="7" s="1"/>
  <c r="S1334" i="7"/>
  <c r="T1334" i="7" s="1"/>
  <c r="S1333" i="7"/>
  <c r="T1333" i="7" s="1"/>
  <c r="S1332" i="7"/>
  <c r="T1332" i="7" s="1"/>
  <c r="S1331" i="7"/>
  <c r="T1331" i="7" s="1"/>
  <c r="S1330" i="7"/>
  <c r="T1330" i="7" s="1"/>
  <c r="S1329" i="7"/>
  <c r="T1329" i="7" s="1"/>
  <c r="S1328" i="7"/>
  <c r="T1328" i="7" s="1"/>
  <c r="T1327" i="7"/>
  <c r="S1327" i="7"/>
  <c r="S1326" i="7"/>
  <c r="T1326" i="7" s="1"/>
  <c r="S1325" i="7"/>
  <c r="T1325" i="7" s="1"/>
  <c r="S1324" i="7"/>
  <c r="T1324" i="7" s="1"/>
  <c r="S1323" i="7"/>
  <c r="T1323" i="7" s="1"/>
  <c r="S1322" i="7"/>
  <c r="T1322" i="7" s="1"/>
  <c r="S1321" i="7"/>
  <c r="T1321" i="7" s="1"/>
  <c r="S1320" i="7"/>
  <c r="T1320" i="7" s="1"/>
  <c r="T1319" i="7"/>
  <c r="S1319" i="7"/>
  <c r="S1318" i="7"/>
  <c r="T1318" i="7" s="1"/>
  <c r="S1317" i="7"/>
  <c r="T1317" i="7" s="1"/>
  <c r="S1316" i="7"/>
  <c r="T1316" i="7" s="1"/>
  <c r="S1315" i="7"/>
  <c r="T1315" i="7" s="1"/>
  <c r="S1314" i="7"/>
  <c r="T1314" i="7" s="1"/>
  <c r="T1313" i="7"/>
  <c r="S1313" i="7"/>
  <c r="S1312" i="7"/>
  <c r="T1312" i="7" s="1"/>
  <c r="S1311" i="7"/>
  <c r="T1311" i="7" s="1"/>
  <c r="S1310" i="7"/>
  <c r="T1310" i="7" s="1"/>
  <c r="S1309" i="7"/>
  <c r="T1309" i="7" s="1"/>
  <c r="S1308" i="7"/>
  <c r="T1308" i="7" s="1"/>
  <c r="S1307" i="7"/>
  <c r="T1307" i="7" s="1"/>
  <c r="S1306" i="7"/>
  <c r="T1306" i="7" s="1"/>
  <c r="S1305" i="7"/>
  <c r="T1305" i="7" s="1"/>
  <c r="S1304" i="7"/>
  <c r="T1304" i="7" s="1"/>
  <c r="T1303" i="7"/>
  <c r="S1303" i="7"/>
  <c r="S1302" i="7"/>
  <c r="T1302" i="7" s="1"/>
  <c r="S1301" i="7"/>
  <c r="T1301" i="7" s="1"/>
  <c r="T1300" i="7"/>
  <c r="S1300" i="7"/>
  <c r="S1299" i="7"/>
  <c r="T1299" i="7" s="1"/>
  <c r="S1298" i="7"/>
  <c r="T1298" i="7" s="1"/>
  <c r="S1297" i="7"/>
  <c r="T1297" i="7" s="1"/>
  <c r="S1296" i="7"/>
  <c r="T1296" i="7" s="1"/>
  <c r="S1295" i="7"/>
  <c r="T1295" i="7" s="1"/>
  <c r="S1294" i="7"/>
  <c r="T1294" i="7" s="1"/>
  <c r="S1293" i="7"/>
  <c r="T1293" i="7" s="1"/>
  <c r="S1292" i="7"/>
  <c r="T1292" i="7" s="1"/>
  <c r="S1291" i="7"/>
  <c r="T1291" i="7" s="1"/>
  <c r="S1290" i="7"/>
  <c r="T1290" i="7" s="1"/>
  <c r="S1289" i="7"/>
  <c r="T1289" i="7" s="1"/>
  <c r="S1288" i="7"/>
  <c r="T1288" i="7" s="1"/>
  <c r="S1287" i="7"/>
  <c r="T1287" i="7" s="1"/>
  <c r="S1286" i="7"/>
  <c r="T1286" i="7" s="1"/>
  <c r="T1285" i="7"/>
  <c r="S1285" i="7"/>
  <c r="T1284" i="7"/>
  <c r="S1284" i="7"/>
  <c r="T1283" i="7"/>
  <c r="S1283" i="7"/>
  <c r="S1282" i="7"/>
  <c r="T1282" i="7" s="1"/>
  <c r="S1281" i="7"/>
  <c r="T1281" i="7" s="1"/>
  <c r="S1280" i="7"/>
  <c r="T1280" i="7" s="1"/>
  <c r="S1279" i="7"/>
  <c r="T1279" i="7" s="1"/>
  <c r="T1278" i="7"/>
  <c r="S1278" i="7"/>
  <c r="S1277" i="7"/>
  <c r="T1277" i="7" s="1"/>
  <c r="S1276" i="7"/>
  <c r="T1276" i="7" s="1"/>
  <c r="S1275" i="7"/>
  <c r="T1275" i="7" s="1"/>
  <c r="S1274" i="7"/>
  <c r="T1274" i="7" s="1"/>
  <c r="S1273" i="7"/>
  <c r="T1273" i="7" s="1"/>
  <c r="S1272" i="7"/>
  <c r="T1272" i="7" s="1"/>
  <c r="S1271" i="7"/>
  <c r="T1271" i="7" s="1"/>
  <c r="T1270" i="7"/>
  <c r="S1270" i="7"/>
  <c r="T1269" i="7"/>
  <c r="S1269" i="7"/>
  <c r="S1268" i="7"/>
  <c r="T1268" i="7" s="1"/>
  <c r="S1267" i="7"/>
  <c r="T1267" i="7" s="1"/>
  <c r="S1266" i="7"/>
  <c r="T1266" i="7" s="1"/>
  <c r="S1265" i="7"/>
  <c r="T1265" i="7" s="1"/>
  <c r="S1264" i="7"/>
  <c r="T1264" i="7" s="1"/>
  <c r="S1263" i="7"/>
  <c r="T1263" i="7" s="1"/>
  <c r="S1262" i="7"/>
  <c r="T1262" i="7" s="1"/>
  <c r="S1261" i="7"/>
  <c r="T1261" i="7" s="1"/>
  <c r="S1260" i="7"/>
  <c r="T1260" i="7" s="1"/>
  <c r="S1259" i="7"/>
  <c r="T1259" i="7" s="1"/>
  <c r="S1258" i="7"/>
  <c r="T1258" i="7" s="1"/>
  <c r="T1257" i="7"/>
  <c r="S1257" i="7"/>
  <c r="S1256" i="7"/>
  <c r="T1256" i="7" s="1"/>
  <c r="S1255" i="7"/>
  <c r="T1255" i="7" s="1"/>
  <c r="S1254" i="7"/>
  <c r="T1254" i="7" s="1"/>
  <c r="S1253" i="7"/>
  <c r="T1253" i="7" s="1"/>
  <c r="S1252" i="7"/>
  <c r="T1252" i="7" s="1"/>
  <c r="S1251" i="7"/>
  <c r="T1251" i="7" s="1"/>
  <c r="S1250" i="7"/>
  <c r="T1250" i="7" s="1"/>
  <c r="S1249" i="7"/>
  <c r="T1249" i="7" s="1"/>
  <c r="S1248" i="7"/>
  <c r="T1248" i="7" s="1"/>
  <c r="S1247" i="7"/>
  <c r="T1247" i="7" s="1"/>
  <c r="S1246" i="7"/>
  <c r="T1246" i="7" s="1"/>
  <c r="S1245" i="7"/>
  <c r="T1245" i="7" s="1"/>
  <c r="T1244" i="7"/>
  <c r="S1244" i="7"/>
  <c r="T1243" i="7"/>
  <c r="S1243" i="7"/>
  <c r="T1242" i="7"/>
  <c r="S1242" i="7"/>
  <c r="S1241" i="7"/>
  <c r="T1241" i="7" s="1"/>
  <c r="S1240" i="7"/>
  <c r="T1240" i="7" s="1"/>
  <c r="S1239" i="7"/>
  <c r="T1239" i="7" s="1"/>
  <c r="S1238" i="7"/>
  <c r="T1238" i="7" s="1"/>
  <c r="S1237" i="7"/>
  <c r="T1237" i="7" s="1"/>
  <c r="S1236" i="7"/>
  <c r="T1236" i="7" s="1"/>
  <c r="S1235" i="7"/>
  <c r="T1235" i="7" s="1"/>
  <c r="S1234" i="7"/>
  <c r="T1234" i="7" s="1"/>
  <c r="S1233" i="7"/>
  <c r="T1233" i="7" s="1"/>
  <c r="S1232" i="7"/>
  <c r="T1232" i="7" s="1"/>
  <c r="S1231" i="7"/>
  <c r="T1231" i="7" s="1"/>
  <c r="S1230" i="7"/>
  <c r="T1230" i="7" s="1"/>
  <c r="T1229" i="7"/>
  <c r="S1229" i="7"/>
  <c r="S1228" i="7"/>
  <c r="T1228" i="7" s="1"/>
  <c r="S1227" i="7"/>
  <c r="T1227" i="7" s="1"/>
  <c r="S1226" i="7"/>
  <c r="T1226" i="7" s="1"/>
  <c r="S1225" i="7"/>
  <c r="T1225" i="7" s="1"/>
  <c r="T1224" i="7"/>
  <c r="S1224" i="7"/>
  <c r="T1223" i="7"/>
  <c r="S1223" i="7"/>
  <c r="S1222" i="7"/>
  <c r="T1222" i="7" s="1"/>
  <c r="S1221" i="7"/>
  <c r="T1221" i="7" s="1"/>
  <c r="S1220" i="7"/>
  <c r="T1220" i="7" s="1"/>
  <c r="S1219" i="7"/>
  <c r="T1219" i="7" s="1"/>
  <c r="S1218" i="7"/>
  <c r="T1218" i="7" s="1"/>
  <c r="S1217" i="7"/>
  <c r="T1217" i="7" s="1"/>
  <c r="S1216" i="7"/>
  <c r="T1216" i="7" s="1"/>
  <c r="S1215" i="7"/>
  <c r="T1215" i="7" s="1"/>
  <c r="S1214" i="7"/>
  <c r="T1214" i="7" s="1"/>
  <c r="S1213" i="7"/>
  <c r="T1213" i="7" s="1"/>
  <c r="S1212" i="7"/>
  <c r="T1212" i="7" s="1"/>
  <c r="T1211" i="7"/>
  <c r="S1211" i="7"/>
  <c r="S1210" i="7"/>
  <c r="T1210" i="7" s="1"/>
  <c r="S1209" i="7"/>
  <c r="T1209" i="7" s="1"/>
  <c r="S1208" i="7"/>
  <c r="T1208" i="7" s="1"/>
  <c r="S1207" i="7"/>
  <c r="T1207" i="7" s="1"/>
  <c r="S1206" i="7"/>
  <c r="T1206" i="7" s="1"/>
  <c r="S1205" i="7"/>
  <c r="T1205" i="7" s="1"/>
  <c r="S1204" i="7"/>
  <c r="T1204" i="7" s="1"/>
  <c r="S1203" i="7"/>
  <c r="T1203" i="7" s="1"/>
  <c r="S1202" i="7"/>
  <c r="T1202" i="7" s="1"/>
  <c r="S1201" i="7"/>
  <c r="T1201" i="7" s="1"/>
  <c r="S1200" i="7"/>
  <c r="T1200" i="7" s="1"/>
  <c r="S1199" i="7"/>
  <c r="T1199" i="7" s="1"/>
  <c r="S1198" i="7"/>
  <c r="T1198" i="7" s="1"/>
  <c r="S1197" i="7"/>
  <c r="T1197" i="7" s="1"/>
  <c r="S1196" i="7"/>
  <c r="T1196" i="7" s="1"/>
  <c r="S1195" i="7"/>
  <c r="T1195" i="7" s="1"/>
  <c r="S1194" i="7"/>
  <c r="T1194" i="7" s="1"/>
  <c r="S1193" i="7"/>
  <c r="T1193" i="7" s="1"/>
  <c r="S1192" i="7"/>
  <c r="T1192" i="7" s="1"/>
  <c r="S1191" i="7"/>
  <c r="T1191" i="7" s="1"/>
  <c r="S1190" i="7"/>
  <c r="T1190" i="7" s="1"/>
  <c r="S1189" i="7"/>
  <c r="T1189" i="7" s="1"/>
  <c r="S1188" i="7"/>
  <c r="T1188" i="7" s="1"/>
  <c r="S1187" i="7"/>
  <c r="T1187" i="7" s="1"/>
  <c r="S1186" i="7"/>
  <c r="T1186" i="7" s="1"/>
  <c r="S1185" i="7"/>
  <c r="T1185" i="7" s="1"/>
  <c r="S1184" i="7"/>
  <c r="T1184" i="7" s="1"/>
  <c r="S1183" i="7"/>
  <c r="T1183" i="7" s="1"/>
  <c r="S1182" i="7"/>
  <c r="T1182" i="7" s="1"/>
  <c r="S1181" i="7"/>
  <c r="T1181" i="7" s="1"/>
  <c r="S1180" i="7"/>
  <c r="T1180" i="7" s="1"/>
  <c r="S1179" i="7"/>
  <c r="T1179" i="7" s="1"/>
  <c r="S1178" i="7"/>
  <c r="T1178" i="7" s="1"/>
  <c r="S1177" i="7"/>
  <c r="T1177" i="7" s="1"/>
  <c r="S1176" i="7"/>
  <c r="T1176" i="7" s="1"/>
  <c r="S1175" i="7"/>
  <c r="T1175" i="7" s="1"/>
  <c r="S1174" i="7"/>
  <c r="T1174" i="7" s="1"/>
  <c r="S1173" i="7"/>
  <c r="T1173" i="7" s="1"/>
  <c r="S1172" i="7"/>
  <c r="T1172" i="7" s="1"/>
  <c r="S1171" i="7"/>
  <c r="T1171" i="7" s="1"/>
  <c r="S1170" i="7"/>
  <c r="T1170" i="7" s="1"/>
  <c r="S1169" i="7"/>
  <c r="T1169" i="7" s="1"/>
  <c r="V1169" i="7" s="1"/>
  <c r="S1168" i="7"/>
  <c r="T1168" i="7" s="1"/>
  <c r="S1167" i="7"/>
  <c r="T1167" i="7" s="1"/>
  <c r="S1166" i="7"/>
  <c r="T1166" i="7" s="1"/>
  <c r="S1165" i="7"/>
  <c r="T1165" i="7" s="1"/>
  <c r="S1164" i="7"/>
  <c r="T1164" i="7" s="1"/>
  <c r="S1163" i="7"/>
  <c r="T1163" i="7" s="1"/>
  <c r="S1162" i="7"/>
  <c r="T1162" i="7" s="1"/>
  <c r="V1160" i="7" s="1"/>
  <c r="S1161" i="7"/>
  <c r="T1161" i="7" s="1"/>
  <c r="T1160" i="7"/>
  <c r="S1160" i="7"/>
  <c r="T1159" i="7"/>
  <c r="S1159" i="7"/>
  <c r="S1158" i="7"/>
  <c r="T1158" i="7" s="1"/>
  <c r="S1157" i="7"/>
  <c r="T1157" i="7" s="1"/>
  <c r="S1156" i="7"/>
  <c r="T1156" i="7" s="1"/>
  <c r="S1155" i="7"/>
  <c r="T1155" i="7" s="1"/>
  <c r="S1154" i="7"/>
  <c r="T1154" i="7" s="1"/>
  <c r="S1153" i="7"/>
  <c r="T1153" i="7" s="1"/>
  <c r="S1152" i="7"/>
  <c r="T1152" i="7" s="1"/>
  <c r="S1151" i="7"/>
  <c r="T1151" i="7" s="1"/>
  <c r="S1150" i="7"/>
  <c r="T1150" i="7" s="1"/>
  <c r="S1149" i="7"/>
  <c r="T1149" i="7" s="1"/>
  <c r="S1148" i="7"/>
  <c r="T1148" i="7" s="1"/>
  <c r="S1147" i="7"/>
  <c r="T1147" i="7" s="1"/>
  <c r="S1146" i="7"/>
  <c r="T1146" i="7" s="1"/>
  <c r="S1145" i="7"/>
  <c r="T1145" i="7" s="1"/>
  <c r="S1144" i="7"/>
  <c r="T1144" i="7" s="1"/>
  <c r="S1143" i="7"/>
  <c r="T1143" i="7" s="1"/>
  <c r="S1142" i="7"/>
  <c r="T1142" i="7" s="1"/>
  <c r="S1141" i="7"/>
  <c r="T1141" i="7" s="1"/>
  <c r="S1140" i="7"/>
  <c r="T1140" i="7" s="1"/>
  <c r="S1139" i="7"/>
  <c r="T1139" i="7" s="1"/>
  <c r="S1138" i="7"/>
  <c r="T1138" i="7" s="1"/>
  <c r="S1137" i="7"/>
  <c r="T1137" i="7" s="1"/>
  <c r="S1136" i="7"/>
  <c r="T1136" i="7" s="1"/>
  <c r="T1135" i="7"/>
  <c r="S1135" i="7"/>
  <c r="S1134" i="7"/>
  <c r="T1134" i="7" s="1"/>
  <c r="S1133" i="7"/>
  <c r="T1133" i="7" s="1"/>
  <c r="S1132" i="7"/>
  <c r="T1132" i="7" s="1"/>
  <c r="S1131" i="7"/>
  <c r="T1131" i="7" s="1"/>
  <c r="S1130" i="7"/>
  <c r="T1130" i="7" s="1"/>
  <c r="T1129" i="7"/>
  <c r="S1129" i="7"/>
  <c r="T1128" i="7"/>
  <c r="S1128" i="7"/>
  <c r="T1127" i="7"/>
  <c r="S1127" i="7"/>
  <c r="S1126" i="7"/>
  <c r="T1126" i="7" s="1"/>
  <c r="S1125" i="7"/>
  <c r="T1125" i="7" s="1"/>
  <c r="S1124" i="7"/>
  <c r="T1124" i="7" s="1"/>
  <c r="S1123" i="7"/>
  <c r="T1123" i="7" s="1"/>
  <c r="S1122" i="7"/>
  <c r="T1122" i="7" s="1"/>
  <c r="S1121" i="7"/>
  <c r="T1121" i="7" s="1"/>
  <c r="S1120" i="7"/>
  <c r="T1120" i="7" s="1"/>
  <c r="S1119" i="7"/>
  <c r="T1119" i="7" s="1"/>
  <c r="S1118" i="7"/>
  <c r="T1118" i="7" s="1"/>
  <c r="S1117" i="7"/>
  <c r="T1117" i="7" s="1"/>
  <c r="S1116" i="7"/>
  <c r="T1116" i="7" s="1"/>
  <c r="S1115" i="7"/>
  <c r="T1115" i="7" s="1"/>
  <c r="S1114" i="7"/>
  <c r="T1114" i="7" s="1"/>
  <c r="S1113" i="7"/>
  <c r="T1113" i="7" s="1"/>
  <c r="S1112" i="7"/>
  <c r="T1112" i="7" s="1"/>
  <c r="S1111" i="7"/>
  <c r="T1111" i="7" s="1"/>
  <c r="S1110" i="7"/>
  <c r="T1110" i="7" s="1"/>
  <c r="S1109" i="7"/>
  <c r="T1109" i="7" s="1"/>
  <c r="S1108" i="7"/>
  <c r="T1108" i="7" s="1"/>
  <c r="S1107" i="7"/>
  <c r="T1107" i="7" s="1"/>
  <c r="S1106" i="7"/>
  <c r="T1106" i="7" s="1"/>
  <c r="S1105" i="7"/>
  <c r="T1105" i="7" s="1"/>
  <c r="S1104" i="7"/>
  <c r="T1104" i="7" s="1"/>
  <c r="S1103" i="7"/>
  <c r="T1103" i="7" s="1"/>
  <c r="S1102" i="7"/>
  <c r="T1102" i="7" s="1"/>
  <c r="S1101" i="7"/>
  <c r="T1101" i="7" s="1"/>
  <c r="S1100" i="7"/>
  <c r="T1100" i="7" s="1"/>
  <c r="S1099" i="7"/>
  <c r="T1099" i="7" s="1"/>
  <c r="T1098" i="7"/>
  <c r="S1098" i="7"/>
  <c r="S1097" i="7"/>
  <c r="T1097" i="7" s="1"/>
  <c r="S1096" i="7"/>
  <c r="T1096" i="7" s="1"/>
  <c r="S1095" i="7"/>
  <c r="T1095" i="7" s="1"/>
  <c r="S1094" i="7"/>
  <c r="T1094" i="7" s="1"/>
  <c r="S1093" i="7"/>
  <c r="T1093" i="7" s="1"/>
  <c r="S1092" i="7"/>
  <c r="T1092" i="7" s="1"/>
  <c r="S1091" i="7"/>
  <c r="T1091" i="7" s="1"/>
  <c r="S1090" i="7"/>
  <c r="T1090" i="7" s="1"/>
  <c r="T1089" i="7"/>
  <c r="S1089" i="7"/>
  <c r="T1088" i="7"/>
  <c r="S1088" i="7"/>
  <c r="S1087" i="7"/>
  <c r="T1087" i="7" s="1"/>
  <c r="S1086" i="7"/>
  <c r="T1086" i="7" s="1"/>
  <c r="S1085" i="7"/>
  <c r="T1085" i="7" s="1"/>
  <c r="S1084" i="7"/>
  <c r="T1084" i="7" s="1"/>
  <c r="S1083" i="7"/>
  <c r="T1083" i="7" s="1"/>
  <c r="S1082" i="7"/>
  <c r="T1082" i="7" s="1"/>
  <c r="S1081" i="7"/>
  <c r="T1081" i="7" s="1"/>
  <c r="S1080" i="7"/>
  <c r="T1080" i="7" s="1"/>
  <c r="S1079" i="7"/>
  <c r="T1079" i="7" s="1"/>
  <c r="S1078" i="7"/>
  <c r="T1078" i="7" s="1"/>
  <c r="S1077" i="7"/>
  <c r="T1077" i="7" s="1"/>
  <c r="S1076" i="7"/>
  <c r="T1076" i="7" s="1"/>
  <c r="S1075" i="7"/>
  <c r="T1075" i="7" s="1"/>
  <c r="S1074" i="7"/>
  <c r="T1074" i="7" s="1"/>
  <c r="S1073" i="7"/>
  <c r="T1073" i="7" s="1"/>
  <c r="S1072" i="7"/>
  <c r="T1072" i="7" s="1"/>
  <c r="S1071" i="7"/>
  <c r="T1071" i="7" s="1"/>
  <c r="S1070" i="7"/>
  <c r="T1070" i="7" s="1"/>
  <c r="S1069" i="7"/>
  <c r="T1069" i="7" s="1"/>
  <c r="T1068" i="7"/>
  <c r="S1068" i="7"/>
  <c r="T1067" i="7"/>
  <c r="S1067" i="7"/>
  <c r="S1066" i="7"/>
  <c r="T1066" i="7" s="1"/>
  <c r="S1065" i="7"/>
  <c r="T1065" i="7" s="1"/>
  <c r="S1064" i="7"/>
  <c r="T1064" i="7" s="1"/>
  <c r="S1063" i="7"/>
  <c r="T1063" i="7" s="1"/>
  <c r="S1062" i="7"/>
  <c r="T1062" i="7" s="1"/>
  <c r="S1061" i="7"/>
  <c r="T1061" i="7" s="1"/>
  <c r="S1060" i="7"/>
  <c r="T1060" i="7" s="1"/>
  <c r="S1059" i="7"/>
  <c r="T1059" i="7" s="1"/>
  <c r="T1058" i="7"/>
  <c r="S1058" i="7"/>
  <c r="S1057" i="7"/>
  <c r="T1057" i="7" s="1"/>
  <c r="S1056" i="7"/>
  <c r="T1056" i="7" s="1"/>
  <c r="S1055" i="7"/>
  <c r="T1055" i="7" s="1"/>
  <c r="S1054" i="7"/>
  <c r="T1054" i="7" s="1"/>
  <c r="S1053" i="7"/>
  <c r="T1053" i="7" s="1"/>
  <c r="S1052" i="7"/>
  <c r="T1052" i="7" s="1"/>
  <c r="S1051" i="7"/>
  <c r="T1051" i="7" s="1"/>
  <c r="S1050" i="7"/>
  <c r="T1050" i="7" s="1"/>
  <c r="S1049" i="7"/>
  <c r="T1049" i="7" s="1"/>
  <c r="S1048" i="7"/>
  <c r="T1048" i="7" s="1"/>
  <c r="S1047" i="7"/>
  <c r="T1047" i="7" s="1"/>
  <c r="S1046" i="7"/>
  <c r="T1046" i="7" s="1"/>
  <c r="S1045" i="7"/>
  <c r="T1045" i="7" s="1"/>
  <c r="S1044" i="7"/>
  <c r="T1044" i="7" s="1"/>
  <c r="T1043" i="7"/>
  <c r="S1043" i="7"/>
  <c r="S1042" i="7"/>
  <c r="T1042" i="7" s="1"/>
  <c r="S1041" i="7"/>
  <c r="T1041" i="7" s="1"/>
  <c r="S1040" i="7"/>
  <c r="T1040" i="7" s="1"/>
  <c r="S1039" i="7"/>
  <c r="T1039" i="7" s="1"/>
  <c r="S1038" i="7"/>
  <c r="T1038" i="7" s="1"/>
  <c r="S1037" i="7"/>
  <c r="T1037" i="7" s="1"/>
  <c r="S1036" i="7"/>
  <c r="T1036" i="7" s="1"/>
  <c r="S1035" i="7"/>
  <c r="T1035" i="7" s="1"/>
  <c r="T1034" i="7"/>
  <c r="S1034" i="7"/>
  <c r="S1033" i="7"/>
  <c r="T1033" i="7" s="1"/>
  <c r="S1032" i="7"/>
  <c r="T1032" i="7" s="1"/>
  <c r="S1031" i="7"/>
  <c r="T1031" i="7" s="1"/>
  <c r="S1030" i="7"/>
  <c r="T1030" i="7" s="1"/>
  <c r="S1029" i="7"/>
  <c r="T1029" i="7" s="1"/>
  <c r="S1028" i="7"/>
  <c r="T1028" i="7" s="1"/>
  <c r="T1027" i="7"/>
  <c r="S1027" i="7"/>
  <c r="S1026" i="7"/>
  <c r="T1026" i="7" s="1"/>
  <c r="S1025" i="7"/>
  <c r="T1025" i="7" s="1"/>
  <c r="S1024" i="7"/>
  <c r="T1024" i="7" s="1"/>
  <c r="S1023" i="7"/>
  <c r="T1023" i="7" s="1"/>
  <c r="S1022" i="7"/>
  <c r="T1022" i="7" s="1"/>
  <c r="S1021" i="7"/>
  <c r="T1021" i="7" s="1"/>
  <c r="S1020" i="7"/>
  <c r="T1020" i="7" s="1"/>
  <c r="T1019" i="7"/>
  <c r="S1019" i="7"/>
  <c r="T1018" i="7"/>
  <c r="S1018" i="7"/>
  <c r="S1017" i="7"/>
  <c r="T1017" i="7" s="1"/>
  <c r="S1016" i="7"/>
  <c r="T1016" i="7" s="1"/>
  <c r="S1015" i="7"/>
  <c r="T1015" i="7" s="1"/>
  <c r="S1014" i="7"/>
  <c r="T1014" i="7" s="1"/>
  <c r="T1013" i="7"/>
  <c r="S1013" i="7"/>
  <c r="T1012" i="7"/>
  <c r="S1012" i="7"/>
  <c r="S1011" i="7"/>
  <c r="T1011" i="7" s="1"/>
  <c r="S1010" i="7"/>
  <c r="T1010" i="7" s="1"/>
  <c r="S1009" i="7"/>
  <c r="T1009" i="7" s="1"/>
  <c r="S1008" i="7"/>
  <c r="T1008" i="7" s="1"/>
  <c r="S1007" i="7"/>
  <c r="T1007" i="7" s="1"/>
  <c r="S1006" i="7"/>
  <c r="T1006" i="7" s="1"/>
  <c r="T1005" i="7"/>
  <c r="S1005" i="7"/>
  <c r="S1004" i="7"/>
  <c r="T1004" i="7" s="1"/>
  <c r="S1003" i="7"/>
  <c r="T1003" i="7" s="1"/>
  <c r="S1002" i="7"/>
  <c r="T1002" i="7" s="1"/>
  <c r="S1001" i="7"/>
  <c r="T1001" i="7" s="1"/>
  <c r="S1000" i="7"/>
  <c r="T1000" i="7" s="1"/>
  <c r="S999" i="7"/>
  <c r="T999" i="7" s="1"/>
  <c r="S998" i="7"/>
  <c r="T998" i="7" s="1"/>
  <c r="S997" i="7"/>
  <c r="T997" i="7" s="1"/>
  <c r="S996" i="7"/>
  <c r="T996" i="7" s="1"/>
  <c r="S995" i="7"/>
  <c r="T995" i="7" s="1"/>
  <c r="S994" i="7"/>
  <c r="T994" i="7" s="1"/>
  <c r="S993" i="7"/>
  <c r="T993" i="7" s="1"/>
  <c r="S992" i="7"/>
  <c r="T992" i="7" s="1"/>
  <c r="S991" i="7"/>
  <c r="T991" i="7" s="1"/>
  <c r="S990" i="7"/>
  <c r="T990" i="7" s="1"/>
  <c r="S989" i="7"/>
  <c r="T989" i="7" s="1"/>
  <c r="S988" i="7"/>
  <c r="T988" i="7" s="1"/>
  <c r="S987" i="7"/>
  <c r="T987" i="7" s="1"/>
  <c r="S986" i="7"/>
  <c r="T986" i="7" s="1"/>
  <c r="S985" i="7"/>
  <c r="T985" i="7" s="1"/>
  <c r="S984" i="7"/>
  <c r="T984" i="7" s="1"/>
  <c r="S983" i="7"/>
  <c r="T983" i="7" s="1"/>
  <c r="S982" i="7"/>
  <c r="T982" i="7" s="1"/>
  <c r="S981" i="7"/>
  <c r="T981" i="7" s="1"/>
  <c r="S980" i="7"/>
  <c r="T980" i="7" s="1"/>
  <c r="S979" i="7"/>
  <c r="T979" i="7" s="1"/>
  <c r="S978" i="7"/>
  <c r="T978" i="7" s="1"/>
  <c r="S977" i="7"/>
  <c r="T977" i="7" s="1"/>
  <c r="S976" i="7"/>
  <c r="T976" i="7" s="1"/>
  <c r="T975" i="7"/>
  <c r="S975" i="7"/>
  <c r="S974" i="7"/>
  <c r="T974" i="7" s="1"/>
  <c r="S973" i="7"/>
  <c r="T973" i="7" s="1"/>
  <c r="S972" i="7"/>
  <c r="T972" i="7" s="1"/>
  <c r="S971" i="7"/>
  <c r="T971" i="7" s="1"/>
  <c r="S970" i="7"/>
  <c r="T970" i="7" s="1"/>
  <c r="S969" i="7"/>
  <c r="T969" i="7" s="1"/>
  <c r="S968" i="7"/>
  <c r="T968" i="7" s="1"/>
  <c r="S967" i="7"/>
  <c r="T967" i="7" s="1"/>
  <c r="T966" i="7"/>
  <c r="S966" i="7"/>
  <c r="S965" i="7"/>
  <c r="T965" i="7" s="1"/>
  <c r="S964" i="7"/>
  <c r="T964" i="7" s="1"/>
  <c r="S963" i="7"/>
  <c r="T963" i="7" s="1"/>
  <c r="S962" i="7"/>
  <c r="T962" i="7" s="1"/>
  <c r="S961" i="7"/>
  <c r="T961" i="7" s="1"/>
  <c r="S960" i="7"/>
  <c r="T960" i="7" s="1"/>
  <c r="S959" i="7"/>
  <c r="T959" i="7" s="1"/>
  <c r="S958" i="7"/>
  <c r="T958" i="7" s="1"/>
  <c r="S957" i="7"/>
  <c r="T957" i="7" s="1"/>
  <c r="T956" i="7"/>
  <c r="S956" i="7"/>
  <c r="S955" i="7"/>
  <c r="T955" i="7" s="1"/>
  <c r="S954" i="7"/>
  <c r="T954" i="7" s="1"/>
  <c r="S953" i="7"/>
  <c r="T953" i="7" s="1"/>
  <c r="S952" i="7"/>
  <c r="T952" i="7" s="1"/>
  <c r="S951" i="7"/>
  <c r="T951" i="7" s="1"/>
  <c r="S950" i="7"/>
  <c r="T950" i="7" s="1"/>
  <c r="S949" i="7"/>
  <c r="T949" i="7" s="1"/>
  <c r="S948" i="7"/>
  <c r="T948" i="7" s="1"/>
  <c r="S947" i="7"/>
  <c r="T947" i="7" s="1"/>
  <c r="S946" i="7"/>
  <c r="T946" i="7" s="1"/>
  <c r="T945" i="7"/>
  <c r="S945" i="7"/>
  <c r="S944" i="7"/>
  <c r="T944" i="7" s="1"/>
  <c r="S943" i="7"/>
  <c r="T943" i="7" s="1"/>
  <c r="S942" i="7"/>
  <c r="T942" i="7" s="1"/>
  <c r="T941" i="7"/>
  <c r="S941" i="7"/>
  <c r="S940" i="7"/>
  <c r="T940" i="7" s="1"/>
  <c r="S939" i="7"/>
  <c r="T939" i="7" s="1"/>
  <c r="S938" i="7"/>
  <c r="T938" i="7" s="1"/>
  <c r="T937" i="7"/>
  <c r="S937" i="7"/>
  <c r="S936" i="7"/>
  <c r="T936" i="7" s="1"/>
  <c r="S935" i="7"/>
  <c r="T935" i="7" s="1"/>
  <c r="S934" i="7"/>
  <c r="T934" i="7" s="1"/>
  <c r="T933" i="7"/>
  <c r="S933" i="7"/>
  <c r="S932" i="7"/>
  <c r="T932" i="7" s="1"/>
  <c r="S931" i="7"/>
  <c r="T931" i="7" s="1"/>
  <c r="S930" i="7"/>
  <c r="T930" i="7" s="1"/>
  <c r="T929" i="7"/>
  <c r="S929" i="7"/>
  <c r="S928" i="7"/>
  <c r="T928" i="7" s="1"/>
  <c r="S927" i="7"/>
  <c r="T927" i="7" s="1"/>
  <c r="S926" i="7"/>
  <c r="T926" i="7" s="1"/>
  <c r="S925" i="7"/>
  <c r="T925" i="7" s="1"/>
  <c r="S924" i="7"/>
  <c r="T924" i="7" s="1"/>
  <c r="S923" i="7"/>
  <c r="T923" i="7" s="1"/>
  <c r="S922" i="7"/>
  <c r="T922" i="7" s="1"/>
  <c r="S921" i="7"/>
  <c r="T921" i="7" s="1"/>
  <c r="S920" i="7"/>
  <c r="T920" i="7" s="1"/>
  <c r="S919" i="7"/>
  <c r="T919" i="7" s="1"/>
  <c r="S918" i="7"/>
  <c r="T918" i="7" s="1"/>
  <c r="S917" i="7"/>
  <c r="T917" i="7" s="1"/>
  <c r="S916" i="7"/>
  <c r="T916" i="7" s="1"/>
  <c r="S915" i="7"/>
  <c r="T915" i="7" s="1"/>
  <c r="S914" i="7"/>
  <c r="T914" i="7" s="1"/>
  <c r="S913" i="7"/>
  <c r="T913" i="7" s="1"/>
  <c r="S912" i="7"/>
  <c r="T912" i="7" s="1"/>
  <c r="S911" i="7"/>
  <c r="T911" i="7" s="1"/>
  <c r="S910" i="7"/>
  <c r="T910" i="7" s="1"/>
  <c r="S909" i="7"/>
  <c r="T909" i="7" s="1"/>
  <c r="S908" i="7"/>
  <c r="T908" i="7" s="1"/>
  <c r="S907" i="7"/>
  <c r="T907" i="7" s="1"/>
  <c r="S906" i="7"/>
  <c r="T906" i="7" s="1"/>
  <c r="T905" i="7"/>
  <c r="S905" i="7"/>
  <c r="S904" i="7"/>
  <c r="T904" i="7" s="1"/>
  <c r="S903" i="7"/>
  <c r="T903" i="7" s="1"/>
  <c r="S902" i="7"/>
  <c r="T902" i="7" s="1"/>
  <c r="T901" i="7"/>
  <c r="S901" i="7"/>
  <c r="S900" i="7"/>
  <c r="T900" i="7" s="1"/>
  <c r="S899" i="7"/>
  <c r="T899" i="7" s="1"/>
  <c r="S898" i="7"/>
  <c r="T898" i="7" s="1"/>
  <c r="T897" i="7"/>
  <c r="S897" i="7"/>
  <c r="S896" i="7"/>
  <c r="T896" i="7" s="1"/>
  <c r="S895" i="7"/>
  <c r="T895" i="7" s="1"/>
  <c r="S894" i="7"/>
  <c r="T894" i="7" s="1"/>
  <c r="T893" i="7"/>
  <c r="S893" i="7"/>
  <c r="S892" i="7"/>
  <c r="T892" i="7" s="1"/>
  <c r="S891" i="7"/>
  <c r="T891" i="7" s="1"/>
  <c r="S890" i="7"/>
  <c r="T890" i="7" s="1"/>
  <c r="S889" i="7"/>
  <c r="T889" i="7" s="1"/>
  <c r="S888" i="7"/>
  <c r="T888" i="7" s="1"/>
  <c r="S887" i="7"/>
  <c r="T887" i="7" s="1"/>
  <c r="S886" i="7"/>
  <c r="T886" i="7" s="1"/>
  <c r="S885" i="7"/>
  <c r="T885" i="7" s="1"/>
  <c r="S884" i="7"/>
  <c r="T884" i="7" s="1"/>
  <c r="S883" i="7"/>
  <c r="T883" i="7" s="1"/>
  <c r="S882" i="7"/>
  <c r="T882" i="7" s="1"/>
  <c r="S881" i="7"/>
  <c r="T881" i="7" s="1"/>
  <c r="S880" i="7"/>
  <c r="T880" i="7" s="1"/>
  <c r="S879" i="7"/>
  <c r="T879" i="7" s="1"/>
  <c r="S878" i="7"/>
  <c r="T878" i="7" s="1"/>
  <c r="S877" i="7"/>
  <c r="T877" i="7" s="1"/>
  <c r="S876" i="7"/>
  <c r="T876" i="7" s="1"/>
  <c r="S875" i="7"/>
  <c r="T875" i="7" s="1"/>
  <c r="S874" i="7"/>
  <c r="T874" i="7" s="1"/>
  <c r="S873" i="7"/>
  <c r="T873" i="7" s="1"/>
  <c r="T872" i="7"/>
  <c r="S872" i="7"/>
  <c r="S871" i="7"/>
  <c r="T871" i="7" s="1"/>
  <c r="S870" i="7"/>
  <c r="T870" i="7" s="1"/>
  <c r="S869" i="7"/>
  <c r="T869" i="7" s="1"/>
  <c r="T868" i="7"/>
  <c r="S868" i="7"/>
  <c r="S867" i="7"/>
  <c r="T867" i="7" s="1"/>
  <c r="S866" i="7"/>
  <c r="T866" i="7" s="1"/>
  <c r="S865" i="7"/>
  <c r="T865" i="7" s="1"/>
  <c r="T864" i="7"/>
  <c r="S864" i="7"/>
  <c r="S863" i="7"/>
  <c r="T863" i="7" s="1"/>
  <c r="S862" i="7"/>
  <c r="T862" i="7" s="1"/>
  <c r="S861" i="7"/>
  <c r="T861" i="7" s="1"/>
  <c r="T860" i="7"/>
  <c r="S860" i="7"/>
  <c r="S859" i="7"/>
  <c r="T859" i="7" s="1"/>
  <c r="S858" i="7"/>
  <c r="T858" i="7" s="1"/>
  <c r="S857" i="7"/>
  <c r="T857" i="7" s="1"/>
  <c r="S856" i="7"/>
  <c r="T856" i="7" s="1"/>
  <c r="S855" i="7"/>
  <c r="T855" i="7" s="1"/>
  <c r="S854" i="7"/>
  <c r="T854" i="7" s="1"/>
  <c r="S853" i="7"/>
  <c r="T853" i="7" s="1"/>
  <c r="S852" i="7"/>
  <c r="T852" i="7" s="1"/>
  <c r="S851" i="7"/>
  <c r="T851" i="7" s="1"/>
  <c r="S850" i="7"/>
  <c r="T850" i="7" s="1"/>
  <c r="S849" i="7"/>
  <c r="T849" i="7" s="1"/>
  <c r="S848" i="7"/>
  <c r="T848" i="7" s="1"/>
  <c r="S847" i="7"/>
  <c r="T847" i="7" s="1"/>
  <c r="S846" i="7"/>
  <c r="T846" i="7" s="1"/>
  <c r="S845" i="7"/>
  <c r="T845" i="7" s="1"/>
  <c r="S844" i="7"/>
  <c r="T844" i="7" s="1"/>
  <c r="S843" i="7"/>
  <c r="T843" i="7" s="1"/>
  <c r="S842" i="7"/>
  <c r="T842" i="7" s="1"/>
  <c r="S841" i="7"/>
  <c r="T841" i="7" s="1"/>
  <c r="S840" i="7"/>
  <c r="T840" i="7" s="1"/>
  <c r="S839" i="7"/>
  <c r="T839" i="7" s="1"/>
  <c r="S838" i="7"/>
  <c r="T838" i="7" s="1"/>
  <c r="S837" i="7"/>
  <c r="T837" i="7" s="1"/>
  <c r="T836" i="7"/>
  <c r="S836" i="7"/>
  <c r="S835" i="7"/>
  <c r="T835" i="7" s="1"/>
  <c r="S834" i="7"/>
  <c r="T834" i="7" s="1"/>
  <c r="S833" i="7"/>
  <c r="T833" i="7" s="1"/>
  <c r="T832" i="7"/>
  <c r="S832" i="7"/>
  <c r="S831" i="7"/>
  <c r="T831" i="7" s="1"/>
  <c r="S830" i="7"/>
  <c r="T830" i="7" s="1"/>
  <c r="S829" i="7"/>
  <c r="T829" i="7" s="1"/>
  <c r="T828" i="7"/>
  <c r="S828" i="7"/>
  <c r="S827" i="7"/>
  <c r="T827" i="7" s="1"/>
  <c r="S826" i="7"/>
  <c r="T826" i="7" s="1"/>
  <c r="S825" i="7"/>
  <c r="T825" i="7" s="1"/>
  <c r="T824" i="7"/>
  <c r="S824" i="7"/>
  <c r="S823" i="7"/>
  <c r="T823" i="7" s="1"/>
  <c r="S822" i="7"/>
  <c r="T822" i="7" s="1"/>
  <c r="S821" i="7"/>
  <c r="T821" i="7" s="1"/>
  <c r="T820" i="7"/>
  <c r="S820" i="7"/>
  <c r="S819" i="7"/>
  <c r="T819" i="7" s="1"/>
  <c r="S818" i="7"/>
  <c r="T818" i="7" s="1"/>
  <c r="S817" i="7"/>
  <c r="T817" i="7" s="1"/>
  <c r="S816" i="7"/>
  <c r="T816" i="7" s="1"/>
  <c r="S815" i="7"/>
  <c r="T815" i="7" s="1"/>
  <c r="S814" i="7"/>
  <c r="T814" i="7" s="1"/>
  <c r="S813" i="7"/>
  <c r="T813" i="7" s="1"/>
  <c r="S812" i="7"/>
  <c r="T812" i="7" s="1"/>
  <c r="S811" i="7"/>
  <c r="T811" i="7" s="1"/>
  <c r="S810" i="7"/>
  <c r="T810" i="7" s="1"/>
  <c r="S809" i="7"/>
  <c r="T809" i="7" s="1"/>
  <c r="T808" i="7"/>
  <c r="V808" i="7" s="1"/>
  <c r="S808" i="7"/>
  <c r="T807" i="7"/>
  <c r="S807" i="7"/>
  <c r="S806" i="7"/>
  <c r="T806" i="7" s="1"/>
  <c r="S805" i="7"/>
  <c r="T805" i="7" s="1"/>
  <c r="T804" i="7"/>
  <c r="S804" i="7"/>
  <c r="T803" i="7"/>
  <c r="S803" i="7"/>
  <c r="S802" i="7"/>
  <c r="T802" i="7" s="1"/>
  <c r="S801" i="7"/>
  <c r="T801" i="7" s="1"/>
  <c r="T800" i="7"/>
  <c r="S800" i="7"/>
  <c r="T799" i="7"/>
  <c r="S799" i="7"/>
  <c r="S798" i="7"/>
  <c r="T798" i="7" s="1"/>
  <c r="S797" i="7"/>
  <c r="T797" i="7" s="1"/>
  <c r="T796" i="7"/>
  <c r="S796" i="7"/>
  <c r="S795" i="7"/>
  <c r="T795" i="7" s="1"/>
  <c r="S794" i="7"/>
  <c r="T794" i="7" s="1"/>
  <c r="S793" i="7"/>
  <c r="T793" i="7" s="1"/>
  <c r="S792" i="7"/>
  <c r="T792" i="7" s="1"/>
  <c r="S791" i="7"/>
  <c r="T791" i="7" s="1"/>
  <c r="S790" i="7"/>
  <c r="T790" i="7" s="1"/>
  <c r="S789" i="7"/>
  <c r="T789" i="7" s="1"/>
  <c r="S788" i="7"/>
  <c r="T788" i="7" s="1"/>
  <c r="T787" i="7"/>
  <c r="S787" i="7"/>
  <c r="S786" i="7"/>
  <c r="T786" i="7" s="1"/>
  <c r="S785" i="7"/>
  <c r="T785" i="7" s="1"/>
  <c r="T784" i="7"/>
  <c r="S784" i="7"/>
  <c r="T783" i="7"/>
  <c r="S783" i="7"/>
  <c r="S782" i="7"/>
  <c r="T782" i="7" s="1"/>
  <c r="S781" i="7"/>
  <c r="T781" i="7" s="1"/>
  <c r="T780" i="7"/>
  <c r="S780" i="7"/>
  <c r="T779" i="7"/>
  <c r="S779" i="7"/>
  <c r="S778" i="7"/>
  <c r="T778" i="7" s="1"/>
  <c r="S777" i="7"/>
  <c r="T777" i="7" s="1"/>
  <c r="T776" i="7"/>
  <c r="S776" i="7"/>
  <c r="T775" i="7"/>
  <c r="S775" i="7"/>
  <c r="S774" i="7"/>
  <c r="T774" i="7" s="1"/>
  <c r="S773" i="7"/>
  <c r="T773" i="7" s="1"/>
  <c r="T772" i="7"/>
  <c r="S772" i="7"/>
  <c r="T771" i="7"/>
  <c r="S771" i="7"/>
  <c r="S770" i="7"/>
  <c r="T770" i="7" s="1"/>
  <c r="S769" i="7"/>
  <c r="T769" i="7" s="1"/>
  <c r="T768" i="7"/>
  <c r="S768" i="7"/>
  <c r="T767" i="7"/>
  <c r="S767" i="7"/>
  <c r="S766" i="7"/>
  <c r="T766" i="7" s="1"/>
  <c r="S765" i="7"/>
  <c r="T765" i="7" s="1"/>
  <c r="S764" i="7"/>
  <c r="T764" i="7" s="1"/>
  <c r="S763" i="7"/>
  <c r="T763" i="7" s="1"/>
  <c r="S762" i="7"/>
  <c r="T762" i="7" s="1"/>
  <c r="S761" i="7"/>
  <c r="T761" i="7" s="1"/>
  <c r="S760" i="7"/>
  <c r="T760" i="7" s="1"/>
  <c r="S759" i="7"/>
  <c r="T759" i="7" s="1"/>
  <c r="S758" i="7"/>
  <c r="T758" i="7" s="1"/>
  <c r="S757" i="7"/>
  <c r="T757" i="7" s="1"/>
  <c r="S756" i="7"/>
  <c r="T756" i="7" s="1"/>
  <c r="S755" i="7"/>
  <c r="T755" i="7" s="1"/>
  <c r="S754" i="7"/>
  <c r="T754" i="7" s="1"/>
  <c r="S753" i="7"/>
  <c r="T753" i="7" s="1"/>
  <c r="S752" i="7"/>
  <c r="T752" i="7" s="1"/>
  <c r="S751" i="7"/>
  <c r="T751" i="7" s="1"/>
  <c r="S750" i="7"/>
  <c r="T750" i="7" s="1"/>
  <c r="S749" i="7"/>
  <c r="T749" i="7" s="1"/>
  <c r="S748" i="7"/>
  <c r="T748" i="7" s="1"/>
  <c r="S747" i="7"/>
  <c r="T747" i="7" s="1"/>
  <c r="S746" i="7"/>
  <c r="T746" i="7" s="1"/>
  <c r="S745" i="7"/>
  <c r="T745" i="7" s="1"/>
  <c r="T744" i="7"/>
  <c r="S744" i="7"/>
  <c r="S743" i="7"/>
  <c r="T743" i="7" s="1"/>
  <c r="S742" i="7"/>
  <c r="T742" i="7" s="1"/>
  <c r="T741" i="7"/>
  <c r="S741" i="7"/>
  <c r="T740" i="7"/>
  <c r="S740" i="7"/>
  <c r="S739" i="7"/>
  <c r="T739" i="7" s="1"/>
  <c r="S738" i="7"/>
  <c r="T738" i="7" s="1"/>
  <c r="T737" i="7"/>
  <c r="S737" i="7"/>
  <c r="T736" i="7"/>
  <c r="S736" i="7"/>
  <c r="S735" i="7"/>
  <c r="T735" i="7" s="1"/>
  <c r="S734" i="7"/>
  <c r="T734" i="7" s="1"/>
  <c r="T733" i="7"/>
  <c r="S733" i="7"/>
  <c r="T732" i="7"/>
  <c r="S732" i="7"/>
  <c r="S731" i="7"/>
  <c r="T731" i="7" s="1"/>
  <c r="S730" i="7"/>
  <c r="T730" i="7" s="1"/>
  <c r="T729" i="7"/>
  <c r="S729" i="7"/>
  <c r="T728" i="7"/>
  <c r="S728" i="7"/>
  <c r="S727" i="7"/>
  <c r="T727" i="7" s="1"/>
  <c r="S726" i="7"/>
  <c r="T726" i="7" s="1"/>
  <c r="T725" i="7"/>
  <c r="S725" i="7"/>
  <c r="T724" i="7"/>
  <c r="S724" i="7"/>
  <c r="S723" i="7"/>
  <c r="T723" i="7" s="1"/>
  <c r="S722" i="7"/>
  <c r="T722" i="7" s="1"/>
  <c r="T721" i="7"/>
  <c r="S721" i="7"/>
  <c r="S720" i="7"/>
  <c r="T720" i="7" s="1"/>
  <c r="S719" i="7"/>
  <c r="T719" i="7" s="1"/>
  <c r="S718" i="7"/>
  <c r="T718" i="7" s="1"/>
  <c r="S717" i="7"/>
  <c r="T717" i="7" s="1"/>
  <c r="S716" i="7"/>
  <c r="T716" i="7" s="1"/>
  <c r="S715" i="7"/>
  <c r="T715" i="7" s="1"/>
  <c r="S714" i="7"/>
  <c r="T714" i="7" s="1"/>
  <c r="S713" i="7"/>
  <c r="T713" i="7" s="1"/>
  <c r="T712" i="7"/>
  <c r="S712" i="7"/>
  <c r="S711" i="7"/>
  <c r="T711" i="7" s="1"/>
  <c r="S710" i="7"/>
  <c r="T710" i="7" s="1"/>
  <c r="S709" i="7"/>
  <c r="T709" i="7" s="1"/>
  <c r="S708" i="7"/>
  <c r="T708" i="7" s="1"/>
  <c r="S707" i="7"/>
  <c r="T707" i="7" s="1"/>
  <c r="S706" i="7"/>
  <c r="T706" i="7" s="1"/>
  <c r="S705" i="7"/>
  <c r="T705" i="7" s="1"/>
  <c r="S704" i="7"/>
  <c r="T704" i="7" s="1"/>
  <c r="S703" i="7"/>
  <c r="T703" i="7" s="1"/>
  <c r="S702" i="7"/>
  <c r="T702" i="7" s="1"/>
  <c r="S701" i="7"/>
  <c r="T701" i="7" s="1"/>
  <c r="S700" i="7"/>
  <c r="T700" i="7" s="1"/>
  <c r="S699" i="7"/>
  <c r="T699" i="7" s="1"/>
  <c r="S698" i="7"/>
  <c r="T698" i="7" s="1"/>
  <c r="S697" i="7"/>
  <c r="T697" i="7" s="1"/>
  <c r="S696" i="7"/>
  <c r="T696" i="7" s="1"/>
  <c r="S695" i="7"/>
  <c r="T695" i="7" s="1"/>
  <c r="S694" i="7"/>
  <c r="T694" i="7" s="1"/>
  <c r="S693" i="7"/>
  <c r="T693" i="7" s="1"/>
  <c r="S692" i="7"/>
  <c r="T692" i="7" s="1"/>
  <c r="S691" i="7"/>
  <c r="T691" i="7" s="1"/>
  <c r="S690" i="7"/>
  <c r="T690" i="7" s="1"/>
  <c r="S689" i="7"/>
  <c r="T689" i="7" s="1"/>
  <c r="S688" i="7"/>
  <c r="T688" i="7" s="1"/>
  <c r="S687" i="7"/>
  <c r="T687" i="7" s="1"/>
  <c r="S686" i="7"/>
  <c r="T686" i="7" s="1"/>
  <c r="S685" i="7"/>
  <c r="T685" i="7" s="1"/>
  <c r="S684" i="7"/>
  <c r="T684" i="7" s="1"/>
  <c r="S683" i="7"/>
  <c r="T683" i="7" s="1"/>
  <c r="S682" i="7"/>
  <c r="T682" i="7" s="1"/>
  <c r="S681" i="7"/>
  <c r="T681" i="7" s="1"/>
  <c r="S680" i="7"/>
  <c r="T680" i="7" s="1"/>
  <c r="S679" i="7"/>
  <c r="T679" i="7" s="1"/>
  <c r="S678" i="7"/>
  <c r="T678" i="7" s="1"/>
  <c r="S677" i="7"/>
  <c r="T677" i="7" s="1"/>
  <c r="S676" i="7"/>
  <c r="T676" i="7" s="1"/>
  <c r="S675" i="7"/>
  <c r="T675" i="7" s="1"/>
  <c r="S674" i="7"/>
  <c r="T674" i="7" s="1"/>
  <c r="S673" i="7"/>
  <c r="T673" i="7" s="1"/>
  <c r="S672" i="7"/>
  <c r="T672" i="7" s="1"/>
  <c r="S671" i="7"/>
  <c r="T671" i="7" s="1"/>
  <c r="S670" i="7"/>
  <c r="T670" i="7" s="1"/>
  <c r="S669" i="7"/>
  <c r="T669" i="7" s="1"/>
  <c r="S668" i="7"/>
  <c r="T668" i="7" s="1"/>
  <c r="S667" i="7"/>
  <c r="T667" i="7" s="1"/>
  <c r="S666" i="7"/>
  <c r="T666" i="7" s="1"/>
  <c r="S665" i="7"/>
  <c r="T665" i="7" s="1"/>
  <c r="S664" i="7"/>
  <c r="T664" i="7" s="1"/>
  <c r="S663" i="7"/>
  <c r="T663" i="7" s="1"/>
  <c r="S662" i="7"/>
  <c r="T662" i="7" s="1"/>
  <c r="S661" i="7"/>
  <c r="T661" i="7" s="1"/>
  <c r="S660" i="7"/>
  <c r="T660" i="7" s="1"/>
  <c r="S659" i="7"/>
  <c r="T659" i="7" s="1"/>
  <c r="S658" i="7"/>
  <c r="T658" i="7" s="1"/>
  <c r="T657" i="7"/>
  <c r="S657" i="7"/>
  <c r="S656" i="7"/>
  <c r="T656" i="7" s="1"/>
  <c r="S655" i="7"/>
  <c r="T655" i="7" s="1"/>
  <c r="T654" i="7"/>
  <c r="S654" i="7"/>
  <c r="S653" i="7"/>
  <c r="T653" i="7" s="1"/>
  <c r="S652" i="7"/>
  <c r="T652" i="7" s="1"/>
  <c r="S651" i="7"/>
  <c r="T651" i="7" s="1"/>
  <c r="T650" i="7"/>
  <c r="S650" i="7"/>
  <c r="S649" i="7"/>
  <c r="T649" i="7" s="1"/>
  <c r="S648" i="7"/>
  <c r="T648" i="7" s="1"/>
  <c r="S647" i="7"/>
  <c r="T647" i="7" s="1"/>
  <c r="T646" i="7"/>
  <c r="S646" i="7"/>
  <c r="S645" i="7"/>
  <c r="T645" i="7" s="1"/>
  <c r="S644" i="7"/>
  <c r="T644" i="7" s="1"/>
  <c r="S643" i="7"/>
  <c r="T643" i="7" s="1"/>
  <c r="S642" i="7"/>
  <c r="T642" i="7" s="1"/>
  <c r="S641" i="7"/>
  <c r="T641" i="7" s="1"/>
  <c r="S640" i="7"/>
  <c r="T640" i="7" s="1"/>
  <c r="S639" i="7"/>
  <c r="T639" i="7" s="1"/>
  <c r="S638" i="7"/>
  <c r="T638" i="7" s="1"/>
  <c r="S637" i="7"/>
  <c r="T637" i="7" s="1"/>
  <c r="S636" i="7"/>
  <c r="T636" i="7" s="1"/>
  <c r="S635" i="7"/>
  <c r="T635" i="7" s="1"/>
  <c r="S634" i="7"/>
  <c r="T634" i="7" s="1"/>
  <c r="S633" i="7"/>
  <c r="T633" i="7" s="1"/>
  <c r="S632" i="7"/>
  <c r="T632" i="7" s="1"/>
  <c r="S631" i="7"/>
  <c r="T631" i="7" s="1"/>
  <c r="S630" i="7"/>
  <c r="T630" i="7" s="1"/>
  <c r="S629" i="7"/>
  <c r="T629" i="7" s="1"/>
  <c r="S628" i="7"/>
  <c r="T628" i="7" s="1"/>
  <c r="S627" i="7"/>
  <c r="T627" i="7" s="1"/>
  <c r="S626" i="7"/>
  <c r="T626" i="7" s="1"/>
  <c r="S625" i="7"/>
  <c r="T625" i="7" s="1"/>
  <c r="S624" i="7"/>
  <c r="T624" i="7" s="1"/>
  <c r="S623" i="7"/>
  <c r="T623" i="7" s="1"/>
  <c r="S622" i="7"/>
  <c r="T622" i="7" s="1"/>
  <c r="S621" i="7"/>
  <c r="T621" i="7" s="1"/>
  <c r="S620" i="7"/>
  <c r="T620" i="7" s="1"/>
  <c r="S619" i="7"/>
  <c r="T619" i="7" s="1"/>
  <c r="S618" i="7"/>
  <c r="T618" i="7" s="1"/>
  <c r="S617" i="7"/>
  <c r="T617" i="7" s="1"/>
  <c r="S616" i="7"/>
  <c r="T616" i="7" s="1"/>
  <c r="S615" i="7"/>
  <c r="T615" i="7" s="1"/>
  <c r="T614" i="7"/>
  <c r="S614" i="7"/>
  <c r="S613" i="7"/>
  <c r="T613" i="7" s="1"/>
  <c r="S612" i="7"/>
  <c r="T612" i="7" s="1"/>
  <c r="S611" i="7"/>
  <c r="T611" i="7" s="1"/>
  <c r="S610" i="7"/>
  <c r="T610" i="7" s="1"/>
  <c r="S609" i="7"/>
  <c r="T609" i="7" s="1"/>
  <c r="S608" i="7"/>
  <c r="T608" i="7" s="1"/>
  <c r="S607" i="7"/>
  <c r="T607" i="7" s="1"/>
  <c r="S606" i="7"/>
  <c r="T606" i="7" s="1"/>
  <c r="S605" i="7"/>
  <c r="T605" i="7" s="1"/>
  <c r="S604" i="7"/>
  <c r="T604" i="7" s="1"/>
  <c r="S603" i="7"/>
  <c r="T603" i="7" s="1"/>
  <c r="S602" i="7"/>
  <c r="T602" i="7" s="1"/>
  <c r="S601" i="7"/>
  <c r="T601" i="7" s="1"/>
  <c r="S600" i="7"/>
  <c r="T600" i="7" s="1"/>
  <c r="T599" i="7"/>
  <c r="S599" i="7"/>
  <c r="S598" i="7"/>
  <c r="T598" i="7" s="1"/>
  <c r="S597" i="7"/>
  <c r="T597" i="7" s="1"/>
  <c r="S596" i="7"/>
  <c r="T596" i="7" s="1"/>
  <c r="T595" i="7"/>
  <c r="S595" i="7"/>
  <c r="T594" i="7"/>
  <c r="S594" i="7"/>
  <c r="S593" i="7"/>
  <c r="T593" i="7" s="1"/>
  <c r="S592" i="7"/>
  <c r="T592" i="7" s="1"/>
  <c r="S591" i="7"/>
  <c r="T591" i="7" s="1"/>
  <c r="S590" i="7"/>
  <c r="T590" i="7" s="1"/>
  <c r="S589" i="7"/>
  <c r="T589" i="7" s="1"/>
  <c r="S588" i="7"/>
  <c r="T588" i="7" s="1"/>
  <c r="S587" i="7"/>
  <c r="T587" i="7" s="1"/>
  <c r="T586" i="7"/>
  <c r="S586" i="7"/>
  <c r="S585" i="7"/>
  <c r="T585" i="7" s="1"/>
  <c r="S584" i="7"/>
  <c r="T584" i="7" s="1"/>
  <c r="S583" i="7"/>
  <c r="T583" i="7" s="1"/>
  <c r="T582" i="7"/>
  <c r="S582" i="7"/>
  <c r="S581" i="7"/>
  <c r="T581" i="7" s="1"/>
  <c r="S580" i="7"/>
  <c r="T580" i="7" s="1"/>
  <c r="S579" i="7"/>
  <c r="T579" i="7" s="1"/>
  <c r="S578" i="7"/>
  <c r="T578" i="7" s="1"/>
  <c r="S577" i="7"/>
  <c r="T577" i="7" s="1"/>
  <c r="S576" i="7"/>
  <c r="T576" i="7" s="1"/>
  <c r="S575" i="7"/>
  <c r="T575" i="7" s="1"/>
  <c r="S574" i="7"/>
  <c r="T574" i="7" s="1"/>
  <c r="T573" i="7"/>
  <c r="S573" i="7"/>
  <c r="S572" i="7"/>
  <c r="T572" i="7" s="1"/>
  <c r="S571" i="7"/>
  <c r="T571" i="7" s="1"/>
  <c r="S570" i="7"/>
  <c r="T570" i="7" s="1"/>
  <c r="T569" i="7"/>
  <c r="S569" i="7"/>
  <c r="S568" i="7"/>
  <c r="T568" i="7" s="1"/>
  <c r="S567" i="7"/>
  <c r="T567" i="7" s="1"/>
  <c r="S566" i="7"/>
  <c r="T566" i="7" s="1"/>
  <c r="S565" i="7"/>
  <c r="T565" i="7" s="1"/>
  <c r="S564" i="7"/>
  <c r="T564" i="7" s="1"/>
  <c r="S563" i="7"/>
  <c r="T563" i="7" s="1"/>
  <c r="S562" i="7"/>
  <c r="T562" i="7" s="1"/>
  <c r="S561" i="7"/>
  <c r="T561" i="7" s="1"/>
  <c r="T560" i="7"/>
  <c r="S560" i="7"/>
  <c r="S559" i="7"/>
  <c r="T559" i="7" s="1"/>
  <c r="S558" i="7"/>
  <c r="T558" i="7" s="1"/>
  <c r="S557" i="7"/>
  <c r="T557" i="7" s="1"/>
  <c r="T556" i="7"/>
  <c r="S556" i="7"/>
  <c r="S555" i="7"/>
  <c r="T555" i="7" s="1"/>
  <c r="S554" i="7"/>
  <c r="T554" i="7" s="1"/>
  <c r="S553" i="7"/>
  <c r="T553" i="7" s="1"/>
  <c r="S552" i="7"/>
  <c r="T552" i="7" s="1"/>
  <c r="S551" i="7"/>
  <c r="T551" i="7" s="1"/>
  <c r="S550" i="7"/>
  <c r="T550" i="7" s="1"/>
  <c r="S549" i="7"/>
  <c r="T549" i="7" s="1"/>
  <c r="S548" i="7"/>
  <c r="T548" i="7" s="1"/>
  <c r="T547" i="7"/>
  <c r="S547" i="7"/>
  <c r="S546" i="7"/>
  <c r="T546" i="7" s="1"/>
  <c r="S545" i="7"/>
  <c r="T545" i="7" s="1"/>
  <c r="T544" i="7"/>
  <c r="S544" i="7"/>
  <c r="S543" i="7"/>
  <c r="T543" i="7" s="1"/>
  <c r="S542" i="7"/>
  <c r="T542" i="7" s="1"/>
  <c r="S541" i="7"/>
  <c r="T541" i="7" s="1"/>
  <c r="S540" i="7"/>
  <c r="T540" i="7" s="1"/>
  <c r="S539" i="7"/>
  <c r="T539" i="7" s="1"/>
  <c r="S538" i="7"/>
  <c r="T538" i="7" s="1"/>
  <c r="S537" i="7"/>
  <c r="T537" i="7" s="1"/>
  <c r="S536" i="7"/>
  <c r="T536" i="7" s="1"/>
  <c r="S535" i="7"/>
  <c r="T535" i="7" s="1"/>
  <c r="T534" i="7"/>
  <c r="S534" i="7"/>
  <c r="S533" i="7"/>
  <c r="T533" i="7" s="1"/>
  <c r="S532" i="7"/>
  <c r="T532" i="7" s="1"/>
  <c r="S531" i="7"/>
  <c r="T531" i="7" s="1"/>
  <c r="S530" i="7"/>
  <c r="T530" i="7" s="1"/>
  <c r="S529" i="7"/>
  <c r="T529" i="7" s="1"/>
  <c r="S528" i="7"/>
  <c r="T528" i="7" s="1"/>
  <c r="S527" i="7"/>
  <c r="T527" i="7" s="1"/>
  <c r="S526" i="7"/>
  <c r="T526" i="7" s="1"/>
  <c r="T525" i="7"/>
  <c r="S525" i="7"/>
  <c r="S524" i="7"/>
  <c r="T524" i="7" s="1"/>
  <c r="S523" i="7"/>
  <c r="T523" i="7" s="1"/>
  <c r="T522" i="7"/>
  <c r="S522" i="7"/>
  <c r="S521" i="7"/>
  <c r="T521" i="7" s="1"/>
  <c r="S520" i="7"/>
  <c r="T520" i="7" s="1"/>
  <c r="S519" i="7"/>
  <c r="T519" i="7" s="1"/>
  <c r="T518" i="7"/>
  <c r="S518" i="7"/>
  <c r="S517" i="7"/>
  <c r="T517" i="7" s="1"/>
  <c r="S516" i="7"/>
  <c r="T516" i="7" s="1"/>
  <c r="S515" i="7"/>
  <c r="T515" i="7" s="1"/>
  <c r="T514" i="7"/>
  <c r="S514" i="7"/>
  <c r="S513" i="7"/>
  <c r="T513" i="7" s="1"/>
  <c r="S512" i="7"/>
  <c r="T512" i="7" s="1"/>
  <c r="S511" i="7"/>
  <c r="T511" i="7" s="1"/>
  <c r="S510" i="7"/>
  <c r="T510" i="7" s="1"/>
  <c r="S509" i="7"/>
  <c r="T509" i="7" s="1"/>
  <c r="S508" i="7"/>
  <c r="T508" i="7" s="1"/>
  <c r="S507" i="7"/>
  <c r="T507" i="7" s="1"/>
  <c r="S506" i="7"/>
  <c r="T506" i="7" s="1"/>
  <c r="S505" i="7"/>
  <c r="T505" i="7" s="1"/>
  <c r="S504" i="7"/>
  <c r="T504" i="7" s="1"/>
  <c r="S503" i="7"/>
  <c r="T503" i="7" s="1"/>
  <c r="S502" i="7"/>
  <c r="T502" i="7" s="1"/>
  <c r="S501" i="7"/>
  <c r="T501" i="7" s="1"/>
  <c r="S500" i="7"/>
  <c r="T500" i="7" s="1"/>
  <c r="S499" i="7"/>
  <c r="T499" i="7" s="1"/>
  <c r="S498" i="7"/>
  <c r="T498" i="7" s="1"/>
  <c r="S497" i="7"/>
  <c r="T497" i="7" s="1"/>
  <c r="S496" i="7"/>
  <c r="T496" i="7" s="1"/>
  <c r="T495" i="7"/>
  <c r="S495" i="7"/>
  <c r="S494" i="7"/>
  <c r="T494" i="7" s="1"/>
  <c r="S493" i="7"/>
  <c r="T493" i="7" s="1"/>
  <c r="T492" i="7"/>
  <c r="S492" i="7"/>
  <c r="S491" i="7"/>
  <c r="T491" i="7" s="1"/>
  <c r="S490" i="7"/>
  <c r="T490" i="7" s="1"/>
  <c r="S489" i="7"/>
  <c r="T489" i="7" s="1"/>
  <c r="S488" i="7"/>
  <c r="T488" i="7" s="1"/>
  <c r="T487" i="7"/>
  <c r="S487" i="7"/>
  <c r="S486" i="7"/>
  <c r="T486" i="7" s="1"/>
  <c r="S485" i="7"/>
  <c r="T485" i="7" s="1"/>
  <c r="S484" i="7"/>
  <c r="T484" i="7" s="1"/>
  <c r="T483" i="7"/>
  <c r="S483" i="7"/>
  <c r="S482" i="7"/>
  <c r="T482" i="7" s="1"/>
  <c r="S481" i="7"/>
  <c r="T481" i="7" s="1"/>
  <c r="S480" i="7"/>
  <c r="T480" i="7" s="1"/>
  <c r="T479" i="7"/>
  <c r="S479" i="7"/>
  <c r="S478" i="7"/>
  <c r="T478" i="7" s="1"/>
  <c r="S477" i="7"/>
  <c r="T477" i="7" s="1"/>
  <c r="S476" i="7"/>
  <c r="T476" i="7" s="1"/>
  <c r="S475" i="7"/>
  <c r="T475" i="7" s="1"/>
  <c r="S474" i="7"/>
  <c r="T474" i="7" s="1"/>
  <c r="S473" i="7"/>
  <c r="T473" i="7" s="1"/>
  <c r="S472" i="7"/>
  <c r="T472" i="7" s="1"/>
  <c r="S471" i="7"/>
  <c r="T471" i="7" s="1"/>
  <c r="S470" i="7"/>
  <c r="T470" i="7" s="1"/>
  <c r="T469" i="7"/>
  <c r="S469" i="7"/>
  <c r="T468" i="7"/>
  <c r="S468" i="7"/>
  <c r="S467" i="7"/>
  <c r="T467" i="7" s="1"/>
  <c r="S466" i="7"/>
  <c r="T466" i="7" s="1"/>
  <c r="T465" i="7"/>
  <c r="S465" i="7"/>
  <c r="T464" i="7"/>
  <c r="S464" i="7"/>
  <c r="S463" i="7"/>
  <c r="T463" i="7" s="1"/>
  <c r="S462" i="7"/>
  <c r="T462" i="7" s="1"/>
  <c r="T461" i="7"/>
  <c r="S461" i="7"/>
  <c r="T460" i="7"/>
  <c r="S460" i="7"/>
  <c r="S459" i="7"/>
  <c r="T459" i="7" s="1"/>
  <c r="S458" i="7"/>
  <c r="T458" i="7" s="1"/>
  <c r="S457" i="7"/>
  <c r="T457" i="7" s="1"/>
  <c r="S456" i="7"/>
  <c r="T456" i="7" s="1"/>
  <c r="S455" i="7"/>
  <c r="T455" i="7" s="1"/>
  <c r="S454" i="7"/>
  <c r="T454" i="7" s="1"/>
  <c r="S453" i="7"/>
  <c r="T453" i="7" s="1"/>
  <c r="S452" i="7"/>
  <c r="T452" i="7" s="1"/>
  <c r="S451" i="7"/>
  <c r="T451" i="7" s="1"/>
  <c r="S450" i="7"/>
  <c r="T450" i="7" s="1"/>
  <c r="S449" i="7"/>
  <c r="T449" i="7" s="1"/>
  <c r="S448" i="7"/>
  <c r="T448" i="7" s="1"/>
  <c r="S447" i="7"/>
  <c r="T447" i="7" s="1"/>
  <c r="S446" i="7"/>
  <c r="T446" i="7" s="1"/>
  <c r="S445" i="7"/>
  <c r="T445" i="7" s="1"/>
  <c r="S444" i="7"/>
  <c r="T444" i="7" s="1"/>
  <c r="S443" i="7"/>
  <c r="T443" i="7" s="1"/>
  <c r="S442" i="7"/>
  <c r="T442" i="7" s="1"/>
  <c r="S441" i="7"/>
  <c r="T441" i="7" s="1"/>
  <c r="T440" i="7"/>
  <c r="S440" i="7"/>
  <c r="S439" i="7"/>
  <c r="T439" i="7" s="1"/>
  <c r="S438" i="7"/>
  <c r="T438" i="7" s="1"/>
  <c r="S437" i="7"/>
  <c r="T437" i="7" s="1"/>
  <c r="S436" i="7"/>
  <c r="T436" i="7" s="1"/>
  <c r="S435" i="7"/>
  <c r="T435" i="7" s="1"/>
  <c r="S434" i="7"/>
  <c r="T434" i="7" s="1"/>
  <c r="S433" i="7"/>
  <c r="T433" i="7" s="1"/>
  <c r="S432" i="7"/>
  <c r="T432" i="7" s="1"/>
  <c r="S431" i="7"/>
  <c r="T431" i="7" s="1"/>
  <c r="S430" i="7"/>
  <c r="T430" i="7" s="1"/>
  <c r="T429" i="7"/>
  <c r="S429" i="7"/>
  <c r="T428" i="7"/>
  <c r="S428" i="7"/>
  <c r="S427" i="7"/>
  <c r="T427" i="7" s="1"/>
  <c r="S426" i="7"/>
  <c r="T426" i="7" s="1"/>
  <c r="S425" i="7"/>
  <c r="T425" i="7" s="1"/>
  <c r="S424" i="7"/>
  <c r="T424" i="7" s="1"/>
  <c r="S423" i="7"/>
  <c r="T423" i="7" s="1"/>
  <c r="S422" i="7"/>
  <c r="T422" i="7" s="1"/>
  <c r="S421" i="7"/>
  <c r="T421" i="7" s="1"/>
  <c r="S420" i="7"/>
  <c r="T420" i="7" s="1"/>
  <c r="S419" i="7"/>
  <c r="T419" i="7" s="1"/>
  <c r="S418" i="7"/>
  <c r="T418" i="7" s="1"/>
  <c r="S417" i="7"/>
  <c r="T417" i="7" s="1"/>
  <c r="S416" i="7"/>
  <c r="T416" i="7" s="1"/>
  <c r="S415" i="7"/>
  <c r="T415" i="7" s="1"/>
  <c r="S414" i="7"/>
  <c r="T414" i="7" s="1"/>
  <c r="S413" i="7"/>
  <c r="T413" i="7" s="1"/>
  <c r="S412" i="7"/>
  <c r="T412" i="7" s="1"/>
  <c r="T411" i="7"/>
  <c r="S411" i="7"/>
  <c r="T410" i="7"/>
  <c r="S410" i="7"/>
  <c r="S409" i="7"/>
  <c r="T409" i="7" s="1"/>
  <c r="S408" i="7"/>
  <c r="T408" i="7" s="1"/>
  <c r="T407" i="7"/>
  <c r="S407" i="7"/>
  <c r="T406" i="7"/>
  <c r="S406" i="7"/>
  <c r="S405" i="7"/>
  <c r="T405" i="7" s="1"/>
  <c r="S404" i="7"/>
  <c r="T404" i="7" s="1"/>
  <c r="S403" i="7"/>
  <c r="T403" i="7" s="1"/>
  <c r="S402" i="7"/>
  <c r="T402" i="7" s="1"/>
  <c r="S401" i="7"/>
  <c r="T401" i="7" s="1"/>
  <c r="S400" i="7"/>
  <c r="T400" i="7" s="1"/>
  <c r="S399" i="7"/>
  <c r="T399" i="7" s="1"/>
  <c r="S398" i="7"/>
  <c r="T398" i="7" s="1"/>
  <c r="S397" i="7"/>
  <c r="T397" i="7" s="1"/>
  <c r="S396" i="7"/>
  <c r="T396" i="7" s="1"/>
  <c r="S395" i="7"/>
  <c r="T395" i="7" s="1"/>
  <c r="S394" i="7"/>
  <c r="T394" i="7" s="1"/>
  <c r="S393" i="7"/>
  <c r="T393" i="7" s="1"/>
  <c r="T392" i="7"/>
  <c r="S392" i="7"/>
  <c r="S391" i="7"/>
  <c r="T391" i="7" s="1"/>
  <c r="S390" i="7"/>
  <c r="T390" i="7" s="1"/>
  <c r="S389" i="7"/>
  <c r="T389" i="7" s="1"/>
  <c r="T388" i="7"/>
  <c r="S388" i="7"/>
  <c r="S387" i="7"/>
  <c r="T387" i="7" s="1"/>
  <c r="S386" i="7"/>
  <c r="T386" i="7" s="1"/>
  <c r="S385" i="7"/>
  <c r="T385" i="7" s="1"/>
  <c r="T384" i="7"/>
  <c r="S384" i="7"/>
  <c r="S383" i="7"/>
  <c r="T383" i="7" s="1"/>
  <c r="S382" i="7"/>
  <c r="T382" i="7" s="1"/>
  <c r="S381" i="7"/>
  <c r="T381" i="7" s="1"/>
  <c r="S380" i="7"/>
  <c r="T380" i="7" s="1"/>
  <c r="S379" i="7"/>
  <c r="T379" i="7" s="1"/>
  <c r="S378" i="7"/>
  <c r="T378" i="7" s="1"/>
  <c r="S377" i="7"/>
  <c r="T377" i="7" s="1"/>
  <c r="S376" i="7"/>
  <c r="T376" i="7" s="1"/>
  <c r="S375" i="7"/>
  <c r="T375" i="7" s="1"/>
  <c r="S374" i="7"/>
  <c r="T374" i="7" s="1"/>
  <c r="S373" i="7"/>
  <c r="T373" i="7" s="1"/>
  <c r="S372" i="7"/>
  <c r="T372" i="7" s="1"/>
  <c r="S371" i="7"/>
  <c r="T371" i="7" s="1"/>
  <c r="T370" i="7"/>
  <c r="S370" i="7"/>
  <c r="T369" i="7"/>
  <c r="S369" i="7"/>
  <c r="S368" i="7"/>
  <c r="T368" i="7" s="1"/>
  <c r="S367" i="7"/>
  <c r="T367" i="7" s="1"/>
  <c r="T366" i="7"/>
  <c r="S366" i="7"/>
  <c r="T365" i="7"/>
  <c r="S365" i="7"/>
  <c r="S364" i="7"/>
  <c r="T364" i="7" s="1"/>
  <c r="S363" i="7"/>
  <c r="T363" i="7" s="1"/>
  <c r="S362" i="7"/>
  <c r="T362" i="7" s="1"/>
  <c r="S361" i="7"/>
  <c r="T361" i="7" s="1"/>
  <c r="S360" i="7"/>
  <c r="T360" i="7" s="1"/>
  <c r="S359" i="7"/>
  <c r="T359" i="7" s="1"/>
  <c r="S358" i="7"/>
  <c r="T358" i="7" s="1"/>
  <c r="S357" i="7"/>
  <c r="T357" i="7" s="1"/>
  <c r="S356" i="7"/>
  <c r="T356" i="7" s="1"/>
  <c r="S355" i="7"/>
  <c r="T355" i="7" s="1"/>
  <c r="S354" i="7"/>
  <c r="T354" i="7" s="1"/>
  <c r="S353" i="7"/>
  <c r="T353" i="7" s="1"/>
  <c r="S352" i="7"/>
  <c r="T352" i="7" s="1"/>
  <c r="S351" i="7"/>
  <c r="T351" i="7" s="1"/>
  <c r="S350" i="7"/>
  <c r="T350" i="7" s="1"/>
  <c r="S349" i="7"/>
  <c r="T349" i="7" s="1"/>
  <c r="S348" i="7"/>
  <c r="T348" i="7" s="1"/>
  <c r="S347" i="7"/>
  <c r="T347" i="7" s="1"/>
  <c r="S346" i="7"/>
  <c r="T346" i="7" s="1"/>
  <c r="S345" i="7"/>
  <c r="T345" i="7" s="1"/>
  <c r="S344" i="7"/>
  <c r="T344" i="7" s="1"/>
  <c r="S343" i="7"/>
  <c r="T343" i="7" s="1"/>
  <c r="S342" i="7"/>
  <c r="T342" i="7" s="1"/>
  <c r="S341" i="7"/>
  <c r="T341" i="7" s="1"/>
  <c r="S340" i="7"/>
  <c r="T340" i="7" s="1"/>
  <c r="S339" i="7"/>
  <c r="T339" i="7" s="1"/>
  <c r="S338" i="7"/>
  <c r="T338" i="7" s="1"/>
  <c r="S337" i="7"/>
  <c r="T337" i="7" s="1"/>
  <c r="S336" i="7"/>
  <c r="T336" i="7" s="1"/>
  <c r="S335" i="7"/>
  <c r="T335" i="7" s="1"/>
  <c r="S334" i="7"/>
  <c r="T334" i="7" s="1"/>
  <c r="S333" i="7"/>
  <c r="T333" i="7" s="1"/>
  <c r="S332" i="7"/>
  <c r="T332" i="7" s="1"/>
  <c r="S331" i="7"/>
  <c r="T331" i="7" s="1"/>
  <c r="S330" i="7"/>
  <c r="T330" i="7" s="1"/>
  <c r="S329" i="7"/>
  <c r="T329" i="7" s="1"/>
  <c r="S328" i="7"/>
  <c r="T328" i="7" s="1"/>
  <c r="S327" i="7"/>
  <c r="T327" i="7" s="1"/>
  <c r="S326" i="7"/>
  <c r="T326" i="7" s="1"/>
  <c r="S325" i="7"/>
  <c r="T325" i="7" s="1"/>
  <c r="S324" i="7"/>
  <c r="T324" i="7" s="1"/>
  <c r="S323" i="7"/>
  <c r="T323" i="7" s="1"/>
  <c r="S322" i="7"/>
  <c r="T322" i="7" s="1"/>
  <c r="S321" i="7"/>
  <c r="T321" i="7" s="1"/>
  <c r="S320" i="7"/>
  <c r="T320" i="7" s="1"/>
  <c r="S319" i="7"/>
  <c r="T319" i="7" s="1"/>
  <c r="S318" i="7"/>
  <c r="T318" i="7" s="1"/>
  <c r="S317" i="7"/>
  <c r="T317" i="7" s="1"/>
  <c r="S316" i="7"/>
  <c r="T316" i="7" s="1"/>
  <c r="S315" i="7"/>
  <c r="T315" i="7" s="1"/>
  <c r="S314" i="7"/>
  <c r="T314" i="7" s="1"/>
  <c r="S313" i="7"/>
  <c r="T313" i="7" s="1"/>
  <c r="S312" i="7"/>
  <c r="T312" i="7" s="1"/>
  <c r="S311" i="7"/>
  <c r="T311" i="7" s="1"/>
  <c r="S310" i="7"/>
  <c r="T310" i="7" s="1"/>
  <c r="T309" i="7"/>
  <c r="S309" i="7"/>
  <c r="S308" i="7"/>
  <c r="T308" i="7" s="1"/>
  <c r="S307" i="7"/>
  <c r="T307" i="7" s="1"/>
  <c r="S306" i="7"/>
  <c r="T306" i="7" s="1"/>
  <c r="T305" i="7"/>
  <c r="S305" i="7"/>
  <c r="S304" i="7"/>
  <c r="T304" i="7" s="1"/>
  <c r="S303" i="7"/>
  <c r="T303" i="7" s="1"/>
  <c r="S302" i="7"/>
  <c r="T302" i="7" s="1"/>
  <c r="T301" i="7"/>
  <c r="S301" i="7"/>
  <c r="S300" i="7"/>
  <c r="T300" i="7" s="1"/>
  <c r="S299" i="7"/>
  <c r="T299" i="7" s="1"/>
  <c r="S298" i="7"/>
  <c r="T298" i="7" s="1"/>
  <c r="S297" i="7"/>
  <c r="T297" i="7" s="1"/>
  <c r="S296" i="7"/>
  <c r="T296" i="7" s="1"/>
  <c r="S295" i="7"/>
  <c r="T295" i="7" s="1"/>
  <c r="S294" i="7"/>
  <c r="T294" i="7" s="1"/>
  <c r="S293" i="7"/>
  <c r="T293" i="7" s="1"/>
  <c r="S292" i="7"/>
  <c r="T292" i="7" s="1"/>
  <c r="S291" i="7"/>
  <c r="T291" i="7" s="1"/>
  <c r="S290" i="7"/>
  <c r="T290" i="7" s="1"/>
  <c r="S289" i="7"/>
  <c r="T289" i="7" s="1"/>
  <c r="S288" i="7"/>
  <c r="T288" i="7" s="1"/>
  <c r="S287" i="7"/>
  <c r="T287" i="7" s="1"/>
  <c r="S286" i="7"/>
  <c r="T286" i="7" s="1"/>
  <c r="S285" i="7"/>
  <c r="T285" i="7" s="1"/>
  <c r="S284" i="7"/>
  <c r="T284" i="7" s="1"/>
  <c r="S283" i="7"/>
  <c r="T283" i="7" s="1"/>
  <c r="S282" i="7"/>
  <c r="T282" i="7" s="1"/>
  <c r="S281" i="7"/>
  <c r="T281" i="7" s="1"/>
  <c r="T280" i="7"/>
  <c r="S280" i="7"/>
  <c r="S279" i="7"/>
  <c r="T279" i="7" s="1"/>
  <c r="S278" i="7"/>
  <c r="T278" i="7" s="1"/>
  <c r="S277" i="7"/>
  <c r="T277" i="7" s="1"/>
  <c r="T276" i="7"/>
  <c r="S276" i="7"/>
  <c r="S275" i="7"/>
  <c r="T275" i="7" s="1"/>
  <c r="S274" i="7"/>
  <c r="T274" i="7" s="1"/>
  <c r="S273" i="7"/>
  <c r="T273" i="7" s="1"/>
  <c r="S272" i="7"/>
  <c r="T272" i="7" s="1"/>
  <c r="S271" i="7"/>
  <c r="T271" i="7" s="1"/>
  <c r="S270" i="7"/>
  <c r="T270" i="7" s="1"/>
  <c r="S269" i="7"/>
  <c r="T269" i="7" s="1"/>
  <c r="S268" i="7"/>
  <c r="T268" i="7" s="1"/>
  <c r="S267" i="7"/>
  <c r="T267" i="7" s="1"/>
  <c r="S266" i="7"/>
  <c r="T266" i="7" s="1"/>
  <c r="S265" i="7"/>
  <c r="T265" i="7" s="1"/>
  <c r="S264" i="7"/>
  <c r="T264" i="7" s="1"/>
  <c r="S263" i="7"/>
  <c r="T263" i="7" s="1"/>
  <c r="S262" i="7"/>
  <c r="T262" i="7" s="1"/>
  <c r="S261" i="7"/>
  <c r="T261" i="7" s="1"/>
  <c r="S260" i="7"/>
  <c r="T260" i="7" s="1"/>
  <c r="S259" i="7"/>
  <c r="T259" i="7" s="1"/>
  <c r="S258" i="7"/>
  <c r="T258" i="7" s="1"/>
  <c r="S257" i="7"/>
  <c r="T257" i="7" s="1"/>
  <c r="S256" i="7"/>
  <c r="T256" i="7" s="1"/>
  <c r="S255" i="7"/>
  <c r="T255" i="7" s="1"/>
  <c r="S254" i="7"/>
  <c r="T254" i="7" s="1"/>
  <c r="S253" i="7"/>
  <c r="T253" i="7" s="1"/>
  <c r="S252" i="7"/>
  <c r="T252" i="7" s="1"/>
  <c r="S251" i="7"/>
  <c r="T251" i="7" s="1"/>
  <c r="S250" i="7"/>
  <c r="T250" i="7" s="1"/>
  <c r="S249" i="7"/>
  <c r="T249" i="7" s="1"/>
  <c r="S248" i="7"/>
  <c r="T248" i="7" s="1"/>
  <c r="S247" i="7"/>
  <c r="T247" i="7" s="1"/>
  <c r="S246" i="7"/>
  <c r="T246" i="7" s="1"/>
  <c r="S245" i="7"/>
  <c r="T245" i="7" s="1"/>
  <c r="S244" i="7"/>
  <c r="T244" i="7" s="1"/>
  <c r="S243" i="7"/>
  <c r="T243" i="7" s="1"/>
  <c r="S242" i="7"/>
  <c r="T242" i="7" s="1"/>
  <c r="S241" i="7"/>
  <c r="T241" i="7" s="1"/>
  <c r="S240" i="7"/>
  <c r="T240" i="7" s="1"/>
  <c r="S239" i="7"/>
  <c r="T239" i="7" s="1"/>
  <c r="S238" i="7"/>
  <c r="T238" i="7" s="1"/>
  <c r="S237" i="7"/>
  <c r="T237" i="7" s="1"/>
  <c r="S236" i="7"/>
  <c r="T236" i="7" s="1"/>
  <c r="S235" i="7"/>
  <c r="T235" i="7" s="1"/>
  <c r="S234" i="7"/>
  <c r="T234" i="7" s="1"/>
  <c r="S233" i="7"/>
  <c r="T233" i="7" s="1"/>
  <c r="S232" i="7"/>
  <c r="T232" i="7" s="1"/>
  <c r="S231" i="7"/>
  <c r="T231" i="7" s="1"/>
  <c r="S230" i="7"/>
  <c r="T230" i="7" s="1"/>
  <c r="S229" i="7"/>
  <c r="T229" i="7" s="1"/>
  <c r="S228" i="7"/>
  <c r="T228" i="7" s="1"/>
  <c r="S227" i="7"/>
  <c r="T227" i="7" s="1"/>
  <c r="S226" i="7"/>
  <c r="T226" i="7" s="1"/>
  <c r="S225" i="7"/>
  <c r="T225" i="7" s="1"/>
  <c r="S224" i="7"/>
  <c r="T224" i="7" s="1"/>
  <c r="S223" i="7"/>
  <c r="T223" i="7" s="1"/>
  <c r="S222" i="7"/>
  <c r="T222" i="7" s="1"/>
  <c r="S221" i="7"/>
  <c r="T221" i="7" s="1"/>
  <c r="S220" i="7"/>
  <c r="T220" i="7" s="1"/>
  <c r="S219" i="7"/>
  <c r="T219" i="7" s="1"/>
  <c r="S218" i="7"/>
  <c r="T218" i="7" s="1"/>
  <c r="S217" i="7"/>
  <c r="T217" i="7" s="1"/>
  <c r="S216" i="7"/>
  <c r="T216" i="7" s="1"/>
  <c r="S215" i="7"/>
  <c r="T215" i="7" s="1"/>
  <c r="S214" i="7"/>
  <c r="T214" i="7" s="1"/>
  <c r="S213" i="7"/>
  <c r="T213" i="7" s="1"/>
  <c r="T212" i="7"/>
  <c r="S212" i="7"/>
  <c r="S211" i="7"/>
  <c r="T211" i="7" s="1"/>
  <c r="S210" i="7"/>
  <c r="T210" i="7" s="1"/>
  <c r="S209" i="7"/>
  <c r="T209" i="7" s="1"/>
  <c r="T208" i="7"/>
  <c r="S208" i="7"/>
  <c r="S207" i="7"/>
  <c r="T207" i="7" s="1"/>
  <c r="S206" i="7"/>
  <c r="T206" i="7" s="1"/>
  <c r="S205" i="7"/>
  <c r="T205" i="7" s="1"/>
  <c r="S204" i="7"/>
  <c r="T204" i="7" s="1"/>
  <c r="S203" i="7"/>
  <c r="T203" i="7" s="1"/>
  <c r="S202" i="7"/>
  <c r="T202" i="7" s="1"/>
  <c r="S201" i="7"/>
  <c r="T201" i="7" s="1"/>
  <c r="S200" i="7"/>
  <c r="T200" i="7" s="1"/>
  <c r="S199" i="7"/>
  <c r="T199" i="7" s="1"/>
  <c r="S198" i="7"/>
  <c r="T198" i="7" s="1"/>
  <c r="S197" i="7"/>
  <c r="T197" i="7" s="1"/>
  <c r="S196" i="7"/>
  <c r="T196" i="7" s="1"/>
  <c r="S195" i="7"/>
  <c r="T195" i="7" s="1"/>
  <c r="S194" i="7"/>
  <c r="T194" i="7" s="1"/>
  <c r="S193" i="7"/>
  <c r="T193" i="7" s="1"/>
  <c r="S192" i="7"/>
  <c r="T192" i="7" s="1"/>
  <c r="S191" i="7"/>
  <c r="T191" i="7" s="1"/>
  <c r="S190" i="7"/>
  <c r="T190" i="7" s="1"/>
  <c r="S189" i="7"/>
  <c r="T189" i="7" s="1"/>
  <c r="S188" i="7"/>
  <c r="T188" i="7" s="1"/>
  <c r="S187" i="7"/>
  <c r="T187" i="7" s="1"/>
  <c r="S186" i="7"/>
  <c r="T186" i="7" s="1"/>
  <c r="S185" i="7"/>
  <c r="T185" i="7" s="1"/>
  <c r="S184" i="7"/>
  <c r="T184" i="7" s="1"/>
  <c r="S183" i="7"/>
  <c r="T183" i="7" s="1"/>
  <c r="S182" i="7"/>
  <c r="T182" i="7" s="1"/>
  <c r="V182" i="7" s="1"/>
  <c r="S181" i="7"/>
  <c r="T181" i="7" s="1"/>
  <c r="S180" i="7"/>
  <c r="T180" i="7" s="1"/>
  <c r="S179" i="7"/>
  <c r="T179" i="7" s="1"/>
  <c r="S178" i="7"/>
  <c r="T178" i="7" s="1"/>
  <c r="S177" i="7"/>
  <c r="T177" i="7" s="1"/>
  <c r="S176" i="7"/>
  <c r="T176" i="7" s="1"/>
  <c r="S175" i="7"/>
  <c r="T175" i="7" s="1"/>
  <c r="S174" i="7"/>
  <c r="T174" i="7" s="1"/>
  <c r="S173" i="7"/>
  <c r="T173" i="7" s="1"/>
  <c r="S172" i="7"/>
  <c r="T172" i="7" s="1"/>
  <c r="S171" i="7"/>
  <c r="T171" i="7" s="1"/>
  <c r="S170" i="7"/>
  <c r="T170" i="7" s="1"/>
  <c r="S169" i="7"/>
  <c r="T169" i="7" s="1"/>
  <c r="S168" i="7"/>
  <c r="T168" i="7" s="1"/>
  <c r="S167" i="7"/>
  <c r="T167" i="7" s="1"/>
  <c r="S166" i="7"/>
  <c r="T166" i="7" s="1"/>
  <c r="S165" i="7"/>
  <c r="T165" i="7" s="1"/>
  <c r="S164" i="7"/>
  <c r="T164" i="7" s="1"/>
  <c r="S163" i="7"/>
  <c r="T163" i="7" s="1"/>
  <c r="S162" i="7"/>
  <c r="T162" i="7" s="1"/>
  <c r="S161" i="7"/>
  <c r="T161" i="7" s="1"/>
  <c r="T160" i="7"/>
  <c r="S160" i="7"/>
  <c r="S159" i="7"/>
  <c r="T159" i="7" s="1"/>
  <c r="S158" i="7"/>
  <c r="T158" i="7" s="1"/>
  <c r="S157" i="7"/>
  <c r="T157" i="7" s="1"/>
  <c r="S156" i="7"/>
  <c r="T156" i="7" s="1"/>
  <c r="S155" i="7"/>
  <c r="T155" i="7" s="1"/>
  <c r="S154" i="7"/>
  <c r="T154" i="7" s="1"/>
  <c r="T153" i="7"/>
  <c r="S153" i="7"/>
  <c r="S152" i="7"/>
  <c r="T152" i="7" s="1"/>
  <c r="S151" i="7"/>
  <c r="T151" i="7" s="1"/>
  <c r="S150" i="7"/>
  <c r="T150" i="7" s="1"/>
  <c r="T149" i="7"/>
  <c r="S149" i="7"/>
  <c r="S148" i="7"/>
  <c r="T148" i="7" s="1"/>
  <c r="S147" i="7"/>
  <c r="T147" i="7" s="1"/>
  <c r="S146" i="7"/>
  <c r="T146" i="7" s="1"/>
  <c r="S145" i="7"/>
  <c r="T145" i="7" s="1"/>
  <c r="S144" i="7"/>
  <c r="T144" i="7" s="1"/>
  <c r="S143" i="7"/>
  <c r="T143" i="7" s="1"/>
  <c r="S142" i="7"/>
  <c r="T142" i="7" s="1"/>
  <c r="S141" i="7"/>
  <c r="T141" i="7" s="1"/>
  <c r="S140" i="7"/>
  <c r="T140" i="7" s="1"/>
  <c r="S139" i="7"/>
  <c r="T139" i="7" s="1"/>
  <c r="S138" i="7"/>
  <c r="T138" i="7" s="1"/>
  <c r="S137" i="7"/>
  <c r="T137" i="7" s="1"/>
  <c r="S136" i="7"/>
  <c r="T136" i="7" s="1"/>
  <c r="S135" i="7"/>
  <c r="T135" i="7" s="1"/>
  <c r="S134" i="7"/>
  <c r="T134" i="7" s="1"/>
  <c r="S133" i="7"/>
  <c r="T133" i="7" s="1"/>
  <c r="S132" i="7"/>
  <c r="T132" i="7" s="1"/>
  <c r="S131" i="7"/>
  <c r="T131" i="7" s="1"/>
  <c r="S130" i="7"/>
  <c r="T130" i="7" s="1"/>
  <c r="S129" i="7"/>
  <c r="T129" i="7" s="1"/>
  <c r="S128" i="7"/>
  <c r="T128" i="7" s="1"/>
  <c r="S127" i="7"/>
  <c r="T127" i="7" s="1"/>
  <c r="S126" i="7"/>
  <c r="T126" i="7" s="1"/>
  <c r="T125" i="7"/>
  <c r="S125" i="7"/>
  <c r="S124" i="7"/>
  <c r="T124" i="7" s="1"/>
  <c r="S123" i="7"/>
  <c r="T123" i="7" s="1"/>
  <c r="S122" i="7"/>
  <c r="T122" i="7" s="1"/>
  <c r="S121" i="7"/>
  <c r="T121" i="7" s="1"/>
  <c r="S120" i="7"/>
  <c r="T120" i="7" s="1"/>
  <c r="S119" i="7"/>
  <c r="T119" i="7" s="1"/>
  <c r="S118" i="7"/>
  <c r="T118" i="7" s="1"/>
  <c r="S117" i="7"/>
  <c r="T117" i="7" s="1"/>
  <c r="S116" i="7"/>
  <c r="T116" i="7" s="1"/>
  <c r="S115" i="7"/>
  <c r="T115" i="7" s="1"/>
  <c r="S114" i="7"/>
  <c r="T114" i="7" s="1"/>
  <c r="S113" i="7"/>
  <c r="T113" i="7" s="1"/>
  <c r="S112" i="7"/>
  <c r="T112" i="7" s="1"/>
  <c r="T111" i="7"/>
  <c r="S111" i="7"/>
  <c r="T110" i="7"/>
  <c r="S110" i="7"/>
  <c r="S109" i="7"/>
  <c r="T109" i="7" s="1"/>
  <c r="S108" i="7"/>
  <c r="T108" i="7" s="1"/>
  <c r="T107" i="7"/>
  <c r="S107" i="7"/>
  <c r="T106" i="7"/>
  <c r="S106" i="7"/>
  <c r="S105" i="7"/>
  <c r="T105" i="7" s="1"/>
  <c r="S104" i="7"/>
  <c r="T104" i="7" s="1"/>
  <c r="T103" i="7"/>
  <c r="S103" i="7"/>
  <c r="T102" i="7"/>
  <c r="S102" i="7"/>
  <c r="S101" i="7"/>
  <c r="T101" i="7" s="1"/>
  <c r="S100" i="7"/>
  <c r="T100" i="7" s="1"/>
  <c r="S99" i="7"/>
  <c r="T99" i="7" s="1"/>
  <c r="S98" i="7"/>
  <c r="T98" i="7" s="1"/>
  <c r="S97" i="7"/>
  <c r="T97" i="7" s="1"/>
  <c r="S96" i="7"/>
  <c r="T96" i="7" s="1"/>
  <c r="S95" i="7"/>
  <c r="T95" i="7" s="1"/>
  <c r="S94" i="7"/>
  <c r="T94" i="7" s="1"/>
  <c r="T93" i="7"/>
  <c r="S93" i="7"/>
  <c r="T92" i="7"/>
  <c r="S92" i="7"/>
  <c r="S91" i="7"/>
  <c r="T91" i="7" s="1"/>
  <c r="S90" i="7"/>
  <c r="T90" i="7" s="1"/>
  <c r="T89" i="7"/>
  <c r="S89" i="7"/>
  <c r="T88" i="7"/>
  <c r="S88" i="7"/>
  <c r="S87" i="7"/>
  <c r="T87" i="7" s="1"/>
  <c r="S86" i="7"/>
  <c r="T86" i="7" s="1"/>
  <c r="S85" i="7"/>
  <c r="T85" i="7" s="1"/>
  <c r="S84" i="7"/>
  <c r="T84" i="7" s="1"/>
  <c r="S83" i="7"/>
  <c r="T83" i="7" s="1"/>
  <c r="S82" i="7"/>
  <c r="T82" i="7" s="1"/>
  <c r="S81" i="7"/>
  <c r="T81" i="7" s="1"/>
  <c r="S80" i="7"/>
  <c r="T80" i="7" s="1"/>
  <c r="T79" i="7"/>
  <c r="S79" i="7"/>
  <c r="S78" i="7"/>
  <c r="T78" i="7" s="1"/>
  <c r="S77" i="7"/>
  <c r="T77" i="7" s="1"/>
  <c r="S76" i="7"/>
  <c r="T76" i="7" s="1"/>
  <c r="S75" i="7"/>
  <c r="T75" i="7" s="1"/>
  <c r="S74" i="7"/>
  <c r="T74" i="7" s="1"/>
  <c r="S73" i="7"/>
  <c r="T73" i="7" s="1"/>
  <c r="S72" i="7"/>
  <c r="T72" i="7" s="1"/>
  <c r="S71" i="7"/>
  <c r="T71" i="7" s="1"/>
  <c r="S70" i="7"/>
  <c r="T70" i="7" s="1"/>
  <c r="S69" i="7"/>
  <c r="T69" i="7" s="1"/>
  <c r="S68" i="7"/>
  <c r="T68" i="7" s="1"/>
  <c r="T67" i="7"/>
  <c r="S67" i="7"/>
  <c r="S66" i="7"/>
  <c r="T66" i="7" s="1"/>
  <c r="S65" i="7"/>
  <c r="T65" i="7" s="1"/>
  <c r="S64" i="7"/>
  <c r="T64" i="7" s="1"/>
  <c r="T63" i="7"/>
  <c r="S63" i="7"/>
  <c r="S62" i="7"/>
  <c r="T62" i="7" s="1"/>
  <c r="S61" i="7"/>
  <c r="T61" i="7" s="1"/>
  <c r="S60" i="7"/>
  <c r="T60" i="7" s="1"/>
  <c r="T59" i="7"/>
  <c r="S59" i="7"/>
  <c r="S58" i="7"/>
  <c r="T58" i="7" s="1"/>
  <c r="S57" i="7"/>
  <c r="T57" i="7" s="1"/>
  <c r="S56" i="7"/>
  <c r="T56" i="7" s="1"/>
  <c r="T55" i="7"/>
  <c r="S55" i="7"/>
  <c r="S54" i="7"/>
  <c r="T54" i="7" s="1"/>
  <c r="S53" i="7"/>
  <c r="T53" i="7" s="1"/>
  <c r="S52" i="7"/>
  <c r="T52" i="7" s="1"/>
  <c r="S51" i="7"/>
  <c r="T51" i="7" s="1"/>
  <c r="S50" i="7"/>
  <c r="T50" i="7" s="1"/>
  <c r="S49" i="7"/>
  <c r="T49" i="7" s="1"/>
  <c r="S48" i="7"/>
  <c r="T48" i="7" s="1"/>
  <c r="T47" i="7"/>
  <c r="S47" i="7"/>
  <c r="S46" i="7"/>
  <c r="T46" i="7" s="1"/>
  <c r="S45" i="7"/>
  <c r="T45" i="7" s="1"/>
  <c r="S44" i="7"/>
  <c r="T44" i="7" s="1"/>
  <c r="S43" i="7"/>
  <c r="T43" i="7" s="1"/>
  <c r="T42" i="7"/>
  <c r="S42" i="7"/>
  <c r="T41" i="7"/>
  <c r="S41" i="7"/>
  <c r="S40" i="7"/>
  <c r="T40" i="7" s="1"/>
  <c r="S39" i="7"/>
  <c r="T39" i="7" s="1"/>
  <c r="T38" i="7"/>
  <c r="S38" i="7"/>
  <c r="T37" i="7"/>
  <c r="S37" i="7"/>
  <c r="S36" i="7"/>
  <c r="T36" i="7" s="1"/>
  <c r="S35" i="7"/>
  <c r="T35" i="7" s="1"/>
  <c r="S34" i="7"/>
  <c r="T34" i="7" s="1"/>
  <c r="S33" i="7"/>
  <c r="T33" i="7" s="1"/>
  <c r="S32" i="7"/>
  <c r="T32" i="7" s="1"/>
  <c r="S31" i="7"/>
  <c r="T31" i="7" s="1"/>
  <c r="S30" i="7"/>
  <c r="T30" i="7" s="1"/>
  <c r="S29" i="7"/>
  <c r="T29" i="7" s="1"/>
  <c r="S28" i="7"/>
  <c r="T28" i="7" s="1"/>
  <c r="S27" i="7"/>
  <c r="T27" i="7" s="1"/>
  <c r="S26" i="7"/>
  <c r="T26" i="7" s="1"/>
  <c r="S25" i="7"/>
  <c r="T25" i="7" s="1"/>
  <c r="S24" i="7"/>
  <c r="T24" i="7" s="1"/>
  <c r="S23" i="7"/>
  <c r="T23" i="7" s="1"/>
  <c r="S22" i="7"/>
  <c r="T22" i="7" s="1"/>
  <c r="S21" i="7"/>
  <c r="T21" i="7" s="1"/>
  <c r="S20" i="7"/>
  <c r="T20" i="7" s="1"/>
  <c r="S19" i="7"/>
  <c r="T19" i="7" s="1"/>
  <c r="S18" i="7"/>
  <c r="T18" i="7" s="1"/>
  <c r="S17" i="7"/>
  <c r="T17" i="7" s="1"/>
  <c r="S16" i="7"/>
  <c r="T16" i="7" s="1"/>
  <c r="S15" i="7"/>
  <c r="T15" i="7" s="1"/>
  <c r="S14" i="7"/>
  <c r="T14" i="7" s="1"/>
  <c r="S13" i="7"/>
  <c r="T13" i="7" s="1"/>
  <c r="S12" i="7"/>
  <c r="T12" i="7" s="1"/>
  <c r="S11" i="7"/>
  <c r="T11" i="7" s="1"/>
  <c r="S10" i="7"/>
  <c r="T10" i="7" s="1"/>
  <c r="S9" i="7"/>
  <c r="T9" i="7" s="1"/>
  <c r="S8" i="7"/>
  <c r="T8" i="7" s="1"/>
  <c r="S7" i="7"/>
  <c r="T7" i="7" s="1"/>
  <c r="S6" i="7"/>
  <c r="T6" i="7" s="1"/>
  <c r="S5" i="7"/>
  <c r="T5" i="7" s="1"/>
  <c r="S4" i="7"/>
  <c r="T4" i="7" s="1"/>
  <c r="S3" i="7"/>
  <c r="T3" i="7" s="1"/>
  <c r="S2" i="7"/>
  <c r="T2" i="7" s="1"/>
  <c r="V1911" i="7" l="1"/>
  <c r="V1670" i="7"/>
  <c r="V1318" i="7"/>
  <c r="V587" i="7"/>
  <c r="V1163" i="7"/>
  <c r="V425" i="7"/>
  <c r="V600" i="7"/>
  <c r="V1268" i="7"/>
  <c r="V330" i="7"/>
  <c r="V190" i="7"/>
  <c r="V322" i="7"/>
  <c r="V647" i="7"/>
  <c r="V403" i="7"/>
  <c r="V554" i="7"/>
  <c r="V99" i="7"/>
  <c r="V206" i="7"/>
  <c r="V513" i="7"/>
  <c r="V174" i="7"/>
  <c r="V75" i="7"/>
  <c r="V467" i="7"/>
  <c r="V720" i="7"/>
  <c r="V35" i="7"/>
  <c r="V1736" i="7"/>
  <c r="V49" i="7"/>
  <c r="V272" i="7"/>
  <c r="V817" i="7"/>
  <c r="V856" i="7"/>
  <c r="V1681" i="7"/>
  <c r="V159" i="7"/>
  <c r="V87" i="7"/>
  <c r="V338" i="7"/>
  <c r="V530" i="7"/>
  <c r="V593" i="7"/>
  <c r="V1114" i="7"/>
  <c r="V1293" i="7"/>
  <c r="V1445" i="7"/>
  <c r="V1654" i="7"/>
  <c r="V1666" i="7"/>
  <c r="V795" i="7"/>
  <c r="V1773" i="7"/>
  <c r="V46" i="7"/>
  <c r="V122" i="7"/>
  <c r="V148" i="7"/>
  <c r="V381" i="7"/>
  <c r="V928" i="7"/>
  <c r="V1674" i="7"/>
  <c r="V133" i="7"/>
  <c r="V606" i="7"/>
  <c r="V671" i="7"/>
  <c r="V1044" i="7"/>
  <c r="V1155" i="7"/>
  <c r="V1282" i="7"/>
  <c r="V1302" i="7"/>
  <c r="V544" i="7"/>
  <c r="V766" i="7"/>
  <c r="V53" i="7"/>
  <c r="V297" i="7"/>
  <c r="V567" i="7"/>
  <c r="V836" i="7"/>
  <c r="V891" i="7"/>
  <c r="V1632" i="7"/>
  <c r="V1017" i="7"/>
  <c r="V1146" i="7"/>
  <c r="V2037" i="7"/>
  <c r="V1811" i="7"/>
  <c r="V1847" i="7"/>
  <c r="V1875" i="7"/>
  <c r="V2012" i="7"/>
  <c r="V2108" i="7"/>
  <c r="V2082" i="7"/>
  <c r="V43" i="7"/>
  <c r="V228" i="7"/>
  <c r="V446" i="7"/>
  <c r="V372" i="7"/>
  <c r="V309" i="7"/>
  <c r="V351" i="7"/>
  <c r="V496" i="7"/>
  <c r="V394" i="7"/>
  <c r="V478" i="7"/>
  <c r="V573" i="7"/>
  <c r="V67" i="7"/>
  <c r="V141" i="7"/>
  <c r="V212" i="7"/>
  <c r="V457" i="7"/>
  <c r="V506" i="7"/>
  <c r="V537" i="7"/>
  <c r="V113" i="7"/>
  <c r="V2" i="7"/>
  <c r="V163" i="7"/>
  <c r="V196" i="7"/>
  <c r="V241" i="7"/>
  <c r="V436" i="7"/>
  <c r="V580" i="7"/>
  <c r="V283" i="7"/>
  <c r="V128" i="7"/>
  <c r="V153" i="7"/>
  <c r="V363" i="7"/>
  <c r="V412" i="7"/>
  <c r="V80" i="7"/>
  <c r="V95" i="7"/>
  <c r="V223" i="7"/>
  <c r="V234" i="7"/>
  <c r="V486" i="7"/>
  <c r="V522" i="7"/>
  <c r="V560" i="7"/>
  <c r="V612" i="7"/>
  <c r="V1170" i="7"/>
  <c r="V1238" i="7"/>
  <c r="V695" i="7"/>
  <c r="V744" i="7"/>
  <c r="V908" i="7"/>
  <c r="V946" i="7"/>
  <c r="V787" i="7"/>
  <c r="V1068" i="7"/>
  <c r="V1251" i="7"/>
  <c r="V654" i="7"/>
  <c r="V971" i="7"/>
  <c r="V549" i="7"/>
  <c r="V873" i="7"/>
  <c r="V998" i="7"/>
  <c r="V1202" i="7"/>
  <c r="V1245" i="7"/>
  <c r="V1519" i="7"/>
  <c r="V1563" i="7"/>
  <c r="V1758" i="7"/>
  <c r="V1091" i="7"/>
  <c r="V1257" i="7"/>
  <c r="V1352" i="7"/>
  <c r="V1232" i="7"/>
  <c r="V1334" i="7"/>
  <c r="V1420" i="7"/>
  <c r="V1529" i="7"/>
  <c r="V1698" i="7"/>
  <c r="V1275" i="7"/>
  <c r="V1286" i="7"/>
  <c r="V1297" i="7"/>
  <c r="V1395" i="7"/>
  <c r="V1497" i="7"/>
  <c r="V1688" i="7"/>
  <c r="V1166" i="7"/>
  <c r="V1368" i="7"/>
  <c r="V1470" i="7"/>
  <c r="V1504" i="7"/>
  <c r="V1974" i="7"/>
  <c r="V2090" i="7"/>
  <c r="V2094" i="7"/>
  <c r="V2128" i="7"/>
  <c r="V2156" i="7"/>
  <c r="V2071" i="7"/>
  <c r="V2118" i="7"/>
  <c r="V1647" i="7"/>
  <c r="V1662" i="7"/>
  <c r="V1831" i="7"/>
  <c r="V1859" i="7"/>
  <c r="V1891" i="7"/>
  <c r="V1954" i="7"/>
  <c r="V1767" i="7"/>
  <c r="V1913" i="7"/>
  <c r="V2060" i="7"/>
  <c r="V2123" i="7"/>
  <c r="V1678" i="7"/>
  <c r="V1964" i="7"/>
  <c r="V2086" i="7"/>
  <c r="V2113" i="7"/>
  <c r="V1693" i="7"/>
  <c r="V1703" i="7"/>
  <c r="V1747" i="7"/>
  <c r="V1987" i="7"/>
  <c r="V1999" i="7"/>
  <c r="V1611" i="7"/>
  <c r="V1684" i="7"/>
  <c r="V1791" i="7"/>
  <c r="V1948" i="7"/>
  <c r="V2026" i="7"/>
  <c r="V2100" i="7"/>
  <c r="V2104" i="7"/>
  <c r="S343" i="6"/>
  <c r="T343" i="6" s="1"/>
  <c r="S342" i="6"/>
  <c r="T342" i="6" s="1"/>
  <c r="S341" i="6"/>
  <c r="T341" i="6" s="1"/>
  <c r="S340" i="6"/>
  <c r="T340" i="6" s="1"/>
  <c r="S339" i="6"/>
  <c r="T339" i="6" s="1"/>
  <c r="S338" i="6"/>
  <c r="T338" i="6" s="1"/>
  <c r="S337" i="6"/>
  <c r="T337" i="6" s="1"/>
  <c r="S336" i="6"/>
  <c r="T336" i="6" s="1"/>
  <c r="S335" i="6"/>
  <c r="T335" i="6" s="1"/>
  <c r="S334" i="6"/>
  <c r="T334" i="6" s="1"/>
  <c r="S333" i="6"/>
  <c r="T333" i="6" s="1"/>
  <c r="S332" i="6"/>
  <c r="T332" i="6" s="1"/>
  <c r="S331" i="6"/>
  <c r="T331" i="6" s="1"/>
  <c r="S330" i="6"/>
  <c r="T330" i="6" s="1"/>
  <c r="S329" i="6"/>
  <c r="T329" i="6" s="1"/>
  <c r="S328" i="6"/>
  <c r="T328" i="6" s="1"/>
  <c r="S327" i="6"/>
  <c r="T327" i="6" s="1"/>
  <c r="S326" i="6"/>
  <c r="T326" i="6" s="1"/>
  <c r="S325" i="6"/>
  <c r="T325" i="6" s="1"/>
  <c r="S324" i="6"/>
  <c r="T324" i="6" s="1"/>
  <c r="S323" i="6"/>
  <c r="T323" i="6" s="1"/>
  <c r="S322" i="6"/>
  <c r="T322" i="6" s="1"/>
  <c r="S321" i="6"/>
  <c r="T321" i="6" s="1"/>
  <c r="S320" i="6"/>
  <c r="T320" i="6" s="1"/>
  <c r="S319" i="6"/>
  <c r="T319" i="6" s="1"/>
  <c r="S318" i="6"/>
  <c r="T318" i="6" s="1"/>
  <c r="S317" i="6"/>
  <c r="T317" i="6" s="1"/>
  <c r="S316" i="6"/>
  <c r="T316" i="6" s="1"/>
  <c r="S315" i="6"/>
  <c r="T315" i="6" s="1"/>
  <c r="S314" i="6"/>
  <c r="T314" i="6" s="1"/>
  <c r="S313" i="6"/>
  <c r="T313" i="6" s="1"/>
  <c r="S312" i="6"/>
  <c r="T312" i="6" s="1"/>
  <c r="S311" i="6"/>
  <c r="T311" i="6" s="1"/>
  <c r="S310" i="6"/>
  <c r="T310" i="6" s="1"/>
  <c r="S309" i="6"/>
  <c r="T309" i="6" s="1"/>
  <c r="S308" i="6"/>
  <c r="T308" i="6" s="1"/>
  <c r="S307" i="6"/>
  <c r="T307" i="6" s="1"/>
  <c r="S306" i="6"/>
  <c r="T306" i="6" s="1"/>
  <c r="S305" i="6"/>
  <c r="T305" i="6" s="1"/>
  <c r="T304" i="6"/>
  <c r="S304" i="6"/>
  <c r="S303" i="6"/>
  <c r="T303" i="6" s="1"/>
  <c r="S302" i="6"/>
  <c r="T302" i="6" s="1"/>
  <c r="S301" i="6"/>
  <c r="T301" i="6" s="1"/>
  <c r="S300" i="6"/>
  <c r="T300" i="6" s="1"/>
  <c r="S299" i="6"/>
  <c r="T299" i="6" s="1"/>
  <c r="S298" i="6"/>
  <c r="T298" i="6" s="1"/>
  <c r="S297" i="6"/>
  <c r="T297" i="6" s="1"/>
  <c r="S296" i="6"/>
  <c r="T296" i="6" s="1"/>
  <c r="S295" i="6"/>
  <c r="T295" i="6" s="1"/>
  <c r="S294" i="6"/>
  <c r="T294" i="6" s="1"/>
  <c r="S293" i="6"/>
  <c r="T293" i="6" s="1"/>
  <c r="S292" i="6"/>
  <c r="T292" i="6" s="1"/>
  <c r="S291" i="6"/>
  <c r="T291" i="6" s="1"/>
  <c r="S290" i="6"/>
  <c r="T290" i="6" s="1"/>
  <c r="S289" i="6"/>
  <c r="T289" i="6" s="1"/>
  <c r="S288" i="6"/>
  <c r="T288" i="6" s="1"/>
  <c r="S287" i="6"/>
  <c r="T287" i="6" s="1"/>
  <c r="S286" i="6"/>
  <c r="T286" i="6" s="1"/>
  <c r="S285" i="6"/>
  <c r="T285" i="6" s="1"/>
  <c r="S284" i="6"/>
  <c r="T284" i="6" s="1"/>
  <c r="S283" i="6"/>
  <c r="T283" i="6" s="1"/>
  <c r="S282" i="6"/>
  <c r="T282" i="6" s="1"/>
  <c r="S281" i="6"/>
  <c r="T281" i="6" s="1"/>
  <c r="S280" i="6"/>
  <c r="T280" i="6" s="1"/>
  <c r="S279" i="6"/>
  <c r="T279" i="6" s="1"/>
  <c r="S278" i="6"/>
  <c r="T278" i="6" s="1"/>
  <c r="S277" i="6"/>
  <c r="T277" i="6" s="1"/>
  <c r="S276" i="6"/>
  <c r="T276" i="6" s="1"/>
  <c r="S275" i="6"/>
  <c r="T275" i="6" s="1"/>
  <c r="S274" i="6"/>
  <c r="T274" i="6" s="1"/>
  <c r="S273" i="6"/>
  <c r="T273" i="6" s="1"/>
  <c r="S272" i="6"/>
  <c r="T272" i="6" s="1"/>
  <c r="S271" i="6"/>
  <c r="T271" i="6" s="1"/>
  <c r="S270" i="6"/>
  <c r="T270" i="6" s="1"/>
  <c r="S269" i="6"/>
  <c r="T269" i="6" s="1"/>
  <c r="S268" i="6"/>
  <c r="T268" i="6" s="1"/>
  <c r="S267" i="6"/>
  <c r="T267" i="6" s="1"/>
  <c r="S266" i="6"/>
  <c r="T266" i="6" s="1"/>
  <c r="S265" i="6"/>
  <c r="T265" i="6" s="1"/>
  <c r="S264" i="6"/>
  <c r="T264" i="6" s="1"/>
  <c r="S263" i="6"/>
  <c r="T263" i="6" s="1"/>
  <c r="S262" i="6"/>
  <c r="T262" i="6" s="1"/>
  <c r="S261" i="6"/>
  <c r="T261" i="6" s="1"/>
  <c r="S260" i="6"/>
  <c r="T260" i="6" s="1"/>
  <c r="S259" i="6"/>
  <c r="T259" i="6" s="1"/>
  <c r="S258" i="6"/>
  <c r="T258" i="6" s="1"/>
  <c r="S257" i="6"/>
  <c r="T257" i="6" s="1"/>
  <c r="S256" i="6"/>
  <c r="T256" i="6" s="1"/>
  <c r="S255" i="6"/>
  <c r="T255" i="6" s="1"/>
  <c r="S254" i="6"/>
  <c r="T254" i="6" s="1"/>
  <c r="S253" i="6"/>
  <c r="T253" i="6" s="1"/>
  <c r="S252" i="6"/>
  <c r="T252" i="6" s="1"/>
  <c r="S251" i="6"/>
  <c r="T251" i="6" s="1"/>
  <c r="S250" i="6"/>
  <c r="T250" i="6" s="1"/>
  <c r="S249" i="6"/>
  <c r="T249" i="6" s="1"/>
  <c r="S248" i="6"/>
  <c r="T248" i="6" s="1"/>
  <c r="S247" i="6"/>
  <c r="T247" i="6" s="1"/>
  <c r="S246" i="6"/>
  <c r="T246" i="6" s="1"/>
  <c r="S245" i="6"/>
  <c r="T245" i="6" s="1"/>
  <c r="S244" i="6"/>
  <c r="T244" i="6" s="1"/>
  <c r="S243" i="6"/>
  <c r="T243" i="6" s="1"/>
  <c r="S242" i="6"/>
  <c r="T242" i="6" s="1"/>
  <c r="S241" i="6"/>
  <c r="T241" i="6" s="1"/>
  <c r="S240" i="6"/>
  <c r="T240" i="6" s="1"/>
  <c r="S239" i="6"/>
  <c r="T239" i="6" s="1"/>
  <c r="S238" i="6"/>
  <c r="T238" i="6" s="1"/>
  <c r="S237" i="6"/>
  <c r="T237" i="6" s="1"/>
  <c r="S236" i="6"/>
  <c r="T236" i="6" s="1"/>
  <c r="S235" i="6"/>
  <c r="T235" i="6" s="1"/>
  <c r="S234" i="6"/>
  <c r="T234" i="6" s="1"/>
  <c r="S233" i="6"/>
  <c r="T233" i="6" s="1"/>
  <c r="S232" i="6"/>
  <c r="T232" i="6" s="1"/>
  <c r="S231" i="6"/>
  <c r="T231" i="6" s="1"/>
  <c r="S230" i="6"/>
  <c r="T230" i="6" s="1"/>
  <c r="S229" i="6"/>
  <c r="T229" i="6" s="1"/>
  <c r="S228" i="6"/>
  <c r="T228" i="6" s="1"/>
  <c r="S227" i="6"/>
  <c r="T227" i="6" s="1"/>
  <c r="S226" i="6"/>
  <c r="T226" i="6" s="1"/>
  <c r="S225" i="6"/>
  <c r="T225" i="6" s="1"/>
  <c r="S224" i="6"/>
  <c r="T224" i="6" s="1"/>
  <c r="S223" i="6"/>
  <c r="T223" i="6" s="1"/>
  <c r="S222" i="6"/>
  <c r="T222" i="6" s="1"/>
  <c r="S221" i="6"/>
  <c r="T221" i="6" s="1"/>
  <c r="S220" i="6"/>
  <c r="T220" i="6" s="1"/>
  <c r="S219" i="6"/>
  <c r="T219" i="6" s="1"/>
  <c r="S218" i="6"/>
  <c r="T218" i="6" s="1"/>
  <c r="S217" i="6"/>
  <c r="T217" i="6" s="1"/>
  <c r="S216" i="6"/>
  <c r="T216" i="6" s="1"/>
  <c r="S215" i="6"/>
  <c r="T215" i="6" s="1"/>
  <c r="S214" i="6"/>
  <c r="T214" i="6" s="1"/>
  <c r="S213" i="6"/>
  <c r="T213" i="6" s="1"/>
  <c r="S212" i="6"/>
  <c r="T212" i="6" s="1"/>
  <c r="S211" i="6"/>
  <c r="T211" i="6" s="1"/>
  <c r="S210" i="6"/>
  <c r="T210" i="6" s="1"/>
  <c r="S209" i="6"/>
  <c r="T209" i="6" s="1"/>
  <c r="S208" i="6"/>
  <c r="T208" i="6" s="1"/>
  <c r="S207" i="6"/>
  <c r="T207" i="6" s="1"/>
  <c r="S206" i="6"/>
  <c r="T206" i="6" s="1"/>
  <c r="S205" i="6"/>
  <c r="T205" i="6" s="1"/>
  <c r="S204" i="6"/>
  <c r="T204" i="6" s="1"/>
  <c r="S203" i="6"/>
  <c r="T203" i="6" s="1"/>
  <c r="S202" i="6"/>
  <c r="T202" i="6" s="1"/>
  <c r="S201" i="6"/>
  <c r="T201" i="6" s="1"/>
  <c r="S200" i="6"/>
  <c r="T200" i="6" s="1"/>
  <c r="S199" i="6"/>
  <c r="T199" i="6" s="1"/>
  <c r="S198" i="6"/>
  <c r="T198" i="6" s="1"/>
  <c r="S197" i="6"/>
  <c r="T197" i="6" s="1"/>
  <c r="S196" i="6"/>
  <c r="T196" i="6" s="1"/>
  <c r="S195" i="6"/>
  <c r="T195" i="6" s="1"/>
  <c r="S194" i="6"/>
  <c r="T194" i="6" s="1"/>
  <c r="S193" i="6"/>
  <c r="T193" i="6" s="1"/>
  <c r="S192" i="6"/>
  <c r="T192" i="6" s="1"/>
  <c r="S191" i="6"/>
  <c r="T191" i="6" s="1"/>
  <c r="S190" i="6"/>
  <c r="T190" i="6" s="1"/>
  <c r="S189" i="6"/>
  <c r="T189" i="6" s="1"/>
  <c r="S188" i="6"/>
  <c r="T188" i="6" s="1"/>
  <c r="S187" i="6"/>
  <c r="T187" i="6" s="1"/>
  <c r="S186" i="6"/>
  <c r="T186" i="6" s="1"/>
  <c r="S185" i="6"/>
  <c r="T185" i="6" s="1"/>
  <c r="S184" i="6"/>
  <c r="T184" i="6" s="1"/>
  <c r="S183" i="6"/>
  <c r="T183" i="6" s="1"/>
  <c r="S182" i="6"/>
  <c r="T182" i="6" s="1"/>
  <c r="S181" i="6"/>
  <c r="T181" i="6" s="1"/>
  <c r="S180" i="6"/>
  <c r="T180" i="6" s="1"/>
  <c r="S179" i="6"/>
  <c r="T179" i="6" s="1"/>
  <c r="S178" i="6"/>
  <c r="T178" i="6" s="1"/>
  <c r="S177" i="6"/>
  <c r="T177" i="6" s="1"/>
  <c r="S176" i="6"/>
  <c r="T176" i="6" s="1"/>
  <c r="S175" i="6"/>
  <c r="T175" i="6" s="1"/>
  <c r="S174" i="6"/>
  <c r="T174" i="6" s="1"/>
  <c r="S173" i="6"/>
  <c r="T173" i="6" s="1"/>
  <c r="S172" i="6"/>
  <c r="T172" i="6" s="1"/>
  <c r="S171" i="6"/>
  <c r="T171" i="6" s="1"/>
  <c r="S170" i="6"/>
  <c r="T170" i="6" s="1"/>
  <c r="S169" i="6"/>
  <c r="T169" i="6" s="1"/>
  <c r="S168" i="6"/>
  <c r="T168" i="6" s="1"/>
  <c r="S167" i="6"/>
  <c r="T167" i="6" s="1"/>
  <c r="S166" i="6"/>
  <c r="T166" i="6" s="1"/>
  <c r="S165" i="6"/>
  <c r="T165" i="6" s="1"/>
  <c r="S164" i="6"/>
  <c r="T164" i="6" s="1"/>
  <c r="S163" i="6"/>
  <c r="T163" i="6" s="1"/>
  <c r="S162" i="6"/>
  <c r="T162" i="6" s="1"/>
  <c r="S161" i="6"/>
  <c r="T161" i="6" s="1"/>
  <c r="S160" i="6"/>
  <c r="T160" i="6" s="1"/>
  <c r="S159" i="6"/>
  <c r="T159" i="6" s="1"/>
  <c r="S158" i="6"/>
  <c r="T158" i="6" s="1"/>
  <c r="S157" i="6"/>
  <c r="T157" i="6" s="1"/>
  <c r="S156" i="6"/>
  <c r="T156" i="6" s="1"/>
  <c r="S155" i="6"/>
  <c r="T155" i="6" s="1"/>
  <c r="S154" i="6"/>
  <c r="T154" i="6" s="1"/>
  <c r="S153" i="6"/>
  <c r="T153" i="6" s="1"/>
  <c r="S152" i="6"/>
  <c r="T152" i="6" s="1"/>
  <c r="S151" i="6"/>
  <c r="T151" i="6" s="1"/>
  <c r="S150" i="6"/>
  <c r="T150" i="6" s="1"/>
  <c r="S149" i="6"/>
  <c r="T149" i="6" s="1"/>
  <c r="S148" i="6"/>
  <c r="T148" i="6" s="1"/>
  <c r="S147" i="6"/>
  <c r="T147" i="6" s="1"/>
  <c r="S146" i="6"/>
  <c r="T146" i="6" s="1"/>
  <c r="S145" i="6"/>
  <c r="T145" i="6" s="1"/>
  <c r="S144" i="6"/>
  <c r="T144" i="6" s="1"/>
  <c r="S143" i="6"/>
  <c r="T143" i="6" s="1"/>
  <c r="S142" i="6"/>
  <c r="T142" i="6" s="1"/>
  <c r="S141" i="6"/>
  <c r="T141" i="6" s="1"/>
  <c r="S140" i="6"/>
  <c r="T140" i="6" s="1"/>
  <c r="S139" i="6"/>
  <c r="T139" i="6" s="1"/>
  <c r="S138" i="6"/>
  <c r="T138" i="6" s="1"/>
  <c r="S137" i="6"/>
  <c r="T137" i="6" s="1"/>
  <c r="S136" i="6"/>
  <c r="T136" i="6" s="1"/>
  <c r="S135" i="6"/>
  <c r="T135" i="6" s="1"/>
  <c r="S134" i="6"/>
  <c r="T134" i="6" s="1"/>
  <c r="S133" i="6"/>
  <c r="T133" i="6" s="1"/>
  <c r="S132" i="6"/>
  <c r="T132" i="6" s="1"/>
  <c r="S131" i="6"/>
  <c r="T131" i="6" s="1"/>
  <c r="S130" i="6"/>
  <c r="T130" i="6" s="1"/>
  <c r="S129" i="6"/>
  <c r="T129" i="6" s="1"/>
  <c r="S128" i="6"/>
  <c r="T128" i="6" s="1"/>
  <c r="S127" i="6"/>
  <c r="T127" i="6" s="1"/>
  <c r="S126" i="6"/>
  <c r="T126" i="6" s="1"/>
  <c r="S125" i="6"/>
  <c r="T125" i="6" s="1"/>
  <c r="S124" i="6"/>
  <c r="T124" i="6" s="1"/>
  <c r="S123" i="6"/>
  <c r="T123" i="6" s="1"/>
  <c r="S122" i="6"/>
  <c r="T122" i="6" s="1"/>
  <c r="S121" i="6"/>
  <c r="T121" i="6" s="1"/>
  <c r="S120" i="6"/>
  <c r="T120" i="6" s="1"/>
  <c r="S119" i="6"/>
  <c r="T119" i="6" s="1"/>
  <c r="S118" i="6"/>
  <c r="T118" i="6" s="1"/>
  <c r="S117" i="6"/>
  <c r="T117" i="6" s="1"/>
  <c r="S116" i="6"/>
  <c r="T116" i="6" s="1"/>
  <c r="S115" i="6"/>
  <c r="T115" i="6" s="1"/>
  <c r="S114" i="6"/>
  <c r="T114" i="6" s="1"/>
  <c r="S113" i="6"/>
  <c r="T113" i="6" s="1"/>
  <c r="S112" i="6"/>
  <c r="T112" i="6" s="1"/>
  <c r="S111" i="6"/>
  <c r="T111" i="6" s="1"/>
  <c r="S110" i="6"/>
  <c r="T110" i="6" s="1"/>
  <c r="S109" i="6"/>
  <c r="T109" i="6" s="1"/>
  <c r="S108" i="6"/>
  <c r="T108" i="6" s="1"/>
  <c r="S107" i="6"/>
  <c r="T107" i="6" s="1"/>
  <c r="S106" i="6"/>
  <c r="T106" i="6" s="1"/>
  <c r="S105" i="6"/>
  <c r="T105" i="6" s="1"/>
  <c r="S104" i="6"/>
  <c r="T104" i="6" s="1"/>
  <c r="S103" i="6"/>
  <c r="T103" i="6" s="1"/>
  <c r="S102" i="6"/>
  <c r="T102" i="6" s="1"/>
  <c r="S101" i="6"/>
  <c r="T101" i="6" s="1"/>
  <c r="S100" i="6"/>
  <c r="T100" i="6" s="1"/>
  <c r="S99" i="6"/>
  <c r="T99" i="6" s="1"/>
  <c r="S98" i="6"/>
  <c r="T98" i="6" s="1"/>
  <c r="S97" i="6"/>
  <c r="T97" i="6" s="1"/>
  <c r="S96" i="6"/>
  <c r="T96" i="6" s="1"/>
  <c r="S95" i="6"/>
  <c r="T95" i="6" s="1"/>
  <c r="S94" i="6"/>
  <c r="T94" i="6" s="1"/>
  <c r="S93" i="6"/>
  <c r="T93" i="6" s="1"/>
  <c r="S92" i="6"/>
  <c r="T92" i="6" s="1"/>
  <c r="S91" i="6"/>
  <c r="T91" i="6" s="1"/>
  <c r="S90" i="6"/>
  <c r="T90" i="6" s="1"/>
  <c r="S89" i="6"/>
  <c r="T89" i="6" s="1"/>
  <c r="S88" i="6"/>
  <c r="T88" i="6" s="1"/>
  <c r="S87" i="6"/>
  <c r="T87" i="6" s="1"/>
  <c r="S86" i="6"/>
  <c r="T86" i="6" s="1"/>
  <c r="S85" i="6"/>
  <c r="T85" i="6" s="1"/>
  <c r="S84" i="6"/>
  <c r="T84" i="6" s="1"/>
  <c r="S83" i="6"/>
  <c r="T83" i="6" s="1"/>
  <c r="S82" i="6"/>
  <c r="T82" i="6" s="1"/>
  <c r="S81" i="6"/>
  <c r="T81" i="6" s="1"/>
  <c r="S80" i="6"/>
  <c r="T80" i="6" s="1"/>
  <c r="S79" i="6"/>
  <c r="T79" i="6" s="1"/>
  <c r="S78" i="6"/>
  <c r="T78" i="6" s="1"/>
  <c r="S77" i="6"/>
  <c r="T77" i="6" s="1"/>
  <c r="S76" i="6"/>
  <c r="T76" i="6" s="1"/>
  <c r="S75" i="6"/>
  <c r="T75" i="6" s="1"/>
  <c r="S74" i="6"/>
  <c r="T74" i="6" s="1"/>
  <c r="S73" i="6"/>
  <c r="T73" i="6" s="1"/>
  <c r="S72" i="6"/>
  <c r="T72" i="6" s="1"/>
  <c r="S71" i="6"/>
  <c r="T71" i="6" s="1"/>
  <c r="S70" i="6"/>
  <c r="T70" i="6" s="1"/>
  <c r="S69" i="6"/>
  <c r="T69" i="6" s="1"/>
  <c r="S68" i="6"/>
  <c r="T68" i="6" s="1"/>
  <c r="S67" i="6"/>
  <c r="T67" i="6" s="1"/>
  <c r="S66" i="6"/>
  <c r="T66" i="6" s="1"/>
  <c r="S65" i="6"/>
  <c r="T65" i="6" s="1"/>
  <c r="S64" i="6"/>
  <c r="T64" i="6" s="1"/>
  <c r="S63" i="6"/>
  <c r="T63" i="6" s="1"/>
  <c r="S62" i="6"/>
  <c r="T62" i="6" s="1"/>
  <c r="S61" i="6"/>
  <c r="T61" i="6" s="1"/>
  <c r="S60" i="6"/>
  <c r="T60" i="6" s="1"/>
  <c r="S59" i="6"/>
  <c r="T59" i="6" s="1"/>
  <c r="S58" i="6"/>
  <c r="T58" i="6" s="1"/>
  <c r="S57" i="6"/>
  <c r="T57" i="6" s="1"/>
  <c r="S56" i="6"/>
  <c r="T56" i="6" s="1"/>
  <c r="S55" i="6"/>
  <c r="T55" i="6" s="1"/>
  <c r="S54" i="6"/>
  <c r="T54" i="6" s="1"/>
  <c r="S53" i="6"/>
  <c r="T53" i="6" s="1"/>
  <c r="S52" i="6"/>
  <c r="T52" i="6" s="1"/>
  <c r="S51" i="6"/>
  <c r="T51" i="6" s="1"/>
  <c r="S50" i="6"/>
  <c r="T50" i="6" s="1"/>
  <c r="S49" i="6"/>
  <c r="T49" i="6" s="1"/>
  <c r="S48" i="6"/>
  <c r="T48" i="6" s="1"/>
  <c r="S47" i="6"/>
  <c r="T47" i="6" s="1"/>
  <c r="S46" i="6"/>
  <c r="T46" i="6" s="1"/>
  <c r="S45" i="6"/>
  <c r="T45" i="6" s="1"/>
  <c r="S44" i="6"/>
  <c r="T44" i="6" s="1"/>
  <c r="S43" i="6"/>
  <c r="T43" i="6" s="1"/>
  <c r="S42" i="6"/>
  <c r="T42" i="6" s="1"/>
  <c r="S41" i="6"/>
  <c r="T41" i="6" s="1"/>
  <c r="S40" i="6"/>
  <c r="T40" i="6" s="1"/>
  <c r="S39" i="6"/>
  <c r="T39" i="6" s="1"/>
  <c r="S38" i="6"/>
  <c r="T38" i="6" s="1"/>
  <c r="S37" i="6"/>
  <c r="T37" i="6" s="1"/>
  <c r="S36" i="6"/>
  <c r="T36" i="6" s="1"/>
  <c r="S35" i="6"/>
  <c r="T35" i="6" s="1"/>
  <c r="S34" i="6"/>
  <c r="T34" i="6" s="1"/>
  <c r="S33" i="6"/>
  <c r="T33" i="6" s="1"/>
  <c r="S32" i="6"/>
  <c r="T32" i="6" s="1"/>
  <c r="S31" i="6"/>
  <c r="T31" i="6" s="1"/>
  <c r="S30" i="6"/>
  <c r="T30" i="6" s="1"/>
  <c r="S29" i="6"/>
  <c r="T29" i="6" s="1"/>
  <c r="S28" i="6"/>
  <c r="T28" i="6" s="1"/>
  <c r="S27" i="6"/>
  <c r="T27" i="6" s="1"/>
  <c r="S26" i="6"/>
  <c r="T26" i="6" s="1"/>
  <c r="S25" i="6"/>
  <c r="T25" i="6" s="1"/>
  <c r="S24" i="6"/>
  <c r="T24" i="6" s="1"/>
  <c r="S23" i="6"/>
  <c r="T23" i="6" s="1"/>
  <c r="S22" i="6"/>
  <c r="T22" i="6" s="1"/>
  <c r="S21" i="6"/>
  <c r="T21" i="6" s="1"/>
  <c r="S20" i="6"/>
  <c r="T20" i="6" s="1"/>
  <c r="S19" i="6"/>
  <c r="T19" i="6" s="1"/>
  <c r="S18" i="6"/>
  <c r="T18" i="6" s="1"/>
  <c r="S17" i="6"/>
  <c r="T17" i="6" s="1"/>
  <c r="S16" i="6"/>
  <c r="T16" i="6" s="1"/>
  <c r="S15" i="6"/>
  <c r="T15" i="6" s="1"/>
  <c r="S14" i="6"/>
  <c r="T14" i="6" s="1"/>
  <c r="S13" i="6"/>
  <c r="T13" i="6" s="1"/>
  <c r="S12" i="6"/>
  <c r="T12" i="6" s="1"/>
  <c r="S11" i="6"/>
  <c r="T11" i="6" s="1"/>
  <c r="S10" i="6"/>
  <c r="T10" i="6" s="1"/>
  <c r="S9" i="6"/>
  <c r="T9" i="6" s="1"/>
  <c r="S8" i="6"/>
  <c r="T8" i="6" s="1"/>
  <c r="S7" i="6"/>
  <c r="T7" i="6" s="1"/>
  <c r="S6" i="6"/>
  <c r="T6" i="6" s="1"/>
  <c r="S5" i="6"/>
  <c r="T5" i="6" s="1"/>
  <c r="S4" i="6"/>
  <c r="T4" i="6" s="1"/>
  <c r="S3" i="6"/>
  <c r="T3" i="6" s="1"/>
  <c r="S2" i="6"/>
  <c r="T2" i="6" s="1"/>
  <c r="V188" i="6" l="1"/>
  <c r="V286" i="6"/>
  <c r="V31" i="6"/>
  <c r="V155" i="6"/>
  <c r="V177" i="6"/>
  <c r="V228" i="6"/>
  <c r="V66" i="6"/>
  <c r="V2" i="6"/>
  <c r="V46" i="6"/>
  <c r="V83" i="6"/>
  <c r="V132" i="6"/>
  <c r="V193" i="6"/>
  <c r="V145" i="6"/>
  <c r="V166" i="6"/>
  <c r="V314" i="6"/>
  <c r="V74" i="6"/>
  <c r="V255" i="6"/>
  <c r="V36" i="6"/>
  <c r="V57" i="6"/>
  <c r="V90" i="6"/>
  <c r="V114" i="6"/>
  <c r="V204" i="6"/>
  <c r="V123" i="6"/>
  <c r="T314" i="5" l="1"/>
  <c r="T313" i="5"/>
  <c r="T312" i="5"/>
  <c r="T311" i="5"/>
  <c r="T310" i="5"/>
  <c r="T309" i="5"/>
  <c r="T308" i="5"/>
  <c r="T307" i="5"/>
  <c r="T306" i="5"/>
  <c r="T305" i="5"/>
  <c r="T304" i="5"/>
  <c r="T303" i="5"/>
  <c r="T302" i="5"/>
  <c r="T301" i="5"/>
  <c r="T300" i="5"/>
  <c r="T299" i="5"/>
  <c r="T298" i="5"/>
  <c r="T297" i="5"/>
  <c r="T296" i="5"/>
  <c r="T295" i="5"/>
  <c r="T294" i="5"/>
  <c r="T293" i="5"/>
  <c r="T292" i="5"/>
  <c r="T291" i="5"/>
  <c r="T290" i="5"/>
  <c r="T289" i="5"/>
  <c r="T288" i="5"/>
  <c r="T287" i="5"/>
  <c r="T286" i="5"/>
  <c r="T285" i="5"/>
  <c r="T284" i="5"/>
  <c r="T283" i="5"/>
  <c r="T282" i="5"/>
  <c r="T281" i="5"/>
  <c r="T280" i="5"/>
  <c r="T279" i="5"/>
  <c r="T278" i="5"/>
  <c r="T277" i="5"/>
  <c r="T276" i="5"/>
  <c r="T275" i="5"/>
  <c r="T274" i="5"/>
  <c r="T273" i="5"/>
  <c r="T272" i="5"/>
  <c r="T271" i="5"/>
  <c r="T270" i="5"/>
  <c r="T269" i="5"/>
  <c r="T268" i="5"/>
  <c r="T267" i="5"/>
  <c r="T266" i="5"/>
  <c r="T265" i="5"/>
  <c r="T264" i="5"/>
  <c r="T263" i="5"/>
  <c r="T262" i="5"/>
  <c r="T261" i="5"/>
  <c r="T260" i="5"/>
  <c r="T259" i="5"/>
  <c r="T258" i="5"/>
  <c r="T257" i="5"/>
  <c r="T256" i="5"/>
  <c r="T255" i="5"/>
  <c r="T254" i="5"/>
  <c r="T253" i="5"/>
  <c r="T252" i="5"/>
  <c r="T251" i="5"/>
  <c r="T250" i="5"/>
  <c r="T249" i="5"/>
  <c r="T248" i="5"/>
  <c r="T247" i="5"/>
  <c r="T246" i="5"/>
  <c r="T245" i="5"/>
  <c r="T244" i="5"/>
  <c r="T243" i="5"/>
  <c r="T242" i="5"/>
  <c r="T241" i="5"/>
  <c r="T240" i="5"/>
  <c r="T239" i="5"/>
  <c r="T238" i="5"/>
  <c r="T237" i="5"/>
  <c r="T236" i="5"/>
  <c r="T235" i="5"/>
  <c r="T234" i="5"/>
  <c r="T233" i="5"/>
  <c r="T232" i="5"/>
  <c r="T231" i="5"/>
  <c r="T230" i="5"/>
  <c r="T229" i="5"/>
  <c r="T228" i="5"/>
  <c r="T227" i="5"/>
  <c r="T226" i="5"/>
  <c r="T225" i="5"/>
  <c r="T224" i="5"/>
  <c r="T223" i="5"/>
  <c r="T222" i="5"/>
  <c r="T221" i="5"/>
  <c r="T220" i="5"/>
  <c r="T219" i="5"/>
  <c r="T218" i="5"/>
  <c r="T217" i="5"/>
  <c r="T216" i="5"/>
  <c r="T215" i="5"/>
  <c r="T214" i="5"/>
  <c r="T213" i="5"/>
  <c r="T212" i="5"/>
  <c r="T211" i="5"/>
  <c r="T210" i="5"/>
  <c r="T209" i="5"/>
  <c r="T208" i="5"/>
  <c r="T207" i="5"/>
  <c r="T206" i="5"/>
  <c r="T205" i="5"/>
  <c r="T204" i="5"/>
  <c r="T203" i="5"/>
  <c r="T202" i="5"/>
  <c r="T201" i="5"/>
  <c r="T200" i="5"/>
  <c r="T199" i="5"/>
  <c r="T198" i="5"/>
  <c r="T197" i="5"/>
  <c r="T196" i="5"/>
  <c r="T195" i="5"/>
  <c r="T194" i="5"/>
  <c r="T193" i="5"/>
  <c r="T192" i="5"/>
  <c r="T191" i="5"/>
  <c r="T190" i="5"/>
  <c r="T189" i="5"/>
  <c r="T188" i="5"/>
  <c r="T187" i="5"/>
  <c r="T186" i="5"/>
  <c r="T185" i="5"/>
  <c r="T184" i="5"/>
  <c r="T183" i="5"/>
  <c r="T182" i="5"/>
  <c r="T181" i="5"/>
  <c r="T180" i="5"/>
  <c r="T179" i="5"/>
  <c r="T178" i="5"/>
  <c r="T177" i="5"/>
  <c r="T176" i="5"/>
  <c r="T175" i="5"/>
  <c r="T174" i="5"/>
  <c r="T173" i="5"/>
  <c r="T172" i="5"/>
  <c r="T171" i="5"/>
  <c r="V170" i="5" s="1"/>
  <c r="T170" i="5"/>
  <c r="T169" i="5"/>
  <c r="T168" i="5"/>
  <c r="T167" i="5"/>
  <c r="T166" i="5"/>
  <c r="T165" i="5"/>
  <c r="T164" i="5"/>
  <c r="T163" i="5"/>
  <c r="T162" i="5"/>
  <c r="T161" i="5"/>
  <c r="T160" i="5"/>
  <c r="T159" i="5"/>
  <c r="T158" i="5"/>
  <c r="T157" i="5"/>
  <c r="T156" i="5"/>
  <c r="T155" i="5"/>
  <c r="T154" i="5"/>
  <c r="T153" i="5"/>
  <c r="T152" i="5"/>
  <c r="T151" i="5"/>
  <c r="T150" i="5"/>
  <c r="T149" i="5"/>
  <c r="T148" i="5"/>
  <c r="T147" i="5"/>
  <c r="T146" i="5"/>
  <c r="T145" i="5"/>
  <c r="T144" i="5"/>
  <c r="T143" i="5"/>
  <c r="T142" i="5"/>
  <c r="T141" i="5"/>
  <c r="T140" i="5"/>
  <c r="T139" i="5"/>
  <c r="T138" i="5"/>
  <c r="T137" i="5"/>
  <c r="T136" i="5"/>
  <c r="T135" i="5"/>
  <c r="T134" i="5"/>
  <c r="T133" i="5"/>
  <c r="T132" i="5"/>
  <c r="T131" i="5"/>
  <c r="T130" i="5"/>
  <c r="T129" i="5"/>
  <c r="T128" i="5"/>
  <c r="T127" i="5"/>
  <c r="T126" i="5"/>
  <c r="T125" i="5"/>
  <c r="T124" i="5"/>
  <c r="T123" i="5"/>
  <c r="T122" i="5"/>
  <c r="T121" i="5"/>
  <c r="T120" i="5"/>
  <c r="T119" i="5"/>
  <c r="T118" i="5"/>
  <c r="T117" i="5"/>
  <c r="T116" i="5"/>
  <c r="T115" i="5"/>
  <c r="T114" i="5"/>
  <c r="T113" i="5"/>
  <c r="T112" i="5"/>
  <c r="T111" i="5"/>
  <c r="T110" i="5"/>
  <c r="T109" i="5"/>
  <c r="T108" i="5"/>
  <c r="T107" i="5"/>
  <c r="T106" i="5"/>
  <c r="T105" i="5"/>
  <c r="T104" i="5"/>
  <c r="T103" i="5"/>
  <c r="T102" i="5"/>
  <c r="T101" i="5"/>
  <c r="T100" i="5"/>
  <c r="T99" i="5"/>
  <c r="T98" i="5"/>
  <c r="T97" i="5"/>
  <c r="T96" i="5"/>
  <c r="T95" i="5"/>
  <c r="T94" i="5"/>
  <c r="T93" i="5"/>
  <c r="T92" i="5"/>
  <c r="T91" i="5"/>
  <c r="T90" i="5"/>
  <c r="T89" i="5"/>
  <c r="T88" i="5"/>
  <c r="T87" i="5"/>
  <c r="T86" i="5"/>
  <c r="T85" i="5"/>
  <c r="T84" i="5"/>
  <c r="T83" i="5"/>
  <c r="T82" i="5"/>
  <c r="T81" i="5"/>
  <c r="T80" i="5"/>
  <c r="T79" i="5"/>
  <c r="T78" i="5"/>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T41" i="5"/>
  <c r="T4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T8" i="5"/>
  <c r="T7" i="5"/>
  <c r="T6" i="5"/>
  <c r="T5" i="5"/>
  <c r="T4" i="5"/>
  <c r="T3" i="5"/>
  <c r="T2" i="5"/>
  <c r="V307" i="5" l="1"/>
  <c r="V62" i="5"/>
  <c r="V86" i="5"/>
  <c r="V126" i="5"/>
  <c r="V277" i="5"/>
  <c r="V2" i="5"/>
  <c r="V40" i="5"/>
  <c r="V102" i="5"/>
  <c r="V160" i="5"/>
  <c r="V73" i="5"/>
  <c r="V114" i="5"/>
  <c r="V138" i="5"/>
  <c r="V201" i="5"/>
  <c r="V225" i="5"/>
  <c r="V178" i="5"/>
  <c r="V48" i="5"/>
  <c r="V148" i="5"/>
  <c r="V187" i="5"/>
  <c r="V29" i="5"/>
  <c r="V252" i="5"/>
  <c r="S1517" i="4"/>
  <c r="T1517" i="4" s="1"/>
  <c r="S1516" i="4"/>
  <c r="T1516" i="4" s="1"/>
  <c r="S1515" i="4"/>
  <c r="T1515" i="4" s="1"/>
  <c r="S1514" i="4"/>
  <c r="T1514" i="4" s="1"/>
  <c r="S1513" i="4"/>
  <c r="T1513" i="4" s="1"/>
  <c r="S1512" i="4"/>
  <c r="T1512" i="4" s="1"/>
  <c r="S1511" i="4"/>
  <c r="T1511" i="4" s="1"/>
  <c r="S1510" i="4"/>
  <c r="T1510" i="4" s="1"/>
  <c r="S1509" i="4"/>
  <c r="T1509" i="4" s="1"/>
  <c r="S1508" i="4"/>
  <c r="T1508" i="4" s="1"/>
  <c r="S1507" i="4"/>
  <c r="T1507" i="4" s="1"/>
  <c r="S1506" i="4"/>
  <c r="T1506" i="4" s="1"/>
  <c r="S1505" i="4"/>
  <c r="T1505" i="4" s="1"/>
  <c r="S1504" i="4"/>
  <c r="T1504" i="4" s="1"/>
  <c r="S1503" i="4"/>
  <c r="T1503" i="4" s="1"/>
  <c r="S1502" i="4"/>
  <c r="T1502" i="4" s="1"/>
  <c r="S1501" i="4"/>
  <c r="T1501" i="4" s="1"/>
  <c r="S1500" i="4"/>
  <c r="T1500" i="4" s="1"/>
  <c r="S1499" i="4"/>
  <c r="T1499" i="4" s="1"/>
  <c r="S1498" i="4"/>
  <c r="T1498" i="4" s="1"/>
  <c r="S1497" i="4"/>
  <c r="T1497" i="4" s="1"/>
  <c r="S1496" i="4"/>
  <c r="T1496" i="4" s="1"/>
  <c r="S1495" i="4"/>
  <c r="T1495" i="4" s="1"/>
  <c r="S1494" i="4"/>
  <c r="T1494" i="4" s="1"/>
  <c r="S1493" i="4"/>
  <c r="T1493" i="4" s="1"/>
  <c r="S1492" i="4"/>
  <c r="T1492" i="4" s="1"/>
  <c r="S1491" i="4"/>
  <c r="T1491" i="4" s="1"/>
  <c r="S1490" i="4"/>
  <c r="T1490" i="4" s="1"/>
  <c r="S1489" i="4"/>
  <c r="T1489" i="4" s="1"/>
  <c r="S1488" i="4"/>
  <c r="T1488" i="4" s="1"/>
  <c r="S1487" i="4"/>
  <c r="T1487" i="4" s="1"/>
  <c r="S1486" i="4"/>
  <c r="T1486" i="4" s="1"/>
  <c r="S1485" i="4"/>
  <c r="T1485" i="4" s="1"/>
  <c r="S1484" i="4"/>
  <c r="T1484" i="4" s="1"/>
  <c r="S1483" i="4"/>
  <c r="T1483" i="4" s="1"/>
  <c r="S1482" i="4"/>
  <c r="T1482" i="4" s="1"/>
  <c r="S1481" i="4"/>
  <c r="T1481" i="4" s="1"/>
  <c r="S1480" i="4"/>
  <c r="T1480" i="4" s="1"/>
  <c r="S1479" i="4"/>
  <c r="T1479" i="4" s="1"/>
  <c r="S1478" i="4"/>
  <c r="T1478" i="4" s="1"/>
  <c r="S1477" i="4"/>
  <c r="T1477" i="4" s="1"/>
  <c r="S1476" i="4"/>
  <c r="T1476" i="4" s="1"/>
  <c r="S1475" i="4"/>
  <c r="T1475" i="4" s="1"/>
  <c r="S1474" i="4"/>
  <c r="T1474" i="4" s="1"/>
  <c r="S1473" i="4"/>
  <c r="T1473" i="4" s="1"/>
  <c r="S1472" i="4"/>
  <c r="T1472" i="4" s="1"/>
  <c r="S1471" i="4"/>
  <c r="T1471" i="4" s="1"/>
  <c r="S1470" i="4"/>
  <c r="T1470" i="4" s="1"/>
  <c r="S1469" i="4"/>
  <c r="T1469" i="4" s="1"/>
  <c r="S1468" i="4"/>
  <c r="T1468" i="4" s="1"/>
  <c r="S1467" i="4"/>
  <c r="T1467" i="4" s="1"/>
  <c r="S1466" i="4"/>
  <c r="T1466" i="4" s="1"/>
  <c r="S1465" i="4"/>
  <c r="T1465" i="4" s="1"/>
  <c r="S1464" i="4"/>
  <c r="T1464" i="4" s="1"/>
  <c r="S1463" i="4"/>
  <c r="T1463" i="4" s="1"/>
  <c r="S1462" i="4"/>
  <c r="T1462" i="4" s="1"/>
  <c r="S1461" i="4"/>
  <c r="T1461" i="4" s="1"/>
  <c r="S1460" i="4"/>
  <c r="T1460" i="4" s="1"/>
  <c r="S1459" i="4"/>
  <c r="T1459" i="4" s="1"/>
  <c r="S1458" i="4"/>
  <c r="T1458" i="4" s="1"/>
  <c r="S1457" i="4"/>
  <c r="T1457" i="4" s="1"/>
  <c r="S1456" i="4"/>
  <c r="T1456" i="4" s="1"/>
  <c r="S1455" i="4"/>
  <c r="T1455" i="4" s="1"/>
  <c r="S1454" i="4"/>
  <c r="T1454" i="4" s="1"/>
  <c r="S1453" i="4"/>
  <c r="T1453" i="4" s="1"/>
  <c r="S1452" i="4"/>
  <c r="T1452" i="4" s="1"/>
  <c r="S1451" i="4"/>
  <c r="T1451" i="4" s="1"/>
  <c r="S1450" i="4"/>
  <c r="T1450" i="4" s="1"/>
  <c r="S1449" i="4"/>
  <c r="T1449" i="4" s="1"/>
  <c r="S1448" i="4"/>
  <c r="T1448" i="4" s="1"/>
  <c r="S1447" i="4"/>
  <c r="T1447" i="4" s="1"/>
  <c r="S1446" i="4"/>
  <c r="T1446" i="4" s="1"/>
  <c r="S1445" i="4"/>
  <c r="T1445" i="4" s="1"/>
  <c r="S1444" i="4"/>
  <c r="T1444" i="4" s="1"/>
  <c r="S1443" i="4"/>
  <c r="T1443" i="4" s="1"/>
  <c r="S1442" i="4"/>
  <c r="T1442" i="4" s="1"/>
  <c r="S1441" i="4"/>
  <c r="T1441" i="4" s="1"/>
  <c r="S1440" i="4"/>
  <c r="T1440" i="4" s="1"/>
  <c r="S1439" i="4"/>
  <c r="T1439" i="4" s="1"/>
  <c r="S1438" i="4"/>
  <c r="T1438" i="4" s="1"/>
  <c r="S1437" i="4"/>
  <c r="T1437" i="4" s="1"/>
  <c r="S1436" i="4"/>
  <c r="T1436" i="4" s="1"/>
  <c r="S1435" i="4"/>
  <c r="T1435" i="4" s="1"/>
  <c r="S1434" i="4"/>
  <c r="T1434" i="4" s="1"/>
  <c r="S1433" i="4"/>
  <c r="T1433" i="4" s="1"/>
  <c r="S1432" i="4"/>
  <c r="T1432" i="4" s="1"/>
  <c r="S1431" i="4"/>
  <c r="T1431" i="4" s="1"/>
  <c r="S1430" i="4"/>
  <c r="T1430" i="4" s="1"/>
  <c r="S1429" i="4"/>
  <c r="T1429" i="4" s="1"/>
  <c r="S1428" i="4"/>
  <c r="T1428" i="4" s="1"/>
  <c r="S1427" i="4"/>
  <c r="T1427" i="4" s="1"/>
  <c r="S1426" i="4"/>
  <c r="T1426" i="4" s="1"/>
  <c r="S1425" i="4"/>
  <c r="T1425" i="4" s="1"/>
  <c r="S1424" i="4"/>
  <c r="T1424" i="4" s="1"/>
  <c r="S1423" i="4"/>
  <c r="T1423" i="4" s="1"/>
  <c r="S1422" i="4"/>
  <c r="T1422" i="4" s="1"/>
  <c r="S1421" i="4"/>
  <c r="T1421" i="4" s="1"/>
  <c r="S1420" i="4"/>
  <c r="T1420" i="4" s="1"/>
  <c r="S1419" i="4"/>
  <c r="T1419" i="4" s="1"/>
  <c r="S1418" i="4"/>
  <c r="T1418" i="4" s="1"/>
  <c r="S1417" i="4"/>
  <c r="T1417" i="4" s="1"/>
  <c r="S1416" i="4"/>
  <c r="T1416" i="4" s="1"/>
  <c r="S1415" i="4"/>
  <c r="T1415" i="4" s="1"/>
  <c r="S1414" i="4"/>
  <c r="T1414" i="4" s="1"/>
  <c r="S1413" i="4"/>
  <c r="T1413" i="4" s="1"/>
  <c r="S1412" i="4"/>
  <c r="T1412" i="4" s="1"/>
  <c r="S1411" i="4"/>
  <c r="T1411" i="4" s="1"/>
  <c r="S1410" i="4"/>
  <c r="T1410" i="4" s="1"/>
  <c r="S1409" i="4"/>
  <c r="T1409" i="4" s="1"/>
  <c r="S1408" i="4"/>
  <c r="T1408" i="4" s="1"/>
  <c r="S1407" i="4"/>
  <c r="T1407" i="4" s="1"/>
  <c r="S1406" i="4"/>
  <c r="T1406" i="4" s="1"/>
  <c r="S1405" i="4"/>
  <c r="T1405" i="4" s="1"/>
  <c r="S1404" i="4"/>
  <c r="T1404" i="4" s="1"/>
  <c r="S1403" i="4"/>
  <c r="T1403" i="4" s="1"/>
  <c r="S1402" i="4"/>
  <c r="T1402" i="4" s="1"/>
  <c r="S1401" i="4"/>
  <c r="T1401" i="4" s="1"/>
  <c r="S1400" i="4"/>
  <c r="T1400" i="4" s="1"/>
  <c r="S1399" i="4"/>
  <c r="T1399" i="4" s="1"/>
  <c r="S1398" i="4"/>
  <c r="T1398" i="4" s="1"/>
  <c r="S1397" i="4"/>
  <c r="T1397" i="4" s="1"/>
  <c r="S1396" i="4"/>
  <c r="T1396" i="4" s="1"/>
  <c r="S1395" i="4"/>
  <c r="T1395" i="4" s="1"/>
  <c r="S1394" i="4"/>
  <c r="T1394" i="4" s="1"/>
  <c r="S1393" i="4"/>
  <c r="T1393" i="4" s="1"/>
  <c r="S1392" i="4"/>
  <c r="T1392" i="4" s="1"/>
  <c r="S1391" i="4"/>
  <c r="T1391" i="4" s="1"/>
  <c r="S1390" i="4"/>
  <c r="T1390" i="4" s="1"/>
  <c r="S1389" i="4"/>
  <c r="T1389" i="4" s="1"/>
  <c r="S1388" i="4"/>
  <c r="T1388" i="4" s="1"/>
  <c r="S1387" i="4"/>
  <c r="T1387" i="4" s="1"/>
  <c r="S1386" i="4"/>
  <c r="T1386" i="4" s="1"/>
  <c r="S1385" i="4"/>
  <c r="T1385" i="4" s="1"/>
  <c r="S1384" i="4"/>
  <c r="T1384" i="4" s="1"/>
  <c r="S1383" i="4"/>
  <c r="T1383" i="4" s="1"/>
  <c r="S1382" i="4"/>
  <c r="T1382" i="4" s="1"/>
  <c r="S1381" i="4"/>
  <c r="T1381" i="4" s="1"/>
  <c r="S1380" i="4"/>
  <c r="T1380" i="4" s="1"/>
  <c r="S1379" i="4"/>
  <c r="T1379" i="4" s="1"/>
  <c r="S1378" i="4"/>
  <c r="T1378" i="4" s="1"/>
  <c r="S1377" i="4"/>
  <c r="T1377" i="4" s="1"/>
  <c r="S1376" i="4"/>
  <c r="T1376" i="4" s="1"/>
  <c r="S1375" i="4"/>
  <c r="T1375" i="4" s="1"/>
  <c r="S1374" i="4"/>
  <c r="T1374" i="4" s="1"/>
  <c r="S1373" i="4"/>
  <c r="T1373" i="4" s="1"/>
  <c r="S1372" i="4"/>
  <c r="T1372" i="4" s="1"/>
  <c r="S1371" i="4"/>
  <c r="T1371" i="4" s="1"/>
  <c r="S1370" i="4"/>
  <c r="T1370" i="4" s="1"/>
  <c r="S1369" i="4"/>
  <c r="T1369" i="4" s="1"/>
  <c r="S1368" i="4"/>
  <c r="T1368" i="4" s="1"/>
  <c r="S1367" i="4"/>
  <c r="T1367" i="4" s="1"/>
  <c r="S1366" i="4"/>
  <c r="T1366" i="4" s="1"/>
  <c r="S1365" i="4"/>
  <c r="T1365" i="4" s="1"/>
  <c r="S1364" i="4"/>
  <c r="T1364" i="4" s="1"/>
  <c r="S1363" i="4"/>
  <c r="T1363" i="4" s="1"/>
  <c r="S1362" i="4"/>
  <c r="T1362" i="4" s="1"/>
  <c r="S1361" i="4"/>
  <c r="T1361" i="4" s="1"/>
  <c r="S1360" i="4"/>
  <c r="T1360" i="4" s="1"/>
  <c r="S1359" i="4"/>
  <c r="T1359" i="4" s="1"/>
  <c r="S1358" i="4"/>
  <c r="T1358" i="4" s="1"/>
  <c r="S1357" i="4"/>
  <c r="T1357" i="4" s="1"/>
  <c r="S1356" i="4"/>
  <c r="T1356" i="4" s="1"/>
  <c r="S1355" i="4"/>
  <c r="T1355" i="4" s="1"/>
  <c r="S1354" i="4"/>
  <c r="T1354" i="4" s="1"/>
  <c r="S1353" i="4"/>
  <c r="T1353" i="4" s="1"/>
  <c r="S1352" i="4"/>
  <c r="T1352" i="4" s="1"/>
  <c r="S1351" i="4"/>
  <c r="T1351" i="4" s="1"/>
  <c r="S1350" i="4"/>
  <c r="T1350" i="4" s="1"/>
  <c r="S1349" i="4"/>
  <c r="T1349" i="4" s="1"/>
  <c r="S1348" i="4"/>
  <c r="T1348" i="4" s="1"/>
  <c r="S1347" i="4"/>
  <c r="T1347" i="4" s="1"/>
  <c r="S1346" i="4"/>
  <c r="T1346" i="4" s="1"/>
  <c r="S1345" i="4"/>
  <c r="T1345" i="4" s="1"/>
  <c r="S1344" i="4"/>
  <c r="T1344" i="4" s="1"/>
  <c r="S1343" i="4"/>
  <c r="T1343" i="4" s="1"/>
  <c r="S1342" i="4"/>
  <c r="T1342" i="4" s="1"/>
  <c r="S1341" i="4"/>
  <c r="T1341" i="4" s="1"/>
  <c r="S1340" i="4"/>
  <c r="T1340" i="4" s="1"/>
  <c r="S1339" i="4"/>
  <c r="T1339" i="4" s="1"/>
  <c r="S1338" i="4"/>
  <c r="T1338" i="4" s="1"/>
  <c r="S1337" i="4"/>
  <c r="T1337" i="4" s="1"/>
  <c r="S1336" i="4"/>
  <c r="T1336" i="4" s="1"/>
  <c r="S1335" i="4"/>
  <c r="T1335" i="4" s="1"/>
  <c r="S1334" i="4"/>
  <c r="T1334" i="4" s="1"/>
  <c r="S1333" i="4"/>
  <c r="T1333" i="4" s="1"/>
  <c r="S1332" i="4"/>
  <c r="T1332" i="4" s="1"/>
  <c r="S1331" i="4"/>
  <c r="T1331" i="4" s="1"/>
  <c r="S1330" i="4"/>
  <c r="T1330" i="4" s="1"/>
  <c r="S1329" i="4"/>
  <c r="T1329" i="4" s="1"/>
  <c r="S1328" i="4"/>
  <c r="T1328" i="4" s="1"/>
  <c r="S1327" i="4"/>
  <c r="T1327" i="4" s="1"/>
  <c r="S1326" i="4"/>
  <c r="T1326" i="4" s="1"/>
  <c r="S1325" i="4"/>
  <c r="T1325" i="4" s="1"/>
  <c r="S1324" i="4"/>
  <c r="T1324" i="4" s="1"/>
  <c r="S1323" i="4"/>
  <c r="T1323" i="4" s="1"/>
  <c r="S1322" i="4"/>
  <c r="T1322" i="4" s="1"/>
  <c r="S1321" i="4"/>
  <c r="T1321" i="4" s="1"/>
  <c r="S1320" i="4"/>
  <c r="T1320" i="4" s="1"/>
  <c r="S1319" i="4"/>
  <c r="T1319" i="4" s="1"/>
  <c r="S1318" i="4"/>
  <c r="T1318" i="4" s="1"/>
  <c r="S1317" i="4"/>
  <c r="T1317" i="4" s="1"/>
  <c r="S1316" i="4"/>
  <c r="T1316" i="4" s="1"/>
  <c r="S1315" i="4"/>
  <c r="T1315" i="4" s="1"/>
  <c r="S1314" i="4"/>
  <c r="T1314" i="4" s="1"/>
  <c r="S1313" i="4"/>
  <c r="T1313" i="4" s="1"/>
  <c r="S1312" i="4"/>
  <c r="T1312" i="4" s="1"/>
  <c r="S1311" i="4"/>
  <c r="T1311" i="4" s="1"/>
  <c r="S1310" i="4"/>
  <c r="T1310" i="4" s="1"/>
  <c r="S1309" i="4"/>
  <c r="T1309" i="4" s="1"/>
  <c r="S1308" i="4"/>
  <c r="T1308" i="4" s="1"/>
  <c r="S1307" i="4"/>
  <c r="T1307" i="4" s="1"/>
  <c r="S1306" i="4"/>
  <c r="T1306" i="4" s="1"/>
  <c r="S1305" i="4"/>
  <c r="T1305" i="4" s="1"/>
  <c r="S1304" i="4"/>
  <c r="T1304" i="4" s="1"/>
  <c r="S1303" i="4"/>
  <c r="T1303" i="4" s="1"/>
  <c r="S1302" i="4"/>
  <c r="T1302" i="4" s="1"/>
  <c r="S1301" i="4"/>
  <c r="T1301" i="4" s="1"/>
  <c r="S1300" i="4"/>
  <c r="T1300" i="4" s="1"/>
  <c r="S1299" i="4"/>
  <c r="T1299" i="4" s="1"/>
  <c r="S1298" i="4"/>
  <c r="T1298" i="4" s="1"/>
  <c r="S1297" i="4"/>
  <c r="T1297" i="4" s="1"/>
  <c r="S1296" i="4"/>
  <c r="T1296" i="4" s="1"/>
  <c r="S1295" i="4"/>
  <c r="T1295" i="4" s="1"/>
  <c r="S1294" i="4"/>
  <c r="T1294" i="4" s="1"/>
  <c r="S1293" i="4"/>
  <c r="T1293" i="4" s="1"/>
  <c r="S1292" i="4"/>
  <c r="T1292" i="4" s="1"/>
  <c r="S1291" i="4"/>
  <c r="T1291" i="4" s="1"/>
  <c r="T1290" i="4"/>
  <c r="S1290" i="4"/>
  <c r="S1289" i="4"/>
  <c r="T1289" i="4" s="1"/>
  <c r="S1288" i="4"/>
  <c r="T1288" i="4" s="1"/>
  <c r="S1287" i="4"/>
  <c r="T1287" i="4" s="1"/>
  <c r="S1286" i="4"/>
  <c r="T1286" i="4" s="1"/>
  <c r="S1285" i="4"/>
  <c r="T1285" i="4" s="1"/>
  <c r="S1284" i="4"/>
  <c r="T1284" i="4" s="1"/>
  <c r="S1283" i="4"/>
  <c r="T1283" i="4" s="1"/>
  <c r="S1282" i="4"/>
  <c r="T1282" i="4" s="1"/>
  <c r="S1281" i="4"/>
  <c r="T1281" i="4" s="1"/>
  <c r="S1280" i="4"/>
  <c r="T1280" i="4" s="1"/>
  <c r="S1279" i="4"/>
  <c r="T1279" i="4" s="1"/>
  <c r="S1278" i="4"/>
  <c r="T1278" i="4" s="1"/>
  <c r="S1277" i="4"/>
  <c r="T1277" i="4" s="1"/>
  <c r="S1276" i="4"/>
  <c r="T1276" i="4" s="1"/>
  <c r="S1275" i="4"/>
  <c r="T1275" i="4" s="1"/>
  <c r="S1274" i="4"/>
  <c r="T1274" i="4" s="1"/>
  <c r="S1273" i="4"/>
  <c r="T1273" i="4" s="1"/>
  <c r="S1272" i="4"/>
  <c r="T1272" i="4" s="1"/>
  <c r="S1271" i="4"/>
  <c r="T1271" i="4" s="1"/>
  <c r="S1270" i="4"/>
  <c r="T1270" i="4" s="1"/>
  <c r="S1269" i="4"/>
  <c r="T1269" i="4" s="1"/>
  <c r="S1268" i="4"/>
  <c r="T1268" i="4" s="1"/>
  <c r="S1267" i="4"/>
  <c r="T1267" i="4" s="1"/>
  <c r="S1266" i="4"/>
  <c r="T1266" i="4" s="1"/>
  <c r="S1265" i="4"/>
  <c r="T1265" i="4" s="1"/>
  <c r="S1264" i="4"/>
  <c r="T1264" i="4" s="1"/>
  <c r="S1263" i="4"/>
  <c r="T1263" i="4" s="1"/>
  <c r="S1262" i="4"/>
  <c r="T1262" i="4" s="1"/>
  <c r="S1261" i="4"/>
  <c r="T1261" i="4" s="1"/>
  <c r="T1260" i="4"/>
  <c r="S1260" i="4"/>
  <c r="S1259" i="4"/>
  <c r="T1259" i="4" s="1"/>
  <c r="S1258" i="4"/>
  <c r="T1258" i="4" s="1"/>
  <c r="S1257" i="4"/>
  <c r="T1257" i="4" s="1"/>
  <c r="S1256" i="4"/>
  <c r="T1256" i="4" s="1"/>
  <c r="S1255" i="4"/>
  <c r="T1255" i="4" s="1"/>
  <c r="S1254" i="4"/>
  <c r="T1254" i="4" s="1"/>
  <c r="S1253" i="4"/>
  <c r="T1253" i="4" s="1"/>
  <c r="S1252" i="4"/>
  <c r="T1252" i="4" s="1"/>
  <c r="S1251" i="4"/>
  <c r="T1251" i="4" s="1"/>
  <c r="S1250" i="4"/>
  <c r="T1250" i="4" s="1"/>
  <c r="S1249" i="4"/>
  <c r="T1249" i="4" s="1"/>
  <c r="S1248" i="4"/>
  <c r="T1248" i="4" s="1"/>
  <c r="S1247" i="4"/>
  <c r="T1247" i="4" s="1"/>
  <c r="S1246" i="4"/>
  <c r="T1246" i="4" s="1"/>
  <c r="S1245" i="4"/>
  <c r="T1245" i="4" s="1"/>
  <c r="S1244" i="4"/>
  <c r="T1244" i="4" s="1"/>
  <c r="S1243" i="4"/>
  <c r="T1243" i="4" s="1"/>
  <c r="S1242" i="4"/>
  <c r="T1242" i="4" s="1"/>
  <c r="S1241" i="4"/>
  <c r="T1241" i="4" s="1"/>
  <c r="S1240" i="4"/>
  <c r="T1240" i="4" s="1"/>
  <c r="S1239" i="4"/>
  <c r="T1239" i="4" s="1"/>
  <c r="S1238" i="4"/>
  <c r="T1238" i="4" s="1"/>
  <c r="S1237" i="4"/>
  <c r="T1237" i="4" s="1"/>
  <c r="S1236" i="4"/>
  <c r="T1236" i="4" s="1"/>
  <c r="S1235" i="4"/>
  <c r="T1235" i="4" s="1"/>
  <c r="S1234" i="4"/>
  <c r="T1234" i="4" s="1"/>
  <c r="S1233" i="4"/>
  <c r="T1233" i="4" s="1"/>
  <c r="S1232" i="4"/>
  <c r="T1232" i="4" s="1"/>
  <c r="S1231" i="4"/>
  <c r="T1231" i="4" s="1"/>
  <c r="S1230" i="4"/>
  <c r="T1230" i="4" s="1"/>
  <c r="S1229" i="4"/>
  <c r="T1229" i="4" s="1"/>
  <c r="S1228" i="4"/>
  <c r="T1228" i="4" s="1"/>
  <c r="S1227" i="4"/>
  <c r="T1227" i="4" s="1"/>
  <c r="S1226" i="4"/>
  <c r="T1226" i="4" s="1"/>
  <c r="S1225" i="4"/>
  <c r="T1225" i="4" s="1"/>
  <c r="S1224" i="4"/>
  <c r="T1224" i="4" s="1"/>
  <c r="S1223" i="4"/>
  <c r="T1223" i="4" s="1"/>
  <c r="S1222" i="4"/>
  <c r="T1222" i="4" s="1"/>
  <c r="S1221" i="4"/>
  <c r="T1221" i="4" s="1"/>
  <c r="S1220" i="4"/>
  <c r="T1220" i="4" s="1"/>
  <c r="S1219" i="4"/>
  <c r="T1219" i="4" s="1"/>
  <c r="S1218" i="4"/>
  <c r="T1218" i="4" s="1"/>
  <c r="S1217" i="4"/>
  <c r="T1217" i="4" s="1"/>
  <c r="S1216" i="4"/>
  <c r="T1216" i="4" s="1"/>
  <c r="S1215" i="4"/>
  <c r="T1215" i="4" s="1"/>
  <c r="S1214" i="4"/>
  <c r="T1214" i="4" s="1"/>
  <c r="S1213" i="4"/>
  <c r="T1213" i="4" s="1"/>
  <c r="S1212" i="4"/>
  <c r="T1212" i="4" s="1"/>
  <c r="S1211" i="4"/>
  <c r="T1211" i="4" s="1"/>
  <c r="S1210" i="4"/>
  <c r="T1210" i="4" s="1"/>
  <c r="S1209" i="4"/>
  <c r="T1209" i="4" s="1"/>
  <c r="S1208" i="4"/>
  <c r="T1208" i="4" s="1"/>
  <c r="S1207" i="4"/>
  <c r="T1207" i="4" s="1"/>
  <c r="S1206" i="4"/>
  <c r="T1206" i="4" s="1"/>
  <c r="S1205" i="4"/>
  <c r="T1205" i="4" s="1"/>
  <c r="S1204" i="4"/>
  <c r="T1204" i="4" s="1"/>
  <c r="S1203" i="4"/>
  <c r="T1203" i="4" s="1"/>
  <c r="S1202" i="4"/>
  <c r="T1202" i="4" s="1"/>
  <c r="S1201" i="4"/>
  <c r="T1201" i="4" s="1"/>
  <c r="S1200" i="4"/>
  <c r="T1200" i="4" s="1"/>
  <c r="S1199" i="4"/>
  <c r="T1199" i="4" s="1"/>
  <c r="S1198" i="4"/>
  <c r="T1198" i="4" s="1"/>
  <c r="S1197" i="4"/>
  <c r="T1197" i="4" s="1"/>
  <c r="S1196" i="4"/>
  <c r="T1196" i="4" s="1"/>
  <c r="S1195" i="4"/>
  <c r="T1195" i="4" s="1"/>
  <c r="S1194" i="4"/>
  <c r="T1194" i="4" s="1"/>
  <c r="S1193" i="4"/>
  <c r="T1193" i="4" s="1"/>
  <c r="S1192" i="4"/>
  <c r="T1192" i="4" s="1"/>
  <c r="S1191" i="4"/>
  <c r="T1191" i="4" s="1"/>
  <c r="S1190" i="4"/>
  <c r="T1190" i="4" s="1"/>
  <c r="S1189" i="4"/>
  <c r="T1189" i="4" s="1"/>
  <c r="S1188" i="4"/>
  <c r="T1188" i="4" s="1"/>
  <c r="S1187" i="4"/>
  <c r="T1187" i="4" s="1"/>
  <c r="S1186" i="4"/>
  <c r="T1186" i="4" s="1"/>
  <c r="S1185" i="4"/>
  <c r="T1185" i="4" s="1"/>
  <c r="S1184" i="4"/>
  <c r="T1184" i="4" s="1"/>
  <c r="S1183" i="4"/>
  <c r="T1183" i="4" s="1"/>
  <c r="S1182" i="4"/>
  <c r="T1182" i="4" s="1"/>
  <c r="S1181" i="4"/>
  <c r="T1181" i="4" s="1"/>
  <c r="S1180" i="4"/>
  <c r="T1180" i="4" s="1"/>
  <c r="S1179" i="4"/>
  <c r="T1179" i="4" s="1"/>
  <c r="S1178" i="4"/>
  <c r="T1178" i="4" s="1"/>
  <c r="S1177" i="4"/>
  <c r="T1177" i="4" s="1"/>
  <c r="S1176" i="4"/>
  <c r="T1176" i="4" s="1"/>
  <c r="S1175" i="4"/>
  <c r="T1175" i="4" s="1"/>
  <c r="S1174" i="4"/>
  <c r="T1174" i="4" s="1"/>
  <c r="S1173" i="4"/>
  <c r="T1173" i="4" s="1"/>
  <c r="S1172" i="4"/>
  <c r="T1172" i="4" s="1"/>
  <c r="S1171" i="4"/>
  <c r="T1171" i="4" s="1"/>
  <c r="S1170" i="4"/>
  <c r="T1170" i="4" s="1"/>
  <c r="S1169" i="4"/>
  <c r="T1169" i="4" s="1"/>
  <c r="S1168" i="4"/>
  <c r="T1168" i="4" s="1"/>
  <c r="S1167" i="4"/>
  <c r="T1167" i="4" s="1"/>
  <c r="S1166" i="4"/>
  <c r="T1166" i="4" s="1"/>
  <c r="S1165" i="4"/>
  <c r="T1165" i="4" s="1"/>
  <c r="S1164" i="4"/>
  <c r="T1164" i="4" s="1"/>
  <c r="S1163" i="4"/>
  <c r="T1163" i="4" s="1"/>
  <c r="S1162" i="4"/>
  <c r="T1162" i="4" s="1"/>
  <c r="S1161" i="4"/>
  <c r="T1161" i="4" s="1"/>
  <c r="S1160" i="4"/>
  <c r="T1160" i="4" s="1"/>
  <c r="S1159" i="4"/>
  <c r="T1159" i="4" s="1"/>
  <c r="S1158" i="4"/>
  <c r="T1158" i="4" s="1"/>
  <c r="S1157" i="4"/>
  <c r="T1157" i="4" s="1"/>
  <c r="S1156" i="4"/>
  <c r="T1156" i="4" s="1"/>
  <c r="S1155" i="4"/>
  <c r="T1155" i="4" s="1"/>
  <c r="S1154" i="4"/>
  <c r="T1154" i="4" s="1"/>
  <c r="S1153" i="4"/>
  <c r="T1153" i="4" s="1"/>
  <c r="S1152" i="4"/>
  <c r="T1152" i="4" s="1"/>
  <c r="S1151" i="4"/>
  <c r="T1151" i="4" s="1"/>
  <c r="S1150" i="4"/>
  <c r="T1150" i="4" s="1"/>
  <c r="S1149" i="4"/>
  <c r="T1149" i="4" s="1"/>
  <c r="S1148" i="4"/>
  <c r="T1148" i="4" s="1"/>
  <c r="S1147" i="4"/>
  <c r="T1147" i="4" s="1"/>
  <c r="S1146" i="4"/>
  <c r="T1146" i="4" s="1"/>
  <c r="S1145" i="4"/>
  <c r="T1145" i="4" s="1"/>
  <c r="S1144" i="4"/>
  <c r="T1144" i="4" s="1"/>
  <c r="S1143" i="4"/>
  <c r="T1143" i="4" s="1"/>
  <c r="S1142" i="4"/>
  <c r="T1142" i="4" s="1"/>
  <c r="S1141" i="4"/>
  <c r="T1141" i="4" s="1"/>
  <c r="S1140" i="4"/>
  <c r="T1140" i="4" s="1"/>
  <c r="S1139" i="4"/>
  <c r="T1139" i="4" s="1"/>
  <c r="S1138" i="4"/>
  <c r="T1138" i="4" s="1"/>
  <c r="S1137" i="4"/>
  <c r="T1137" i="4" s="1"/>
  <c r="S1136" i="4"/>
  <c r="T1136" i="4" s="1"/>
  <c r="S1135" i="4"/>
  <c r="T1135" i="4" s="1"/>
  <c r="S1134" i="4"/>
  <c r="T1134" i="4" s="1"/>
  <c r="S1133" i="4"/>
  <c r="T1133" i="4" s="1"/>
  <c r="S1132" i="4"/>
  <c r="T1132" i="4" s="1"/>
  <c r="S1131" i="4"/>
  <c r="T1131" i="4" s="1"/>
  <c r="S1130" i="4"/>
  <c r="T1130" i="4" s="1"/>
  <c r="S1129" i="4"/>
  <c r="T1129" i="4" s="1"/>
  <c r="S1128" i="4"/>
  <c r="T1128" i="4" s="1"/>
  <c r="S1127" i="4"/>
  <c r="T1127" i="4" s="1"/>
  <c r="S1126" i="4"/>
  <c r="T1126" i="4" s="1"/>
  <c r="S1125" i="4"/>
  <c r="T1125" i="4" s="1"/>
  <c r="S1124" i="4"/>
  <c r="T1124" i="4" s="1"/>
  <c r="S1123" i="4"/>
  <c r="T1123" i="4" s="1"/>
  <c r="S1122" i="4"/>
  <c r="T1122" i="4" s="1"/>
  <c r="S1121" i="4"/>
  <c r="T1121" i="4" s="1"/>
  <c r="S1120" i="4"/>
  <c r="T1120" i="4" s="1"/>
  <c r="S1119" i="4"/>
  <c r="T1119" i="4" s="1"/>
  <c r="S1118" i="4"/>
  <c r="T1118" i="4" s="1"/>
  <c r="S1117" i="4"/>
  <c r="T1117" i="4" s="1"/>
  <c r="S1116" i="4"/>
  <c r="T1116" i="4" s="1"/>
  <c r="S1115" i="4"/>
  <c r="T1115" i="4" s="1"/>
  <c r="S1114" i="4"/>
  <c r="T1114" i="4" s="1"/>
  <c r="S1113" i="4"/>
  <c r="T1113" i="4" s="1"/>
  <c r="S1112" i="4"/>
  <c r="T1112" i="4" s="1"/>
  <c r="S1111" i="4"/>
  <c r="T1111" i="4" s="1"/>
  <c r="S1110" i="4"/>
  <c r="T1110" i="4" s="1"/>
  <c r="S1109" i="4"/>
  <c r="T1109" i="4" s="1"/>
  <c r="S1108" i="4"/>
  <c r="T1108" i="4" s="1"/>
  <c r="S1107" i="4"/>
  <c r="T1107" i="4" s="1"/>
  <c r="S1106" i="4"/>
  <c r="T1106" i="4" s="1"/>
  <c r="S1105" i="4"/>
  <c r="T1105" i="4" s="1"/>
  <c r="S1104" i="4"/>
  <c r="T1104" i="4" s="1"/>
  <c r="S1103" i="4"/>
  <c r="T1103" i="4" s="1"/>
  <c r="S1102" i="4"/>
  <c r="T1102" i="4" s="1"/>
  <c r="S1101" i="4"/>
  <c r="T1101" i="4" s="1"/>
  <c r="S1100" i="4"/>
  <c r="T1100" i="4" s="1"/>
  <c r="S1099" i="4"/>
  <c r="T1099" i="4" s="1"/>
  <c r="S1098" i="4"/>
  <c r="T1098" i="4" s="1"/>
  <c r="S1097" i="4"/>
  <c r="T1097" i="4" s="1"/>
  <c r="S1096" i="4"/>
  <c r="T1096" i="4" s="1"/>
  <c r="S1095" i="4"/>
  <c r="T1095" i="4" s="1"/>
  <c r="S1094" i="4"/>
  <c r="T1094" i="4" s="1"/>
  <c r="S1093" i="4"/>
  <c r="T1093" i="4" s="1"/>
  <c r="S1092" i="4"/>
  <c r="T1092" i="4" s="1"/>
  <c r="S1091" i="4"/>
  <c r="T1091" i="4" s="1"/>
  <c r="S1090" i="4"/>
  <c r="T1090" i="4" s="1"/>
  <c r="S1089" i="4"/>
  <c r="T1089" i="4" s="1"/>
  <c r="S1088" i="4"/>
  <c r="T1088" i="4" s="1"/>
  <c r="S1087" i="4"/>
  <c r="T1087" i="4" s="1"/>
  <c r="S1086" i="4"/>
  <c r="T1086" i="4" s="1"/>
  <c r="S1085" i="4"/>
  <c r="T1085" i="4" s="1"/>
  <c r="S1084" i="4"/>
  <c r="T1084" i="4" s="1"/>
  <c r="S1083" i="4"/>
  <c r="T1083" i="4" s="1"/>
  <c r="S1082" i="4"/>
  <c r="T1082" i="4" s="1"/>
  <c r="S1081" i="4"/>
  <c r="T1081" i="4" s="1"/>
  <c r="S1080" i="4"/>
  <c r="T1080" i="4" s="1"/>
  <c r="S1079" i="4"/>
  <c r="T1079" i="4" s="1"/>
  <c r="S1078" i="4"/>
  <c r="T1078" i="4" s="1"/>
  <c r="S1077" i="4"/>
  <c r="T1077" i="4" s="1"/>
  <c r="S1076" i="4"/>
  <c r="T1076" i="4" s="1"/>
  <c r="S1075" i="4"/>
  <c r="T1075" i="4" s="1"/>
  <c r="S1074" i="4"/>
  <c r="T1074" i="4" s="1"/>
  <c r="S1073" i="4"/>
  <c r="T1073" i="4" s="1"/>
  <c r="S1072" i="4"/>
  <c r="T1072" i="4" s="1"/>
  <c r="S1071" i="4"/>
  <c r="T1071" i="4" s="1"/>
  <c r="S1070" i="4"/>
  <c r="T1070" i="4" s="1"/>
  <c r="S1069" i="4"/>
  <c r="T1069" i="4" s="1"/>
  <c r="S1068" i="4"/>
  <c r="T1068" i="4" s="1"/>
  <c r="S1067" i="4"/>
  <c r="T1067" i="4" s="1"/>
  <c r="S1066" i="4"/>
  <c r="T1066" i="4" s="1"/>
  <c r="S1065" i="4"/>
  <c r="T1065" i="4" s="1"/>
  <c r="S1064" i="4"/>
  <c r="T1064" i="4" s="1"/>
  <c r="S1063" i="4"/>
  <c r="T1063" i="4" s="1"/>
  <c r="S1062" i="4"/>
  <c r="T1062" i="4" s="1"/>
  <c r="S1061" i="4"/>
  <c r="T1061" i="4" s="1"/>
  <c r="S1060" i="4"/>
  <c r="T1060" i="4" s="1"/>
  <c r="S1059" i="4"/>
  <c r="T1059" i="4" s="1"/>
  <c r="S1058" i="4"/>
  <c r="T1058" i="4" s="1"/>
  <c r="S1057" i="4"/>
  <c r="T1057" i="4" s="1"/>
  <c r="S1056" i="4"/>
  <c r="T1056" i="4" s="1"/>
  <c r="S1055" i="4"/>
  <c r="T1055" i="4" s="1"/>
  <c r="S1054" i="4"/>
  <c r="T1054" i="4" s="1"/>
  <c r="S1053" i="4"/>
  <c r="T1053" i="4" s="1"/>
  <c r="S1052" i="4"/>
  <c r="T1052" i="4" s="1"/>
  <c r="S1051" i="4"/>
  <c r="T1051" i="4" s="1"/>
  <c r="S1050" i="4"/>
  <c r="T1050" i="4" s="1"/>
  <c r="S1049" i="4"/>
  <c r="T1049" i="4" s="1"/>
  <c r="S1048" i="4"/>
  <c r="T1048" i="4" s="1"/>
  <c r="S1047" i="4"/>
  <c r="T1047" i="4" s="1"/>
  <c r="S1046" i="4"/>
  <c r="T1046" i="4" s="1"/>
  <c r="S1045" i="4"/>
  <c r="T1045" i="4" s="1"/>
  <c r="S1044" i="4"/>
  <c r="T1044" i="4" s="1"/>
  <c r="S1043" i="4"/>
  <c r="T1043" i="4" s="1"/>
  <c r="S1042" i="4"/>
  <c r="T1042" i="4" s="1"/>
  <c r="S1041" i="4"/>
  <c r="T1041" i="4" s="1"/>
  <c r="S1040" i="4"/>
  <c r="T1040" i="4" s="1"/>
  <c r="S1039" i="4"/>
  <c r="T1039" i="4" s="1"/>
  <c r="S1038" i="4"/>
  <c r="T1038" i="4" s="1"/>
  <c r="S1037" i="4"/>
  <c r="T1037" i="4" s="1"/>
  <c r="S1036" i="4"/>
  <c r="T1036" i="4" s="1"/>
  <c r="S1035" i="4"/>
  <c r="T1035" i="4" s="1"/>
  <c r="S1034" i="4"/>
  <c r="T1034" i="4" s="1"/>
  <c r="S1033" i="4"/>
  <c r="T1033" i="4" s="1"/>
  <c r="S1032" i="4"/>
  <c r="T1032" i="4" s="1"/>
  <c r="S1031" i="4"/>
  <c r="T1031" i="4" s="1"/>
  <c r="S1030" i="4"/>
  <c r="T1030" i="4" s="1"/>
  <c r="S1029" i="4"/>
  <c r="T1029" i="4" s="1"/>
  <c r="S1028" i="4"/>
  <c r="T1028" i="4" s="1"/>
  <c r="S1027" i="4"/>
  <c r="T1027" i="4" s="1"/>
  <c r="S1026" i="4"/>
  <c r="T1026" i="4" s="1"/>
  <c r="S1025" i="4"/>
  <c r="T1025" i="4" s="1"/>
  <c r="S1024" i="4"/>
  <c r="T1024" i="4" s="1"/>
  <c r="S1023" i="4"/>
  <c r="T1023" i="4" s="1"/>
  <c r="S1022" i="4"/>
  <c r="T1022" i="4" s="1"/>
  <c r="S1021" i="4"/>
  <c r="T1021" i="4" s="1"/>
  <c r="S1020" i="4"/>
  <c r="T1020" i="4" s="1"/>
  <c r="S1019" i="4"/>
  <c r="T1019" i="4" s="1"/>
  <c r="S1018" i="4"/>
  <c r="T1018" i="4" s="1"/>
  <c r="S1017" i="4"/>
  <c r="T1017" i="4" s="1"/>
  <c r="S1016" i="4"/>
  <c r="T1016" i="4" s="1"/>
  <c r="S1015" i="4"/>
  <c r="T1015" i="4" s="1"/>
  <c r="S1014" i="4"/>
  <c r="T1014" i="4" s="1"/>
  <c r="S1013" i="4"/>
  <c r="T1013" i="4" s="1"/>
  <c r="S1012" i="4"/>
  <c r="T1012" i="4" s="1"/>
  <c r="S1011" i="4"/>
  <c r="T1011" i="4" s="1"/>
  <c r="S1010" i="4"/>
  <c r="T1010" i="4" s="1"/>
  <c r="S1009" i="4"/>
  <c r="T1009" i="4" s="1"/>
  <c r="S1008" i="4"/>
  <c r="T1008" i="4" s="1"/>
  <c r="S1007" i="4"/>
  <c r="T1007" i="4" s="1"/>
  <c r="S1006" i="4"/>
  <c r="T1006" i="4" s="1"/>
  <c r="S1005" i="4"/>
  <c r="T1005" i="4" s="1"/>
  <c r="S1004" i="4"/>
  <c r="T1004" i="4" s="1"/>
  <c r="S1003" i="4"/>
  <c r="T1003" i="4" s="1"/>
  <c r="S1002" i="4"/>
  <c r="T1002" i="4" s="1"/>
  <c r="S1001" i="4"/>
  <c r="T1001" i="4" s="1"/>
  <c r="S1000" i="4"/>
  <c r="T1000" i="4" s="1"/>
  <c r="S999" i="4"/>
  <c r="T999" i="4" s="1"/>
  <c r="S998" i="4"/>
  <c r="T998" i="4" s="1"/>
  <c r="S997" i="4"/>
  <c r="T997" i="4" s="1"/>
  <c r="S996" i="4"/>
  <c r="T996" i="4" s="1"/>
  <c r="S995" i="4"/>
  <c r="T995" i="4" s="1"/>
  <c r="S994" i="4"/>
  <c r="T994" i="4" s="1"/>
  <c r="S993" i="4"/>
  <c r="T993" i="4" s="1"/>
  <c r="S992" i="4"/>
  <c r="T992" i="4" s="1"/>
  <c r="S991" i="4"/>
  <c r="T991" i="4" s="1"/>
  <c r="S990" i="4"/>
  <c r="T990" i="4" s="1"/>
  <c r="S989" i="4"/>
  <c r="T989" i="4" s="1"/>
  <c r="S988" i="4"/>
  <c r="T988" i="4" s="1"/>
  <c r="S987" i="4"/>
  <c r="T987" i="4" s="1"/>
  <c r="S986" i="4"/>
  <c r="T986" i="4" s="1"/>
  <c r="S985" i="4"/>
  <c r="T985" i="4" s="1"/>
  <c r="S984" i="4"/>
  <c r="T984" i="4" s="1"/>
  <c r="S983" i="4"/>
  <c r="T983" i="4" s="1"/>
  <c r="S982" i="4"/>
  <c r="T982" i="4" s="1"/>
  <c r="S981" i="4"/>
  <c r="T981" i="4" s="1"/>
  <c r="S980" i="4"/>
  <c r="T980" i="4" s="1"/>
  <c r="S979" i="4"/>
  <c r="T979" i="4" s="1"/>
  <c r="S978" i="4"/>
  <c r="T978" i="4" s="1"/>
  <c r="S977" i="4"/>
  <c r="T977" i="4" s="1"/>
  <c r="S976" i="4"/>
  <c r="T976" i="4" s="1"/>
  <c r="S975" i="4"/>
  <c r="T975" i="4" s="1"/>
  <c r="S974" i="4"/>
  <c r="T974" i="4" s="1"/>
  <c r="S973" i="4"/>
  <c r="T973" i="4" s="1"/>
  <c r="S972" i="4"/>
  <c r="T972" i="4" s="1"/>
  <c r="S971" i="4"/>
  <c r="T971" i="4" s="1"/>
  <c r="S970" i="4"/>
  <c r="T970" i="4" s="1"/>
  <c r="S969" i="4"/>
  <c r="T969" i="4" s="1"/>
  <c r="S968" i="4"/>
  <c r="T968" i="4" s="1"/>
  <c r="S967" i="4"/>
  <c r="T967" i="4" s="1"/>
  <c r="S966" i="4"/>
  <c r="T966" i="4" s="1"/>
  <c r="S965" i="4"/>
  <c r="T965" i="4" s="1"/>
  <c r="S964" i="4"/>
  <c r="T964" i="4" s="1"/>
  <c r="S963" i="4"/>
  <c r="T963" i="4" s="1"/>
  <c r="S962" i="4"/>
  <c r="T962" i="4" s="1"/>
  <c r="S961" i="4"/>
  <c r="T961" i="4" s="1"/>
  <c r="S960" i="4"/>
  <c r="T960" i="4" s="1"/>
  <c r="S959" i="4"/>
  <c r="T959" i="4" s="1"/>
  <c r="S958" i="4"/>
  <c r="T958" i="4" s="1"/>
  <c r="S957" i="4"/>
  <c r="T957" i="4" s="1"/>
  <c r="S956" i="4"/>
  <c r="T956" i="4" s="1"/>
  <c r="S955" i="4"/>
  <c r="T955" i="4" s="1"/>
  <c r="S954" i="4"/>
  <c r="T954" i="4" s="1"/>
  <c r="S953" i="4"/>
  <c r="T953" i="4" s="1"/>
  <c r="S952" i="4"/>
  <c r="T952" i="4" s="1"/>
  <c r="S951" i="4"/>
  <c r="T951" i="4" s="1"/>
  <c r="S950" i="4"/>
  <c r="T950" i="4" s="1"/>
  <c r="S949" i="4"/>
  <c r="T949" i="4" s="1"/>
  <c r="S948" i="4"/>
  <c r="T948" i="4" s="1"/>
  <c r="S947" i="4"/>
  <c r="T947" i="4" s="1"/>
  <c r="S946" i="4"/>
  <c r="T946" i="4" s="1"/>
  <c r="S945" i="4"/>
  <c r="T945" i="4" s="1"/>
  <c r="S944" i="4"/>
  <c r="T944" i="4" s="1"/>
  <c r="S943" i="4"/>
  <c r="T943" i="4" s="1"/>
  <c r="S942" i="4"/>
  <c r="T942" i="4" s="1"/>
  <c r="S941" i="4"/>
  <c r="T941" i="4" s="1"/>
  <c r="S940" i="4"/>
  <c r="T940" i="4" s="1"/>
  <c r="S939" i="4"/>
  <c r="T939" i="4" s="1"/>
  <c r="S938" i="4"/>
  <c r="T938" i="4" s="1"/>
  <c r="S937" i="4"/>
  <c r="T937" i="4" s="1"/>
  <c r="S936" i="4"/>
  <c r="T936" i="4" s="1"/>
  <c r="S935" i="4"/>
  <c r="T935" i="4" s="1"/>
  <c r="S934" i="4"/>
  <c r="T934" i="4" s="1"/>
  <c r="S933" i="4"/>
  <c r="T933" i="4" s="1"/>
  <c r="S932" i="4"/>
  <c r="T932" i="4" s="1"/>
  <c r="S931" i="4"/>
  <c r="T931" i="4" s="1"/>
  <c r="S930" i="4"/>
  <c r="T930" i="4" s="1"/>
  <c r="S929" i="4"/>
  <c r="T929" i="4" s="1"/>
  <c r="S928" i="4"/>
  <c r="T928" i="4" s="1"/>
  <c r="S927" i="4"/>
  <c r="T927" i="4" s="1"/>
  <c r="S926" i="4"/>
  <c r="T926" i="4" s="1"/>
  <c r="S925" i="4"/>
  <c r="T925" i="4" s="1"/>
  <c r="S924" i="4"/>
  <c r="T924" i="4" s="1"/>
  <c r="S923" i="4"/>
  <c r="T923" i="4" s="1"/>
  <c r="S922" i="4"/>
  <c r="T922" i="4" s="1"/>
  <c r="S921" i="4"/>
  <c r="T921" i="4" s="1"/>
  <c r="S920" i="4"/>
  <c r="T920" i="4" s="1"/>
  <c r="S919" i="4"/>
  <c r="T919" i="4" s="1"/>
  <c r="S918" i="4"/>
  <c r="T918" i="4" s="1"/>
  <c r="S917" i="4"/>
  <c r="T917" i="4" s="1"/>
  <c r="S916" i="4"/>
  <c r="T916" i="4" s="1"/>
  <c r="S915" i="4"/>
  <c r="T915" i="4" s="1"/>
  <c r="S914" i="4"/>
  <c r="T914" i="4" s="1"/>
  <c r="S913" i="4"/>
  <c r="T913" i="4" s="1"/>
  <c r="S912" i="4"/>
  <c r="T912" i="4" s="1"/>
  <c r="S911" i="4"/>
  <c r="T911" i="4" s="1"/>
  <c r="S910" i="4"/>
  <c r="T910" i="4" s="1"/>
  <c r="S909" i="4"/>
  <c r="T909" i="4" s="1"/>
  <c r="S908" i="4"/>
  <c r="T908" i="4" s="1"/>
  <c r="S907" i="4"/>
  <c r="T907" i="4" s="1"/>
  <c r="S906" i="4"/>
  <c r="T906" i="4" s="1"/>
  <c r="S905" i="4"/>
  <c r="T905" i="4" s="1"/>
  <c r="S904" i="4"/>
  <c r="T904" i="4" s="1"/>
  <c r="S903" i="4"/>
  <c r="T903" i="4" s="1"/>
  <c r="S902" i="4"/>
  <c r="T902" i="4" s="1"/>
  <c r="S901" i="4"/>
  <c r="T901" i="4" s="1"/>
  <c r="S900" i="4"/>
  <c r="T900" i="4" s="1"/>
  <c r="S899" i="4"/>
  <c r="T899" i="4" s="1"/>
  <c r="S898" i="4"/>
  <c r="T898" i="4" s="1"/>
  <c r="S897" i="4"/>
  <c r="T897" i="4" s="1"/>
  <c r="S896" i="4"/>
  <c r="T896" i="4" s="1"/>
  <c r="S895" i="4"/>
  <c r="T895" i="4" s="1"/>
  <c r="S894" i="4"/>
  <c r="T894" i="4" s="1"/>
  <c r="S893" i="4"/>
  <c r="T893" i="4" s="1"/>
  <c r="S892" i="4"/>
  <c r="T892" i="4" s="1"/>
  <c r="S891" i="4"/>
  <c r="T891" i="4" s="1"/>
  <c r="S890" i="4"/>
  <c r="T890" i="4" s="1"/>
  <c r="S889" i="4"/>
  <c r="T889" i="4" s="1"/>
  <c r="S888" i="4"/>
  <c r="T888" i="4" s="1"/>
  <c r="S887" i="4"/>
  <c r="T887" i="4" s="1"/>
  <c r="S886" i="4"/>
  <c r="T886" i="4" s="1"/>
  <c r="S885" i="4"/>
  <c r="T885" i="4" s="1"/>
  <c r="S884" i="4"/>
  <c r="T884" i="4" s="1"/>
  <c r="S883" i="4"/>
  <c r="T883" i="4" s="1"/>
  <c r="S882" i="4"/>
  <c r="T882" i="4" s="1"/>
  <c r="S881" i="4"/>
  <c r="T881" i="4" s="1"/>
  <c r="S880" i="4"/>
  <c r="T880" i="4" s="1"/>
  <c r="S879" i="4"/>
  <c r="T879" i="4" s="1"/>
  <c r="S878" i="4"/>
  <c r="T878" i="4" s="1"/>
  <c r="S877" i="4"/>
  <c r="T877" i="4" s="1"/>
  <c r="S876" i="4"/>
  <c r="T876" i="4" s="1"/>
  <c r="S875" i="4"/>
  <c r="T875" i="4" s="1"/>
  <c r="S874" i="4"/>
  <c r="T874" i="4" s="1"/>
  <c r="S873" i="4"/>
  <c r="T873" i="4" s="1"/>
  <c r="S872" i="4"/>
  <c r="T872" i="4" s="1"/>
  <c r="S871" i="4"/>
  <c r="T871" i="4" s="1"/>
  <c r="S870" i="4"/>
  <c r="T870" i="4" s="1"/>
  <c r="S869" i="4"/>
  <c r="T869" i="4" s="1"/>
  <c r="S868" i="4"/>
  <c r="T868" i="4" s="1"/>
  <c r="S867" i="4"/>
  <c r="T867" i="4" s="1"/>
  <c r="S866" i="4"/>
  <c r="T866" i="4" s="1"/>
  <c r="S865" i="4"/>
  <c r="T865" i="4" s="1"/>
  <c r="S864" i="4"/>
  <c r="T864" i="4" s="1"/>
  <c r="S863" i="4"/>
  <c r="T863" i="4" s="1"/>
  <c r="S862" i="4"/>
  <c r="T862" i="4" s="1"/>
  <c r="S861" i="4"/>
  <c r="T861" i="4" s="1"/>
  <c r="S860" i="4"/>
  <c r="T860" i="4" s="1"/>
  <c r="S859" i="4"/>
  <c r="T859" i="4" s="1"/>
  <c r="S858" i="4"/>
  <c r="T858" i="4" s="1"/>
  <c r="S857" i="4"/>
  <c r="T857" i="4" s="1"/>
  <c r="S856" i="4"/>
  <c r="T856" i="4" s="1"/>
  <c r="S855" i="4"/>
  <c r="T855" i="4" s="1"/>
  <c r="S854" i="4"/>
  <c r="T854" i="4" s="1"/>
  <c r="S853" i="4"/>
  <c r="T853" i="4" s="1"/>
  <c r="S852" i="4"/>
  <c r="T852" i="4" s="1"/>
  <c r="S851" i="4"/>
  <c r="T851" i="4" s="1"/>
  <c r="S850" i="4"/>
  <c r="T850" i="4" s="1"/>
  <c r="S849" i="4"/>
  <c r="T849" i="4" s="1"/>
  <c r="S848" i="4"/>
  <c r="T848" i="4" s="1"/>
  <c r="S847" i="4"/>
  <c r="T847" i="4" s="1"/>
  <c r="S846" i="4"/>
  <c r="T846" i="4" s="1"/>
  <c r="S845" i="4"/>
  <c r="T845" i="4" s="1"/>
  <c r="S844" i="4"/>
  <c r="T844" i="4" s="1"/>
  <c r="S843" i="4"/>
  <c r="T843" i="4" s="1"/>
  <c r="S842" i="4"/>
  <c r="T842" i="4" s="1"/>
  <c r="S841" i="4"/>
  <c r="T841" i="4" s="1"/>
  <c r="S840" i="4"/>
  <c r="T840" i="4" s="1"/>
  <c r="S839" i="4"/>
  <c r="T839" i="4" s="1"/>
  <c r="S838" i="4"/>
  <c r="T838" i="4" s="1"/>
  <c r="S837" i="4"/>
  <c r="T837" i="4" s="1"/>
  <c r="S836" i="4"/>
  <c r="T836" i="4" s="1"/>
  <c r="S835" i="4"/>
  <c r="T835" i="4" s="1"/>
  <c r="S834" i="4"/>
  <c r="T834" i="4" s="1"/>
  <c r="S833" i="4"/>
  <c r="T833" i="4" s="1"/>
  <c r="S832" i="4"/>
  <c r="T832" i="4" s="1"/>
  <c r="S831" i="4"/>
  <c r="T831" i="4" s="1"/>
  <c r="S830" i="4"/>
  <c r="T830" i="4" s="1"/>
  <c r="S829" i="4"/>
  <c r="T829" i="4" s="1"/>
  <c r="S828" i="4"/>
  <c r="T828" i="4" s="1"/>
  <c r="S827" i="4"/>
  <c r="T827" i="4" s="1"/>
  <c r="S826" i="4"/>
  <c r="T826" i="4" s="1"/>
  <c r="S825" i="4"/>
  <c r="T825" i="4" s="1"/>
  <c r="S824" i="4"/>
  <c r="T824" i="4" s="1"/>
  <c r="S823" i="4"/>
  <c r="T823" i="4" s="1"/>
  <c r="S822" i="4"/>
  <c r="T822" i="4" s="1"/>
  <c r="S821" i="4"/>
  <c r="T821" i="4" s="1"/>
  <c r="S820" i="4"/>
  <c r="T820" i="4" s="1"/>
  <c r="S819" i="4"/>
  <c r="T819" i="4" s="1"/>
  <c r="S818" i="4"/>
  <c r="T818" i="4" s="1"/>
  <c r="S817" i="4"/>
  <c r="T817" i="4" s="1"/>
  <c r="S816" i="4"/>
  <c r="T816" i="4" s="1"/>
  <c r="S815" i="4"/>
  <c r="T815" i="4" s="1"/>
  <c r="S814" i="4"/>
  <c r="T814" i="4" s="1"/>
  <c r="S813" i="4"/>
  <c r="T813" i="4" s="1"/>
  <c r="S812" i="4"/>
  <c r="T812" i="4" s="1"/>
  <c r="S811" i="4"/>
  <c r="T811" i="4" s="1"/>
  <c r="S810" i="4"/>
  <c r="T810" i="4" s="1"/>
  <c r="S809" i="4"/>
  <c r="T809" i="4" s="1"/>
  <c r="S808" i="4"/>
  <c r="T808" i="4" s="1"/>
  <c r="S807" i="4"/>
  <c r="T807" i="4" s="1"/>
  <c r="S806" i="4"/>
  <c r="T806" i="4" s="1"/>
  <c r="S805" i="4"/>
  <c r="T805" i="4" s="1"/>
  <c r="S804" i="4"/>
  <c r="T804" i="4" s="1"/>
  <c r="S803" i="4"/>
  <c r="T803" i="4" s="1"/>
  <c r="S802" i="4"/>
  <c r="T802" i="4" s="1"/>
  <c r="S801" i="4"/>
  <c r="T801" i="4" s="1"/>
  <c r="S800" i="4"/>
  <c r="T800" i="4" s="1"/>
  <c r="S799" i="4"/>
  <c r="T799" i="4" s="1"/>
  <c r="S798" i="4"/>
  <c r="T798" i="4" s="1"/>
  <c r="S797" i="4"/>
  <c r="T797" i="4" s="1"/>
  <c r="S796" i="4"/>
  <c r="T796" i="4" s="1"/>
  <c r="S795" i="4"/>
  <c r="T795" i="4" s="1"/>
  <c r="S794" i="4"/>
  <c r="T794" i="4" s="1"/>
  <c r="S793" i="4"/>
  <c r="T793" i="4" s="1"/>
  <c r="S792" i="4"/>
  <c r="T792" i="4" s="1"/>
  <c r="S791" i="4"/>
  <c r="T791" i="4" s="1"/>
  <c r="S790" i="4"/>
  <c r="T790" i="4" s="1"/>
  <c r="S789" i="4"/>
  <c r="T789" i="4" s="1"/>
  <c r="S788" i="4"/>
  <c r="T788" i="4" s="1"/>
  <c r="S787" i="4"/>
  <c r="T787" i="4" s="1"/>
  <c r="S786" i="4"/>
  <c r="T786" i="4" s="1"/>
  <c r="S785" i="4"/>
  <c r="T785" i="4" s="1"/>
  <c r="S784" i="4"/>
  <c r="T784" i="4" s="1"/>
  <c r="S783" i="4"/>
  <c r="T783" i="4" s="1"/>
  <c r="S782" i="4"/>
  <c r="T782" i="4" s="1"/>
  <c r="S781" i="4"/>
  <c r="T781" i="4" s="1"/>
  <c r="S780" i="4"/>
  <c r="T780" i="4" s="1"/>
  <c r="S779" i="4"/>
  <c r="T779" i="4" s="1"/>
  <c r="S778" i="4"/>
  <c r="T778" i="4" s="1"/>
  <c r="S777" i="4"/>
  <c r="T777" i="4" s="1"/>
  <c r="S776" i="4"/>
  <c r="T776" i="4" s="1"/>
  <c r="S775" i="4"/>
  <c r="T775" i="4" s="1"/>
  <c r="S774" i="4"/>
  <c r="T774" i="4" s="1"/>
  <c r="S773" i="4"/>
  <c r="T773" i="4" s="1"/>
  <c r="S772" i="4"/>
  <c r="T772" i="4" s="1"/>
  <c r="S771" i="4"/>
  <c r="T771" i="4" s="1"/>
  <c r="S770" i="4"/>
  <c r="T770" i="4" s="1"/>
  <c r="S769" i="4"/>
  <c r="T769" i="4" s="1"/>
  <c r="S768" i="4"/>
  <c r="T768" i="4" s="1"/>
  <c r="S767" i="4"/>
  <c r="T767" i="4" s="1"/>
  <c r="S766" i="4"/>
  <c r="T766" i="4" s="1"/>
  <c r="S765" i="4"/>
  <c r="T765" i="4" s="1"/>
  <c r="S764" i="4"/>
  <c r="T764" i="4" s="1"/>
  <c r="S763" i="4"/>
  <c r="T763" i="4" s="1"/>
  <c r="S762" i="4"/>
  <c r="T762" i="4" s="1"/>
  <c r="S761" i="4"/>
  <c r="T761" i="4" s="1"/>
  <c r="S760" i="4"/>
  <c r="T760" i="4" s="1"/>
  <c r="S759" i="4"/>
  <c r="T759" i="4" s="1"/>
  <c r="S758" i="4"/>
  <c r="T758" i="4" s="1"/>
  <c r="S757" i="4"/>
  <c r="T757" i="4" s="1"/>
  <c r="S756" i="4"/>
  <c r="T756" i="4" s="1"/>
  <c r="S755" i="4"/>
  <c r="T755" i="4" s="1"/>
  <c r="S754" i="4"/>
  <c r="T754" i="4" s="1"/>
  <c r="S753" i="4"/>
  <c r="T753" i="4" s="1"/>
  <c r="S752" i="4"/>
  <c r="T752" i="4" s="1"/>
  <c r="S751" i="4"/>
  <c r="T751" i="4" s="1"/>
  <c r="S750" i="4"/>
  <c r="T750" i="4" s="1"/>
  <c r="S749" i="4"/>
  <c r="T749" i="4" s="1"/>
  <c r="S748" i="4"/>
  <c r="T748" i="4" s="1"/>
  <c r="S747" i="4"/>
  <c r="T747" i="4" s="1"/>
  <c r="S746" i="4"/>
  <c r="T746" i="4" s="1"/>
  <c r="S745" i="4"/>
  <c r="T745" i="4" s="1"/>
  <c r="S744" i="4"/>
  <c r="T744" i="4" s="1"/>
  <c r="S743" i="4"/>
  <c r="T743" i="4" s="1"/>
  <c r="S742" i="4"/>
  <c r="T742" i="4" s="1"/>
  <c r="S741" i="4"/>
  <c r="T741" i="4" s="1"/>
  <c r="S740" i="4"/>
  <c r="T740" i="4" s="1"/>
  <c r="S739" i="4"/>
  <c r="T739" i="4" s="1"/>
  <c r="S738" i="4"/>
  <c r="T738" i="4" s="1"/>
  <c r="S737" i="4"/>
  <c r="T737" i="4" s="1"/>
  <c r="S736" i="4"/>
  <c r="T736" i="4" s="1"/>
  <c r="S735" i="4"/>
  <c r="T735" i="4" s="1"/>
  <c r="S734" i="4"/>
  <c r="T734" i="4" s="1"/>
  <c r="S733" i="4"/>
  <c r="T733" i="4" s="1"/>
  <c r="S732" i="4"/>
  <c r="T732" i="4" s="1"/>
  <c r="S731" i="4"/>
  <c r="T731" i="4" s="1"/>
  <c r="S730" i="4"/>
  <c r="T730" i="4" s="1"/>
  <c r="S729" i="4"/>
  <c r="T729" i="4" s="1"/>
  <c r="S728" i="4"/>
  <c r="T728" i="4" s="1"/>
  <c r="S727" i="4"/>
  <c r="T727" i="4" s="1"/>
  <c r="S726" i="4"/>
  <c r="T726" i="4" s="1"/>
  <c r="S725" i="4"/>
  <c r="T725" i="4" s="1"/>
  <c r="S724" i="4"/>
  <c r="T724" i="4" s="1"/>
  <c r="S723" i="4"/>
  <c r="T723" i="4" s="1"/>
  <c r="S722" i="4"/>
  <c r="T722" i="4" s="1"/>
  <c r="S721" i="4"/>
  <c r="T721" i="4" s="1"/>
  <c r="S720" i="4"/>
  <c r="T720" i="4" s="1"/>
  <c r="S719" i="4"/>
  <c r="T719" i="4" s="1"/>
  <c r="S718" i="4"/>
  <c r="T718" i="4" s="1"/>
  <c r="S717" i="4"/>
  <c r="T717" i="4" s="1"/>
  <c r="S716" i="4"/>
  <c r="T716" i="4" s="1"/>
  <c r="S715" i="4"/>
  <c r="T715" i="4" s="1"/>
  <c r="S714" i="4"/>
  <c r="T714" i="4" s="1"/>
  <c r="S713" i="4"/>
  <c r="T713" i="4" s="1"/>
  <c r="S712" i="4"/>
  <c r="T712" i="4" s="1"/>
  <c r="S711" i="4"/>
  <c r="T711" i="4" s="1"/>
  <c r="S710" i="4"/>
  <c r="T710" i="4" s="1"/>
  <c r="S709" i="4"/>
  <c r="T709" i="4" s="1"/>
  <c r="S708" i="4"/>
  <c r="T708" i="4" s="1"/>
  <c r="S707" i="4"/>
  <c r="T707" i="4" s="1"/>
  <c r="S706" i="4"/>
  <c r="T706" i="4" s="1"/>
  <c r="S705" i="4"/>
  <c r="T705" i="4" s="1"/>
  <c r="S704" i="4"/>
  <c r="T704" i="4" s="1"/>
  <c r="S703" i="4"/>
  <c r="T703" i="4" s="1"/>
  <c r="S702" i="4"/>
  <c r="T702" i="4" s="1"/>
  <c r="S701" i="4"/>
  <c r="T701" i="4" s="1"/>
  <c r="S700" i="4"/>
  <c r="T700" i="4" s="1"/>
  <c r="S699" i="4"/>
  <c r="T699" i="4" s="1"/>
  <c r="S698" i="4"/>
  <c r="T698" i="4" s="1"/>
  <c r="S697" i="4"/>
  <c r="T697" i="4" s="1"/>
  <c r="S696" i="4"/>
  <c r="T696" i="4" s="1"/>
  <c r="S695" i="4"/>
  <c r="T695" i="4" s="1"/>
  <c r="S694" i="4"/>
  <c r="T694" i="4" s="1"/>
  <c r="S693" i="4"/>
  <c r="T693" i="4" s="1"/>
  <c r="S692" i="4"/>
  <c r="T692" i="4" s="1"/>
  <c r="S691" i="4"/>
  <c r="T691" i="4" s="1"/>
  <c r="S690" i="4"/>
  <c r="T690" i="4" s="1"/>
  <c r="S689" i="4"/>
  <c r="T689" i="4" s="1"/>
  <c r="S688" i="4"/>
  <c r="T688" i="4" s="1"/>
  <c r="S687" i="4"/>
  <c r="T687" i="4" s="1"/>
  <c r="S686" i="4"/>
  <c r="T686" i="4" s="1"/>
  <c r="S685" i="4"/>
  <c r="T685" i="4" s="1"/>
  <c r="S684" i="4"/>
  <c r="T684" i="4" s="1"/>
  <c r="S683" i="4"/>
  <c r="T683" i="4" s="1"/>
  <c r="S682" i="4"/>
  <c r="T682" i="4" s="1"/>
  <c r="S681" i="4"/>
  <c r="T681" i="4" s="1"/>
  <c r="S680" i="4"/>
  <c r="T680" i="4" s="1"/>
  <c r="S679" i="4"/>
  <c r="T679" i="4" s="1"/>
  <c r="S678" i="4"/>
  <c r="T678" i="4" s="1"/>
  <c r="S677" i="4"/>
  <c r="T677" i="4" s="1"/>
  <c r="S676" i="4"/>
  <c r="T676" i="4" s="1"/>
  <c r="S675" i="4"/>
  <c r="T675" i="4" s="1"/>
  <c r="S674" i="4"/>
  <c r="T674" i="4" s="1"/>
  <c r="S673" i="4"/>
  <c r="T673" i="4" s="1"/>
  <c r="S672" i="4"/>
  <c r="T672" i="4" s="1"/>
  <c r="S671" i="4"/>
  <c r="T671" i="4" s="1"/>
  <c r="S670" i="4"/>
  <c r="T670" i="4" s="1"/>
  <c r="S669" i="4"/>
  <c r="T669" i="4" s="1"/>
  <c r="S668" i="4"/>
  <c r="T668" i="4" s="1"/>
  <c r="S667" i="4"/>
  <c r="T667" i="4" s="1"/>
  <c r="S666" i="4"/>
  <c r="T666" i="4" s="1"/>
  <c r="S665" i="4"/>
  <c r="T665" i="4" s="1"/>
  <c r="S664" i="4"/>
  <c r="T664" i="4" s="1"/>
  <c r="S663" i="4"/>
  <c r="T663" i="4" s="1"/>
  <c r="S662" i="4"/>
  <c r="T662" i="4" s="1"/>
  <c r="S661" i="4"/>
  <c r="T661" i="4" s="1"/>
  <c r="S660" i="4"/>
  <c r="T660" i="4" s="1"/>
  <c r="S659" i="4"/>
  <c r="T659" i="4" s="1"/>
  <c r="S658" i="4"/>
  <c r="T658" i="4" s="1"/>
  <c r="S657" i="4"/>
  <c r="T657" i="4" s="1"/>
  <c r="S656" i="4"/>
  <c r="T656" i="4" s="1"/>
  <c r="S655" i="4"/>
  <c r="T655" i="4" s="1"/>
  <c r="S654" i="4"/>
  <c r="T654" i="4" s="1"/>
  <c r="S653" i="4"/>
  <c r="T653" i="4" s="1"/>
  <c r="S652" i="4"/>
  <c r="T652" i="4" s="1"/>
  <c r="S651" i="4"/>
  <c r="T651" i="4" s="1"/>
  <c r="S650" i="4"/>
  <c r="T650" i="4" s="1"/>
  <c r="S649" i="4"/>
  <c r="T649" i="4" s="1"/>
  <c r="S648" i="4"/>
  <c r="T648" i="4" s="1"/>
  <c r="S647" i="4"/>
  <c r="T647" i="4" s="1"/>
  <c r="S646" i="4"/>
  <c r="T646" i="4" s="1"/>
  <c r="S645" i="4"/>
  <c r="T645" i="4" s="1"/>
  <c r="S644" i="4"/>
  <c r="T644" i="4" s="1"/>
  <c r="S643" i="4"/>
  <c r="T643" i="4" s="1"/>
  <c r="S642" i="4"/>
  <c r="T642" i="4" s="1"/>
  <c r="S641" i="4"/>
  <c r="T641" i="4" s="1"/>
  <c r="S640" i="4"/>
  <c r="T640" i="4" s="1"/>
  <c r="S639" i="4"/>
  <c r="T639" i="4" s="1"/>
  <c r="S638" i="4"/>
  <c r="T638" i="4" s="1"/>
  <c r="S637" i="4"/>
  <c r="T637" i="4" s="1"/>
  <c r="S636" i="4"/>
  <c r="T636" i="4" s="1"/>
  <c r="S635" i="4"/>
  <c r="T635" i="4" s="1"/>
  <c r="S634" i="4"/>
  <c r="T634" i="4" s="1"/>
  <c r="S633" i="4"/>
  <c r="T633" i="4" s="1"/>
  <c r="S632" i="4"/>
  <c r="T632" i="4" s="1"/>
  <c r="S631" i="4"/>
  <c r="T631" i="4" s="1"/>
  <c r="S630" i="4"/>
  <c r="T630" i="4" s="1"/>
  <c r="S629" i="4"/>
  <c r="T629" i="4" s="1"/>
  <c r="S628" i="4"/>
  <c r="T628" i="4" s="1"/>
  <c r="S627" i="4"/>
  <c r="T627" i="4" s="1"/>
  <c r="S626" i="4"/>
  <c r="T626" i="4" s="1"/>
  <c r="S625" i="4"/>
  <c r="T625" i="4" s="1"/>
  <c r="S624" i="4"/>
  <c r="T624" i="4" s="1"/>
  <c r="S623" i="4"/>
  <c r="T623" i="4" s="1"/>
  <c r="S622" i="4"/>
  <c r="T622" i="4" s="1"/>
  <c r="S621" i="4"/>
  <c r="T621" i="4" s="1"/>
  <c r="S620" i="4"/>
  <c r="T620" i="4" s="1"/>
  <c r="S619" i="4"/>
  <c r="T619" i="4" s="1"/>
  <c r="S618" i="4"/>
  <c r="T618" i="4" s="1"/>
  <c r="S617" i="4"/>
  <c r="T617" i="4" s="1"/>
  <c r="S616" i="4"/>
  <c r="T616" i="4" s="1"/>
  <c r="S615" i="4"/>
  <c r="T615" i="4" s="1"/>
  <c r="S614" i="4"/>
  <c r="T614" i="4" s="1"/>
  <c r="S613" i="4"/>
  <c r="T613" i="4" s="1"/>
  <c r="S612" i="4"/>
  <c r="T612" i="4" s="1"/>
  <c r="S611" i="4"/>
  <c r="T611" i="4" s="1"/>
  <c r="S610" i="4"/>
  <c r="T610" i="4" s="1"/>
  <c r="S609" i="4"/>
  <c r="T609" i="4" s="1"/>
  <c r="S608" i="4"/>
  <c r="T608" i="4" s="1"/>
  <c r="S607" i="4"/>
  <c r="T607" i="4" s="1"/>
  <c r="S606" i="4"/>
  <c r="T606" i="4" s="1"/>
  <c r="S605" i="4"/>
  <c r="T605" i="4" s="1"/>
  <c r="S604" i="4"/>
  <c r="T604" i="4" s="1"/>
  <c r="S603" i="4"/>
  <c r="T603" i="4" s="1"/>
  <c r="S602" i="4"/>
  <c r="T602" i="4" s="1"/>
  <c r="S601" i="4"/>
  <c r="T601" i="4" s="1"/>
  <c r="S600" i="4"/>
  <c r="T600" i="4" s="1"/>
  <c r="S599" i="4"/>
  <c r="T599" i="4" s="1"/>
  <c r="S598" i="4"/>
  <c r="T598" i="4" s="1"/>
  <c r="S597" i="4"/>
  <c r="T597" i="4" s="1"/>
  <c r="S596" i="4"/>
  <c r="T596" i="4" s="1"/>
  <c r="S595" i="4"/>
  <c r="T595" i="4" s="1"/>
  <c r="S594" i="4"/>
  <c r="T594" i="4" s="1"/>
  <c r="S593" i="4"/>
  <c r="T593" i="4" s="1"/>
  <c r="S592" i="4"/>
  <c r="T592" i="4" s="1"/>
  <c r="S591" i="4"/>
  <c r="T591" i="4" s="1"/>
  <c r="S590" i="4"/>
  <c r="T590" i="4" s="1"/>
  <c r="S589" i="4"/>
  <c r="T589" i="4" s="1"/>
  <c r="S588" i="4"/>
  <c r="T588" i="4" s="1"/>
  <c r="S587" i="4"/>
  <c r="T587" i="4" s="1"/>
  <c r="S586" i="4"/>
  <c r="T586" i="4" s="1"/>
  <c r="S585" i="4"/>
  <c r="T585" i="4" s="1"/>
  <c r="S584" i="4"/>
  <c r="T584" i="4" s="1"/>
  <c r="S583" i="4"/>
  <c r="T583" i="4" s="1"/>
  <c r="S582" i="4"/>
  <c r="T582" i="4" s="1"/>
  <c r="S581" i="4"/>
  <c r="T581" i="4" s="1"/>
  <c r="S580" i="4"/>
  <c r="T580" i="4" s="1"/>
  <c r="S579" i="4"/>
  <c r="T579" i="4" s="1"/>
  <c r="S578" i="4"/>
  <c r="T578" i="4" s="1"/>
  <c r="S577" i="4"/>
  <c r="T577" i="4" s="1"/>
  <c r="S576" i="4"/>
  <c r="T576" i="4" s="1"/>
  <c r="S575" i="4"/>
  <c r="T575" i="4" s="1"/>
  <c r="S574" i="4"/>
  <c r="T574" i="4" s="1"/>
  <c r="S573" i="4"/>
  <c r="T573" i="4" s="1"/>
  <c r="S572" i="4"/>
  <c r="T572" i="4" s="1"/>
  <c r="S571" i="4"/>
  <c r="T571" i="4" s="1"/>
  <c r="S570" i="4"/>
  <c r="T570" i="4" s="1"/>
  <c r="S569" i="4"/>
  <c r="T569" i="4" s="1"/>
  <c r="S568" i="4"/>
  <c r="T568" i="4" s="1"/>
  <c r="S567" i="4"/>
  <c r="T567" i="4" s="1"/>
  <c r="S566" i="4"/>
  <c r="T566" i="4" s="1"/>
  <c r="S565" i="4"/>
  <c r="T565" i="4" s="1"/>
  <c r="S564" i="4"/>
  <c r="T564" i="4" s="1"/>
  <c r="S563" i="4"/>
  <c r="T563" i="4" s="1"/>
  <c r="S562" i="4"/>
  <c r="T562" i="4" s="1"/>
  <c r="S561" i="4"/>
  <c r="T561" i="4" s="1"/>
  <c r="S560" i="4"/>
  <c r="T560" i="4" s="1"/>
  <c r="S559" i="4"/>
  <c r="T559" i="4" s="1"/>
  <c r="S558" i="4"/>
  <c r="T558" i="4" s="1"/>
  <c r="S557" i="4"/>
  <c r="T557" i="4" s="1"/>
  <c r="S556" i="4"/>
  <c r="T556" i="4" s="1"/>
  <c r="S555" i="4"/>
  <c r="T555" i="4" s="1"/>
  <c r="S554" i="4"/>
  <c r="T554" i="4" s="1"/>
  <c r="S553" i="4"/>
  <c r="T553" i="4" s="1"/>
  <c r="S552" i="4"/>
  <c r="T552" i="4" s="1"/>
  <c r="S551" i="4"/>
  <c r="T551" i="4" s="1"/>
  <c r="S550" i="4"/>
  <c r="T550" i="4" s="1"/>
  <c r="S549" i="4"/>
  <c r="T549" i="4" s="1"/>
  <c r="S548" i="4"/>
  <c r="T548" i="4" s="1"/>
  <c r="S547" i="4"/>
  <c r="T547" i="4" s="1"/>
  <c r="S546" i="4"/>
  <c r="T546" i="4" s="1"/>
  <c r="S545" i="4"/>
  <c r="T545" i="4" s="1"/>
  <c r="S544" i="4"/>
  <c r="T544" i="4" s="1"/>
  <c r="S543" i="4"/>
  <c r="T543" i="4" s="1"/>
  <c r="S542" i="4"/>
  <c r="T542" i="4" s="1"/>
  <c r="S541" i="4"/>
  <c r="T541" i="4" s="1"/>
  <c r="S540" i="4"/>
  <c r="T540" i="4" s="1"/>
  <c r="S539" i="4"/>
  <c r="T539" i="4" s="1"/>
  <c r="S538" i="4"/>
  <c r="T538" i="4" s="1"/>
  <c r="S537" i="4"/>
  <c r="T537" i="4" s="1"/>
  <c r="S536" i="4"/>
  <c r="T536" i="4" s="1"/>
  <c r="S535" i="4"/>
  <c r="T535" i="4" s="1"/>
  <c r="S534" i="4"/>
  <c r="T534" i="4" s="1"/>
  <c r="S533" i="4"/>
  <c r="T533" i="4" s="1"/>
  <c r="S532" i="4"/>
  <c r="T532" i="4" s="1"/>
  <c r="S531" i="4"/>
  <c r="T531" i="4" s="1"/>
  <c r="S530" i="4"/>
  <c r="T530" i="4" s="1"/>
  <c r="S529" i="4"/>
  <c r="T529" i="4" s="1"/>
  <c r="S528" i="4"/>
  <c r="T528" i="4" s="1"/>
  <c r="S527" i="4"/>
  <c r="T527" i="4" s="1"/>
  <c r="S526" i="4"/>
  <c r="T526" i="4" s="1"/>
  <c r="S525" i="4"/>
  <c r="T525" i="4" s="1"/>
  <c r="S524" i="4"/>
  <c r="T524" i="4" s="1"/>
  <c r="S523" i="4"/>
  <c r="T523" i="4" s="1"/>
  <c r="S522" i="4"/>
  <c r="T522" i="4" s="1"/>
  <c r="S521" i="4"/>
  <c r="T521" i="4" s="1"/>
  <c r="S520" i="4"/>
  <c r="T520" i="4" s="1"/>
  <c r="S519" i="4"/>
  <c r="T519" i="4" s="1"/>
  <c r="S518" i="4"/>
  <c r="T518" i="4" s="1"/>
  <c r="S517" i="4"/>
  <c r="T517" i="4" s="1"/>
  <c r="S516" i="4"/>
  <c r="T516" i="4" s="1"/>
  <c r="S515" i="4"/>
  <c r="T515" i="4" s="1"/>
  <c r="S514" i="4"/>
  <c r="T514" i="4" s="1"/>
  <c r="S513" i="4"/>
  <c r="T513" i="4" s="1"/>
  <c r="S512" i="4"/>
  <c r="T512" i="4" s="1"/>
  <c r="S511" i="4"/>
  <c r="T511" i="4" s="1"/>
  <c r="S510" i="4"/>
  <c r="T510" i="4" s="1"/>
  <c r="S509" i="4"/>
  <c r="T509" i="4" s="1"/>
  <c r="S508" i="4"/>
  <c r="T508" i="4" s="1"/>
  <c r="S507" i="4"/>
  <c r="T507" i="4" s="1"/>
  <c r="S506" i="4"/>
  <c r="T506" i="4" s="1"/>
  <c r="S505" i="4"/>
  <c r="T505" i="4" s="1"/>
  <c r="S504" i="4"/>
  <c r="T504" i="4" s="1"/>
  <c r="S503" i="4"/>
  <c r="T503" i="4" s="1"/>
  <c r="S502" i="4"/>
  <c r="T502" i="4" s="1"/>
  <c r="S501" i="4"/>
  <c r="T501" i="4" s="1"/>
  <c r="S500" i="4"/>
  <c r="T500" i="4" s="1"/>
  <c r="S499" i="4"/>
  <c r="T499" i="4" s="1"/>
  <c r="S498" i="4"/>
  <c r="T498" i="4" s="1"/>
  <c r="S497" i="4"/>
  <c r="T497" i="4" s="1"/>
  <c r="S496" i="4"/>
  <c r="T496" i="4" s="1"/>
  <c r="S495" i="4"/>
  <c r="T495" i="4" s="1"/>
  <c r="S494" i="4"/>
  <c r="T494" i="4" s="1"/>
  <c r="S493" i="4"/>
  <c r="T493" i="4" s="1"/>
  <c r="S492" i="4"/>
  <c r="T492" i="4" s="1"/>
  <c r="S491" i="4"/>
  <c r="T491" i="4" s="1"/>
  <c r="S490" i="4"/>
  <c r="T490" i="4" s="1"/>
  <c r="S489" i="4"/>
  <c r="T489" i="4" s="1"/>
  <c r="S488" i="4"/>
  <c r="T488" i="4" s="1"/>
  <c r="S487" i="4"/>
  <c r="T487" i="4" s="1"/>
  <c r="S486" i="4"/>
  <c r="T486" i="4" s="1"/>
  <c r="S485" i="4"/>
  <c r="T485" i="4" s="1"/>
  <c r="S484" i="4"/>
  <c r="T484" i="4" s="1"/>
  <c r="S483" i="4"/>
  <c r="T483" i="4" s="1"/>
  <c r="S482" i="4"/>
  <c r="T482" i="4" s="1"/>
  <c r="S481" i="4"/>
  <c r="T481" i="4" s="1"/>
  <c r="S480" i="4"/>
  <c r="T480" i="4" s="1"/>
  <c r="S479" i="4"/>
  <c r="T479" i="4" s="1"/>
  <c r="S478" i="4"/>
  <c r="T478" i="4" s="1"/>
  <c r="S477" i="4"/>
  <c r="T477" i="4" s="1"/>
  <c r="S476" i="4"/>
  <c r="T476" i="4" s="1"/>
  <c r="S475" i="4"/>
  <c r="T475" i="4" s="1"/>
  <c r="S474" i="4"/>
  <c r="T474" i="4" s="1"/>
  <c r="S473" i="4"/>
  <c r="T473" i="4" s="1"/>
  <c r="S472" i="4"/>
  <c r="T472" i="4" s="1"/>
  <c r="S471" i="4"/>
  <c r="T471" i="4" s="1"/>
  <c r="S470" i="4"/>
  <c r="T470" i="4" s="1"/>
  <c r="S469" i="4"/>
  <c r="T469" i="4" s="1"/>
  <c r="S468" i="4"/>
  <c r="T468" i="4" s="1"/>
  <c r="S467" i="4"/>
  <c r="T467" i="4" s="1"/>
  <c r="S466" i="4"/>
  <c r="T466" i="4" s="1"/>
  <c r="S465" i="4"/>
  <c r="T465" i="4" s="1"/>
  <c r="S464" i="4"/>
  <c r="T464" i="4" s="1"/>
  <c r="S463" i="4"/>
  <c r="T463" i="4" s="1"/>
  <c r="S462" i="4"/>
  <c r="T462" i="4" s="1"/>
  <c r="S461" i="4"/>
  <c r="T461" i="4" s="1"/>
  <c r="S460" i="4"/>
  <c r="T460" i="4" s="1"/>
  <c r="S459" i="4"/>
  <c r="T459" i="4" s="1"/>
  <c r="S458" i="4"/>
  <c r="T458" i="4" s="1"/>
  <c r="S457" i="4"/>
  <c r="T457" i="4" s="1"/>
  <c r="S456" i="4"/>
  <c r="T456" i="4" s="1"/>
  <c r="S455" i="4"/>
  <c r="T455" i="4" s="1"/>
  <c r="S454" i="4"/>
  <c r="T454" i="4" s="1"/>
  <c r="S453" i="4"/>
  <c r="T453" i="4" s="1"/>
  <c r="S452" i="4"/>
  <c r="T452" i="4" s="1"/>
  <c r="S451" i="4"/>
  <c r="T451" i="4" s="1"/>
  <c r="S450" i="4"/>
  <c r="T450" i="4" s="1"/>
  <c r="S449" i="4"/>
  <c r="T449" i="4" s="1"/>
  <c r="S448" i="4"/>
  <c r="T448" i="4" s="1"/>
  <c r="S447" i="4"/>
  <c r="T447" i="4" s="1"/>
  <c r="S446" i="4"/>
  <c r="T446" i="4" s="1"/>
  <c r="S445" i="4"/>
  <c r="T445" i="4" s="1"/>
  <c r="S444" i="4"/>
  <c r="T444" i="4" s="1"/>
  <c r="S443" i="4"/>
  <c r="T443" i="4" s="1"/>
  <c r="S442" i="4"/>
  <c r="T442" i="4" s="1"/>
  <c r="S441" i="4"/>
  <c r="T441" i="4" s="1"/>
  <c r="S440" i="4"/>
  <c r="T440" i="4" s="1"/>
  <c r="S439" i="4"/>
  <c r="T439" i="4" s="1"/>
  <c r="S438" i="4"/>
  <c r="T438" i="4" s="1"/>
  <c r="S437" i="4"/>
  <c r="T437" i="4" s="1"/>
  <c r="S436" i="4"/>
  <c r="T436" i="4" s="1"/>
  <c r="S435" i="4"/>
  <c r="T435" i="4" s="1"/>
  <c r="S434" i="4"/>
  <c r="T434" i="4" s="1"/>
  <c r="S433" i="4"/>
  <c r="T433" i="4" s="1"/>
  <c r="S432" i="4"/>
  <c r="T432" i="4" s="1"/>
  <c r="S431" i="4"/>
  <c r="T431" i="4" s="1"/>
  <c r="S430" i="4"/>
  <c r="T430" i="4" s="1"/>
  <c r="S429" i="4"/>
  <c r="T429" i="4" s="1"/>
  <c r="S428" i="4"/>
  <c r="T428" i="4" s="1"/>
  <c r="S427" i="4"/>
  <c r="T427" i="4" s="1"/>
  <c r="S426" i="4"/>
  <c r="T426" i="4" s="1"/>
  <c r="S425" i="4"/>
  <c r="T425" i="4" s="1"/>
  <c r="S424" i="4"/>
  <c r="T424" i="4" s="1"/>
  <c r="S423" i="4"/>
  <c r="T423" i="4" s="1"/>
  <c r="S422" i="4"/>
  <c r="T422" i="4" s="1"/>
  <c r="S421" i="4"/>
  <c r="T421" i="4" s="1"/>
  <c r="S420" i="4"/>
  <c r="T420" i="4" s="1"/>
  <c r="S419" i="4"/>
  <c r="T419" i="4" s="1"/>
  <c r="S418" i="4"/>
  <c r="T418" i="4" s="1"/>
  <c r="S417" i="4"/>
  <c r="T417" i="4" s="1"/>
  <c r="S416" i="4"/>
  <c r="T416" i="4" s="1"/>
  <c r="S415" i="4"/>
  <c r="T415" i="4" s="1"/>
  <c r="S414" i="4"/>
  <c r="T414" i="4" s="1"/>
  <c r="S413" i="4"/>
  <c r="T413" i="4" s="1"/>
  <c r="S412" i="4"/>
  <c r="T412" i="4" s="1"/>
  <c r="S411" i="4"/>
  <c r="T411" i="4" s="1"/>
  <c r="S410" i="4"/>
  <c r="T410" i="4" s="1"/>
  <c r="S409" i="4"/>
  <c r="T409" i="4" s="1"/>
  <c r="S408" i="4"/>
  <c r="T408" i="4" s="1"/>
  <c r="S407" i="4"/>
  <c r="T407" i="4" s="1"/>
  <c r="S406" i="4"/>
  <c r="T406" i="4" s="1"/>
  <c r="S405" i="4"/>
  <c r="T405" i="4" s="1"/>
  <c r="S404" i="4"/>
  <c r="T404" i="4" s="1"/>
  <c r="S403" i="4"/>
  <c r="T403" i="4" s="1"/>
  <c r="S402" i="4"/>
  <c r="T402" i="4" s="1"/>
  <c r="S401" i="4"/>
  <c r="T401" i="4" s="1"/>
  <c r="S400" i="4"/>
  <c r="T400" i="4" s="1"/>
  <c r="S399" i="4"/>
  <c r="T399" i="4" s="1"/>
  <c r="S398" i="4"/>
  <c r="T398" i="4" s="1"/>
  <c r="S397" i="4"/>
  <c r="T397" i="4" s="1"/>
  <c r="S396" i="4"/>
  <c r="T396" i="4" s="1"/>
  <c r="S395" i="4"/>
  <c r="T395" i="4" s="1"/>
  <c r="S394" i="4"/>
  <c r="T394" i="4" s="1"/>
  <c r="S393" i="4"/>
  <c r="T393" i="4" s="1"/>
  <c r="S392" i="4"/>
  <c r="T392" i="4" s="1"/>
  <c r="S391" i="4"/>
  <c r="T391" i="4" s="1"/>
  <c r="S390" i="4"/>
  <c r="T390" i="4" s="1"/>
  <c r="S389" i="4"/>
  <c r="T389" i="4" s="1"/>
  <c r="S388" i="4"/>
  <c r="T388" i="4" s="1"/>
  <c r="S387" i="4"/>
  <c r="T387" i="4" s="1"/>
  <c r="S386" i="4"/>
  <c r="T386" i="4" s="1"/>
  <c r="S385" i="4"/>
  <c r="T385" i="4" s="1"/>
  <c r="S384" i="4"/>
  <c r="T384" i="4" s="1"/>
  <c r="S383" i="4"/>
  <c r="T383" i="4" s="1"/>
  <c r="S382" i="4"/>
  <c r="T382" i="4" s="1"/>
  <c r="S381" i="4"/>
  <c r="T381" i="4" s="1"/>
  <c r="S380" i="4"/>
  <c r="T380" i="4" s="1"/>
  <c r="S379" i="4"/>
  <c r="T379" i="4" s="1"/>
  <c r="S378" i="4"/>
  <c r="T378" i="4" s="1"/>
  <c r="S377" i="4"/>
  <c r="T377" i="4" s="1"/>
  <c r="S376" i="4"/>
  <c r="T376" i="4" s="1"/>
  <c r="S375" i="4"/>
  <c r="T375" i="4" s="1"/>
  <c r="S374" i="4"/>
  <c r="T374" i="4" s="1"/>
  <c r="S373" i="4"/>
  <c r="T373" i="4" s="1"/>
  <c r="S372" i="4"/>
  <c r="T372" i="4" s="1"/>
  <c r="S371" i="4"/>
  <c r="T371" i="4" s="1"/>
  <c r="S370" i="4"/>
  <c r="T370" i="4" s="1"/>
  <c r="S369" i="4"/>
  <c r="T369" i="4" s="1"/>
  <c r="S368" i="4"/>
  <c r="T368" i="4" s="1"/>
  <c r="S367" i="4"/>
  <c r="T367" i="4" s="1"/>
  <c r="S366" i="4"/>
  <c r="T366" i="4" s="1"/>
  <c r="S365" i="4"/>
  <c r="T365" i="4" s="1"/>
  <c r="S364" i="4"/>
  <c r="T364" i="4" s="1"/>
  <c r="S363" i="4"/>
  <c r="T363" i="4" s="1"/>
  <c r="S362" i="4"/>
  <c r="T362" i="4" s="1"/>
  <c r="S361" i="4"/>
  <c r="T361" i="4" s="1"/>
  <c r="S360" i="4"/>
  <c r="T360" i="4" s="1"/>
  <c r="S359" i="4"/>
  <c r="T359" i="4" s="1"/>
  <c r="S358" i="4"/>
  <c r="T358" i="4" s="1"/>
  <c r="S357" i="4"/>
  <c r="T357" i="4" s="1"/>
  <c r="S356" i="4"/>
  <c r="T356" i="4" s="1"/>
  <c r="T355" i="4"/>
  <c r="S355" i="4"/>
  <c r="S354" i="4"/>
  <c r="T354" i="4" s="1"/>
  <c r="S353" i="4"/>
  <c r="T353" i="4" s="1"/>
  <c r="S352" i="4"/>
  <c r="T352" i="4" s="1"/>
  <c r="S351" i="4"/>
  <c r="T351" i="4" s="1"/>
  <c r="S350" i="4"/>
  <c r="T350" i="4" s="1"/>
  <c r="S349" i="4"/>
  <c r="T349" i="4" s="1"/>
  <c r="S348" i="4"/>
  <c r="T348" i="4" s="1"/>
  <c r="S347" i="4"/>
  <c r="T347" i="4" s="1"/>
  <c r="S346" i="4"/>
  <c r="T346" i="4" s="1"/>
  <c r="S345" i="4"/>
  <c r="T345" i="4" s="1"/>
  <c r="S344" i="4"/>
  <c r="T344" i="4" s="1"/>
  <c r="S343" i="4"/>
  <c r="T343" i="4" s="1"/>
  <c r="S342" i="4"/>
  <c r="T342" i="4" s="1"/>
  <c r="S341" i="4"/>
  <c r="T341" i="4" s="1"/>
  <c r="S340" i="4"/>
  <c r="T340" i="4" s="1"/>
  <c r="S339" i="4"/>
  <c r="T339" i="4" s="1"/>
  <c r="S338" i="4"/>
  <c r="T338" i="4" s="1"/>
  <c r="S337" i="4"/>
  <c r="T337" i="4" s="1"/>
  <c r="S336" i="4"/>
  <c r="T336" i="4" s="1"/>
  <c r="S335" i="4"/>
  <c r="T335" i="4" s="1"/>
  <c r="S334" i="4"/>
  <c r="T334" i="4" s="1"/>
  <c r="S333" i="4"/>
  <c r="T333" i="4" s="1"/>
  <c r="S332" i="4"/>
  <c r="T332" i="4" s="1"/>
  <c r="S331" i="4"/>
  <c r="T331" i="4" s="1"/>
  <c r="S330" i="4"/>
  <c r="T330" i="4" s="1"/>
  <c r="S329" i="4"/>
  <c r="T329" i="4" s="1"/>
  <c r="S328" i="4"/>
  <c r="T328" i="4" s="1"/>
  <c r="S327" i="4"/>
  <c r="T327" i="4" s="1"/>
  <c r="S326" i="4"/>
  <c r="T326" i="4" s="1"/>
  <c r="S325" i="4"/>
  <c r="T325" i="4" s="1"/>
  <c r="S324" i="4"/>
  <c r="T324" i="4" s="1"/>
  <c r="S323" i="4"/>
  <c r="T323" i="4" s="1"/>
  <c r="S322" i="4"/>
  <c r="T322" i="4" s="1"/>
  <c r="S321" i="4"/>
  <c r="T321" i="4" s="1"/>
  <c r="S320" i="4"/>
  <c r="T320" i="4" s="1"/>
  <c r="S319" i="4"/>
  <c r="T319" i="4" s="1"/>
  <c r="S318" i="4"/>
  <c r="T318" i="4" s="1"/>
  <c r="S317" i="4"/>
  <c r="T317" i="4" s="1"/>
  <c r="S316" i="4"/>
  <c r="T316" i="4" s="1"/>
  <c r="S315" i="4"/>
  <c r="T315" i="4" s="1"/>
  <c r="S314" i="4"/>
  <c r="T314" i="4" s="1"/>
  <c r="S313" i="4"/>
  <c r="T313" i="4" s="1"/>
  <c r="S312" i="4"/>
  <c r="T312" i="4" s="1"/>
  <c r="S311" i="4"/>
  <c r="T311" i="4" s="1"/>
  <c r="S310" i="4"/>
  <c r="T310" i="4" s="1"/>
  <c r="S309" i="4"/>
  <c r="T309" i="4" s="1"/>
  <c r="S308" i="4"/>
  <c r="T308" i="4" s="1"/>
  <c r="S307" i="4"/>
  <c r="T307" i="4" s="1"/>
  <c r="S306" i="4"/>
  <c r="T306" i="4" s="1"/>
  <c r="S305" i="4"/>
  <c r="T305" i="4" s="1"/>
  <c r="S304" i="4"/>
  <c r="T304" i="4" s="1"/>
  <c r="S303" i="4"/>
  <c r="T303" i="4" s="1"/>
  <c r="S302" i="4"/>
  <c r="T302" i="4" s="1"/>
  <c r="S301" i="4"/>
  <c r="T301" i="4" s="1"/>
  <c r="S300" i="4"/>
  <c r="T300" i="4" s="1"/>
  <c r="S299" i="4"/>
  <c r="T299" i="4" s="1"/>
  <c r="S298" i="4"/>
  <c r="T298" i="4" s="1"/>
  <c r="S297" i="4"/>
  <c r="T297" i="4" s="1"/>
  <c r="S296" i="4"/>
  <c r="T296" i="4" s="1"/>
  <c r="S295" i="4"/>
  <c r="T295" i="4" s="1"/>
  <c r="S294" i="4"/>
  <c r="T294" i="4" s="1"/>
  <c r="S293" i="4"/>
  <c r="T293" i="4" s="1"/>
  <c r="S292" i="4"/>
  <c r="T292" i="4" s="1"/>
  <c r="S291" i="4"/>
  <c r="T291" i="4" s="1"/>
  <c r="S290" i="4"/>
  <c r="T290" i="4" s="1"/>
  <c r="S289" i="4"/>
  <c r="T289" i="4" s="1"/>
  <c r="S288" i="4"/>
  <c r="T288" i="4" s="1"/>
  <c r="S287" i="4"/>
  <c r="T287" i="4" s="1"/>
  <c r="S286" i="4"/>
  <c r="T286" i="4" s="1"/>
  <c r="S285" i="4"/>
  <c r="T285" i="4" s="1"/>
  <c r="S284" i="4"/>
  <c r="T284" i="4" s="1"/>
  <c r="S283" i="4"/>
  <c r="T283" i="4" s="1"/>
  <c r="S282" i="4"/>
  <c r="T282" i="4" s="1"/>
  <c r="S281" i="4"/>
  <c r="T281" i="4" s="1"/>
  <c r="S280" i="4"/>
  <c r="T280" i="4" s="1"/>
  <c r="S279" i="4"/>
  <c r="T279" i="4" s="1"/>
  <c r="S278" i="4"/>
  <c r="T278" i="4" s="1"/>
  <c r="S277" i="4"/>
  <c r="T277" i="4" s="1"/>
  <c r="S276" i="4"/>
  <c r="T276" i="4" s="1"/>
  <c r="S275" i="4"/>
  <c r="T275" i="4" s="1"/>
  <c r="S274" i="4"/>
  <c r="T274" i="4" s="1"/>
  <c r="S273" i="4"/>
  <c r="T273" i="4" s="1"/>
  <c r="S272" i="4"/>
  <c r="T272" i="4" s="1"/>
  <c r="S271" i="4"/>
  <c r="T271" i="4" s="1"/>
  <c r="S270" i="4"/>
  <c r="T270" i="4" s="1"/>
  <c r="S269" i="4"/>
  <c r="T269" i="4" s="1"/>
  <c r="S268" i="4"/>
  <c r="T268" i="4" s="1"/>
  <c r="S267" i="4"/>
  <c r="T267" i="4" s="1"/>
  <c r="S266" i="4"/>
  <c r="T266" i="4" s="1"/>
  <c r="S265" i="4"/>
  <c r="T265" i="4" s="1"/>
  <c r="S264" i="4"/>
  <c r="T264" i="4" s="1"/>
  <c r="S263" i="4"/>
  <c r="T263" i="4" s="1"/>
  <c r="S262" i="4"/>
  <c r="T262" i="4" s="1"/>
  <c r="S261" i="4"/>
  <c r="T261" i="4" s="1"/>
  <c r="S260" i="4"/>
  <c r="T260" i="4" s="1"/>
  <c r="S259" i="4"/>
  <c r="T259" i="4" s="1"/>
  <c r="S258" i="4"/>
  <c r="T258" i="4" s="1"/>
  <c r="S257" i="4"/>
  <c r="T257" i="4" s="1"/>
  <c r="S256" i="4"/>
  <c r="T256" i="4" s="1"/>
  <c r="S255" i="4"/>
  <c r="T255" i="4" s="1"/>
  <c r="S254" i="4"/>
  <c r="T254" i="4" s="1"/>
  <c r="S253" i="4"/>
  <c r="T253" i="4" s="1"/>
  <c r="S252" i="4"/>
  <c r="T252" i="4" s="1"/>
  <c r="S251" i="4"/>
  <c r="T251" i="4" s="1"/>
  <c r="S250" i="4"/>
  <c r="T250" i="4" s="1"/>
  <c r="S249" i="4"/>
  <c r="T249" i="4" s="1"/>
  <c r="S248" i="4"/>
  <c r="T248" i="4" s="1"/>
  <c r="S247" i="4"/>
  <c r="T247" i="4" s="1"/>
  <c r="S246" i="4"/>
  <c r="T246" i="4" s="1"/>
  <c r="S245" i="4"/>
  <c r="T245" i="4" s="1"/>
  <c r="S244" i="4"/>
  <c r="T244" i="4" s="1"/>
  <c r="S243" i="4"/>
  <c r="T243" i="4" s="1"/>
  <c r="S242" i="4"/>
  <c r="T242" i="4" s="1"/>
  <c r="S241" i="4"/>
  <c r="T241" i="4" s="1"/>
  <c r="S240" i="4"/>
  <c r="T240" i="4" s="1"/>
  <c r="S239" i="4"/>
  <c r="T239" i="4" s="1"/>
  <c r="S238" i="4"/>
  <c r="T238" i="4" s="1"/>
  <c r="S237" i="4"/>
  <c r="T237" i="4" s="1"/>
  <c r="S236" i="4"/>
  <c r="T236" i="4" s="1"/>
  <c r="S235" i="4"/>
  <c r="T235" i="4" s="1"/>
  <c r="S234" i="4"/>
  <c r="T234" i="4" s="1"/>
  <c r="S233" i="4"/>
  <c r="T233" i="4" s="1"/>
  <c r="S232" i="4"/>
  <c r="T232" i="4" s="1"/>
  <c r="S231" i="4"/>
  <c r="T231" i="4" s="1"/>
  <c r="S230" i="4"/>
  <c r="T230" i="4" s="1"/>
  <c r="S229" i="4"/>
  <c r="T229" i="4" s="1"/>
  <c r="S228" i="4"/>
  <c r="T228" i="4" s="1"/>
  <c r="S227" i="4"/>
  <c r="T227" i="4" s="1"/>
  <c r="S226" i="4"/>
  <c r="T226" i="4" s="1"/>
  <c r="S225" i="4"/>
  <c r="T225" i="4" s="1"/>
  <c r="S224" i="4"/>
  <c r="T224" i="4" s="1"/>
  <c r="S223" i="4"/>
  <c r="T223" i="4" s="1"/>
  <c r="S222" i="4"/>
  <c r="T222" i="4" s="1"/>
  <c r="S221" i="4"/>
  <c r="T221" i="4" s="1"/>
  <c r="S220" i="4"/>
  <c r="T220" i="4" s="1"/>
  <c r="S219" i="4"/>
  <c r="T219" i="4" s="1"/>
  <c r="S218" i="4"/>
  <c r="T218" i="4" s="1"/>
  <c r="S217" i="4"/>
  <c r="T217" i="4" s="1"/>
  <c r="S216" i="4"/>
  <c r="T216" i="4" s="1"/>
  <c r="S215" i="4"/>
  <c r="T215" i="4" s="1"/>
  <c r="S214" i="4"/>
  <c r="T214" i="4" s="1"/>
  <c r="S213" i="4"/>
  <c r="T213" i="4" s="1"/>
  <c r="S212" i="4"/>
  <c r="T212" i="4" s="1"/>
  <c r="S211" i="4"/>
  <c r="T211" i="4" s="1"/>
  <c r="S210" i="4"/>
  <c r="T210" i="4" s="1"/>
  <c r="S209" i="4"/>
  <c r="T209" i="4" s="1"/>
  <c r="S208" i="4"/>
  <c r="T208" i="4" s="1"/>
  <c r="S207" i="4"/>
  <c r="T207" i="4" s="1"/>
  <c r="S206" i="4"/>
  <c r="T206" i="4" s="1"/>
  <c r="S205" i="4"/>
  <c r="T205" i="4" s="1"/>
  <c r="S204" i="4"/>
  <c r="T204" i="4" s="1"/>
  <c r="S203" i="4"/>
  <c r="T203" i="4" s="1"/>
  <c r="S202" i="4"/>
  <c r="T202" i="4" s="1"/>
  <c r="S201" i="4"/>
  <c r="T201" i="4" s="1"/>
  <c r="S200" i="4"/>
  <c r="T200" i="4" s="1"/>
  <c r="S199" i="4"/>
  <c r="T199" i="4" s="1"/>
  <c r="S198" i="4"/>
  <c r="T198" i="4" s="1"/>
  <c r="S197" i="4"/>
  <c r="T197" i="4" s="1"/>
  <c r="S196" i="4"/>
  <c r="T196" i="4" s="1"/>
  <c r="S195" i="4"/>
  <c r="T195" i="4" s="1"/>
  <c r="S194" i="4"/>
  <c r="T194" i="4" s="1"/>
  <c r="S193" i="4"/>
  <c r="T193" i="4" s="1"/>
  <c r="S192" i="4"/>
  <c r="T192" i="4" s="1"/>
  <c r="S191" i="4"/>
  <c r="T191" i="4" s="1"/>
  <c r="S190" i="4"/>
  <c r="T190" i="4" s="1"/>
  <c r="S189" i="4"/>
  <c r="T189" i="4" s="1"/>
  <c r="S188" i="4"/>
  <c r="T188" i="4" s="1"/>
  <c r="S187" i="4"/>
  <c r="T187" i="4" s="1"/>
  <c r="S186" i="4"/>
  <c r="T186" i="4" s="1"/>
  <c r="S185" i="4"/>
  <c r="T185" i="4" s="1"/>
  <c r="S184" i="4"/>
  <c r="T184" i="4" s="1"/>
  <c r="S183" i="4"/>
  <c r="T183" i="4" s="1"/>
  <c r="S182" i="4"/>
  <c r="T182" i="4" s="1"/>
  <c r="S181" i="4"/>
  <c r="T181" i="4" s="1"/>
  <c r="S180" i="4"/>
  <c r="T180" i="4" s="1"/>
  <c r="S179" i="4"/>
  <c r="T179" i="4" s="1"/>
  <c r="S178" i="4"/>
  <c r="T178" i="4" s="1"/>
  <c r="S177" i="4"/>
  <c r="T177" i="4" s="1"/>
  <c r="S176" i="4"/>
  <c r="T176" i="4" s="1"/>
  <c r="S175" i="4"/>
  <c r="T175" i="4" s="1"/>
  <c r="S174" i="4"/>
  <c r="T174" i="4" s="1"/>
  <c r="S173" i="4"/>
  <c r="T173" i="4" s="1"/>
  <c r="S172" i="4"/>
  <c r="T172" i="4" s="1"/>
  <c r="S171" i="4"/>
  <c r="T171" i="4" s="1"/>
  <c r="S170" i="4"/>
  <c r="T170" i="4" s="1"/>
  <c r="S169" i="4"/>
  <c r="T169" i="4" s="1"/>
  <c r="S168" i="4"/>
  <c r="T168" i="4" s="1"/>
  <c r="S167" i="4"/>
  <c r="T167" i="4" s="1"/>
  <c r="S166" i="4"/>
  <c r="T166" i="4" s="1"/>
  <c r="S165" i="4"/>
  <c r="T165" i="4" s="1"/>
  <c r="S164" i="4"/>
  <c r="T164" i="4" s="1"/>
  <c r="S163" i="4"/>
  <c r="T163" i="4" s="1"/>
  <c r="S162" i="4"/>
  <c r="T162" i="4" s="1"/>
  <c r="S161" i="4"/>
  <c r="T161" i="4" s="1"/>
  <c r="S160" i="4"/>
  <c r="T160" i="4" s="1"/>
  <c r="S159" i="4"/>
  <c r="T159" i="4" s="1"/>
  <c r="S158" i="4"/>
  <c r="T158" i="4" s="1"/>
  <c r="S157" i="4"/>
  <c r="T157" i="4" s="1"/>
  <c r="S156" i="4"/>
  <c r="T156" i="4" s="1"/>
  <c r="S155" i="4"/>
  <c r="T155" i="4" s="1"/>
  <c r="S154" i="4"/>
  <c r="T154" i="4" s="1"/>
  <c r="S153" i="4"/>
  <c r="T153" i="4" s="1"/>
  <c r="S152" i="4"/>
  <c r="T152" i="4" s="1"/>
  <c r="S151" i="4"/>
  <c r="T151" i="4" s="1"/>
  <c r="S150" i="4"/>
  <c r="T150" i="4" s="1"/>
  <c r="S149" i="4"/>
  <c r="T149" i="4" s="1"/>
  <c r="S148" i="4"/>
  <c r="T148" i="4" s="1"/>
  <c r="S147" i="4"/>
  <c r="T147" i="4" s="1"/>
  <c r="S146" i="4"/>
  <c r="T146" i="4" s="1"/>
  <c r="S145" i="4"/>
  <c r="T145" i="4" s="1"/>
  <c r="S144" i="4"/>
  <c r="T144" i="4" s="1"/>
  <c r="S143" i="4"/>
  <c r="T143" i="4" s="1"/>
  <c r="S142" i="4"/>
  <c r="T142" i="4" s="1"/>
  <c r="S141" i="4"/>
  <c r="T141" i="4" s="1"/>
  <c r="S140" i="4"/>
  <c r="T140" i="4" s="1"/>
  <c r="S139" i="4"/>
  <c r="T139" i="4" s="1"/>
  <c r="S138" i="4"/>
  <c r="T138" i="4" s="1"/>
  <c r="S137" i="4"/>
  <c r="T137" i="4" s="1"/>
  <c r="S136" i="4"/>
  <c r="T136" i="4" s="1"/>
  <c r="S135" i="4"/>
  <c r="T135" i="4" s="1"/>
  <c r="S134" i="4"/>
  <c r="T134" i="4" s="1"/>
  <c r="S133" i="4"/>
  <c r="T133" i="4" s="1"/>
  <c r="S132" i="4"/>
  <c r="T132" i="4" s="1"/>
  <c r="S131" i="4"/>
  <c r="T131" i="4" s="1"/>
  <c r="S130" i="4"/>
  <c r="T130" i="4" s="1"/>
  <c r="S129" i="4"/>
  <c r="T129" i="4" s="1"/>
  <c r="S128" i="4"/>
  <c r="T128" i="4" s="1"/>
  <c r="S127" i="4"/>
  <c r="T127" i="4" s="1"/>
  <c r="S126" i="4"/>
  <c r="T126" i="4" s="1"/>
  <c r="S125" i="4"/>
  <c r="T125" i="4" s="1"/>
  <c r="S124" i="4"/>
  <c r="T124" i="4" s="1"/>
  <c r="S123" i="4"/>
  <c r="T123" i="4" s="1"/>
  <c r="S122" i="4"/>
  <c r="T122" i="4" s="1"/>
  <c r="S121" i="4"/>
  <c r="T121" i="4" s="1"/>
  <c r="S120" i="4"/>
  <c r="T120" i="4" s="1"/>
  <c r="S119" i="4"/>
  <c r="T119" i="4" s="1"/>
  <c r="S118" i="4"/>
  <c r="T118" i="4" s="1"/>
  <c r="S117" i="4"/>
  <c r="T117" i="4" s="1"/>
  <c r="S116" i="4"/>
  <c r="T116" i="4" s="1"/>
  <c r="S115" i="4"/>
  <c r="T115" i="4" s="1"/>
  <c r="S114" i="4"/>
  <c r="T114" i="4" s="1"/>
  <c r="S113" i="4"/>
  <c r="T113" i="4" s="1"/>
  <c r="S112" i="4"/>
  <c r="T112" i="4" s="1"/>
  <c r="S111" i="4"/>
  <c r="T111" i="4" s="1"/>
  <c r="S110" i="4"/>
  <c r="T110" i="4" s="1"/>
  <c r="S109" i="4"/>
  <c r="T109" i="4" s="1"/>
  <c r="S108" i="4"/>
  <c r="T108" i="4" s="1"/>
  <c r="S107" i="4"/>
  <c r="T107" i="4" s="1"/>
  <c r="S106" i="4"/>
  <c r="T106" i="4" s="1"/>
  <c r="S105" i="4"/>
  <c r="T105" i="4" s="1"/>
  <c r="S104" i="4"/>
  <c r="T104" i="4" s="1"/>
  <c r="S103" i="4"/>
  <c r="T103" i="4" s="1"/>
  <c r="S102" i="4"/>
  <c r="T102" i="4" s="1"/>
  <c r="S101" i="4"/>
  <c r="T101" i="4" s="1"/>
  <c r="S100" i="4"/>
  <c r="T100" i="4" s="1"/>
  <c r="S99" i="4"/>
  <c r="T99" i="4" s="1"/>
  <c r="S98" i="4"/>
  <c r="T98" i="4" s="1"/>
  <c r="S97" i="4"/>
  <c r="T97" i="4" s="1"/>
  <c r="S96" i="4"/>
  <c r="T96" i="4" s="1"/>
  <c r="S95" i="4"/>
  <c r="T95" i="4" s="1"/>
  <c r="S94" i="4"/>
  <c r="T94" i="4" s="1"/>
  <c r="S93" i="4"/>
  <c r="T93" i="4" s="1"/>
  <c r="S92" i="4"/>
  <c r="T92" i="4" s="1"/>
  <c r="S91" i="4"/>
  <c r="T91" i="4" s="1"/>
  <c r="S90" i="4"/>
  <c r="T90" i="4" s="1"/>
  <c r="S89" i="4"/>
  <c r="T89" i="4" s="1"/>
  <c r="S88" i="4"/>
  <c r="T88" i="4" s="1"/>
  <c r="S87" i="4"/>
  <c r="T87" i="4" s="1"/>
  <c r="S86" i="4"/>
  <c r="T86" i="4" s="1"/>
  <c r="S85" i="4"/>
  <c r="T85" i="4" s="1"/>
  <c r="S84" i="4"/>
  <c r="T84" i="4" s="1"/>
  <c r="S83" i="4"/>
  <c r="T83" i="4" s="1"/>
  <c r="S82" i="4"/>
  <c r="T82" i="4" s="1"/>
  <c r="S81" i="4"/>
  <c r="T81" i="4" s="1"/>
  <c r="S80" i="4"/>
  <c r="T80" i="4" s="1"/>
  <c r="S79" i="4"/>
  <c r="T79" i="4" s="1"/>
  <c r="S78" i="4"/>
  <c r="T78" i="4" s="1"/>
  <c r="S77" i="4"/>
  <c r="T77" i="4" s="1"/>
  <c r="S76" i="4"/>
  <c r="T76" i="4" s="1"/>
  <c r="S75" i="4"/>
  <c r="T75" i="4" s="1"/>
  <c r="S74" i="4"/>
  <c r="T74" i="4" s="1"/>
  <c r="S73" i="4"/>
  <c r="T73" i="4" s="1"/>
  <c r="S72" i="4"/>
  <c r="T72" i="4" s="1"/>
  <c r="S71" i="4"/>
  <c r="T71" i="4" s="1"/>
  <c r="S70" i="4"/>
  <c r="T70" i="4" s="1"/>
  <c r="S69" i="4"/>
  <c r="T69" i="4" s="1"/>
  <c r="S68" i="4"/>
  <c r="T68" i="4" s="1"/>
  <c r="S67" i="4"/>
  <c r="T67" i="4" s="1"/>
  <c r="S66" i="4"/>
  <c r="T66" i="4" s="1"/>
  <c r="S65" i="4"/>
  <c r="T65" i="4" s="1"/>
  <c r="S64" i="4"/>
  <c r="T64" i="4" s="1"/>
  <c r="S63" i="4"/>
  <c r="T63" i="4" s="1"/>
  <c r="S62" i="4"/>
  <c r="T62" i="4" s="1"/>
  <c r="S61" i="4"/>
  <c r="T61" i="4" s="1"/>
  <c r="S60" i="4"/>
  <c r="T60" i="4" s="1"/>
  <c r="S59" i="4"/>
  <c r="T59" i="4" s="1"/>
  <c r="S58" i="4"/>
  <c r="T58" i="4" s="1"/>
  <c r="S57" i="4"/>
  <c r="T57" i="4" s="1"/>
  <c r="S56" i="4"/>
  <c r="T56" i="4" s="1"/>
  <c r="S55" i="4"/>
  <c r="T55" i="4" s="1"/>
  <c r="S54" i="4"/>
  <c r="T54" i="4" s="1"/>
  <c r="S53" i="4"/>
  <c r="T53" i="4" s="1"/>
  <c r="S52" i="4"/>
  <c r="T52" i="4" s="1"/>
  <c r="S51" i="4"/>
  <c r="T51" i="4" s="1"/>
  <c r="S50" i="4"/>
  <c r="T50" i="4" s="1"/>
  <c r="S49" i="4"/>
  <c r="T49" i="4" s="1"/>
  <c r="S48" i="4"/>
  <c r="T48" i="4" s="1"/>
  <c r="S47" i="4"/>
  <c r="T47" i="4" s="1"/>
  <c r="S46" i="4"/>
  <c r="T46" i="4" s="1"/>
  <c r="S45" i="4"/>
  <c r="T45" i="4" s="1"/>
  <c r="S44" i="4"/>
  <c r="T44" i="4" s="1"/>
  <c r="S43" i="4"/>
  <c r="T43" i="4" s="1"/>
  <c r="S42" i="4"/>
  <c r="T42" i="4" s="1"/>
  <c r="S41" i="4"/>
  <c r="T41" i="4" s="1"/>
  <c r="S40" i="4"/>
  <c r="T40" i="4" s="1"/>
  <c r="S39" i="4"/>
  <c r="T39" i="4" s="1"/>
  <c r="S38" i="4"/>
  <c r="T38" i="4" s="1"/>
  <c r="S37" i="4"/>
  <c r="T37" i="4" s="1"/>
  <c r="S36" i="4"/>
  <c r="T36" i="4" s="1"/>
  <c r="S35" i="4"/>
  <c r="T35" i="4" s="1"/>
  <c r="S34" i="4"/>
  <c r="T34" i="4" s="1"/>
  <c r="S33" i="4"/>
  <c r="T33" i="4" s="1"/>
  <c r="S32" i="4"/>
  <c r="T32" i="4" s="1"/>
  <c r="S31" i="4"/>
  <c r="T31" i="4" s="1"/>
  <c r="S30" i="4"/>
  <c r="T30" i="4" s="1"/>
  <c r="S29" i="4"/>
  <c r="T29" i="4" s="1"/>
  <c r="S28" i="4"/>
  <c r="T28" i="4" s="1"/>
  <c r="S27" i="4"/>
  <c r="T27" i="4" s="1"/>
  <c r="S26" i="4"/>
  <c r="T26" i="4" s="1"/>
  <c r="S25" i="4"/>
  <c r="T25" i="4" s="1"/>
  <c r="S24" i="4"/>
  <c r="T24" i="4" s="1"/>
  <c r="S23" i="4"/>
  <c r="T23" i="4" s="1"/>
  <c r="S22" i="4"/>
  <c r="T22" i="4" s="1"/>
  <c r="S21" i="4"/>
  <c r="T21" i="4" s="1"/>
  <c r="S20" i="4"/>
  <c r="T20" i="4" s="1"/>
  <c r="S19" i="4"/>
  <c r="T19" i="4" s="1"/>
  <c r="S18" i="4"/>
  <c r="T18" i="4" s="1"/>
  <c r="S17" i="4"/>
  <c r="T17" i="4" s="1"/>
  <c r="S16" i="4"/>
  <c r="T16" i="4" s="1"/>
  <c r="S15" i="4"/>
  <c r="T15" i="4" s="1"/>
  <c r="S14" i="4"/>
  <c r="T14" i="4" s="1"/>
  <c r="S13" i="4"/>
  <c r="T13" i="4" s="1"/>
  <c r="S12" i="4"/>
  <c r="T12" i="4" s="1"/>
  <c r="S11" i="4"/>
  <c r="T11" i="4" s="1"/>
  <c r="S10" i="4"/>
  <c r="T10" i="4" s="1"/>
  <c r="S9" i="4"/>
  <c r="T9" i="4" s="1"/>
  <c r="S8" i="4"/>
  <c r="T8" i="4" s="1"/>
  <c r="S7" i="4"/>
  <c r="T7" i="4" s="1"/>
  <c r="S6" i="4"/>
  <c r="T6" i="4" s="1"/>
  <c r="S5" i="4"/>
  <c r="T5" i="4" s="1"/>
  <c r="S4" i="4"/>
  <c r="T4" i="4" s="1"/>
  <c r="S3" i="4"/>
  <c r="T3" i="4" s="1"/>
  <c r="S2" i="4"/>
  <c r="T2" i="4" s="1"/>
  <c r="V632" i="4" l="1"/>
  <c r="V726" i="4"/>
  <c r="V1248" i="4"/>
  <c r="V134" i="4"/>
  <c r="V903" i="4"/>
  <c r="V1024" i="4"/>
  <c r="V166" i="4"/>
  <c r="V213" i="4"/>
  <c r="V945" i="4"/>
  <c r="V81" i="4"/>
  <c r="V105" i="4"/>
  <c r="V119" i="4"/>
  <c r="V200" i="4"/>
  <c r="V378" i="4"/>
  <c r="V959" i="4"/>
  <c r="V1274" i="4"/>
  <c r="V774" i="4"/>
  <c r="V983" i="4"/>
  <c r="V923" i="4"/>
  <c r="V88" i="4"/>
  <c r="V1039" i="4"/>
  <c r="V2" i="4"/>
  <c r="V74" i="4"/>
  <c r="V150" i="4"/>
  <c r="V237" i="4"/>
  <c r="V300" i="4"/>
  <c r="V791" i="4"/>
  <c r="V883" i="4"/>
  <c r="V1201" i="4"/>
  <c r="V1226" i="4"/>
  <c r="V1289" i="4"/>
  <c r="V337" i="4"/>
  <c r="V656" i="4"/>
  <c r="V863" i="4"/>
  <c r="V1160" i="4"/>
  <c r="V526" i="4"/>
  <c r="V704" i="4"/>
  <c r="V997" i="4"/>
  <c r="V408" i="4"/>
  <c r="V1316" i="4"/>
  <c r="V260" i="4"/>
  <c r="V465" i="4"/>
  <c r="V95" i="4"/>
  <c r="V115" i="4"/>
  <c r="V188" i="4"/>
  <c r="V389" i="4"/>
  <c r="V38" i="4"/>
  <c r="V142" i="4"/>
  <c r="V57" i="4"/>
  <c r="V129" i="4"/>
  <c r="V277" i="4"/>
  <c r="V315" i="4"/>
  <c r="V358" i="4"/>
  <c r="V124" i="4"/>
  <c r="V159" i="4"/>
  <c r="V913" i="4"/>
  <c r="V617" i="4"/>
  <c r="V547" i="4"/>
  <c r="V731" i="4"/>
  <c r="V598" i="4"/>
  <c r="V179" i="4"/>
  <c r="V485" i="4"/>
  <c r="V504" i="4"/>
  <c r="V692" i="4"/>
  <c r="V248" i="4"/>
  <c r="V668" i="4"/>
  <c r="V225" i="4"/>
  <c r="V680" i="4"/>
  <c r="V750" i="4"/>
  <c r="V435" i="4"/>
  <c r="V560" i="4"/>
  <c r="V1096" i="4"/>
  <c r="V1131" i="4"/>
  <c r="V1430" i="4"/>
  <c r="V715" i="4"/>
  <c r="V580" i="4"/>
  <c r="V782" i="4"/>
  <c r="V763" i="4"/>
  <c r="V644" i="4"/>
  <c r="V833" i="4"/>
  <c r="V850" i="4"/>
  <c r="V1213" i="4"/>
  <c r="V1406" i="4"/>
  <c r="V1494" i="4"/>
  <c r="V845" i="4"/>
  <c r="V1176" i="4"/>
  <c r="V809" i="4"/>
  <c r="V1352" i="4"/>
  <c r="V1438" i="4"/>
  <c r="V1473" i="4"/>
  <c r="V823" i="4"/>
  <c r="V969" i="4"/>
  <c r="V1016" i="4"/>
  <c r="V1115" i="4"/>
  <c r="V1145" i="4"/>
  <c r="V800" i="4"/>
  <c r="V1007" i="4"/>
  <c r="V1031" i="4"/>
  <c r="V1076" i="4"/>
  <c r="V1307" i="4"/>
  <c r="V1334" i="4"/>
  <c r="V873" i="4"/>
  <c r="V893" i="4"/>
  <c r="V935" i="4"/>
  <c r="V1046" i="4"/>
  <c r="V1052" i="4"/>
  <c r="V1064" i="4"/>
  <c r="V1379" i="4"/>
  <c r="V1462" i="4"/>
  <c r="V1484" i="4"/>
  <c r="V1397" i="4"/>
  <c r="V1414" i="4"/>
  <c r="V1454" i="4"/>
  <c r="V1261" i="4"/>
  <c r="V1324" i="4"/>
  <c r="V1370" i="4"/>
  <c r="V1422" i="4"/>
  <c r="V1388" i="4"/>
  <c r="V1239" i="4"/>
  <c r="V1343" i="4"/>
  <c r="V1446" i="4"/>
  <c r="V1189" i="4"/>
  <c r="V1298" i="4"/>
  <c r="V1361" i="4"/>
  <c r="V1505" i="4"/>
  <c r="A4" i="2" l="1"/>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S837" i="2"/>
  <c r="T837" i="2" s="1"/>
  <c r="S836" i="2"/>
  <c r="T836" i="2" s="1"/>
  <c r="S835" i="2"/>
  <c r="T835" i="2" s="1"/>
  <c r="S834" i="2"/>
  <c r="T834" i="2" s="1"/>
  <c r="S833" i="2"/>
  <c r="T833" i="2" s="1"/>
  <c r="S832" i="2"/>
  <c r="T832" i="2" s="1"/>
  <c r="S831" i="2"/>
  <c r="T831" i="2" s="1"/>
  <c r="S830" i="2"/>
  <c r="T830" i="2" s="1"/>
  <c r="S829" i="2"/>
  <c r="T829" i="2" s="1"/>
  <c r="S828" i="2"/>
  <c r="T828" i="2" s="1"/>
  <c r="S827" i="2"/>
  <c r="T827" i="2" s="1"/>
  <c r="S826" i="2"/>
  <c r="T826" i="2" s="1"/>
  <c r="S825" i="2"/>
  <c r="T825" i="2" s="1"/>
  <c r="S824" i="2"/>
  <c r="T824" i="2" s="1"/>
  <c r="S823" i="2"/>
  <c r="T823" i="2" s="1"/>
  <c r="S822" i="2"/>
  <c r="T822" i="2" s="1"/>
  <c r="S821" i="2"/>
  <c r="T821" i="2" s="1"/>
  <c r="S820" i="2"/>
  <c r="T820" i="2" s="1"/>
  <c r="S819" i="2"/>
  <c r="T819" i="2" s="1"/>
  <c r="S818" i="2"/>
  <c r="T818" i="2" s="1"/>
  <c r="S817" i="2"/>
  <c r="T817" i="2" s="1"/>
  <c r="S816" i="2"/>
  <c r="T816" i="2" s="1"/>
  <c r="S815" i="2"/>
  <c r="T815" i="2" s="1"/>
  <c r="S814" i="2"/>
  <c r="T814" i="2" s="1"/>
  <c r="S813" i="2"/>
  <c r="T813" i="2" s="1"/>
  <c r="S812" i="2"/>
  <c r="T812" i="2" s="1"/>
  <c r="S811" i="2"/>
  <c r="T811" i="2" s="1"/>
  <c r="S810" i="2"/>
  <c r="T810" i="2" s="1"/>
  <c r="S809" i="2"/>
  <c r="T809" i="2" s="1"/>
  <c r="S808" i="2"/>
  <c r="T808" i="2" s="1"/>
  <c r="S807" i="2"/>
  <c r="T807" i="2" s="1"/>
  <c r="S806" i="2"/>
  <c r="T806" i="2" s="1"/>
  <c r="S805" i="2"/>
  <c r="T805" i="2" s="1"/>
  <c r="S804" i="2"/>
  <c r="T804" i="2" s="1"/>
  <c r="S803" i="2"/>
  <c r="T803" i="2" s="1"/>
  <c r="S802" i="2"/>
  <c r="T802" i="2" s="1"/>
  <c r="S801" i="2"/>
  <c r="T801" i="2" s="1"/>
  <c r="S800" i="2"/>
  <c r="T800" i="2" s="1"/>
  <c r="S799" i="2"/>
  <c r="T799" i="2" s="1"/>
  <c r="S798" i="2"/>
  <c r="T798" i="2" s="1"/>
  <c r="S797" i="2"/>
  <c r="T797" i="2" s="1"/>
  <c r="S796" i="2"/>
  <c r="T796" i="2" s="1"/>
  <c r="S795" i="2"/>
  <c r="T795" i="2" s="1"/>
  <c r="S794" i="2"/>
  <c r="T794" i="2" s="1"/>
  <c r="S793" i="2"/>
  <c r="T793" i="2" s="1"/>
  <c r="S792" i="2"/>
  <c r="T792" i="2" s="1"/>
  <c r="S791" i="2"/>
  <c r="T791" i="2" s="1"/>
  <c r="S790" i="2"/>
  <c r="T790" i="2" s="1"/>
  <c r="S789" i="2"/>
  <c r="T789" i="2" s="1"/>
  <c r="S788" i="2"/>
  <c r="T788" i="2" s="1"/>
  <c r="S787" i="2"/>
  <c r="T787" i="2" s="1"/>
  <c r="S786" i="2"/>
  <c r="T786" i="2" s="1"/>
  <c r="S785" i="2"/>
  <c r="T785" i="2" s="1"/>
  <c r="S784" i="2"/>
  <c r="T784" i="2" s="1"/>
  <c r="S783" i="2"/>
  <c r="T783" i="2" s="1"/>
  <c r="S782" i="2"/>
  <c r="T782" i="2" s="1"/>
  <c r="S781" i="2"/>
  <c r="T781" i="2" s="1"/>
  <c r="S780" i="2"/>
  <c r="T780" i="2" s="1"/>
  <c r="S779" i="2"/>
  <c r="T779" i="2" s="1"/>
  <c r="S778" i="2"/>
  <c r="T778" i="2" s="1"/>
  <c r="S777" i="2"/>
  <c r="T777" i="2" s="1"/>
  <c r="S776" i="2"/>
  <c r="T776" i="2" s="1"/>
  <c r="S775" i="2"/>
  <c r="T775" i="2" s="1"/>
  <c r="S774" i="2"/>
  <c r="T774" i="2" s="1"/>
  <c r="S773" i="2"/>
  <c r="T773" i="2" s="1"/>
  <c r="S772" i="2"/>
  <c r="T772" i="2" s="1"/>
  <c r="S771" i="2"/>
  <c r="T771" i="2" s="1"/>
  <c r="S770" i="2"/>
  <c r="T770" i="2" s="1"/>
  <c r="S769" i="2"/>
  <c r="T769" i="2" s="1"/>
  <c r="S768" i="2"/>
  <c r="T768" i="2" s="1"/>
  <c r="S767" i="2"/>
  <c r="T767" i="2" s="1"/>
  <c r="S766" i="2"/>
  <c r="T766" i="2" s="1"/>
  <c r="S765" i="2"/>
  <c r="T765" i="2" s="1"/>
  <c r="S764" i="2"/>
  <c r="T764" i="2" s="1"/>
  <c r="S763" i="2"/>
  <c r="T763" i="2" s="1"/>
  <c r="S762" i="2"/>
  <c r="T762" i="2" s="1"/>
  <c r="S761" i="2"/>
  <c r="T761" i="2" s="1"/>
  <c r="S760" i="2"/>
  <c r="T760" i="2" s="1"/>
  <c r="S759" i="2"/>
  <c r="T759" i="2" s="1"/>
  <c r="S758" i="2"/>
  <c r="T758" i="2" s="1"/>
  <c r="S757" i="2"/>
  <c r="T757" i="2" s="1"/>
  <c r="S756" i="2"/>
  <c r="T756" i="2" s="1"/>
  <c r="S755" i="2"/>
  <c r="T755" i="2" s="1"/>
  <c r="S754" i="2"/>
  <c r="T754" i="2" s="1"/>
  <c r="S753" i="2"/>
  <c r="T753" i="2" s="1"/>
  <c r="S752" i="2"/>
  <c r="T752" i="2" s="1"/>
  <c r="S751" i="2"/>
  <c r="T751" i="2" s="1"/>
  <c r="S750" i="2"/>
  <c r="T750" i="2" s="1"/>
  <c r="S749" i="2"/>
  <c r="T749" i="2" s="1"/>
  <c r="S748" i="2"/>
  <c r="T748" i="2" s="1"/>
  <c r="S747" i="2"/>
  <c r="T747" i="2" s="1"/>
  <c r="S746" i="2"/>
  <c r="T746" i="2" s="1"/>
  <c r="S745" i="2"/>
  <c r="T745" i="2" s="1"/>
  <c r="S744" i="2"/>
  <c r="T744" i="2" s="1"/>
  <c r="S743" i="2"/>
  <c r="T743" i="2" s="1"/>
  <c r="S742" i="2"/>
  <c r="T742" i="2" s="1"/>
  <c r="S741" i="2"/>
  <c r="T741" i="2" s="1"/>
  <c r="S740" i="2"/>
  <c r="T740" i="2" s="1"/>
  <c r="S739" i="2"/>
  <c r="T739" i="2" s="1"/>
  <c r="S738" i="2"/>
  <c r="T738" i="2" s="1"/>
  <c r="S737" i="2"/>
  <c r="T737" i="2" s="1"/>
  <c r="S736" i="2"/>
  <c r="T736" i="2" s="1"/>
  <c r="S735" i="2"/>
  <c r="T735" i="2" s="1"/>
  <c r="S734" i="2"/>
  <c r="T734" i="2" s="1"/>
  <c r="S733" i="2"/>
  <c r="T733" i="2" s="1"/>
  <c r="S732" i="2"/>
  <c r="T732" i="2" s="1"/>
  <c r="S731" i="2"/>
  <c r="T731" i="2" s="1"/>
  <c r="S730" i="2"/>
  <c r="T730" i="2" s="1"/>
  <c r="S729" i="2"/>
  <c r="T729" i="2" s="1"/>
  <c r="S728" i="2"/>
  <c r="T728" i="2" s="1"/>
  <c r="S727" i="2"/>
  <c r="T727" i="2" s="1"/>
  <c r="S726" i="2"/>
  <c r="T726" i="2" s="1"/>
  <c r="S725" i="2"/>
  <c r="T725" i="2" s="1"/>
  <c r="S724" i="2"/>
  <c r="T724" i="2" s="1"/>
  <c r="S723" i="2"/>
  <c r="T723" i="2" s="1"/>
  <c r="S722" i="2"/>
  <c r="T722" i="2" s="1"/>
  <c r="S721" i="2"/>
  <c r="T721" i="2" s="1"/>
  <c r="S720" i="2"/>
  <c r="T720" i="2" s="1"/>
  <c r="S719" i="2"/>
  <c r="T719" i="2" s="1"/>
  <c r="S718" i="2"/>
  <c r="T718" i="2" s="1"/>
  <c r="S717" i="2"/>
  <c r="T717" i="2" s="1"/>
  <c r="S716" i="2"/>
  <c r="T716" i="2" s="1"/>
  <c r="S715" i="2"/>
  <c r="T715" i="2" s="1"/>
  <c r="S714" i="2"/>
  <c r="T714" i="2" s="1"/>
  <c r="S713" i="2"/>
  <c r="T713" i="2" s="1"/>
  <c r="S712" i="2"/>
  <c r="T712" i="2" s="1"/>
  <c r="S711" i="2"/>
  <c r="T711" i="2" s="1"/>
  <c r="S710" i="2"/>
  <c r="T710" i="2" s="1"/>
  <c r="S709" i="2"/>
  <c r="T709" i="2" s="1"/>
  <c r="S708" i="2"/>
  <c r="T708" i="2" s="1"/>
  <c r="S707" i="2"/>
  <c r="T707" i="2" s="1"/>
  <c r="S706" i="2"/>
  <c r="T706" i="2" s="1"/>
  <c r="S705" i="2"/>
  <c r="T705" i="2" s="1"/>
  <c r="S704" i="2"/>
  <c r="T704" i="2" s="1"/>
  <c r="S703" i="2"/>
  <c r="T703" i="2" s="1"/>
  <c r="S702" i="2"/>
  <c r="T702" i="2" s="1"/>
  <c r="S701" i="2"/>
  <c r="T701" i="2" s="1"/>
  <c r="S700" i="2"/>
  <c r="T700" i="2" s="1"/>
  <c r="S699" i="2"/>
  <c r="T699" i="2" s="1"/>
  <c r="S698" i="2"/>
  <c r="T698" i="2" s="1"/>
  <c r="S697" i="2"/>
  <c r="T697" i="2" s="1"/>
  <c r="S696" i="2"/>
  <c r="T696" i="2" s="1"/>
  <c r="S695" i="2"/>
  <c r="T695" i="2" s="1"/>
  <c r="S694" i="2"/>
  <c r="T694" i="2" s="1"/>
  <c r="S693" i="2"/>
  <c r="T693" i="2" s="1"/>
  <c r="S692" i="2"/>
  <c r="T692" i="2" s="1"/>
  <c r="S691" i="2"/>
  <c r="T691" i="2" s="1"/>
  <c r="S690" i="2"/>
  <c r="T690" i="2" s="1"/>
  <c r="S689" i="2"/>
  <c r="T689" i="2" s="1"/>
  <c r="S688" i="2"/>
  <c r="T688" i="2" s="1"/>
  <c r="S687" i="2"/>
  <c r="T687" i="2" s="1"/>
  <c r="S686" i="2"/>
  <c r="T686" i="2" s="1"/>
  <c r="S685" i="2"/>
  <c r="T685" i="2" s="1"/>
  <c r="S684" i="2"/>
  <c r="T684" i="2" s="1"/>
  <c r="S683" i="2"/>
  <c r="T683" i="2" s="1"/>
  <c r="S682" i="2"/>
  <c r="T682" i="2" s="1"/>
  <c r="S681" i="2"/>
  <c r="T681" i="2" s="1"/>
  <c r="S680" i="2"/>
  <c r="T680" i="2" s="1"/>
  <c r="S679" i="2"/>
  <c r="T679" i="2" s="1"/>
  <c r="S678" i="2"/>
  <c r="T678" i="2" s="1"/>
  <c r="S677" i="2"/>
  <c r="T677" i="2" s="1"/>
  <c r="S676" i="2"/>
  <c r="T676" i="2" s="1"/>
  <c r="S675" i="2"/>
  <c r="T675" i="2" s="1"/>
  <c r="S674" i="2"/>
  <c r="T674" i="2" s="1"/>
  <c r="S673" i="2"/>
  <c r="T673" i="2" s="1"/>
  <c r="S672" i="2"/>
  <c r="T672" i="2" s="1"/>
  <c r="S671" i="2"/>
  <c r="T671" i="2" s="1"/>
  <c r="S670" i="2"/>
  <c r="T670" i="2" s="1"/>
  <c r="S669" i="2"/>
  <c r="T669" i="2" s="1"/>
  <c r="S668" i="2"/>
  <c r="T668" i="2" s="1"/>
  <c r="S667" i="2"/>
  <c r="T667" i="2" s="1"/>
  <c r="S666" i="2"/>
  <c r="T666" i="2" s="1"/>
  <c r="S665" i="2"/>
  <c r="T665" i="2" s="1"/>
  <c r="S664" i="2"/>
  <c r="T664" i="2" s="1"/>
  <c r="S663" i="2"/>
  <c r="T663" i="2" s="1"/>
  <c r="S662" i="2"/>
  <c r="T662" i="2" s="1"/>
  <c r="S661" i="2"/>
  <c r="T661" i="2" s="1"/>
  <c r="S660" i="2"/>
  <c r="T660" i="2" s="1"/>
  <c r="S659" i="2"/>
  <c r="T659" i="2" s="1"/>
  <c r="S658" i="2"/>
  <c r="T658" i="2" s="1"/>
  <c r="S657" i="2"/>
  <c r="T657" i="2" s="1"/>
  <c r="S656" i="2"/>
  <c r="T656" i="2" s="1"/>
  <c r="S655" i="2"/>
  <c r="T655" i="2" s="1"/>
  <c r="S654" i="2"/>
  <c r="T654" i="2" s="1"/>
  <c r="S653" i="2"/>
  <c r="T653" i="2" s="1"/>
  <c r="S652" i="2"/>
  <c r="T652" i="2" s="1"/>
  <c r="S651" i="2"/>
  <c r="T651" i="2" s="1"/>
  <c r="S650" i="2"/>
  <c r="T650" i="2" s="1"/>
  <c r="S649" i="2"/>
  <c r="T649" i="2" s="1"/>
  <c r="S648" i="2"/>
  <c r="T648" i="2" s="1"/>
  <c r="S647" i="2"/>
  <c r="T647" i="2" s="1"/>
  <c r="S646" i="2"/>
  <c r="T646" i="2" s="1"/>
  <c r="S645" i="2"/>
  <c r="T645" i="2" s="1"/>
  <c r="S644" i="2"/>
  <c r="T644" i="2" s="1"/>
  <c r="S643" i="2"/>
  <c r="T643" i="2" s="1"/>
  <c r="S642" i="2"/>
  <c r="T642" i="2" s="1"/>
  <c r="S641" i="2"/>
  <c r="T641" i="2" s="1"/>
  <c r="S640" i="2"/>
  <c r="T640" i="2" s="1"/>
  <c r="S639" i="2"/>
  <c r="T639" i="2" s="1"/>
  <c r="S638" i="2"/>
  <c r="T638" i="2" s="1"/>
  <c r="S637" i="2"/>
  <c r="T637" i="2" s="1"/>
  <c r="S636" i="2"/>
  <c r="T636" i="2" s="1"/>
  <c r="S635" i="2"/>
  <c r="T635" i="2" s="1"/>
  <c r="S634" i="2"/>
  <c r="T634" i="2" s="1"/>
  <c r="S633" i="2"/>
  <c r="T633" i="2" s="1"/>
  <c r="S632" i="2"/>
  <c r="T632" i="2" s="1"/>
  <c r="S631" i="2"/>
  <c r="T631" i="2" s="1"/>
  <c r="S630" i="2"/>
  <c r="T630" i="2" s="1"/>
  <c r="S629" i="2"/>
  <c r="T629" i="2" s="1"/>
  <c r="S628" i="2"/>
  <c r="T628" i="2" s="1"/>
  <c r="S627" i="2"/>
  <c r="T627" i="2" s="1"/>
  <c r="S626" i="2"/>
  <c r="T626" i="2" s="1"/>
  <c r="S625" i="2"/>
  <c r="T625" i="2" s="1"/>
  <c r="S624" i="2"/>
  <c r="T624" i="2" s="1"/>
  <c r="S623" i="2"/>
  <c r="T623" i="2" s="1"/>
  <c r="S622" i="2"/>
  <c r="T622" i="2" s="1"/>
  <c r="S621" i="2"/>
  <c r="T621" i="2" s="1"/>
  <c r="S620" i="2"/>
  <c r="T620" i="2" s="1"/>
  <c r="S619" i="2"/>
  <c r="T619" i="2" s="1"/>
  <c r="S618" i="2"/>
  <c r="T618" i="2" s="1"/>
  <c r="S617" i="2"/>
  <c r="T617" i="2" s="1"/>
  <c r="S616" i="2"/>
  <c r="T616" i="2" s="1"/>
  <c r="S615" i="2"/>
  <c r="T615" i="2" s="1"/>
  <c r="S614" i="2"/>
  <c r="T614" i="2" s="1"/>
  <c r="S613" i="2"/>
  <c r="T613" i="2" s="1"/>
  <c r="S612" i="2"/>
  <c r="T612" i="2" s="1"/>
  <c r="S611" i="2"/>
  <c r="T611" i="2" s="1"/>
  <c r="S610" i="2"/>
  <c r="T610" i="2" s="1"/>
  <c r="S609" i="2"/>
  <c r="T609" i="2" s="1"/>
  <c r="S608" i="2"/>
  <c r="T608" i="2" s="1"/>
  <c r="S607" i="2"/>
  <c r="T607" i="2" s="1"/>
  <c r="S606" i="2"/>
  <c r="T606" i="2" s="1"/>
  <c r="S605" i="2"/>
  <c r="T605" i="2" s="1"/>
  <c r="S604" i="2"/>
  <c r="T604" i="2" s="1"/>
  <c r="S603" i="2"/>
  <c r="T603" i="2" s="1"/>
  <c r="S602" i="2"/>
  <c r="T602" i="2" s="1"/>
  <c r="S601" i="2"/>
  <c r="T601" i="2" s="1"/>
  <c r="S600" i="2"/>
  <c r="T600" i="2" s="1"/>
  <c r="S599" i="2"/>
  <c r="T599" i="2" s="1"/>
  <c r="S598" i="2"/>
  <c r="T598" i="2" s="1"/>
  <c r="S597" i="2"/>
  <c r="T597" i="2" s="1"/>
  <c r="S596" i="2"/>
  <c r="T596" i="2" s="1"/>
  <c r="S595" i="2"/>
  <c r="T595" i="2" s="1"/>
  <c r="S594" i="2"/>
  <c r="T594" i="2" s="1"/>
  <c r="S593" i="2"/>
  <c r="T593" i="2" s="1"/>
  <c r="S592" i="2"/>
  <c r="T592" i="2" s="1"/>
  <c r="S591" i="2"/>
  <c r="T591" i="2" s="1"/>
  <c r="S590" i="2"/>
  <c r="T590" i="2" s="1"/>
  <c r="S589" i="2"/>
  <c r="T589" i="2" s="1"/>
  <c r="S588" i="2"/>
  <c r="T588" i="2" s="1"/>
  <c r="S587" i="2"/>
  <c r="T587" i="2" s="1"/>
  <c r="S586" i="2"/>
  <c r="T586" i="2" s="1"/>
  <c r="S585" i="2"/>
  <c r="T585" i="2" s="1"/>
  <c r="S584" i="2"/>
  <c r="T584" i="2" s="1"/>
  <c r="S583" i="2"/>
  <c r="T583" i="2" s="1"/>
  <c r="S582" i="2"/>
  <c r="T582" i="2" s="1"/>
  <c r="S581" i="2"/>
  <c r="T581" i="2" s="1"/>
  <c r="S580" i="2"/>
  <c r="T580" i="2" s="1"/>
  <c r="S579" i="2"/>
  <c r="T579" i="2" s="1"/>
  <c r="S578" i="2"/>
  <c r="T578" i="2" s="1"/>
  <c r="S577" i="2"/>
  <c r="T577" i="2" s="1"/>
  <c r="S576" i="2"/>
  <c r="T576" i="2" s="1"/>
  <c r="S575" i="2"/>
  <c r="T575" i="2" s="1"/>
  <c r="S574" i="2"/>
  <c r="T574" i="2" s="1"/>
  <c r="S573" i="2"/>
  <c r="T573" i="2" s="1"/>
  <c r="S572" i="2"/>
  <c r="T572" i="2" s="1"/>
  <c r="S571" i="2"/>
  <c r="T571" i="2" s="1"/>
  <c r="S570" i="2"/>
  <c r="T570" i="2" s="1"/>
  <c r="S569" i="2"/>
  <c r="T569" i="2" s="1"/>
  <c r="S568" i="2"/>
  <c r="T568" i="2" s="1"/>
  <c r="S567" i="2"/>
  <c r="T567" i="2" s="1"/>
  <c r="S566" i="2"/>
  <c r="T566" i="2" s="1"/>
  <c r="S565" i="2"/>
  <c r="T565" i="2" s="1"/>
  <c r="S564" i="2"/>
  <c r="T564" i="2" s="1"/>
  <c r="S563" i="2"/>
  <c r="T563" i="2" s="1"/>
  <c r="S562" i="2"/>
  <c r="T562" i="2" s="1"/>
  <c r="S561" i="2"/>
  <c r="T561" i="2" s="1"/>
  <c r="S560" i="2"/>
  <c r="T560" i="2" s="1"/>
  <c r="S559" i="2"/>
  <c r="T559" i="2" s="1"/>
  <c r="S558" i="2"/>
  <c r="T558" i="2" s="1"/>
  <c r="S557" i="2"/>
  <c r="T557" i="2" s="1"/>
  <c r="S556" i="2"/>
  <c r="T556" i="2" s="1"/>
  <c r="S555" i="2"/>
  <c r="T555" i="2" s="1"/>
  <c r="S554" i="2"/>
  <c r="T554" i="2" s="1"/>
  <c r="S553" i="2"/>
  <c r="T553" i="2" s="1"/>
  <c r="S552" i="2"/>
  <c r="T552" i="2" s="1"/>
  <c r="S551" i="2"/>
  <c r="T551" i="2" s="1"/>
  <c r="S550" i="2"/>
  <c r="T550" i="2" s="1"/>
  <c r="S549" i="2"/>
  <c r="T549" i="2" s="1"/>
  <c r="S548" i="2"/>
  <c r="T548" i="2" s="1"/>
  <c r="S547" i="2"/>
  <c r="T547" i="2" s="1"/>
  <c r="S546" i="2"/>
  <c r="T546" i="2" s="1"/>
  <c r="S545" i="2"/>
  <c r="T545" i="2" s="1"/>
  <c r="S544" i="2"/>
  <c r="T544" i="2" s="1"/>
  <c r="S543" i="2"/>
  <c r="T543" i="2" s="1"/>
  <c r="S542" i="2"/>
  <c r="T542" i="2" s="1"/>
  <c r="S541" i="2"/>
  <c r="T541" i="2" s="1"/>
  <c r="S540" i="2"/>
  <c r="T540" i="2" s="1"/>
  <c r="S539" i="2"/>
  <c r="T539" i="2" s="1"/>
  <c r="S538" i="2"/>
  <c r="T538" i="2" s="1"/>
  <c r="S537" i="2"/>
  <c r="T537" i="2" s="1"/>
  <c r="S536" i="2"/>
  <c r="T536" i="2" s="1"/>
  <c r="S535" i="2"/>
  <c r="T535" i="2" s="1"/>
  <c r="S534" i="2"/>
  <c r="T534" i="2" s="1"/>
  <c r="S533" i="2"/>
  <c r="T533" i="2" s="1"/>
  <c r="S532" i="2"/>
  <c r="T532" i="2" s="1"/>
  <c r="S531" i="2"/>
  <c r="T531" i="2" s="1"/>
  <c r="S530" i="2"/>
  <c r="T530" i="2" s="1"/>
  <c r="S529" i="2"/>
  <c r="T529" i="2" s="1"/>
  <c r="S528" i="2"/>
  <c r="T528" i="2" s="1"/>
  <c r="S527" i="2"/>
  <c r="T527" i="2" s="1"/>
  <c r="S526" i="2"/>
  <c r="T526" i="2" s="1"/>
  <c r="S525" i="2"/>
  <c r="T525" i="2" s="1"/>
  <c r="S524" i="2"/>
  <c r="T524" i="2" s="1"/>
  <c r="S523" i="2"/>
  <c r="T523" i="2" s="1"/>
  <c r="S522" i="2"/>
  <c r="T522" i="2" s="1"/>
  <c r="S521" i="2"/>
  <c r="T521" i="2" s="1"/>
  <c r="S520" i="2"/>
  <c r="T520" i="2" s="1"/>
  <c r="S519" i="2"/>
  <c r="T519" i="2" s="1"/>
  <c r="S518" i="2"/>
  <c r="T518" i="2" s="1"/>
  <c r="S517" i="2"/>
  <c r="T517" i="2" s="1"/>
  <c r="S516" i="2"/>
  <c r="T516" i="2" s="1"/>
  <c r="S515" i="2"/>
  <c r="T515" i="2" s="1"/>
  <c r="S514" i="2"/>
  <c r="T514" i="2" s="1"/>
  <c r="S513" i="2"/>
  <c r="T513" i="2" s="1"/>
  <c r="S512" i="2"/>
  <c r="T512" i="2" s="1"/>
  <c r="S511" i="2"/>
  <c r="T511" i="2" s="1"/>
  <c r="S510" i="2"/>
  <c r="T510" i="2" s="1"/>
  <c r="S509" i="2"/>
  <c r="T509" i="2" s="1"/>
  <c r="S508" i="2"/>
  <c r="T508" i="2" s="1"/>
  <c r="S507" i="2"/>
  <c r="T507" i="2" s="1"/>
  <c r="S506" i="2"/>
  <c r="T506" i="2" s="1"/>
  <c r="S505" i="2"/>
  <c r="T505" i="2" s="1"/>
  <c r="S504" i="2"/>
  <c r="T504" i="2" s="1"/>
  <c r="S503" i="2"/>
  <c r="T503" i="2" s="1"/>
  <c r="S502" i="2"/>
  <c r="T502" i="2" s="1"/>
  <c r="S501" i="2"/>
  <c r="T501" i="2" s="1"/>
  <c r="S500" i="2"/>
  <c r="T500" i="2" s="1"/>
  <c r="S499" i="2"/>
  <c r="T499" i="2" s="1"/>
  <c r="S498" i="2"/>
  <c r="T498" i="2" s="1"/>
  <c r="S497" i="2"/>
  <c r="T497" i="2" s="1"/>
  <c r="S496" i="2"/>
  <c r="T496" i="2" s="1"/>
  <c r="S495" i="2"/>
  <c r="T495" i="2" s="1"/>
  <c r="S494" i="2"/>
  <c r="T494" i="2" s="1"/>
  <c r="S493" i="2"/>
  <c r="T493" i="2" s="1"/>
  <c r="S492" i="2"/>
  <c r="T492" i="2" s="1"/>
  <c r="S491" i="2"/>
  <c r="T491" i="2" s="1"/>
  <c r="S490" i="2"/>
  <c r="T490" i="2" s="1"/>
  <c r="S489" i="2"/>
  <c r="T489" i="2" s="1"/>
  <c r="S488" i="2"/>
  <c r="T488" i="2" s="1"/>
  <c r="S487" i="2"/>
  <c r="T487" i="2" s="1"/>
  <c r="S486" i="2"/>
  <c r="T486" i="2" s="1"/>
  <c r="S485" i="2"/>
  <c r="T485" i="2" s="1"/>
  <c r="S484" i="2"/>
  <c r="T484" i="2" s="1"/>
  <c r="S483" i="2"/>
  <c r="T483" i="2" s="1"/>
  <c r="S482" i="2"/>
  <c r="T482" i="2" s="1"/>
  <c r="S481" i="2"/>
  <c r="T481" i="2" s="1"/>
  <c r="S480" i="2"/>
  <c r="T480" i="2" s="1"/>
  <c r="S479" i="2"/>
  <c r="T479" i="2" s="1"/>
  <c r="S478" i="2"/>
  <c r="T478" i="2" s="1"/>
  <c r="S477" i="2"/>
  <c r="T477" i="2" s="1"/>
  <c r="S476" i="2"/>
  <c r="T476" i="2" s="1"/>
  <c r="S475" i="2"/>
  <c r="T475" i="2" s="1"/>
  <c r="S474" i="2"/>
  <c r="T474" i="2" s="1"/>
  <c r="S473" i="2"/>
  <c r="T473" i="2" s="1"/>
  <c r="S472" i="2"/>
  <c r="T472" i="2" s="1"/>
  <c r="S471" i="2"/>
  <c r="T471" i="2" s="1"/>
  <c r="S470" i="2"/>
  <c r="T470" i="2" s="1"/>
  <c r="S469" i="2"/>
  <c r="T469" i="2" s="1"/>
  <c r="S468" i="2"/>
  <c r="T468" i="2" s="1"/>
  <c r="S467" i="2"/>
  <c r="T467" i="2" s="1"/>
  <c r="S466" i="2"/>
  <c r="T466" i="2" s="1"/>
  <c r="S465" i="2"/>
  <c r="T465" i="2" s="1"/>
  <c r="S464" i="2"/>
  <c r="T464" i="2" s="1"/>
  <c r="S463" i="2"/>
  <c r="T463" i="2" s="1"/>
  <c r="S462" i="2"/>
  <c r="T462" i="2" s="1"/>
  <c r="S461" i="2"/>
  <c r="T461" i="2" s="1"/>
  <c r="S460" i="2"/>
  <c r="T460" i="2" s="1"/>
  <c r="S459" i="2"/>
  <c r="T459" i="2" s="1"/>
  <c r="S458" i="2"/>
  <c r="T458" i="2" s="1"/>
  <c r="S457" i="2"/>
  <c r="T457" i="2" s="1"/>
  <c r="S456" i="2"/>
  <c r="T456" i="2" s="1"/>
  <c r="S455" i="2"/>
  <c r="T455" i="2" s="1"/>
  <c r="S454" i="2"/>
  <c r="T454" i="2" s="1"/>
  <c r="S453" i="2"/>
  <c r="T453" i="2" s="1"/>
  <c r="S452" i="2"/>
  <c r="T452" i="2" s="1"/>
  <c r="S451" i="2"/>
  <c r="T451" i="2" s="1"/>
  <c r="S450" i="2"/>
  <c r="T450" i="2" s="1"/>
  <c r="S449" i="2"/>
  <c r="T449" i="2" s="1"/>
  <c r="S448" i="2"/>
  <c r="T448" i="2" s="1"/>
  <c r="S447" i="2"/>
  <c r="T447" i="2" s="1"/>
  <c r="S446" i="2"/>
  <c r="T446" i="2" s="1"/>
  <c r="S445" i="2"/>
  <c r="T445" i="2" s="1"/>
  <c r="S444" i="2"/>
  <c r="T444" i="2" s="1"/>
  <c r="S443" i="2"/>
  <c r="T443" i="2" s="1"/>
  <c r="S442" i="2"/>
  <c r="T442" i="2" s="1"/>
  <c r="S441" i="2"/>
  <c r="T441" i="2" s="1"/>
  <c r="S440" i="2"/>
  <c r="T440" i="2" s="1"/>
  <c r="S439" i="2"/>
  <c r="T439" i="2" s="1"/>
  <c r="S438" i="2"/>
  <c r="T438" i="2" s="1"/>
  <c r="S437" i="2"/>
  <c r="T437" i="2" s="1"/>
  <c r="S436" i="2"/>
  <c r="T436" i="2" s="1"/>
  <c r="S435" i="2"/>
  <c r="T435" i="2" s="1"/>
  <c r="S434" i="2"/>
  <c r="T434" i="2" s="1"/>
  <c r="S433" i="2"/>
  <c r="T433" i="2" s="1"/>
  <c r="S432" i="2"/>
  <c r="T432" i="2" s="1"/>
  <c r="S431" i="2"/>
  <c r="T431" i="2" s="1"/>
  <c r="S430" i="2"/>
  <c r="T430" i="2" s="1"/>
  <c r="S429" i="2"/>
  <c r="T429" i="2" s="1"/>
  <c r="S428" i="2"/>
  <c r="T428" i="2" s="1"/>
  <c r="S427" i="2"/>
  <c r="T427" i="2" s="1"/>
  <c r="S426" i="2"/>
  <c r="T426" i="2" s="1"/>
  <c r="S425" i="2"/>
  <c r="T425" i="2" s="1"/>
  <c r="S424" i="2"/>
  <c r="T424" i="2" s="1"/>
  <c r="S423" i="2"/>
  <c r="T423" i="2" s="1"/>
  <c r="S422" i="2"/>
  <c r="T422" i="2" s="1"/>
  <c r="S421" i="2"/>
  <c r="T421" i="2" s="1"/>
  <c r="S420" i="2"/>
  <c r="T420" i="2" s="1"/>
  <c r="S419" i="2"/>
  <c r="T419" i="2" s="1"/>
  <c r="S418" i="2"/>
  <c r="T418" i="2" s="1"/>
  <c r="S417" i="2"/>
  <c r="T417" i="2" s="1"/>
  <c r="S416" i="2"/>
  <c r="T416" i="2" s="1"/>
  <c r="S415" i="2"/>
  <c r="T415" i="2" s="1"/>
  <c r="S414" i="2"/>
  <c r="T414" i="2" s="1"/>
  <c r="S413" i="2"/>
  <c r="T413" i="2" s="1"/>
  <c r="S412" i="2"/>
  <c r="T412" i="2" s="1"/>
  <c r="S411" i="2"/>
  <c r="T411" i="2" s="1"/>
  <c r="S410" i="2"/>
  <c r="T410" i="2" s="1"/>
  <c r="S409" i="2"/>
  <c r="T409" i="2" s="1"/>
  <c r="S408" i="2"/>
  <c r="T408" i="2" s="1"/>
  <c r="S407" i="2"/>
  <c r="T407" i="2" s="1"/>
  <c r="S406" i="2"/>
  <c r="T406" i="2" s="1"/>
  <c r="S405" i="2"/>
  <c r="T405" i="2" s="1"/>
  <c r="S404" i="2"/>
  <c r="T404" i="2" s="1"/>
  <c r="S403" i="2"/>
  <c r="T403" i="2" s="1"/>
  <c r="S402" i="2"/>
  <c r="T402" i="2" s="1"/>
  <c r="S401" i="2"/>
  <c r="T401" i="2" s="1"/>
  <c r="S400" i="2"/>
  <c r="T400" i="2" s="1"/>
  <c r="S399" i="2"/>
  <c r="T399" i="2" s="1"/>
  <c r="S398" i="2"/>
  <c r="T398" i="2" s="1"/>
  <c r="S397" i="2"/>
  <c r="T397" i="2" s="1"/>
  <c r="S396" i="2"/>
  <c r="T396" i="2" s="1"/>
  <c r="S395" i="2"/>
  <c r="T395" i="2" s="1"/>
  <c r="S394" i="2"/>
  <c r="T394" i="2" s="1"/>
  <c r="S393" i="2"/>
  <c r="T393" i="2" s="1"/>
  <c r="S392" i="2"/>
  <c r="T392" i="2" s="1"/>
  <c r="S391" i="2"/>
  <c r="T391" i="2" s="1"/>
  <c r="S390" i="2"/>
  <c r="T390" i="2" s="1"/>
  <c r="S389" i="2"/>
  <c r="T389" i="2" s="1"/>
  <c r="S388" i="2"/>
  <c r="T388" i="2" s="1"/>
  <c r="S387" i="2"/>
  <c r="T387" i="2" s="1"/>
  <c r="S386" i="2"/>
  <c r="T386" i="2" s="1"/>
  <c r="S385" i="2"/>
  <c r="T385" i="2" s="1"/>
  <c r="S384" i="2"/>
  <c r="T384" i="2" s="1"/>
  <c r="S383" i="2"/>
  <c r="T383" i="2" s="1"/>
  <c r="S382" i="2"/>
  <c r="T382" i="2" s="1"/>
  <c r="S381" i="2"/>
  <c r="T381" i="2" s="1"/>
  <c r="S380" i="2"/>
  <c r="T380" i="2" s="1"/>
  <c r="S379" i="2"/>
  <c r="T379" i="2" s="1"/>
  <c r="S378" i="2"/>
  <c r="T378" i="2" s="1"/>
  <c r="S377" i="2"/>
  <c r="T377" i="2" s="1"/>
  <c r="S376" i="2"/>
  <c r="T376" i="2" s="1"/>
  <c r="S375" i="2"/>
  <c r="T375" i="2" s="1"/>
  <c r="S374" i="2"/>
  <c r="T374" i="2" s="1"/>
  <c r="S373" i="2"/>
  <c r="T373" i="2" s="1"/>
  <c r="S372" i="2"/>
  <c r="T372" i="2" s="1"/>
  <c r="S371" i="2"/>
  <c r="T371" i="2" s="1"/>
  <c r="S370" i="2"/>
  <c r="T370" i="2" s="1"/>
  <c r="S369" i="2"/>
  <c r="T369" i="2" s="1"/>
  <c r="S368" i="2"/>
  <c r="T368" i="2" s="1"/>
  <c r="S367" i="2"/>
  <c r="T367" i="2" s="1"/>
  <c r="S366" i="2"/>
  <c r="T366" i="2" s="1"/>
  <c r="S365" i="2"/>
  <c r="T365" i="2" s="1"/>
  <c r="S364" i="2"/>
  <c r="T364" i="2" s="1"/>
  <c r="S363" i="2"/>
  <c r="T363" i="2" s="1"/>
  <c r="S362" i="2"/>
  <c r="T362" i="2" s="1"/>
  <c r="S361" i="2"/>
  <c r="T361" i="2" s="1"/>
  <c r="S360" i="2"/>
  <c r="T360" i="2" s="1"/>
  <c r="S359" i="2"/>
  <c r="T359" i="2" s="1"/>
  <c r="S358" i="2"/>
  <c r="T358" i="2" s="1"/>
  <c r="S357" i="2"/>
  <c r="T357" i="2" s="1"/>
  <c r="S356" i="2"/>
  <c r="T356" i="2" s="1"/>
  <c r="S355" i="2"/>
  <c r="T355" i="2" s="1"/>
  <c r="S354" i="2"/>
  <c r="T354" i="2" s="1"/>
  <c r="S353" i="2"/>
  <c r="T353" i="2" s="1"/>
  <c r="S352" i="2"/>
  <c r="T352" i="2" s="1"/>
  <c r="S351" i="2"/>
  <c r="T351" i="2" s="1"/>
  <c r="S350" i="2"/>
  <c r="T350" i="2" s="1"/>
  <c r="S349" i="2"/>
  <c r="T349" i="2" s="1"/>
  <c r="S348" i="2"/>
  <c r="T348" i="2" s="1"/>
  <c r="S347" i="2"/>
  <c r="T347" i="2" s="1"/>
  <c r="S346" i="2"/>
  <c r="T346" i="2" s="1"/>
  <c r="S345" i="2"/>
  <c r="T345" i="2" s="1"/>
  <c r="S344" i="2"/>
  <c r="T344" i="2" s="1"/>
  <c r="S343" i="2"/>
  <c r="T343" i="2" s="1"/>
  <c r="S342" i="2"/>
  <c r="T342" i="2" s="1"/>
  <c r="S341" i="2"/>
  <c r="T341" i="2" s="1"/>
  <c r="S340" i="2"/>
  <c r="T340" i="2" s="1"/>
  <c r="S339" i="2"/>
  <c r="T339" i="2" s="1"/>
  <c r="S338" i="2"/>
  <c r="T338" i="2" s="1"/>
  <c r="S337" i="2"/>
  <c r="T337" i="2" s="1"/>
  <c r="S336" i="2"/>
  <c r="T336" i="2" s="1"/>
  <c r="S335" i="2"/>
  <c r="T335" i="2" s="1"/>
  <c r="S334" i="2"/>
  <c r="T334" i="2" s="1"/>
  <c r="S333" i="2"/>
  <c r="T333" i="2" s="1"/>
  <c r="S332" i="2"/>
  <c r="T332" i="2" s="1"/>
  <c r="S331" i="2"/>
  <c r="T331" i="2" s="1"/>
  <c r="S330" i="2"/>
  <c r="T330" i="2" s="1"/>
  <c r="S329" i="2"/>
  <c r="T329" i="2" s="1"/>
  <c r="S328" i="2"/>
  <c r="T328" i="2" s="1"/>
  <c r="S327" i="2"/>
  <c r="T327" i="2" s="1"/>
  <c r="S326" i="2"/>
  <c r="T326" i="2" s="1"/>
  <c r="S325" i="2"/>
  <c r="T325" i="2" s="1"/>
  <c r="S324" i="2"/>
  <c r="T324" i="2" s="1"/>
  <c r="S323" i="2"/>
  <c r="T323" i="2" s="1"/>
  <c r="S322" i="2"/>
  <c r="T322" i="2" s="1"/>
  <c r="S321" i="2"/>
  <c r="T321" i="2" s="1"/>
  <c r="S320" i="2"/>
  <c r="T320" i="2" s="1"/>
  <c r="S319" i="2"/>
  <c r="T319" i="2" s="1"/>
  <c r="S318" i="2"/>
  <c r="T318" i="2" s="1"/>
  <c r="S317" i="2"/>
  <c r="T317" i="2" s="1"/>
  <c r="S316" i="2"/>
  <c r="T316" i="2" s="1"/>
  <c r="S315" i="2"/>
  <c r="T315" i="2" s="1"/>
  <c r="S314" i="2"/>
  <c r="T314" i="2" s="1"/>
  <c r="S313" i="2"/>
  <c r="T313" i="2" s="1"/>
  <c r="S312" i="2"/>
  <c r="T312" i="2" s="1"/>
  <c r="S311" i="2"/>
  <c r="T311" i="2" s="1"/>
  <c r="S310" i="2"/>
  <c r="T310" i="2" s="1"/>
  <c r="S309" i="2"/>
  <c r="T309" i="2" s="1"/>
  <c r="S308" i="2"/>
  <c r="T308" i="2" s="1"/>
  <c r="S307" i="2"/>
  <c r="T307" i="2" s="1"/>
  <c r="S306" i="2"/>
  <c r="T306" i="2" s="1"/>
  <c r="S305" i="2"/>
  <c r="T305" i="2" s="1"/>
  <c r="S304" i="2"/>
  <c r="T304" i="2" s="1"/>
  <c r="S303" i="2"/>
  <c r="T303" i="2" s="1"/>
  <c r="S302" i="2"/>
  <c r="T302" i="2" s="1"/>
  <c r="S301" i="2"/>
  <c r="T301" i="2" s="1"/>
  <c r="S300" i="2"/>
  <c r="T300" i="2" s="1"/>
  <c r="S299" i="2"/>
  <c r="T299" i="2" s="1"/>
  <c r="S298" i="2"/>
  <c r="T298" i="2" s="1"/>
  <c r="S297" i="2"/>
  <c r="T297" i="2" s="1"/>
  <c r="S296" i="2"/>
  <c r="T296" i="2" s="1"/>
  <c r="S295" i="2"/>
  <c r="T295" i="2" s="1"/>
  <c r="S294" i="2"/>
  <c r="T294" i="2" s="1"/>
  <c r="S293" i="2"/>
  <c r="T293" i="2" s="1"/>
  <c r="S292" i="2"/>
  <c r="T292" i="2" s="1"/>
  <c r="S291" i="2"/>
  <c r="T291" i="2" s="1"/>
  <c r="S290" i="2"/>
  <c r="T290" i="2" s="1"/>
  <c r="S289" i="2"/>
  <c r="T289" i="2" s="1"/>
  <c r="S288" i="2"/>
  <c r="T288" i="2" s="1"/>
  <c r="S287" i="2"/>
  <c r="T287" i="2" s="1"/>
  <c r="S286" i="2"/>
  <c r="T286" i="2" s="1"/>
  <c r="S285" i="2"/>
  <c r="T285" i="2" s="1"/>
  <c r="S284" i="2"/>
  <c r="T284" i="2" s="1"/>
  <c r="S283" i="2"/>
  <c r="T283" i="2" s="1"/>
  <c r="S282" i="2"/>
  <c r="T282" i="2" s="1"/>
  <c r="S281" i="2"/>
  <c r="T281" i="2" s="1"/>
  <c r="S280" i="2"/>
  <c r="T280" i="2" s="1"/>
  <c r="S279" i="2"/>
  <c r="T279" i="2" s="1"/>
  <c r="S278" i="2"/>
  <c r="T278" i="2" s="1"/>
  <c r="S277" i="2"/>
  <c r="T277" i="2" s="1"/>
  <c r="S276" i="2"/>
  <c r="T276" i="2" s="1"/>
  <c r="S275" i="2"/>
  <c r="T275" i="2" s="1"/>
  <c r="S274" i="2"/>
  <c r="T274" i="2" s="1"/>
  <c r="S273" i="2"/>
  <c r="T273" i="2" s="1"/>
  <c r="S272" i="2"/>
  <c r="T272" i="2" s="1"/>
  <c r="S271" i="2"/>
  <c r="T271" i="2" s="1"/>
  <c r="S270" i="2"/>
  <c r="T270" i="2" s="1"/>
  <c r="S269" i="2"/>
  <c r="T269" i="2" s="1"/>
  <c r="S268" i="2"/>
  <c r="T268" i="2" s="1"/>
  <c r="S267" i="2"/>
  <c r="T267" i="2" s="1"/>
  <c r="S266" i="2"/>
  <c r="T266" i="2" s="1"/>
  <c r="S265" i="2"/>
  <c r="T265" i="2" s="1"/>
  <c r="S264" i="2"/>
  <c r="T264" i="2" s="1"/>
  <c r="S263" i="2"/>
  <c r="T263" i="2" s="1"/>
  <c r="S262" i="2"/>
  <c r="T262" i="2" s="1"/>
  <c r="S261" i="2"/>
  <c r="T261" i="2" s="1"/>
  <c r="S260" i="2"/>
  <c r="T260" i="2" s="1"/>
  <c r="S259" i="2"/>
  <c r="T259" i="2" s="1"/>
  <c r="S258" i="2"/>
  <c r="T258" i="2" s="1"/>
  <c r="S257" i="2"/>
  <c r="T257" i="2" s="1"/>
  <c r="S256" i="2"/>
  <c r="T256" i="2" s="1"/>
  <c r="S255" i="2"/>
  <c r="T255" i="2" s="1"/>
  <c r="S254" i="2"/>
  <c r="T254" i="2" s="1"/>
  <c r="S253" i="2"/>
  <c r="T253" i="2" s="1"/>
  <c r="S252" i="2"/>
  <c r="T252" i="2" s="1"/>
  <c r="S251" i="2"/>
  <c r="T251" i="2" s="1"/>
  <c r="S250" i="2"/>
  <c r="T250" i="2" s="1"/>
  <c r="S249" i="2"/>
  <c r="T249" i="2" s="1"/>
  <c r="P248" i="2"/>
  <c r="S248" i="2" s="1"/>
  <c r="T248" i="2" s="1"/>
  <c r="S247" i="2"/>
  <c r="T247" i="2" s="1"/>
  <c r="S246" i="2"/>
  <c r="T246" i="2" s="1"/>
  <c r="S245" i="2"/>
  <c r="T245" i="2" s="1"/>
  <c r="S244" i="2"/>
  <c r="T244" i="2" s="1"/>
  <c r="S243" i="2"/>
  <c r="T243" i="2" s="1"/>
  <c r="S242" i="2"/>
  <c r="T242" i="2" s="1"/>
  <c r="S241" i="2"/>
  <c r="T241" i="2" s="1"/>
  <c r="S240" i="2"/>
  <c r="T240" i="2" s="1"/>
  <c r="S239" i="2"/>
  <c r="T239" i="2" s="1"/>
  <c r="S238" i="2"/>
  <c r="T238" i="2" s="1"/>
  <c r="S237" i="2"/>
  <c r="T237" i="2" s="1"/>
  <c r="S236" i="2"/>
  <c r="T236" i="2" s="1"/>
  <c r="S235" i="2"/>
  <c r="T235" i="2" s="1"/>
  <c r="S234" i="2"/>
  <c r="T234" i="2" s="1"/>
  <c r="P233" i="2"/>
  <c r="S233" i="2" s="1"/>
  <c r="T233" i="2" s="1"/>
  <c r="S232" i="2"/>
  <c r="T232" i="2" s="1"/>
  <c r="S231" i="2"/>
  <c r="T231" i="2" s="1"/>
  <c r="S230" i="2"/>
  <c r="T230" i="2" s="1"/>
  <c r="S229" i="2"/>
  <c r="T229" i="2" s="1"/>
  <c r="S228" i="2"/>
  <c r="T228" i="2" s="1"/>
  <c r="S227" i="2"/>
  <c r="T227" i="2" s="1"/>
  <c r="S226" i="2"/>
  <c r="T226" i="2" s="1"/>
  <c r="S225" i="2"/>
  <c r="T225" i="2" s="1"/>
  <c r="S224" i="2"/>
  <c r="T224" i="2" s="1"/>
  <c r="S223" i="2"/>
  <c r="T223" i="2" s="1"/>
  <c r="S222" i="2"/>
  <c r="T222" i="2" s="1"/>
  <c r="S221" i="2"/>
  <c r="T221" i="2" s="1"/>
  <c r="S220" i="2"/>
  <c r="T220" i="2" s="1"/>
  <c r="S219" i="2"/>
  <c r="T219" i="2" s="1"/>
  <c r="P218" i="2"/>
  <c r="S218" i="2" s="1"/>
  <c r="T218" i="2" s="1"/>
  <c r="S217" i="2"/>
  <c r="T217" i="2" s="1"/>
  <c r="S216" i="2"/>
  <c r="T216" i="2" s="1"/>
  <c r="S215" i="2"/>
  <c r="T215" i="2" s="1"/>
  <c r="S214" i="2"/>
  <c r="T214" i="2" s="1"/>
  <c r="S213" i="2"/>
  <c r="T213" i="2" s="1"/>
  <c r="S212" i="2"/>
  <c r="T212" i="2" s="1"/>
  <c r="S211" i="2"/>
  <c r="T211" i="2" s="1"/>
  <c r="S210" i="2"/>
  <c r="T210" i="2" s="1"/>
  <c r="S209" i="2"/>
  <c r="T209" i="2" s="1"/>
  <c r="S208" i="2"/>
  <c r="T208" i="2" s="1"/>
  <c r="S207" i="2"/>
  <c r="T207" i="2" s="1"/>
  <c r="S206" i="2"/>
  <c r="T206" i="2" s="1"/>
  <c r="S205" i="2"/>
  <c r="T205" i="2" s="1"/>
  <c r="S204" i="2"/>
  <c r="T204" i="2" s="1"/>
  <c r="S203" i="2"/>
  <c r="T203" i="2" s="1"/>
  <c r="S202" i="2"/>
  <c r="T202" i="2" s="1"/>
  <c r="S201" i="2"/>
  <c r="T201" i="2" s="1"/>
  <c r="S200" i="2"/>
  <c r="T200" i="2" s="1"/>
  <c r="S199" i="2"/>
  <c r="T199" i="2" s="1"/>
  <c r="S198" i="2"/>
  <c r="T198" i="2" s="1"/>
  <c r="S197" i="2"/>
  <c r="T197" i="2" s="1"/>
  <c r="S196" i="2"/>
  <c r="T196" i="2" s="1"/>
  <c r="S195" i="2"/>
  <c r="T195" i="2" s="1"/>
  <c r="S194" i="2"/>
  <c r="T194" i="2" s="1"/>
  <c r="S193" i="2"/>
  <c r="T193" i="2" s="1"/>
  <c r="S192" i="2"/>
  <c r="T192" i="2" s="1"/>
  <c r="S191" i="2"/>
  <c r="T191" i="2" s="1"/>
  <c r="S190" i="2"/>
  <c r="T190" i="2" s="1"/>
  <c r="S189" i="2"/>
  <c r="T189" i="2" s="1"/>
  <c r="S188" i="2"/>
  <c r="T188" i="2" s="1"/>
  <c r="S187" i="2"/>
  <c r="T187" i="2" s="1"/>
  <c r="S186" i="2"/>
  <c r="T186" i="2" s="1"/>
  <c r="S185" i="2"/>
  <c r="T185" i="2" s="1"/>
  <c r="S184" i="2"/>
  <c r="T184" i="2" s="1"/>
  <c r="S183" i="2"/>
  <c r="T183" i="2" s="1"/>
  <c r="S182" i="2"/>
  <c r="T182" i="2" s="1"/>
  <c r="S181" i="2"/>
  <c r="T181" i="2" s="1"/>
  <c r="S180" i="2"/>
  <c r="T180" i="2" s="1"/>
  <c r="S179" i="2"/>
  <c r="T179" i="2" s="1"/>
  <c r="S178" i="2"/>
  <c r="T178" i="2" s="1"/>
  <c r="S177" i="2"/>
  <c r="T177" i="2" s="1"/>
  <c r="S176" i="2"/>
  <c r="T176" i="2" s="1"/>
  <c r="S175" i="2"/>
  <c r="T175" i="2" s="1"/>
  <c r="P174" i="2"/>
  <c r="S174" i="2" s="1"/>
  <c r="T174" i="2" s="1"/>
  <c r="S173" i="2"/>
  <c r="T173" i="2" s="1"/>
  <c r="P172" i="2"/>
  <c r="S172" i="2" s="1"/>
  <c r="T172" i="2" s="1"/>
  <c r="S171" i="2"/>
  <c r="T171" i="2" s="1"/>
  <c r="S170" i="2"/>
  <c r="T170" i="2" s="1"/>
  <c r="S169" i="2"/>
  <c r="T169" i="2" s="1"/>
  <c r="S168" i="2"/>
  <c r="T168" i="2" s="1"/>
  <c r="S167" i="2"/>
  <c r="T167" i="2" s="1"/>
  <c r="S166" i="2"/>
  <c r="T166" i="2" s="1"/>
  <c r="S165" i="2"/>
  <c r="T165" i="2" s="1"/>
  <c r="S164" i="2"/>
  <c r="T164" i="2" s="1"/>
  <c r="S163" i="2"/>
  <c r="T163" i="2" s="1"/>
  <c r="S162" i="2"/>
  <c r="T162" i="2" s="1"/>
  <c r="S161" i="2"/>
  <c r="T161" i="2" s="1"/>
  <c r="S160" i="2"/>
  <c r="T160" i="2" s="1"/>
  <c r="S159" i="2"/>
  <c r="T159" i="2" s="1"/>
  <c r="S158" i="2"/>
  <c r="T158" i="2" s="1"/>
  <c r="S157" i="2"/>
  <c r="T157" i="2" s="1"/>
  <c r="S156" i="2"/>
  <c r="T156" i="2" s="1"/>
  <c r="S155" i="2"/>
  <c r="T155" i="2" s="1"/>
  <c r="S154" i="2"/>
  <c r="T154" i="2" s="1"/>
  <c r="S153" i="2"/>
  <c r="T153" i="2" s="1"/>
  <c r="S152" i="2"/>
  <c r="T152" i="2" s="1"/>
  <c r="S151" i="2"/>
  <c r="T151" i="2" s="1"/>
  <c r="S150" i="2"/>
  <c r="T150" i="2" s="1"/>
  <c r="S149" i="2"/>
  <c r="T149" i="2" s="1"/>
  <c r="S148" i="2"/>
  <c r="T148" i="2" s="1"/>
  <c r="S147" i="2"/>
  <c r="T147" i="2" s="1"/>
  <c r="S146" i="2"/>
  <c r="T146" i="2" s="1"/>
  <c r="S145" i="2"/>
  <c r="T145" i="2" s="1"/>
  <c r="S144" i="2"/>
  <c r="T144" i="2" s="1"/>
  <c r="S143" i="2"/>
  <c r="T143" i="2" s="1"/>
  <c r="P142" i="2"/>
  <c r="S142" i="2" s="1"/>
  <c r="T142" i="2" s="1"/>
  <c r="P141" i="2"/>
  <c r="S141" i="2" s="1"/>
  <c r="T141" i="2" s="1"/>
  <c r="P140" i="2"/>
  <c r="S140" i="2" s="1"/>
  <c r="T140" i="2" s="1"/>
  <c r="S139" i="2"/>
  <c r="T139" i="2" s="1"/>
  <c r="S138" i="2"/>
  <c r="T138" i="2" s="1"/>
  <c r="S137" i="2"/>
  <c r="T137" i="2" s="1"/>
  <c r="S136" i="2"/>
  <c r="T136" i="2" s="1"/>
  <c r="S135" i="2"/>
  <c r="T135" i="2" s="1"/>
  <c r="S134" i="2"/>
  <c r="T134" i="2" s="1"/>
  <c r="S133" i="2"/>
  <c r="T133" i="2" s="1"/>
  <c r="S132" i="2"/>
  <c r="T132" i="2" s="1"/>
  <c r="S131" i="2"/>
  <c r="T131" i="2" s="1"/>
  <c r="S130" i="2"/>
  <c r="T130" i="2" s="1"/>
  <c r="S129" i="2"/>
  <c r="T129" i="2" s="1"/>
  <c r="S128" i="2"/>
  <c r="T128" i="2" s="1"/>
  <c r="S127" i="2"/>
  <c r="T127" i="2" s="1"/>
  <c r="S126" i="2"/>
  <c r="T126" i="2" s="1"/>
  <c r="S125" i="2"/>
  <c r="T125" i="2" s="1"/>
  <c r="S124" i="2"/>
  <c r="T124" i="2" s="1"/>
  <c r="S123" i="2"/>
  <c r="T123" i="2" s="1"/>
  <c r="S122" i="2"/>
  <c r="T122" i="2" s="1"/>
  <c r="S121" i="2"/>
  <c r="T121" i="2" s="1"/>
  <c r="P120" i="2"/>
  <c r="S120" i="2" s="1"/>
  <c r="T120" i="2" s="1"/>
  <c r="S119" i="2"/>
  <c r="T119" i="2" s="1"/>
  <c r="S118" i="2"/>
  <c r="T118" i="2" s="1"/>
  <c r="S117" i="2"/>
  <c r="T117" i="2" s="1"/>
  <c r="S116" i="2"/>
  <c r="T116" i="2" s="1"/>
  <c r="S115" i="2"/>
  <c r="T115" i="2" s="1"/>
  <c r="S114" i="2"/>
  <c r="T114" i="2" s="1"/>
  <c r="S113" i="2"/>
  <c r="T113" i="2" s="1"/>
  <c r="S112" i="2"/>
  <c r="T112" i="2" s="1"/>
  <c r="S111" i="2"/>
  <c r="T111" i="2" s="1"/>
  <c r="S110" i="2"/>
  <c r="T110" i="2" s="1"/>
  <c r="S109" i="2"/>
  <c r="T109" i="2" s="1"/>
  <c r="S108" i="2"/>
  <c r="T108" i="2" s="1"/>
  <c r="S107" i="2"/>
  <c r="T107" i="2" s="1"/>
  <c r="S106" i="2"/>
  <c r="T106" i="2" s="1"/>
  <c r="S105" i="2"/>
  <c r="T105" i="2" s="1"/>
  <c r="S104" i="2"/>
  <c r="T104" i="2" s="1"/>
  <c r="S103" i="2"/>
  <c r="T103" i="2" s="1"/>
  <c r="S102" i="2"/>
  <c r="T102" i="2" s="1"/>
  <c r="S101" i="2"/>
  <c r="T101" i="2" s="1"/>
  <c r="S100" i="2"/>
  <c r="T100" i="2" s="1"/>
  <c r="S99" i="2"/>
  <c r="T99" i="2" s="1"/>
  <c r="S98" i="2"/>
  <c r="T98" i="2" s="1"/>
  <c r="S97" i="2"/>
  <c r="T97" i="2" s="1"/>
  <c r="S96" i="2"/>
  <c r="T96" i="2" s="1"/>
  <c r="S95" i="2"/>
  <c r="T95" i="2" s="1"/>
  <c r="S94" i="2"/>
  <c r="T94" i="2" s="1"/>
  <c r="S93" i="2"/>
  <c r="T93" i="2" s="1"/>
  <c r="S92" i="2"/>
  <c r="T92" i="2" s="1"/>
  <c r="S91" i="2"/>
  <c r="T91" i="2" s="1"/>
  <c r="S90" i="2"/>
  <c r="T90" i="2" s="1"/>
  <c r="S89" i="2"/>
  <c r="T89" i="2" s="1"/>
  <c r="S88" i="2"/>
  <c r="T88" i="2" s="1"/>
  <c r="S87" i="2"/>
  <c r="T87" i="2" s="1"/>
  <c r="S86" i="2"/>
  <c r="T86" i="2" s="1"/>
  <c r="S85" i="2"/>
  <c r="T85" i="2" s="1"/>
  <c r="S84" i="2"/>
  <c r="T84" i="2" s="1"/>
  <c r="S83" i="2"/>
  <c r="T83" i="2" s="1"/>
  <c r="S82" i="2"/>
  <c r="T82" i="2" s="1"/>
  <c r="S81" i="2"/>
  <c r="T81" i="2" s="1"/>
  <c r="S80" i="2"/>
  <c r="T80" i="2" s="1"/>
  <c r="S79" i="2"/>
  <c r="T79" i="2" s="1"/>
  <c r="S78" i="2"/>
  <c r="T78" i="2" s="1"/>
  <c r="S77" i="2"/>
  <c r="T77" i="2" s="1"/>
  <c r="S76" i="2"/>
  <c r="T76" i="2" s="1"/>
  <c r="S75" i="2"/>
  <c r="T75" i="2" s="1"/>
  <c r="S74" i="2"/>
  <c r="T74" i="2" s="1"/>
  <c r="S73" i="2"/>
  <c r="T73" i="2" s="1"/>
  <c r="S72" i="2"/>
  <c r="T72" i="2" s="1"/>
  <c r="S71" i="2"/>
  <c r="T71" i="2" s="1"/>
  <c r="S70" i="2"/>
  <c r="T70" i="2" s="1"/>
  <c r="S69" i="2"/>
  <c r="T69" i="2" s="1"/>
  <c r="S68" i="2"/>
  <c r="T68" i="2" s="1"/>
  <c r="S67" i="2"/>
  <c r="T67" i="2" s="1"/>
  <c r="S66" i="2"/>
  <c r="T66" i="2" s="1"/>
  <c r="S65" i="2"/>
  <c r="T65" i="2" s="1"/>
  <c r="S64" i="2"/>
  <c r="T64" i="2" s="1"/>
  <c r="S63" i="2"/>
  <c r="T63" i="2" s="1"/>
  <c r="S62" i="2"/>
  <c r="T62" i="2" s="1"/>
  <c r="S61" i="2"/>
  <c r="T61" i="2" s="1"/>
  <c r="S60" i="2"/>
  <c r="T60" i="2" s="1"/>
  <c r="S59" i="2"/>
  <c r="T59" i="2" s="1"/>
  <c r="S58" i="2"/>
  <c r="T58" i="2" s="1"/>
  <c r="S57" i="2"/>
  <c r="T57" i="2" s="1"/>
  <c r="S56" i="2"/>
  <c r="T56" i="2" s="1"/>
  <c r="S55" i="2"/>
  <c r="T55" i="2" s="1"/>
  <c r="S54" i="2"/>
  <c r="T54" i="2" s="1"/>
  <c r="S53" i="2"/>
  <c r="T53" i="2" s="1"/>
  <c r="S52" i="2"/>
  <c r="T52" i="2" s="1"/>
  <c r="S51" i="2"/>
  <c r="T51" i="2" s="1"/>
  <c r="S50" i="2"/>
  <c r="T50" i="2" s="1"/>
  <c r="S49" i="2"/>
  <c r="T49" i="2" s="1"/>
  <c r="S48" i="2"/>
  <c r="T48" i="2" s="1"/>
  <c r="S47" i="2"/>
  <c r="T47" i="2" s="1"/>
  <c r="S46" i="2"/>
  <c r="T46" i="2" s="1"/>
  <c r="S45" i="2"/>
  <c r="T45" i="2" s="1"/>
  <c r="S44" i="2"/>
  <c r="T44" i="2" s="1"/>
  <c r="S43" i="2"/>
  <c r="T43" i="2" s="1"/>
  <c r="S42" i="2"/>
  <c r="T42" i="2" s="1"/>
  <c r="S41" i="2"/>
  <c r="T41" i="2" s="1"/>
  <c r="S40" i="2"/>
  <c r="T40" i="2" s="1"/>
  <c r="S39" i="2"/>
  <c r="T39" i="2" s="1"/>
  <c r="S38" i="2"/>
  <c r="T38" i="2" s="1"/>
  <c r="S37" i="2"/>
  <c r="T37" i="2" s="1"/>
  <c r="S36" i="2"/>
  <c r="T36" i="2" s="1"/>
  <c r="S35" i="2"/>
  <c r="T35" i="2" s="1"/>
  <c r="S34" i="2"/>
  <c r="T34" i="2" s="1"/>
  <c r="S33" i="2"/>
  <c r="T33" i="2" s="1"/>
  <c r="S32" i="2"/>
  <c r="T32" i="2" s="1"/>
  <c r="S31" i="2"/>
  <c r="T31" i="2" s="1"/>
  <c r="S30" i="2"/>
  <c r="T30" i="2" s="1"/>
  <c r="S29" i="2"/>
  <c r="T29" i="2" s="1"/>
  <c r="S28" i="2"/>
  <c r="T28" i="2" s="1"/>
  <c r="S27" i="2"/>
  <c r="T27" i="2" s="1"/>
  <c r="S26" i="2"/>
  <c r="T26" i="2" s="1"/>
  <c r="S25" i="2"/>
  <c r="T25" i="2" s="1"/>
  <c r="S24" i="2"/>
  <c r="T24" i="2" s="1"/>
  <c r="S23" i="2"/>
  <c r="T23" i="2" s="1"/>
  <c r="S22" i="2"/>
  <c r="T22" i="2" s="1"/>
  <c r="S21" i="2"/>
  <c r="T21" i="2" s="1"/>
  <c r="S20" i="2"/>
  <c r="T20" i="2" s="1"/>
  <c r="S19" i="2"/>
  <c r="T19" i="2" s="1"/>
  <c r="S18" i="2"/>
  <c r="T18" i="2" s="1"/>
  <c r="S17" i="2"/>
  <c r="T17" i="2" s="1"/>
  <c r="S16" i="2"/>
  <c r="T16" i="2" s="1"/>
  <c r="S15" i="2"/>
  <c r="T15" i="2" s="1"/>
  <c r="S14" i="2"/>
  <c r="T14" i="2" s="1"/>
  <c r="S13" i="2"/>
  <c r="T13" i="2" s="1"/>
  <c r="S12" i="2"/>
  <c r="T12" i="2" s="1"/>
  <c r="S11" i="2"/>
  <c r="T11" i="2" s="1"/>
  <c r="S10" i="2"/>
  <c r="T10" i="2" s="1"/>
  <c r="S9" i="2"/>
  <c r="T9" i="2" s="1"/>
  <c r="S8" i="2"/>
  <c r="T8" i="2" s="1"/>
  <c r="S7" i="2"/>
  <c r="T7" i="2" s="1"/>
  <c r="S6" i="2"/>
  <c r="T6" i="2" s="1"/>
  <c r="S5" i="2"/>
  <c r="T5" i="2" s="1"/>
  <c r="S4" i="2"/>
  <c r="T4" i="2" s="1"/>
  <c r="S3" i="2"/>
  <c r="T3" i="2" s="1"/>
  <c r="A3" i="2"/>
  <c r="S2" i="2"/>
  <c r="T2" i="2" s="1"/>
  <c r="A2" i="2"/>
  <c r="V312" i="2" l="1"/>
  <c r="V172" i="2"/>
  <c r="V670" i="2"/>
  <c r="V515" i="2"/>
  <c r="V794" i="2"/>
  <c r="V359" i="2"/>
  <c r="V2" i="2"/>
  <c r="V296" i="2"/>
  <c r="V408" i="2"/>
  <c r="V43" i="2"/>
  <c r="V134" i="2"/>
  <c r="V468" i="2"/>
  <c r="V84" i="2"/>
  <c r="V111" i="2"/>
  <c r="V398" i="2"/>
  <c r="V247" i="2"/>
  <c r="V95" i="2"/>
  <c r="V203" i="2"/>
  <c r="V155" i="2"/>
  <c r="V188" i="2"/>
  <c r="V217" i="2"/>
  <c r="V262" i="2"/>
  <c r="V807" i="2"/>
  <c r="V344" i="2"/>
  <c r="V798" i="2"/>
  <c r="V232" i="2"/>
  <c r="V280" i="2"/>
  <c r="V552" i="2"/>
  <c r="V387" i="2"/>
  <c r="V423" i="2"/>
  <c r="V438" i="2"/>
  <c r="V453" i="2"/>
  <c r="V483" i="2"/>
  <c r="V498" i="2"/>
  <c r="V525" i="2"/>
  <c r="V644" i="2"/>
  <c r="V825" i="2"/>
  <c r="V618" i="2"/>
  <c r="V589" i="2"/>
  <c r="V726" i="2"/>
  <c r="V769" i="2"/>
  <c r="V327" i="2"/>
  <c r="V538" i="2"/>
  <c r="V565" i="2"/>
  <c r="V751" i="2"/>
  <c r="V816" i="2"/>
  <c r="V700" i="2"/>
  <c r="V37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Sadeghi, Azadeh</author>
    <author>Jafarian, Hamideh</author>
    <author>Yousef Yousefi</author>
  </authors>
  <commentList>
    <comment ref="N100" authorId="0" shapeId="0" xr:uid="{E7EF2DD1-1815-463D-A759-2155AE5C1BE6}">
      <text>
        <r>
          <rPr>
            <sz val="8"/>
            <color indexed="81"/>
            <rFont val="Tahoma"/>
            <family val="2"/>
          </rPr>
          <t>نحوه اندازگیری: ( تعداد ترک ها / تعداد متوسط کارکنان)* 100</t>
        </r>
      </text>
    </comment>
    <comment ref="N110" authorId="1" shapeId="0" xr:uid="{950F3B10-9D84-47C1-B04F-64C96233AD4A}">
      <text>
        <r>
          <rPr>
            <sz val="9"/>
            <color indexed="81"/>
            <rFont val="Tahoma"/>
            <family val="2"/>
          </rPr>
          <t xml:space="preserve">1-خلاصه وضعیت پاداش بهره وری و پورسانت و موجودی صندوق های پاداش - 3 گزارش
2-لیست شارژ مصرفی سیم کارتها - 3 گزارش
3-نسبت اضافه کار به تولید (3 گزارش)
4-گزارش فصلی:کلاسهای برگزار شده (شامل نام دوره + کدام موسسه+ افراد شرکت کننده و نتیجه ارزیابی هر کلاس در جی داک 
5-گزارش ماهیانه از تعداد جذب
6-گزارش ماهیانه میزان انحراف از زمان تعیین شده (1 ماه کارگر-2 ماه مدیر) ؟؟
7-گزارش ترک کار و نتیجه مصاحبه خروج
8-امور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9-روند کاری رانندگان(گزارش کارکرد رانندگان) 
10-خرید و تامین اقلام مورد نیاز تشریفات
</t>
        </r>
      </text>
    </comment>
    <comment ref="P195" authorId="2" shapeId="0" xr:uid="{66FCCF41-F769-44B6-98E2-30923BAF20E1}">
      <text>
        <r>
          <rPr>
            <b/>
            <sz val="9"/>
            <color indexed="81"/>
            <rFont val="Tahoma"/>
            <family val="2"/>
          </rPr>
          <t>Yousef Yousefi:</t>
        </r>
        <r>
          <rPr>
            <sz val="9"/>
            <color indexed="81"/>
            <rFont val="Tahoma"/>
            <family val="2"/>
          </rPr>
          <t xml:space="preserve">
ماهیانه 30 گزارش  </t>
        </r>
      </text>
    </comment>
    <comment ref="R195" authorId="2" shapeId="0" xr:uid="{3C7C4926-96B4-4BED-AD2D-64F4077B8710}">
      <text>
        <r>
          <rPr>
            <b/>
            <sz val="9"/>
            <color indexed="81"/>
            <rFont val="Tahoma"/>
            <family val="2"/>
          </rPr>
          <t>Yousef Yousefi:</t>
        </r>
        <r>
          <rPr>
            <sz val="9"/>
            <color indexed="81"/>
            <rFont val="Tahoma"/>
            <family val="2"/>
          </rPr>
          <t xml:space="preserve">
ماهیانه 30 گزارش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Mohammad hossein Jafarimalek</author>
    <author>tc={708E9B04-43C3-4D0E-A3B9-615151E78D2C}</author>
    <author>Gheysari, Aseyeh</author>
    <author>Mousavi, Golshan</author>
  </authors>
  <commentList>
    <comment ref="P115" authorId="0" shapeId="0" xr:uid="{BD83AB50-CD6B-40F2-A723-B5E0D2A4C8AB}">
      <text>
        <r>
          <rPr>
            <b/>
            <sz val="24"/>
            <color indexed="81"/>
            <rFont val="Tahoma"/>
            <family val="2"/>
          </rPr>
          <t>Mohammad hossein Jafarimalek:</t>
        </r>
        <r>
          <rPr>
            <sz val="24"/>
            <color indexed="81"/>
            <rFont val="Tahoma"/>
            <family val="2"/>
          </rPr>
          <t xml:space="preserve">
it is rated by start and the average should be 4 and over</t>
        </r>
      </text>
    </comment>
    <comment ref="R115" authorId="0" shapeId="0" xr:uid="{7384F84A-9D97-40F7-B2C9-EE711FFB11F9}">
      <text>
        <r>
          <rPr>
            <b/>
            <sz val="24"/>
            <color indexed="81"/>
            <rFont val="Tahoma"/>
            <family val="2"/>
          </rPr>
          <t>Mohammad hossein Jafarimalek:</t>
        </r>
        <r>
          <rPr>
            <sz val="24"/>
            <color indexed="81"/>
            <rFont val="Tahoma"/>
            <family val="2"/>
          </rPr>
          <t xml:space="preserve">
it is rated by start and the average should be 4 and over</t>
        </r>
      </text>
    </comment>
    <comment ref="P116" authorId="0" shapeId="0" xr:uid="{74175804-85BA-4B21-877C-F409709E22EE}">
      <text>
        <r>
          <rPr>
            <b/>
            <sz val="22"/>
            <color indexed="81"/>
            <rFont val="Tahoma"/>
            <family val="2"/>
          </rPr>
          <t>Mohammad hossein Jafarimalek:</t>
        </r>
        <r>
          <rPr>
            <sz val="22"/>
            <color indexed="81"/>
            <rFont val="Tahoma"/>
            <family val="2"/>
          </rPr>
          <t xml:space="preserve">
 بر اساس اطلاعات دی ماه به طور میانگین هر تکنیسین 80 تیکت جواب داده است. این عدد برای 3 ماه است.</t>
        </r>
      </text>
    </comment>
    <comment ref="R116" authorId="0" shapeId="0" xr:uid="{6C342F13-52D3-4F55-B504-06BA6F5729CC}">
      <text>
        <r>
          <rPr>
            <b/>
            <sz val="22"/>
            <color indexed="81"/>
            <rFont val="Tahoma"/>
            <family val="2"/>
          </rPr>
          <t>Mohammad hossein Jafarimalek:</t>
        </r>
        <r>
          <rPr>
            <sz val="22"/>
            <color indexed="81"/>
            <rFont val="Tahoma"/>
            <family val="2"/>
          </rPr>
          <t xml:space="preserve">
 بر اساس اطلاعات دی ماه به طور میانگین هر تکنیسین 80 تیکت جواب داده است. این عدد برای 3 ماه است.</t>
        </r>
      </text>
    </comment>
    <comment ref="P118" authorId="0" shapeId="0" xr:uid="{4397D03D-1FB3-4CF2-B39B-F73A30AD01DF}">
      <text>
        <r>
          <rPr>
            <b/>
            <sz val="22"/>
            <color indexed="81"/>
            <rFont val="Tahoma"/>
            <family val="2"/>
          </rPr>
          <t>Mohammad hossein Jafarimalek:</t>
        </r>
        <r>
          <rPr>
            <sz val="22"/>
            <color indexed="81"/>
            <rFont val="Tahoma"/>
            <family val="2"/>
          </rPr>
          <t xml:space="preserve">
60 minutes</t>
        </r>
      </text>
    </comment>
    <comment ref="R118" authorId="0" shapeId="0" xr:uid="{5F80CBEA-5EE2-43EB-A6F1-B77DA7220752}">
      <text>
        <r>
          <rPr>
            <b/>
            <sz val="22"/>
            <color indexed="81"/>
            <rFont val="Tahoma"/>
            <family val="2"/>
          </rPr>
          <t>Mohammad hossein Jafarimalek:</t>
        </r>
        <r>
          <rPr>
            <sz val="22"/>
            <color indexed="81"/>
            <rFont val="Tahoma"/>
            <family val="2"/>
          </rPr>
          <t xml:space="preserve">
60 minutes</t>
        </r>
      </text>
    </comment>
    <comment ref="P211" authorId="1" shapeId="0" xr:uid="{BE748C1B-1CDF-4AA6-80C0-5F13A0DF4BC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R211" authorId="1" shapeId="0" xr:uid="{D7679EBA-0E58-4A9F-B6A0-789CC550955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N756" authorId="2" shapeId="0" xr:uid="{DF9E49E6-607E-4E5B-BF93-0B7401FD5368}">
      <text>
        <r>
          <rPr>
            <b/>
            <sz val="9"/>
            <color indexed="81"/>
            <rFont val="Tahoma"/>
            <family val="2"/>
          </rPr>
          <t>Gheysari, Aseyeh:</t>
        </r>
        <r>
          <rPr>
            <sz val="9"/>
            <color indexed="81"/>
            <rFont val="Tahoma"/>
            <family val="2"/>
          </rPr>
          <t xml:space="preserve">
تمام قراردادهای هر ماه تا دهم هر ماه میبایست بسته و امضا شده باشند</t>
        </r>
      </text>
    </comment>
    <comment ref="N767" authorId="2" shapeId="0" xr:uid="{C7AB0DC0-37AF-42E7-A35F-4C63950E78C4}">
      <text>
        <r>
          <rPr>
            <b/>
            <sz val="9"/>
            <color indexed="81"/>
            <rFont val="Tahoma"/>
            <family val="2"/>
          </rPr>
          <t>Gheysari, Aseyeh:تمام قراردادها تا دهم هر ماه باید امضا شوند و تعیین تکلیف گردند</t>
        </r>
      </text>
    </comment>
    <comment ref="P924" authorId="3" shapeId="0" xr:uid="{90678883-637A-41D9-8727-FFDC7F886109}">
      <text>
        <r>
          <rPr>
            <b/>
            <sz val="11"/>
            <color indexed="81"/>
            <rFont val="Tahoma"/>
            <family val="2"/>
          </rPr>
          <t>Mousavi, Golshan:</t>
        </r>
        <r>
          <rPr>
            <sz val="11"/>
            <color indexed="81"/>
            <rFont val="Tahoma"/>
            <family val="2"/>
          </rPr>
          <t xml:space="preserve">
با توجه به مقدار Actual 
این شاخص با درصد نامبرده 
هدف این هستش که تارگت این فصل نیم درصد بالاتر باشد
بالاتر از :
 93.4%
این تارگت طبق محاسبات آقای کلانتری و تاییدیه جناب حاجی حسین زاده می باشد
یعنی تارگت نهایی باید 
93.9%
باشد و مطابق با صحبت با آقای کلانتری در نهایت درصد کلی نیز اعلام خواهد شد</t>
        </r>
      </text>
    </comment>
    <comment ref="R924" authorId="3" shapeId="0" xr:uid="{902C3867-9A95-428C-891D-F1199BBE25A7}">
      <text>
        <r>
          <rPr>
            <b/>
            <sz val="11"/>
            <color indexed="81"/>
            <rFont val="Tahoma"/>
            <family val="2"/>
          </rPr>
          <t>Mousavi, Golshan:</t>
        </r>
        <r>
          <rPr>
            <sz val="11"/>
            <color indexed="81"/>
            <rFont val="Tahoma"/>
            <family val="2"/>
          </rPr>
          <t xml:space="preserve">
با توجه به مقدار Actual 
این شاخص با درصد نامبرده 
هدف این هستش که تارگت این فصل نیم درصد بالاتر باشد
بالاتر از :
 93.4%
این تارگت طبق محاسبات آقای کلانتری و تاییدیه جناب حاجی حسین زاده می باشد
یعنی تارگت نهایی باید 
93.9%
باشد و مطابق با صحبت با آقای کلانتری در نهایت درصد کلی نیز اعلام خواهد شد</t>
        </r>
      </text>
    </comment>
    <comment ref="P936" authorId="3" shapeId="0" xr:uid="{78C58F54-608B-4C7F-915C-9E82B7F11CAE}">
      <text>
        <r>
          <rPr>
            <b/>
            <sz val="9"/>
            <color indexed="81"/>
            <rFont val="Tahoma"/>
            <family val="2"/>
          </rPr>
          <t>Mousavi, Golshan:</t>
        </r>
        <r>
          <rPr>
            <sz val="9"/>
            <color indexed="81"/>
            <rFont val="Tahoma"/>
            <family val="2"/>
          </rPr>
          <t xml:space="preserve">
تارگت بر اساس ایمیل اعلام شده از مهندس کلانتری می باشد</t>
        </r>
      </text>
    </comment>
    <comment ref="R936" authorId="3" shapeId="0" xr:uid="{FC79BBC0-E3A6-4BB6-B86E-52E1CAF68B79}">
      <text>
        <r>
          <rPr>
            <b/>
            <sz val="9"/>
            <color indexed="81"/>
            <rFont val="Tahoma"/>
            <family val="2"/>
          </rPr>
          <t>Mousavi, Golshan:</t>
        </r>
        <r>
          <rPr>
            <sz val="9"/>
            <color indexed="81"/>
            <rFont val="Tahoma"/>
            <family val="2"/>
          </rPr>
          <t xml:space="preserve">
تارگت بر اساس ایمیل اعلام شده از مهندس کلانتری می باشد</t>
        </r>
      </text>
    </comment>
    <comment ref="P1053" authorId="3" shapeId="0" xr:uid="{B2AFD428-D7E8-4DCA-B9FB-D7261577C3FB}">
      <text>
        <r>
          <rPr>
            <b/>
            <sz val="11"/>
            <color indexed="81"/>
            <rFont val="Tahoma"/>
            <family val="2"/>
          </rPr>
          <t>Mousavi, Golshan:</t>
        </r>
        <r>
          <rPr>
            <sz val="11"/>
            <color indexed="81"/>
            <rFont val="Tahoma"/>
            <family val="2"/>
          </rPr>
          <t xml:space="preserve">
تارگت برای یک فصل می باشد</t>
        </r>
      </text>
    </comment>
    <comment ref="P1066" authorId="3" shapeId="0" xr:uid="{713DD5E3-560A-4871-AC91-2FA7A04C7257}">
      <text>
        <r>
          <rPr>
            <b/>
            <sz val="11"/>
            <color indexed="81"/>
            <rFont val="Tahoma"/>
            <family val="2"/>
          </rPr>
          <t>Mousavi, Golshan:</t>
        </r>
        <r>
          <rPr>
            <sz val="11"/>
            <color indexed="81"/>
            <rFont val="Tahoma"/>
            <family val="2"/>
          </rPr>
          <t xml:space="preserve">
تارگت برای یک فصل می باشد</t>
        </r>
      </text>
    </comment>
    <comment ref="P1117" authorId="3" shapeId="0" xr:uid="{CBFBFC0A-2B2D-4434-A704-191CCB63046C}">
      <text>
        <r>
          <rPr>
            <b/>
            <sz val="11"/>
            <color indexed="81"/>
            <rFont val="Tahoma"/>
            <family val="2"/>
          </rPr>
          <t>Mousavi, Golshan:</t>
        </r>
        <r>
          <rPr>
            <sz val="11"/>
            <color indexed="81"/>
            <rFont val="Tahoma"/>
            <family val="2"/>
          </rPr>
          <t xml:space="preserve">
تارگت برای یک فصل می باشد</t>
        </r>
      </text>
    </comment>
    <comment ref="R1117" authorId="3" shapeId="0" xr:uid="{75B7858E-3396-4836-840E-B35ECBA24A34}">
      <text>
        <r>
          <rPr>
            <b/>
            <sz val="11"/>
            <color indexed="81"/>
            <rFont val="Tahoma"/>
            <family val="2"/>
          </rPr>
          <t>Mousavi, Golshan:</t>
        </r>
        <r>
          <rPr>
            <sz val="11"/>
            <color indexed="81"/>
            <rFont val="Tahoma"/>
            <family val="2"/>
          </rPr>
          <t xml:space="preserve">
تارگت برای یک فصل می باشد</t>
        </r>
      </text>
    </comment>
    <comment ref="P1147" authorId="3" shapeId="0" xr:uid="{27FB099F-9329-46FB-9064-E61A8F5E21BA}">
      <text>
        <r>
          <rPr>
            <b/>
            <sz val="11"/>
            <color indexed="81"/>
            <rFont val="Tahoma"/>
            <family val="2"/>
          </rPr>
          <t>Mousavi, Golshan:</t>
        </r>
        <r>
          <rPr>
            <sz val="11"/>
            <color indexed="81"/>
            <rFont val="Tahoma"/>
            <family val="2"/>
          </rPr>
          <t xml:space="preserve">
تارگت برای یک فصل می باشد</t>
        </r>
      </text>
    </comment>
    <comment ref="R1147" authorId="3" shapeId="0" xr:uid="{D2196AD2-5C96-4B27-A3A0-9D1437B25499}">
      <text>
        <r>
          <rPr>
            <b/>
            <sz val="11"/>
            <color indexed="81"/>
            <rFont val="Tahoma"/>
            <family val="2"/>
          </rPr>
          <t>Mousavi, Golshan:</t>
        </r>
        <r>
          <rPr>
            <sz val="11"/>
            <color indexed="81"/>
            <rFont val="Tahoma"/>
            <family val="2"/>
          </rPr>
          <t xml:space="preserve">
تارگت برای یک فصل می باشد</t>
        </r>
      </text>
    </comment>
    <comment ref="P1263" authorId="3" shapeId="0" xr:uid="{BFE51AC8-4985-4EBD-892E-BF7B2E0EE503}">
      <text>
        <r>
          <rPr>
            <b/>
            <sz val="11"/>
            <color indexed="81"/>
            <rFont val="Tahoma"/>
            <family val="2"/>
          </rPr>
          <t>Mousavi, Golshan:</t>
        </r>
        <r>
          <rPr>
            <sz val="11"/>
            <color indexed="81"/>
            <rFont val="Tahoma"/>
            <family val="2"/>
          </rPr>
          <t xml:space="preserve">
تارگت برای یک فصل می باشد</t>
        </r>
      </text>
    </comment>
    <comment ref="R1263" authorId="3" shapeId="0" xr:uid="{E640B393-703F-4182-B58B-C55A36BADAD6}">
      <text>
        <r>
          <rPr>
            <b/>
            <sz val="11"/>
            <color indexed="81"/>
            <rFont val="Tahoma"/>
            <family val="2"/>
          </rPr>
          <t>Mousavi, Golshan:</t>
        </r>
        <r>
          <rPr>
            <sz val="11"/>
            <color indexed="81"/>
            <rFont val="Tahoma"/>
            <family val="2"/>
          </rPr>
          <t xml:space="preserve">
تارگت برای یک فصل می باشد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Mousavi, Golshan</author>
    <author/>
    <author>Safari, Mehdi</author>
  </authors>
  <commentList>
    <comment ref="M22" authorId="0" shapeId="0" xr:uid="{BD07379A-DA21-486B-997B-FC79AF27BC9D}">
      <text>
        <r>
          <rPr>
            <b/>
            <sz val="11"/>
            <color indexed="81"/>
            <rFont val="Tahoma"/>
            <family val="2"/>
          </rPr>
          <t>Mousavi, Golshan:</t>
        </r>
        <r>
          <rPr>
            <sz val="11"/>
            <color indexed="81"/>
            <rFont val="Tahoma"/>
            <family val="2"/>
          </rPr>
          <t xml:space="preserve">
بنا به فرمایش جناب آقای کریمی زاد، تارگت این شاخص
ده درصد بیشتر از 
Actual
کارخانجات نسبت به فصل تابستان می باشد</t>
        </r>
      </text>
    </comment>
    <comment ref="N62" authorId="1" shapeId="0" xr:uid="{F98FAB5D-AF9B-48F5-8409-56D29D7116A6}">
      <text>
        <r>
          <rPr>
            <sz val="11"/>
            <color theme="1"/>
            <rFont val="Aptos Narrow"/>
            <family val="2"/>
            <scheme val="minor"/>
          </rPr>
          <t>======
ID#AAABhi_oQNw
tc={E25E23B3-5E68-4929-BFFB-9F7958D7D6F2}    (2025-04-07 18:50:32)
[Threaded comment]
Your version of Excel allows you to read this threaded comment; however, any edits to it will get removed if the file is opened in a newer version of Excel. Learn more: https://go.microsoft.com/fwlink/?linkid=870924
Comment:
    Rozaini:-
Sheet / Month, 99.9%
Rozaini, Ahmad:
1. Post Forming
2. 3 mm Coating Line 
KPI will only start January 2025
Now focus on Tahte Feshorde</t>
        </r>
      </text>
    </comment>
    <comment ref="M71" authorId="1" shapeId="0" xr:uid="{6A87BE53-3947-4DF8-8340-E0CF89DB623F}">
      <text>
        <r>
          <rPr>
            <sz val="11"/>
            <color theme="1"/>
            <rFont val="Aptos Narrow"/>
            <family val="2"/>
            <scheme val="minor"/>
          </rPr>
          <t>======
ID#AAABhi_oQMg
Sadeghi, Azadeh    (2025-04-07 18:50:32)
Cleanliness, Hygiene, Pest, HSE, &amp; Hazards</t>
        </r>
      </text>
    </comment>
    <comment ref="N73" authorId="2" shapeId="0" xr:uid="{70DAABE0-93F1-4097-8112-21CF76D0A058}">
      <text>
        <r>
          <rPr>
            <b/>
            <sz val="9"/>
            <color indexed="81"/>
            <rFont val="Tahoma"/>
            <family val="2"/>
          </rPr>
          <t>Safari, Mehdi:</t>
        </r>
        <r>
          <rPr>
            <sz val="9"/>
            <color indexed="81"/>
            <rFont val="Tahoma"/>
            <family val="2"/>
          </rPr>
          <t xml:space="preserve">
</t>
        </r>
      </text>
    </comment>
    <comment ref="O73" authorId="2" shapeId="0" xr:uid="{B2EB9DF0-112C-4AFD-A96F-6942B33DBA83}">
      <text>
        <r>
          <rPr>
            <b/>
            <sz val="9"/>
            <color indexed="81"/>
            <rFont val="Tahoma"/>
            <family val="2"/>
          </rPr>
          <t>Safari, Mehdi:</t>
        </r>
        <r>
          <rPr>
            <sz val="9"/>
            <color indexed="81"/>
            <rFont val="Tahoma"/>
            <family val="2"/>
          </rPr>
          <t xml:space="preserve">
تعداد حوادث در سه ماه گذشته ا حادثه بوده</t>
        </r>
      </text>
    </comment>
    <comment ref="O74" authorId="2" shapeId="0" xr:uid="{C0A478A9-D51D-4070-B9CD-557E1543BA11}">
      <text>
        <r>
          <rPr>
            <b/>
            <sz val="9"/>
            <color indexed="81"/>
            <rFont val="Tahoma"/>
            <family val="2"/>
          </rPr>
          <t>Safari, Mehdi:</t>
        </r>
        <r>
          <rPr>
            <sz val="9"/>
            <color indexed="81"/>
            <rFont val="Tahoma"/>
            <family val="2"/>
          </rPr>
          <t xml:space="preserve">
حوادث ناشی از کار انفر</t>
        </r>
      </text>
    </comment>
    <comment ref="O75" authorId="2" shapeId="0" xr:uid="{682CA8DB-076D-4217-822A-46E9BC9CBC1D}">
      <text>
        <r>
          <rPr>
            <b/>
            <sz val="9"/>
            <color indexed="81"/>
            <rFont val="Tahoma"/>
            <family val="2"/>
          </rPr>
          <t>Safari, Mehdi:</t>
        </r>
        <r>
          <rPr>
            <sz val="9"/>
            <color indexed="81"/>
            <rFont val="Tahoma"/>
            <family val="2"/>
          </rPr>
          <t xml:space="preserve">
یک حادثه </t>
        </r>
      </text>
    </comment>
    <comment ref="N76" authorId="2" shapeId="0" xr:uid="{0AAD92C7-3BE1-431C-AB20-E485D5E773AF}">
      <text>
        <r>
          <rPr>
            <b/>
            <sz val="9"/>
            <color indexed="81"/>
            <rFont val="Tahoma"/>
            <family val="2"/>
          </rPr>
          <t>Safari, Mehdi:</t>
        </r>
        <r>
          <rPr>
            <sz val="9"/>
            <color indexed="81"/>
            <rFont val="Tahoma"/>
            <family val="2"/>
          </rPr>
          <t xml:space="preserve">
</t>
        </r>
      </text>
    </comment>
    <comment ref="O76" authorId="2" shapeId="0" xr:uid="{0DFAE224-B8F2-4202-B643-30BD027DA694}">
      <text>
        <r>
          <rPr>
            <b/>
            <sz val="9"/>
            <color indexed="81"/>
            <rFont val="Tahoma"/>
            <family val="2"/>
          </rPr>
          <t>Safari, Mehdi:</t>
        </r>
        <r>
          <rPr>
            <sz val="9"/>
            <color indexed="81"/>
            <rFont val="Tahoma"/>
            <family val="2"/>
          </rPr>
          <t xml:space="preserve">
تعداد مجوزهای صادره 50 عدد</t>
        </r>
      </text>
    </comment>
    <comment ref="N78" authorId="2" shapeId="0" xr:uid="{88F006DD-2F88-49E4-9658-8299780BAA1B}">
      <text>
        <r>
          <rPr>
            <b/>
            <sz val="9"/>
            <color indexed="81"/>
            <rFont val="Tahoma"/>
            <family val="2"/>
          </rPr>
          <t>Safari, Mehdi</t>
        </r>
      </text>
    </comment>
    <comment ref="N80" authorId="2" shapeId="0" xr:uid="{8B6F221B-4377-4A99-B3AA-8E8BDD415C9B}">
      <text>
        <r>
          <rPr>
            <b/>
            <sz val="9"/>
            <color indexed="81"/>
            <rFont val="Tahoma"/>
            <family val="2"/>
          </rPr>
          <t>Safari, Mگزارشات مربوط به مرکز بهداشت و حوادث شغلی کاملاتهیه وارسال شده</t>
        </r>
      </text>
    </comment>
    <comment ref="O81" authorId="2" shapeId="0" xr:uid="{940B0425-FE12-459C-9D3B-EEE0C76AB88B}">
      <text>
        <r>
          <rPr>
            <b/>
            <sz val="9"/>
            <color indexed="81"/>
            <rFont val="Tahoma"/>
            <family val="2"/>
          </rPr>
          <t>Safari, Mehdi:</t>
        </r>
        <r>
          <rPr>
            <sz val="9"/>
            <color indexed="81"/>
            <rFont val="Tahoma"/>
            <family val="2"/>
          </rPr>
          <t xml:space="preserve">
ارزیابی ریسک اولیه انجام گرفته </t>
        </r>
      </text>
    </comment>
    <comment ref="O82" authorId="2" shapeId="0" xr:uid="{5C770A9A-6593-49FF-B203-5FE304C196DD}">
      <text>
        <r>
          <rPr>
            <b/>
            <sz val="9"/>
            <color indexed="81"/>
            <rFont val="Tahoma"/>
            <family val="2"/>
          </rPr>
          <t>Safari, Mehdi:</t>
        </r>
        <r>
          <rPr>
            <sz val="9"/>
            <color indexed="81"/>
            <rFont val="Tahoma"/>
            <family val="2"/>
          </rPr>
          <t xml:space="preserve">
استعلام ها گرفته شده و در حال انجام می باشد</t>
        </r>
      </text>
    </comment>
    <comment ref="O85" authorId="2" shapeId="0" xr:uid="{1033C1D9-0C41-412B-A449-41C574B91CF6}">
      <text>
        <r>
          <rPr>
            <b/>
            <sz val="9"/>
            <color indexed="81"/>
            <rFont val="Tahoma"/>
            <family val="2"/>
          </rPr>
          <t>Safari, Mehdi:</t>
        </r>
        <r>
          <rPr>
            <sz val="9"/>
            <color indexed="81"/>
            <rFont val="Tahoma"/>
            <family val="2"/>
          </rPr>
          <t xml:space="preserve">
کلیه علائم و بنرهای ایمنی در دست بروز شدن می باشد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Mousavi, Golshan</author>
  </authors>
  <commentList>
    <comment ref="M23" authorId="0" shapeId="0" xr:uid="{DA8776C6-7642-4BB9-9B9A-117BE23E2B62}">
      <text>
        <r>
          <rPr>
            <b/>
            <sz val="14"/>
            <color indexed="81"/>
            <rFont val="Tahoma"/>
            <family val="2"/>
          </rPr>
          <t>Mousavi, Golshan:</t>
        </r>
        <r>
          <rPr>
            <sz val="14"/>
            <color indexed="81"/>
            <rFont val="Tahoma"/>
            <family val="2"/>
          </rPr>
          <t xml:space="preserve">
بنا به فرمایش جناب آقای کریمی زاد، تارگت این شاخص
ده درصد بیشتر از 
Actual
کارخانجات نسبت به فصل تابستان می باشد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Ameli, Neda</author>
    <author>Sadeghi, Azadeh</author>
    <author>Jafarian, Hamideh</author>
    <author>Bazyar, Pariya</author>
    <author>Hasanzadeh, Sheyda</author>
    <author>Mehrshad Jalalat</author>
    <author>Samanipour, Hamed</author>
    <author>Mousavi, Golshan</author>
  </authors>
  <commentList>
    <comment ref="P59" authorId="0" shapeId="0" xr:uid="{CCD46FB9-EF3A-4227-B23B-14681084E25E}">
      <text>
        <r>
          <rPr>
            <b/>
            <sz val="9"/>
            <color indexed="81"/>
            <rFont val="Tahoma"/>
            <family val="2"/>
          </rPr>
          <t>Ameli, Neda:</t>
        </r>
        <r>
          <rPr>
            <sz val="9"/>
            <color indexed="81"/>
            <rFont val="Tahoma"/>
            <family val="2"/>
          </rPr>
          <t xml:space="preserve">
در فصل قبل این مورد 2% بود اما حتی در تیر ماه و مرداد ماه که محدودیت شدید اضافه کار داشتیم عدد 3% حاصل شد و در سایر ماهها 4% و یا 5% بوده است</t>
        </r>
      </text>
    </comment>
    <comment ref="R59" authorId="0" shapeId="0" xr:uid="{34DA7BF0-D978-4E32-8DF0-5454F5356F84}">
      <text>
        <r>
          <rPr>
            <b/>
            <sz val="9"/>
            <color indexed="81"/>
            <rFont val="Tahoma"/>
            <family val="2"/>
          </rPr>
          <t>Ameli, Neda:</t>
        </r>
        <r>
          <rPr>
            <sz val="9"/>
            <color indexed="81"/>
            <rFont val="Tahoma"/>
            <family val="2"/>
          </rPr>
          <t xml:space="preserve">
در فصل قبل این مورد 2% بود اما حتی در تیر ماه و مرداد ماه که محدودیت شدید اضافه کار داشتیم عدد 3% حاصل شد و در سایر ماهها 4% و یا 5% بوده است</t>
        </r>
      </text>
    </comment>
    <comment ref="N64" authorId="1" shapeId="0" xr:uid="{108E0913-8E14-4CBD-887A-082904C927FE}">
      <text>
        <r>
          <rPr>
            <sz val="8"/>
            <color indexed="81"/>
            <rFont val="Tahoma"/>
            <family val="2"/>
          </rPr>
          <t xml:space="preserve">
تکمیل مستردیتای SAP و برگزاری منظم جلسات جهت ایجاد تنظیمات لازم در سیستمهای پرسنلی و حقوق و دستمزد با تیم منابع انسانی SAP</t>
        </r>
      </text>
    </comment>
    <comment ref="P65" authorId="0" shapeId="0" xr:uid="{F72783D5-7E75-4460-8809-860035DDBB3A}">
      <text>
        <r>
          <rPr>
            <b/>
            <sz val="9"/>
            <color indexed="81"/>
            <rFont val="Tahoma"/>
            <family val="2"/>
          </rPr>
          <t>Ameli, Neda:</t>
        </r>
        <r>
          <rPr>
            <sz val="9"/>
            <color indexed="81"/>
            <rFont val="Tahoma"/>
            <family val="2"/>
          </rPr>
          <t xml:space="preserve">
هر ماه یک گزارش کامل</t>
        </r>
      </text>
    </comment>
    <comment ref="R65" authorId="0" shapeId="0" xr:uid="{ECAA95E1-BACD-44FD-8A3C-F191B4450DE7}">
      <text>
        <r>
          <rPr>
            <b/>
            <sz val="9"/>
            <color indexed="81"/>
            <rFont val="Tahoma"/>
            <family val="2"/>
          </rPr>
          <t>Ameli, Neda:</t>
        </r>
        <r>
          <rPr>
            <sz val="9"/>
            <color indexed="81"/>
            <rFont val="Tahoma"/>
            <family val="2"/>
          </rPr>
          <t xml:space="preserve">
هر ماه یک گزارش کامل</t>
        </r>
      </text>
    </comment>
    <comment ref="N66" authorId="0" shapeId="0" xr:uid="{54719F49-83FA-426E-AD4E-B458207AF860}">
      <text>
        <r>
          <rPr>
            <b/>
            <sz val="9"/>
            <color indexed="81"/>
            <rFont val="Tahoma"/>
            <family val="2"/>
          </rPr>
          <t>Ameli, Neda:</t>
        </r>
        <r>
          <rPr>
            <sz val="9"/>
            <color indexed="81"/>
            <rFont val="Tahoma"/>
            <family val="2"/>
          </rPr>
          <t xml:space="preserve">
در این فصل اضافه شده است</t>
        </r>
      </text>
    </comment>
    <comment ref="N75" authorId="2" shapeId="0" xr:uid="{AD308C3D-7CB1-46A2-973A-F95E8E731235}">
      <text>
        <r>
          <rPr>
            <b/>
            <sz val="9"/>
            <color indexed="81"/>
            <rFont val="Tahoma"/>
            <family val="2"/>
          </rPr>
          <t>Jafarian, Hamideh:</t>
        </r>
        <r>
          <rPr>
            <sz val="9"/>
            <color indexed="81"/>
            <rFont val="Tahoma"/>
            <family val="2"/>
          </rPr>
          <t xml:space="preserve">
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
</t>
        </r>
      </text>
    </comment>
    <comment ref="N76" authorId="2" shapeId="0" xr:uid="{33529C76-3ACD-437D-9418-8192F4A1A74F}">
      <text>
        <r>
          <rPr>
            <b/>
            <sz val="9"/>
            <color indexed="81"/>
            <rFont val="Tahoma"/>
            <family val="2"/>
          </rPr>
          <t>Jafarian, Hamideh:</t>
        </r>
        <r>
          <rPr>
            <sz val="9"/>
            <color indexed="81"/>
            <rFont val="Tahoma"/>
            <family val="2"/>
          </rPr>
          <t xml:space="preserve">
 1-صدور نامه های هدایای ازداوج و فرزند- 24 ساعت پس از ثبت درخواست
3- انجام امور مربوط به شارژ سیم کارت های سازمانی شاغلین گروه صنعتی- 27 ام هر ماه
4- پیگیری مشکلات مربوط به حساب بانک ملت پرسنل- 48 ساعت پس از اعلام مشکل</t>
        </r>
      </text>
    </comment>
    <comment ref="N77" authorId="2" shapeId="0" xr:uid="{998D6E80-5F82-430B-B4AC-C2CB4707FB79}">
      <text>
        <r>
          <rPr>
            <b/>
            <sz val="9"/>
            <color indexed="81"/>
            <rFont val="Tahoma"/>
            <family val="2"/>
          </rPr>
          <t>Jafarian, Hamideh:</t>
        </r>
        <r>
          <rPr>
            <sz val="9"/>
            <color indexed="81"/>
            <rFont val="Tahoma"/>
            <family val="2"/>
          </rPr>
          <t xml:space="preserve">
1- ثبت تغییرات احکام ریالی و غیر ریالی در نماد- سوم هر ماه
2- استعلام برقراری یا قطع حق اولاد و حق سنوات
</t>
        </r>
      </text>
    </comment>
    <comment ref="N78" authorId="2" shapeId="0" xr:uid="{47BA6D95-6109-4AD2-BDDD-31BF7CC53235}">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79" authorId="2" shapeId="0" xr:uid="{B9DF66DD-1543-4291-A632-3A1246DA5156}">
      <text>
        <r>
          <rPr>
            <b/>
            <sz val="9"/>
            <color indexed="81"/>
            <rFont val="Tahoma"/>
            <family val="2"/>
          </rPr>
          <t>Jafarian, Hamideh:</t>
        </r>
        <r>
          <rPr>
            <sz val="9"/>
            <color indexed="81"/>
            <rFont val="Tahoma"/>
            <family val="2"/>
          </rPr>
          <t xml:space="preserve">
1. گزارش عملکرد  ماهانه - 15ام هرماه
2-گزارش  و ثبت به روز رسانی آمار هزینه تلفن همراه
3-گزارش بررسی سامانه پیامکی</t>
        </r>
      </text>
    </comment>
    <comment ref="N159" authorId="2" shapeId="0" xr:uid="{573E4CCE-78F3-437B-9D74-99ABE72681F8}">
      <text>
        <r>
          <rPr>
            <b/>
            <sz val="8"/>
            <color indexed="81"/>
            <rFont val="Tahoma"/>
            <family val="2"/>
          </rPr>
          <t>Jafarian, Hamideh:</t>
        </r>
        <r>
          <rPr>
            <sz val="8"/>
            <color indexed="81"/>
            <rFont val="Tahoma"/>
            <family val="2"/>
          </rPr>
          <t xml:space="preserve">
1- ثبت بسته های ارسالی به کارخانجات
2- ثبت بسته های دریافتی از کارخانجات
3- ثبت بسته های پستی</t>
        </r>
      </text>
    </comment>
    <comment ref="N160" authorId="3" shapeId="0" xr:uid="{6C3CC840-4D7F-4E44-AD1A-4FDFA69FAD35}">
      <text>
        <r>
          <rPr>
            <b/>
            <sz val="9"/>
            <color indexed="81"/>
            <rFont val="Tahoma"/>
            <family val="2"/>
          </rPr>
          <t>Bazyar, Pariya:</t>
        </r>
        <r>
          <rPr>
            <sz val="9"/>
            <color indexed="81"/>
            <rFont val="Tahoma"/>
            <family val="2"/>
          </rPr>
          <t xml:space="preserve">
</t>
        </r>
        <r>
          <rPr>
            <sz val="9"/>
            <color indexed="81"/>
            <rFont val="Nazanin"/>
            <charset val="178"/>
          </rPr>
          <t xml:space="preserve">روزانه امور مربوط به برنامه ریزی و هماهنگی  جلسات تیم sap را انجام می دهم. </t>
        </r>
      </text>
    </comment>
    <comment ref="N161" authorId="3" shapeId="0" xr:uid="{1D57E96B-11E8-4B3F-A600-E492EDF3210E}">
      <text>
        <r>
          <rPr>
            <b/>
            <sz val="9"/>
            <color indexed="81"/>
            <rFont val="Tahoma"/>
            <family val="2"/>
          </rPr>
          <t>Bazyar, Pariya:</t>
        </r>
        <r>
          <rPr>
            <sz val="9"/>
            <color indexed="81"/>
            <rFont val="2  Nazanin"/>
            <charset val="178"/>
          </rPr>
          <t xml:space="preserve">
1-گزارش جامع بلیط ها 
2-گزارش جامع هتل ها
3-گزارش ورود و خروج مهمانسرا
4-گزارشات عملکرد منابع انسانی و ارسال به معاونین
5-پیگیری گزارشات مدیران منابع انسانی گروه</t>
        </r>
      </text>
    </comment>
    <comment ref="N162" authorId="3" shapeId="0" xr:uid="{F24532D4-8225-4DAF-864C-EFEA1060FC93}">
      <text>
        <r>
          <rPr>
            <b/>
            <sz val="9"/>
            <color indexed="81"/>
            <rFont val="Tahoma"/>
            <family val="2"/>
          </rPr>
          <t>Bazyar, Pariya:</t>
        </r>
        <r>
          <rPr>
            <sz val="9"/>
            <color indexed="81"/>
            <rFont val="Tahoma"/>
            <family val="2"/>
          </rPr>
          <t xml:space="preserve">
</t>
        </r>
        <r>
          <rPr>
            <sz val="9"/>
            <color indexed="81"/>
            <rFont val="Nazanin"/>
            <charset val="178"/>
          </rPr>
          <t xml:space="preserve">1- گزارش خودروهای سازمان
2-آنالیز غذای رستوران
3-گزارش جانمایی افراد در ساختمان مرکزی
4-گزارش ایاب و ذهاب مهمانسرا
5-کنترل خرید واحد تشریفات
6-گزارش پلتفرم های منابع انسانی
</t>
        </r>
      </text>
    </comment>
    <comment ref="N212" authorId="2" shapeId="0" xr:uid="{40EC12E4-AC6E-4234-92D7-F22A7F5D0DF7}">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N215" authorId="4" shapeId="0" xr:uid="{43F1382B-60C7-469D-A5D9-AD2BC604D4C9}">
      <text>
        <r>
          <rPr>
            <sz val="14"/>
            <color indexed="81"/>
            <rFont val="Tahoma"/>
            <family val="2"/>
          </rPr>
          <t>Hasanzadeh, Sheyda:
یک روز پس از ارائه درخواست به صورت کتبی</t>
        </r>
      </text>
    </comment>
    <comment ref="N217" authorId="2" shapeId="0" xr:uid="{D6EE781F-68F6-47DE-A8B2-B11CEC43920C}">
      <text>
        <r>
          <rPr>
            <b/>
            <sz val="9"/>
            <color indexed="81"/>
            <rFont val="Tahoma"/>
            <family val="2"/>
          </rPr>
          <t>Jafarian, Hamideh:</t>
        </r>
        <r>
          <rPr>
            <sz val="9"/>
            <color indexed="81"/>
            <rFont val="Tahoma"/>
            <family val="2"/>
          </rPr>
          <t xml:space="preserve">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r>
      </text>
    </comment>
    <comment ref="N218" authorId="2" shapeId="0" xr:uid="{8A6F255A-DF2B-405A-B1CB-4092CC1F79CE}">
      <text>
        <r>
          <rPr>
            <b/>
            <sz val="9"/>
            <color indexed="81"/>
            <rFont val="Tahoma"/>
            <family val="2"/>
          </rPr>
          <t>Jafarian, Hamideh:</t>
        </r>
        <r>
          <rPr>
            <sz val="9"/>
            <color indexed="81"/>
            <rFont val="Tahoma"/>
            <family val="2"/>
          </rPr>
          <t xml:space="preserve">
دریافت تضامین از تامین کنندگان و اشخاص طرف قراردا با شرکت- متناسب با موضوع قرارداد. در صورت عدم دریافت امکان پرداخت توسط مالی وجود ندارد. </t>
        </r>
      </text>
    </comment>
    <comment ref="N219" authorId="4" shapeId="0" xr:uid="{124C539D-D918-40D3-B703-DCFA409734A4}">
      <text>
        <r>
          <rPr>
            <sz val="14"/>
            <color indexed="81"/>
            <rFont val="Tahoma"/>
            <family val="2"/>
          </rPr>
          <t>انتقال دیتای قرارداها به پورتال و ایجاد فایل جهت لینک قراردادها و عناوین
از 1400 تا 1403</t>
        </r>
      </text>
    </comment>
    <comment ref="P219" authorId="5" shapeId="0" xr:uid="{91C078D4-4145-4763-874F-5B34A879E1F5}">
      <text>
        <r>
          <rPr>
            <b/>
            <sz val="9"/>
            <color indexed="81"/>
            <rFont val="Tahoma"/>
            <family val="2"/>
          </rPr>
          <t>Mehrshad Jalalat:</t>
        </r>
        <r>
          <rPr>
            <sz val="9"/>
            <color indexed="81"/>
            <rFont val="Tahoma"/>
            <family val="2"/>
          </rPr>
          <t xml:space="preserve">
به دلیل اینکه برنامه نویسی موثر از طرف واحد . انجام نشده است it</t>
        </r>
      </text>
    </comment>
    <comment ref="R219" authorId="5" shapeId="0" xr:uid="{9B0F5930-2B29-4F82-95C2-8242C97E755A}">
      <text>
        <r>
          <rPr>
            <b/>
            <sz val="9"/>
            <color indexed="81"/>
            <rFont val="Tahoma"/>
            <family val="2"/>
          </rPr>
          <t>Mehrshad Jalalat:</t>
        </r>
        <r>
          <rPr>
            <sz val="9"/>
            <color indexed="81"/>
            <rFont val="Tahoma"/>
            <family val="2"/>
          </rPr>
          <t xml:space="preserve">
به دلیل اینکه برنامه نویسی موثر از طرف واحد . انجام نشده است it</t>
        </r>
      </text>
    </comment>
    <comment ref="N221" authorId="2" shapeId="0" xr:uid="{02CA9D95-1F19-40A9-9684-36DF4850D9B1}">
      <text>
        <r>
          <rPr>
            <b/>
            <sz val="9"/>
            <color indexed="81"/>
            <rFont val="Tahoma"/>
            <family val="2"/>
          </rPr>
          <t>Jafarian, Hamideh:</t>
        </r>
        <r>
          <rPr>
            <sz val="9"/>
            <color indexed="81"/>
            <rFont val="Tahoma"/>
            <family val="2"/>
          </rPr>
          <t xml:space="preserve">
صورتجلسات عادی
صورتجلسات مجمامع در خصوص افزایش یا کاهش سرمایه و آگهی تغییرات هیات مدیره
تغییرات ادرس
تغییرات اساس نامه
</t>
        </r>
      </text>
    </comment>
    <comment ref="N222" authorId="2" shapeId="0" xr:uid="{F37CCDE8-1725-46ED-9529-E84C460616A3}">
      <text>
        <r>
          <rPr>
            <b/>
            <sz val="9"/>
            <color indexed="81"/>
            <rFont val="Tahoma"/>
            <family val="2"/>
          </rPr>
          <t>Jafarian, Hamideh:</t>
        </r>
        <r>
          <rPr>
            <sz val="9"/>
            <color indexed="81"/>
            <rFont val="Tahoma"/>
            <family val="2"/>
          </rPr>
          <t xml:space="preserve">
اعلام خسارت به شرکت بیمه 
پیگیری حضور کارشناسان بیمه
ارتباط با واحد های درون سازمانی برای دریافت اطلاعات بار و محموله
تکمیل مدارک و دریافت خسارت</t>
        </r>
      </text>
    </comment>
    <comment ref="P273" authorId="6" shapeId="0" xr:uid="{4BDAEFD2-26E0-4B07-8638-FF5FAC7BFC49}">
      <text>
        <r>
          <rPr>
            <b/>
            <sz val="9"/>
            <color indexed="81"/>
            <rFont val="Tahoma"/>
            <family val="2"/>
          </rPr>
          <t>Samanipour, Hamed:</t>
        </r>
        <r>
          <rPr>
            <sz val="9"/>
            <color indexed="81"/>
            <rFont val="Tahoma"/>
            <family val="2"/>
          </rPr>
          <t xml:space="preserve">
12 هفته</t>
        </r>
      </text>
    </comment>
    <comment ref="R273" authorId="6" shapeId="0" xr:uid="{33F1C134-4347-4CAC-9760-8A346109712A}">
      <text>
        <r>
          <rPr>
            <b/>
            <sz val="9"/>
            <color indexed="81"/>
            <rFont val="Tahoma"/>
            <family val="2"/>
          </rPr>
          <t>Samanipour, Hamed:</t>
        </r>
        <r>
          <rPr>
            <sz val="9"/>
            <color indexed="81"/>
            <rFont val="Tahoma"/>
            <family val="2"/>
          </rPr>
          <t xml:space="preserve">
12 هفته</t>
        </r>
      </text>
    </comment>
    <comment ref="M1189" authorId="7" shapeId="0" xr:uid="{65BAAF03-E909-49FD-87DF-DA36DF5B07F0}">
      <text>
        <r>
          <rPr>
            <b/>
            <sz val="9"/>
            <color indexed="81"/>
            <rFont val="Tahoma"/>
            <family val="2"/>
          </rPr>
          <t>Mousavi, Golshan:</t>
        </r>
        <r>
          <rPr>
            <sz val="9"/>
            <color indexed="81"/>
            <rFont val="Tahoma"/>
            <family val="2"/>
          </rPr>
          <t xml:space="preserve">
Mohammad hossein Jafarimalek:
latency = 1 ms
Packet loss =1%
DMVPN Uptime = 99.9%
Internet Uptime = 99.9%</t>
        </r>
      </text>
    </comment>
  </commentList>
</comments>
</file>

<file path=xl/sharedStrings.xml><?xml version="1.0" encoding="utf-8"?>
<sst xmlns="http://schemas.openxmlformats.org/spreadsheetml/2006/main" count="55491" uniqueCount="4983">
  <si>
    <t>ردیف</t>
  </si>
  <si>
    <t>نام شرکت</t>
  </si>
  <si>
    <t>فصل</t>
  </si>
  <si>
    <t>کد پرسنلی</t>
  </si>
  <si>
    <t>نام و نام خانوادگی</t>
  </si>
  <si>
    <t>عنوان شغلی</t>
  </si>
  <si>
    <t>کد پرسنلی مدیر مستقیم</t>
  </si>
  <si>
    <t>مدیر مستقیم</t>
  </si>
  <si>
    <t>دپارتمان</t>
  </si>
  <si>
    <t>Category</t>
  </si>
  <si>
    <t>دسته بندی</t>
  </si>
  <si>
    <t>Objective Weight</t>
  </si>
  <si>
    <t>KPI En</t>
  </si>
  <si>
    <t>KPI Fa</t>
  </si>
  <si>
    <t>kpi INFO</t>
  </si>
  <si>
    <t>Target</t>
  </si>
  <si>
    <t>KPI Weight</t>
  </si>
  <si>
    <t>KPI Achievement</t>
  </si>
  <si>
    <t>Percentage Achievement</t>
  </si>
  <si>
    <t>Score Achievement</t>
  </si>
  <si>
    <t>Type</t>
  </si>
  <si>
    <t>Sum</t>
  </si>
  <si>
    <t>توضیحات</t>
  </si>
  <si>
    <t>KHZ</t>
  </si>
  <si>
    <t>Q3</t>
  </si>
  <si>
    <t>مسعود عسگری</t>
  </si>
  <si>
    <t>مدیر بیزنس</t>
  </si>
  <si>
    <t>آقای کریمی زاد</t>
  </si>
  <si>
    <t>مدیریت</t>
  </si>
  <si>
    <t>Business</t>
  </si>
  <si>
    <t>کسب و کار</t>
  </si>
  <si>
    <t>Melamine production</t>
  </si>
  <si>
    <t>مقدار تولید ملامینه</t>
  </si>
  <si>
    <t>به دلیل صفر بودن تارگت این شاخص، وزن شاخص نیز باید 0% باشد که در انتهای فصل وزن 10% بین باقی شاخص های بیزنس تقسیم می‌شود.</t>
  </si>
  <si>
    <t>+</t>
  </si>
  <si>
    <t>Semi-mill production</t>
  </si>
  <si>
    <t>مقدار تولید سه میل</t>
  </si>
  <si>
    <t>Cabinet board production</t>
  </si>
  <si>
    <t>مقدار تولید صفحه کابینت</t>
  </si>
  <si>
    <t>Paper production</t>
  </si>
  <si>
    <t>مقدار تولید کاغذ</t>
  </si>
  <si>
    <t>Production of Off-Cut</t>
  </si>
  <si>
    <t xml:space="preserve">مقدار تولید آفکات سفید </t>
  </si>
  <si>
    <t>Melamine sales</t>
  </si>
  <si>
    <t>مقدار فروش ملامینه</t>
  </si>
  <si>
    <t>Semi-mill sales</t>
  </si>
  <si>
    <t>مقدار فروش سه میل</t>
  </si>
  <si>
    <t>Cabinet board sales</t>
  </si>
  <si>
    <t>مقدار فروش صفحه کابینت</t>
  </si>
  <si>
    <t>Paper sales</t>
  </si>
  <si>
    <t>مقدار فروش کاغذ</t>
  </si>
  <si>
    <t>Sale of Off-Cut</t>
  </si>
  <si>
    <t>مقدار فروش آفکات سفید</t>
  </si>
  <si>
    <t>Gross Profit Percentage</t>
  </si>
  <si>
    <t xml:space="preserve">درصد حاشیه سود </t>
  </si>
  <si>
    <t>Net  Profit Percentage</t>
  </si>
  <si>
    <t>درصد سود خالص</t>
  </si>
  <si>
    <t>Main Tasks</t>
  </si>
  <si>
    <t>کارهای اصلی</t>
  </si>
  <si>
    <t>Conversion Cost Target</t>
  </si>
  <si>
    <t>هزینه های تبدیل به محصول نهایی</t>
  </si>
  <si>
    <t>هزینه تبدیل به ازای هر واحد = (هزینه دستمزد مستقیم + هزینه سربار تولید) ÷ کل واحدهای تولید شده</t>
  </si>
  <si>
    <t>Absolute Direct Labor Cost</t>
  </si>
  <si>
    <t>هزینه دستمزد مستقیم تولید (ABS)
جمع کل هزینه‌های دستمزد مستقیم پرسنل تولید در دوره مشخص</t>
  </si>
  <si>
    <t>Absolute Direct Labor Cost=حقوق پایه+مزایای رفاهی+اضافه‌کاری+حق شیفت و سایر پرداخت‌های مرتبط با تولید مستقیم</t>
  </si>
  <si>
    <t>Direct Labor Cost per Sheet</t>
  </si>
  <si>
    <t>هزینه دستمزد مستقیم تولید ( per-sheet)</t>
  </si>
  <si>
    <t>Direct Labor Cost per Sheet=کل تعداد شیت‌های تولیدشده /کل هزینه دستمزد مستقیم تولید ​</t>
  </si>
  <si>
    <t>Production Plan Execution Rate</t>
  </si>
  <si>
    <t>نرخ اجرای برنامه تولید (% Plan Achievement)</t>
  </si>
  <si>
    <t xml:space="preserve">Plan Achievement (%) =مقدار تولید برنامه‌ریزی‌شده  / مقدار تولید واقعی) ​×100) </t>
  </si>
  <si>
    <t>BOM Adherence</t>
  </si>
  <si>
    <t>پایبندی به لیست مواد مصرفی (BOM Accuracy %)
ملامینه کمتر از 1%.
هایگلاس کمتر از 3%. 
کاغذ کمتر از 4%
سه میل کمتر از  4%
محصولات شمیمیای کمتر از 1%
صفحه کابینت کمتر از 3%
MDF   کمتر از 10%</t>
  </si>
  <si>
    <t>BOM Accuracy (%)=(کل مواد مصرف‌شده واقعی /(کل مواد مصرف‌شده طبق BOM​ )) * 100</t>
  </si>
  <si>
    <t>Labor Productivity (Output per Man-Hour)</t>
  </si>
  <si>
    <t>بهره‌وری نیروی انسانی (تولید به ازای نفر یا ساعت کار مفید)</t>
  </si>
  <si>
    <t xml:space="preserve">Labor Productivity =کل نفر ساعت کار مفید /مقدار کل تولید </t>
  </si>
  <si>
    <t>Grade A Quality Rate</t>
  </si>
  <si>
    <t xml:space="preserve">درصد تولید با کیفیت درجه A
بیشتر از 99% (به شرط عدم مشکل در مغزی) </t>
  </si>
  <si>
    <t>Grade A Production Rate (%)=(کل مقدار تولید /مقدار محصول با کیفیت درجه یک)  ​×100</t>
  </si>
  <si>
    <t>Customer Complaint Rate</t>
  </si>
  <si>
    <t>نرخ شکایات مشتری (Customer Complaint Rate)</t>
  </si>
  <si>
    <t>Customer Complaint Rate (%)=کل تعداد سفارش‌ها یا محموله‌های ارسالی / تعداد شکایات مشتری ثبت‌شده ​)×100</t>
  </si>
  <si>
    <t>-</t>
  </si>
  <si>
    <t>Employee Turnover Rate vs. Target (%)</t>
  </si>
  <si>
    <t>نرخ ترک از کار کارکنان نسبت به هدف</t>
  </si>
  <si>
    <t>Turnover Rate (%)=تعداد کل کارکنان در ابتدای دوره /تعداد کارکنان ترک‌کننده در دوره​ )×100</t>
  </si>
  <si>
    <t>Overtime Hours vs. Budget (%)</t>
  </si>
  <si>
    <t>ساعات اضافه‌کاری نسبت به بودجه تعیین‌شده</t>
  </si>
  <si>
    <t>Overtime (%)=ساعات اضافه‌کاری بودجه‌ریزی‌شده /ساعات اضافه‌کاری واقعی )​×100</t>
  </si>
  <si>
    <t>Training Hours per Employee</t>
  </si>
  <si>
    <t>ساعات آموزش به ازای هر نفر</t>
  </si>
  <si>
    <t>Training Hours per Employee=تعداد کل کارکنان /کل ساعات آموزش ارائه‌شده ​</t>
  </si>
  <si>
    <t>Employee Satisfaction Index (ESI %)</t>
  </si>
  <si>
    <t>شاخص رضایت کارکنان (Employee Satisfaction Index)</t>
  </si>
  <si>
    <t>ESI (%)=حداکثر امتیاز ممکن نظرسنجی /امتیاز واقعی رضایت کارکنان از نظرسنجی) ​×100</t>
  </si>
  <si>
    <t>Lost Time Injury Frequency Rate (LTIFR)</t>
  </si>
  <si>
    <t>نرخ تکرار حوادث منجر به از دست رفتن زمان کاری (LTI Frequency Rate)</t>
  </si>
  <si>
    <t>LTI Frequency Rate (%)=کل ساعات کاری انجام‌شده /تعداد حوادث منجر به از دست رفتن زمان کاری) ×1,000,000</t>
  </si>
  <si>
    <t>Maintenance Cost per Sheet Produced</t>
  </si>
  <si>
    <t>هزینه تعمیرات و نگهداری به ازای هر شیت تولید</t>
  </si>
  <si>
    <t>Maintenance Cost per Sheet=کل تعداد شیت‌های تولیدشده /کل هزینه تعمیرات و نگهداری​</t>
  </si>
  <si>
    <t>On-Time and Accurate Inter-Plant Transfer Rate (%)</t>
  </si>
  <si>
    <t>ثبت به موقع و مقایرت گیری آنلاین کالای بین کارخانه ها</t>
  </si>
  <si>
    <t>گزارش واحد مالی</t>
  </si>
  <si>
    <t>Finished Goods Inventory Closing</t>
  </si>
  <si>
    <t>بستن انبارها</t>
  </si>
  <si>
    <t>انبار محصول در روز یکم هر ماه و مواد اولیه تا سوم هر ماه</t>
  </si>
  <si>
    <t>OEE (Overall Equipment Effectiveness)</t>
  </si>
  <si>
    <t>کارایی کلی تجهیزات تولید (OEE)</t>
  </si>
  <si>
    <t>Projects</t>
  </si>
  <si>
    <t>پروژه ها</t>
  </si>
  <si>
    <t>ISO System Implementation According to Project Plan</t>
  </si>
  <si>
    <t>اجرای سیستم مدیریت ایزو مطابق برنامه پروژه</t>
  </si>
  <si>
    <t>5S System Deployment According to Implementation Schedule</t>
  </si>
  <si>
    <t>استقرار نظام 5S مطابق زمان‌بندی اجرای پروژه</t>
  </si>
  <si>
    <t>Strategic Business Development Decision for Khuzestan Plant</t>
  </si>
  <si>
    <t>تصمیم‌گیری استراتژیک برای توسعه کسب‌وکار در کارخانه خوزستان</t>
  </si>
  <si>
    <t>Finalizing the purchase of the new Coating line</t>
  </si>
  <si>
    <t>نهایی کردن خرید خط جدید سه میل</t>
  </si>
  <si>
    <t>Start of the Khuzestan Factory Electricity Supply Project (Gas Engine)</t>
  </si>
  <si>
    <t>شروع پروژه تامین برق کارخانه خوزستان (Gas Engine)</t>
  </si>
  <si>
    <t>"50% of the Nexus Project (Integration and Implementation of the Matrix Management System)</t>
  </si>
  <si>
    <t>50% پروژه نکسوس (یکپارچه سازی و پیاده سازی سیستم مدیریت ماتریسی)</t>
  </si>
  <si>
    <t>Establishment of the Feedback and Suggestions System</t>
  </si>
  <si>
    <t>استقرار نظام انتقادات و پیشنهادات</t>
  </si>
  <si>
    <t>"Completion of the Technical Store Enhancement Project</t>
  </si>
  <si>
    <t>تکمیل پروژه اصلاح انبار فنی</t>
  </si>
  <si>
    <t>Productivity Improvement Projects Count</t>
  </si>
  <si>
    <t xml:space="preserve">تعداد پروژه‌های بهبود بهره‌وری </t>
  </si>
  <si>
    <t>تعداد پروژه‌های بهبود بهره‌وری که در دوره مشخص اجرا شده‌اند</t>
  </si>
  <si>
    <t>Training Key Factory Managers and Enhancing the Quality of Meetings and Reports</t>
  </si>
  <si>
    <t>آموزش مدیران کلیدی کارخانه ، ارتقای کیفیت جلسات و گزارشات</t>
  </si>
  <si>
    <t>Automation Solution Development for Sampling Unit</t>
  </si>
  <si>
    <t xml:space="preserve"> توسعه راهکار اتوماسیون برای واحد نمونه‌گیری (سمپلینگ)</t>
  </si>
  <si>
    <t>Setting Q3 KPIs for all factory members</t>
  </si>
  <si>
    <t>ست کردن Q3-KPI برای تمامی نفرات کارخانه</t>
  </si>
  <si>
    <t>هادی فرهادی</t>
  </si>
  <si>
    <t>قائم مقام مدیر بیزنس</t>
  </si>
  <si>
    <t>مهدی صفری</t>
  </si>
  <si>
    <t>رئیس ايمني و بهداشت</t>
  </si>
  <si>
    <t>Accident Frequency Rate (AFR)</t>
  </si>
  <si>
    <t>نرخ تکرار حوادث</t>
  </si>
  <si>
    <t>AFR = (تعداد کل حوادث * 200,000) / مجموع ساعات کاری</t>
  </si>
  <si>
    <t>Accident Severity Rate (ASR)</t>
  </si>
  <si>
    <t>نرخ شدت حوادث</t>
  </si>
  <si>
    <t>ASR = (مجموع روزهای از دست رفته * 200,000) / مجموع ساعات کاری</t>
  </si>
  <si>
    <t>Near-Miss Reporting Rate</t>
  </si>
  <si>
    <t>نرخ گزارش شبه‌حادثه</t>
  </si>
  <si>
    <t>تعداد near miss ثبت‌شده / تعداد پرسنل</t>
  </si>
  <si>
    <t>PPE Compliance Rate</t>
  </si>
  <si>
    <t>نرخ رعایت تجهیزات حفاظت فردی</t>
  </si>
  <si>
    <t>درصد رعایت صحیح PPE طبق چک‌ لیست روزانه</t>
  </si>
  <si>
    <t>Safety Training Hours</t>
  </si>
  <si>
    <t>مجموع ساعات آموزش ایمنی</t>
  </si>
  <si>
    <t>مجموع ساعات آموزش ارائه‌ شده به کارکنان</t>
  </si>
  <si>
    <t>Permit to Work (PTW) Compliance</t>
  </si>
  <si>
    <t>نرخ صدور مجوز کار ایمن</t>
  </si>
  <si>
    <t>تعداد مجوزهای صادر شده / تعداد عملیات‌ های پرخطر</t>
  </si>
  <si>
    <t>Unsafe Act / Condition Reports</t>
  </si>
  <si>
    <t>گزارش اعمال و شرایط ناایمن</t>
  </si>
  <si>
    <t>تعداد گزارش‌های ثبت‌شده / تعداد کل پرسنل</t>
  </si>
  <si>
    <t>Technical Machine Safety Certification</t>
  </si>
  <si>
    <t>اخذ سرتیفیکیت ایمنی ماشین‌آلات</t>
  </si>
  <si>
    <t>تعداد ماشین‌آلات دارای گواهی ایمنی / کل ماشین ‌آلات</t>
  </si>
  <si>
    <t>Risk Assessments For Postforming</t>
  </si>
  <si>
    <t>انجام ارزیابی ریسک برای خط صفحه کابینت</t>
  </si>
  <si>
    <t>Environmental Self-Monitoring Reports</t>
  </si>
  <si>
    <t>گزارش‌های پایش زیست‌محیطی</t>
  </si>
  <si>
    <t>تعداد گزارش‌ های ارسالی در هر فصل</t>
  </si>
  <si>
    <t>Safety Signage Coverage Rate</t>
  </si>
  <si>
    <t>پوشش علائم ایمنی محیط کار</t>
  </si>
  <si>
    <t>مناطق دارای علائم ایمنی نصب‌شده / کل مناطق پرخطر</t>
  </si>
  <si>
    <t>یوسف یوسفی</t>
  </si>
  <si>
    <t>مدیر منابع انسانی</t>
  </si>
  <si>
    <t>منابع انسانی</t>
  </si>
  <si>
    <t>Overtime Vs Production</t>
  </si>
  <si>
    <t>نسبت هزینه اضافه کار شیفتی به کل اضافه کار</t>
  </si>
  <si>
    <t>نسبت هزینه اضافه کار غیرشیفتی به کل اضافه کار</t>
  </si>
  <si>
    <t>KPI Description-
هزینه های مرتبط با کار اضافه کاری را اندازه گیری میکند.که میتواند نشان دهنده ظرفیت و کارایی نیروی کار باشد.-</t>
  </si>
  <si>
    <t>Recruitment ( non Mngrs)</t>
  </si>
  <si>
    <t>استخدامی های غیر مدیریتی</t>
  </si>
  <si>
    <t>Out-of-program recruitments</t>
  </si>
  <si>
    <t>استخدام خارج از برنامه</t>
  </si>
  <si>
    <t>هیچ استخدام خارج از برنامه ای وجود نداشت</t>
  </si>
  <si>
    <t>Health and Safety Incident</t>
  </si>
  <si>
    <t>تعداد حوادث</t>
  </si>
  <si>
    <t>تعداد حادثه به نسبت میانگین تعداد نفرات در دوره سه ماهه</t>
  </si>
  <si>
    <t>Employee Turnover Rate</t>
  </si>
  <si>
    <t>نرخ ترک کارمندان</t>
  </si>
  <si>
    <t>تعداد ترک کار به نسبت میانگین تعداد نفرات در دوره سه ماهه</t>
  </si>
  <si>
    <t>Individual Development</t>
  </si>
  <si>
    <t>توسعه فردی -نفر ساعت آموزشی</t>
  </si>
  <si>
    <t>تسویه حساب کارکنان در کمتر از 50 روز</t>
  </si>
  <si>
    <t>Rate of completion of assigned tasks in DDS</t>
  </si>
  <si>
    <t xml:space="preserve">درصد تحقق وظایف محوله در جلسه DDS </t>
  </si>
  <si>
    <t>به میزان 85% وظایف محوله در موعد مقرر انجام شود - به میزان 100% تمام وظایف محوله انجام شود</t>
  </si>
  <si>
    <t>Dep. Target Setting : Q4-1404</t>
  </si>
  <si>
    <t>ست کردن KPI : Q4-1404</t>
  </si>
  <si>
    <t>تارگت بر اساس تعداد کارکنانی که در این دوره باید در KPI باشند</t>
  </si>
  <si>
    <t>Performance Review Completion Rate</t>
  </si>
  <si>
    <t>ارزیابی Q3-1404 خوزستان</t>
  </si>
  <si>
    <t>تارگت بر اساس تعداد کارکنانی که در دوره Q3 باشند</t>
  </si>
  <si>
    <t>نظرسنجی رضایت کارکنان از واحد منابع انسانی</t>
  </si>
  <si>
    <t>Compilation of HR regulations</t>
  </si>
  <si>
    <t>تدوین آیین نامه های منابع انسانی داخلی شرکت</t>
  </si>
  <si>
    <t xml:space="preserve">Employees Work clothes </t>
  </si>
  <si>
    <t>تعیین سایز لباس کارپرسنل 1405 مطابق نمونه تامینن کننده</t>
  </si>
  <si>
    <t>Automation of HR's processes</t>
  </si>
  <si>
    <t xml:space="preserve">تکمیل تمپلت هایSAP </t>
  </si>
  <si>
    <t>باید نوع تمپلیت‌ها (HR master data، payroll، time management و...) مشخص شود.
 KPI مبهم است.</t>
  </si>
  <si>
    <t>reports</t>
  </si>
  <si>
    <t>گزارشات</t>
  </si>
  <si>
    <t>1-خلاصه وضعیت پاداش بهره وری و پورسانت و موجودی صندوق های پاداش - 3 گزارش
2-لیست شارژ مصرفی سیم کارتها - 3 گزارش
3-نسبت اضافه کار به تولید (3 گزارش)
4-گزارش فصلی:کلاسهای برگزار شده (شامل نام دوره + کدام موسسه+ افراد شرکت کننده و نتیجه ارزیابی هر کلاس در جی داک 
5-گزارش ماهیانه از تعداد جذب
6-گزارش ماهیانه میزان انحراف از زمان تعیین شده (1 ماه کارگر-2 ماه مدیر) ؟؟
7-گزارش ترک کار و نتیجه مصاحبه خروج
8-امور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9-روند کاری رانندگان(گزارش کارکرد رانندگان) 
10-خرید و تامین اقلام مورد نیاز تشریفات</t>
  </si>
  <si>
    <t>سعید قائمی پور</t>
  </si>
  <si>
    <t>رئیس کارگزینی</t>
  </si>
  <si>
    <t>تهیه نهائی کارکرد کارکنان جهت ارسال برای محاسبه حقوق</t>
  </si>
  <si>
    <t>سه ماه ، سه گزارش تا قبل از سوم هر ماه ، تارگت بر اساس تعداد لیست برای سه ماهه</t>
  </si>
  <si>
    <t>ثبت و کنترل مرخصی استحقاقی روزانه ، ساعتی ، استعلاجی ، ماموریت</t>
  </si>
  <si>
    <t>تارگت بر اساس تعداد کارکنان</t>
  </si>
  <si>
    <t>کنترل کارکرد از نظر اضافه کاری</t>
  </si>
  <si>
    <t>مطابق دستورالعمل و جداول تهیه شده بصورت هفتگی گزارش دهی گردد</t>
  </si>
  <si>
    <t>کنترل حق اولاد</t>
  </si>
  <si>
    <t>از نظر سابقه دو سال ، تاریخ تولد فرزند ، گواهی اشتغال به تحصیل فرزند</t>
  </si>
  <si>
    <t>کنترل مزد مبنا</t>
  </si>
  <si>
    <t>از نظر سابقه و مدرک تحصیلی برای مزد شغل ، مزد رتبه ، حق پست و . . .</t>
  </si>
  <si>
    <t>تحویل کارت هدیه تولد کارکنان</t>
  </si>
  <si>
    <t>تارگت بر اساس تعداد کارکنانی که تاریخ تولد ایشان در سه ماهه Q3 میباشد</t>
  </si>
  <si>
    <t>کنترل ، ثبت و بروز رسانی لیست آمار تعداد پرسنل از نظر چارت سازمانی</t>
  </si>
  <si>
    <t>لیست شامل : تعداد کارکنان بر اساس سمت ، شغل ، دپارتمان ، واحد ، بخش</t>
  </si>
  <si>
    <t>تهیه گزارش ماهانه کلی منابع انسانی</t>
  </si>
  <si>
    <t>استخدام-ترک کار-تسویه-جا به جایی-قرارداد-حوادث-رفاهیات</t>
  </si>
  <si>
    <t>تهیه لیست میزان ساعت اضافه کار برای گزارش نسبت اضافه کار به تولید</t>
  </si>
  <si>
    <t>تارگت بر اساس تعداد لیست ها برای سه ماهه</t>
  </si>
  <si>
    <t>تهیه لیست میزان تولید خطوط تولید برای گزارش نسبت اضافه کار به تولید</t>
  </si>
  <si>
    <t>سه ماه ، هر ماه آمار تولید 6 محصول</t>
  </si>
  <si>
    <t>تهیه لیست مبلغ اضافه کار شیفتی و غیر شیفتی به کل حقوق دریافتی</t>
  </si>
  <si>
    <t>تارگت بر اساس تعداد لیست برای سه ماهه</t>
  </si>
  <si>
    <t>صدور احکام کارگزینی</t>
  </si>
  <si>
    <t>استخدام-قرارداد-ارتقا-تنزل-جابه جایی-اولاد-تاهل</t>
  </si>
  <si>
    <t>تهیه لیست های ارزیابی عملکرد جهت محاسبه پاداش بهره وری</t>
  </si>
  <si>
    <t>تهیه 3 گزارش در ماه که برای ماه اول 210 نفر و دو ماه بعدی 184 نفر</t>
  </si>
  <si>
    <t>آماده سازی گزارشات آماری جهت پرداخت های رفاهی و تشویقی</t>
  </si>
  <si>
    <t>مطابق تقویم رفاهی برای این دوره 4 لیست ، گزارش کمک هزینه اقلام مصرفی پاییز 362 نفر - گزارش تاسیس شرکت 362 نفر - گزارش روز زن 304 نفر - گزارش شب یلدا 304 نفر</t>
  </si>
  <si>
    <t>ارائه گزارشات آماری مورد نظر مدیر منابع انسانی</t>
  </si>
  <si>
    <t xml:space="preserve">حسب نیاز </t>
  </si>
  <si>
    <t>کنترل محاسبه کارکرد کارگران روزمزد</t>
  </si>
  <si>
    <t xml:space="preserve">برحسب وجود کارگر روزمزد </t>
  </si>
  <si>
    <t>انتقال 58 نفر کارکنان از پاک چوب خوزستان به تخته فشرده</t>
  </si>
  <si>
    <t xml:space="preserve">اطلاعات پرسنلی برای واحد جذب شرکت تخته فشرده ، اطلاعات حقوقی و پرونده پرسنلی برای واحد کارگزینی شرکت تخته فشرده ، هماهنگی انتقال کارکنان </t>
  </si>
  <si>
    <t>تهیه و ارسال به موقع تمپلیت های نرم افزار SAP</t>
  </si>
  <si>
    <t xml:space="preserve">مسئولیت پذیری و در دسترس بودن </t>
  </si>
  <si>
    <t>قدرت حل مسئله و تصمیم گیری</t>
  </si>
  <si>
    <t xml:space="preserve">مدیریت و برنامه ریزی زمانی </t>
  </si>
  <si>
    <t>روحیه کار تیمی</t>
  </si>
  <si>
    <t>حضور و غیاب و وقت شناسی</t>
  </si>
  <si>
    <t>رویا حسنی پور</t>
  </si>
  <si>
    <t>كارشناس منابع انساني</t>
  </si>
  <si>
    <t>برنامه ریزی و مدیریت فرآیند مصاحبه و ارزیابی نهایی</t>
  </si>
  <si>
    <t xml:space="preserve">برحسب وجود درخواست استخدام </t>
  </si>
  <si>
    <t>بانک اطلاعاتی از متقاضیان کار</t>
  </si>
  <si>
    <t>برحسب تعداد رزومه هایی که منابع انسانی دریافت میکند</t>
  </si>
  <si>
    <t>غربال‌گری و ارزیابی رزومه‌ها مطابق برنامه استخدامی</t>
  </si>
  <si>
    <t>مطابق چارت سازمانی که نیاز به استخدام باشد انجام می پذیرد</t>
  </si>
  <si>
    <t>تدوین و انتشار آگهی‌های شغلی</t>
  </si>
  <si>
    <t>جست و جو در سایت های استخدامی-جست و جو از مراکز کاریابی</t>
  </si>
  <si>
    <t>جامعه پذیری نیروهای جدیدالاستخدام</t>
  </si>
  <si>
    <t>برحسب استخدام های موجود</t>
  </si>
  <si>
    <t>انجام امور مربوط به نیروهای جدید الاستخدام</t>
  </si>
  <si>
    <t>تشکیل پرونده پرسنلی-اعلام شروع به کار-تعیین محل خدمت-ثبت اطلاعات پرسنلی در نرم افزار های مربوطه</t>
  </si>
  <si>
    <t>تهیه لیست ماهانه وام بانک ملت</t>
  </si>
  <si>
    <t>بر اساس اولویت های تعیین شده ، هر ماه به تعداد 17 نفر معرفی شود</t>
  </si>
  <si>
    <t>تشکیل پرونده های وام کارکنان</t>
  </si>
  <si>
    <t>صدور گواهی اشتغال-کنترل پرونده های وام قبل از ارسال</t>
  </si>
  <si>
    <t>هماهنگی جهت امضا قرارداد وام</t>
  </si>
  <si>
    <t>برنامه ریزی و هماهنگی حضور همزمان وام گیرنده و ضامن در محل حضور نماینده بانک</t>
  </si>
  <si>
    <t>بروز رسانی لیست تخلفات انضباطی</t>
  </si>
  <si>
    <t>مطابق ایمیل های ارسالی از طرف مدیر منابع انسانی لیست تهیه می شود</t>
  </si>
  <si>
    <t>تشکیل جلسه کمیته انضباطی</t>
  </si>
  <si>
    <t>هر ماه حداقل 1 جلسه برگزار می شود و هماهنگی حضور اعضاء کمیته و کارکنان متخلف میبایست صورت پذیرد</t>
  </si>
  <si>
    <t>اعلام آراء انضباطی</t>
  </si>
  <si>
    <t>رای های کمیته چاپ و پس از اخذ امضا مجاز ، به فرد خاطی ابلاغ می گردد</t>
  </si>
  <si>
    <t>امور بایگانی پرونده های پرسنلی</t>
  </si>
  <si>
    <t>قرارداد-مدارک شناسایی-مدارک آموزشی و تحصیلی-موارد انضباطی</t>
  </si>
  <si>
    <t>صدور حکم قرارداد پرسنل و اخذ امضاء تا قبل از پایان قرارداد</t>
  </si>
  <si>
    <t xml:space="preserve">برحسب تغییرات شغلی ایجاد شده </t>
  </si>
  <si>
    <t xml:space="preserve">تهیه گزارشات مورد نیاز مدیر منابع انسانی </t>
  </si>
  <si>
    <t>صدور گواهی های اشتغال بکار</t>
  </si>
  <si>
    <t>برحسب تعداد درخواست های پرسنل شرکت</t>
  </si>
  <si>
    <t>عاطفه دیناروند</t>
  </si>
  <si>
    <t>مسئول دفتر</t>
  </si>
  <si>
    <t>درصد هماهنگی‌های انجام‌شده طبق برنامه تنظیم‌شده</t>
  </si>
  <si>
    <t>تنظیم برنامه‌های روزانه، جلسات، ملاقات‌ها، سفرها و بازدیدها</t>
  </si>
  <si>
    <t>تعداد تماس‌ها و مراجعات پاسخ‌داده‌شده بدون تاخیر</t>
  </si>
  <si>
    <t>پاسخگویی به تلفن‌ها و مراجعان مربوط</t>
  </si>
  <si>
    <t>درصد اطلاع‌رسانی‌های انجام‌شده در زمان مناسب</t>
  </si>
  <si>
    <t>اطلاع‌رسانی وقایع و اخبار مرتبط به مدیرکل در زمان مناسب و با کیفیت مطلوب</t>
  </si>
  <si>
    <t>درصد تطابق صورتجلسات با مباحث مطرح‌شده در جلسه</t>
  </si>
  <si>
    <t>تنظیم صورتجلسه DDS و ارسال روزانه برای حاضرین در جلسه</t>
  </si>
  <si>
    <t>تکمیل و بررسی فرم های اثربخشی دوره های آموزشی، فرم های نظرخواهی شرکت در دوره و ... و ارائه گزارش تحلیلی از آن</t>
  </si>
  <si>
    <t>برحسب تعداد دور ه های برگزار شده در طول فصل</t>
  </si>
  <si>
    <t>تهیه و بروزرسانی شناسنامه آموزشی کارکنان بر اساس دوره‌های طی شده</t>
  </si>
  <si>
    <t>برحسب پرسنل که در دوره آموزشی شرکت کردند</t>
  </si>
  <si>
    <t xml:space="preserve">بررسی آموزشهای بدو استخدام و حین کار پرسنل </t>
  </si>
  <si>
    <t xml:space="preserve">نظارت بر اجرای دوره‌های آموزشی و ارائه گزارشات </t>
  </si>
  <si>
    <t>برحسب دوره هایی که برگزار میگردد</t>
  </si>
  <si>
    <t>تهیه و تحویل گواهی پایان دوره برای شرکت کنندگان در دوره آموزشی</t>
  </si>
  <si>
    <t>برحسب نفراتی که در دوره ها شرکت میکنند</t>
  </si>
  <si>
    <t>بررسی موسسه های آموزشی مختلف جهت برگزاری دوره</t>
  </si>
  <si>
    <t>تطبیق با تقویم آموزشی-انجام هماهنگی های لازم جهت پرداخت هزینه-هماهنگی برگزاری دوره</t>
  </si>
  <si>
    <t>تهیه لیست شارژ سیم کارت سازمانی</t>
  </si>
  <si>
    <t>تهیه لیست بیمه تکمیلی</t>
  </si>
  <si>
    <t>حسین بارونی نجف آبادی</t>
  </si>
  <si>
    <t>رئیس ترانسپورت و تشریفات</t>
  </si>
  <si>
    <t>هماهنگی و نظارت بر امور ایاب و ذهاب کارکنان</t>
  </si>
  <si>
    <t>برنامه ریزی و تنظیم برنامه سرویس رفت ‌و آمد کارکنان و وسایل نقلیه مورد نیاز کارکنان به تعداد 330 نفر برای ماه اول و 304 نفر برای ماه دوم و سوم</t>
  </si>
  <si>
    <t>هماهنگی و نظارت بر پذیرایی ، استقبال و بدرقه مدیران و مهمان های داخلی و خارجی</t>
  </si>
  <si>
    <t>برحسب نیاز</t>
  </si>
  <si>
    <t>هماهنگی جهت معاینه فنی خوردهای داخلی و سرویس های ایاب و ذهاب</t>
  </si>
  <si>
    <t>تارگت بر اساس تعداد خودروهای داخلی و ایاب و ذهاب</t>
  </si>
  <si>
    <t>هماهنگی جهت تعمیر و نگهداری وسایل نقلیه شرکتی ، ارائه خدمات سرویس و نگهداری مطلوب از خودروهای مربوط</t>
  </si>
  <si>
    <t xml:space="preserve">رزرو بلیط و هتل برای مدیران و کارکنان جهت عزیمت به ماموریت های داخلی </t>
  </si>
  <si>
    <t>آموزش و نظارت مداوم کارکنان در مورد اصول و آداب تشریفات و نحوه اجرای صحیح آن‌ها.</t>
  </si>
  <si>
    <t>هماهنگی تأمین مواد مورد نیاز تشریفاتی و کنترل هزینه‌ها و اطمینان از رعایت بودجه تخصیص ‌یافته.</t>
  </si>
  <si>
    <t>گزارش پایان ماه از عملکرد خودروهای استیجاری</t>
  </si>
  <si>
    <t>تنظیم برنامه رانندگان در ساعات کاری و کشیک در زمان های غیراداری</t>
  </si>
  <si>
    <t>تهیه لیست های ارزیابی درخصوص هزینه ها و نحوه عملکرد تشریفات و ترانسپورت</t>
  </si>
  <si>
    <t>درصد اسناد ثبت‌شده صحیح و تحویل‌شده به موقع</t>
  </si>
  <si>
    <t>دریافت، ثبت و تحویل کلیه نامه‌ها، مستندات و مکاتبات داخلی و خارجی</t>
  </si>
  <si>
    <t>هادی آل کثیر</t>
  </si>
  <si>
    <t>سرپرست خدمات عمومی</t>
  </si>
  <si>
    <t>بازدید و نظارت روزانه در خصوص نظافت و بهداشت محیط کار مطابق چک لیست</t>
  </si>
  <si>
    <t>براساس چک لیست</t>
  </si>
  <si>
    <t>هماهنگی های لازم جهت رسیدگی به تفکیک ضایعات تولید</t>
  </si>
  <si>
    <t>اعلام آمار ضایعات تفکیک شده (به دوبخش دورریز و قابل فروش) به واحد فروش-تحویل گرفتن ضایعات از واحدها-تفکیک ضایعات-هماهنگی خروج ضایعات با واحد فروش ، انتظامات و انبار</t>
  </si>
  <si>
    <t>نظارت بر امور مربوط به فضای سبز</t>
  </si>
  <si>
    <t xml:space="preserve">برحسب نیاز </t>
  </si>
  <si>
    <t>هماهنگی تأمین مواد شوینده و ضد عفونی کننده و ابزار مورد نیاز</t>
  </si>
  <si>
    <t xml:space="preserve">هماهنگی با سایر واحد ها جهت تامین لیفتراک و کامیون جهت بارگیری ضایعات </t>
  </si>
  <si>
    <t>رعایت کامل اصول ایمنی و شیوه های پیشگیری خطرات ناشی از کار برای کارکنان تحت امر</t>
  </si>
  <si>
    <t>برنامه ریزی ، تقسیم وظایف و هماهنگی های لازم برای کارکنان تحت امر</t>
  </si>
  <si>
    <t>ارائه گزارشات وچک لیست های روزانه وضعیت واحد خدمات</t>
  </si>
  <si>
    <t>مطابق فرمت تعیین شده</t>
  </si>
  <si>
    <t>برقراری نظام 5S در سطح کارخانه پاک چوب خوزستان</t>
  </si>
  <si>
    <t>استفاده از تجهیزات حفاظت فردی و رعایت اصول ایمنی</t>
  </si>
  <si>
    <t>علی دیوراد</t>
  </si>
  <si>
    <t>رئیس انتظامات</t>
  </si>
  <si>
    <t>pending work</t>
  </si>
  <si>
    <t>مدیریت کارهای اجرایی</t>
  </si>
  <si>
    <t>video surveillance management of factories</t>
  </si>
  <si>
    <t>مدیریت نظارت تصویری کارخانه</t>
  </si>
  <si>
    <t>Seecurity Performance Management</t>
  </si>
  <si>
    <t>مدیریت عملکرد انتظامات</t>
  </si>
  <si>
    <t>Potroling (Analysis)</t>
  </si>
  <si>
    <t>آنالیز گشت های انتظاماتی</t>
  </si>
  <si>
    <t>Breifing (Analysis)</t>
  </si>
  <si>
    <t>آنالیز جلسات توجیهی</t>
  </si>
  <si>
    <t>Incident report</t>
  </si>
  <si>
    <t>گزارش حادثه</t>
  </si>
  <si>
    <t>Pre Audit (Doing )</t>
  </si>
  <si>
    <t>انجام بازرسی داخلی ماهانه</t>
  </si>
  <si>
    <t>برای پرسنل واحد انتظامات</t>
  </si>
  <si>
    <t>Weekly/Monthly Report</t>
  </si>
  <si>
    <t>نگارش گزارشات روزانه / هفتگی / ماهانه و ارائه منظم به مدیریت</t>
  </si>
  <si>
    <t>Writing unit performance reports</t>
  </si>
  <si>
    <t>نگارش گزارشات عملکردی واحد</t>
  </si>
  <si>
    <t>گزارش بریفینگ در 3 ماه 60 تا - گزارش هاندور در 3 ماه 60 تا -
 گزارش روزانه در 3 ماه 60 تا</t>
  </si>
  <si>
    <t>Hand Over(Analysis)</t>
  </si>
  <si>
    <t>آنالیز تغییر و تحول شیفت</t>
  </si>
  <si>
    <t>Problem solving power</t>
  </si>
  <si>
    <t>قدرت حل مسئله</t>
  </si>
  <si>
    <t>Presence and appearance</t>
  </si>
  <si>
    <t>وضعیت حضور و وضعیت ظاهری</t>
  </si>
  <si>
    <t>Implementing security instructions</t>
  </si>
  <si>
    <t xml:space="preserve">اجرای دستورالعمل های انتظامات </t>
  </si>
  <si>
    <t>ثبت نامه ها،تردد و اقلام پیمانکار و کلیدها</t>
  </si>
  <si>
    <t>Completing forms/checklists/logbooks</t>
  </si>
  <si>
    <t>تکمیل فرم ها / چک لیست ها / لاگ بوک ها</t>
  </si>
  <si>
    <t>احمد کثیر</t>
  </si>
  <si>
    <t>سرشيفت انتظامات</t>
  </si>
  <si>
    <t>سرشیفت</t>
  </si>
  <si>
    <t>Potroling</t>
  </si>
  <si>
    <t>انجام گشت های انتظاماتی</t>
  </si>
  <si>
    <t>سه ماه ، هر ماه بیست روز حضور ، هر حضور شش گشت</t>
  </si>
  <si>
    <t>Breifing</t>
  </si>
  <si>
    <t>برگزاری جلسات توجیهی</t>
  </si>
  <si>
    <t>نگارش گزارش حادثه</t>
  </si>
  <si>
    <t>Daily occurrence Report</t>
  </si>
  <si>
    <t>نگارش گزارشات روزانه</t>
  </si>
  <si>
    <t>مطابق مشاهدات به وسیله دوربین و گشت زنی</t>
  </si>
  <si>
    <t>Monthly Meetings</t>
  </si>
  <si>
    <t>شرکت در جلسات ماهیانه توجیهی</t>
  </si>
  <si>
    <t>Hand Over</t>
  </si>
  <si>
    <t>انجام تغییر و تحول شیفت</t>
  </si>
  <si>
    <t>گزارش بریفینگ در 3 ماه 20 تا - گزارش هاندور در 3 ماه 20 تا -
 گزارش روزانه در 3 ماه 20 تا</t>
  </si>
  <si>
    <t>مسئولیت پذیری</t>
  </si>
  <si>
    <t>Trainig course</t>
  </si>
  <si>
    <t>حفاظت فیزیکی و نگهداری از اماکن شرکت</t>
  </si>
  <si>
    <t>علی خزاعی</t>
  </si>
  <si>
    <t>محمد دلدار</t>
  </si>
  <si>
    <t>افشین خادمی</t>
  </si>
  <si>
    <t>مدير توليد</t>
  </si>
  <si>
    <t>تولید</t>
  </si>
  <si>
    <t xml:space="preserve"> Production Volume / Month : Coated MDF: 1,517,244 sheets Post Forming: 42,000 sheets Impregnated Paper: 16,200,000 m2 
</t>
  </si>
  <si>
    <t>میزان تولید ماهانه بر اساس هدف تعیین شده</t>
  </si>
  <si>
    <t>Sampling (Volume 1-5= 60,000 Binded , Hi-Gloss = 26,250 , Post Forming= 2,650)</t>
  </si>
  <si>
    <t>میزان تولید ماهانه واحد سمپل سازی بر اساس هدف تعیین شده</t>
  </si>
  <si>
    <t>BOM Adherence (Per Value)</t>
  </si>
  <si>
    <t>پایبندی به BOM (به ازای هر ارزش)</t>
  </si>
  <si>
    <t>Conversion Cost per CBM : As per Production or within YTD Average cost per CBM</t>
  </si>
  <si>
    <t>هزینه تبدیل به ازای تولید (CBM): بر اساس بودجه یا میانگین هزینه</t>
  </si>
  <si>
    <t>Machine OEE time for production should be &gt; 85% of total time in a month</t>
  </si>
  <si>
    <t>کارایی کلی تجهیزات تولید باید بیش از 85% کل زمان در ماه باشد (جزء مؤلفه کارایی کلی ماشین - OEE)</t>
  </si>
  <si>
    <t>Quality Rate 99.2% (Compliance with QC Specification, based on agreed standard raw material specification)</t>
  </si>
  <si>
    <t>نرخ کیفیت: 99.2%</t>
  </si>
  <si>
    <t>Overtime Hours vs Budget</t>
  </si>
  <si>
    <t>ساعات اضافه کاری در مقابل بودجه</t>
  </si>
  <si>
    <t>Training on Production process</t>
  </si>
  <si>
    <t>آموزش فرآیند تولید</t>
  </si>
  <si>
    <t>Total Performance Management system - 5S documentation Monthly report</t>
  </si>
  <si>
    <t>سیستم مدیریت عملکرد کلی - مستندسازی 5S، گزارش ماهانه</t>
  </si>
  <si>
    <t>Complete the DDS file items</t>
  </si>
  <si>
    <t>نرخ تکرار آسیب ناشی از زمان از دست رفته (LTIFR)</t>
  </si>
  <si>
    <t>Near Miss Reporting Rate (%)</t>
  </si>
  <si>
    <t>نرخ گزارش حادثه نزدیک به وقوع (%)</t>
  </si>
  <si>
    <t>Implementation of construction receipts</t>
  </si>
  <si>
    <t xml:space="preserve">پیاده سازی رسید ساخت ها </t>
  </si>
  <si>
    <t>Organization of the sample and impregnation unit</t>
  </si>
  <si>
    <t>بهینه سازی و توسعه واحد پست فرمینگ</t>
  </si>
  <si>
    <t>ISO documentation for Production to be completed in Q3</t>
  </si>
  <si>
    <t>تکمیل مستندسازی ISO برای تولید در طول فصل سوم</t>
  </si>
  <si>
    <t>Tracking and implementing raw material consumption</t>
  </si>
  <si>
    <t>پیگیری و اجرا مصرف مواد اولیه</t>
  </si>
  <si>
    <t>Completion of SAP documentation for production during the Q3</t>
  </si>
  <si>
    <t>تکمیل مستندسازی SAP برای تولید در طول فصل سوم</t>
  </si>
  <si>
    <t>علی عقابی</t>
  </si>
  <si>
    <t>رئیس تولید ملامینه</t>
  </si>
  <si>
    <t xml:space="preserve"> Production Volume :Coated MDF: : 1,517,244 sheets</t>
  </si>
  <si>
    <t>میزان تولید بر اساس هدف تعیین شده</t>
  </si>
  <si>
    <t>سمت ایشان در چارت "رئیس تولید ملامینه" هست ولی ایشان "رئیس تولید سه میل" هستند</t>
  </si>
  <si>
    <t>Quality Rate , 99.8% for Coating (Compliance with QC Specification, based on agreed standard raw material specification)</t>
  </si>
  <si>
    <t>نرخ کیفیت: 99.8% برای سه میل</t>
  </si>
  <si>
    <t xml:space="preserve">BOM Compliance, Monthly report. Target BOM consumption quantity </t>
  </si>
  <si>
    <t>رعایت BOM، گزارش ماهانه. هدف مصرف کیفی BOM</t>
  </si>
  <si>
    <t>Conversion Cost per CBM : As per Budget or within YTD Average cost per CBM</t>
  </si>
  <si>
    <t>هزینه تبدیل به ازای هر متر مکعب (CBM): بر اساس بودجه یا میانگین هزینه</t>
  </si>
  <si>
    <t>Reducing production line downtime</t>
  </si>
  <si>
    <t>کاهش زمان توقفات خط تولید</t>
  </si>
  <si>
    <t xml:space="preserve">امیر کیانی صدر </t>
  </si>
  <si>
    <t>رئیس تولید آغشته</t>
  </si>
  <si>
    <t xml:space="preserve">Production Volume / Month : Impregnated Paper:16,200,000 m2 </t>
  </si>
  <si>
    <t>میزان تولید کاغذ آغشته</t>
  </si>
  <si>
    <t>Actual Production Value / Targetted production value</t>
  </si>
  <si>
    <t>Total Grade 1 production volume / Total Production volume</t>
  </si>
  <si>
    <t>By quantity and &gt;98% compatibility</t>
  </si>
  <si>
    <t>Conversion Cost per M2 : As per Budget or within YTD Average cost per M2</t>
  </si>
  <si>
    <t>To be calculated by Finance &amp; Reported. If cost is below YTD average, score is 100%, If cost is above upto 5% of average, Score is 80%. Above 5%, Score is ZERO</t>
  </si>
  <si>
    <t>Based on the overtime forecast file and target 100%</t>
  </si>
  <si>
    <t>((Total Machine Time (Days in a month*24 hours*60 minutes) - Total preventive maintenance time &amp; breakdown time in minutes) / Total Machine time in a month in minutes)*100</t>
  </si>
  <si>
    <t>Project plan to be submitted with activities and timeline approved by factory manager</t>
  </si>
  <si>
    <t>&gt;3% of headcount/month</t>
  </si>
  <si>
    <t>Any manhour lost due to accident in the responsible workplace area, the achievement score is ZERO LTI. If no LTI accident, the achievement score is 100%</t>
  </si>
  <si>
    <t>1 Hour / person / Month</t>
  </si>
  <si>
    <t>Full implementation of the plan</t>
  </si>
  <si>
    <t>Using Pre Wetting Roll</t>
  </si>
  <si>
    <t xml:space="preserve"> استفاده از Pre Wetting رول </t>
  </si>
  <si>
    <t>Using Pre-Wetting Rolls with Minimal Waste</t>
  </si>
  <si>
    <t>All policy, process and procedure to be written &amp; approved by dept manager, quality &amp; factory manager</t>
  </si>
  <si>
    <t>Based on the quality unit report and 100% Timely reporting</t>
  </si>
  <si>
    <t>The information required is provided at the specified time.</t>
  </si>
  <si>
    <t>احمد پور عبدالهی</t>
  </si>
  <si>
    <t>رئیس تولید رزین</t>
  </si>
  <si>
    <t>Supply of resin to the impregnation unit</t>
  </si>
  <si>
    <t>تامین رزین واحد آغشته سازی</t>
  </si>
  <si>
    <t>Supplying resin to the impregnation unit to stop the line</t>
  </si>
  <si>
    <t>Quality Rate 99.5% (Compliance with QC Specification, based on agreed standard raw material specification)</t>
  </si>
  <si>
    <t>نرخ کیفیت: 99.5%</t>
  </si>
  <si>
    <t>Reducing resin production time</t>
  </si>
  <si>
    <t>کاهش زمان تولید رزین</t>
  </si>
  <si>
    <t>Reducing resin production time while maintaining quality</t>
  </si>
  <si>
    <t xml:space="preserve">ISO documentation for Production to be completed in Q2 </t>
  </si>
  <si>
    <t>تکمیل مستندسازی ISO برای تولید در طول فصل دوم</t>
  </si>
  <si>
    <t>Completion of SAP documentation for production during the second quarter</t>
  </si>
  <si>
    <t>تکمیل مستندسازی SAP برای تولید در طول فصل دوم</t>
  </si>
  <si>
    <t>کریم حمزه فر</t>
  </si>
  <si>
    <t>رئیس تولید رویه روکش و دوبل</t>
  </si>
  <si>
    <t xml:space="preserve"> Production Volume / Month : Post Forming MDF :42,000 sheets</t>
  </si>
  <si>
    <t>میزان تولید ماهانه صفحه کابینت</t>
  </si>
  <si>
    <t>Quality Rate 99.35% (Compliance with QC Specification, based on agreed standard raw material specification)</t>
  </si>
  <si>
    <t>نرخ کیفیت: 99.35%</t>
  </si>
  <si>
    <t>Implementing a new quality project</t>
  </si>
  <si>
    <t>اجرای پروژه کیفی جدید</t>
  </si>
  <si>
    <t>امین شکیبا مهر</t>
  </si>
  <si>
    <t>رئیس تولید نمونه سازی و برشکاری</t>
  </si>
  <si>
    <t>Carrying out various miscellaneous orders from customers</t>
  </si>
  <si>
    <t>انجام سفارش‌های متفرقه مشتریان</t>
  </si>
  <si>
    <t>Amount of orders placed/total orders</t>
  </si>
  <si>
    <t>Material Wastage value : As per Budget or within YTD Average value</t>
  </si>
  <si>
    <t>میزان ضایعات مواد اولیه</t>
  </si>
  <si>
    <t>To be calculated by Finance &amp; Reported. If cost is below YTD average, score is 100%, If wastage cost is above upto 5% of average, Score is 80%. Above 5%, Score is ZERO</t>
  </si>
  <si>
    <t>Optimization of unit forces</t>
  </si>
  <si>
    <t>بهینه سازی نیروهای واحد</t>
  </si>
  <si>
    <t>Optimization of unit forces according to order volume</t>
  </si>
  <si>
    <t xml:space="preserve">ISO documentation for Production to be completed in Q3 </t>
  </si>
  <si>
    <t>هادی اسماعیلی</t>
  </si>
  <si>
    <t>رئیس توليد</t>
  </si>
  <si>
    <t>Complete edge banding orders within specified time frame</t>
  </si>
  <si>
    <t>تکمیل سفارشات نوار لبه در بازه زمانی مشخص شده</t>
  </si>
  <si>
    <t>≥ 96% on-time completion</t>
  </si>
  <si>
    <t>Carrying out miscellaneous orders within the specified time frame</t>
  </si>
  <si>
    <t>انجام سفارش‌های متفرقه در بازه زمانی مشخص شده</t>
  </si>
  <si>
    <t>Cutting the requirements of the units within the specified time frame</t>
  </si>
  <si>
    <t>برشکاری ملزومات واحد ها در بازه زمانی مشخص شده</t>
  </si>
  <si>
    <t>رحیم ژولاپور</t>
  </si>
  <si>
    <t>مدير كنترل كيفيت</t>
  </si>
  <si>
    <t>کنترل کیفیت</t>
  </si>
  <si>
    <t xml:space="preserve"> Inspection results of oversight Organizations</t>
  </si>
  <si>
    <t>نتایج بازرسی سازمان‌های نظارتی</t>
  </si>
  <si>
    <t>Supplier Defect Rate</t>
  </si>
  <si>
    <t>نرخ مشکلات تأمین‌کننده</t>
  </si>
  <si>
    <t>Supplier RM, PM Evaluation Report to Purchase : Accept / Not accept with reasons</t>
  </si>
  <si>
    <t>Customer Satisfaction Score - Quality</t>
  </si>
  <si>
    <t>امتیاز رضایت مشتری - کیفیت</t>
  </si>
  <si>
    <t>1. visit 5 Customer to evaluate the quality &amp; Report
2. Meeting with Customer service dept &amp; take actions Report</t>
  </si>
  <si>
    <t>کنترل اضافه کار پرسنل بر اساس لیست منابع انسانی</t>
  </si>
  <si>
    <t>Training on Quality</t>
  </si>
  <si>
    <t>آموزش در مورد کیفیت</t>
  </si>
  <si>
    <t>Training Quality Standards and System : 1 Hour / Person / Month</t>
  </si>
  <si>
    <t>نرخ آسیب منجر به از دست رفتن زمان کاری</t>
  </si>
  <si>
    <t>گزارش شبه حوادث / عدم انطباق</t>
  </si>
  <si>
    <t>≥ 2/month</t>
  </si>
  <si>
    <t>Inspection of 5S and ISO</t>
  </si>
  <si>
    <t>بازرسی ایزو و 5S</t>
  </si>
  <si>
    <t>1. ISO Progress Report - As per project plan
2, 5S Progress Report - As per Project plan</t>
  </si>
  <si>
    <t>Establishing a 5S scoring system in the organization for different units (weekly, monthly) and reporting to the management and heads of the units</t>
  </si>
  <si>
    <t>ایجاد سازمان نمره دهی طرح 5S در سازمان برای واحد های مختلف (بصورت هفتگی، ماهانه) و گزارش به مدیریت و روسای واحد ها</t>
  </si>
  <si>
    <t>Progress Report - As per Project plan</t>
  </si>
  <si>
    <t>Follow-up with new suppliers to reduce costs and increase the quality of raw materials for primer, topcoat, and UV resin in the Coating line.</t>
  </si>
  <si>
    <t>پیگیری از تامین کنندگان جدید جهت کاهش هزینه و افزایش کیفیت مواد اولیه رنگ آستر و رویه و لاک در واحد سه میل</t>
  </si>
  <si>
    <t>Assignment of problematic raw materials (all problematic raw materials in the warehouse should be assigned)</t>
  </si>
  <si>
    <t>تعیین تکلیف مواد اولیه مشکلدار (تمام مواد اولیه مشکلدار دپو در انبار تعیین تکلیف شود)</t>
  </si>
  <si>
    <t>Follow up, analysis of raw material waste</t>
  </si>
  <si>
    <t>پیگیری، تجزیه و تحلیل ضایعات مواد اولیه</t>
  </si>
  <si>
    <t>امیر حیدری ال کثیر</t>
  </si>
  <si>
    <t>رئيس كنترل كيفيت آغشته و رزین</t>
  </si>
  <si>
    <t>Reporting and announcing production problems of the lines in time (one day after the problem occurs)</t>
  </si>
  <si>
    <t>گزارش و اعلام بموقع مشکلات تولیدی خطوط (یک روز پس از بروز مشکل)</t>
  </si>
  <si>
    <t>&gt;95 %</t>
  </si>
  <si>
    <t>Determining the task of downgraded production products (daily)</t>
  </si>
  <si>
    <t>تعیین تکلیف محصولات تولیدی غیر درجه یک (بصورت روزانه)</t>
  </si>
  <si>
    <t>Raw &amp; Pack Material quality deviation vs standard to be reported for every batch by supplier to purchase</t>
  </si>
  <si>
    <t>انحراف کیفیت مواد اولیه و بسته‌بندی نسبت به استاندارد برای هر بار بر اساس تامین‌کننده به خرید گزارش شود</t>
  </si>
  <si>
    <t>Qualiy control lab consumables &amp; samples to be within budget or YTD average cost</t>
  </si>
  <si>
    <t>مصارف آزمایشگاهای کنترل کیفیت و نمونه‌ها باید در قالب بودجه یا میانگین هزینه‌های بروز سال باشد</t>
  </si>
  <si>
    <t>&gt;90 %</t>
  </si>
  <si>
    <t>سیستم مدیریت عملکرد کل - مستندسازی ۵S و گزارش ماهانه</t>
  </si>
  <si>
    <t>1, 5S Progress Report - As per Project plan</t>
  </si>
  <si>
    <t>Preparation of quality guidelines for lines under supervision</t>
  </si>
  <si>
    <t>تهیه دستورالعمل‌های کیفی برای خطوط تحت نظارت</t>
  </si>
  <si>
    <t>1,Progress Report - As per Project plan</t>
  </si>
  <si>
    <t>SOP documentation for Quality to be completed in Q2</t>
  </si>
  <si>
    <t>تدوین دستورالعمل ها و روش های اجرایی و فرآیند های مربوطه</t>
  </si>
  <si>
    <t>1, Iso Progress Report - As per Project plan</t>
  </si>
  <si>
    <t>Quality training to quality and production personnel</t>
  </si>
  <si>
    <t>آموزش کیفیت به پرسنل کیفیت و تولید</t>
  </si>
  <si>
    <t>حسین دیناروند</t>
  </si>
  <si>
    <t>رئیس کنترل کیفیت رویه، ملامینه و 3 میل</t>
  </si>
  <si>
    <t>انحراف کیفیت مواد اولیه و بسته‌بندی نسبت به استاندارد برای هر بار توسط تامین‌کننده به خرید گزارش شود</t>
  </si>
  <si>
    <t>محمد شیری</t>
  </si>
  <si>
    <t>مدیر فنی و مهندسی</t>
  </si>
  <si>
    <t>فنی و مهندسی</t>
  </si>
  <si>
    <t>اثربخشی کلی تجهیزات (OEE)</t>
  </si>
  <si>
    <t>OEE = Availability × Performance × Quality</t>
  </si>
  <si>
    <t>Preventive Maintenance Adherence Rate</t>
  </si>
  <si>
    <t>نرخ پایبندی به نگهداری پیشگیرانه</t>
  </si>
  <si>
    <t>PM Adherence Rate = (Number of PMs Completed on Time ÷ Total Scheduled PMs) × 100</t>
  </si>
  <si>
    <t>Cost of Maintenance</t>
  </si>
  <si>
    <t>هزینه تعمیر و نگهداری</t>
  </si>
  <si>
    <t>Maintenance Cost = Total Maintenance Expenses ÷ Total Operating Hours</t>
  </si>
  <si>
    <t>نرخ تکرار حوادث منجر به از دست رفتن زمان کاری</t>
  </si>
  <si>
    <t>Safety - Accident Service Rate, Target Zero Manhour Loss</t>
  </si>
  <si>
    <t>Defective Products Due to Equipment Malfunction Rate</t>
  </si>
  <si>
    <t>درصد محصولات نامنطبق ناشی از خرابی یا تنظیم نبودن ماشین‌آلات</t>
  </si>
  <si>
    <t>Defective Rate = (Defective Units Due to Equipment ÷ Total Units Produced) × 100</t>
  </si>
  <si>
    <t>Training on Maintenance process</t>
  </si>
  <si>
    <t>نرخ آموزش</t>
  </si>
  <si>
    <t>درصد گزارش‌دهی شبه‌حادثه (نزدیک به حادثه)</t>
  </si>
  <si>
    <t>1 Report / person / 3Month</t>
  </si>
  <si>
    <t>Overtime Variance (%) = (Actual Overtime Hours ÷ Budgeted Overtime Hours) × 100</t>
  </si>
  <si>
    <t>5S Adherence Rate</t>
  </si>
  <si>
    <t xml:space="preserve">استقرار نظام 5S </t>
  </si>
  <si>
    <t>5S Adherence Rate = (Number of fully compliant 5S audits / Total number of 5S audits) × 100</t>
  </si>
  <si>
    <t>Percentage of completion of assigned tasks in the DDS meeting</t>
  </si>
  <si>
    <t>درصد تحقق وظایف محوله در جلسه DDS</t>
  </si>
  <si>
    <t>DDS Meeting Task Completion Rate (%) = (Number of Completed Tasks / Total Assigned Tasks) × 100</t>
  </si>
  <si>
    <t>Number of recurring downtime &lt; 5 % of total down time</t>
  </si>
  <si>
    <t>تعداد توقف‌های تکرارشونده کمتر از ۵٪ از کل زمان توقف</t>
  </si>
  <si>
    <t>(Total Downtime - Number of recurring failures time in 15 days after trouble shooting) / Total Downtime</t>
  </si>
  <si>
    <t>Done or Not Done</t>
  </si>
  <si>
    <t>Glue Room Project</t>
  </si>
  <si>
    <t>پروژه اتاق چسب(حذف اتاق قدیم و برش مخازن و نصب بر روس سیستم جدید)</t>
  </si>
  <si>
    <t>Development of automation solutions for the cabinet panel (post-forming) unit</t>
  </si>
  <si>
    <t>           توسعه راهکار اتوماسیون برای واحد صفحه کابینت (پست فرمینگ)</t>
  </si>
  <si>
    <t>Strategic decision-making for business development in the Khuzestan factory</t>
  </si>
  <si>
    <t>محمد رضازاده</t>
  </si>
  <si>
    <t>رئيس برق و ابزار دقيق</t>
  </si>
  <si>
    <t>Mean Time Between Failures (MTBF)</t>
  </si>
  <si>
    <t>میانگین زمان بین دو خرابی (MTBF)</t>
  </si>
  <si>
    <t>MTBF = Total Operating Time / Number of Failures</t>
  </si>
  <si>
    <t>Mean Time To Repair (MTTR)</t>
  </si>
  <si>
    <t>میانگین زمان تعمیر (MTTR)</t>
  </si>
  <si>
    <t>MTTR = Total Downtime for Repairs / Number of Repairs</t>
  </si>
  <si>
    <t>Maintenance Report Submission Time</t>
  </si>
  <si>
    <t>نرخ ارسال به موقع گزارشات و تحقق وظایف محوله موردی در زمان تعیین شده</t>
  </si>
  <si>
    <t>% of Reports Submitted within 24 Hours = (Number of Reports Submitted ≤ 24 hrs / Total Reports) * 100</t>
  </si>
  <si>
    <t>Disposition of Received Spare Parts in Warehouse within 24 Hours</t>
  </si>
  <si>
    <t>تعیین تکلیف گزارشات رسید و نقطه سفارشات انبار فنی در زمان مقرر</t>
  </si>
  <si>
    <t>Timely Disposition Rate (%) = (Number of Items Dispositioned within 24 Hours / Total Received Items) * 100</t>
  </si>
  <si>
    <t>No Production Downtime Due to Spare Part Unavailability</t>
  </si>
  <si>
    <t>عدم کاهش تولید خط تولید ناشی از عدم تامین قطعه فنی</t>
  </si>
  <si>
    <t>If (Line Stoppage due to Spare Part Shortage) → Availability (%) = 0 - If (Production Reduction) →
Availability (%) = (Actual Output / Planned Output) * 100</t>
  </si>
  <si>
    <t>Completion Rate of Plant Maintenance Job</t>
  </si>
  <si>
    <t>نرخ تکمیل فعالیت‌های تعمیرات کارخانه</t>
  </si>
  <si>
    <t>(Total number of completed activities in maintenance / Total number of activities required in maintenance)*100</t>
  </si>
  <si>
    <t>Number of Recurring Downtime &lt; 5% of Total Downtime</t>
  </si>
  <si>
    <t>تعداد خرابی‌های تکرارشونده کمتر از ۵٪ از کل زمان توقف</t>
  </si>
  <si>
    <t>پروژه اتاق چسب(مونتاژ تابلو برق -نوشتن برنامه PLC)</t>
  </si>
  <si>
    <t>Slow &amp; Non-moving Inventory Rate</t>
  </si>
  <si>
    <t>نرخ موجودی راکد یا کم‌گردش</t>
  </si>
  <si>
    <t>سید رحیم بنی حیال</t>
  </si>
  <si>
    <t>رئیس مکانیک</t>
  </si>
  <si>
    <t>تعمیر کامل لیفتراک ها و اجرای نظام بازدید لیفتراک ها</t>
  </si>
  <si>
    <t>امین عبادتی نیا</t>
  </si>
  <si>
    <t>رئیس طراحی مهندسی</t>
  </si>
  <si>
    <t>ساعات اضافه‌کاری نسبت به بودجه</t>
  </si>
  <si>
    <t>پروژه اتاق چسب</t>
  </si>
  <si>
    <t>Installation of Heat Exchangers and Ducting for Impregnation Cooling Zones Project</t>
  </si>
  <si>
    <t>پروژه نصب مبدل ها و داکتینگ کولینگ زون های آغشته</t>
  </si>
  <si>
    <t>Cooling system installation for compressors</t>
  </si>
  <si>
    <t>اجرای سیستم سرمایش کمپرسورها</t>
  </si>
  <si>
    <t>Machine Maintenance Audit Report &amp; Corrective Action (Weekly &amp; Monthly)</t>
  </si>
  <si>
    <t>گزارش ممیزی تعمیرات ماشین‌آلات و اقدامات اصلاحی (هفتگی و ماهانه)</t>
  </si>
  <si>
    <t>Automation of countertop (panel) production line</t>
  </si>
  <si>
    <t>اتوماسیون خط تولید صفحه کابینت(رویه)</t>
  </si>
  <si>
    <t>شهاب محمدی</t>
  </si>
  <si>
    <t>رییس تاسیسات</t>
  </si>
  <si>
    <t>سید احمد فاضلی اصل</t>
  </si>
  <si>
    <t>رئیس فلزکاری و رنگ آمیزی</t>
  </si>
  <si>
    <t>پروژه اتاق چسب(ساخت شاسی ها-نصب گیربکس ها-اصلاح مخازن اتاق چسب)</t>
  </si>
  <si>
    <t>خالد طرفی</t>
  </si>
  <si>
    <t>مدیر برنامه ریزی و انبارها</t>
  </si>
  <si>
    <t>انبار و برنامه ریزی</t>
  </si>
  <si>
    <t>Customer Service Level %
On Time In Full (OTIF)
Quantity delivered on time from factory as per standard time</t>
  </si>
  <si>
    <t>درصد سطح خدمات به مشتریان: به صورت کامل (مقدار تحویل داده‌شده / دستور تحویل)</t>
  </si>
  <si>
    <t>Providing monthly product output reports by product type</t>
  </si>
  <si>
    <t>ارائه گزارش خروجی محصولات به تفکیک محصول تولید شده</t>
  </si>
  <si>
    <t>Slow &amp; Non Moving inventory value target &lt;1%</t>
  </si>
  <si>
    <t>تارگت میزان کالای کند گردش و راکد</t>
  </si>
  <si>
    <t>Production Plan Execution</t>
  </si>
  <si>
    <t>اجرای برنامه تولید</t>
  </si>
  <si>
    <t>Factory Warehouse Operation Efficiency
Trucks &amp; containers Offloading days &amp; Loading time 
within standard time (to be defined)</t>
  </si>
  <si>
    <t>بهره‌وری عملیات انبار: زمان تخلیه و بارگیری کامیون‌ها &lt; ۱۲ ساعت</t>
  </si>
  <si>
    <t>Customized Reporting to Relevant Units &amp; namad Request Issuance</t>
  </si>
  <si>
    <t>اعلام گزارشات نقطه سفارشی به واحد های مربوطه و صدور درخواسهای به صورت نمادی (گزارشات مربوطه می بایست هر هفته ارسال گردد.)</t>
  </si>
  <si>
    <t>بودجه اضافه کار</t>
  </si>
  <si>
    <t>Inventory accuracy: 
RM/PM/FG/Parts/Waste Material
Inventory Accuracy &gt; 99.9% 
(Actual / System Stock)</t>
  </si>
  <si>
    <t>انبار گردانی محصولات و مواد اولیه به صورت ماهانه</t>
  </si>
  <si>
    <t>ایمنی و حادثه</t>
  </si>
  <si>
    <t>Tracking and implementing warehouse operations (training)</t>
  </si>
  <si>
    <t>پیگیریر و اجرای انبار پای کار(آموزش)</t>
  </si>
  <si>
    <t>ISO operation execution</t>
  </si>
  <si>
    <t>ISO</t>
  </si>
  <si>
    <t>Monthly inventory report of non moving and slow-moving items</t>
  </si>
  <si>
    <t>گزارش موجودی اقلام راکد و کند گردش یه صورت ماهانه</t>
  </si>
  <si>
    <t>Physical relocation of the chemical warehouse with the packaging materials warehouse as well as assignment of sample sheets</t>
  </si>
  <si>
    <t>جابجایی فیزیکی انبار مواد شیمیایی با انبار مواد بسته بندی و همچنین تعیین تکلیف ورقهای سمپل</t>
  </si>
  <si>
    <t>علیرضا ماه پیکر</t>
  </si>
  <si>
    <t>رئيس برنامه ريزي و كنترل توليد و مواد</t>
  </si>
  <si>
    <t>Ordering raw materials at the right time according to the order point and lead time</t>
  </si>
  <si>
    <t>سفارش گذاری مواد اولیه در زمان مناسب با توجه به نقطه سفارش و لید تایم</t>
  </si>
  <si>
    <t>Total Inventory value of Slow &amp; Non moving Items (Items with above 90 Days of Inventory) &lt; 5% of Total Inventory Value</t>
  </si>
  <si>
    <t>ارزش کل موجودی اقلام کم گردش و راکد (اقلام با بیش از ۹۰ روز موجودی) کمتر از ۵٪ از ارزش کل موجودی</t>
  </si>
  <si>
    <t>Impregnation Paper should be consumed or delivered within the expiry period of 60 days</t>
  </si>
  <si>
    <t>کاغذ آغشته باید در مدت اعتبار ۶۰ روز مصرف یا تحویل شود</t>
  </si>
  <si>
    <t>Reporting Accuracy (Reliability) – Comprehensive Business System of Ministry</t>
  </si>
  <si>
    <t>دقت گزارش (قابلیت اطمینان) - سیستم جامع تجارت</t>
  </si>
  <si>
    <t>پیگیری و اجرای انبار پای کار(آموزش)</t>
  </si>
  <si>
    <t>Follow-up on production reports as well as supply of raw materials to rental companies</t>
  </si>
  <si>
    <t>پیگیزی گزارش تولید و همچنین تامین مواد اولیه و کنترل موجودی شرکتهای اجاره ای</t>
  </si>
  <si>
    <t>Total Performance Management system – 5S documentation monthly report</t>
  </si>
  <si>
    <t>ارائه گزارش ماهانه سیستم مدیریت عملکرد و مستندسازی 5S</t>
  </si>
  <si>
    <t>مرتضی برنج زاده</t>
  </si>
  <si>
    <t>رئيس انبار محصول</t>
  </si>
  <si>
    <t>Customer Service Level % : In Full (Quantity delivered / Delivery Order)</t>
  </si>
  <si>
    <t>Completing and reviewing the list of undelivered order post forming and submitting it to the planning unit and sales unit.</t>
  </si>
  <si>
    <t>تکمیل و بررسی لیست صفحات دستور تحویل نخورده و ارائه به واحد برنامه ریزی و واحد فروش</t>
  </si>
  <si>
    <t>Factory Warehouse Utilization &gt; 80%
Actual Storage volume / Total Storage Volume</t>
  </si>
  <si>
    <t xml:space="preserve">بهره‌وری انبار کارخانه &gt; ۸۰٪
حجم انبارش واقعی / کل حجم انبارش </t>
  </si>
  <si>
    <t>Report on sending custom samples to valued customers and factories</t>
  </si>
  <si>
    <t xml:space="preserve">گزارش ارسال سمپلهای سفارشی مشتریان گرامی و کارخانجات به تفکیک خروجی </t>
  </si>
  <si>
    <t>Inventory accuracy: FG Inventory Accuracy &gt; 99.9% 
(Actual Stock Value / System Stock Value)</t>
  </si>
  <si>
    <t>دقت موجودی: دقت موجودی محصولات نهایی &gt; ۹۹.۹٪
(ارزش موجودی واقعی / ارزش موجودی سیستم)</t>
  </si>
  <si>
    <t>ایمنی، صفر حادثه هر ماه</t>
  </si>
  <si>
    <t>مهدی کرمی راد</t>
  </si>
  <si>
    <t>رئيس انبار مواد اوليه</t>
  </si>
  <si>
    <t>Continuous supply of Raw &amp; packaging material to Production. 
Target 99.5% of production time</t>
  </si>
  <si>
    <t>تامین مداوم مواد اولیه و بسته‌بندی مورد نیاز برای تولید. هدف: ۹۹.۵٪ از زمان تولید</t>
  </si>
  <si>
    <t>On Time Transportation to customers &amp; factories &lt; 2 days (Target)
No. of shipments Delivery date vs Delivery order date : &lt; 2 days</t>
  </si>
  <si>
    <t>حمل و نقل به موقع به مشتریان و کارخانه‌ها &lt; ۲ روز (هدف)
تعداد حمل‌ونقل‌ها: تاریخ تحویل در مقابل تاریخ سفارش تحویل: کمتر از ۲ روز</t>
  </si>
  <si>
    <t>Warehouse Operation Efficiency: Trucks Offloading &amp; Loading time &lt;12 Hours</t>
  </si>
  <si>
    <t>FIFO Compliance</t>
  </si>
  <si>
    <t>رعایت اولویت مصرف کالاهای قدیمی‌تر (FIFO)</t>
  </si>
  <si>
    <t>Inventory accuracy: RM/PM Inventory Accuracy &gt; 99.9% 
(Actual / System Stock)</t>
  </si>
  <si>
    <t>دقت موجودی: مواد اولیه/مواد بسته‌بندی
 دقت موجودی: بیش از ۹۹.۹٪ (موجودی واقعی / موجودی سیستم)</t>
  </si>
  <si>
    <t>Providing statistics on all defective raw materials in the form of a monthly report</t>
  </si>
  <si>
    <t>ارائه آمار مربوط به مواد اولیه معیوب به صورت گزارش ماهانه</t>
  </si>
  <si>
    <t>غلامعلی رحمانی</t>
  </si>
  <si>
    <t>رئيس انبار فني</t>
  </si>
  <si>
    <t>Maintenance Request Fulfillment Time &lt; 15 min per request</t>
  </si>
  <si>
    <t>تامین به موقع قطعات به واحد های فنی نسبت به در خواستهای صادر شده به انبار در زمان مناسب.(عدم دریافت شکایت از واحد های مربوطه جهت دیر کرد تحویل قطعات.)</t>
  </si>
  <si>
    <t>تکمیل گزارش اقلام نقطه سفارش</t>
  </si>
  <si>
    <t>Inventory accuracy: Spare Parts Inventory Accuracy &gt; 99.9% 
(Actual / System Stock)</t>
  </si>
  <si>
    <t>دقت موجودی: قطعات فنی و یدکی
 دقت موجودی: بیش از ۹۹.۹٪ (موجودی واقعی / موجودی سیستم)</t>
  </si>
  <si>
    <t>Correct registration of cost center and consumption item</t>
  </si>
  <si>
    <t>ثبت صحیح مرکز هزینه و مورد مصرف</t>
  </si>
  <si>
    <t>Creating and reviewing the receipt report of purchased items and sending a daily report for approval by technical and procurement units (finally, a monthly report is sent at the end of each month)</t>
  </si>
  <si>
    <t>ایجاد و بررسی گزارش رسید اقلام خریداری شده و ارسال گزارش روزانه جهت تایید واحدهای فنی و تدارکات (در نهایت در اتمام هر ماه گزارش ماهانه ارسال گردد)</t>
  </si>
  <si>
    <t>احمد علی اکبری پور</t>
  </si>
  <si>
    <t>رییس حسابداری مالی</t>
  </si>
  <si>
    <t>مالی</t>
  </si>
  <si>
    <t xml:space="preserve">کنترل و تایید پیش فاکتور ها  پس از بررسی ظرف مهلت 4 ساعت </t>
  </si>
  <si>
    <t xml:space="preserve">کنترل و مغایرت گیری حساب مشتریان در پایان هر سه ماه </t>
  </si>
  <si>
    <t>ابطال پیش فاکتور های تایید مالی نشده ظرف 48 ساعت</t>
  </si>
  <si>
    <t>قیمت گذاری محصولات بر اساس دستورالعمل قبل از ساعت کاری روز اجرا</t>
  </si>
  <si>
    <t>صدور صورتحساب نهایتا یک روز پس از حواله خروج</t>
  </si>
  <si>
    <t xml:space="preserve">بستن حسابها قبل از 8 ام ماه </t>
  </si>
  <si>
    <t xml:space="preserve">کنترل ثبت هزینه های شرکت در حساب و مرکز هزینه صحیح </t>
  </si>
  <si>
    <t>شناسایی کلیه هزینه های شرکت در طی ماه شامل هزینه های محقق شده و ذخایر</t>
  </si>
  <si>
    <t xml:space="preserve">پیگیری وارسال بموقع لیست بیمه ومالیات پرسنل </t>
  </si>
  <si>
    <t xml:space="preserve"> تحریر به موقع دفاتر قانونی شرکت به صورت الکترونیکی</t>
  </si>
  <si>
    <t>مغایرت گیری حسابهای ارزی و  صدور  اسناد تسعیر ارز پس از تایید مدیر حسابداری مدیریت</t>
  </si>
  <si>
    <t>کنترل و پیگیری عدم وجود حتی یک مورد صورتحساب خرید بدون اقدام در سامانه مودیان و ارسال تمامی صورتحساب های فروش طی مهلت قانونی درسامانه وپایان هرماه تا 7  ام ماه بعد .</t>
  </si>
  <si>
    <t>پیگیری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</si>
  <si>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تهیه گزارش Aging به صورت ماهانه  </t>
  </si>
  <si>
    <t xml:space="preserve">عدم وجود مطالبات وصول نشده سررسید شده </t>
  </si>
  <si>
    <t>عدم وجود چک وصول نشده بیش از بیش از یک هفته</t>
  </si>
  <si>
    <t>مغایرت گیری و رفع مغایرت زیر سیستم فروش و مالی</t>
  </si>
  <si>
    <t>پیگیری پرونده های بیمه تامین اجتماعی شرکت  - حل شدن حداقل یک مورد</t>
  </si>
  <si>
    <t>تحریر دفاتر و ارسال به سامانه تا پایان آبان 1404</t>
  </si>
  <si>
    <t>تهیه جداول مقایسه ای خرید و فروش با ارسالی فروشندگان و مشتریان جهت رسیدگی مالیاتی</t>
  </si>
  <si>
    <t>ارسال اظهارنامه ارزش افزوده تابستان 1404</t>
  </si>
  <si>
    <t>ارسال KPI فصل زمستان تیم مالی قبل از اتمام فصل پاییز  و تکمیل KPI فصل پاییز تا 5 دی 1404</t>
  </si>
  <si>
    <t>پیگیری و بستن  پرونده های مالیاتی سنواتی شرکت - 3 پرونده</t>
  </si>
  <si>
    <t>تهیه گزارش فروش نقدی، اعتباری با کارمزد و بدون کارمزد برای تمام طبقات محصول</t>
  </si>
  <si>
    <t>فاطمه رضا زاده</t>
  </si>
  <si>
    <t>كارشناس امور مالي</t>
  </si>
  <si>
    <t xml:space="preserve">کنترل ثبت و تایید پیش فاکتورها پس از بررسی ظرف مهلت 4 ساعت </t>
  </si>
  <si>
    <t xml:space="preserve"> ثبت  اسناد دریافتنی  و حواله های روزانه مشتریان  در سیستم </t>
  </si>
  <si>
    <t>ارسال فاکتور ها به  سامانه جامع تجارت در زمان تعیین شده</t>
  </si>
  <si>
    <t xml:space="preserve">قیمت گذاری محصولات بر اساس دستور العمل قبل از ساعت کاری روز اجرا </t>
  </si>
  <si>
    <t xml:space="preserve">صدور پیش فاکتورهای گروه  و ارسال آنها به شرکتهای مربوطه </t>
  </si>
  <si>
    <t xml:space="preserve">کنترل بارنامه های فروش و ثبت آنها در سیستم </t>
  </si>
  <si>
    <t xml:space="preserve">پاسخگویی به مشتریان جهت مشکلات مالیاتی،مغایرت صورتحساب ها و سامانه ها </t>
  </si>
  <si>
    <t>تهیه گزارش روزانه وصولی و ارسالی چک ها  (گوگل شیت)</t>
  </si>
  <si>
    <t xml:space="preserve">تایید یا رد چک ها در سامانه بانکی و تهیه گزارش فایل اکسل بانک ملت جهت وصولی چک ها </t>
  </si>
  <si>
    <t xml:space="preserve">تهیه گزارش Aging به صورت ماهانه </t>
  </si>
  <si>
    <t xml:space="preserve">ثبت  اسناد رفع تعهد ارزی </t>
  </si>
  <si>
    <t xml:space="preserve"> بررسی  روزانه سامانه مودیان  فروشندگان  جهت ثبت فاکتور در سیستم </t>
  </si>
  <si>
    <t xml:space="preserve">مقبولیت و اثربخشی در سازمان </t>
  </si>
  <si>
    <t>تعلق سازمانی کارکنان</t>
  </si>
  <si>
    <t>رعایت دستورالعمل، فرایند ها و ارزش های شرکت</t>
  </si>
  <si>
    <t>استقامت و پشتکار</t>
  </si>
  <si>
    <t>گفتگو و ارتباط موثر با سایر واحد ها</t>
  </si>
  <si>
    <t>رشد و توسعه فردی</t>
  </si>
  <si>
    <t>بهره وری موثر در پیشبرد وظایف</t>
  </si>
  <si>
    <t>کیفیت کار</t>
  </si>
  <si>
    <t xml:space="preserve">پاسخ گویی </t>
  </si>
  <si>
    <t>مهارت، دانش فنی مرتبط با کار</t>
  </si>
  <si>
    <t>فاطمه لطفی</t>
  </si>
  <si>
    <t xml:space="preserve">بررسی مستندات از واحد های متقاضی ازجمله (واحد تدارکاتداخلی،خارجی و ...) و حصول اطمینان از صحت ضمائم پیوست جهت پرداخت </t>
  </si>
  <si>
    <t xml:space="preserve">کنترل و تطبیق تمامی پرداختها با سوابق قبلی و کنترل آنها با قوانین و مقررات و آئین نامه های مالی </t>
  </si>
  <si>
    <t xml:space="preserve">بررسی و کنترل قراردادها و صورت وضعیت های منقعد با ذینفعان و نحوه شرایط پرداخت  </t>
  </si>
  <si>
    <t xml:space="preserve">پیگیری تسویه حساب پیش پرداخت ها ،قراردادها و بدهی ها و مطالبات با همکاری سایر واحد ها ی مرتبط </t>
  </si>
  <si>
    <t>بررسی فرم استعلام خرید و پرداخت های واحد تدارکات و ارسال به واحد خزانه جهت پرداخت و بعد از آن پیگیری جهت دریافت رسید بانکی</t>
  </si>
  <si>
    <t>کنترل  تنخواه  دفتر مرکزی</t>
  </si>
  <si>
    <t>ثبت واریزی فروشندگان(و کنترل عودتی ها)</t>
  </si>
  <si>
    <t>کنترل درخواست های خرید و سفارشات باز</t>
  </si>
  <si>
    <t xml:space="preserve">کنترل حساب پرداختنی و ثبت فاکتورهای خرید در سیستم </t>
  </si>
  <si>
    <t xml:space="preserve">مغایرت گیری حسابهای بانکی </t>
  </si>
  <si>
    <t xml:space="preserve">بررسی و تایید  فاکتورهای خرید بارگزاری شده در سامانه مودیان و ثبت آنها در دفاتر </t>
  </si>
  <si>
    <t>کوثر حریری</t>
  </si>
  <si>
    <t xml:space="preserve">کنترل کلیه بارنامه های دریافتی از بابت خرید داخلی و واردات و لیست کردن آنها جهت پرداخت / </t>
  </si>
  <si>
    <t xml:space="preserve">پیگیری بارنامه جهت اصلاح شماره ملی،آدرس، شبا و . . . </t>
  </si>
  <si>
    <t>اسکن کلیه بارنامه های دریافتی ازگمرک که به نام شرکت های خراسان و تهران می باشند و ارسال برای هر شرکت جهت پرداخت</t>
  </si>
  <si>
    <t>دریافت گزارش و کنترل بارنامه های ارسالی برای مشتریان به صورت روزانه  و ماهانه و ارائه به خزانه کل</t>
  </si>
  <si>
    <t>کنترل و لیست کردن بارنامه های پاک چوب خوزستان که در  دیگر کارخانه های گروه تخلیه می گردد/</t>
  </si>
  <si>
    <t xml:space="preserve">لیست کردن کلیه بارنامه های دریافتی جهت دریافت تاییدیه کرایه از باربری </t>
  </si>
  <si>
    <t xml:space="preserve">ثبت حسابداری کلیه بارنامه های پرداخت شده در مرکز هزینه و حساب صحیح </t>
  </si>
  <si>
    <t xml:space="preserve">بررسی و کنترل حساب معلق خرید به صورت هفتگی و ارسال نواقص برای واحد تدارکات و صفر نمودن آن در پایان ماه </t>
  </si>
  <si>
    <t xml:space="preserve">بررسی و اعلام کسری هزینه ها برای بستن حسابها قبل از پایان ماه </t>
  </si>
  <si>
    <t>تعیین و تکلیف نمودن حسابهای خلاف ماهیت</t>
  </si>
  <si>
    <t>بایگانی کلیه اسناد</t>
  </si>
  <si>
    <t>لیلا الهی</t>
  </si>
  <si>
    <t xml:space="preserve">کنترل حواله و چک و تایید پیش فاکتورها پس از بررسی ظرف مهلت 4 ساعت </t>
  </si>
  <si>
    <t xml:space="preserve">کنترل قیمت فاکتور های فروش </t>
  </si>
  <si>
    <t>ارسال فاکتور ها به سامانه مودیان در زمان تعیین شده</t>
  </si>
  <si>
    <t>کنترل خروجی با تایید مالی و عدم خروج کالای کمتر از یک با تریلی  با هزینه حمل به عهده  شرکت</t>
  </si>
  <si>
    <t xml:space="preserve">کنترل اسناد و تایید پیش فاکتورها مربوط به فروش ضایعات </t>
  </si>
  <si>
    <t>کنترل ابطال دستور تحویل پس از 72 ساعت</t>
  </si>
  <si>
    <t xml:space="preserve">مغایرت گیری و رفع مغایرت زیرسیستم فروش و مالی </t>
  </si>
  <si>
    <t xml:space="preserve">مغایرت گیری روزانه حساب های بانکی  جهت کنترل واریزی مشتریان </t>
  </si>
  <si>
    <t>ثبت حواله ها و اسناد دریافتنی در دفاتر</t>
  </si>
  <si>
    <t>صدور پیش فاکتور گروه صنعتی پاک چوب و تایید آن</t>
  </si>
  <si>
    <t>معصومه چنانی</t>
  </si>
  <si>
    <t xml:space="preserve">کنترل حواله ها و  تایید پیش فاکتورها پس از بررسی ظرف مهلت 4 ساعت </t>
  </si>
  <si>
    <t>کنترل حواله ها و ثبت آنها در دفاتر</t>
  </si>
  <si>
    <t xml:space="preserve">گزارش آمار فروش به صورت روزانه </t>
  </si>
  <si>
    <t xml:space="preserve">کنترل اسناد دریافتنی و مهلت آوانس آنها جهت تایید بار </t>
  </si>
  <si>
    <t xml:space="preserve">ارسال فاکتور و صورتحساب به مشتریان </t>
  </si>
  <si>
    <t xml:space="preserve">کنترل آیین نامه های فروش و بلک لیست مشتریان به صورت روزانه </t>
  </si>
  <si>
    <t xml:space="preserve">کنترل قیمت پیش فاکتور های فروش </t>
  </si>
  <si>
    <t>کنترل بارنامه های فروش وثبت آنها در دفاتر</t>
  </si>
  <si>
    <t xml:space="preserve">کنترل و مغایرت گیری حساب مشتریان در پایان  ماه </t>
  </si>
  <si>
    <t xml:space="preserve">پاسخگویی به مشتریان جهت  مغایرت صورتحساب ها </t>
  </si>
  <si>
    <t xml:space="preserve">تهیه صورتحساب مشتریان بابت مانده بدهکار و بستانکار </t>
  </si>
  <si>
    <t>علی مانگری</t>
  </si>
  <si>
    <t>محمد زاهدی اصل</t>
  </si>
  <si>
    <t>تهیه کاربرگ بهای تمام شده و قیمت گذاری انبار بصورت ماهانه</t>
  </si>
  <si>
    <t>تهیه صورت تطبیق شرکت های گروه</t>
  </si>
  <si>
    <t>ثبت اعلامیه بستانکاری ترخیص و مغایرت گیری شرکت های ترخیص</t>
  </si>
  <si>
    <t>مغایرت گیری انبارها</t>
  </si>
  <si>
    <t>تطبیق زیر سیستم انبار و مالی</t>
  </si>
  <si>
    <t>اعلام انحرافات مقداری و عملکرد تولیدی</t>
  </si>
  <si>
    <t>پیگیری انبارگردانی ماهانه و تطبیق موجودی</t>
  </si>
  <si>
    <t>گزارش اقلام راکد</t>
  </si>
  <si>
    <t>مغایرت گیری و کنترل کالاهای امانی</t>
  </si>
  <si>
    <t>تهیه فایل گردش مواد و محصول و بهای تمام شده</t>
  </si>
  <si>
    <t>رییس حسابداری صنعتی</t>
  </si>
  <si>
    <t>مسعود عسکری</t>
  </si>
  <si>
    <t>تهیه گزارش قیمت تمام شده  و  کنترل و بستن انبارها برای گزارش نهایی و صدور تمامی اسناد انبار تا 8 ام ماه بعد</t>
  </si>
  <si>
    <t>تهیه گزارشات انحرافات مصرف مواد، کارایی تولید  و تهیه گزارش ضایعات تولید</t>
  </si>
  <si>
    <t xml:space="preserve">انبارگردانی ماهانه و تطبیق موجودی </t>
  </si>
  <si>
    <t>گزارش اقلام راکد هر هفته</t>
  </si>
  <si>
    <t>تهیه تطبیق مانده حساب بین شرکت های گروه (امانی،  حسابهای وابسته ، دریافتنی و پرداختنی و ...) اعلام وضعیت و پیگیری برای تسویه حسابهای بین شرکتی.</t>
  </si>
  <si>
    <t>بستن سفارشات  خارجی و پیش پرداخت های داخلی  و تهیه و کنترل کاربرگ سفارشات خارجی (بر اساس دستورالعمل اعلام شده)</t>
  </si>
  <si>
    <t xml:space="preserve">تهیه و تطبیق ماهانه با پیمانکاران و مشتریان اجرتی که موجودی نزد آنها داریم و یا موجودی نزد ما دارند و رفع مشکلات احتمالی </t>
  </si>
  <si>
    <t>کنترل تمام موچودی های در جریان و عودت آن به انبار در پایان هرماه</t>
  </si>
  <si>
    <t>رفع مغایرت سفارشات و پیش پرداختها و صدور اسناد مربوطه در پایان هر ماه و  اصلاح حسابهای دارای خلاف ماهیت</t>
  </si>
  <si>
    <t xml:space="preserve">کنترل تک تک هزینه ها و اعلام کسری هزینه ها و شناسایی ذخیره برای  هزینه های اعلام نشده </t>
  </si>
  <si>
    <t xml:space="preserve">ریالی نمودن رسید خریدها از زیر سیستم بازرگانی داخلی و خارجی  و یکسان نمودن زیر سیستم های بازرگانی با اسناد مالی </t>
  </si>
  <si>
    <t>اعلام و پیشنهاد حداقل دو مورد از مشکلات سیستم مربوط به فرآیندهای  قیمت تمام شده و رفع مشکل مربوطه (در یکی از سیستم ها انبار و تامین )</t>
  </si>
  <si>
    <t>مغایرت گیری و رفع مغایرت زیر سیستم  انبار و مالی</t>
  </si>
  <si>
    <t>ارسال KPI فصل پاییز تیم مالی قبل از اتمام فصل تابستان  و تکمیل KPI فصل تابستان تا 5 مهر 1404</t>
  </si>
  <si>
    <t xml:space="preserve">تهیه گزارش آنالیز هزینه در فرمت ارسالی جهت هزینه های واقعی و بودجه و سال قبل  (به تفکیک حساب، مرکز هزینه و سرفصل سود و زیانی) </t>
  </si>
  <si>
    <t xml:space="preserve">محاسبه کسری ذخیر سفارشات خرید ارز نشده  و همچنین کسری ذخیره یا درآمد کالای امانی در صورت صدور فاکتور </t>
  </si>
  <si>
    <t xml:space="preserve">ثبت و پیگیری در خصوص به روز نمودن BOM تمام کالا ها در فایل اعلام شده </t>
  </si>
  <si>
    <t>مسئول اجرایی و پیگیری رویه های ابلاغی از طرف  واحد مالی گروه در شرکت ها</t>
  </si>
  <si>
    <t>مریم منصوری</t>
  </si>
  <si>
    <t>کنترل و بستن ثبت سفارشات وارداتی</t>
  </si>
  <si>
    <t>تهیه کاربرگ بهای تمام شده و خرید ارز ثبت سفارشات قیمت گذاری انبار</t>
  </si>
  <si>
    <t>ثبت اسناد و کنترل حساب دارایی ثابت و دارایی درجریان و سیستم دارایی ثابت</t>
  </si>
  <si>
    <t>ثبت بستانکاری هزینه های حمل ثبت سفارشات</t>
  </si>
  <si>
    <t>مغایرت گیری شرکت های حمل و نقل ثبت سفارشات و کنترل هزینه حمل</t>
  </si>
  <si>
    <t>مغیارت گیری تامین کنندگان خارجی</t>
  </si>
  <si>
    <t>به روزرسانی و ثبت دارایی های ثابت تا هر سه ماه</t>
  </si>
  <si>
    <t>ثبت جابجایی اموال و تسویه حساب پرسنل</t>
  </si>
  <si>
    <t>کنترل و ثبت محاسبات هزینه استهلات</t>
  </si>
  <si>
    <t>Seyed Hossein Haramshahi</t>
  </si>
  <si>
    <t>رئیس فناوري اطلاعات و ارتباطات</t>
  </si>
  <si>
    <t>Hadi Farhadi</t>
  </si>
  <si>
    <t>IT</t>
  </si>
  <si>
    <t>average rate for satisfaction survey for his whole team</t>
  </si>
  <si>
    <t>TARGET:-Mohammad hossein Jafarimalek:
it is rated by start and the average should be 4 and over-KPI Description--</t>
  </si>
  <si>
    <t># of closed tickets / technicians</t>
  </si>
  <si>
    <t>TARGET:-Mohammad hossein Jafarimalek:
 بر اساس اطلاعات دی ماه به طور میانگین هر تکنیسین 80 تیکت جواب داده است. این عدد برای 3 ماه است.-KPI Description--</t>
  </si>
  <si>
    <t># obsolete AD Accounts</t>
  </si>
  <si>
    <t>Average ticket assign time</t>
  </si>
  <si>
    <t>TARGET:-Mohammad hossein Jafarimalek:
1 hour-KPI Description--</t>
  </si>
  <si>
    <t>میلاد دیناروند</t>
  </si>
  <si>
    <t>سرپرست تامین داخلی (جنرال)</t>
  </si>
  <si>
    <t>فرشته كاوندي</t>
  </si>
  <si>
    <t>تامین</t>
  </si>
  <si>
    <t>( معادل 100 درصد نیروهای تحت نظارت )saving</t>
  </si>
  <si>
    <t>تعداد اقلام خرید شده ( معادل 100 درصد نیروهای تحت نظارت)</t>
  </si>
  <si>
    <t>بررسی روزانه تمامی درخواست های قسمت مربوطه و تخصیص به کارشناس ( و ارسال گزارش هفتگی وضعیت درخواست ها شامل ، تعداد درخواست صادر شده ، تعداد سفارش و رسید کالا )</t>
  </si>
  <si>
    <t>تکمیل فایل LOA</t>
  </si>
  <si>
    <t xml:space="preserve">ارتقای 10 درصدی line در po </t>
  </si>
  <si>
    <t>بستن تمامی درخواست های صادر شده  واحد جنرال تا پایان آبان ماه</t>
  </si>
  <si>
    <t xml:space="preserve">کاهش lead time به 20 روز </t>
  </si>
  <si>
    <t xml:space="preserve">خرید به صورت نقدی </t>
  </si>
  <si>
    <t>تعیین تکلیف موارد قرنطینه در انبار به صورت هفتگی (می بایست تاریخ قدیمی ترین کالا در قرنطینه حداکثر مربوط به 10 روز کاری باشد)</t>
  </si>
  <si>
    <t>علي سعدي</t>
  </si>
  <si>
    <t>کارشناس تامین داخلی (جنرال)</t>
  </si>
  <si>
    <t>saving</t>
  </si>
  <si>
    <t xml:space="preserve">تعداد LINE </t>
  </si>
  <si>
    <t>بستن تمامی سفارشات تا 15 آبان ماه و ارائه گزارش موارد دارای زمان تحویل</t>
  </si>
  <si>
    <t>بایگانی فیزیکی و سیستمی تمام مستندات</t>
  </si>
  <si>
    <t>حدکثر اقلام موجود در قرنطینه ی انبار 3 عدد یا 2 خرید تجمیعی و نهایتا 7 روز کاری</t>
  </si>
  <si>
    <t>فرناز چرنگ</t>
  </si>
  <si>
    <t>احمد چناری</t>
  </si>
  <si>
    <t xml:space="preserve">درصد خرید های نقدی </t>
  </si>
  <si>
    <t>سيد امين احمدي</t>
  </si>
  <si>
    <t>سرپرست فروش ضایعات</t>
  </si>
  <si>
    <t xml:space="preserve">فاطمه حسین زاده </t>
  </si>
  <si>
    <t xml:space="preserve">ارائه گزارش هفتگی  خریدهای مارکتینگ </t>
  </si>
  <si>
    <t>ارائه گزارش ماهانه  فروش ضایعات  خوزستان</t>
  </si>
  <si>
    <t xml:space="preserve">کاهش 20 درصدی علی الحساب های پرداختی در خریدهای مارکتینگ  نسبت به فصل قبل </t>
  </si>
  <si>
    <t xml:space="preserve">تخفیفات ماهیانه خریدهای مارکتینگ ( ماهانه 10.000.000.000 ريال) </t>
  </si>
  <si>
    <t xml:space="preserve">ارائه گزارشات ماهانه چالش ها و مشکلات خریدهای مارکتینگ  ( جهت اشتراک با مدیران و یافتن راه حل بهبود ) 
مطرح کردن چالش ها با واحد و ارائه صورتجلسه راه  حل مشکل </t>
  </si>
  <si>
    <t>ارائه گزارش ماهانه میزان متریال  مصرفی دقیق خط تولید سمپل سازی ( جهت برنامه ریزی و خرید  بر اساس مقادیر دقیق مصرف شده در هر ماه  )</t>
  </si>
  <si>
    <t xml:space="preserve">افزودن حداقل 1 تامین کننده فعال در صنعت چاپ و محصولات چاپی ( حوزه مارکتینگ) </t>
  </si>
  <si>
    <t>انجام کامل فرآیند اخذ نمونه ی هدایای  جنرال  نوروزی  (تحویل  نمونه سالنامه - تقویم رومیزی - خودکار و کارت پستال  )</t>
  </si>
  <si>
    <t xml:space="preserve">انجام  کامل فرآیند حداقل 3  خرید در حوزه بسته بندی ( خرید کارتن - خرید پلاستیک - خرید لیبل ) </t>
  </si>
  <si>
    <t xml:space="preserve">بستن درخواست های باز  مارکتینگ تا پایان آبان ماه  1404 </t>
  </si>
  <si>
    <t xml:space="preserve">بستن صورتحساب مالی  خریدهای  مارکتینگ تا پایان آبان ماه  1404- ارائه رسید و فاکتور به واحد مالی </t>
  </si>
  <si>
    <t xml:space="preserve">افزودن حداقل 2 خریدار جدید در حوزه  ضایعات  و انجام فروش به آن ها </t>
  </si>
  <si>
    <t>آموزش کامل سیستم sap  در حوزه خرید- تمام مطالب ارائه شده در هر جلسه حداکثر تا 1 هفته بعد به صورت  جزوه و شفاهی منتقل می شوند.</t>
  </si>
  <si>
    <t>کد پرسنلی مدیر  مستقیم</t>
  </si>
  <si>
    <t>obj weight</t>
  </si>
  <si>
    <t>target</t>
  </si>
  <si>
    <t>KPI weight</t>
  </si>
  <si>
    <t>type</t>
  </si>
  <si>
    <t>Sum%</t>
  </si>
  <si>
    <t xml:space="preserve">توضیحات </t>
  </si>
  <si>
    <t>TKF</t>
  </si>
  <si>
    <t>حامد حاجی حسین زاده</t>
  </si>
  <si>
    <t>High glass production</t>
  </si>
  <si>
    <t>مقدار تولید هایگلاس</t>
  </si>
  <si>
    <t xml:space="preserve">Raw MDF production </t>
  </si>
  <si>
    <t>مقدار تولید ام دی اف خام</t>
  </si>
  <si>
    <t>Chemical products production</t>
  </si>
  <si>
    <t>مقدار تولید محصولات شیمیایی</t>
  </si>
  <si>
    <t>High glass sales</t>
  </si>
  <si>
    <t>مقدار فروش هایگلاس</t>
  </si>
  <si>
    <t>مقدار فروش محصولات شیمیایی</t>
  </si>
  <si>
    <t>نصب و راه اندازی Short Cycle</t>
  </si>
  <si>
    <t>تکمیل پروژه SAP مرتبط با کارخانه</t>
  </si>
  <si>
    <t>Optimization of the Agricultural Unit Chart</t>
  </si>
  <si>
    <t>بهینه سازی چارت واحد کشاورزی</t>
  </si>
  <si>
    <t>رضا کریمی</t>
  </si>
  <si>
    <t>کارشناس امور اداری</t>
  </si>
  <si>
    <t>رسیدگی به درخواست‌های اداری صادره</t>
  </si>
  <si>
    <t>آرشیو و بایگانی مستندات اداری</t>
  </si>
  <si>
    <t>حضور  در جلسات و انجام مکاتبات رسمی</t>
  </si>
  <si>
    <t>حضور و مذاکره در جلسات مربوطه به عنوان نماینده‌ی سازمان</t>
  </si>
  <si>
    <t>پیگیری امور از اداره صنعت، معدن و تجارت</t>
  </si>
  <si>
    <r>
      <t xml:space="preserve">ثبت سفارش -  تایید و ثبت شماره درخواست سوخت شرکت  -  تایید آمار تولید (ماهانه)  -  پیگیری صدور و اصلاح جواز تاسیس   -  پیگیری و اصلاح پروانه بهره برداری   -   درخواست و پیگیری سهمیه ارزی شرکت </t>
    </r>
    <r>
      <rPr>
        <b/>
        <sz val="11"/>
        <color theme="1"/>
        <rFont val="B Nazanin"/>
        <charset val="178"/>
      </rPr>
      <t xml:space="preserve">( تمامی امور برای پاک چوب خوزستان و تخته فشرده هستند )  </t>
    </r>
  </si>
  <si>
    <t>جهاد کشاورزی و امور اراضی شهرستان</t>
  </si>
  <si>
    <t xml:space="preserve">پیگیر حواله ها و سهمیه ها (شکر و...) - پیگیر مکاتبات شرکت در خصوص طرح های موجود و طرح توسعه .( تمامی امور برای پاک چوب خوزستان و تخته فشرده هستند )  </t>
  </si>
  <si>
    <t>ارتباط با بانک هایی که شرکت در آن حساب دارد</t>
  </si>
  <si>
    <t xml:space="preserve">جهت انجام کارهای محوله : بست حساب - تکمیل فرهای حساب رسی -گرفتن پرینت حساب. ( تمامی امور برای پاک چوب خوزستان و تخته فشرده هستند )  </t>
  </si>
  <si>
    <t>پیگیری امور مربوط به اداره کار شهرستان شوش و شهرستان کرخه</t>
  </si>
  <si>
    <t xml:space="preserve">مکاتبات بین شرکت و اداره کار  -  پیگیر نامه های ترک کار. ( تمامی امور برای پاک چوب خوزستان و تخته فشرده هستند )  </t>
  </si>
  <si>
    <t xml:space="preserve">پیگیری امور مربوط به امور اداره پست مرکزی شهرستان شوش </t>
  </si>
  <si>
    <t xml:space="preserve">ارسال بسته های پستی شرکت (فاکتور های فروش واحد مالی و قرادادهای واحد حقوقی و واحد مالی) -  </t>
  </si>
  <si>
    <t>پیگیری امور مربوط به شرکت پخش فرآورده های نفتی (ناحیه شوش و انبار نفت اندیمشک)</t>
  </si>
  <si>
    <t>ثبت و تایید شماره درخواست سوخت جهت صدور حواله     -  هماهنگ کردن با شرکت مربوطه حهت تحویل سوخت به شرکت ( تمامی امور برای پاک چوب خوزستان و تخته فشرده هستند )</t>
  </si>
  <si>
    <t>پیگیری امور مربوط به اداره گمرک ناحیه شمال ( دزفول )</t>
  </si>
  <si>
    <t xml:space="preserve">پیگیری اظهار فروش بار و معرفی به عنوان نماینده شرکت    -   هماهنگی با ارزیاب / کارشناس جهت حضور در شرکت برای پلمپ بار مربوطه   -   پیگیری گرفتن نمونه بار و فرستادن به آزمایشگاه و پیگیری تا رسیدن جواب و تحویل آن به اداره گمرک-   ( تمامی امور برای پاک چوب خوزستان و تخته فشرده هستند )  </t>
  </si>
  <si>
    <t>شرکت بهره برداری از شبکه های آبیاری ناحیه شمال خوزستان(دزفول)</t>
  </si>
  <si>
    <t>پیگیر تمدید پروانه برداشت از آب که ماهانه صورت میگیرد جهت فعال بودن و محاسبه بر اساس تعرفه کشاورزی   -  در خواست کاهش و یا افزایش ورودی آب شرکت(تنظیم دریچه ورودی)</t>
  </si>
  <si>
    <t>اداره مخابرات شهرستان شوش</t>
  </si>
  <si>
    <t xml:space="preserve">پیگیر قطعی و یا خرابی تلفن های شرکت - پیگیر پرداختی صورت حساب های تلفن شرکت.( تمامی امور برای پاک چوب خوزستان و تخته فشرده هستند )  </t>
  </si>
  <si>
    <t>سازمان تامین اجتماعی( هفت تپه )</t>
  </si>
  <si>
    <t xml:space="preserve">پیگیر مکاتبات واحد مالی که باید ثبت و تحویل آن سازمان گردد - پیگیر نامه های ترک کار. ( تمامی امور برای پاک چوب خوزستان و تخته فشرده هستند )  </t>
  </si>
  <si>
    <t>اداره امور مالیاتی و دارایی شهرستان شوش</t>
  </si>
  <si>
    <t>پیگیر صدور فیش های ارزش افزوده جهت پرداخت در شرکت - پیگیر تعهد نامه مالیاتی اتباع خارجی شرکت - پیگیر تاییدیه استعلام های بانکی جهت اخذ تسهیلات</t>
  </si>
  <si>
    <t>ادارات آب ، برق ، گاز شهرستان</t>
  </si>
  <si>
    <t xml:space="preserve">بحث افزایش ظرفیت قرارداد  برای اشتراک های موجود - رسیدگی به هر گونه مشکل که در قبوض صادر شده  دیده میشود - انجام مکاتبات بین شرکت و ادارات مذکور - ( تمامی امور برای پاک چوب خوزستان و تخته فشرده هستند )  </t>
  </si>
  <si>
    <t>اداره محیط زیست شهرستان  شوش و استان خوزستان</t>
  </si>
  <si>
    <t xml:space="preserve">پیگیر تشکیل پرونده در خصوص طرح های توسعه - پیگیر جوابیه استعلام های شرکت از آن اداره - مکاتبات بین شرکت و آن اداره(مثلا گزارش های هفتگی در خصوص مدیریت آلایندگی -  درخواست های شرکت ).   -  ( تمامی امور برای پاک چوب خوزستان و تخته فشرده هستند )  </t>
  </si>
  <si>
    <t>پیگیری امور مربوط به دادستانی</t>
  </si>
  <si>
    <t>دادستانی شوش و کرخه</t>
  </si>
  <si>
    <t>اداره ثبت اسناد و املاک</t>
  </si>
  <si>
    <t>پیگیری امور محوله شرکت</t>
  </si>
  <si>
    <t>تکمیل و بروزرسانی سامانه‌های اداری</t>
  </si>
  <si>
    <t>ثبت اطلاعات، بارگذاری مستندات و پیگیری فرآیندهای مرتبط در سایت‌های سازمان‌ها</t>
  </si>
  <si>
    <t>علی  عباسی</t>
  </si>
  <si>
    <t>مسئول دفتر مدير كارخانه</t>
  </si>
  <si>
    <t>Coordinating the CEO’s executive meetings with internal and external managers</t>
  </si>
  <si>
    <t>هماهنگی جلسات اجرایی مدیرعامل با مدیران داخلی و خارجی</t>
  </si>
  <si>
    <t>Planning and optimizing daily, weekly, and monthly schedules</t>
  </si>
  <si>
    <t>برنامه‌ریزی و بهینه‌سازی زمان‌بندی روزانه، هفتگی و ماهانه</t>
  </si>
  <si>
    <t>Managing the executive calendar and prioritizing meetings and decision-making tasks</t>
  </si>
  <si>
    <t>مدیریت تقویم و تعیین اولویت‌های ملاقات و تصمیم‌گیری</t>
  </si>
  <si>
    <t xml:space="preserve">Coordinating communication across departments and </t>
  </si>
  <si>
    <t>هماهنگی ارتباطات بین واحدها</t>
  </si>
  <si>
    <t xml:space="preserve">Accurately taking minutes of confidential meetings </t>
  </si>
  <si>
    <t>تهیه صورتجلسات جلسات محرمانه</t>
  </si>
  <si>
    <t>Following up on action items and decisions made in executive meetings</t>
  </si>
  <si>
    <t>پیگیری اجرای تصمیمات گرفته‌شده در جلسات</t>
  </si>
  <si>
    <t>Managing and executing special events such as business forums, conferences, and corporate gatherings</t>
  </si>
  <si>
    <t>مدیریت و اجرای رویدادهای خاص مانند نشست‌های تجاری، کنفرانس‌ها و مراسم‌ها</t>
  </si>
  <si>
    <t>Providing real-time interpretation in official meetings and negotiations (English–Persian and vice versa)</t>
  </si>
  <si>
    <t>ترجمه همزمان مکالمات در جلسات رسمی یا مذاکرات</t>
  </si>
  <si>
    <t>Assessment of the accuracy, comprehensiveness, and practicality of reports and documents submitted to the CEO and the Board of Directors.</t>
  </si>
  <si>
    <t>ارزیابی درستی، جامعیت و کاربردی بودن گزارش‌ها و اسناد ارائه‌شده به مدیرعامل و هیئت‌مدیره.</t>
  </si>
  <si>
    <t>Evaluation of effective communication and collaboration in the execution of strategic projects and programs.</t>
  </si>
  <si>
    <t>ارزیابی ارتباط و همکاری موثر در انجام پروژه‌ها و برنامه‌های استراتژیک.</t>
  </si>
  <si>
    <t>Speed and accuracy in preparing data and reports required by the CEO.</t>
  </si>
  <si>
    <t>سرعت و دقت در آماده‌سازی داده‌ها و گزارشات مورد نیاز مدیرعامل</t>
  </si>
  <si>
    <t>Level of employee and stakeholder satisfaction with the Office’s performance.</t>
  </si>
  <si>
    <t>میزان رضایت کارکنان و تیم‌های مرتبط با دفتر</t>
  </si>
  <si>
    <t>Managing and tracking special projects assigned by the CEO</t>
  </si>
  <si>
    <t>مدیریت و پیگیری پروژه‌های ویژه محول‌شده توسط مدیرعامل</t>
  </si>
  <si>
    <t>Rate of achievement of work plans and short-term projects.</t>
  </si>
  <si>
    <t>نرخ تحقق برنامه‌های کاری و پروژه‌های کوتاه‌مدت</t>
  </si>
  <si>
    <t>Development of technology solutions and innovation within the Office.</t>
  </si>
  <si>
    <t>توسعه راهکارهای فناوری و نوآوری در دفتر</t>
  </si>
  <si>
    <t>Evaluation of the Chief of Staff’s personal, educational, and professional growth over time.</t>
  </si>
  <si>
    <t>ارزیابی رشد شخصی، آموزشی و مهارتی رئیس دفتر در طول زمان.</t>
  </si>
  <si>
    <t>Coordinating with other departments to ensure successful project execution</t>
  </si>
  <si>
    <t>هماهنگی با واحدهای دیگر برای اجرای پروژه‌ها</t>
  </si>
  <si>
    <t>حسن اميري زاده</t>
  </si>
  <si>
    <t>سرآشپز</t>
  </si>
  <si>
    <t>نسرین مصاحب پور</t>
  </si>
  <si>
    <t>تشریفات</t>
  </si>
  <si>
    <t>Compliance with hygiene standards in food packaging and serving</t>
  </si>
  <si>
    <t>رعایت اصول بهداشتی بسته بندی و سرو غذا</t>
  </si>
  <si>
    <t>۱- برنامه‌ریزی، آماده‌سازی و پخت انواع غذاها
۲- نظارت بر کیفیت غذاها
۳- هماهنگی با بخش‌های مرتبط
۴- کنترل موجودی مواد غذایی و سفارش اقلام مورد نیاز به موقع
۵- آموزش کارکنان آشپزخانه
۶- کنترل هزینه‌های آشپزخانه و جلوگیری از هدررفت مواد غذایی</t>
  </si>
  <si>
    <t>نظافت و تمیزی آشپزخانه</t>
  </si>
  <si>
    <t>Personal hygiene and proper appearance</t>
  </si>
  <si>
    <t>نظافت شخصی و ظاهر مناسب</t>
  </si>
  <si>
    <t>Attendance and punctuality</t>
  </si>
  <si>
    <t>Responsibility</t>
  </si>
  <si>
    <t>نرخ شکایت از کیفیت غذا</t>
  </si>
  <si>
    <t>نرخ شکایت = (تعداد شکایات ثبت‌شده درباره کیفیت غذا / تعداد کل وعده‌های غذایی ارائه‌شده) × 100</t>
  </si>
  <si>
    <t>Responsibility and availability</t>
  </si>
  <si>
    <t>Adherence to the principles of professional and ethical behavior</t>
  </si>
  <si>
    <t>رعایت اصول رفتار حرفه ای و اخلاقی</t>
  </si>
  <si>
    <t>مهدي يادگاري خندابي</t>
  </si>
  <si>
    <t>۱-مدیریت تیم آشپزخانه 
۲-برنامه‌ریزی، آماده‌سازی و پخت انواع غذاها
۳-نظارت بر کیفیت غذاها
۴-هماهنگی با بخش‌های مرتبط
۵-کنترل موجودی مواد غذایی و سفارش اقلام مورد نیاز به موقع
۶-آموزش کارکنان آشپزخانه
۷-کنترل هزینه‌های آشپزخانه و جلوگیری از هدررفت مواد غذایی</t>
  </si>
  <si>
    <t>امير شالو</t>
  </si>
  <si>
    <t>محمدمهدي سالمي</t>
  </si>
  <si>
    <t>مدير ايمني و بهداشت</t>
  </si>
  <si>
    <t>HSE</t>
  </si>
  <si>
    <t>نرخ گزارش‌دهی شبه‌حادثه</t>
  </si>
  <si>
    <t>Near Miss Reporting Rate (%)=کل حوادث و شبه‌حوادث رخ‌دادهتعداد شبه‌حوادث گزارش‌شده) ​×100)</t>
  </si>
  <si>
    <t>Annual Safety Training Completion Rate (%)</t>
  </si>
  <si>
    <t>درصد تحقق آموزش‌های ایمنی سالانه</t>
  </si>
  <si>
    <t>Safety Training Completion Rate (%)=کل کارکنان مورد انتظار برای آموزش /تعداد کارکنان آموزش‌دیده طبق برنامه) ​×100)</t>
  </si>
  <si>
    <t>Environmental Compliance (%)</t>
  </si>
  <si>
    <t>انطباق با الزامات زیست‌محیطی و بازرسی‌ها (% Compliance)</t>
  </si>
  <si>
    <t>Environmental Compliance (%)=کل الزامات و بازرسی‌ها /تعداد الزامات و بازرسی‌های رعایت‌شده)​ ×100)</t>
  </si>
  <si>
    <t>Preparing Emergency Response Plan (ERP)</t>
  </si>
  <si>
    <t>تهیه دستورالعمل واکنش در شرایط اضطراری</t>
  </si>
  <si>
    <t>SOP</t>
  </si>
  <si>
    <t>تهیه دستورالعمل ایمنی بچسب گذاری و قفل گذاری (LOTO)
تهیه دستورالعمل ایمنی ماشین آلات تولید
تهیه دستورالعمل ایمنی ماشین آلات صنعتی (لودر، لیفتراک، و....)
تهیه دستورالعمل ایمنی انبار
تهیه دستورالعمل ایمنی عکسبرداری در محل تخلیه چوب
تهیه دستورالعمل ایمنی قطع و برش درخت</t>
  </si>
  <si>
    <t>Improving Fire Safety in Group Factories by applying administrative actions , drill &amp; training &amp; follow up to cover technical issues&amp; firefighting systems inspectioons</t>
  </si>
  <si>
    <t xml:space="preserve">بهبود ایمنی حریق در کلیه کارخانه جات گروه از طریق پیگیری جهت رفع  موارد و مشکلات مهندسی وتهیه دستورالعمل، مانور و آموزش و بررسی سیستم های اعلان و اطفاء کل شرکت ها </t>
  </si>
  <si>
    <t>Some of Mentioned Items are conditional and bond to other sections KPI</t>
  </si>
  <si>
    <t>Deployment of fire suppression systems across the Re-chipper and Dyna screen zones, in alignment with operational safety standards and fire risk mitigation protocols.</t>
  </si>
  <si>
    <t xml:space="preserve">راه اندازی سیستم اطفاء حریق برای سازه ریچیپر و داینا اسکرین </t>
  </si>
  <si>
    <t>Implementation of route marking and physical separation for vehicular pathways, aimed at improving traffic safety measures</t>
  </si>
  <si>
    <t>اجرای خط کشی ترافیکی به جهت اعمال موارد ایمنی لیفتراک ها</t>
  </si>
  <si>
    <t>Obtaining technical health certificates for industrial machinery</t>
  </si>
  <si>
    <t>اخذ سرتیفیکیت سلامت فنی جهت ماشین آلات صنعتی</t>
  </si>
  <si>
    <t>محسن جمشیدی</t>
  </si>
  <si>
    <t>سرپرست HSE</t>
  </si>
  <si>
    <t>محمدمهدی سالمی</t>
  </si>
  <si>
    <t>Accident frequency rate (AFR)</t>
  </si>
  <si>
    <t>ضریب تکرار حوادث (AFR)</t>
  </si>
  <si>
    <t>Accident severity rate (ASR)</t>
  </si>
  <si>
    <t>ضریب شدت حوادث (ASR)</t>
  </si>
  <si>
    <t>FSI</t>
  </si>
  <si>
    <t>ضریب FSI</t>
  </si>
  <si>
    <t>Preparing required reports and documentation</t>
  </si>
  <si>
    <t>تهیه گزارشات و مستندات مورد نیاز</t>
  </si>
  <si>
    <t>Safety training for personnel</t>
  </si>
  <si>
    <t>آموزش ایمنی به پرسنل</t>
  </si>
  <si>
    <t>Cooperation in preparing HSE management system documents</t>
  </si>
  <si>
    <t>همکاری در تهیه اسناد سیستم مدیریت HSE</t>
  </si>
  <si>
    <t>Cooperation in updating documents, checklists and instructions</t>
  </si>
  <si>
    <t>همکاری در بروزرسانی اسناد، چک لیست ها و دستورالعمل ها</t>
  </si>
  <si>
    <t>Performing risk assessments of various parts of the company</t>
  </si>
  <si>
    <t>انجام ارزیابی ریسک بخش های مختلف شرکت</t>
  </si>
  <si>
    <t>Participating in accident analysis</t>
  </si>
  <si>
    <t>مشارکت در تحلیل حوادث</t>
  </si>
  <si>
    <t>Recording safety non-conformities and following up on their resolution</t>
  </si>
  <si>
    <t>ثبت عدم انطباق های ایمنی و پیگیری رفع آن ها</t>
  </si>
  <si>
    <t>محمد دیناروند</t>
  </si>
  <si>
    <t>مدیر فناوری اطلاعات</t>
  </si>
  <si>
    <t>in minutes</t>
  </si>
  <si>
    <t>امین  رفیعی مقدم</t>
  </si>
  <si>
    <t>كارشناس فناوري اطلاعات</t>
  </si>
  <si>
    <t># Mean time to repair (MTTR)</t>
  </si>
  <si>
    <t>% of incidents solved within SLA Time</t>
  </si>
  <si>
    <t># ticket first response time</t>
  </si>
  <si>
    <t>% Explanations written on tickets for closure</t>
  </si>
  <si>
    <t># of open tickets older than 3 days</t>
  </si>
  <si>
    <t>فرزاد گل فام</t>
  </si>
  <si>
    <t>سيدمصطفي فاضلي بدوي</t>
  </si>
  <si>
    <t>رئيس كشاورزي</t>
  </si>
  <si>
    <t>عظیم زارع محمدی</t>
  </si>
  <si>
    <t>کشاورزی</t>
  </si>
  <si>
    <t xml:space="preserve">ارائه گزارش عملکردی کل واحد کشاورزی به صورت ماهانه </t>
  </si>
  <si>
    <t xml:space="preserve">آبیاری مزارع اکالیپتوس </t>
  </si>
  <si>
    <t>کسب درآمد درون واحدی  از محصولات کشاورزی  به صورت جامع ( ریال ) ( فروش برگ ، فروش نهال ، مرکبات ، محصولات دامی ، کشت های زراعی )</t>
  </si>
  <si>
    <t>فروش نهال اکالیپتوس</t>
  </si>
  <si>
    <t>اجرای فصل سوم آنالیز رشد مزارع نسب به رشد اولیه</t>
  </si>
  <si>
    <t>پیگیری پروژه کشت بافت اکالیپتوس و شناسایی مراکز معتبر کشت بافت</t>
  </si>
  <si>
    <t>شناسایی درختان اکالیپتوس جهت نمونه برداری کشت بافت (تا پایان مهرماه)</t>
  </si>
  <si>
    <t>تهیه گزارش جامع عملکرد مزارع اکالیپتوس پس از پایان برداشت</t>
  </si>
  <si>
    <t>سيدمحمود حرمشاهي</t>
  </si>
  <si>
    <t>رئیس آبیاری و فضای سبز</t>
  </si>
  <si>
    <t>آبیاری مزارع اکالیپتوس  ( هکتار )</t>
  </si>
  <si>
    <t>اجرای عملیات فضای سبز (هرس درختان-تغذیه -جایگزبنی گیاهان خشک شده-)</t>
  </si>
  <si>
    <t>افزایش 15 درصدی راندمان آبیاری نسبت به فصل پاییز سال قبل</t>
  </si>
  <si>
    <t>اجرای کود آبیاری مزارع جنگل و غیر جنگل مطابق برنامه تغذیه (هکتار)</t>
  </si>
  <si>
    <t xml:space="preserve">تکمیل انشعابات آبیاری و آماده سازی بستر خاک جهت کشت گیاهان فضای سبز  فاز یک  ساختمان مرکزی </t>
  </si>
  <si>
    <t xml:space="preserve">ارایه گزارش تکمیلی  پروژه مدیریت آب در شرایط کم آبیاری </t>
  </si>
  <si>
    <t>کاشت گل های فصلی و نشاء کاری جهت فصل زمستان</t>
  </si>
  <si>
    <t>تهیه طرح توجیهی ساخت سالن گلخانه گل های آپارتمانی مجهز در نهالستان</t>
  </si>
  <si>
    <t>مهدي معتمدنيا</t>
  </si>
  <si>
    <t>رئيس عمليات كشاورزي</t>
  </si>
  <si>
    <t xml:space="preserve">برداشت مزارع اکالیپتوس </t>
  </si>
  <si>
    <t>جمع آوری بذر اکالیپتوس (کیلوگرم)</t>
  </si>
  <si>
    <t xml:space="preserve">پاکسازی و اجرای تغذیه خاک کاربرد 85 درصد مزارع برداشت شده </t>
  </si>
  <si>
    <t xml:space="preserve">ارائه گزارش روزانه خروجی و میزان تلفات نهال </t>
  </si>
  <si>
    <t xml:space="preserve"> آماده سازی زمین و کشت محصولات غیر اکالیپتوس(جو-شبدر-یونجه) (هکتار)</t>
  </si>
  <si>
    <t>هرس برگ (تن)</t>
  </si>
  <si>
    <t xml:space="preserve">آماده سازی نهالستان های 141 و 142 جهت تولید نهال </t>
  </si>
  <si>
    <t xml:space="preserve">ارائه برنامه تولید نهال جهت سال آتی </t>
  </si>
  <si>
    <t xml:space="preserve">انجام عملیات خاکی باغ مرکبات </t>
  </si>
  <si>
    <t>حميد قوي دست</t>
  </si>
  <si>
    <t>سرپرست ترویج و آموزش کشاورزی</t>
  </si>
  <si>
    <t>فروش UNDER SIZE (TON) ( موجودی کف کارخانه نباید از 4 سرویس در پایان هر ماه تعدی کند )</t>
  </si>
  <si>
    <t>شناسایی و انتخاب اراضی مستعد با مالکان علاقه‌مند در زمینه کاشت اکالیپتوس، همراه با ارائه مشاوره‌های اولیه جهت ترغیب ایشان به اجرای طرح(هکتار)</t>
  </si>
  <si>
    <t>تهیه و تدوین فرم های درخواست نهال قراردادی و فرم ارزیابی اراضی متقاضیان</t>
  </si>
  <si>
    <t xml:space="preserve">تهیه و تدوین محتوای بروشور روش کاشت و نگهداری اولیه نهال اکالیپتوس </t>
  </si>
  <si>
    <t>انتشار محتوای ترویجی و آموزشی در گروه زراعت چوب گروه صنعتی پاک چوب (واتساپ)</t>
  </si>
  <si>
    <t>ارزیابی فنی و اجتماعی صلاحیت کشاورزان متقاضی و انتخاب افراد واجد شرایط جهت طرح آزمایشی نهال قراردادی</t>
  </si>
  <si>
    <t>علي كايدي</t>
  </si>
  <si>
    <t>مدير امور انبارها و برنامه ريزي</t>
  </si>
  <si>
    <t xml:space="preserve"> برنامه ریزی و انبارها</t>
  </si>
  <si>
    <t>Customer Service Level %
On Time In Full: Quantity delivered on time from factory as per standard time</t>
  </si>
  <si>
    <t>"درصد سطح خدمات مشتری
به موقع تحویل داده شدن کامل (OTIF)
تعداد تحویل به موقع از کارخانه طبق زمان استاندارد"</t>
  </si>
  <si>
    <t>On Time Transportation to factories &lt; +/- 2 days (Target)
No. of shipments with ETD vs Actual :  &lt; +/- 2 days (Target)</t>
  </si>
  <si>
    <t>«حمل و نقل به موقع به مشتریان و کارخانه‌ها &lt; +/- ۲ روز (هدف)
تعداد محموله‌ها با زمان تخمینی پیش‌بینی‌شده در مقابل تعداد واقعی: &lt; +/- ۲ روز (هدف)»</t>
  </si>
  <si>
    <t>Factory Warehouse Utilization
Actual Storage volume / Total Storage Volume</t>
  </si>
  <si>
    <t>"میزان استفاده از انبار کارخانه
حجم واقعی انبار / حجم کل انبار"</t>
  </si>
  <si>
    <t>Factory Warehouse Operation Efficiency
Trucks &amp; containers Offloading days &amp; Loading time within 6 Hours</t>
  </si>
  <si>
    <t>«راندمان عملیات انبار کارخانه
روزهای تخلیه و زمان بارگیری کامیون‌ها و کانتینرها
در زمان استاندارد (تعریف خواهد شد)»</t>
  </si>
  <si>
    <t xml:space="preserve">Total Secondary Logistics Cost
 (Warehouse + Transportation)
Transportion Cost </t>
  </si>
  <si>
    <t>"کل هزینه لجستیک ثانویه (انبار + حمل و نقل)
هزینه حمل و نقل"</t>
  </si>
  <si>
    <t>«دقت موجودی:
RM/PM/FG/قطعات/مواد زائد
دقت موجودی &gt; 99.9%
(موجودی واقعی / موجودی سیستم)»</t>
  </si>
  <si>
    <t>Safety
Zero Accident every month</t>
  </si>
  <si>
    <t>«ایمنی
صفر حادثه در هر ماه»</t>
  </si>
  <si>
    <t>(ارزش اقلام با بیش از ۹۰ روز موجودی ÷ ارزش کل موجودی) × 100</t>
  </si>
  <si>
    <t>Factory Warehouse capacity expansion proposal
Analyse storage requirement based on new machines for 5 years &amp; propose the expansion plan for storage capacity</t>
  </si>
  <si>
    <t xml:space="preserve">سیستم ثبت کلیه ضایعات قابل فروش و غیر قابل فروش و تحویل از تولید طبق ثبت سیستم </t>
  </si>
  <si>
    <t xml:space="preserve">SOP for Warehouse, logistics &amp; Planning
Standard Operating procedure </t>
  </si>
  <si>
    <t xml:space="preserve">پروژه  بهبود برنامه تولید،  مینیمم تولید برای تعویض کروم پلیت مشخص شود. حداقل 20% کاهش در تعداد تعویض کروم پلیت </t>
  </si>
  <si>
    <t xml:space="preserve">مینیمم تولید برای تعویض کروم پلیت مشخص شود. حداقل 20% کاهش در تعداد تعویض کروم پلیت </t>
  </si>
  <si>
    <t>آدرس دهی اقلام در انبار فنی</t>
  </si>
  <si>
    <t xml:space="preserve">تعریف نقطه سفارش مجددا انجام شود برای کل اقلام انبار فنی و مقدار بهینه خرید </t>
  </si>
  <si>
    <t>Warehouse Item Coding
Asigning code to all items - Spare Parts / Waste Material</t>
  </si>
  <si>
    <t>اصلاح کدینگ انبار فنی ( کد های تکراری و مشخصه های فنی طبق نیاز SAP)</t>
  </si>
  <si>
    <t>عاطفه چشمه خاور</t>
  </si>
  <si>
    <t>رییس برنامه ریزی و کنترل تولید و مواد</t>
  </si>
  <si>
    <t>MSA = (Monthly Actual Production by Item / Planned production by Item) ≥ 90%</t>
  </si>
  <si>
    <t>Raw &amp; Packaging Material Availability with agreed Safety stock days 100%</t>
  </si>
  <si>
    <t xml:space="preserve">در دسترس بودن مواد اولیه و ملزومات بسته‌بندی </t>
  </si>
  <si>
    <t>1-(Total Hours of Production stoppage due to RM &amp; PM/Total Hours of planned Production)</t>
  </si>
  <si>
    <t>Current Date - Production date of IMP paper by Item &amp; by batch &lt; 60 days</t>
  </si>
  <si>
    <t>Report statistics in the system by the 3rd of each month, provided warehouse data is recorded</t>
  </si>
  <si>
    <t>Training production employees on raw materials and production quantity recording</t>
  </si>
  <si>
    <t>آموزش کارکنان تولید در مورد ثبت مواد اولیه و مقادیر تولید</t>
  </si>
  <si>
    <t>Training on how to record raw material usage and production volumes in the warehouse system</t>
  </si>
  <si>
    <t>Completing the Marketing requirement project for sampling</t>
  </si>
  <si>
    <t>ادامه پروژه تولید کدهای واحد سمپل</t>
  </si>
  <si>
    <t>As soon as the roll is received, the remaining codes will be generated.</t>
  </si>
  <si>
    <t>SOP documentation for Planning to be completed in Q1</t>
  </si>
  <si>
    <t>Submit project plan with clear SOPs and activities</t>
  </si>
  <si>
    <t>Submit a project plan with timeline and 5S implementation updates</t>
  </si>
  <si>
    <t>باقر محبی</t>
  </si>
  <si>
    <t>On Time Transportation to customers &amp; factories &lt; 3 days 
(No. of shipments Delivery date vs Full Truck Delivery order date : &lt; 3 days)</t>
  </si>
  <si>
    <t>حمل و نقل به موقع به مشتریان و کارخانه‌ها &lt; ۳ روز
(تعداد حمل‌ونقل‌ها: تاریخ تحویل در مقابل تاریخ سفارش تحویل: کمتر از ۳ روز)</t>
  </si>
  <si>
    <t>Total Logistics Cost (Warehouse + Transportation) Vs Budget</t>
  </si>
  <si>
    <t>کل هزینه‌های لجستیک (انبار + حمل و نقل) نسبت به بودجه</t>
  </si>
  <si>
    <t>Safety Zero Accident every month</t>
  </si>
  <si>
    <t>Recording the production quantities and consumption of raw materials</t>
  </si>
  <si>
    <t>پیاده سازی انبار پای کار</t>
  </si>
  <si>
    <t>SOP documentation for FG Warehouse to be completed in Q1</t>
  </si>
  <si>
    <t>Study &amp; propose to improve current productivity in warehouse</t>
  </si>
  <si>
    <t>مطالعه و پیشنهاد برای بهبود بهره‌وری فعلی در انبار</t>
  </si>
  <si>
    <t>Training production employees on raw materials and production quantity recording.</t>
  </si>
  <si>
    <t>آموزش کارکنان تولید در زمینه ثبت مواد اولیه و مقدار تولید</t>
  </si>
  <si>
    <t>امين صيادي</t>
  </si>
  <si>
    <t>On Time Transportation to customers &amp; factories &lt; 2 days (Target)
No. of shipments Delivery date vs Delivery order date :  &lt; 2 days</t>
  </si>
  <si>
    <t>Designing a comprehensive report on sub-pallet inventory in the factory as well as return statistics from customers</t>
  </si>
  <si>
    <t>طراحی گزارش جامع درباره موجودی زیرپالت در کارخانه و آمار بازگشتی از مشتریان</t>
  </si>
  <si>
    <t>SOP documentation for RM Warehouse to be completed in Q1</t>
  </si>
  <si>
    <t>علي ساعدي نسب</t>
  </si>
  <si>
    <t>Material Receipt and Issuance transaction to be updated in system accurately on same day</t>
  </si>
  <si>
    <t>تراکنش دریافت و صدور کالا باید در همان روز به طور دقیق در سیستم به‌روزرسانی شود.</t>
  </si>
  <si>
    <t>Total Inventory value of Slow &amp; Non moving Items (Items with above 365 Days of Inventory) &lt; 20% of Total Inventory Value</t>
  </si>
  <si>
    <t>Total Inventory value of Slow &amp; Non moving Items 
(Items with above 90 Days of Inventory) &lt; 5% of Total Inventory Value</t>
  </si>
  <si>
    <t>Classification of spare parts in the warehouse</t>
  </si>
  <si>
    <t>تقسیم بندی اقلام انبار فنی به چهار گروه کالا (A B C S)</t>
  </si>
  <si>
    <t>Technical warehouse capacity to be calculated and space utilization must be determined</t>
  </si>
  <si>
    <t>ظرفیت انبار فنی محاسبه و مقدار استفاده از فضا مشخص گردد.</t>
  </si>
  <si>
    <t>Warehouse Item Coding / Asigning code to all items - Spare Parts / Waste Material</t>
  </si>
  <si>
    <t>کدگذاری اقلام انبار/ اختصاص کد به تمامی اقلام - قطعات یدکی / مواد ضایعاتی</t>
  </si>
  <si>
    <t>جواد چنانه</t>
  </si>
  <si>
    <t>سرپرست انبار ضايعات</t>
  </si>
  <si>
    <t>Material Receipt and Issuance transaction in system to be checked everyday</t>
  </si>
  <si>
    <t>تراکنش دریافت و صدور کالا در سیستم، هر روز بررسی می‌شود.</t>
  </si>
  <si>
    <t>Customer Order to be tracked for material availability everyday</t>
  </si>
  <si>
    <t>سفارش مشتری برای اطلاع از موجودی کالا هر روز پیگیری می‌شود</t>
  </si>
  <si>
    <t>Report variance in receiving quantities from suppliers everyday</t>
  </si>
  <si>
    <t>گزارش اختلاف در مقادیر دریافتی از تأمین‌کنندگان به صورت روزانه</t>
  </si>
  <si>
    <t>Inventory variances to be investigated and corrective action to be taken &amp; reported every week</t>
  </si>
  <si>
    <t>بررسی مغایرت‌های موجودی و انجام اقدامات اصلاحی و گزارش هفتگی آنها</t>
  </si>
  <si>
    <t>Inventory accuracy: FG, RM, PM Inventory Accuracy &gt; 99.9% 
(Actual Stock Value / System Stock Value)</t>
  </si>
  <si>
    <t>Controlling the production quantities and consumption of raw materials</t>
  </si>
  <si>
    <t>SOP documentation for Inventory &amp; order control completed in Q1</t>
  </si>
  <si>
    <t>Training warehouse employees on inventory &amp; order control</t>
  </si>
  <si>
    <t>محمدرضا حلقه سيمين</t>
  </si>
  <si>
    <t>رئيس يارد</t>
  </si>
  <si>
    <t>Prepare space &amp; Proper arrangement of stock in the Yard by batch</t>
  </si>
  <si>
    <t>آماده سازی فضا و چیدمان مناسب موجودی در حیاط به صورت دسته ای</t>
  </si>
  <si>
    <t>Forklift, Excavator &amp; Loader machines &amp; operators to be maintained in working condition everyday. Downtime &lt; 5%</t>
  </si>
  <si>
    <t>ماشین آلات و اپراتورهای لیفتراک، بیل مکانیکی و لودر باید هر روز در شرایط کاری مناسب نگهداری شوند. زمان از کار افتادگی کمتر از 5٪</t>
  </si>
  <si>
    <t>Yard cleaning to be maintained everyday</t>
  </si>
  <si>
    <t>نظافت حیاط هر روز انجام شود</t>
  </si>
  <si>
    <t>Poor quality stocks to be seggregated &amp; follow up to dispose the stocks</t>
  </si>
  <si>
    <t>موجودی‌های بی‌کیفیت باید تفکیک شوند و پیگیری‌های لازم برای از رده خارج کردن موجودی‌ها انجام شود.</t>
  </si>
  <si>
    <t>Inventory accuracy: RM Inventory Accuracy &gt; 99.9%
(Actual Stock Value / System Stock Value)</t>
  </si>
  <si>
    <t>SOP documentation for Yard Warehouse to be completed in Q1</t>
  </si>
  <si>
    <t>علي ظهيري</t>
  </si>
  <si>
    <t>رئيس حمل و نقل</t>
  </si>
  <si>
    <t>Customer Service Level % : Number of trucks delivered / Trucks ordered</t>
  </si>
  <si>
    <t>درصد سطح خدمات مشتری: تعداد کامیون‌های تحویل داده شده / کامیون‌های سفارش داده شده</t>
  </si>
  <si>
    <t>حمل و نقل به موقع به مشتریان و کارخانه‌ها کمتر از ۳ روز
(تعداد محموله‌ها، تاریخ تحویل در مقابل تاریخ سفارش تحویل کامیون کامل: کمتر از ۳ روز)</t>
  </si>
  <si>
    <t>Truck Utilization &gt; 98% (Actual weight / Truck weight capacity)</t>
  </si>
  <si>
    <t>میزان استفاده از کامیون &gt; ۹۸٪ (وزن واقعی / ظرفیت وزن کامیون)</t>
  </si>
  <si>
    <t>Truck Offloading &amp; Loading time &lt;12 Hours</t>
  </si>
  <si>
    <t>زمان تخلیه و بارگیری کامیون کمتر از ۱۲ ساعت</t>
  </si>
  <si>
    <t>Total Transportation Cost Vs Budget</t>
  </si>
  <si>
    <t>کل هزینه حمل و نقل در مقابل بودجه</t>
  </si>
  <si>
    <t>Damages of stock in transportation &lt; 99.9%</t>
  </si>
  <si>
    <t>خسارت به کالا در حین حمل و نقل &lt;99.9٪</t>
  </si>
  <si>
    <t>Recording the transportation &amp; insurance documents</t>
  </si>
  <si>
    <t>ثبت اسناد حمل و نقل و بیمه</t>
  </si>
  <si>
    <t>SOP documentation for transportation to be completed in Q1</t>
  </si>
  <si>
    <t>مستندات SOP برای حمل و نقل در سه ماهه اول تکمیل می‌شود</t>
  </si>
  <si>
    <t>Study &amp; propose to reduce current transportation cost</t>
  </si>
  <si>
    <t>مطالعه و ارائه پیشنهاد برای کاهش هزینه‌های حمل و نقل فعلی</t>
  </si>
  <si>
    <t>Training warehouse and transportation staff</t>
  </si>
  <si>
    <t>آموزش کارکنان انبار و حمل و نقل</t>
  </si>
  <si>
    <t>احمد بني تميم</t>
  </si>
  <si>
    <t>جمعدار اموال</t>
  </si>
  <si>
    <t>زهرا نادرپور</t>
  </si>
  <si>
    <t>نح کشی بایگانی سنوات گذشته</t>
  </si>
  <si>
    <t>بایگانی سال جاری</t>
  </si>
  <si>
    <t>آذر هوري زاده</t>
  </si>
  <si>
    <t>کنترل درخواست وجوه و ثبت اسناد حسابداری بصورت روزانه</t>
  </si>
  <si>
    <t>کنترل مانده حساب فروشندگان  بصورت روزانه و پیگیری دریافت مدارک از واحد خرید  و بستن حساب مشتریان در صورت دریافت کالا و خدمات حداکثر ظرف 3 روز</t>
  </si>
  <si>
    <t xml:space="preserve">تهیه صورت تطبیق فصلی با 20 تامین کننده گان بزرگ و ارسال فرم امضا شده </t>
  </si>
  <si>
    <t xml:space="preserve">ثبت صحیح هزینه ها در مرکز هزینه و حساب صحیح </t>
  </si>
  <si>
    <t xml:space="preserve">تایید و اظهار خروج سامانه جامع تجارت </t>
  </si>
  <si>
    <t>محاسبه قراردادهای ایاب و ذهاب و ارسال لیست به موقع برای ثبت و خزانه</t>
  </si>
  <si>
    <t>بارگذاری مستندات جهت اخذ مفاصاحساب تامین اجتماعی قراردادها</t>
  </si>
  <si>
    <t>آزاده يلداش</t>
  </si>
  <si>
    <t>رئيس حسابداري صنعتي</t>
  </si>
  <si>
    <t>سمیرا گندمی بالنجانی</t>
  </si>
  <si>
    <t>تهیه گزارش قیمت تمام شده  و  کنترل و بستن انبارها برای گزارش نهایی و صدور تمامی اسناد انبار تا 9 ام ماه بعد</t>
  </si>
  <si>
    <t>کنترل سیستم تولید و تهیه گزارشات انحرافات مصرف مواد، کارایی تولید  و تهیه گزارش ضایعات تولید</t>
  </si>
  <si>
    <t>رفع مغایرت سفارشات و پیش پرداختها و صدور اسناد مربوطه در پایان هر ماه و  الصاح حسابهای دارای خلاف ماهیت</t>
  </si>
  <si>
    <t>اعلام و پیشنهاد حداقل دو مورد از مشکلات سیستم مربوط به فرآیندهای  قیمت تمام شده و رفع مشکل مربوطه (در یکی از سیستم ها تولید و انبار و تامین )</t>
  </si>
  <si>
    <t xml:space="preserve">پیگیری در خصوص به روز نمودن BOM تمام کالا ها در زیرسیستم نماد </t>
  </si>
  <si>
    <t>جلال تقوي پور</t>
  </si>
  <si>
    <t>كارشناس حسابداري صنعتي</t>
  </si>
  <si>
    <t>آزاده یلداش</t>
  </si>
  <si>
    <t>قیمت گذاری.کنترل و صدور اسناد انبار بلافاصله پس از دریافت کالا  و مدارک آن</t>
  </si>
  <si>
    <t>کنترل حساب هزینه حمل بصورت روزانه و تطابق با نرخنامه حمل</t>
  </si>
  <si>
    <t>انبارگردانی ماهانه خطوط تولید و  اقلام در جریان ساخت</t>
  </si>
  <si>
    <t>مغایرت گیری کالاهای امانی به تفکیک کالا.دریافت و پرداخت با شرکتهای گروه و امضای صورت تطبیق و اعلام وضعیت و پیگیری برای تسویه حسابهای بین شرکتی.</t>
  </si>
  <si>
    <t xml:space="preserve">کنترل و بستن انبار تا پایان 5ام هر ماه </t>
  </si>
  <si>
    <t>مغایرت گیری و رفع مغایرت زیر سیستم انبار و مالی بصورت ماهانه</t>
  </si>
  <si>
    <t>کنترل و تعیین وضعیت صورتحساب های خرید و قراردادها در سامانه مودیان و ارسال گزارش موارد عدم ثبت در دفاتر جهت تعیین تکلیف به واحدهای تدارکات .</t>
  </si>
  <si>
    <t>خديجه چناني</t>
  </si>
  <si>
    <t>كارشناس حسابداري فروش</t>
  </si>
  <si>
    <t>مریم احمدی یكتا</t>
  </si>
  <si>
    <t xml:space="preserve">کنترل و بستن زیر سیستم حسابداری فروش تا پایان 5 ام هر ماه </t>
  </si>
  <si>
    <t>کنترل و مغایرت گیری حساب مشتریان بصورت ماهانه</t>
  </si>
  <si>
    <t>کنترل و بستن دستور تحویل های باز ظرف مهلت 72 ساعت</t>
  </si>
  <si>
    <t>ربابه عقيلي</t>
  </si>
  <si>
    <t>کنترل درخواست وجوه و ثبت اسناد حسابداری مربوطه بصورت روزانه در مرکز هزینه و حساب صحیح</t>
  </si>
  <si>
    <t>بستن حساب مشتریان در صورت دریافت کالا و خدمات حداکثر ظرف 3 روز</t>
  </si>
  <si>
    <t>کنترل مانده حساب فروشندگان  و مغایرت گیری با آنها و پیگیری بستن مانده باز و صفر نمودن مانده در پایان ماه</t>
  </si>
  <si>
    <t xml:space="preserve">مغایرت گیری فصلی گزارش شرکت های بیمه با دفاتر </t>
  </si>
  <si>
    <t>معرفی اشخاص در سیستم ظرف مهت 2 ساعت</t>
  </si>
  <si>
    <t>رئيس حسابداري مالي</t>
  </si>
  <si>
    <t xml:space="preserve">کنترل ثبت  به موقع هزینه های شرکت در مرکز هزینه و سرفصل صحیح  و بستن حسابهای شرکت تا پایان 8 ام هر ماه </t>
  </si>
  <si>
    <t>کنترل هزینه های وام های بانکی و صورت مغایرات بانکی</t>
  </si>
  <si>
    <t>بستن پرونده ارزش استرداد ارزش افزوده 1400</t>
  </si>
  <si>
    <t>بستن پرونده رسیدگی سال 1402</t>
  </si>
  <si>
    <t xml:space="preserve">مغایرت گیری سامانه مودیان مالیاتی با ارزش افزوده و معاملات فصلی با حداقل اختلاف </t>
  </si>
  <si>
    <t>تهیه اظهارنامه مالیاتی و تحریر دفاتر</t>
  </si>
  <si>
    <t>کنترل هزینه های شرکت از بابت  مراکز هزینه، سرفصل و کنترل با بودجه سه ماهه</t>
  </si>
  <si>
    <t xml:space="preserve">علویه زینب  نظاری </t>
  </si>
  <si>
    <t xml:space="preserve"> ثبت اسناد حسابداری دریافت از مشتریان  و مغایرت گیری حساب بانکهای فروش</t>
  </si>
  <si>
    <t>تهیه گزارش از چک های واگذاری شده به بانکها مطابق فرمت ابلاغ شده</t>
  </si>
  <si>
    <t>تهیه گزارش و پیگیری مطالبات وصول نشده سر رسید شده</t>
  </si>
  <si>
    <t>پیگیری چک های در راه مشتریان</t>
  </si>
  <si>
    <t>زينب نوروزي</t>
  </si>
  <si>
    <t>كارشناس حسابداري مالي</t>
  </si>
  <si>
    <t xml:space="preserve">کنترل و محاسبه حقوق و دستمزد ماهانه قبل از 5 ام ماه </t>
  </si>
  <si>
    <t>تهیه فایل بانک شارژ بن کارتها، پاداش بهره وری بصورت ماهانه</t>
  </si>
  <si>
    <t>ارسال لیست بیمه و مالیات پرسنل قبل از 30 ام ماه</t>
  </si>
  <si>
    <t xml:space="preserve">کنترل و صدور کلیه ی اسناد هزینه حقوق و دستمزد، عیدی، سنوات و بازخرید مرخصی  و پرسنل ترک کار و غیره  بصورت ماهانه </t>
  </si>
  <si>
    <t xml:space="preserve">شناسایی ماهانه ذخیر هزینه ها </t>
  </si>
  <si>
    <t xml:space="preserve">کنترل ماهانه هزینه های حقوق و دستمزد و پرسنلی با بودجه مصوب </t>
  </si>
  <si>
    <t>کنترل صورتحساب بیمه تکمیلی البرز  با دفاتر بصورت فصلی</t>
  </si>
  <si>
    <t xml:space="preserve">ورود اطلاعات در سیستم دارایی ثابت بصورت روزانه </t>
  </si>
  <si>
    <t>الصاق برچسب اموال و ثبت مشخصات دارایی ها در زیر سیستم</t>
  </si>
  <si>
    <t>ثبت برگشت اموال و تهیه گزارش از اقلام راکد انبار</t>
  </si>
  <si>
    <t>تهیه و بررسی گزارش اموال اسقاط با ذکر تاریخ خربد دارایی و علت اسقاط آن</t>
  </si>
  <si>
    <t xml:space="preserve">تهیه گزارش اقلام IT و مطابقت با سیستم دارایی ثابت </t>
  </si>
  <si>
    <t>مدير حسابداري مالي</t>
  </si>
  <si>
    <t xml:space="preserve">کنترل و بستن انبار ها و صدور تمامی اسناد انبار تا 8 ام هرماه </t>
  </si>
  <si>
    <t xml:space="preserve">تهیه گزارش قیمت تمام شده تا 9 ام هر ماه </t>
  </si>
  <si>
    <t>تهیه تطبیق مانده حساب بین شرکت های گروه (امانی،  حسابهای وابسته ، دریافتنی و پرداختنی و ...</t>
  </si>
  <si>
    <t>اعمال شناسایی هزینه های حمل کالای فروش رفته حداکثر ظرف 5 روز</t>
  </si>
  <si>
    <t>ارسال اطلاعات فروش به سامانه مودیان و سامانه جامع تجارت ظرف مهلت 7 روز اول ماه</t>
  </si>
  <si>
    <t xml:space="preserve">پیگیری وارسال بموقع لیست بیمه ومالیات ماهانه  پرسنل </t>
  </si>
  <si>
    <t>مغایرت گیری حسابهای ارزی و  صدور  اسناد تسعیر ارز و تهیه کاربرگ تسعیر ارز پس از تایید مدیر حسابداری مدیریت</t>
  </si>
  <si>
    <t xml:space="preserve">کنترل سرفصل های هزینه در دفاتر شرکت و مقایسه روند هزینه ها به صورت ماهیانه و مقایسه با سال قبل و بودجه </t>
  </si>
  <si>
    <t>پیگیری بارگذاری اطلاعات تولید تا 5 ام هر ماه توسط واحد برنامه ریزی تولید و درج اطلاعات موجودی و فروش تا 10 ام هر ماه توسط تیم مالی در  سامانه های جامع تجارت وبهین یاب.</t>
  </si>
  <si>
    <t xml:space="preserve">مغایرت گیری و رفع مغایرت سفارشات و پیش پرداخت ها  و اصلاح خلاف ماهیت ها </t>
  </si>
  <si>
    <t xml:space="preserve">تهیه  و پیگیری گزارشات درخواستی مدیریت </t>
  </si>
  <si>
    <t>تهیه گزارش Aging به صورت ماهانه و ارسال آن به مدیر بودجه و گزارشات</t>
  </si>
  <si>
    <t>ارسال KPI فصل زمستان تیم مالی قبل از اتمام فصل پاییز و تکمیل KPI فصل پاییز تا 5 دی 1404</t>
  </si>
  <si>
    <t>پیگیری و بستن پرونده های سنواتی مالیاتی و بیمه تامین اجتماعی حداقل 2 پرونده</t>
  </si>
  <si>
    <t>کنترل ثبت اسناد اجاره و پرداخت مالیات اجاره بصورت ماهانه</t>
  </si>
  <si>
    <t>شيرين حسين وند</t>
  </si>
  <si>
    <t xml:space="preserve"> ثبت اسناد حسابداری و مغایرت گیری حساب بانکهای فروش بصورت روزانه </t>
  </si>
  <si>
    <t>تهیه گزارش و پیگیری مطالبات وصول نشده سر رسید شده بصورت روزانه</t>
  </si>
  <si>
    <t>پیگیری چک های در راه مشتریان و عدم وجود چک در راه بیش از 7 روز</t>
  </si>
  <si>
    <t xml:space="preserve">صدور فاکتور فروش نهال.تانکر و ضایعات </t>
  </si>
  <si>
    <t>ثبت اسناد بستانکاری هزینه حمل</t>
  </si>
  <si>
    <t>فاطمه باقريان سرارودي</t>
  </si>
  <si>
    <t>کنترل تجمعی شباها و تهیه لیست ها با فرمت توافقی جهت ارسال به خزانه حداکثر تا ساعت 16</t>
  </si>
  <si>
    <t>پیگیری و به اشتراک گذاری رسید واریز وجوه جهت واحدهای تدارکات طی 24 ساعت</t>
  </si>
  <si>
    <t>بایگانی اسناد بر اساس صورت حساب های بانکی و تحویل به واحد حسابداری</t>
  </si>
  <si>
    <t xml:space="preserve">اخذ صورت حسابهای بانکی به صورت روزانه.هفتگی و ماهانه </t>
  </si>
  <si>
    <t>فاطمه صادقي كيا</t>
  </si>
  <si>
    <t>کنترل و مغایرت گیری حساب مشتریان</t>
  </si>
  <si>
    <t>کنترل ابطال دستور تحویل های فروش صادراتی بعد از 72 ساعت</t>
  </si>
  <si>
    <t>کنترل حساب برگشت از فروش و تخفیفات</t>
  </si>
  <si>
    <t>محمد ديناروند</t>
  </si>
  <si>
    <t>کنترل و ارسال اظهارنامه ارزش افزوده در مهلت مقرر</t>
  </si>
  <si>
    <t>کنترل و ارسال اظهارنامه معاملات فصلی در مهلت مقرر</t>
  </si>
  <si>
    <t>مغایرت گیری 50 فروشنده و تامین کننده اول شرکت در سامانه مودیان و فصلی</t>
  </si>
  <si>
    <t xml:space="preserve">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</si>
  <si>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 مغایرت گیری سامانه ها با دفاتر به صورت فصلی و سالانه</t>
  </si>
  <si>
    <t xml:space="preserve">کنترل .صدور اسناد حسابداری و بستن حسابهای تنخواه گردان های داخلی و خارجی </t>
  </si>
  <si>
    <t>مريم احمدي يكتا</t>
  </si>
  <si>
    <t>رئيس حسابداري فروش</t>
  </si>
  <si>
    <t xml:space="preserve">تایید یا رد پیش فاکتور ها  پس از بررسی ظرف مهلت 4 ساعت </t>
  </si>
  <si>
    <t xml:space="preserve">بستن زیر سیستم حسابداری فروش تا پایان 5 ام هر ماه </t>
  </si>
  <si>
    <t xml:space="preserve"> مغایرت گیری حساب 50 مشتری بزرگ با همکاری حسابداری فروش سایر شرکت ها  و ارسال صورت تطبیق امضال شده </t>
  </si>
  <si>
    <t>ابطال رزو فروش مطابق رویه ظرف 72 ساعت</t>
  </si>
  <si>
    <t>اعمال بستانکاری هزینه های حمل حداکثر ظرف 5 روز</t>
  </si>
  <si>
    <t>تهیه گزارش Aging به اسناد و حسابهای دریافتنی و پیش دریافت ها.</t>
  </si>
  <si>
    <t>مسعود محمدي كوتياني</t>
  </si>
  <si>
    <t>کنترل درخواست وجوه و ثبت اسناد حسابداری مربوطه بصورت روزانه</t>
  </si>
  <si>
    <t>کنترل مانده حساب فروشندگان و پیگیری دریافت مدارک از تامین کنندگان و  بستن مانده مشتری</t>
  </si>
  <si>
    <t>کنترل حساب هزینه حمل به صورت هفتگی</t>
  </si>
  <si>
    <t>قیمت گذاری فرم حواله برگشت بدون ارجاع در سیستم انبار  تا چهارم هر ماه</t>
  </si>
  <si>
    <t xml:space="preserve">صدور اسناد ذخیره هزینه ها تا سوم ماه </t>
  </si>
  <si>
    <t>مينا حيدري اصل</t>
  </si>
  <si>
    <t>کنترل  کلیه ی مانده حسابهای بانکی با دفاتر</t>
  </si>
  <si>
    <t>کنترل درخواست وجوه و ثبت اسناد حسابداری مربوطه طی همان روز</t>
  </si>
  <si>
    <t>تسهیم  صحیح هزینه های کارکنان به مراکز هزینه و سرفصل صحیح با شرح درست</t>
  </si>
  <si>
    <t>يعقوب اديب</t>
  </si>
  <si>
    <t>کنترل  کلیه ی مانده حسابهای بانکی با دفاتر بصورت هفتگی و رفع مغایرت</t>
  </si>
  <si>
    <t>تهیه و ارسال گزارش تسهیلات و اسناد پرداختنی به صورت هفتگی</t>
  </si>
  <si>
    <t>تهیه کاربرگ خرید ارز   و کنترل بستن سفارشات</t>
  </si>
  <si>
    <t>کنترل درخواست وجوه و ثبت اسناد حسابداری مربوطه</t>
  </si>
  <si>
    <t>عزيز نعامي</t>
  </si>
  <si>
    <t>رئيس انتظامات</t>
  </si>
  <si>
    <t>Security  Executive Mnanagement</t>
  </si>
  <si>
    <t>مدیریت اجرایی انتظامات</t>
  </si>
  <si>
    <t>Security Oprations Systemization</t>
  </si>
  <si>
    <t>سیستم سازی عملیات امنیتی</t>
  </si>
  <si>
    <t>مدیریت نظارت تصویری کارخانه ها</t>
  </si>
  <si>
    <t>نگارش گزارشات هفتگی / ماهیانه</t>
  </si>
  <si>
    <t xml:space="preserve">شرکت در جلسات ماهیانه </t>
  </si>
  <si>
    <t>Performance Evaluation (ِDoing)</t>
  </si>
  <si>
    <t>انجام ارزیابی عملکرد اجرایی تیم های انتظامات (ارزیابی عملکرد)</t>
  </si>
  <si>
    <t>برگزاری جلسات آموزشی دوره ای</t>
  </si>
  <si>
    <t>رحمن سرخه</t>
  </si>
  <si>
    <t>عزیز نعامی</t>
  </si>
  <si>
    <t>توفيق كرم اله چعب</t>
  </si>
  <si>
    <t>محمد پوريا</t>
  </si>
  <si>
    <t>حسين كثير</t>
  </si>
  <si>
    <t>فواد ال كثير</t>
  </si>
  <si>
    <t>رامين فياضي پور</t>
  </si>
  <si>
    <t>سيدرضا جزايري كثير</t>
  </si>
  <si>
    <t>سرپرست ترانسپورت</t>
  </si>
  <si>
    <t>ترانسپورت</t>
  </si>
  <si>
    <t>درصد تحقق برنامه‌های حمل‌ونقل ماهانه</t>
  </si>
  <si>
    <t>تعداد مأموریت‌های انجام‌شده / تعداد مأموریت‌های برنامه‌ریزی‌شده × 100</t>
  </si>
  <si>
    <t>میانگین زمان پاسخگویی به درخواست خودرو</t>
  </si>
  <si>
    <t>مجموع زمان پاسخگویی / تعداد درخواست‌ها</t>
  </si>
  <si>
    <t>ارسال به موقع کارکرد خودروهای ایاب و ذهاب به واحد مالی جهت پرداخت حقوق</t>
  </si>
  <si>
    <t>حداکثر تا چهارم هرماه</t>
  </si>
  <si>
    <t>گزارشات تردد خودروهای استیجاری، گزارش تعداد خودروهای ایاب و ذهاب، گزارش کار پرسنل مربوطه، تهیه گزارشات مربوط به برون سپاری ترانسپورت بر اساس تمپلیت مشخص</t>
  </si>
  <si>
    <t>نظارت بر امور واحد ترانسپورت</t>
  </si>
  <si>
    <t>۱- فعالیت خودروهای استیجاری اعم از سواری و وانت 
۲-  ایمنی خودروها
۳- بررسی برنامه کاری رانندگان
۴- کشیک واحد در روزهای تعطیل
 ۵-آموزش اصول تشریفات به رانندگان و نحوه برخورد با مهمانان،
۶-بررسی قرارداد رانندگان
۷-حضور در جلسات مرتبط و ...</t>
  </si>
  <si>
    <t>هماهنگی های خارج از تایم اداری</t>
  </si>
  <si>
    <t>تدوین آیین نامه ترانسپورت</t>
  </si>
  <si>
    <t>رعایت اصول اخلاق حرفه ای</t>
  </si>
  <si>
    <t>پاسخگویی به درخواست ها و انتقادات پرسنل</t>
  </si>
  <si>
    <t>پاسخگویی شبانه روزی</t>
  </si>
  <si>
    <t>کنترل و نظارت بر تعداد خودروهای ایاب و ذهاب پرسنل بر اساس ظرفیت</t>
  </si>
  <si>
    <t>( تعداد خودروهای برون سپاری شده )</t>
  </si>
  <si>
    <t>برنامه ریزی سرویس پرسنل بر اساس تغییر تایم کاری</t>
  </si>
  <si>
    <t>رضا فرخي بياتياني</t>
  </si>
  <si>
    <t>كارشناس ترانسپورت</t>
  </si>
  <si>
    <t>سید رضا جزایری</t>
  </si>
  <si>
    <t>کنترل تردد مینی بوس ها و سواری ها به صورت حضوری در ایستگاه ها</t>
  </si>
  <si>
    <t>به صورت روزانه، شامل اثر انگشت ورود و خروج نیز می شود</t>
  </si>
  <si>
    <t>کنترل تعداد نفرات مینی بوس و سواری</t>
  </si>
  <si>
    <t>به صورت روزانه</t>
  </si>
  <si>
    <t>پل ارتباطی بین رانندگان و پرسنل</t>
  </si>
  <si>
    <t>رسیدگی به درخواست های رانندگان مینی بوس و سواری</t>
  </si>
  <si>
    <t>اعلام شکایات و درخواست های پرسنل به سرپرست مربوطه</t>
  </si>
  <si>
    <t xml:space="preserve">هماهنگی با نیروهای جدیدالاستخدام با رانندگان مینی بوس یا سواری </t>
  </si>
  <si>
    <t xml:space="preserve">مدیریت تماس های خارج از تایم کاری جهت هماهنگی با پرسنل و رانندگان </t>
  </si>
  <si>
    <t xml:space="preserve">تکمیل کارکردهای مینی بوس و سواری </t>
  </si>
  <si>
    <t>چاپ کارکردها انتقال دیتا به سیستم</t>
  </si>
  <si>
    <t>پیگیری امورات رانندگان جدیدالاستخدام</t>
  </si>
  <si>
    <t>شامل تاییدیه های ایمنی و ماشین آلات، بستن قراردادها</t>
  </si>
  <si>
    <t>بروزرسانی و تکمیل مدارک رانندگان</t>
  </si>
  <si>
    <t>رفع نواقص مدارک آنها</t>
  </si>
  <si>
    <t>غلامرضا روشني خان آبادي</t>
  </si>
  <si>
    <t>هماهنگی و برنامه ریزی امورات محوله خودروهای سواری یا وانت استیجاری</t>
  </si>
  <si>
    <t>انجام امورات محوله مدیریت</t>
  </si>
  <si>
    <t>۱- اعلام برنامه کاری به رانندگان
۲- ایاب و ذهاب سوپروایزرهای خارجی
۳- انجام برخی امور سیستمی
۴- پاسخگویی به تماس ها
۵- ترانسفر مهمانان ویژه مدیریت
۶- پخش بسته های معیشتی نیازمندان</t>
  </si>
  <si>
    <t>بررسی بلیط های ارسالی جهت  هماهنگی ایاب و ذهاب</t>
  </si>
  <si>
    <t>ارسال گزارشات ماهانه مربوط به سرویس های خودروهای استیجاری، تکمیل گزارشات روزانه خودروهای استیجاری جهت ثبت در سیستم</t>
  </si>
  <si>
    <t>ارسال تردد و کنترل اضافه کار خودروهای استیجاری</t>
  </si>
  <si>
    <t>آسیه  قیصری</t>
  </si>
  <si>
    <t>مدير منابع انساني</t>
  </si>
  <si>
    <t>Overtime Cost</t>
  </si>
  <si>
    <t xml:space="preserve">تعداد حوادث </t>
  </si>
  <si>
    <t>میانگین نفرات -تعداد حوادث</t>
  </si>
  <si>
    <t>KPI Description-
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</si>
  <si>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توسعه فردی -نفر ساعت آموزشی-</t>
  </si>
  <si>
    <t>•	Completing employee settlement within less than 50 days</t>
  </si>
  <si>
    <t>ارزیابی عملکرد فصل قبل</t>
  </si>
  <si>
    <t>Dep. Target Setting : Q1-1404</t>
  </si>
  <si>
    <t>ست کردن عملکرد برای فصل جدید</t>
  </si>
  <si>
    <t>Conducting an employee satisfaction survey regarding the HR department</t>
  </si>
  <si>
    <t>Developing the Suggestion System Regulation in collaboration with the QA team</t>
  </si>
  <si>
    <t>تدوین آیین نامه نظام پیشنهادات همراه با تیم QA</t>
  </si>
  <si>
    <t>Completing the factory’s organizational chart, including Phase 2 Technical Manager and Phase 2 Electrical Manager</t>
  </si>
  <si>
    <t>تکمیل تاپ چارت کارخانه شامل مدیر فنی فاز دو، مدیر برق فاز دو</t>
  </si>
  <si>
    <t>Implementing the 5S system according to the project execution schedule in the relevant areas</t>
  </si>
  <si>
    <t>استقرار نظام 5S مطابق زمان‌بندی اجرای پروژه در فضاهای مرتبط</t>
  </si>
  <si>
    <t>Mangagment team training events: soft skills, leadership, Communication, event/quarter</t>
  </si>
  <si>
    <t>رویدادهای آموزش تیم مدیریت: مهارت‌های نرم، رهبری، ارتباطات</t>
  </si>
  <si>
    <t>Implementing the SAP system in the Human Resources department with minimal issues during the testing phase</t>
  </si>
  <si>
    <t>پیاده سازی سیستم SAP  در منابع انسانی با کمترین میزان مشکلات در مرحله Test</t>
  </si>
  <si>
    <t>Conducting a teamwork training course for supervisors and managers</t>
  </si>
  <si>
    <t>برگزاری دوره آموزشی کار گروهی برای سطوح رئسا و مدیران</t>
  </si>
  <si>
    <t>Reports</t>
  </si>
  <si>
    <t>گزارش عملکرد ماهانه منابع انسانی:
1)	تعداد پرسنل به تفکیک واحد، بخش، سطوح سازمانی
2)	تعداد و مبالغ تشویقی پرسنل به تفکیک ماه، واحد و بخش
3)	تعداد و مبالغ جرایم به تفکیک ماه، واحد، بخش و علت
4)	مزایای رفاهی به تفکیک ماه
5)	تعداد شروع به کار پرسنل به تفکیک ماه، واحد و بخش
6)	نسبت تعداد استخدامی ها به کل کارکنان
7)	تعداد قطع همکاری پرسنل به تفکیک ماه، واحد، بخش و علت
8)	نسبت تعداد خروجی ها به کل کارکنان
9)	وضعیت تسویه حساب پرسنل
10)	نرخ خروج کارکنان به تفکیک ماه و سال
11)	حقوق دریافتی پرسنل به تفکیک ماه، واحد و بخش
12)	نسبت اضافه کار به تولید به تفکیک ماه
13)	تعداد ساعات و مبالغ اضافه کار پرسنل به تفکیک ماه، واحد و بخش
14)	نسبت حقوق به فروش به تفکیک ماه (اطلاعات مورد نیاز: مبلغ فروش ناخالص با احتساب فروش بین شرکتی، مبلغ فروش ناخالص بدون احتساب فروش بین شرکتی، کلیه هزینه های پرسنلی ایرانی و خارجی شامل حقوق دریافتی پرسنل ایرانی و خارجی، مزایای رفاهی، پاداش بهره وری، KPI، پورسانت، عیدی، بیمه تأمین اجتماعی سهم کارفرما، تسویه حساب و مرخصی، امور رفاهی، بیمه تکمیلی درمان سهم کارفرما، هزینه بلیط کارکنان ایرانی و خارجی، هزینه های کارکنان خارجی، مجموع هزینه های سفر و مأموریت ایرانی و خارجی، هزینه غذا، هزینه سرویس، هزینه آموزش، هزینه ورزش از محل ذخیر صندوق پاداش، سامانه پیامکی، لباس کار و HSE به تفکیک ماه)
15)	آمار حضور مدیران، رئسا و سرپرستان در روزهای پنج شنبه و جمعه
16)	نسبت کل اضافه کار به کل حقوق، نسبت اضافه کار شیفتی به کل حقوق، نسبت اضافه کار روزکار ثابت به کل حقوق
17)	انحراف از بودجه ماهانه
18)	تعداد ارتقا، عزل و جابجایی های پرسنل به تفکیک ماه با ذکر شرح
19)	مبالغ شارژ ماهانه سیم کارت و گوشی به تفکیک ماه، واحد و بخش
20)	نرخ غیبت کارکنان به تفکیک ماه، واحد و بخش
21)	وامهای پرداخت شده بانک ملت به پرسنل و باقیمانده آن به تفکیک ماه
22)	پاداش بهره وری و موجودی صندوق به تفکیک ماه
23)	درآمد به ازای هر کارمند
24)	هزینه به ازای هر کارمند
25)	هزینه پرسنلی به درآمد
26)	مبالغ KPI پرسنل به تفکیک ماه، واحد، بخش و پرسنل
27)	تعداد مصاحبه و نتیجه آن ب تفکیک ماه (تعداد متقاضیان، تعداد مصاحبه های انجام شده، منتهی به جذب، رزرو، عدم تأیید)
28)	آمار نفرساعت آموزشی و سرانه آموزش به تفکیک ماه
29)	حوادث حین خدمت به تفکیک ماه
30)	نرخ حوادث کارکنان به تفکیک ماه
31)	عملکرد رانندگان به تفکیک ماه (خرید و بانک، نقل و انتقالات و مجموع هردو)
32)	هزینه هر پرس غذ( صبحانه، ناهار و شام) به تفکیک ماه</t>
  </si>
  <si>
    <t>Holding a team-building gathering (workshop) for managers and supervisors</t>
  </si>
  <si>
    <t>برگزاری یک برنامه Team building gathering ( Work Shop) برای سطوح مدیران و روسا</t>
  </si>
  <si>
    <t>ثريا فياض</t>
  </si>
  <si>
    <t>رئيس كارگزيني</t>
  </si>
  <si>
    <t>آسیه قیصری</t>
  </si>
  <si>
    <t>KPI Description-
هزینه های مرتبط با کار اضافه کاری را اندازه گیری میکند.که میتواند نشان دهنده ظرفیت و کارایی  نیروی کار باشد.-</t>
  </si>
  <si>
    <t>Payroll processing cost per employee</t>
  </si>
  <si>
    <t>درامد به ازای هر کارمند</t>
  </si>
  <si>
    <t>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</si>
  <si>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Registering Q2 of 1404</t>
  </si>
  <si>
    <t xml:space="preserve">ست کردن Q3 - 1404 </t>
  </si>
  <si>
    <t>KPI سه نفر زیرمجموع</t>
  </si>
  <si>
    <t>Absentee rate of staff</t>
  </si>
  <si>
    <t>میانگین غیبت کارکنان</t>
  </si>
  <si>
    <t>تعداد کل روزهای از دست رفته تعرفه کاری / مجموع روزهای کاری کارکنان * 100 : نرخ کلی غیبت</t>
  </si>
  <si>
    <t>Contract renewal schedule</t>
  </si>
  <si>
    <t>نرخ تمدید قراردادها</t>
  </si>
  <si>
    <t>تسویه حساب با کارکنان سالهای گذشته و تسویه حساب زیر 50 روز با کارکنان تازه خارج شده</t>
  </si>
  <si>
    <t>Reporting complaints and handling disputes</t>
  </si>
  <si>
    <t>گزارش شکایات و رسیدگی به اختلافات</t>
  </si>
  <si>
    <t>Seasonal accident report and accident rate</t>
  </si>
  <si>
    <t>گزارش حوادث فصلی و نرخ حوادث</t>
  </si>
  <si>
    <t>Overtime report (total hours, costs, analysis of reasons for increase/decrease)</t>
  </si>
  <si>
    <t>گزارش اضافه کار (کل ساعات، هزینه‌ها، تحلیل دلایل افزایش/کاهش)</t>
  </si>
  <si>
    <t>این گزارش ماهانه می باشد. در KPI گزارش سه ماهه می بایست یکجا ارسال شود.</t>
  </si>
  <si>
    <t>Analysis of salary changes compared to previous periods (seasonal)</t>
  </si>
  <si>
    <t>تحلیل تغییرات حقوق و دستمزد نسبت به دوره‌های قبل (ماهانه، فصلی، سالانه)</t>
  </si>
  <si>
    <t>گزارش عملکرد ماهانه در تاریخ 20 هر ماه</t>
  </si>
  <si>
    <t>زهرا دهان زاده</t>
  </si>
  <si>
    <t>Analysis of the causes of complaints</t>
  </si>
  <si>
    <t>تحلیل علل بروز شکایات</t>
  </si>
  <si>
    <t>Contract renewal rate analysis</t>
  </si>
  <si>
    <t>تقلیل نرخ تمدید قراردادها</t>
  </si>
  <si>
    <t>Unit archive update</t>
  </si>
  <si>
    <t>بروزرسانی بایگانی واحد</t>
  </si>
  <si>
    <t>Resolving employee complaints</t>
  </si>
  <si>
    <t>حل و فصل شکایات کارکنان</t>
  </si>
  <si>
    <t>Accuracy in recording judgments</t>
  </si>
  <si>
    <t>دقت در ثبت احکام</t>
  </si>
  <si>
    <t>تسویه حساب با کارکنان سالهای گذشته</t>
  </si>
  <si>
    <t>Report on the rate of attrition and identify the main reasons for resignations and lack of need and suggest improvements</t>
  </si>
  <si>
    <t xml:space="preserve">گزارش نرخ خروج و شناسایی علت‌های اصلی استعفا و عدم نیاز و پیشنهاد برای بهبود </t>
  </si>
  <si>
    <t>نيلوفر ديناروند</t>
  </si>
  <si>
    <t>Report on the amount of supplementary insurance contributions and insurance payments for employees</t>
  </si>
  <si>
    <t>گزارش میزان ارسالی های بیمه تکمیلی و میزان پرداختی های بیمه برای کارکنان</t>
  </si>
  <si>
    <t>Overtime Vs Production and compare it with last year</t>
  </si>
  <si>
    <t>گزارش ماهانه تسویه حساب با پرسنل ترک کار</t>
  </si>
  <si>
    <t>Monthly SIM card charge consumption report for compact board</t>
  </si>
  <si>
    <t>گزارش میزان شارژ مصرفی سیمکارت ماهانه تخته فشرده</t>
  </si>
  <si>
    <t>مهدي شريف</t>
  </si>
  <si>
    <t>رییس موقت جذب و استخدام</t>
  </si>
  <si>
    <t>recruitment based on organizational chart</t>
  </si>
  <si>
    <t>استخدام مطابق چارت</t>
  </si>
  <si>
    <t>Quality of employment</t>
  </si>
  <si>
    <t>کیفیت استخدام</t>
  </si>
  <si>
    <t>Moving from one stage to another</t>
  </si>
  <si>
    <t>نرخ تبدیل کاندید از هر مرحله</t>
  </si>
  <si>
    <t>Recruitment team efficiency</t>
  </si>
  <si>
    <t>کارایی تیم استخدام</t>
  </si>
  <si>
    <t>MonthlyPromotion and recruitment rates report VS last year</t>
  </si>
  <si>
    <t>گزارش تعداد  جذب و ارتقا ماهانه و مقایسه آن با سال قبل</t>
  </si>
  <si>
    <t>Sending SMS at each stage of recruitment to the interviewee and systematizing SMS</t>
  </si>
  <si>
    <t>ارسال پیامک در هر مرحله از جذب برای مصاحبه شونده و سیستمی نمودن پیامک</t>
  </si>
  <si>
    <t>Register all unfinished resumes from last year to now</t>
  </si>
  <si>
    <t xml:space="preserve">ثبت تمام رزومه های انجام نشده از سال گذشته تا کنون </t>
  </si>
  <si>
    <t>Monthly chart review</t>
  </si>
  <si>
    <t>بررسی ماهیانه چارت و رفع مغایرتهای چارت</t>
  </si>
  <si>
    <t>انیس سعادت</t>
  </si>
  <si>
    <t>بررسی ماهیانه چارت</t>
  </si>
  <si>
    <t>ايمان اميري</t>
  </si>
  <si>
    <t>رییس اموزش</t>
  </si>
  <si>
    <t>Educational Manhour</t>
  </si>
  <si>
    <t>نفر ساعت آموزشی</t>
  </si>
  <si>
    <t>1800</t>
  </si>
  <si>
    <t>Budget saving by negotiation for Educational</t>
  </si>
  <si>
    <t>سیو هزینه از بودجه آموزشی با مذاکره</t>
  </si>
  <si>
    <t>تکمیل شناسنامه آموزشی پرسنل</t>
  </si>
  <si>
    <t>Providing educational documentation for staff</t>
  </si>
  <si>
    <t>تشکیل پرونده آموزشی برای پرسنل</t>
  </si>
  <si>
    <t>Completing summer training according to the calendar</t>
  </si>
  <si>
    <t>تکمیل آموزش های فصل تابستان مطابق تقویم</t>
  </si>
  <si>
    <t>Report of held educational classes, courses name, institute name, attendance names</t>
  </si>
  <si>
    <t>گزارش کلاس های برگزار شده، نام دوره، نام موسسه، افراد شرکت کننده</t>
  </si>
  <si>
    <t>Registring the evaluation result in G-dock</t>
  </si>
  <si>
    <t>ثبت نتیجه ارزیابی هرکلاس در جی داک و گزارش های عملکرد ماهانه</t>
  </si>
  <si>
    <t>عادل خميسي نيا</t>
  </si>
  <si>
    <t>رییس خدمات عمومی</t>
  </si>
  <si>
    <t>Follow up on all public service work</t>
  </si>
  <si>
    <t xml:space="preserve">پیگیری کلیه کارهای خدمات عمومی </t>
  </si>
  <si>
    <t>Monitoring the cleaning of production line halls</t>
  </si>
  <si>
    <t xml:space="preserve">پیگیری نظافت سالن های خطوط تولید </t>
  </si>
  <si>
    <t>Follow up on the collection of all waste from production lines</t>
  </si>
  <si>
    <t xml:space="preserve">پیگیری جمع آوری کلیه ضایعات از خطوط تولید </t>
  </si>
  <si>
    <t>Follow up on waste separation and preparation for sale</t>
  </si>
  <si>
    <t>پیگیری تفکیک ضایعات و آماده سازی جهت فروش</t>
  </si>
  <si>
    <t>Follow up on the cleaning of all water outlet manholes</t>
  </si>
  <si>
    <t xml:space="preserve">پیگیری نظافت کلیه ی منهول های خروج آب </t>
  </si>
  <si>
    <t>Follow-up on cleaning of production hall ceilings</t>
  </si>
  <si>
    <t>پیگیری نظافت سقف سالن های تولیدی</t>
  </si>
  <si>
    <t>Monitoring the cleaning of welfare buildings</t>
  </si>
  <si>
    <t xml:space="preserve">پیگیری نظافت ساختمان های رفاهی </t>
  </si>
  <si>
    <t>Follow-up on the collection of waste returned to the warehouse after the completion of projects</t>
  </si>
  <si>
    <t xml:space="preserve">پیگیری جمع آوری ضایعات برگشتی به انبار بعد از اتمام پروژه ها </t>
  </si>
  <si>
    <t>Follow-up on waste collection at the company level</t>
  </si>
  <si>
    <t>پیگیری جمع آوری زباله ها از سطح شرکت</t>
  </si>
  <si>
    <t>Support for all production and technical units</t>
  </si>
  <si>
    <t>پشتیبانی کلیه ی واحدهای تولیدی و  فنی</t>
  </si>
  <si>
    <t>Continuous defiance of subordinate forces</t>
  </si>
  <si>
    <t xml:space="preserve">سرکشی مداوم به نیروهای زیر مجموعه </t>
  </si>
  <si>
    <t>Monitoring management and sending video reports</t>
  </si>
  <si>
    <t>مدیریت نظارت وارسال گزارشات تصویری</t>
  </si>
  <si>
    <t>Management of service execution tasks</t>
  </si>
  <si>
    <t xml:space="preserve">مدیریت کارهای اجرایی خدماتی </t>
  </si>
  <si>
    <t>پیگیری پروژه اصلاح ساندوبج پنلهای خط آغتشه</t>
  </si>
  <si>
    <t>سید محمود احمدی</t>
  </si>
  <si>
    <t>مسئول خدمات</t>
  </si>
  <si>
    <t>عادل خمیسی نیا</t>
  </si>
  <si>
    <t>Checking the production halls of Phase One</t>
  </si>
  <si>
    <t>چک کردن سالن های تولیدی فاز یک</t>
  </si>
  <si>
    <t>Checking the cleanliness of the premises</t>
  </si>
  <si>
    <t xml:space="preserve">چک کردن نظافت محوطه ها </t>
  </si>
  <si>
    <t>Checking waste loading</t>
  </si>
  <si>
    <t>بررسی بارگیری زباله ها</t>
  </si>
  <si>
    <t>Waste separation review</t>
  </si>
  <si>
    <t>بررسی تفکیک ضایعات</t>
  </si>
  <si>
    <t>Checking the cleanliness around the melamine filter back</t>
  </si>
  <si>
    <t>بررسی نظافت اطراف بک فیلتر ملامینه</t>
  </si>
  <si>
    <t>Resin and impregnated septic tank drain inspection</t>
  </si>
  <si>
    <t>بررسی تخلیه سبتیک رزین و آغشته</t>
  </si>
  <si>
    <t>Checking the cleanliness of the rooms of managers and production supervisors</t>
  </si>
  <si>
    <t>بررسی نظافت اتاق های مدیران و سرپرست تولید</t>
  </si>
  <si>
    <t>Reviewing the distribution of milk, lunch, and tea to staff and managers</t>
  </si>
  <si>
    <t>بررسی توزیع شیر و نهار و چای پرسنل و مدیران</t>
  </si>
  <si>
    <t>Investigating personnel problems and interacting with them</t>
  </si>
  <si>
    <t>بررسی مشکلات پرسنل و تعامل با آنها</t>
  </si>
  <si>
    <t>ميلاد شوهاني</t>
  </si>
  <si>
    <t>سرشيفت</t>
  </si>
  <si>
    <t>Checking the cleanliness of the yard</t>
  </si>
  <si>
    <t>چک کردن نظافت یارد</t>
  </si>
  <si>
    <t>Energy Plant Cleaning Review</t>
  </si>
  <si>
    <t xml:space="preserve">بررسی نظافت انرژی پلنت </t>
  </si>
  <si>
    <t>Forming cleaning check</t>
  </si>
  <si>
    <t>بررسی نظافت فرمینگ</t>
  </si>
  <si>
    <t>Chipper cleaning review</t>
  </si>
  <si>
    <t>بررسی نظافت چیپر</t>
  </si>
  <si>
    <t>Checking the cleanliness of the exhaust and the chimney</t>
  </si>
  <si>
    <t>بررسی نظافت اگزاست و بچه سوله</t>
  </si>
  <si>
    <t>Check for excess fiber loading</t>
  </si>
  <si>
    <t>بررسی بارگیری الیاف اضافی</t>
  </si>
  <si>
    <t>Review of chip collection from premises</t>
  </si>
  <si>
    <t xml:space="preserve">بررسی جمع آوری چیپس از محوطه ها </t>
  </si>
  <si>
    <t>Sanding cleaning check</t>
  </si>
  <si>
    <t>بررسی نظافت سندینگ</t>
  </si>
  <si>
    <t>Inspection of manhole dredging around the energy plant</t>
  </si>
  <si>
    <t>بررسی لایروبی منهول اطراف انرژی پلنت</t>
  </si>
  <si>
    <t>Energy Plant Ash Loading Review</t>
  </si>
  <si>
    <t xml:space="preserve">بررسی بارگیری خاکسترهای انرژی پلنت </t>
  </si>
  <si>
    <t>Investigation of separation of wood and bark waste</t>
  </si>
  <si>
    <t>بررسی تفکیک  ضایعات چوب و پوست</t>
  </si>
  <si>
    <t xml:space="preserve">رضا  بارونی نجف آبادی </t>
  </si>
  <si>
    <t>HR</t>
  </si>
  <si>
    <t>Recording the company’s daily questionnaires</t>
  </si>
  <si>
    <t>ثبت پرسشنامه های روزانه شرکت</t>
  </si>
  <si>
    <t>Coordinating meetings</t>
  </si>
  <si>
    <t>هماهنگی جلسات</t>
  </si>
  <si>
    <t>Preparing and sending occupational health letters for drivers, onboarding letters, and background check requests</t>
  </si>
  <si>
    <t>ایجاد و ارسال نامه های طب کار رانندگان ; شروع به کار ; عدم سوء پیشینه</t>
  </si>
  <si>
    <t>Preparing and compiling monthly reports for the HR department</t>
  </si>
  <si>
    <t xml:space="preserve">تنظیم و تهیه گزارش های ماهانه واحد منابع انسانی </t>
  </si>
  <si>
    <t>Creating and organizing personnel files for newly hired employees</t>
  </si>
  <si>
    <t>پیگیری پروژه ساندویچ پنل های آغشته و ساختمان فنی و مهندسی</t>
  </si>
  <si>
    <t>احسان افشاريان زاده</t>
  </si>
  <si>
    <t>مدير كيفيت فاز1</t>
  </si>
  <si>
    <t>QC</t>
  </si>
  <si>
    <t>Rework Rate (%)</t>
  </si>
  <si>
    <t>نرخ بازکاری (Rework Rate %)</t>
  </si>
  <si>
    <t>Rework Rate (%)=(کل مقدار تولید /مقدار محصولات بازکاری‌شده)​ ×100</t>
  </si>
  <si>
    <t>Customer Return Rate (%)</t>
  </si>
  <si>
    <t>نرخ برگشتی از مشتری (Customer Return Rate %)</t>
  </si>
  <si>
    <t>Customer Return Rate (%)=(کل مقدار محصولات ارسال‌شده /مقدار محصولات برگشتی از مشتری) ​×100</t>
  </si>
  <si>
    <t>First Pass Yield (FPY %)</t>
  </si>
  <si>
    <t>نرخ قبول در اولین بار (First Pass Yield %)</t>
  </si>
  <si>
    <t>First Pass Yield (%)=(کل تعداد محصولات تولیدشده /تعداد محصولات پذیرفته‌شده بدون بازکاری) ​×100</t>
  </si>
  <si>
    <t>CAPA Completion Rate (%)</t>
  </si>
  <si>
    <t>درصد تحقق اقدامات اصلاحی و پیشگیرانه (CAPA Completion Rate %)</t>
  </si>
  <si>
    <t>CAPA Completion Rate (%)=(کل اقدامات اصلاحی و پیشگیرانه برنامه‌ریزی‌شده /تعداد اقدامات اصلاحی و پیشگیرانه تکمیل‌شده​ )×100</t>
  </si>
  <si>
    <t>Quality Audit &amp; Corrective action report</t>
  </si>
  <si>
    <t>Factory quality Audit Report - Monthly</t>
  </si>
  <si>
    <t>SOP : QA &amp; QC Procedures</t>
  </si>
  <si>
    <t>SOP documentation - All Product category</t>
  </si>
  <si>
    <t>Quality System</t>
  </si>
  <si>
    <t>تکمیل کلیه مستندات ایزو و انجام حداقل یک ممیزی داخلی</t>
  </si>
  <si>
    <t xml:space="preserve">ایجاد و ارائه گزارشات آماری روی ملزومات ورودی و برخی مواد اولیه </t>
  </si>
  <si>
    <t>تدوین و ارائه آیین نامه نظام پیشنهادات</t>
  </si>
  <si>
    <t>مينا كرامتي نژاد</t>
  </si>
  <si>
    <t>رئيس كنترل كيفيت مواد شيميايي</t>
  </si>
  <si>
    <t>Material wastage recording &amp; reporting on daily basis</t>
  </si>
  <si>
    <t xml:space="preserve">ضبط و گزارش‌دهی روزانه ضایعات مواد اولیه </t>
  </si>
  <si>
    <t>FG Material quality grading should be completed within 1 day, Grade % &amp;B root cause analysis to be submitted</t>
  </si>
  <si>
    <t>ارزیابی کیفیت محصولات باید در عرض یک روز کامل شده و درجه‌بندی، ریشه‌یابی علل مشکلات و نتیجه‌گیری‌ها ارائه شود</t>
  </si>
  <si>
    <t>SOP documentation for Quality to be completed in Q1</t>
  </si>
  <si>
    <t>محمدرضا عيوضي</t>
  </si>
  <si>
    <t>سرپرست كنترل كيفيت يارد</t>
  </si>
  <si>
    <t>سينا مختبا</t>
  </si>
  <si>
    <t>رئيس كنترل كيفيت</t>
  </si>
  <si>
    <t>احسان شوهاني</t>
  </si>
  <si>
    <t>رئيس كنترل كيفيت ملامينه</t>
  </si>
  <si>
    <t>احسان افشاریان زاده</t>
  </si>
  <si>
    <t>مطهره منصوري</t>
  </si>
  <si>
    <t>محمد رجب كلانترزاده</t>
  </si>
  <si>
    <t>رئيس آزمايشگاه</t>
  </si>
  <si>
    <t>مصطفی دهان زاده</t>
  </si>
  <si>
    <t>QCMDF</t>
  </si>
  <si>
    <t>Target Zero Manhour Loss</t>
  </si>
  <si>
    <t>علي اصغر كلانتري للري</t>
  </si>
  <si>
    <t>رئيس برنامه ريزي، نگهداري و تعميرات (PM)</t>
  </si>
  <si>
    <t>فني و مهندسي - نت</t>
  </si>
  <si>
    <t>درصد اجرای برنامه PM طبق زمان‌بندی (PM Compliance %)</t>
  </si>
  <si>
    <t>PM Compliance (%)=کل فعالیت‌های برنامه‌ریزی‌شده /تعداد فعالیت‌های نگهداری پیشگیرانه انجام‌شده در موعد مقرر​) ×100)</t>
  </si>
  <si>
    <t>شاخص Availability  کارخانه</t>
  </si>
  <si>
    <t>Availability Improvement (%)=(Previous Quarter Availability-Current Quarter Availability)/Previous Quarter Availability×100</t>
  </si>
  <si>
    <t>درصد توقفات ناشی از خرابی تجهیزات</t>
  </si>
  <si>
    <t>Equipment Breakdown Downtime (%)=کل زمان تولید برنامه‌ریزی‌شده /زمان توقفات ناشی از خرابی تجهیزات ​×100</t>
  </si>
  <si>
    <t>درصد تحقق پروژه‌های بهبود فنی در زمان و بودجه</t>
  </si>
  <si>
    <t>Completion Rate (%)=کل پروژه‌های بهبود فنی برنامه‌ریزی‌شده /تعداد پروژه‌های بهبود فنی تکمیل‌شده در زمان و بودجه)​ ×100</t>
  </si>
  <si>
    <t>نرخ اجرای اصلاحات مهندسی (ECR Completion Rate)</t>
  </si>
  <si>
    <t>ECR Completion Rate (%)=کل اصلاحات مهندسی برنامه‌ریزی‌شده /تعداد اصلاحات مهندسی اجراشده​) ×100</t>
  </si>
  <si>
    <t>جمع آوری و تدوین لیست اقلام مصرفی خطوط همراه با نقطه سفارش</t>
  </si>
  <si>
    <t xml:space="preserve">تهیه لیست قطعات یدکی خاص خطوط و سفارش گذاری </t>
  </si>
  <si>
    <t>اصلاح کدینک انبار فنی</t>
  </si>
  <si>
    <t xml:space="preserve">اخذ گواهینامه برای مخازن تحت فشار، مخازن نگهداری، جرثقیل ها، لیفتراک ها، چاههای ارت، دیگ های بخار </t>
  </si>
  <si>
    <t xml:space="preserve">تدوین برنامه PM خط MDF دوره های سه ماهه، شش ماهه و یکساله. ( تکمیل شود). </t>
  </si>
  <si>
    <t>برنامه ریزی جهت کاهش برنامه PM خطوط هایگلاس و ملامینه از 48 ساعت به 36 ساعت</t>
  </si>
  <si>
    <t>هادي کرد</t>
  </si>
  <si>
    <t>مدیر فنی و مهندسی فاز1</t>
  </si>
  <si>
    <t>PM Compliance (%)</t>
  </si>
  <si>
    <t>در دسترس پذیری خطوط</t>
  </si>
  <si>
    <t>پیرو اعلام نظر مهندس حسین زاده: شامل خطوط ملامینه 1 ملامینه 2 هایگلاس، سه خط آغشته و پلنت شیمیایی</t>
  </si>
  <si>
    <t>Equipment Breakdown Downtime (%)</t>
  </si>
  <si>
    <t>Technical Improvement Projects Completion Rate (%)</t>
  </si>
  <si>
    <t>ECR Completion Rate (%)</t>
  </si>
  <si>
    <t>اصلاح سیستم کدینگ انبار فنی</t>
  </si>
  <si>
    <t>پیاده سازی سیستم کنتور اتومات در ورودی و خروجی خطوط ملامینه و هایگلاس برای ثبت دقیق گزارشات تولید</t>
  </si>
  <si>
    <t>نصب کلید محافظ جان برای تمام  پریزهای سه فاز و تک فاز که مورد استفاده برای ابزارهای پرتاببل می باشد. ( غیر از ساختمان های اداری)</t>
  </si>
  <si>
    <t>پروژه اصلاحات سیستم اعلام حریق</t>
  </si>
  <si>
    <t>مصطفی علیزاده</t>
  </si>
  <si>
    <t>هادی کرد</t>
  </si>
  <si>
    <t>فنی و مهندسی-برق و ابزاردقیق فاز 1</t>
  </si>
  <si>
    <t>Completion Rate of Planned Maintenance Job (PM)</t>
  </si>
  <si>
    <t>نسبت تکمیل کارهای نگهداری برنامه‌ریزی‌شده (PM)</t>
  </si>
  <si>
    <t>(Total number of completed activities in planned maintenance / Total number of activities required in planned maintenance)*100</t>
  </si>
  <si>
    <t>Timely Completion of Ad-Hoc Maintenance Tasks (unplanned)</t>
  </si>
  <si>
    <t>تکمیل به‌موقع وظایف موردی (برنامه ریزی نشده)</t>
  </si>
  <si>
    <t>(Total number of completed activities in unplanned maintenance / Total number of activities required in unplanned maintenance)*100</t>
  </si>
  <si>
    <t>Spare Parts Utilization</t>
  </si>
  <si>
    <t>بهینه‌سازی مصرف قطعات یدکی</t>
  </si>
  <si>
    <t>Spare Parts Utilization (%) = (Number of Used Spare Parts from Inventory) / (Total Purchased Spare Parts) × 100</t>
  </si>
  <si>
    <t>Maintenance Cost Reduction</t>
  </si>
  <si>
    <t>کاهش هزینه ‌های نگهداری و تعمیرات</t>
  </si>
  <si>
    <t>Maintenance Cost Reduction=((Previous Month Maintenance Cost-Current Month Maintenance Cost))/(Previous Month Maintenance Cost)*100</t>
  </si>
  <si>
    <t>Safety - Accident service rate, Target Zero Manhour Loss</t>
  </si>
  <si>
    <t>ایمنی - نرخ حادثه، هدف صفر خسارت ساعت‌های کاری</t>
  </si>
  <si>
    <t>Accident Sick Leave Rate (%) = ((Number of Employees on Safety-related Sick Leave / Total Employees) × 100)-100</t>
  </si>
  <si>
    <t>تعداد توقف‌های مکرر کمتر از 5% از کل توقف‌ها</t>
  </si>
  <si>
    <t>Rework Rate=(Number of Repeat Repairs)/(Total Repairs)*100</t>
  </si>
  <si>
    <t>Breakdown Reduction</t>
  </si>
  <si>
    <t xml:space="preserve">کاهش خرابی‌های اضطراری </t>
  </si>
  <si>
    <t>Breakdown Reduction (%) = 
((Breakdowns in Previous Quarter – Breakdowns in Current Quarter) / Breakdowns in Previous Quarter) × 100</t>
  </si>
  <si>
    <t>Maintenance Report Quality-MRQ</t>
  </si>
  <si>
    <t xml:space="preserve">کیفیت گزارش‌های نگهداری و تعمیرات </t>
  </si>
  <si>
    <t>MRQ=Number of reports meeting quality standards/Total number of maintenance reports</t>
  </si>
  <si>
    <t>Participation Rate</t>
  </si>
  <si>
    <t xml:space="preserve">نرخ مشارکت در جلسات و ارائه پیشنهادات بهبود </t>
  </si>
  <si>
    <t>Participation Rate=Number of Suggestions Given/Total Number of Meetings*100</t>
  </si>
  <si>
    <t>Production Line Management Dashboard (Automation)</t>
  </si>
  <si>
    <t>داشبورد مدیریت خطوط تولید(اتوماسیون)</t>
  </si>
  <si>
    <t>Glue Drum Fabrication</t>
  </si>
  <si>
    <t>ساخت درام چسب</t>
  </si>
  <si>
    <t>Fire Alarm Monitoring</t>
  </si>
  <si>
    <t>مانیتورینگ اعلام حریق</t>
  </si>
  <si>
    <t>Installation Project of the Main Building Transformer</t>
  </si>
  <si>
    <t xml:space="preserve">پروژه نصب ترانس ساختمان مرکزی </t>
  </si>
  <si>
    <t>Resin Program Change from INTACH to TIA</t>
  </si>
  <si>
    <t>تغییر برنامه رزین از INTACH به TIA</t>
  </si>
  <si>
    <t>مجتبي هدايت نسب</t>
  </si>
  <si>
    <t>رئيس تاسيسات</t>
  </si>
  <si>
    <t>فنی و مهندسی-تاسیسات فاز 1</t>
  </si>
  <si>
    <t>Central Cooling System for Production Halls– Phase 1</t>
  </si>
  <si>
    <t>سرمایش مرکزی سالن های تولید فاز 1</t>
  </si>
  <si>
    <t>خليل ديلمي</t>
  </si>
  <si>
    <t>رئيس مكانيك</t>
  </si>
  <si>
    <t>فنی و مهندسی-مکانیک فاز 1</t>
  </si>
  <si>
    <t>ساخت درام چسب هایگلاس</t>
  </si>
  <si>
    <t>Modification of the First Bridge Structure of the Melamine Line and Removal of the Separator</t>
  </si>
  <si>
    <t>تغییر ساختار پل اول خط ملامینه و حذف سپراتور</t>
  </si>
  <si>
    <t>Commissioning of Vacuum Reserve System for the Melamine Production Line</t>
  </si>
  <si>
    <t>نصب وکیوم های رزرو خط تولید ملامینه</t>
  </si>
  <si>
    <t>Improvement of Melamine Cutter System</t>
  </si>
  <si>
    <t>اصلاح سیستم کاتر ملامینه 2</t>
  </si>
  <si>
    <t>Replacement of High-Gloss Rollers</t>
  </si>
  <si>
    <t>تعویض رولیک های هایگلاس</t>
  </si>
  <si>
    <t>رضا  عینلوند</t>
  </si>
  <si>
    <t>رئيس مكانيك عمومي</t>
  </si>
  <si>
    <t>فنی و مهندسی-مکانیک عمومی</t>
  </si>
  <si>
    <t>Execution of compressed air piping from the Dyna Screen structure to the Rechipper structure</t>
  </si>
  <si>
    <t>اجرای پایپینگ هوا فشرده از سازه داینا اسکرین به سازه ریچیپر</t>
  </si>
  <si>
    <t>Installation of required platforms for production lines</t>
  </si>
  <si>
    <t>اجرای پلتفرم های مورد نیاز خطوط تولید</t>
  </si>
  <si>
    <t>Fabrication of a plate between the Plate Conveyor and the Chain Conveyor</t>
  </si>
  <si>
    <t>ساخت ورق بین پلیت کانوایر و چین کانوایر</t>
  </si>
  <si>
    <t>Construction of the Blow Line according to the new design</t>
  </si>
  <si>
    <t>ساخت Blow Line مطابق با طراحی جدید</t>
  </si>
  <si>
    <t>Modification of the Trasmec line chutes</t>
  </si>
  <si>
    <t>اصلاح شوت های خط ترسمک</t>
  </si>
  <si>
    <t>Construction of the absorption chiller room</t>
  </si>
  <si>
    <t>ساخت اتاق چیلر جذبی</t>
  </si>
  <si>
    <t>Repair of leaks in the formalin expansion joints</t>
  </si>
  <si>
    <t>اصلاح نشتی اکسپنشن های فرمالین</t>
  </si>
  <si>
    <t>جواد فرج الهی</t>
  </si>
  <si>
    <t>رئيس طراحي و مهندسي</t>
  </si>
  <si>
    <t>فنی و مهندسی-طراحی مهندسی</t>
  </si>
  <si>
    <t>Drawing Completion Rate</t>
  </si>
  <si>
    <t>نرخ تکمیل نقشه‌ها در زمان مقرر</t>
  </si>
  <si>
    <t>درصد نقشه‌های طراحی یا اصلاح‌شده که در موعد مقرر تحویل داده شده‌اند</t>
  </si>
  <si>
    <t>Drawing Accuracy Rate</t>
  </si>
  <si>
    <t>درصد صحت نقشه‌ها</t>
  </si>
  <si>
    <t>درصد نقشه‌هایی که بدون نیاز به اصلاح توسط تولید یا نگهداری تأیید شده‌اند</t>
  </si>
  <si>
    <t>Design Change Response Time</t>
  </si>
  <si>
    <t>میانگین زمان پاسخ به درخواست تغییرات طراحی</t>
  </si>
  <si>
    <t>میانگین زمان پاسخ‌گویی به تغییرات ارسالی از واحدهای دیگر</t>
  </si>
  <si>
    <t>BOM Accuracy</t>
  </si>
  <si>
    <t>دقت در تهیه لیست اقلام (BOM)</t>
  </si>
  <si>
    <t>درصد BOMهایی که بدون خطا تحویل داده شده‌اند</t>
  </si>
  <si>
    <t>Technical Documentation Update Rate</t>
  </si>
  <si>
    <t>نرخ به‌روزرسانی مستندات فنی</t>
  </si>
  <si>
    <t>درصد به‌روزرسانی‌هایی که طبق برنامه زمان‌بندی‌شده انجام شده‌اند</t>
  </si>
  <si>
    <t>Production Hall Ventilation</t>
  </si>
  <si>
    <t>تهویه سالن تولید</t>
  </si>
  <si>
    <t>Scale for Yard</t>
  </si>
  <si>
    <t>باسکول برای یارد</t>
  </si>
  <si>
    <t>Sifter Reject Handling</t>
  </si>
  <si>
    <t>انتقال ریجکتی های زیفتر</t>
  </si>
  <si>
    <t>Resin plant raw Material Handling</t>
  </si>
  <si>
    <t>انتقال مواد خام رزین سازی</t>
  </si>
  <si>
    <t>رضا زلقی</t>
  </si>
  <si>
    <t>رئيس ماشين آلات</t>
  </si>
  <si>
    <t>فنی و مهندسی-ماشین آلات</t>
  </si>
  <si>
    <t>Equipment Availability Rate</t>
  </si>
  <si>
    <t>نرخ آماده‌به‌کاری ماشین‌آلات</t>
  </si>
  <si>
    <t>درصد زمانی که ماشین‌آلات در دسترس و قابل بهره‌برداری هستند</t>
  </si>
  <si>
    <t>Preventive Maintenance Compliance</t>
  </si>
  <si>
    <t>Emergency Breakdown Rate</t>
  </si>
  <si>
    <t>نرخ خرابی‌های اضطراری</t>
  </si>
  <si>
    <t>درصد خرابی‌های اضطراری نسبت به کل خرابی‌ها</t>
  </si>
  <si>
    <t>Maintenance Budget Deviation</t>
  </si>
  <si>
    <t>انحراف هزینه از بودجه ماشین‌آلات</t>
  </si>
  <si>
    <t>اختلاف هزینه واقعی نگهداری و تعمیر با بودجه مصوب</t>
  </si>
  <si>
    <t xml:space="preserve"> کیفیت گزارش‌های نگهداری و تعمیرات</t>
  </si>
  <si>
    <t>Safety Incident Rate</t>
  </si>
  <si>
    <t>نرخ حوادث ایمنی</t>
  </si>
  <si>
    <t>Stationary Grapples</t>
  </si>
  <si>
    <t>چنگک ثابت</t>
  </si>
  <si>
    <t>هادی  کاوندی</t>
  </si>
  <si>
    <t xml:space="preserve">سرپرست شبکه برق و روشنایی </t>
  </si>
  <si>
    <t>PM Execution Rate</t>
  </si>
  <si>
    <t>درصد اجرای تعمیرات پیشگیرانه</t>
  </si>
  <si>
    <t>درصد اجرای PM طبق برنامه زمان‌بندی</t>
  </si>
  <si>
    <t>Accuracy Rate of Completed Tasks</t>
  </si>
  <si>
    <t>درصد صحت کارهای انجام شده</t>
  </si>
  <si>
    <t>Accuracy Rate (%) = 100 × (1 - (Number of Returned Tasks / Total Number of Tasks))</t>
  </si>
  <si>
    <t>Spare Parts Responsibility</t>
  </si>
  <si>
    <t>دقت در مصرف قطعات یدکی</t>
  </si>
  <si>
    <t>مصرف درست، گزارش‌دهی دقیق و بهینه‌سازی مصرف قطعات</t>
  </si>
  <si>
    <t>Safety Compliance</t>
  </si>
  <si>
    <t>رعایت نکات ایمنی</t>
  </si>
  <si>
    <t>نداشتن حادثه یا شبه‌حادثه در مدت ارزیابی</t>
  </si>
  <si>
    <t>Report Quality</t>
  </si>
  <si>
    <t>کیفیت گزارش‌نویسی</t>
  </si>
  <si>
    <t>وضوح، دقت، و جامعیت گزارش تعمیرات</t>
  </si>
  <si>
    <t>Participation in Projects</t>
  </si>
  <si>
    <t>مشارکت در پروژه‌های بهبود</t>
  </si>
  <si>
    <t>همکاری در پروژه‌های ارتقاء عملکرد یا کاهش خرابی</t>
  </si>
  <si>
    <t>حسن جاویدان</t>
  </si>
  <si>
    <t>مسئول سيم پيچي</t>
  </si>
  <si>
    <t>Winding Quality Rate</t>
  </si>
  <si>
    <t>نرخ کیفیت سیم‌پیچی</t>
  </si>
  <si>
    <t>Winding Quality Rate = (Number of Accepted Windings / Total Windings Produced) ×100</t>
  </si>
  <si>
    <t>On-Time Delivery Rate</t>
  </si>
  <si>
    <t>نرخ تحویل به‌موقع به واحدهای بعدی</t>
  </si>
  <si>
    <t>OTD = (Number of Deliveries Made on Time / Total Deliveries) × 100</t>
  </si>
  <si>
    <t>Average Winding Time per Motor</t>
  </si>
  <si>
    <t xml:space="preserve"> میانگین زمان سیم‌پیچی هر موتور</t>
  </si>
  <si>
    <t>Total Time Spent on Winding / Number of Motors Wound</t>
  </si>
  <si>
    <t>سعيد شريف</t>
  </si>
  <si>
    <t>سرپرست تاسیسات عمومی</t>
  </si>
  <si>
    <t>فني و مهندسي-تاسیسات عمومی</t>
  </si>
  <si>
    <t>Completion Rate of Planned Maintenance Job (PM) - Beginning of month</t>
  </si>
  <si>
    <t>نسبت تکمیل کارهای نگهداری برنامه‌ریزی‌شده (PM) - آغاز ماه</t>
  </si>
  <si>
    <t>Timely Completion of Ad-Hoc Maintenance Tasks (unplanned) - During the month</t>
  </si>
  <si>
    <t>تکمیل به‌موقع وظایف موردی (برنامه ریزی نشده) - در طول ماه</t>
  </si>
  <si>
    <t>احمد سرخه</t>
  </si>
  <si>
    <t>سرپرست فلزكاري</t>
  </si>
  <si>
    <t>رضا عینلوند</t>
  </si>
  <si>
    <t>مجيد ال كثير</t>
  </si>
  <si>
    <t>مسئول رنگ آميزي</t>
  </si>
  <si>
    <t>Surface Preparation Compliance Rate</t>
  </si>
  <si>
    <t>درصد انطباق آماده‌سازی سطح با استاندارد</t>
  </si>
  <si>
    <t>کنترل کیفیت فرآیند سندبلاست طبق استانداردهای فنی (SA2.5 و...)</t>
  </si>
  <si>
    <t>Paint Quality Rework Rate</t>
  </si>
  <si>
    <t>درصد بازکاری رنگ</t>
  </si>
  <si>
    <t>ارزیابی کیفیت نهایی رنگ و دقت در اجرای مراحل رنگ‌آمیزی</t>
  </si>
  <si>
    <t>Spare Parts Utilization Accuracy</t>
  </si>
  <si>
    <t>Number of Safety Violations and Incidents</t>
  </si>
  <si>
    <t>تعداد تخلفات ایمنی و حوادث</t>
  </si>
  <si>
    <t>Maintenance Report Quality (MRQ)</t>
  </si>
  <si>
    <t>محمد راشدی</t>
  </si>
  <si>
    <t>کمال چلیک</t>
  </si>
  <si>
    <t>فنی و مهندسی-تاسیسات فاز 2</t>
  </si>
  <si>
    <t>Monthly production target</t>
  </si>
  <si>
    <t>هدف تولید ماهانه</t>
  </si>
  <si>
    <t>مطابق با فرمایش آقای حسین زاده : 
هدف تولید ماهانه 30.000 متر مکعب</t>
  </si>
  <si>
    <t>water cooling tower (compressors-refiner chiller-filters)</t>
  </si>
  <si>
    <t>نشتی آب چیلر</t>
  </si>
  <si>
    <t>Fixing Drain Issues - Utilities</t>
  </si>
  <si>
    <t>رفع مشکلات زهکشی - تاسیسات</t>
  </si>
  <si>
    <t>مهران الماسي فر</t>
  </si>
  <si>
    <t>فنی و مهندسی-مکانیک فاز 2</t>
  </si>
  <si>
    <t>Trasmec - Extra Power Unit</t>
  </si>
  <si>
    <t>تراسمک - پاور یونیت اضافی</t>
  </si>
  <si>
    <t>Pneumatic System (Transfer Reject), second hand bag filter</t>
  </si>
  <si>
    <t>سیستم پنوماتیک (انتقال ضایعات)، فیلتر کیسه ای دست دوم</t>
  </si>
  <si>
    <t>مدیر ارشد فاز 2</t>
  </si>
  <si>
    <t>ProductionMDF</t>
  </si>
  <si>
    <t>پایبندی به لیست مواد مصرفی (BOM Accuracy %)
MDF: Less than 10%
MDF   کمتر از 10%</t>
  </si>
  <si>
    <t>OEE (%)=Availability×Performance×Quality×100
Availabiulity=زمان واقعی تولید/زمان برنامه ریزی شده 
Performance=  تولید واقعی/ تولید اسمی در زمان کارکرد واقعی 
Quality= تعداد محصول سالم / کل تولید</t>
  </si>
  <si>
    <t>Unplanned Downtime (%)</t>
  </si>
  <si>
    <t>درصد توقفات برنامه‌ریزی‌نشده (Unplanned Downtime %)</t>
  </si>
  <si>
    <t>Unplanned Downtime (%) =کل زمان در دسترس تولید / زمان توقفات غیر برنامه‌ریزی‌شده) ​× 100)</t>
  </si>
  <si>
    <t>Scrap Rate (%)</t>
  </si>
  <si>
    <t>نرخ ضایعات (Scrap Rate %)</t>
  </si>
  <si>
    <t>Scrap Rate (%)=(کل مقدار تولید /مقدار ضایعات تولیدی) ​×100</t>
  </si>
  <si>
    <t>Inventory Accuracy Rate</t>
  </si>
  <si>
    <t>دقت موجودی انبار (Inventory Accuracy %)</t>
  </si>
  <si>
    <t>Inventory Accuracy (%)=(کل اقلام یا مقدار بررسی‌شده /تعداد اقلام یا مقدار منطبق بین موجودی سیستم و موجودی واقعی) ​×100</t>
  </si>
  <si>
    <t>OTIF (On-Time In-Full) Delivery to Customer</t>
  </si>
  <si>
    <t>نرخ تحقق سفارش مشتری (OTIF: On Time In Full %)</t>
  </si>
  <si>
    <t>OTIF (%)=(کل سفارش‌های مشتری /تعداد سفارش‌های تحویل‌شده به‌موقع و کامل) ​×100</t>
  </si>
  <si>
    <t xml:space="preserve"> مقایرت گیری آنلاین و به موقع  کالای بین کارخانه ها</t>
  </si>
  <si>
    <t>انجام مغایرت گری آن تایم</t>
  </si>
  <si>
    <t>ماهانه 30000  
Monthly 30000</t>
  </si>
  <si>
    <t>Production of Grade A quality product</t>
  </si>
  <si>
    <t>تولید محصول با کیفیت درجه یک</t>
  </si>
  <si>
    <t>FG-WH Monthly closing</t>
  </si>
  <si>
    <t xml:space="preserve">بستن انبارمحصول </t>
  </si>
  <si>
    <t>SOP documentation for Production to be completed in Q1 (Part of ISO)</t>
  </si>
  <si>
    <t>تکمیل مستندسازی SOP برای تولید در طول فصل اول (جزء استاندارد ISO)</t>
  </si>
  <si>
    <t>Cost Saving: Reduce 5% Vs LY: % Total Cost Vs Sales</t>
  </si>
  <si>
    <t xml:space="preserve">حداکثر انحراف مصرف نسبت به BOM  </t>
  </si>
  <si>
    <t>Completion of the Technical Chart for Phase 2</t>
  </si>
  <si>
    <t>تکمیل چارت فنی در فاز دو</t>
  </si>
  <si>
    <t xml:space="preserve">Removing Gov issue </t>
  </si>
  <si>
    <t>تکمیل مستندات و ممیزی موفق جهت اخذ ISO</t>
  </si>
  <si>
    <t>پروژه بهبود بهره وری یا صرفه جویی مالی</t>
  </si>
  <si>
    <t>انتقال مواد از سیفتر به کمک فن sifter discharge material hndlinf by fan and siclon</t>
  </si>
  <si>
    <t>Air conditioning of production halls Projects</t>
  </si>
  <si>
    <t>پروژه تهویه مطبوع سالن های تولید</t>
  </si>
  <si>
    <t xml:space="preserve">یونس حسین زاده </t>
  </si>
  <si>
    <t>مدیر تولید</t>
  </si>
  <si>
    <t>رامين زرگوش</t>
  </si>
  <si>
    <t>رئیس سنباده</t>
  </si>
  <si>
    <t xml:space="preserve">مطابق با فرمایش آقای حسین زاده : 
-تولید محصول با کیفیت درجه یک به میزان 99.5% </t>
  </si>
  <si>
    <t>Machine Availability time for production should be &gt; 85% of total time in a month (Part of OEE)</t>
  </si>
  <si>
    <t>زمان در دسترس بودن ماشین برای تولید باید بیش از 85% کل زمان در ماه باشد (جزء مؤلفه کارایی کلی ماشین - OEE)</t>
  </si>
  <si>
    <t>Quality rate 99,2 % for total raw board productions</t>
  </si>
  <si>
    <t>نرخ کیفیت: 99.2% برای ملامین، 99,2%</t>
  </si>
  <si>
    <t>To be calcualted by Finance based on BOM target value and actual BOM value at current unit price for total production. If cost is below YTD average, score is 100%, If cost is above upto 5% of average, Score is 80%. Above 5%, Score is ZERO</t>
  </si>
  <si>
    <t>میزان ضایعات مواد: مطابق با بودجه یا در محدوده میانگین سالانه</t>
  </si>
  <si>
    <t>Inspection results of oversight Organizations</t>
  </si>
  <si>
    <t>نرخ نقص تأمین‌کننده</t>
  </si>
  <si>
    <t>نرخ تکمیل شدن کارهای تعمیرات و نگهداری کارخانه</t>
  </si>
  <si>
    <t>Maintenance Cost as per budget or within YTD Average cost including current month</t>
  </si>
  <si>
    <t>هزینه نگهداری و تعمیرات مطابق با بودجه یا در محدوده میانگین هزینه سال تا به امروز (YTD) شامل ماه جاری</t>
  </si>
  <si>
    <t>Spare Parts Utilization Optimization</t>
  </si>
  <si>
    <t>Number of recurring downtime &lt; 8 % of total down time</t>
  </si>
  <si>
    <t>تعداد خرابی‌های تکرارشونده کمتر از ۵% کل زمان از کار افتادگی</t>
  </si>
  <si>
    <t>عباس مسحنه</t>
  </si>
  <si>
    <t>رئيس توليد</t>
  </si>
  <si>
    <t>كوروش آقاخاني</t>
  </si>
  <si>
    <t>سرپرست انرژي پلنت</t>
  </si>
  <si>
    <t>علي عقابي</t>
  </si>
  <si>
    <t>Production</t>
  </si>
  <si>
    <t xml:space="preserve">تکمیل مستندات تولید جهت اخذ ایزو </t>
  </si>
  <si>
    <t>مدیریت  انحراف مصرف و کاهش آن به 1% برای شیمیایی و ملامینه، 3% برای هایگلاس و 4% برای آغشته</t>
  </si>
  <si>
    <t>افزایش طول عمر پرس پدهای خطوط ملامینه از یک ماه به دو ماه در فاز اول</t>
  </si>
  <si>
    <t>تهیه لیست اقلام مصرفی تولید در فاز یک همراه با تعریف نقطه سفارش و مقدار بهینه خرید</t>
  </si>
  <si>
    <t>اصلاح گزارشات تولید و ثبت کامل تمام ضایعات قابل فروش و غیر قابل فروش در سیستم نماد</t>
  </si>
  <si>
    <t>اصلاح انبار پای کار به نحوی که مغایرت با واحد مالی صفر شود ( انبار پای کار تولیدهای انجام شده صفر باشد و فقط برای تولیدات پیش رو انبار پای کار استفاده شود)</t>
  </si>
  <si>
    <t>رضا محمودي</t>
  </si>
  <si>
    <r>
      <t>Production Volume / Month  : Impregnated Paper: 23,850,000 m</t>
    </r>
    <r>
      <rPr>
        <vertAlign val="superscript"/>
        <sz val="9"/>
        <color theme="1"/>
        <rFont val="B Nazanin"/>
        <charset val="178"/>
      </rPr>
      <t>2</t>
    </r>
    <r>
      <rPr>
        <sz val="9"/>
        <color theme="1"/>
        <rFont val="B Nazanin"/>
        <charset val="178"/>
      </rPr>
      <t xml:space="preserve">    </t>
    </r>
  </si>
  <si>
    <t>Machine Availability time for production should be &gt; 88% of total time in a month (Part of OEE)</t>
  </si>
  <si>
    <t>زمان در دسترس بودن ماشین برای تولید باید بیش از 88% کل زمان در ماه باشد (جزء مؤلفه کارایی کلی ماشین - OEE)</t>
  </si>
  <si>
    <t>Quality Rate 99.8% (Compliance with QC Specification, based on agreed standard raw material specification)</t>
  </si>
  <si>
    <t>Production Area Audit Report &amp; Corrective action report</t>
  </si>
  <si>
    <t>گزارش بازرسی منطقه تولید و گزارش اقدامات اصلاحی</t>
  </si>
  <si>
    <t>Monthly Report to be standardized and aproved by factory manager</t>
  </si>
  <si>
    <t>Recording production and consumption of raw materials</t>
  </si>
  <si>
    <t>ثبت تولید و مصرف مواد اولیه در انبار پای کار</t>
  </si>
  <si>
    <t>Monthly Reconciliation report approved by factory manager</t>
  </si>
  <si>
    <t>Downtime recording and follow-up with standardized report format</t>
  </si>
  <si>
    <t>پیگیری ثبت توقفات در ماشین‌آلات با فرمت جدید</t>
  </si>
  <si>
    <t>Downtime Analysis and Corrective action Monthly report approved by factory manager</t>
  </si>
  <si>
    <t>محمد ال كثير</t>
  </si>
  <si>
    <t xml:space="preserve">Production Volume / Month  : Resin production : 22,858,000 kg    </t>
  </si>
  <si>
    <t>میزان تولید ماهانه واحد رزین</t>
  </si>
  <si>
    <t>Machine Availability time for production should be &gt; 98% of total time in a month (Part of OEE)</t>
  </si>
  <si>
    <t>زمان در دسترس بودن ماشین برای تولید باید بیش از 91% کل زمان در ماه باشد (جزء مؤلفه کارایی کلی ماشین - OEE)</t>
  </si>
  <si>
    <t>محمد شمكلي</t>
  </si>
  <si>
    <t>Production Volume / Month  : Resin production : 20,001,000 kg</t>
  </si>
  <si>
    <t>میزان تولید ماهانه واحدفرمالین</t>
  </si>
  <si>
    <t>عادل چناني</t>
  </si>
  <si>
    <t xml:space="preserve"> Production Volume : High Gloss MDF : 575,336 sheets</t>
  </si>
  <si>
    <t>575,336
شیت در فصل</t>
  </si>
  <si>
    <t>میزان محصول درصدی، درجه دو و درجه سه</t>
  </si>
  <si>
    <t>حداکثر 10 شیت در روز</t>
  </si>
  <si>
    <t>=</t>
  </si>
  <si>
    <t>Quality Rate 99.3%  for High Gloss (Compliance with QC Specification, based on agreed standard raw material specification)</t>
  </si>
  <si>
    <t>نرخ کیفیت: 99.3% برای ملامین، 99.8% برای سه میل</t>
  </si>
  <si>
    <t>هایگلاس کمتر از 3%.</t>
  </si>
  <si>
    <t>ابراهيم ال كثير</t>
  </si>
  <si>
    <t xml:space="preserve"> Production Volume : Melamine MDF : 560,641 sheets</t>
  </si>
  <si>
    <t>560641
شیت در فصل</t>
  </si>
  <si>
    <t>حداکثر 20 شیت در روز</t>
  </si>
  <si>
    <t>Quality Rate 99.3%  for Melamine (Compliance with QC Specification, based on agreed standard raw material specification)</t>
  </si>
  <si>
    <t>نرخ کیفیت: 99.3% برای ملامین</t>
  </si>
  <si>
    <t>ملامینه کمتر از 1%.</t>
  </si>
  <si>
    <t>مرجان حجت پور</t>
  </si>
  <si>
    <t>حسن کعب</t>
  </si>
  <si>
    <t>سرپرست برشكاري</t>
  </si>
  <si>
    <t xml:space="preserve"> Production Volume : Melamine, High Gloss &amp; Imp paper pallet block</t>
  </si>
  <si>
    <t>To be calculated by Finance &amp; Reported. 
If cost is below YTD average, score is 100%, If cost is above upto 5% of average, Score is 80%. Above 5%, Score is ZERO</t>
  </si>
  <si>
    <t>((Total Machine Time (Days in a month*24 hours*60 minutes) - Total preventive maintenance time &amp; breakdown time in minutes)
 / Total Machine time in a month in minutes)*100</t>
  </si>
  <si>
    <t xml:space="preserve">Customer Complaints (Only confirmed complaints of qualitative origin) </t>
  </si>
  <si>
    <t>شکایات مشتری (فقط شکایات تایید شده از نظر کیفی)</t>
  </si>
  <si>
    <t>Target 0,2% from Production volume</t>
  </si>
  <si>
    <t>Any manhour lost due to accident in the responsible workplace area, 
the achievement score is ZERO LTI. If no LTI accident, the achievement score is 100%</t>
  </si>
  <si>
    <t>Quality Rate 99.3%  for pallet block (Compliance with QC Specification, based on agreed standard raw material specification)</t>
  </si>
  <si>
    <t>To be calcualted by Finance based on BOM target value and actual BOM value at current unit price for total production. 
If cost is below YTD average, score is 100%, If cost is above upto 5% of average, Score is 80%. Above 5%, Score is ZERO</t>
  </si>
  <si>
    <t>رئیس کنترل کیفیت فاز2</t>
  </si>
  <si>
    <t>در تاریخ 1404/08/28، ترک کار / عدم نیاز برای ایشون درفایل تغییرات چارت شیرپوینت ثبت شده</t>
  </si>
  <si>
    <t>2. Material Wastage value : As per Budget or within YTD Average value</t>
  </si>
  <si>
    <t>3. Inspection results of oversight Organizations</t>
  </si>
  <si>
    <t>4. Supplier Defect Rate</t>
  </si>
  <si>
    <t>5. Quality Standards</t>
  </si>
  <si>
    <t>All Finish Goods quality should be as per the standards value of lab &amp; physical test results. Target is 99.8%</t>
  </si>
  <si>
    <t>6. Customer Satisfaction Score - Quality</t>
  </si>
  <si>
    <t>1. Monthly visit 5 Customer to evaluate the quality &amp; Report
2. Meeting with Customer service dept &amp; take actions Report</t>
  </si>
  <si>
    <t>7. Safety - Accident service rate</t>
  </si>
  <si>
    <t>1. SOP : QA &amp; QC Procedures</t>
  </si>
  <si>
    <t>2. Quality System</t>
  </si>
  <si>
    <t>3. Quality Audit &amp; Corrective action report</t>
  </si>
  <si>
    <t>4. Training on Quality</t>
  </si>
  <si>
    <t>مدیر تامین داخلی</t>
  </si>
  <si>
    <t>حامد  سامانی پور</t>
  </si>
  <si>
    <t>MainTasks</t>
  </si>
  <si>
    <t>saving(ریال)</t>
  </si>
  <si>
    <t xml:space="preserve">عرضه نهال ترویجی در فصل جاری </t>
  </si>
  <si>
    <t xml:space="preserve">مدیریت تامین گونه های مختلف چوب فصل جاری براساس نیازمندی واحد تولید </t>
  </si>
  <si>
    <t>کاهش زمان تاییدات LOA به 3 روز</t>
  </si>
  <si>
    <t xml:space="preserve">کاهش زمان خرید به کمتر از 20 روز </t>
  </si>
  <si>
    <t xml:space="preserve">ارائه صورتجلسه و توافق نامه با مدیران بیزینس و پروژه ها جهت ارسال درخواست با فرم rfq صحیح و کامل </t>
  </si>
  <si>
    <t xml:space="preserve">کاهش 2 نفر از تیم های تامین </t>
  </si>
  <si>
    <t xml:space="preserve">عقد قرارداد پیمانکاران رستوران و ترانسپورت تا15 آبان  و عقد قرارداد تامین لباس کارکنان </t>
  </si>
  <si>
    <t>اتمام کامل برداشت چوب</t>
  </si>
  <si>
    <t xml:space="preserve">بستن درخواست های خرید تا پایان شهریور ماه </t>
  </si>
  <si>
    <t xml:space="preserve">مدیریت و برنامه ریزی تامین اقلام بسته بندی و مارکتینگ براساس توافقات حین قرارداد </t>
  </si>
  <si>
    <t>ارائه پروپوزال پیمانکاران پروژه توسعه</t>
  </si>
  <si>
    <t xml:space="preserve">پیگیری فروش خط تولید ملامینه پاک چوب خوزستان </t>
  </si>
  <si>
    <t xml:space="preserve">بازنگری چارت تامین داخلی و ارائه پروپوزال تیم تامین </t>
  </si>
  <si>
    <t>نهایی نمودن پیمانکار پروژه ملامینه ایرانیان به صورت pc</t>
  </si>
  <si>
    <t>احمد چناري</t>
  </si>
  <si>
    <t>رئیس خرید داخلی</t>
  </si>
  <si>
    <t>بستن تمامی درخواست های صادر شده از گذشته تا پایان شهریور واحد جنرال تا پایان مهر ماه</t>
  </si>
  <si>
    <t>تحویل فاکتورهای تمامی پیش پرداختها تا 10آبان ماه</t>
  </si>
  <si>
    <t>افسانه تابزر</t>
  </si>
  <si>
    <t xml:space="preserve">بستن تمامی درخواست های صادر شده از گذشته تا پایان آبان ماه </t>
  </si>
  <si>
    <t>پیگیری گزارش پیش پرداختهای پیش از 1404 تا تیر ماه واحد مالی</t>
  </si>
  <si>
    <t>الهام نيسي</t>
  </si>
  <si>
    <t>بایگانی فیزیکی و سیستمی تمام مستندات لازم</t>
  </si>
  <si>
    <t>كلثوم احمدي فر</t>
  </si>
  <si>
    <t>تکمیل خرید 3 ماهه فصل بعد</t>
  </si>
  <si>
    <t xml:space="preserve">کاهش lead time به 10 روز </t>
  </si>
  <si>
    <t>بستن تمام درخواستهای واحد تشریفات تا 15آبان</t>
  </si>
  <si>
    <t>رئیس تامین داخلی (جنرال)</t>
  </si>
  <si>
    <t xml:space="preserve"> معادل کل واحد جنرال saving</t>
  </si>
  <si>
    <t xml:space="preserve">تعداد اقلام خرید شده معادل کل واحد جنرال </t>
  </si>
  <si>
    <t>ارسال گزارش ماهانه وضعیت واحد</t>
  </si>
  <si>
    <t>نظارت بر تکمیل فایل LOA</t>
  </si>
  <si>
    <t xml:space="preserve">سفارش گذاری کلیه درخواست های صادر شده تا پایان آبان ماه </t>
  </si>
  <si>
    <t>تجمیع و تکمیل بایگانی فیزیکی و سیستمی ( تخته فشرده و پاکچوب)</t>
  </si>
  <si>
    <t xml:space="preserve">پیگیری فرآیند کاری در SAP </t>
  </si>
  <si>
    <t>فاطمه چشمه خاور</t>
  </si>
  <si>
    <t>مارال كسروي</t>
  </si>
  <si>
    <t>مونا دلفي</t>
  </si>
  <si>
    <t>مهدی  علیدادی</t>
  </si>
  <si>
    <t>شهناز پارساسرشت</t>
  </si>
  <si>
    <t>سوسن روپوشي</t>
  </si>
  <si>
    <t>آمنه راشدی</t>
  </si>
  <si>
    <t>کارشناس تامین داخلی (جنرال پروژه ها)</t>
  </si>
  <si>
    <t>مریم اسماعیل فر</t>
  </si>
  <si>
    <t>سرپرست خرید</t>
  </si>
  <si>
    <t>فروزان محمد میرزایی</t>
  </si>
  <si>
    <t>رئیس تامین چوب</t>
  </si>
  <si>
    <t>( مجموع واحد)saving</t>
  </si>
  <si>
    <t>تهیه گزارش هفتگی میزان خرید چوب به تفکیک</t>
  </si>
  <si>
    <t>تهیه گزارش تحلیلی ماهانه تامین چوب  و گزارش ماهانه صورت وضعیت مالی</t>
  </si>
  <si>
    <t xml:space="preserve">داشبورد تحلیل روزانه دیتا تامین چوب </t>
  </si>
  <si>
    <t xml:space="preserve">خرید  80،0000 تن چوب با در نظر گرفتن شرایط پرداخت مطابق تعهد زمانی وقیمت اصلاح شده براساس وضعیت بازار
</t>
  </si>
  <si>
    <t xml:space="preserve">آموزش SAP </t>
  </si>
  <si>
    <t>بازاریابی منطقه ای (حضور فیزیکی در ۲ استان )</t>
  </si>
  <si>
    <t>گزارش وزنی عدم تاییدات کیفی به تفکیک پیمانکار به صورت هفتگی</t>
  </si>
  <si>
    <t>زینب کائیدی</t>
  </si>
  <si>
    <t>كارشناس تامین چوب</t>
  </si>
  <si>
    <t>فروزان محمدمیرزایی</t>
  </si>
  <si>
    <t xml:space="preserve">ثبت سفارش </t>
  </si>
  <si>
    <t>تامین چوب (16 هزار تن)</t>
  </si>
  <si>
    <t>“کیفیت ارتباطات با تامین‌کنندگان”</t>
  </si>
  <si>
    <t xml:space="preserve">افزایش  شش تامین کننده جدید </t>
  </si>
  <si>
    <t>حضور در دوره آموزش درون واحدی SAP</t>
  </si>
  <si>
    <t xml:space="preserve">گزارش کمی و کیفی  استان  زنجان </t>
  </si>
  <si>
    <t xml:space="preserve">ارسال گزارشات روزانه تامین کنندگان </t>
  </si>
  <si>
    <t>سمیه دوستی</t>
  </si>
  <si>
    <t>تامین چوب(16 هزار تن)</t>
  </si>
  <si>
    <t xml:space="preserve">افزایش پنج  تامین کننده جدید </t>
  </si>
  <si>
    <t xml:space="preserve">آپدیت بانک اطلاعاتی تامین کنندگان بصورت هفتگی </t>
  </si>
  <si>
    <t xml:space="preserve">استعلام قیمت هفتگی از سایر کارخانجات صنایع چوب </t>
  </si>
  <si>
    <t>نظارت بر کیفیت چوب خریداری شده  و ارائه گزارش میزان افت بصورت ماهانه</t>
  </si>
  <si>
    <t>شیرین محمدی</t>
  </si>
  <si>
    <t>تامین چوب  (۱6هزار تن )</t>
  </si>
  <si>
    <t>تهیه مستر دیتا وندور در قالب فایل مشابه CRM برای وندورهای جدید فصل پاییز</t>
  </si>
  <si>
    <t xml:space="preserve">صورتحساب دوره ای (روزانه) خرید و برش چوب </t>
  </si>
  <si>
    <t>آنالیز درصد رشد تعداد تامین کنندگان (بصورت ماهانه و فصلی)</t>
  </si>
  <si>
    <t>نجمه عبدالخاني</t>
  </si>
  <si>
    <t>موجودی 80% مبلغ تنخواه در پایان ماه هر ماه</t>
  </si>
  <si>
    <t>تعداد LINE  به استثنای تنخواه و باربری</t>
  </si>
  <si>
    <t>رسید دائم اقلام سفارش شده تا 5 روز قبل ( براساس تاریخ سفارش)</t>
  </si>
  <si>
    <t>پرداخت مبالغ خرید تا سقف 20.000.000ریال هر دو کارخانه</t>
  </si>
  <si>
    <t>تسویه باربری ها (تمام بارنامه ها) به صورت 15 روزه</t>
  </si>
  <si>
    <t>علی عقیلی نسب</t>
  </si>
  <si>
    <t>ایشان به واحد ترویج کشاورزی جابجا شده</t>
  </si>
  <si>
    <t>تامین چوب  (16هزار تن )</t>
  </si>
  <si>
    <t xml:space="preserve">آنالیز  کمی و کیفی  استان فارس  بصورت ماهانه و فصلی </t>
  </si>
  <si>
    <t xml:space="preserve">افزایش شش پیمانکار تامین چوب جدید </t>
  </si>
  <si>
    <t xml:space="preserve">بررسی مدل های  خرید سایر کارخانجات چوب و کاغذ </t>
  </si>
  <si>
    <t>فاطمه تریچی</t>
  </si>
  <si>
    <t xml:space="preserve">گزارش ماهانه برشکاران مزارع داخلی </t>
  </si>
  <si>
    <t xml:space="preserve">افزایش ۴پیمانکار تامین چوب جدید </t>
  </si>
  <si>
    <t xml:space="preserve">گزارش  روزانه خرید چوب به تفکیک نوع گونه و درصد تامین </t>
  </si>
  <si>
    <t>احسان سعادت</t>
  </si>
  <si>
    <t>سرپرست امور پیمان (کارخانجات)</t>
  </si>
  <si>
    <t>علی خیرآبادی</t>
  </si>
  <si>
    <t>Discounts (800,000,000 million Tomans per month)</t>
  </si>
  <si>
    <t>Weekly report on the status of requests related to contract affairs</t>
  </si>
  <si>
    <t>گزارش هفتگی وضعیت درخواستهای مربوط به امور قراردادها</t>
  </si>
  <si>
    <t>Contract processing process (obtaining LOA approvals in less than 7 days and signing the contract in less than 14 days)</t>
  </si>
  <si>
    <t>فرآیند پردازش عقد قرارداد(اخذ تاییدات LOA کمتر از 3 روز و امضای قرارداد کمتر از 9 روز)</t>
  </si>
  <si>
    <t>اعلام هفتگی وضعیت قرارداد ها و اعلام قرارداد های تکمیل نشده به تیم حقوقی</t>
  </si>
  <si>
    <t>گزارش تحلیلی از امور انجام شده</t>
  </si>
  <si>
    <t>Start reviewing the request and reaching a conclusion in less than 40 days (PR - PO)</t>
  </si>
  <si>
    <t>شروع بررسی درخواست و به نتیجه رساندن کمتر از 15 روز(PR - PO)</t>
  </si>
  <si>
    <t>Contracting systematically and with LOA and without skipping formalities</t>
  </si>
  <si>
    <t>بازدید از پروژه های دو پیمانکار گریدA</t>
  </si>
  <si>
    <t>60 percent of contracts are made without advance payment</t>
  </si>
  <si>
    <t>درصد پیش پرداخت ها معادل 40 درصد</t>
  </si>
  <si>
    <t>آموزش اکسل با سرفصل های جناب آقای صفار</t>
  </si>
  <si>
    <t>Preparing a supplier bank</t>
  </si>
  <si>
    <t>آپدیت وضعیت پیش رفت قراردادهای منعقد شده به صورت هفنگی و ماهیانه</t>
  </si>
  <si>
    <t>Evaluating 10 important suppliers of contract affairs</t>
  </si>
  <si>
    <t>ارزیابی 4 تامین کننده مهم امور پیمان در حال قرارداد</t>
  </si>
  <si>
    <t>دانش کامکار</t>
  </si>
  <si>
    <t>كارشناس امور پیمان</t>
  </si>
  <si>
    <t>تسط به 50 درصد امور پیمان و قراردادها</t>
  </si>
  <si>
    <t>شروع بررسی درخواست و به نتیجه رساندن کمتر از 30 روز(PR - PO)</t>
  </si>
  <si>
    <t>ارزیابی 3 تامین کننده مهم امور پیمان</t>
  </si>
  <si>
    <t>آویسا بهروی</t>
  </si>
  <si>
    <t>در هفته 2 ساعت آموزش SAP و تنظیم صورتجلسه آموزش</t>
  </si>
  <si>
    <t>ندا بهروي</t>
  </si>
  <si>
    <t>فاطمه حسین زاده</t>
  </si>
  <si>
    <t>ارسال گزارش فروش تحلیلی ماهانه شرکت تخته فشرده   و گروه</t>
  </si>
  <si>
    <t xml:space="preserve">رصد تمامی  اسناد فروش ضایعات در زمان عدم حضور  </t>
  </si>
  <si>
    <t>ثبت و آرشیو الکترونیکی کلیه مستندات فروش شامل فاکتورها و  تاییدیه‌ها</t>
  </si>
  <si>
    <t xml:space="preserve">گزارش ماهانه چالش های فروش و  انبار ضایعات </t>
  </si>
  <si>
    <t xml:space="preserve">بررسی و پیگیری جداسازی تسمه های ضایعاتی جهت استفاده خطوط خوزستان و تخته فشرده </t>
  </si>
  <si>
    <t>مقایسه قیمت های اخذ شده از خریداران با قیمت مصوب در سایت رسمی ایران ضایعات  در فرم LOA فروش</t>
  </si>
  <si>
    <t>افزودن خریدار جدید در حوزه ضایعات چوبی  و آهنی  و فروش فعال به آن خریداران</t>
  </si>
  <si>
    <t>شناسایی حداقل 1 قلم دور ریز و درآمد زایی جدید</t>
  </si>
  <si>
    <t xml:space="preserve">یکپارچه سازی فرآیند فروش کارخانجات( رصد فرآیندهای فروش ضایعات سایر کارخانجات و حل چالش های موجود ) </t>
  </si>
  <si>
    <t xml:space="preserve">پیگیری و فروش تانکر قدیمی حمل سوخت دو محوره </t>
  </si>
  <si>
    <t xml:space="preserve">فراگیری و کسب مهارت  sap- ارائه گزارش </t>
  </si>
  <si>
    <t>علي احمدي</t>
  </si>
  <si>
    <t>کارشناس فروش ضایعات</t>
  </si>
  <si>
    <t>ندا بهروی</t>
  </si>
  <si>
    <t xml:space="preserve">ارسال گزارش هفتگی فروش ضایعات تخته فشرده </t>
  </si>
  <si>
    <t xml:space="preserve">ارسال گزارش ماهانه فروش  تمام کارخانجات گروه صنعتی </t>
  </si>
  <si>
    <t xml:space="preserve">ثبت و آرشیو تمامی مستندات فروش کارخانجات - تمامی اسناد می بایست بایگانی شود. </t>
  </si>
  <si>
    <t xml:space="preserve">افزایش میانگین  نرخ فروش،  حداقل 10 درصد نسبت به فصل تابستان </t>
  </si>
  <si>
    <t xml:space="preserve">ارائه گزارشات ماهانه چالش ها و مشکلات فروش ضایعات تخته فشرده  </t>
  </si>
  <si>
    <t xml:space="preserve">یکپارچه سازی فرآیند فروش کارخانجات( رصد فرآیندهای فروش ضایعات سایر کارخانجات و حل چالش های موجود) </t>
  </si>
  <si>
    <t xml:space="preserve">پیگیری و فروش تانکر حمل سوخت دو محوره </t>
  </si>
  <si>
    <t>اعلام روزانه لیست فروش و برنامه‌ریزی فروش به واحد انبار به‌منظور برقراری نظم و هماهنگی بیشتر</t>
  </si>
  <si>
    <t xml:space="preserve">افزودن حداقل 2 خریدار فعال جدید ضایعات( حتما فروش به خریداران جدید صورت پذیرد)   </t>
  </si>
  <si>
    <t>آموزش کامل سیستم sap در حوزه فروش ضایعات- تمام مطالب ارائه شده در هر جلسه حداکثر تا 1 هفته بعد به صورت  جزوه و شفاهی منتقل می شوند.</t>
  </si>
  <si>
    <t>عدم نیاز</t>
  </si>
  <si>
    <t>KHS</t>
  </si>
  <si>
    <t>آقای قدیری فر</t>
  </si>
  <si>
    <t>Melamine Production Sheet</t>
  </si>
  <si>
    <t>Melamine sales Sheet</t>
  </si>
  <si>
    <t>ISO Implementation 25% of Plan</t>
  </si>
  <si>
    <t>اجرای ISO 25٪ از طرح</t>
  </si>
  <si>
    <t>5S Implementation 25% of Plan</t>
  </si>
  <si>
    <t>اجرای  25٪ از طرح پیاده سازی 5S به کمک HSE</t>
  </si>
  <si>
    <t>ابراهیم عقابی</t>
  </si>
  <si>
    <t>حسین قدیری فر</t>
  </si>
  <si>
    <t>production</t>
  </si>
  <si>
    <t xml:space="preserve"> Production Volume / Month  : 
Melamine MDF : 274601 sheets</t>
  </si>
  <si>
    <t>Machine Availability time for production should be &gt; 91% of total time in a month (Part of OEE)</t>
  </si>
  <si>
    <t>Any manhour lost due to accident in the responsible workplace area, the achievement score is ZERO. If no accident, the achievement score is 100%</t>
  </si>
  <si>
    <t>Quality Rate 97% (Compliance with QC Specification, based on agreed standard raw material specification)</t>
  </si>
  <si>
    <t>BOM Compliance, Monthly report. Target BOM consumption value : as per budget or within YTD BOM average consumption value</t>
  </si>
  <si>
    <t>SOP documentation for Production to be completed in Q4</t>
  </si>
  <si>
    <t>Project plan to be submitted with activities and timeline</t>
  </si>
  <si>
    <t xml:space="preserve">برنامه ریزی جهت تولید ارسال گزارش امار ها  به صورت روزانه هفتگی وماهیانه </t>
  </si>
  <si>
    <t>Monthly Report</t>
  </si>
  <si>
    <t>اموزش های لازم 
جهت بهبود وارتقای تولید وکیفیت و نحوه جابجایی ونحوه بسته بندی و برنامه ریزی دقیق ......</t>
  </si>
  <si>
    <t>مجتبی ایزدی</t>
  </si>
  <si>
    <t>زهرا عباسی</t>
  </si>
  <si>
    <t>Food Control and Food Ordering</t>
  </si>
  <si>
    <t>کنترل مواد غذایی و سفارش مواد غذایی</t>
  </si>
  <si>
    <t>Cooking quality food</t>
  </si>
  <si>
    <t xml:space="preserve">پخت غذای با کیفیت </t>
  </si>
  <si>
    <t>Controlling costs through proper management of raw materials and reducing waste</t>
  </si>
  <si>
    <t>کنترل هزینه‌ها از طریق مدیریت صحیح مواد اولیه و کاهش ضایعات</t>
  </si>
  <si>
    <t>Attendance and Punctuality</t>
  </si>
  <si>
    <t>Answering</t>
  </si>
  <si>
    <t>Adherence to the principles of professional and ethical conduct</t>
  </si>
  <si>
    <t>زهرا عباسي</t>
  </si>
  <si>
    <t>رئيس منابع انساني</t>
  </si>
  <si>
    <t>کارمند امور مالی</t>
  </si>
  <si>
    <t>Completing employee settlement within less than 50 days</t>
  </si>
  <si>
    <t xml:space="preserve">تسویه حساب کارکنان در کمتر از 50روز </t>
  </si>
  <si>
    <t>گزارش هزینه غذا، ترانسپورت ( مهر ماه و آبان ماه )، هزینه های ایاب و ذهاب ( آذر ماه ) و عملکرد ماهانه منابع انسانی</t>
  </si>
  <si>
    <t>تدوین آیین نامه های منابع انسانی(تعهد نامه حفظ اطلاعات- آیین نامه انتظامات(دوربین و عکسبرداری-</t>
  </si>
  <si>
    <t>Automation of HR's Supplyesses</t>
  </si>
  <si>
    <t>هوشمند سازی و دیجیتال کردن پروسه ها ی منابع انسانی</t>
  </si>
  <si>
    <t>حسین عبدی</t>
  </si>
  <si>
    <t>1. Customer Complaints, Percentage, Grade 2, Grade 3</t>
  </si>
  <si>
    <t>Target: 0.2% of Production Value
Impregnated Paper : 2,200 Sheets 
Chemical : 0</t>
  </si>
  <si>
    <t>TARGET:--
KPI Description-
 Rozaini:-
Sheet / Month, 99.9%
Rozaini, Ahmad:
1. Post Forming
2. 3 mm Coating Line 
KPI will only start January 2025
Now focus on Tahte Feshorde-</t>
  </si>
  <si>
    <t>میانگین دو KPI - آقای حسین عبدی 1076 ( مدیر کنترل کیفیت )، علاوه بر واحد کنترل کیفیت، امورات HSE هم انجام میده و هم KPI کنترل کیفیت داره و هم HSE</t>
  </si>
  <si>
    <t/>
  </si>
  <si>
    <t>Cleanliness, Hygiene, Pest, HSE, &amp; Hazards</t>
  </si>
  <si>
    <t>Total number of accidents</t>
  </si>
  <si>
    <t>تعداد کل حوادث</t>
  </si>
  <si>
    <t>Total number of accidents caused by work</t>
  </si>
  <si>
    <t>تعداد کل حوادث ناشی از کار</t>
  </si>
  <si>
    <t>Total number of accidents caused by human error</t>
  </si>
  <si>
    <t>تعداد کل حوادث ناشی از خطای انسانی</t>
  </si>
  <si>
    <t>Number of PERMITs issued</t>
  </si>
  <si>
    <t>تعداد PERMIT صادره</t>
  </si>
  <si>
    <t>Incident reports</t>
  </si>
  <si>
    <t>Safety training</t>
  </si>
  <si>
    <t>آموزش ایمنی</t>
  </si>
  <si>
    <t>KPI Description-
نفر/ساعت-</t>
  </si>
  <si>
    <t>KPI Description-
1-نیازسنجی و تهیه تجهیزات حفاظت فردی پرسنل
2- تدوین سند مدیریت پسماند شرکت
3- تدوین طرح واکنش در شرایط اضطراری
4- پیاده سازی سیستم تشویق و تنبیه
5-آیین نامه ایمنی ورورد و خروج کارکنان و ماشین ها-</t>
  </si>
  <si>
    <t>KPI Description-
1-گزارش اعمال و شرایط نا ایمن در قالب Anomaly report
2-آنالیز ماهیانه شاخص های حوادث
3- تحلیل علل ریشه ای حوادث
4- برگزاری کمیته های حفاظت فنی و بهداشت کار ماهیانه
5- انجام آزمایشات طب کار بدو استخدام و ادواری پرسنل
6- بازرسی از ماشین آلات سبک و سنگین و ثبت وضعیت از طریق چک لیست
7- انجام سایت ویزیت و بازدیدهای روزانه HSE
8- شارژ کپسول های اطفاء حریق و بازرسی ماهیانه
9- انجام پایش های خوداظهاری زیست محیطی به صورت فصلی
10- پایش و بهبود شاخص حوادث انسانی
-</t>
  </si>
  <si>
    <t>Conducting initial risk assessments in different parts of the factory within a year</t>
  </si>
  <si>
    <t>انجام ارزیابی ریسک اولیه در بخش های مختلف کارخانه ظرف مدت یک سال</t>
  </si>
  <si>
    <t>Measuring harmful factors in the workplace</t>
  </si>
  <si>
    <t>اندازه گیری عوامل زیان آور محیط کار</t>
  </si>
  <si>
    <t>Needs assessment, preparation and installation of safety signs in the company environment</t>
  </si>
  <si>
    <t>نیازسنجی، تهیه و نصب علائم ایمنی در محیط شرکت</t>
  </si>
  <si>
    <t>Installation of traffic signs in the company environment and drawing lines</t>
  </si>
  <si>
    <t>نصب علائم ترافیکی در محیط شرکت و خط کشی</t>
  </si>
  <si>
    <t>علی مرحمتی</t>
  </si>
  <si>
    <t>احمد برهانی</t>
  </si>
  <si>
    <t>سرشيفت انتظامات2</t>
  </si>
  <si>
    <t>writing reports in a timely manner before an incident occurs</t>
  </si>
  <si>
    <t>نگارش گزارشات بموقع قبل از بروز حادثه</t>
  </si>
  <si>
    <t>قاسم مهدیانفر</t>
  </si>
  <si>
    <t>سرشيفت انتظامات3</t>
  </si>
  <si>
    <t>حمیدرضا مجلسی</t>
  </si>
  <si>
    <t>سرشيفت انتظامات1</t>
  </si>
  <si>
    <t>Q2</t>
  </si>
  <si>
    <t>علی مالداری</t>
  </si>
  <si>
    <t>مدیر امور انبارها وبرنامه ریزی</t>
  </si>
  <si>
    <t>WH</t>
  </si>
  <si>
    <t>"درصد سطح خدمات مشتری: به موقع تحویل داده شدن کامل (OTIF) تعداد تحویل به موقع از کارخانه طبق زمان استاندارد"</t>
  </si>
  <si>
    <t>TARGET:-
 Monthly Report by 5th, Target 95% delivery-KPI Description--
 Delivery / Order quantity Ontime</t>
  </si>
  <si>
    <t>میانگین دو KPI - آقای علی مالداری 1063 ( مدیر امور انبارها و برنامه ریزی )، علاوه بر کار انبار، امورات IT هم انجام میده و هم KPI انبار داره و هم IT</t>
  </si>
  <si>
    <t>On Time Transportation to customers &amp; factories &lt; +/- 2 days (Target)
No. of shipments with ETD vs Actual :  &lt; +/- 2 days (Target)</t>
  </si>
  <si>
    <t>«حمل و نقل به موقع به مشتریان و کارخانه‌ها &lt; +/- ۲ روز (هدف) تعداد محموله‌ها با زمان تخمینی پیش‌بینی‌شده در مقابل تعداد واقعی: &lt; +/- ۲ روز (هدف)»</t>
  </si>
  <si>
    <t>TARGET:-
 Monthly Report by 5th, Target 90% Ontime-KPI Description--
 % Shipments booked &amp; Cleared On time</t>
  </si>
  <si>
    <t>"میزان استفاده از انبار کارخانه حجم واقعی انبار / حجم کل انبار"</t>
  </si>
  <si>
    <t>TARGET:-
 Monthly Report by 5th, 95% Compliance vs checklist-KPI Description--
 % with regulatory documents without fine</t>
  </si>
  <si>
    <t>«راندمان عملیات انبار کارخانه روزهای تخلیه و زمان بارگیری کامیون‌ها و کانتینرها در زمان استاندارد (تعریف خواهد شد)»</t>
  </si>
  <si>
    <t>TARGET:-
 Monthly Report by 5th, Target 90% efficiency-KPI Description--
 % Tons Outbound / Tons Inbound</t>
  </si>
  <si>
    <t>"کل هزینه لجستیک ثانویه (انبار + حمل و نقل) هزینه حمل و نقل"</t>
  </si>
  <si>
    <t>TARGET:-
 Monthly Report by 5th, Target 5% reduction-KPI Description--
 Total Cost / Ton reduction vs Last Year</t>
  </si>
  <si>
    <t>«دقت موجودی: RM/PM/FG/قطعات/مواد زائد دقت موجودی &gt; 99.9% (موجودی واقعی / موجودی سیستم)»</t>
  </si>
  <si>
    <t>TARGET:-
 Monthly Report by 5th, Target 99.8% accuracy-KPI Description--
 Actual Stock quatity / System Quantity</t>
  </si>
  <si>
    <t>«ایمنی صفر حادثه در هر ماه»</t>
  </si>
  <si>
    <t>TARGET:-
 50% reduction from last 6 months average-KPI Description--
 Accident Severity Rate</t>
  </si>
  <si>
    <t>«پیشنهاد توسعه ظرفیت انبار کارخانه تجزیه و تحلیل نیاز به ذخیره‌سازی بر اساس ماشین‌های جدید برای ۵ سال و ارائه طرح توسعه برای ظرفیت ذخیره‌سازی»</t>
  </si>
  <si>
    <t>TARGET:-
 20% of timeline / Month, To be completed in 5 Months. After this, Quarterly training plan &amp; execution as per requirement-KPI Description--
 Warehouse &amp; Transportation</t>
  </si>
  <si>
    <t>«روش‌های استاندارد عملیاتی برای انبار، لجستیک و برنامه‌ریزی رویه‌های عملیاتی استاندارد»</t>
  </si>
  <si>
    <t>TARGET:-
 20% of timeline / Month, To be Implemented in 5 Months. After this, monthly reporting the deviation &amp; corrective action-KPI Description--
 Warehouse &amp; Transportation</t>
  </si>
  <si>
    <t>"کدگذاری اقلام انبار اختصاص کد به همه اقلام - قطعات یدکی / مواد زائد"</t>
  </si>
  <si>
    <t>TARGET:-
 20% of timeline / Month, To be completed in 5 Months. After this, Quarterly training plan &amp; execution as per requirement-KPI Description--</t>
  </si>
  <si>
    <t>رفع مشکلات و نیازهای کاربران در رابطه با شبکه LAN</t>
  </si>
  <si>
    <t>رفع ایرادات , قطعی های مربوط به ویپ</t>
  </si>
  <si>
    <t>رفع ایرادات، قطعی و کندی شبکه WiFi</t>
  </si>
  <si>
    <t>رفع مشکلات و ایرادات مربوط به اینترنت</t>
  </si>
  <si>
    <t>بررسی وضعیت و رفع مشکلات سرورها</t>
  </si>
  <si>
    <t>کلیه امورات مربوط به سخت افزار شبکه و تجهیرات کامپیوتری</t>
  </si>
  <si>
    <t>میزان رضایت کاربران</t>
  </si>
  <si>
    <t>نسبت تیکتهای بسته شده در SLA به کل</t>
  </si>
  <si>
    <t>آموزش پرسنل در خصوص نرم افزارهای کاربردی مورد استفاده در سازمان</t>
  </si>
  <si>
    <t>بررسی وضعیت تجهیزات شبکه ، رک ها و سرورها به صورت دوره ای</t>
  </si>
  <si>
    <t xml:space="preserve">بررسی وضعیت دوربین های مدار بسته </t>
  </si>
  <si>
    <t>همکاری و پیگیری های مربوط به اینترنت، UPS ، مخابرات و شرکت های همکار در زمینه IT</t>
  </si>
  <si>
    <t>ملیحه ذی الغزل</t>
  </si>
  <si>
    <t>رئيس خريد داخلي</t>
  </si>
  <si>
    <t>Cost Saving</t>
  </si>
  <si>
    <t xml:space="preserve">تخفیفات </t>
  </si>
  <si>
    <t>Supplire On-Time delivery(OTD)</t>
  </si>
  <si>
    <t>تحویل به موقع برای 70 درصد از خریدها</t>
  </si>
  <si>
    <t>Supplier Defect Rate</t>
  </si>
  <si>
    <t>نرخ نقص تامین کننده</t>
  </si>
  <si>
    <t>Purchase Order Processd Electronically</t>
  </si>
  <si>
    <t>گزارش هفتگی آخرین وضعیت خریدها</t>
  </si>
  <si>
    <t>start Updating the system in SAMT less than 24 hours</t>
  </si>
  <si>
    <t>شروع به اقدام بروز رسانی آمار های مربوط به صنعت و معدن در سیستم ظرف کمتر از 24 ساعت</t>
  </si>
  <si>
    <t>Cost of Purchase Order Processing</t>
  </si>
  <si>
    <t>گزارش ماهیانه آخرین وضعیت loa های تهیه شده طبق تمپلیت گروه</t>
  </si>
  <si>
    <t>Final SOP for Supply</t>
  </si>
  <si>
    <t>صفر شدن درخواستهای خرید تا پایان پاییز 1404</t>
  </si>
  <si>
    <t>Clean up the old PRs</t>
  </si>
  <si>
    <t>ایجاد بانک تامین کنندگان</t>
  </si>
  <si>
    <t>SAMT Training</t>
  </si>
  <si>
    <t>آموزش 70 درصد امور مربوط به صنعت و معدن به یکی از اعضای تیم</t>
  </si>
  <si>
    <t>Training</t>
  </si>
  <si>
    <t>پیگیری کارهای اداری مربوط به سامانه های در دسترس</t>
  </si>
  <si>
    <t>حمید  شکفته فریمانی</t>
  </si>
  <si>
    <t>کارشناس تدارکات</t>
  </si>
  <si>
    <t xml:space="preserve">ارزیابی 5 تامین کننده اصلی </t>
  </si>
  <si>
    <t>ملیحه محمد حسن زاده</t>
  </si>
  <si>
    <t>All purchases related to the kitchen and some general purchases</t>
  </si>
  <si>
    <t>کلیه خرید های مربوط به آشپزخانه و برخی خریدهای generl</t>
  </si>
  <si>
    <t>صفر شدن درخواستهای خرید تا پایان پاییز  1404</t>
  </si>
  <si>
    <t>سید احمد حسینی</t>
  </si>
  <si>
    <t>فنی</t>
  </si>
  <si>
    <t>Main Task</t>
  </si>
  <si>
    <t>زمان آماده به کار بودن ماشین‌آلات برای تولید باید بیش از ۹۱٪ از کل زمان در یک ماه باشد (بخشی از OEE)</t>
  </si>
  <si>
    <t>ایمنی - نرخ  حوادث، هدف صفر ضرر ساعتی</t>
  </si>
  <si>
    <t>در دسترس بودن قطعات یدکی طبق توصیه تامین کننده دستگاه بر اساس میزان مصرف و زمان تحویل</t>
  </si>
  <si>
    <t>تعداد خرابی‌های مکرر کمتر از ۵٪ از کل زمان خرابی</t>
  </si>
  <si>
    <t>سیستم مدیریت عملکرد جامع - گزارش ماهانه 5S و PM</t>
  </si>
  <si>
    <t>گزارش ممیزی تعمیر و نگهداری ماشین آلات و اقدامات اصلاحی گزارش هفتگی و ماهانه</t>
  </si>
  <si>
    <t>انجام نکهداری و تعمیرات ماهیانه خط تولید</t>
  </si>
  <si>
    <t>نصب  اینورترهای کانوایرهای غلطکی</t>
  </si>
  <si>
    <t>طراحی دستگاه رول بازکن</t>
  </si>
  <si>
    <t>انصب  آکاردئون لبه زن عرضی</t>
  </si>
  <si>
    <t>نصب 4عدد شیر پنوماتیک و برنامه نویسی لازم مربوط به وکیومهای ابتدای خط</t>
  </si>
  <si>
    <t>تعویض شیرهای اتودرین کمپرسور</t>
  </si>
  <si>
    <t>اصلاح بیرینگهای لیفتینگ تیبل</t>
  </si>
  <si>
    <t>نصب و راه اندازی دستگاه نظافت محصول پس از ایستگاه کنترل کیفیت</t>
  </si>
  <si>
    <t xml:space="preserve">تکتم عاشوری </t>
  </si>
  <si>
    <t>مهدی صفایی</t>
  </si>
  <si>
    <t>تایید پیش فاکتور ها  ظرف مهلت 4 ساعت</t>
  </si>
  <si>
    <t xml:space="preserve">بررسی و ثبت  و ارسال مالی کلیه واریزی ها </t>
  </si>
  <si>
    <t>بررسی و ثبت و ارسال مالی اسناد پرداختنی و واگذاری آنها نزد بانک مشخص شده و پیگیری جهت وصول به موقع آنها</t>
  </si>
  <si>
    <t xml:space="preserve">ابطال دستور تحویل  پس از  72 ساعت </t>
  </si>
  <si>
    <t xml:space="preserve">بررسی و ثبت بارنامه های مشتریان </t>
  </si>
  <si>
    <t>تایید خروج بار بر اساس محدودیت حمل</t>
  </si>
  <si>
    <t>بررسی و ثبت فاکتورهای فروش و حساب مشتریان</t>
  </si>
  <si>
    <t>ارسال مالی فاکتورهای واحد تدارکات</t>
  </si>
  <si>
    <t>مغایرت گیری تمامی واریزی ها با بانک های مربوطه</t>
  </si>
  <si>
    <t>رضا آمارلو</t>
  </si>
  <si>
    <t xml:space="preserve">ثبت فاکتور های فروش در سامانه مودیان </t>
  </si>
  <si>
    <t xml:space="preserve">تهیه 5 روز قبل ار سررسید اظهارنامه ارزش افزوده </t>
  </si>
  <si>
    <t xml:space="preserve">تهیه گزارشات مالی و مالیاتی و ارسال روزانه و هفتگی </t>
  </si>
  <si>
    <t>تطبیق حسابداری بین شرکت های گروه در پایان هر ماه</t>
  </si>
  <si>
    <t>قیمت گذاری فروش محصولات قبل از شروع روز کاری</t>
  </si>
  <si>
    <t>قیمت گذاری موجودی های انبار و به روز رسانی کاردکس انبار</t>
  </si>
  <si>
    <t>ثبت تسهیلات و هزینه مالی در پایان هر ماه</t>
  </si>
  <si>
    <t>ثبت و شناسایی دارایی ثابت و هزینه استهلاک ماهانه</t>
  </si>
  <si>
    <t xml:space="preserve">ثبت و گزارش ضمانتنامه های گمرکی </t>
  </si>
  <si>
    <t>ثبت بستانکاری هزینه های ترخیص کاران</t>
  </si>
  <si>
    <t>انبارگردانی پایان ماه</t>
  </si>
  <si>
    <t xml:space="preserve">سارا  سنجاقی </t>
  </si>
  <si>
    <t xml:space="preserve">انجام تمام امور مربوط به ثبت و عملیات خزانه </t>
  </si>
  <si>
    <t>کنترل روازنه موجودی حساب</t>
  </si>
  <si>
    <t xml:space="preserve">ثبت سندبستانکاری تمامی فاکتور های خریدوخدمات </t>
  </si>
  <si>
    <t xml:space="preserve">مغایرت گیری روزانه بانک ها و تهیه گزارش </t>
  </si>
  <si>
    <t>ثبت سندروزانه پرداخت ها در سیستم نماد</t>
  </si>
  <si>
    <t>ثبت صحیح هزینه ها در مرکز هزینه و حساب صحیح</t>
  </si>
  <si>
    <t>مغایرت گیری حساب اشخاص جهت ترازماهیانه</t>
  </si>
  <si>
    <t>گزارش  15روزه کمیسیون باربری و چک کردن حواله های فروش با انباروحراست وباربری</t>
  </si>
  <si>
    <t>گزارش ضایعات و ثبت در سیستم نماد</t>
  </si>
  <si>
    <t>حسابداری املاک شخصی هیات مدیره</t>
  </si>
  <si>
    <t>مهدی صفائی</t>
  </si>
  <si>
    <t>مدير امور مالي</t>
  </si>
  <si>
    <t>تهیه گزارش قیمت تمام شده  و  کنترل و بستن انبارها برای گزارش نهایی و صدور تمامی اسناد انبار تا  8 ام ماه بعد</t>
  </si>
  <si>
    <t xml:space="preserve">کنترل و بستن زیر سیستم حسابداری فروش تا پایان 3 ام هر ماه </t>
  </si>
  <si>
    <t>کنترل و مغایرت گیری حساب مشتریان در پایان هر سه ماه و ارسال فرم امضا شده</t>
  </si>
  <si>
    <t>قیمت گذاری محصولات بر اساس دستورالعمل قبل از ساعت کاری روز اجرا و انجام تایید مالی براساس تاییدیه</t>
  </si>
  <si>
    <t xml:space="preserve">تهیه لیست حقوق ماهانه پرسنل و پیگیری وارسال بموقع لیست بیمه ومالیات پرسنل </t>
  </si>
  <si>
    <t>پیگیری بارگذاری اطلاعات تولید تا 5 ام هر ماه توسط واحد برنامه ریزی تولید و درج اطلاعات موجودی و فروش تا 10 ام هر ماه توسط تیم مالی در  سامانه ها</t>
  </si>
  <si>
    <t>کنترل ثبت تک تک هزینه ها در مرکز هزینه و حساب صحیح و شناسایی ذخیره برای هزینه هایی که در ماه شناسایی نشده است .</t>
  </si>
  <si>
    <t xml:space="preserve">پیگیری و بستن پرونده های سنواتی مالیاتی و بیمه تامین اجتماعی </t>
  </si>
  <si>
    <t>مهدی لوائی فریمانی</t>
  </si>
  <si>
    <t>مسئول خدمات عمومي</t>
  </si>
  <si>
    <t>انجام امور محوله</t>
  </si>
  <si>
    <t>همکاری و کمک در کارهای بنایی و تعمیرات در صورت نیاز</t>
  </si>
  <si>
    <t>Detailed inspection and timely notification of the need for repairs or changes to building infrastructure (plumbing, electrical, etc.).</t>
  </si>
  <si>
    <t>بازرسی دقیق و اطلاع‌رسانی به‌موقع در مورد نیاز به تعمیرات یا تغییرات در زیرساخت‌های ساختمان (لوله‌کشی، برق‌کشی و غیره).</t>
  </si>
  <si>
    <t>Sales and packaging waste management</t>
  </si>
  <si>
    <t xml:space="preserve">مدیریت فروش و بسته بندی ضایعات </t>
  </si>
  <si>
    <t>IRN</t>
  </si>
  <si>
    <t>آقای تفاخ</t>
  </si>
  <si>
    <t>مدیر بیزینس</t>
  </si>
  <si>
    <t>با توجه به اینکه این تارگت با در نظر گرفتن دو خط تولید می‌باشد و در حال حاضر ایرانیان دارای یک خط تولید است، انتهای فصل این تارگت تغییر خواهد کرد.</t>
  </si>
  <si>
    <t>Raw Offcut sales</t>
  </si>
  <si>
    <t xml:space="preserve">مقدار فروش آفکات خام </t>
  </si>
  <si>
    <t>Receive a permit and implement a gas development plan and implement a power development plan</t>
  </si>
  <si>
    <t>دریافت مجوز و اجرای طرح توسعه گاز و اجرای طرح توسعه برق</t>
  </si>
  <si>
    <t>حسین باقری قمی</t>
  </si>
  <si>
    <t>سرپرست حمل و نقل</t>
  </si>
  <si>
    <t>سیداحمد تفاخ</t>
  </si>
  <si>
    <t xml:space="preserve">تأمین ماشین </t>
  </si>
  <si>
    <t>حداکثر 24 ساعت از زمان دریافت دستور تحویل</t>
  </si>
  <si>
    <t xml:space="preserve">پشتیبانی و پاسخگویی </t>
  </si>
  <si>
    <t>ارائه گزارشات مالی</t>
  </si>
  <si>
    <t>ارائه گزارش باربری تا 2 ام هر ماه به واحد مالی</t>
  </si>
  <si>
    <t>کاهش هزینه حمل و نقل</t>
  </si>
  <si>
    <t xml:space="preserve"> نسبت تعرفه ها</t>
  </si>
  <si>
    <t>همکاری با واحد انبار محصول</t>
  </si>
  <si>
    <t>پیمان ستاری</t>
  </si>
  <si>
    <t>سرپرست برنامه ریزی و انبارها</t>
  </si>
  <si>
    <t>On Time Transportation to customers &amp; factories &lt; 1 days 
(No. of shipments Delivery date vs Full Truck Delivery order date : &lt; 1 days)</t>
  </si>
  <si>
    <t>حمل و نقل به موقع به مشتریان و کارخانه‌ها &lt; 1 روز
(تعداد حمل‌ونقل‌ها: تاریخ تحویل در مقابل تاریخ سفارش تحویل: کمتر از 1 روز)</t>
  </si>
  <si>
    <t>Total Performance Management System - 5S Compliance</t>
  </si>
  <si>
    <t>سیستم مدیریت عملکرد کل - رعایت ۵S</t>
  </si>
  <si>
    <t>بهره‌وری انبار کارخانه &gt; ۸۰٪</t>
  </si>
  <si>
    <t xml:space="preserve">حجم انبارش واقعی / کل حجم انبارش </t>
  </si>
  <si>
    <t>ایمنی
صفر حادثه در هر ماه</t>
  </si>
  <si>
    <t>Preparing a quantity reconciliation statement with group companies by the fourth of each month (if the first four days of the month are business days)</t>
  </si>
  <si>
    <t>تهیه صورت تطبیق مقداری با شرکت های گروه تا چهارم هر ماه ( در صورتی که چهار روز اول ماه روز اداری باشد)</t>
  </si>
  <si>
    <t>Submitting purchase bills of lading to the finance unit on a daily basis and making the necessary records of warehouse turnover every month until the fourth of the following month (if the first four days of the month are business days)</t>
  </si>
  <si>
    <t>ارائه بارنامه های خرید به واحد مالی بصورت روزانه و انجام ثبت های لازم گردش انبارها هر ماه تا چهارم ماه بعد ( در صورتی که چهار روز اول ماه روز اداری باشد)</t>
  </si>
  <si>
    <t>حل مساله</t>
  </si>
  <si>
    <t>تحلیل و رفع مشکل خروج پالت های مشکل دار از انبار به‌صورت پایدار و کاهش تکرار آن‌ها</t>
  </si>
  <si>
    <t>نظارت بر حسن انجام امور واحد انبار</t>
  </si>
  <si>
    <t>بررسی KPI نفرات تحت امر</t>
  </si>
  <si>
    <t>یوسف عابدی</t>
  </si>
  <si>
    <t>نرخ محصولات معیوب</t>
  </si>
  <si>
    <t xml:space="preserve"> تعداد محصولات معیوب ÷ کل محصولات تولید شده × 100(کمتر از 1 درصد)</t>
  </si>
  <si>
    <t>نرخ برگشت از مشتری</t>
  </si>
  <si>
    <t>تعداد محصولات مرجوعی ÷ کل فروش × 100(کمتر از 1 درصد)</t>
  </si>
  <si>
    <t>زمان پاسخ‌گویی به شکایات مشتریان</t>
  </si>
  <si>
    <t>متوسط زمان رسیدگی به شکایات مشتریان (حداکثر سه روز)</t>
  </si>
  <si>
    <t>درصد رعایت استانداردها (Compliance Rate)</t>
  </si>
  <si>
    <t>تعداد دفعات انطباق با استانداردها ÷ کل ممیزی‌ها × 100</t>
  </si>
  <si>
    <t>عدم خروج محصولات غیر استاندارد</t>
  </si>
  <si>
    <t>جلوگیری از خروج محصولات فاقد تأییدیه های کیفی</t>
  </si>
  <si>
    <t>نرخ ممیزی موفق (Audit Pass Rate)</t>
  </si>
  <si>
    <t>ممیزی‌های موفق ÷ کل ممیزی‌ها × 100</t>
  </si>
  <si>
    <t>ارائه به‌موقع گزارش‌ها</t>
  </si>
  <si>
    <t>تعداد گزارش‌های ارائه شده در موعد مقرر ÷ کل گزارش‌های مورد انتظار × 100</t>
  </si>
  <si>
    <t>پایش 5S  انبار</t>
  </si>
  <si>
    <t xml:space="preserve">بازرسی دوره ای انبار ها </t>
  </si>
  <si>
    <t>پایش انبار</t>
  </si>
  <si>
    <t>تعداد اقلام مغایر در موجودی واقعی ÷ کل اقلام انبار × 100 ( کمتر از 1 درصد)</t>
  </si>
  <si>
    <t>پیگیری پیاده‌سازی ISO</t>
  </si>
  <si>
    <t>درصد مراحل انجام شده از کل برنامه پیاده‌سازی ISO</t>
  </si>
  <si>
    <t>فاطمه اسکندرنژاد</t>
  </si>
  <si>
    <t>weekly purchase order report</t>
  </si>
  <si>
    <t xml:space="preserve">ارسال گزارش هفتگی سفارش خرید </t>
  </si>
  <si>
    <t>weekly industrial affairs reports</t>
  </si>
  <si>
    <t>ارسال گزارش هفتگی امور صنایع</t>
  </si>
  <si>
    <t>Reducing the delivery time to 15 days</t>
  </si>
  <si>
    <t>کاهش زمان تحویل به 15 روز</t>
  </si>
  <si>
    <t>Recording all purchases in the LOA file</t>
  </si>
  <si>
    <t>ثبت همه خریدها در فایل  LOA</t>
  </si>
  <si>
    <t>Plan File</t>
  </si>
  <si>
    <t>تهیه ی فایل لینک شده کد اقلام و نقشه های ساخت</t>
  </si>
  <si>
    <t>Emergency purchase</t>
  </si>
  <si>
    <t xml:space="preserve">گزارش خرید های اضطراری 6 ماه ابتدای سال </t>
  </si>
  <si>
    <t>forklift import license</t>
  </si>
  <si>
    <t xml:space="preserve">اخذ مجوز ها و پیگیری واردات لیفتراک ایرانیان </t>
  </si>
  <si>
    <t>Finalizing all requests submitted before November</t>
  </si>
  <si>
    <t>نهایی شدن تمام درخواستها ی تا قبل از آبان ماه</t>
  </si>
  <si>
    <t>محمد رمضانی</t>
  </si>
  <si>
    <t>Compliance with purchasing procedures</t>
  </si>
  <si>
    <t xml:space="preserve">رعایت رویه های خرید داخلی </t>
  </si>
  <si>
    <t>Budget management</t>
  </si>
  <si>
    <t xml:space="preserve">مدیریت تنخواه (حداقل شارژ 20 میلیون تومان روزانه) </t>
  </si>
  <si>
    <t>Report of unreceived goods</t>
  </si>
  <si>
    <t xml:space="preserve">ارسال گزارش اقلام رسید نشده بصورت ماهانه </t>
  </si>
  <si>
    <t xml:space="preserve">تهیه ی گزارش خرید های اضطراری </t>
  </si>
  <si>
    <t>IT Report</t>
  </si>
  <si>
    <t xml:space="preserve">گزارش فعالیت های حوزه ی آی تی در بازه ی 6 ماه  ابتدایی سال </t>
  </si>
  <si>
    <t>ناصر کرمی</t>
  </si>
  <si>
    <t>Compliance with internal purchasing procedures</t>
  </si>
  <si>
    <t>Reduce project delay rate</t>
  </si>
  <si>
    <t>کاهش نرخ تاخیر پروژه های خدماتی</t>
  </si>
  <si>
    <t>Forecasting and planning</t>
  </si>
  <si>
    <t xml:space="preserve">پیش بینی و برنامه ریزی اقلام مصرفی آشپزخانه  </t>
  </si>
  <si>
    <t>pollutant measurements</t>
  </si>
  <si>
    <t>اخذ آلاینده سنجی 1404</t>
  </si>
  <si>
    <t>Report on the percentage of purchase requests with errors</t>
  </si>
  <si>
    <t>گزارش درصد درخواست های خرید دارای خطا(برق و مکانیک )</t>
  </si>
  <si>
    <t>Providing five practical suggestions to improve project implementation</t>
  </si>
  <si>
    <t xml:space="preserve">ارائه پنج پیشنهاد کاربردی جهت بهبود اجرای پروژه های خدماتی </t>
  </si>
  <si>
    <t>پیگیری امور مربوط به احداث اتاق ضایعات</t>
  </si>
  <si>
    <t>حسین گراوند</t>
  </si>
  <si>
    <t>سرپرست برق و ابزار دقیق</t>
  </si>
  <si>
    <t>tech</t>
  </si>
  <si>
    <t>زمان خرابی تجهیزات (MTTR)</t>
  </si>
  <si>
    <t>میانگین زمان بین خرابی‌ها (MTBF)</t>
  </si>
  <si>
    <t>تعداد توقفات تولید ناشی از ابزار دقیق</t>
  </si>
  <si>
    <t>درصد اجرای برنامه نگهداری پیشگیرانه
 (PM Compliance)</t>
  </si>
  <si>
    <t>نرخ حوادث ناشی از ابزار دقیق</t>
  </si>
  <si>
    <t>سطح آموزش کارکنان ابزار دقیق</t>
  </si>
  <si>
    <t>پیگیری امور مربوط به راه اندازی خط جدید</t>
  </si>
  <si>
    <t>آزیتا منجزی</t>
  </si>
  <si>
    <t>مصطفی افروزیان</t>
  </si>
  <si>
    <t>مطابق  با ایمیل آقای افروزیان 50% مبلغ به ایشان پرداخت شود
متن ایمیل: مطابق موافقت جناب آقای امینی مقرر شد در زمان مرخصی زایمان 50درصد KPI به ایشان پرداخت گردد.</t>
  </si>
  <si>
    <t>ارسال لیست و ثبت اسناد بیمه تامین اجتماعی قبل از 30 ام ماه</t>
  </si>
  <si>
    <t>ارسال لیست و ثبت مالیات حقوق پرسنل قبل از 30 ام ماه</t>
  </si>
  <si>
    <t>ثبت صحیح هزینه های حقوق و دستمزدی در مراکز هزینه و حساب صحیح ثبت تمام ذخایر حقوق و مزایا</t>
  </si>
  <si>
    <t>کنترل صورتحساب بیمه تکمیلی البرز  با دفاتر بصورت ماهانه</t>
  </si>
  <si>
    <t xml:space="preserve">کنترل حساب وام،علی الحساب و مساعده  پرسنلی و تعیین تکلیف حساب مربوطه و صفر نمودن هرگونه اقلام باز در پایان ماه </t>
  </si>
  <si>
    <t>مغایرت گیری حساب  حقوق پرداختنی ، بیمه پرداختنی و مالیات پرداختنی</t>
  </si>
  <si>
    <t>حسن رضا کهزادی</t>
  </si>
  <si>
    <t>مسئول خدمات عمومی</t>
  </si>
  <si>
    <t>مرجان حیدری</t>
  </si>
  <si>
    <t>بهبود عملکرد کلی تیم تحت سرپرستی</t>
  </si>
  <si>
    <t>میانگین موزون نمرات عملکرد تیم</t>
  </si>
  <si>
    <t>انجام امور محوله و مدیریت انبار</t>
  </si>
  <si>
    <t>همکاری و کمک در کارهای بنایی و تعمیرات در صورت نیاز
همکاری مؤثر و اطلاع‌رسانی به‌موقع در مورد بارگیری ضایعات فروشی و نخاله‌ها
انجام تمامی وظایف در زمان تعیین‌شده و بدون تأخیر
دقت و تحویل به‌موقع گزارشات</t>
  </si>
  <si>
    <t xml:space="preserve">ارزیابی رضایت کارکنان زیرمجموعه و واحدهای مرتبط از عملکرد </t>
  </si>
  <si>
    <t>نرخ رضایت کارکنان و نظرسنجی</t>
  </si>
  <si>
    <t>شهرام فلاح رنجبر لیالستانی</t>
  </si>
  <si>
    <t>کنترل مواد غذایی و سفارش مواد غذایی (مدیریت انبار)</t>
  </si>
  <si>
    <t>دقت موجودی انبار</t>
  </si>
  <si>
    <t>سرو غذا در زمان مناسب و بدون تأخیر
ارزیابی کیفیت غذا از نظر طعم، مزه، ظاهر و میزان پخت بر اساس بازخورد مشتریان یا پرسنل نرخ رضایت از غذا و نظرسنجی</t>
  </si>
  <si>
    <t>رعایت اصول بهداشت فردی، محیطی و ایمنی در آشپزخانه (بر اساس بازرسی‌های دوره‌ای)نمره بهداشت در بازرسی ها</t>
  </si>
  <si>
    <t>ارائه گزارشات دقیق و به‌موقع به مدیریت در مورد عملکرد آشپزخانه، هزینه‌ها و مشکلات</t>
  </si>
  <si>
    <t>نظارت بر عملکرد آشپزها و کارگران آشپزخانه، ارائه آموزش‌های لازم و ارزیابی بهبود عملکرد آن‌ها</t>
  </si>
  <si>
    <t>سید احمد تفاخ</t>
  </si>
  <si>
    <t>Improving the overall performance of the supervised team</t>
  </si>
  <si>
    <t>احمد کریمی زاد</t>
  </si>
  <si>
    <t>کارایی مدیریت اجرایی انتظامات</t>
  </si>
  <si>
    <t>سنجش میزان اثربخشی مدیریت اجرایی انتظامات در سازمان‌دهی و اجرای وظایف.</t>
  </si>
  <si>
    <t>میزان موفقیت در پیشگیری از حوادث</t>
  </si>
  <si>
    <t>سنجش میزان موفقیت حراست در پیشگیری از بروز حوادث.</t>
  </si>
  <si>
    <t>تعداد موارد نقض امنیتی</t>
  </si>
  <si>
    <t>اندازه‌گیری تعداد وقایع نقض امنیتی ثبت‌شده.</t>
  </si>
  <si>
    <t>میزان رضایت پرسنل از عملکرد حراست</t>
  </si>
  <si>
    <t>اندازه‌گیری رضایت پرسنل سازمان از خدمات و پشتیبانی حراست.</t>
  </si>
  <si>
    <t>زمان پاسخگویی به تماس‌های اضطراری</t>
  </si>
  <si>
    <t>میانگین زمان پاسخ به تماس‌های اضطراری.</t>
  </si>
  <si>
    <t>میزان استفاده از تجهیزات امنیتی</t>
  </si>
  <si>
    <t>میزان استفاده صحیح از تجهیزات امنیتی نصب‌شده.</t>
  </si>
  <si>
    <t>میزان همکاری با سایر واحدها</t>
  </si>
  <si>
    <t>سطح تعامل و همکاری واحد حراست با سایر بخش‌های سازمان.</t>
  </si>
  <si>
    <t>رعایت پروتکل‌های تشریفاتی</t>
  </si>
  <si>
    <t>میزان پایبندی به اصول و استانداردهای تشریفات در رویدادها.</t>
  </si>
  <si>
    <t>اثربخشی حل مسئله در حراست</t>
  </si>
  <si>
    <t>میزان موفقیت واحد حراست در شناسایی و رفع به‌موقع مشکلات امنیتی و انتظامی.</t>
  </si>
  <si>
    <t>جلوگیری از خروج محصولات غیر استاندارد توسط حراست</t>
  </si>
  <si>
    <t>موفقیت حراست در جلوگیری از خروج کالاهای فاقد تأییدیه QC.</t>
  </si>
  <si>
    <t>سعید بون پوری</t>
  </si>
  <si>
    <t xml:space="preserve">میزان همکاری باسایر واحدها </t>
  </si>
  <si>
    <t xml:space="preserve">رعایت پروتکل های تشریفاتی </t>
  </si>
  <si>
    <t xml:space="preserve">مسولیت پذیری و در دسترس بودن </t>
  </si>
  <si>
    <t xml:space="preserve">میزان حل مساله </t>
  </si>
  <si>
    <t>جواد رضائی</t>
  </si>
  <si>
    <t>حمید لیریایی</t>
  </si>
  <si>
    <t>محسن علیرضایی</t>
  </si>
  <si>
    <t>سرپرست مکانیک</t>
  </si>
  <si>
    <t>technical</t>
  </si>
  <si>
    <t>درصد آماده به کاری خط تولید. معیار استاندارد بالاتر از 91%</t>
  </si>
  <si>
    <t>نرخ اتمام فعالیت های نگهداری و تعمیرات</t>
  </si>
  <si>
    <t>total completed activities in maintenance/total planned activities in maintenance*100</t>
  </si>
  <si>
    <t>KPI=(Total Failures−Recurring Failures)/ Total Failures
)تعداد کل خرابی ها - تعداد خرابی های تکراری)/تعداد کل خرابی ها</t>
  </si>
  <si>
    <t>سنجش اثربخشی تعمیرات</t>
  </si>
  <si>
    <t>گزارش ماهانه و ممیزی 5S</t>
  </si>
  <si>
    <t>مدیریت گردش اطلاعات</t>
  </si>
  <si>
    <t xml:space="preserve">1 ساعت آموزش کارکنان </t>
  </si>
  <si>
    <t>آموزش</t>
  </si>
  <si>
    <t>حمید اخلاصی فریمانی</t>
  </si>
  <si>
    <t xml:space="preserve"> Production Volume / Month  : 
Melamine MDF : 277,072 sheets
Offcut : 359,800 Sheets</t>
  </si>
  <si>
    <t xml:space="preserve">منیره سادات موسوی </t>
  </si>
  <si>
    <t>کنترل تنخواه و صدور اسناد حسابداری و بستن حسابهای تنخواه گردان ها</t>
  </si>
  <si>
    <t>کنترل بارنامه ها ، ثبت و تهیه لیست پرداخت هزینه بار بصورت روزانه</t>
  </si>
  <si>
    <t xml:space="preserve">ثبت کلیه بارنامه ها بصورت روزانه و ارسال گزارش روزانه  </t>
  </si>
  <si>
    <t>کنترل و صدور کلیه ی اسناد هزینه بصورت روزانه</t>
  </si>
  <si>
    <t>ثبت کلیه اسناد هزینه های عملیاتی شامل هزینه های پذیرایی، تشریفات، تعمیرات، پیک ، پست ، حمل ونقل و اجاره و.....</t>
  </si>
  <si>
    <t xml:space="preserve">کنترل ضمائم و تاییدیه های درخواستهای وجه های مربوط به هزینه های عملیاتی </t>
  </si>
  <si>
    <t>بایگانی اسناد و کنترل اقلام خریدداری شده در سامانه مودیان</t>
  </si>
  <si>
    <t xml:space="preserve">مغایرت گیری حساب موقت هزینه حمل </t>
  </si>
  <si>
    <t>پروین داوری</t>
  </si>
  <si>
    <t xml:space="preserve">کنترل و تایید پیش فاکتورها پس از بررسی ظرف مهلت 4 ساعت </t>
  </si>
  <si>
    <t>کنترل و مغایرت گیری حساب مشتریان و ارسال صورت تطبیق امضا شده</t>
  </si>
  <si>
    <t>کنترل و ابطال دستور تحویل پس از 72 ساعت</t>
  </si>
  <si>
    <t xml:space="preserve">ثبت کلیه پیش دریافت های فروش داخلی و فاکتورهای فروش ضایعات تا پایان 5 ام هر ماه </t>
  </si>
  <si>
    <t>نهیه گزارش تجزیه سنی حسابهای دریافتنی و پیش دریافت ها</t>
  </si>
  <si>
    <t>ثبت کلیه اسناد مربوط به فروش و صادرات به انضمام اسناد برگشت از فروش و تخفیفات</t>
  </si>
  <si>
    <t>اطمینان از ثبت کلیه فاکتورهای فروش در سامانه مودیان</t>
  </si>
  <si>
    <t>سید یوسف حسینی</t>
  </si>
  <si>
    <t>کنترل حساب هزینه حمل بصورت روزانه و ارسال گزارش روزانه حمل</t>
  </si>
  <si>
    <t>کنترل و بستن انبار تا پایان 5ام هر ماه  و ارسال فایل قیمت تمام شده تا دهم هر ماه</t>
  </si>
  <si>
    <t>بستن پیش پرداخت ها  و سفارشات قدیمی  و قیمت گذاری صحیح انبار و ريالی کردن انبار</t>
  </si>
  <si>
    <t>پیگیری اسناد مربوط به ترخیص های انجام شده و ثبت در سیستم</t>
  </si>
  <si>
    <t xml:space="preserve">اطمینان از ثبت کلیه اسناد مربوط به هریک از سفارشات </t>
  </si>
  <si>
    <t>تهیه گزارش سفارشات و تکمیل فرم مریوطه</t>
  </si>
  <si>
    <t>ثبت کلیه رسیدها و حواله های انبار (مواد اولیه، در جریان ساخت، محصول) در سیستم</t>
  </si>
  <si>
    <t>ثبت کلیه مصارف انبار فنی و عمومی در سیستم در سرفصل مرتبط</t>
  </si>
  <si>
    <t>ثبت استهلاک دارایی های ثابت مشهود و نامشهود</t>
  </si>
  <si>
    <t>تهیه گزارش ارزش افزوده بر اساس سیستم جهت ارسال اظهارنامه (اطلاعات خرید)</t>
  </si>
  <si>
    <t>سیما فرامرزیان</t>
  </si>
  <si>
    <t>پیگیری بارگذاری اطلاعات تولید تا 5 ام هر ماه توسط واحد برنامه ریزی تولید و ارسال فاکتورهای فروش در سامانه جامع تجارت در مهلت مقرر و حداکثر تا 7 ام هر ماه</t>
  </si>
  <si>
    <t>بررسی و رفع حسابهای دارای خلاف ماهیت</t>
  </si>
  <si>
    <t>مغایرتگیری و ثبت اسناد بانکی بصورت ماهاهنه</t>
  </si>
  <si>
    <t>کنترل حساب پیش پرداخت هزینه ای و پیگیری جهت بستن پیش پرداختهای باز</t>
  </si>
  <si>
    <t>ثبت اسناد هزینه اجاره و اخذ و پرداخت قبض مالیات اجاره بصورت ماهانه</t>
  </si>
  <si>
    <t>ثبت اسناد مربوط به خرید دارایی های ثابت</t>
  </si>
  <si>
    <t>ثبت سند شناسایی ضمانت نامه های بانکی و تکمیل جدول مربوطه</t>
  </si>
  <si>
    <t>کنترل سرفصل حساب سایر حسابهای پرداختنی</t>
  </si>
  <si>
    <t>تکمیل و کنترل جدول تسهیلات بانکی</t>
  </si>
  <si>
    <t xml:space="preserve">شناسایی هزینه مالی تحقق یافته ماهانه در مرکز هزینه و حساب صحیح </t>
  </si>
  <si>
    <t>مدیر امور مالی</t>
  </si>
  <si>
    <t>احمد تفاخ</t>
  </si>
  <si>
    <t>Industrial Group</t>
  </si>
  <si>
    <t>فرج اله امینی</t>
  </si>
  <si>
    <t>معاونت منابع انسانی گروه</t>
  </si>
  <si>
    <t>رحیم حمدانی</t>
  </si>
  <si>
    <t>Production of Melamine</t>
  </si>
  <si>
    <t>تولید ملامینه</t>
  </si>
  <si>
    <t>Production of High Gloss</t>
  </si>
  <si>
    <t>تولید هایگلاس</t>
  </si>
  <si>
    <t>Production of Raw MDF</t>
  </si>
  <si>
    <t>تولید ام دی اف خام</t>
  </si>
  <si>
    <t>Production of 3mm MDF</t>
  </si>
  <si>
    <t>تولید ام دی اف 3 میل</t>
  </si>
  <si>
    <t>Production of Countertops</t>
  </si>
  <si>
    <t>تولید صفحه کابینت</t>
  </si>
  <si>
    <t>Production of Impregnated Paper</t>
  </si>
  <si>
    <t>تولید کاغذ آغشته</t>
  </si>
  <si>
    <t>تولید آفکات</t>
  </si>
  <si>
    <t>Production of Chemical Products</t>
  </si>
  <si>
    <t>تولید مصولات شیمیایی</t>
  </si>
  <si>
    <t>Sale of Melamine</t>
  </si>
  <si>
    <t>فروش ملامینه</t>
  </si>
  <si>
    <t>Sale of High Gloss</t>
  </si>
  <si>
    <t>فروش هایگلاس</t>
  </si>
  <si>
    <t>Sale of 3mm MDF</t>
  </si>
  <si>
    <t>فروش ام دی اف سه میل</t>
  </si>
  <si>
    <t>Sale of Countertops</t>
  </si>
  <si>
    <t>فروش صفحه کابینت</t>
  </si>
  <si>
    <t>Sale of Impregnated Paper</t>
  </si>
  <si>
    <t>فروش کاغذ آغشته</t>
  </si>
  <si>
    <t>فروش آفکات</t>
  </si>
  <si>
    <t>Sale of Chemical Products</t>
  </si>
  <si>
    <t>فروش محصولات شیمیایی</t>
  </si>
  <si>
    <t>Gross Profit</t>
  </si>
  <si>
    <t xml:space="preserve">حاشیه سود </t>
  </si>
  <si>
    <t>Net Profit</t>
  </si>
  <si>
    <t>سود خالص</t>
  </si>
  <si>
    <t>Revenue per employee</t>
  </si>
  <si>
    <t>درآمد به ازای هر کارمند (تعداد کارکنان)</t>
  </si>
  <si>
    <t>KPI Description-
متوسط درآمد تولید شده به ازای هر کارمند، نشان دهنده بهره وری کلی.
Neda Ameli:
C to C تقسیم بر تعداد کارکنان
-</t>
  </si>
  <si>
    <t xml:space="preserve">Total Cost of employees / Revenue </t>
  </si>
  <si>
    <t>نسبت هزینه امور پرسنلی به نسبت درآمد (فروش)</t>
  </si>
  <si>
    <t>KPI Description-
  تعریف: نسبت درآمدی که برای پرداخت به کارکنان صرف می‌شود را نشان می‌دهد.
  اهمیت: نشان‌دهنده کارایی مالی است.
  نحوه اندازه‌گیری : (کل هزینه‌های نیروی کار / کل درآمد) × ۱۰۰
  مثال: اگر هزینه‌های نیروی کار ۱ میلیون دلار و کل درآمد ۵ میلیون دلار باشد، درصد هزینه نیروی کار ۲۰٪ است.-</t>
  </si>
  <si>
    <t>salaries and benefits costs/revenue</t>
  </si>
  <si>
    <t>نسبت هزینه حقوق و مزایا  به نسبت درآمد(فروش)</t>
  </si>
  <si>
    <t>حقوق و مزایا/ فروش</t>
  </si>
  <si>
    <t>Total C&amp;B of employees / Revenue</t>
  </si>
  <si>
    <t>نسبت پرداختی حقوق خالص  به نسبت درآمد(فروش)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</si>
  <si>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t>
  </si>
  <si>
    <t>shift overtime/total overtime</t>
  </si>
  <si>
    <t>non-shift overtime/total overtime</t>
  </si>
  <si>
    <t>Recruitment (Mgrs &amp; Expat)</t>
  </si>
  <si>
    <t>استخدامی های مدیران</t>
  </si>
  <si>
    <t xml:space="preserve">مدیر ارشد صادرات
مدیر لجستیک و انبار
مدیر حقوقی
معاونت کارخانجات
مدیر صنعت شیمیایی چوب
مدیر پروژه
مدیر حسابرسی داخلی
مدیر آموزش فروش
مدیر سیستم ها و روش ها
مدیر فنی تخته فشرده ایرانی
مدیر تولید تخته فشرده فاز1 ایرانی
نماینده مدیریت در ادارات </t>
  </si>
  <si>
    <t>کارشناس دیجیتال مارکتینگ
کارشناس IT (ادمین شبکه)
کارشناس تحقیقات بازار
کارشناس فروش میدانی (2 نفر)
کارشناس برنامه ریزی
سرپرست خریدهای مارکتینگ
کارشناس خرید بلیط خارجی
کارشناس خرید ترکیه</t>
  </si>
  <si>
    <t>تدوین آیین نامه های منابع انسانی</t>
  </si>
  <si>
    <t>توسعه: 
1- به روز رسانی روش اجرایی ارتقا
2- فرم شرح مشاغل
---------
جذب:
تهیه روش اجرایی آنبوردینگ و اینداکشن و  اجرای آن</t>
  </si>
  <si>
    <t>اداری:
1- تکمیل مستردیتای SAP و برگزاری منظم جلسات جهت ایجاد تنظیمات لازم در سیستمهای پرسنلی و حقوق و دستمزد با تیم منابع انسانی SAP
جذب:
راه اندازی سیستم ATS برای گروه و شرکت ها و بهره برداری از آن تا پایان فصل</t>
  </si>
  <si>
    <t>حمیده جعفریان</t>
  </si>
  <si>
    <t>مدیر توسعه</t>
  </si>
  <si>
    <t xml:space="preserve">Dep. Performance Target Setting </t>
  </si>
  <si>
    <t>1- به روز رسانی روش اجرایی ارتقا
2- فرم شرح مشاغل
3-مدیریت دانش</t>
  </si>
  <si>
    <t>Preparing job descriptions</t>
  </si>
  <si>
    <t>تهیه شرح مشاغل</t>
  </si>
  <si>
    <t>مارکتینگ- تامین</t>
  </si>
  <si>
    <t>تهیه طرح جانشین پروری</t>
  </si>
  <si>
    <t>visio and factory headcounts update</t>
  </si>
  <si>
    <t>به روز رسانی چارت درختی و هدکانت کارخانه ها</t>
  </si>
  <si>
    <t>Updating the group's organizational chart</t>
  </si>
  <si>
    <t>به روز رسانی چارت سازمانی</t>
  </si>
  <si>
    <t>Completing SAP  data</t>
  </si>
  <si>
    <t>تکمیل دیتای SAP ماژول OM</t>
  </si>
  <si>
    <t>گلشن موسوی</t>
  </si>
  <si>
    <t>كارشناس توسعه منابع انسانی</t>
  </si>
  <si>
    <t>فخری اصغر پور</t>
  </si>
  <si>
    <t>سرپرست توسعه منابع انسانی</t>
  </si>
  <si>
    <t>برگزاری جلسات و تهیه شرح مشاغل برای واحد  تامین و فروش</t>
  </si>
  <si>
    <t>Update job description form</t>
  </si>
  <si>
    <t>به روز رسانی فرم شرح مشاغل</t>
  </si>
  <si>
    <t>نهایی سازی و جمع بندی فیلدهای فرم</t>
  </si>
  <si>
    <t>سپیده کاظمی</t>
  </si>
  <si>
    <t>Organizational transfers/level-promotion-dismissal</t>
  </si>
  <si>
    <t>جابجایی های سازمانی/ هم رده-ارتقا-عزل</t>
  </si>
  <si>
    <t>برای کلیه شرکت ها و گروه</t>
  </si>
  <si>
    <t>Updating the organizational chart</t>
  </si>
  <si>
    <t>به روز رسانی چارت سازمانی SAP و احکام</t>
  </si>
  <si>
    <t>ندا عاملی</t>
  </si>
  <si>
    <t>مدیر جبران خدمات و عملیات</t>
  </si>
  <si>
    <t>نرخ ترک کارکنان</t>
  </si>
  <si>
    <t>KPI Description-
   -تعریف: نرخ ترک کارکنان شرکت را اندازه‌گیری می‌کند.
   -اهمیت: نشان‌دهنده رضایت کارکنان و اثربخشی نگهداری است.
   -نحوه اندازه‌گیری: (تعداد ترک‌ها / تعداد متوسط کارکنان) × ۱۰۰
   - مثال: اگر ۱۰ کارمند ترک کنند و تعداد متوسط کارکنان ۲۰۰ باشد، نرخ ترک ۵٪ است.
-</t>
  </si>
  <si>
    <t>نسبت کل هزینه های پرسنلی به نسبت درآمد (فروش)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</si>
  <si>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
حقوق خالص/فروش</t>
  </si>
  <si>
    <t>Percentage of Salary Payments Compared to Budget</t>
  </si>
  <si>
    <t>انحراف از بودجه حقوق خالص</t>
  </si>
  <si>
    <t>Salary payment: 10th of the month - Productivity bonus: 25 months - Bonus 25 months - Performance bonus: 48 hours after management approval - Settlement: 50 days after the employee leaves work - Welfare budget payment: according to the approved budget table</t>
  </si>
  <si>
    <t>محاسبات و پرداختها: حقوق: 10هم ماه - پاداش بهره وری: 25 ماه - پورسانت 25 ماه - -پاداش عملکرد فصلی: 48 ساعت بعد از تایید مدیریت - تسویه حساب: 50 روز پس از ترک کار نیرو - پرداخت بودجه رفاهی و امور مناسبتی: مطابق با تاریخهای جدول بودجه مصوب</t>
  </si>
  <si>
    <t>No mistakes in the decree and personnel contract after deployment in the system</t>
  </si>
  <si>
    <t>ثبت به موقع  احکام و قراردادهای هر ماه پیش از اتمام ماه قبل</t>
  </si>
  <si>
    <t>KPI Description-Ameli, Neda:
ثبت و پرینت و اخذ امضای قراردادهای کار پیش از اتمام ماه-</t>
  </si>
  <si>
    <t>Checking the financial burden of monthly salary changes</t>
  </si>
  <si>
    <t xml:space="preserve">بررسی بار مالی تغییرات حقوق ماهیانه </t>
  </si>
  <si>
    <t>Systematize Processes of C&amp;B Unit</t>
  </si>
  <si>
    <t xml:space="preserve">سیستماتیک کردن فرایندهای بخش حقوق و مزایا </t>
  </si>
  <si>
    <t>Providing the prescribed reports</t>
  </si>
  <si>
    <t>ارائه گزارشات تعیین شده</t>
  </si>
  <si>
    <t>گزارش عملکرد کلی ماهیانه</t>
  </si>
  <si>
    <t>گرفتن معافیت مالیاتی</t>
  </si>
  <si>
    <t>پیگیری ماده 47 قانون کار برای پاداشها-پیگیری دریافت معافیت مالیاتی برای امور ورزشی</t>
  </si>
  <si>
    <t>سعیده صحراگرد زاده</t>
  </si>
  <si>
    <t>کارشناس جبران خدمات و عملیات</t>
  </si>
  <si>
    <t>Salary and benefits calculations</t>
  </si>
  <si>
    <t>محاسبات حقوق و مزایا</t>
  </si>
  <si>
    <t xml:space="preserve">1- محاسبه بار مالی تغییرات حقوق و اشل حقوقی کارکنان جدید الاستخدام برای هلدینگ تا مورخ یکم هر ماه و کنترل جدول تغییرات و اشل حقوقی نیروی جدید الاستخدام کارخانجات  
2- محاسبه پاداش بهره وری مورخ 23 هر ماه 
3- محاسبه حقوق مشاوران  و مدیران  تا مورخ 8 هر ماه
4- بررسی و محاسبه هزینه های ایاب و ذهاب تیم فروش جهت اعمال در فیش  
5- بروز رسانی صندوق های پاداش موردی و کسر تشویقی ها و ارائه مانده با واحد های منابع انسانی ها-اعلام مانده بودجه ورزشی به آقای دیناروند ومنابع انسانی کارخانجات6-امور مربوط به البسه کارکنان سال 1405   </t>
  </si>
  <si>
    <t>Personnel insurance matters</t>
  </si>
  <si>
    <t>امور بیمه پرسنل</t>
  </si>
  <si>
    <t xml:space="preserve">1- انجام کلیه امور مربوط به حذف و اضافه بیمه تکمیلی درمان کلیه شاغلین گروه صنعتی وارسال الحاقیه ها تا مورخ 11 هر ماه به واحد مالی </t>
  </si>
  <si>
    <t>Personnel files</t>
  </si>
  <si>
    <t>پرونده های پرسنلی</t>
  </si>
  <si>
    <t>1- بایگانی- 50 عدد بایگانی در هر فصل</t>
  </si>
  <si>
    <t>Administrative matters</t>
  </si>
  <si>
    <t>امور اداری</t>
  </si>
  <si>
    <t>1- انجام امور تسویه حساب نفرات قطع همکاری هلدینگ تا 50روز کاری پس از قطع همکاری(صدور احکام فقط مربوط به تسویه حساب) 
2- کنترل مانده های بازخرید مرخصی تا مورخ 6 هر ماه</t>
  </si>
  <si>
    <t>Updating ERP software</t>
  </si>
  <si>
    <t>به روز رسانی نرم افزار ERP</t>
  </si>
  <si>
    <t>1- ایجاد واحد سازمانی و کد شغل در نرم افزار طبق چارت سازمانی</t>
  </si>
  <si>
    <t>Personnel loans</t>
  </si>
  <si>
    <t>وام پرسنل</t>
  </si>
  <si>
    <t xml:space="preserve">امورمربوط به صدورگواهی اشتغال به کار -حکم کارگزینی- تحویل فیش حقوقی مهر شده تا 24 ساعت بعد ازاعلام توسط همکار- کلیه امور مرتبط با وام بانک ملت همکاران </t>
  </si>
  <si>
    <t>projects</t>
  </si>
  <si>
    <t xml:space="preserve"> 1خلاصه وضعیت پاداش بهره وری  (هر ماه 6 گزارش در یک (اکسل 2 شیت)2-گزارش لیست خودرو ها3-گزارش ماهانه افراد ترک کاری به واحدفناوری اطلاعات-واحد جذب-واحد توسعه-واحد جمعداری اموال  </t>
  </si>
  <si>
    <t>Team work</t>
  </si>
  <si>
    <t>کارتیمی</t>
  </si>
  <si>
    <t>ساره نیکوبخت</t>
  </si>
  <si>
    <t>پرونده های پرسنل</t>
  </si>
  <si>
    <t>1-دریافت و بررسی مدارک پرسنلی 
2.تشکیل پرونده های فیزیکی جدیدالاستخدام  - 28ام هر ماه
3- ثبت نمادی پرونده های نیروهای جدید الاستخدام
4- امور مربوط به افتتاح حساب حقوق و بن کارت برای نیروهای جدیدالاستخدام - 26ام هر ماه
5- بایگانی 50 عدد</t>
  </si>
  <si>
    <t>مطابق با ایمیل خانم عاملی: لطفا مبلغ پاداش عملکرد فصل پائیز سرکار خانم ساره نیکوبخت به دلیل اشتباهات عملکردی حذف شود.</t>
  </si>
  <si>
    <t>1-  صدور نامه های هدایای ازداوج و فرزند- 24 ساعت پس از ثبت درخواست
2- انجام امور مربوط به شارژ سیم کارت های سازمانی شاغلین گروه صنعتی- 27 ام هر ماه
3- پیگیری مشکلات مربوط به حساب بانک ملت پرسنل- 48 ساعت پس از اعلام مشکل</t>
  </si>
  <si>
    <t>Salary and benefits matters</t>
  </si>
  <si>
    <t>امور حقوق و مزایا</t>
  </si>
  <si>
    <t xml:space="preserve">1- ثبت تغییرات احکام ریالی و غیر ریالی در نماد- سوم هر ماه
2- استعلام برقراری یا قطع حق اولاد 
</t>
  </si>
  <si>
    <t xml:space="preserve"> گزارش های ماهانه به واحد های درخواست کننده - 24 ساعت بعد از درخواست 
سایر امور پیش بینی نشده</t>
  </si>
  <si>
    <t>1. گزارش عملکرد  ماهانه - 15ام هرماه
2-گزارش  و ثبت به روز رسانی آمار هزینه تلفن همراه
3-گزارش بررسی سامانه پیامکی
4- تکمیل گزارش عملکرد جامع از سال 1400 
5-تصحیح  (فیکس کردن) حقوق مدیران - پایان هر ماه</t>
  </si>
  <si>
    <t>اکرم محمدعلیزاده</t>
  </si>
  <si>
    <t>1- بایگانی 50 عدد قرارداد</t>
  </si>
  <si>
    <t>Personnel function</t>
  </si>
  <si>
    <t>کارکرد پرسنل</t>
  </si>
  <si>
    <t xml:space="preserve">1- کنترل تردد (عدم کنترل تردد هر نفر که منجر به نقض کارکرد شود ده درصد کسر شود)
2- ثبت پرسنل جدید و استحقاق مرخصی در سیستم حضور و غیاب
3- ثبت چهره و اثر انگشت پرسنل جدیدالورود نهایتا 24 ساعت پس از دریافت نامه شروع به کار </t>
  </si>
  <si>
    <t xml:space="preserve">1- استعلام بیمه پرسنل از معاونت مالی 
2- ثبت نام بیمه پرسنل جدید الورود در سامانه تامین اجتماعی-قبل از اتمام ماه </t>
  </si>
  <si>
    <t xml:space="preserve"> محاسبه پورسانت فروش و ارسال مبلغ پورسانت   - بیست و چهارم هر ماه
2-پرداخت مزایای رفاهی ( نقدی و غیر نقدی ) -طبق تاریخ جدول بودجه رفاهی</t>
  </si>
  <si>
    <t xml:space="preserve">1- تحویل سیم کارت به پرسنل بر اساس ضوابط سازمان
2-کنترل هزینه های ماموریت و پرداخت تنخواه از طریق  پرسنل </t>
  </si>
  <si>
    <t xml:space="preserve">گزارشات :                                                                                                                                                                               1-ارسال کارکرد ایرانی سوم هر ماه                                                                                                                                             2- ارسال کارکرد خارجی هفتم هر ماه                                                                                                                                       3- گزارشات مربوط به مستر دیتا واحد SAP                                                                                                                             4 - امور مربوط به قرارداد                                                    </t>
  </si>
  <si>
    <t xml:space="preserve">فهیمه هاشمی </t>
  </si>
  <si>
    <t>مدیر آموزش</t>
  </si>
  <si>
    <t>Knowledge &amp; Skill Retention</t>
  </si>
  <si>
    <t>اثربخشی رفتاری</t>
  </si>
  <si>
    <t>تعریف: ارزیابی میکند که کارکنان جقدر خوب دانش و مهارت های آموخته شده در طول آموزش را حفظ میکنند)
اهمیت: تضمین مزایای بلند مدت آموزشی.
نحوه اندازگیری: انجام ارزیابی ها و آزمون های پیگیری</t>
  </si>
  <si>
    <t>Learning And DevelopmentSpend Per Employee</t>
  </si>
  <si>
    <t>هزینه آموزش و توسعه به ازای هر کارمند</t>
  </si>
  <si>
    <t>مقدار هزینه شده برای اموزش و توسعه به ازای هر کارمند</t>
  </si>
  <si>
    <t xml:space="preserve"> Person /Hour Or Training for all Staff(500 P/H)</t>
  </si>
  <si>
    <t>Training Effectiveness</t>
  </si>
  <si>
    <t>اثربخشی واکنشی</t>
  </si>
  <si>
    <t>از طریق ارزیابی های پس از آموزش بهبود مهارتها یا بهبود عملکرد اندازگیری میشود.</t>
  </si>
  <si>
    <t>Training Participent Rate</t>
  </si>
  <si>
    <t>نرخ مشارکت در آموزش</t>
  </si>
  <si>
    <t>درصد کارمندانی که برنامه های آموزشی تعیین شده را تکمیل کرده اند.</t>
  </si>
  <si>
    <t>Return On Investment</t>
  </si>
  <si>
    <t xml:space="preserve">بازگشت سرمایه( ROI) </t>
  </si>
  <si>
    <t>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</si>
  <si>
    <t>Percentage of Cost Variance Compared to Budget</t>
  </si>
  <si>
    <t>نرخ انطباق هزینه و بودجه</t>
  </si>
  <si>
    <t>1-تعریف 3 شاخص اموزش در BI</t>
  </si>
  <si>
    <t>پردیس حاتمی نیا</t>
  </si>
  <si>
    <t>كارشناس آموزش</t>
  </si>
  <si>
    <t>فهیمه هاشمی</t>
  </si>
  <si>
    <t xml:space="preserve">انجام آموزشهای حین کار و بدو استخدام </t>
  </si>
  <si>
    <t xml:space="preserve">ارزیابی موسسات اموزشی </t>
  </si>
  <si>
    <t>تشکیل و بروزرسانی پرونده های آموزشی پرسنل گروه</t>
  </si>
  <si>
    <t xml:space="preserve">ارائه گزارشات </t>
  </si>
  <si>
    <t>رئیس هتلداری و تشریفات</t>
  </si>
  <si>
    <t>انحراف از بودجه</t>
  </si>
  <si>
    <t>انحراف بودجه= 
هزینه واقعی−هزینه پیش‌بینی‌شده تقسیم بر
​هزینه پیش‌بینی‌شده
 ×100%</t>
  </si>
  <si>
    <t>ترانسپورت زمینی پرسنل</t>
  </si>
  <si>
    <t>جا به جایی پرسنل توسط سواری، مینی بوس و آژانس در زمان های تعیین شده</t>
  </si>
  <si>
    <t>نظارت بر عملکرد تیم های ترانسپورت و تشریفات و رستوران و مهمانسراها و گزارشات</t>
  </si>
  <si>
    <t>ترانسپورت (مینی بوس-سواری- آژانس)
هزینه هتل ها
خرید های مهمانسرا
هزینه های غذا
هزینه های متفرقه مهمانسرا
هزینه های بازدید ها و مهمانان
هزینه ها جشن ها(تولد- مراسم فرهنگی)</t>
  </si>
  <si>
    <t>زمان پاسخگویی به درخواست‌ها</t>
  </si>
  <si>
    <t>پاسخگویی به درخواست ها در کمترین زمان / اجرای به موقع درخواست ها</t>
  </si>
  <si>
    <t>درصد تاخیر در اجرای رویداد</t>
  </si>
  <si>
    <t>تغییرات زمانبندی= 
تعداد رویدادهای با تاخیر / تعداد کل رویدادها
 ×100%</t>
  </si>
  <si>
    <t>خدمات رسانی وعده های غذایی</t>
  </si>
  <si>
    <t>سرو هر وعده غذایی در زمان مناسب و کنترل کیفیت غذاها</t>
  </si>
  <si>
    <t>تامین اقلام مصرفی مهمانسرا و پذیرایی</t>
  </si>
  <si>
    <t xml:space="preserve">درخواست اقلام لازم جهت پذیرایی در مهمانسرا </t>
  </si>
  <si>
    <t>هزینه هتل</t>
  </si>
  <si>
    <t>هماهنگی اسکان خارج از شرکت برای همکاران و مهمانان</t>
  </si>
  <si>
    <t>حوادث</t>
  </si>
  <si>
    <t>برگزاری مراسمات امور فرهنگی</t>
  </si>
  <si>
    <t>برگزاری تولد های هر ماه در فصل جاری</t>
  </si>
  <si>
    <t>برونسپاری رستوران مرکزی</t>
  </si>
  <si>
    <t>تدوین آیین نامه ترانسپورت و تراولینگ</t>
  </si>
  <si>
    <t>آفرین حلوایی زاده شوشتری</t>
  </si>
  <si>
    <t>کارشناس اداري</t>
  </si>
  <si>
    <t>ثبت تردد روزانه و هماهنگی داخلی</t>
  </si>
  <si>
    <t>1- آمار روزانه پرسنل و مهمانان جهت تهیه غذا
2- آمار مدیران حاضر در شرکت جهت پذیرایی
3- هماهنگی با واحد ها و رانندگان جهت ارسال بسته و امور روزانه خدمات و برنامه ریزی امور کاری رانندگان
4- ثبت تردد مهمانان
5- ثبت تردد ارباب رجوعان 
6- ثبت تردد بین تایم همکاران
7- اطلاع رسانی به مهماندار جهت پذیرایی جلسات
8- گزارش روزانه
9- گزارش ثبت تردد های روزانه و تردد مدیران</t>
  </si>
  <si>
    <t>تنخواه گردانی</t>
  </si>
  <si>
    <t>پرداخت هزینه های جاری
1- هزینه ایاب و ذهاب روزانه کارپردازان
2- هزینه پیک ها و پست ها
3- هزینه شام مهمانان شرکت
4- پرداخت تنخواه مأموریت همکاران طبق اعلام سرپرست
5- پرداخت برخی فاکتورها طبق اعلام سرپرست
6- پرداخت قبوض
دریافت هزینه های انجام شده:
1- دریافت کلیه هزینه های انجام شده در روز گذشته توسط تنخواه داران و مطابقت با صورتحساب بانک و ارائه به سرپرست</t>
  </si>
  <si>
    <t>دریافت و ارسال بسته</t>
  </si>
  <si>
    <t>1- دریافت پاکتهای بیمه تکمیلی همکاران و ارسال به کارخانه
2- دریافت پاکتها و بسته های همکاران جهت ارسال به کارخانجات، ادارات و بانکها
3- تحویل پاکتها و بسته های رسیده به همکاران مربوطه
4- ارتباط با پستهای تیپاکس و هوایی جهت ارسال بسته های شرکت</t>
  </si>
  <si>
    <t>فاطمه ناصرپور</t>
  </si>
  <si>
    <t>سرپرست امور اداری</t>
  </si>
  <si>
    <t xml:space="preserve">تهیه بلیط شرکت تخته فشرده-پاک چوب خوزستان-دفتر تهران </t>
  </si>
  <si>
    <t xml:space="preserve">تعداد بلیط 
مهر،آبان،آذر..
</t>
  </si>
  <si>
    <t xml:space="preserve">رزرو هتل شرکت تخته فشرده-پاک چوب خوزستان-دفتر تهران </t>
  </si>
  <si>
    <t xml:space="preserve">تعداد هتل
مهر،آبان،آذر....
</t>
  </si>
  <si>
    <t xml:space="preserve">تنخواه دار شرکت تخته فشرده و شرکت پاک چوب خوزستان </t>
  </si>
  <si>
    <t>1- بستن تنخواه
3- ثبت اسناد تنخواه</t>
  </si>
  <si>
    <t>هماهنگی ترانسپورت</t>
  </si>
  <si>
    <t xml:space="preserve">هماهنگی ترانسفر مدیران- مهمانان - پرسنل تخته فشرده -دفتر تهران-پاک چوب خوزستان-کارخانه ایرانیان-کارخانه پاک چوب خراسان </t>
  </si>
  <si>
    <t xml:space="preserve">هماهنگی پروژه ملامینه </t>
  </si>
  <si>
    <t xml:space="preserve">رزرو اقامتگاه کارشناسان پروژه-هماهنگی ترانسپورت-بستن سند پرداختی 
</t>
  </si>
  <si>
    <t xml:space="preserve">1- برگه ماموریت و ایمیل تاییدیه معاونت برای بلیت های تهیه شده یا هتل 
2- گزارش تنخواه
3-گزارش بلیط به صورت ماهانه 
4-گزارش هتل ب صورت ماهانه </t>
  </si>
  <si>
    <t>فاطمه علائی</t>
  </si>
  <si>
    <t>بستن اسناد مالی بلیت</t>
  </si>
  <si>
    <t xml:space="preserve">بستن صورت حساب های مالی بلیط های تهیه شده برای شرکت پاک چوب خوزستان و تخته فشرده
(رزرو بلیط: در صورت عدم حضور سرکار خانم ناصرپور) مهر-آبان -آذر </t>
  </si>
  <si>
    <t>تنخواه داری</t>
  </si>
  <si>
    <t>1- بستن تنخواه پاک چوب خوزستان و تخته فشرده
2- ثبت اسناد تنخواه پاک چوب خوزستان و تخته فشرده
مهر-آبان--آذر</t>
  </si>
  <si>
    <t>رزرو هتل</t>
  </si>
  <si>
    <t>بستن اسناد صورت حساب رزرو هتل
(رزرو: درصورت عدم حضور خانم ناصرپور)
مهر-آبان -آذر</t>
  </si>
  <si>
    <t>(رزرو: درصورت عدم حضور خانم ناصرپور)</t>
  </si>
  <si>
    <t>1- گزارش بلیط ها - ماهانه
2- گزارش هتل ها - ماهانه</t>
  </si>
  <si>
    <t>مریم خورشیدی اقدم</t>
  </si>
  <si>
    <t>مدیر جذب و استخدام</t>
  </si>
  <si>
    <t>Recruitment (Mgrs)</t>
  </si>
  <si>
    <t xml:space="preserve">استخدامی های مدیریتی </t>
  </si>
  <si>
    <t xml:space="preserve">مدیر ارشد صادرات
مدیر ارشد لجستیک و انبار
مدیر حقوقی
معاونت کارخانجات
مدیر صنعت شیمیایی چوب ایرانی یاخارجی
مدیر پروژه
مدیر حسابرسی داخلی
مدیر آموزش فروش
مدیر سیستم ها و روش ها
مدیر فنی تخته فشرده ایرانی
مدیر تولید تخته فشرده (فاز یک) ایرانی
</t>
  </si>
  <si>
    <t>Recruitment (None Mgrs)</t>
  </si>
  <si>
    <t>استخدام های غیر مدیریتی</t>
  </si>
  <si>
    <t>کارشناس دیجیتال مارکتینگ
کارشناس IT (ادمین شبکه های کامپیوتری)
کارشناس تحقیقات بازار
کارشناس برنامه ریزی
سرپرست خریدهای مارکتینگ
نماینده مدیریت در ادارات
کارشناس خرید بلیط خارجی
کارشناس خرید ترکیه
کارشناس فروش میدانی- 2 نفر</t>
  </si>
  <si>
    <t>Out-of-program recruitments(Mgrs)</t>
  </si>
  <si>
    <t>استخدام خارج از برنامه (مدیریتی)</t>
  </si>
  <si>
    <t>Out-of-program recruitments (None Mgrs))</t>
  </si>
  <si>
    <t>استخدام خارج از برنامه (غیر مدیریتی)</t>
  </si>
  <si>
    <t>ATS</t>
  </si>
  <si>
    <t xml:space="preserve">راه اندازی سیستم ATS </t>
  </si>
  <si>
    <t>راه اندازی سیستم ATS برای گروه و شرکت ها و بهره برداری از آن تا پایان فصل</t>
  </si>
  <si>
    <t xml:space="preserve"> Run &amp; updating unit-specific Recruitment regulations</t>
  </si>
  <si>
    <t xml:space="preserve"> 
تهیه روش اجرایی آنبوردینگ و اینداکشن و  اجرای آن
</t>
  </si>
  <si>
    <t>Welcome Pack</t>
  </si>
  <si>
    <t xml:space="preserve"> بسته خوش آمدگویی سازمانی</t>
  </si>
  <si>
    <t>نهایی سازی بسته خوش آمدگویی سازمانی با همکاری واحد سمپل پاک چوب خوزستان و دریافت تایید مدیریت</t>
  </si>
  <si>
    <t xml:space="preserve"> گزارش ماهیانه از آمار واحد جذب و استخدام
</t>
  </si>
  <si>
    <t>محسن فولادی</t>
  </si>
  <si>
    <t>سرپرست جذب و استخدام</t>
  </si>
  <si>
    <t>Recruitment (Non Mngrs)</t>
  </si>
  <si>
    <t xml:space="preserve">کارشناس دیجیتال مارکتینگ
کارشناس IT 
کارشناس تحقیقات بازار
سرپرست خریدهای مارکتینگ
نماینده مدیریت در ادارات
کارشناس خرید بلیط خارجی
کارشناس فروش میدانی- 2 نفر
</t>
  </si>
  <si>
    <t>جذب نیروهای فروش، خارج از برنامه است.</t>
  </si>
  <si>
    <t>welcome pack</t>
  </si>
  <si>
    <t>نهایی سازی بسته خوشامدگویی سازمانی</t>
  </si>
  <si>
    <t>نهایی کردن اقلام بسته خوشامدگویی سازمانی با هماهنگی مدیر جذب برای دریافت تایید</t>
  </si>
  <si>
    <t>Recruitment Reports</t>
  </si>
  <si>
    <t>تهیه گزارشات استخدامی</t>
  </si>
  <si>
    <t xml:space="preserve">گزارش ماهیانه از تعداد رزومه های ارسالی, تعداد مصاحبه های ست شده برای هر موقعیت شغلی
گزارش ماهانه و فصلی از تعداد کارشناس جذب شده به تفکیک پوزیشن و لوکیشن                                                                                                                                                                                                                                                            گزارش ماهیانه و فصلی میزان انحراف از زمان تعیین شده
</t>
  </si>
  <si>
    <t>Number Of Mistakes</t>
  </si>
  <si>
    <t>تعداد خطا</t>
  </si>
  <si>
    <t xml:space="preserve">به ازای هر خطا در کار، به میزان معین شده از نمره نهایی کسر می گردد.
مصادیق خطا: اعلام شروع به کار بدون مجوز 5%
خطا در ارسال نامه های شروع به کار 1%
خطا در گزارشات ارسالی 3%
</t>
  </si>
  <si>
    <t>گفتگو و ارتباط موثر با سایر واحدها</t>
  </si>
  <si>
    <t>عدم دریافت شکایت از سایر واحدها و همکاران
هر شکایت 5%</t>
  </si>
  <si>
    <t>مدیریت و برنامه ریزی زمانی</t>
  </si>
  <si>
    <t>اولویت بندی صحیح برای پیشبرد امور و رسیدن به تارگت ها
استخدام کارشناسان واحدها حداکثر تا یک ماه برای هر موقعیت شغلی (کارمندیابی بیش از یک ماه 5% کسر)
اعلام نامه های شروع به کار حداکثر تا ساعت 9 صبح یکروز کاری قبل (5% کسر به ازای عدم تحقق برای هر نامه)
مهم*: استخدامی های بعد از 25 آذر در KPI لحاظ نخواهد شد.</t>
  </si>
  <si>
    <t>سمیرا کریمی</t>
  </si>
  <si>
    <t>مدیر ارشد صادرات
مدیر ارشد لجستیک و انبار
مدیر حقوقی
معاونت کارخانجات
مدیر صنعت شیمیایی چوب ایرانی یاخارجی
مدیر پروژه
مدیر حسابرسی داخلی
مدیر آموزش فروش
مدیر سیستم ها و روش ها
مدیر فنی تخته فشرده ایرانی
مدیر تولید تخته فشرده (فاز یک) ایرانی</t>
  </si>
  <si>
    <t xml:space="preserve">گزارش ماهیانه از تعداد رزومه های ارسالی, تعداد مصاحبه های ست شده برای هر موقعیت شغلی
گزارش ماهانه و فصلی از تعداد مدیران و مشاوران جذب شده به تفکیک پوزیشن و لوکیشن                                                                                                                                                                                                                                                            گزارش ماهیانه و فصلی میزان انحراف از زمان تعیین شده
</t>
  </si>
  <si>
    <t>Recruitment search Plan to Ms.Hasanzadeh</t>
  </si>
  <si>
    <t>تهیه برنامه مکتوب جستجوی نیرو برای خانم حسن زاده</t>
  </si>
  <si>
    <t>تهیه برنامه مکتوب جستجوی نیرو در جاب بردها و لینکدین مبتنی بر موقعیت های شغلی که می بایست با همکاری خانم حسن زاده پیش بروند.</t>
  </si>
  <si>
    <t>اولویت بندی صحیح برای پیشبرد امور و رسیدن به تارگت ها
تهیه برنامه منظم و ماهانه جستجوی نیرو برای خانم حسن زاده 
به ازای هر تعداد مدیری که برای این فصل باز میمانند( بدون تایید مکتوب از آقای امینی)، 5% کسر می گردد.
اعلام نامه های شروع به کار در سریع ترین زمان
مهم*: استخدامی های بعد از 25 آذر در KPI لحاظ نخواهد شد.</t>
  </si>
  <si>
    <t>مریم حسن زاده</t>
  </si>
  <si>
    <t>کارشناس جذب و استخدام</t>
  </si>
  <si>
    <t>کارشناس خرید ترکیه
کارشناس برنامه ریزی</t>
  </si>
  <si>
    <t>برای هر موقعیت شغلی: زمان دریافت درخواست، زمان جذب نفر
چه تعداد رزومه و از چه جاب بردی دریافت کردیم، چه تعداد رزومه تایید شد، چه تعداد مصاحبه و در چه زمان های هماهنگ شد، نتیجه چه شد</t>
  </si>
  <si>
    <t>Search &amp; Updates</t>
  </si>
  <si>
    <t>بروزرسانی اطلاعات مورد نیاز واحد</t>
  </si>
  <si>
    <t>بروزرسانی هفتگی و ماهانه اطلاعات در خصوص رقبای داخلی و خارجی، بنچ مارک شرکت های دلخلی و خارجی در خصوص روال ها و رویه های جذب و نگهداشت نیرو و سایر گزارشات درخواستی از طرف مدیر</t>
  </si>
  <si>
    <t>Cooperation in hiring managers</t>
  </si>
  <si>
    <t>همکاری در جذب مدیران با خانم کریمی</t>
  </si>
  <si>
    <t>همکاری با خانم کریمی در خصوص جستجوی مدیر پروژه و مدیر روابط عمومی در جاب بردهای مختلف
- برای مدیر پروژه جستجوی تعداد 20 عدد رزومه مرتبط و حضور در جلسات مصاحبه آنلاین هماهنگ شده
- برای مدیر روابط عمومی تعداد 20 عدد رزومه مرتبط و حضور در مصاحبه ها ی آنلاین هماهنگ شده</t>
  </si>
  <si>
    <t>پریا بازیار</t>
  </si>
  <si>
    <t>مسئول دفتر گروه-شوش</t>
  </si>
  <si>
    <t>Packages</t>
  </si>
  <si>
    <t>ثبت و ارسال بسته ها</t>
  </si>
  <si>
    <t>1- ثبت بسته های ارسالی به کارخانجات
2- ثبت بسته های دریافتی از کارخانجات
3- ثبت بسته های پستی</t>
  </si>
  <si>
    <t>SAP: Holding management meetings</t>
  </si>
  <si>
    <t>SAP برگزاری جلسات مدیریتی</t>
  </si>
  <si>
    <t>Submission of monthly reports</t>
  </si>
  <si>
    <t>تحویل گزارشات ماهانه</t>
  </si>
  <si>
    <t>Submission of Assigned Reports</t>
  </si>
  <si>
    <t>تحویل گزارشات محوله</t>
  </si>
  <si>
    <t>حسین توکلی</t>
  </si>
  <si>
    <t>مدیر ارشد ایمنی و بهداشت</t>
  </si>
  <si>
    <t>AFR (Accident Frequency Rate)</t>
  </si>
  <si>
    <t>نرخ تکرار حادثه</t>
  </si>
  <si>
    <t xml:space="preserve"> (نرخ تکرار حادثه): نرخ وقوع حادثه را نسبت با ساعات مواجهه با حادثه اندازه گیری میکند. مثلاً به ازای هر یک میلیون نفر ساعت کار
measures how often accidents occur in relation to exposure hours (e.g., per 1,000,000 man-hours worked).</t>
  </si>
  <si>
    <t>ASR(Accident Severity Rate)</t>
  </si>
  <si>
    <t>نرخ شدت حادثه</t>
  </si>
  <si>
    <t xml:space="preserve"> (نرخ شدت حادثه): شدت حوادث را بر حسب روزهای از دست رفته به ازای هر یک میلیون نفر ساعت کار محاسبه می کند
 measures the severity of accidents, usually in terms of lost days per 1,000,000 man-hours worked</t>
  </si>
  <si>
    <t>FSI(Frequency Severity Indicator)</t>
  </si>
  <si>
    <t>شاخص شدت تکرار</t>
  </si>
  <si>
    <t xml:space="preserve"> (شاخص شدت تکرار): تکرار حوادث را با شدت آنها ترکیب میکند تا معیاری جامع از ریسک یا عملکرد ارایه دهد.
combines the number of incidents (frequency) with their cost or impact (severity) to provide a comprehensive measure of risk or performance</t>
  </si>
  <si>
    <t>(تعداد گزارش‌های Near Miss / تعداد کل کارکنان) × 100 </t>
  </si>
  <si>
    <t>HSE Training Completion Rate</t>
  </si>
  <si>
    <t>نرخ تکمیل آموزش‌های HSE</t>
  </si>
  <si>
    <t>(تعداد کارکنان آموزش‌دیده / تعداد کل کارکنان نیازمند آموزش) × 100</t>
  </si>
  <si>
    <t>SOPs</t>
  </si>
  <si>
    <t>تهیه دستورالعمل</t>
  </si>
  <si>
    <t xml:space="preserve">تهیه دستورالعمل واکنش در شرایط اضطرار
تهیه دستورالعمل ایمنی بچسب گذاری و قفل گذاری (LOTO)
تهیه دستورالعمل ایمنی ماشین آلات تولید
تهیه دستورالعمل ایمنی ماشین آلات صنعتی (لودر، لیفتراک، و....)
تهیه دستورالعمل ایمنی انبار
تهیه دستورالعمل ایمنی عکسبرداری در محل تخلیه چوب
تهیه دستورالعمل ایمنی قطع و برش درخت
</t>
  </si>
  <si>
    <r>
      <t xml:space="preserve">بهبود ایمنی حریق در کلیه کارخانه جات گروه از طریق پیگیری جهت رفع  موارد و مشکلات مهندسی وتهیه دستورالعمل، مانور و آموزش و بررسی سیستم های اعلان و اطفاء </t>
    </r>
    <r>
      <rPr>
        <b/>
        <u/>
        <sz val="8"/>
        <color rgb="FF000000"/>
        <rFont val="B Nazanin"/>
        <charset val="178"/>
      </rPr>
      <t>کل کارخانه های گروه صنعتی</t>
    </r>
  </si>
  <si>
    <t>Some of Mentioned Items are conditional and bond to other sections KPI- electromotor pumps for fire fighting system in Iranian, Khoozestan and khorasan and fault removing and setting up fire detection system in 4 factories</t>
  </si>
  <si>
    <t>راه اندازی سیستم اطفاء حریق برای سازه ری چیپر و داینا اسکرین ( کارخانه تخته فشرده)</t>
  </si>
  <si>
    <t>در حال حاضر با توجه به اهمیت موضوع هیچگونه سیستم اطفایی در محل موجود نمی باشد</t>
  </si>
  <si>
    <t>اجرای خط کشی ترافیکی به جهت اعمال موارد ایمنی خودروهادر کارخانه تخته فشرده</t>
  </si>
  <si>
    <t>تفکیک لاین حرکت خودرو ها و مشخص نمودن مسیر</t>
  </si>
  <si>
    <t>Implementation of floor marking and designated forklift traffic lanes inside production and storage facilities to ensure safe and organized movement</t>
  </si>
  <si>
    <t>اجرای خط کشی جهت مشخص نمودن مسیر حرکت لیفتراک برای بالا بردن وضعیت ایمنی داخل سالن تولید و انبار( کارخانه تخته فشرده)</t>
  </si>
  <si>
    <t>کارخانه خوزستان ( مسیر لیفتراک در محوطه) -ایرانبان ( مسیر لیفراک در داخل سوله تولید و انبار)</t>
  </si>
  <si>
    <t>Set up and run the safety induction for new comers and visitors in Iranian and Khouzestan factories</t>
  </si>
  <si>
    <r>
      <t>برنامه ریزی و اجرای آشنایی اولیه با اصول ایمنی برای نفرات تازه استخدام شده و ملاقات کننده گان در بدو ورود به کارخانه های</t>
    </r>
    <r>
      <rPr>
        <b/>
        <u/>
        <sz val="8"/>
        <color theme="1"/>
        <rFont val="B Nazanin"/>
        <charset val="178"/>
      </rPr>
      <t xml:space="preserve"> ایرانیان و خوزستان</t>
    </r>
  </si>
  <si>
    <t>اجرا در پاک چوب خوزستان و ایرانیان</t>
  </si>
  <si>
    <t>داود صاحبي بزاز</t>
  </si>
  <si>
    <t>کارشناس امور پرسنل خارجی</t>
  </si>
  <si>
    <t xml:space="preserve">Visa Application </t>
  </si>
  <si>
    <t>تهیه ویزا</t>
  </si>
  <si>
    <t xml:space="preserve">KPI Description-
دو نوع تهیه ویزا- ویزا برای کار در ایران- ویزا برای ورود موقت
تمدید مجدد بیمه یکساله اتباع خارجی جهت تمدید ویزا و پروانه کار
</t>
  </si>
  <si>
    <t xml:space="preserve">International and Local Ticket </t>
  </si>
  <si>
    <t>بلیت های خارجی و داخلی ( پرداخت عوارض و ویزا )</t>
  </si>
  <si>
    <t>KPI Description-هماهنگی خروج نفرات ذیل جهت استراحت 10 روزه پرسنل خارجی 
1.Srikanth 
2.Kittichai
-</t>
  </si>
  <si>
    <t xml:space="preserve">Hotel and accomodation </t>
  </si>
  <si>
    <t>هماهنگی هتل و رفت و آمد</t>
  </si>
  <si>
    <t xml:space="preserve">
1. خرید بلیط و تهیه هتل و هماهنگی حضور نیروهای ترکیه اقای تونج به همراه تیم 
2. هماهنگی حضور اقای احسان طرحان   تهران و تهیه هتل  
3.  پرداختی عوارض خروج و هماهنگی سفر نیرو ها عسافی و دویرج به ترکیه      
4.تهیه هتل و بلیط  ماموریت ترکیه تیم 3 نفره خط MDF  3 استاروود  ( اقای زاده حسین-اقای نوحه گری و اقای نامداری )
</t>
  </si>
  <si>
    <t xml:space="preserve">work permit and residency </t>
  </si>
  <si>
    <t>پروانه کار و اقامت یکساله</t>
  </si>
  <si>
    <t xml:space="preserve">1.درخواست پروانه کار برای Kemal Celik 
2.در خواست پروانه کار Mr.Jayanta Bhowmik 
3. تمدید روادید 3 نفر از پرسنل خارجی حاضر در شرکت  ( اقای کیتیچای- اقای راکش-آقای سریکانس ) </t>
  </si>
  <si>
    <t xml:space="preserve">KPI Description-
1-کارکرد نفرات خارجی- ماهیانه
2- هزینه ها-ماهیانه
3.صورت وضعیت بلیط های خریداری شده 
4.صورت وضعیت هتل های رزرو شده 
-
</t>
  </si>
  <si>
    <t xml:space="preserve">following all tasks related to foreign people during their presence in company </t>
  </si>
  <si>
    <t>پیگیری درخواست های نفرات خارجی</t>
  </si>
  <si>
    <t xml:space="preserve">پیگیری نیاز های روزانه نفرات خارجی در شرکت و هماهنگی خرید و بازدید از شهر در زمان بعد از اتمام کار  </t>
  </si>
  <si>
    <t>follow new foreign  person  to come Iran and have meeting and visit company</t>
  </si>
  <si>
    <t>پیگیری امور رفت و امد نفرات مصاحبه شونده</t>
  </si>
  <si>
    <t xml:space="preserve">KPI Description-هماهنگی حضور نفرات خارجی 
-
</t>
  </si>
  <si>
    <t xml:space="preserve">book tickets , visa application  , reserve hotel for personnel who go out of Iran for mission  </t>
  </si>
  <si>
    <t>امور مربوط به بلیت و ویزا و هتل و عوارض خروج برای ماموریت همکاران</t>
  </si>
  <si>
    <t xml:space="preserve">KPI Description-
</t>
  </si>
  <si>
    <t>بهاره مالمیر</t>
  </si>
  <si>
    <t>رئیس اداری دفتر تهران</t>
  </si>
  <si>
    <t>امورپرسنلی و قراردادها</t>
  </si>
  <si>
    <t>TARGET:--KPI Description-
تعداد قراردادها-</t>
  </si>
  <si>
    <t>هزینه غذا</t>
  </si>
  <si>
    <t>هزینه بلیت</t>
  </si>
  <si>
    <t xml:space="preserve"> هزینه تشریفات و مهمانداری و خدمات</t>
  </si>
  <si>
    <t>هزینه سرویس و نگهداری ماشین ها</t>
  </si>
  <si>
    <t>هزینه تعمیرات وسرویس و نگهداری ساختمان ها</t>
  </si>
  <si>
    <t>تعمیرات ساختمان</t>
  </si>
  <si>
    <t>TARGET:--KPI Description-
1-مدیریت بسته های پستی
2-امور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3-ورود و خروج مشاورین
4-تحویل مدارک بیمه تکمیلی پرسنل و پیگیری و ثبت و ارسال آن‌ها
5-روند کاری رانندگان دفتر 
6-گزارش کار روزانه 
7-گزارش ماهانه غذا (تهیه غذا/نظارت و برنامه‌ریزی جهت تحویل و کنترل غذای پرسنل دفتر)
8-نظارت بر پذیرایی و  خدمات و نظافت دفتر(نظارت بر کیفیت خدمات ارائه شده در دفتر و پیگیری از جهت تمیز و مرتب بودن محیط از همه لحاظ)
9-گزارشات منابع انسانی
10-خرید و تامین اقلام موردنیاز  شرکت
11- دریافت و عودت چکها و ثبت آنها
12- نظارت و مسئولیت در خصوص ارزهایی که به دفتر می آید و ثبت آنها-</t>
  </si>
  <si>
    <t>هیلا  نقی لو</t>
  </si>
  <si>
    <t>كارشناس منابع انسانی</t>
  </si>
  <si>
    <t>هماهنگی جهت تهیه بلیط پرسنل فروش</t>
  </si>
  <si>
    <t>انجام نامه های اداری آقای اسفندیاری</t>
  </si>
  <si>
    <t>رسیدگی به تن خواه شرکت</t>
  </si>
  <si>
    <t>امور مربوط به انبارداری</t>
  </si>
  <si>
    <t>هماهنگی روزانه با رستوران جهت تعداد غذا پرسنل</t>
  </si>
  <si>
    <t>امور مربوط به خدمات</t>
  </si>
  <si>
    <t>نظارت جهت تمیز بودن اتاق ها،میزها و سرویس های بهداشتی و فضاها</t>
  </si>
  <si>
    <t>فاطمه حکیمی راد</t>
  </si>
  <si>
    <t>مدیر دفتر مدیرعامل</t>
  </si>
  <si>
    <t>Follow up on receiving reports on time and checking them</t>
  </si>
  <si>
    <t>یگیری دریافت به موقع گزارشات و بررسی آن ها</t>
  </si>
  <si>
    <t xml:space="preserve"> گزارشات هر دو هفته یکبار شامل پیشرفت پروژه های عمرانی، ماشین آلات ، SAP ،سیستم ها و روش ها و گزارشات روزانه امور اداری( آقای اسفندیاری)،تولید، فروش، تامین، برنامه ریزی و ... همچنین سایر گزارشات مورد نیاز که در روند کار نیاز به دریافت آن ها می شود</t>
  </si>
  <si>
    <t xml:space="preserve"> Meeting management, coordination, and other programs of the CEO</t>
  </si>
  <si>
    <t>مدیریت جلسات ، هماهنگی ها و سایر برنامه های مدیرعامل</t>
  </si>
  <si>
    <t xml:space="preserve"> Attending meetings and preparing meeting minutes</t>
  </si>
  <si>
    <t>حضور در جلسات و تهیه صورت جلسات</t>
  </si>
  <si>
    <t>حضور موثر در جلسات و تهیه صورت جلسات مورد نیاز و اطمینان از اینکه 95 درصد از موارد مطرح شده در تاریخ مقرر ارائه شوند.</t>
  </si>
  <si>
    <t xml:space="preserve"> Internal and external communications</t>
  </si>
  <si>
    <t>ارتباطات داخلی و خارجی</t>
  </si>
  <si>
    <t>تماس ها و ایمیل ها در مدت زمان 24ساعت پاسخ داده شوند همچنین ایمیل های ارسالی از دفتر مدیرعامل به  سایر دپارتمان ها</t>
  </si>
  <si>
    <t>Calendar management and travel planning</t>
  </si>
  <si>
    <t>مدیریت تقویم و برنامه ریزی سفرها</t>
  </si>
  <si>
    <t xml:space="preserve"> Petty cash management</t>
  </si>
  <si>
    <t>Departmental management and coordination based on the CEO’s requests</t>
  </si>
  <si>
    <t>مدیریت و هماهنگی بین دپارتمان ها بر اساس خواست مدیرعامل</t>
  </si>
  <si>
    <t>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</si>
  <si>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 xml:space="preserve"> Archiving</t>
  </si>
  <si>
    <t>بایگانی</t>
  </si>
  <si>
    <t>فیزیکی و دیجیتال
گزارشات، صورت جلسات،دادها،KPI  ،اکشن پلن هاو سایر موارد به طور دقیق و منظم بایگانی و ذخیره شوند،</t>
  </si>
  <si>
    <t xml:space="preserve"> Receiving progress reports every 14 days and holding monthly progress meetings for construction projects, machinery, and SAP, SOP</t>
  </si>
  <si>
    <t>برگزاری جلسات ماهانه پیشرفت پروژهای عمرانی ،ماشین آلات، دیمند و فورکست، تامین، عملکرد ماهانه مطابق با بودجه</t>
  </si>
  <si>
    <t>KPI meetings every three months</t>
  </si>
  <si>
    <t>جلسات هر 3 ماه KPI</t>
  </si>
  <si>
    <t xml:space="preserve">برگزاری جلسه و اصلاح فایل ها و تحویل به واحد منابع انسانی </t>
  </si>
  <si>
    <t>دنیا یاراحمدی</t>
  </si>
  <si>
    <t>كارشناس اداری</t>
  </si>
  <si>
    <t>پیگیری دریافت به موقع گزارشات و بررسی آن ها</t>
  </si>
  <si>
    <t>بر اساس ددلاین مشخص شده از سمت مدیر دفتر می بایست صورت گیرد.
  گزارشات هر دو هفته یکبار شامل پیشرفت پروژه های عمرانی، ماشین آلات ، SAP ،سیستم ها و روش ها و گزارشات روزانه امور اداری( آقای اسفندیاری)،تولید، فروش، تامین، برنامه ریزی و ... همچنین سایر گزارشات مورد نیاز که در روند کار نیاز به دریافت آن ها می شود</t>
  </si>
  <si>
    <t>Follow-up and coordination of internal and external communications</t>
  </si>
  <si>
    <t xml:space="preserve"> امضاء به موقع نامه های اتوماسیون اداری و مهر و دسته بندی فرم های صادره سایر دپارتمان ها جهت اخذ امضاء مدیرعامل
 تماس ها ، ایمیل ها ، نامه ها و فرم های صادره سایر دپارتمان ها در مدت زمان 24ساعت پاسخ داده شوند همچنین ایمیل های ارسالی از دفتر مدیرعامل به  سایر دپارتمان ها</t>
  </si>
  <si>
    <t>مدیریت و هماهنگی بین دپارتمان ها و پیگیری امور</t>
  </si>
  <si>
    <t xml:space="preserve"> بر اساس درخواست مدیردفتر
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</si>
  <si>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بایگانی مستندات</t>
  </si>
  <si>
    <t>مهرشاد جلالت</t>
  </si>
  <si>
    <t>رئیس امور حقوقی و دعاوی</t>
  </si>
  <si>
    <t>Contract Turnaround Time: Average time taken to draft, review, and finalize contracts.</t>
  </si>
  <si>
    <t>زمان گردش قراردادها: میانگین زمان لازم برای تهیه، بررسی و نهایی کردن قراردادها.</t>
  </si>
  <si>
    <t>TARGET:--KPI Description-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</si>
  <si>
    <t>Number of Contracts Reviewed: Total contracts processed in a given period.</t>
  </si>
  <si>
    <t>تعداد قراردادهای بررسی شده: تعداد کل قراردادهایی که در یک دوره مشخص پردازش شده‌اند</t>
  </si>
  <si>
    <t>Litigation Success Rate: Percentage of favourable outcomes in legal disputes.</t>
  </si>
  <si>
    <t>نرخ موفقیت در دعاوی حقوقی: درصد پرونده‌هایی که به موقع بررسی شده اند.</t>
  </si>
  <si>
    <t>Response Time: Average time taken to provide legal advice to internal stakeholders.</t>
  </si>
  <si>
    <t>مشاوره حقوقی 100% به سایر واحدهای شرکت در خصوص مشکلات قانونی مرتبط با قراردادها</t>
  </si>
  <si>
    <t>TARGET:--KPI Description-یک روز پس از ارائه درخواست به صورت کتبی-</t>
  </si>
  <si>
    <t>Training Hours: Average hours spent on team training and skill development.</t>
  </si>
  <si>
    <t>میانجی گری و مذاکره با 100%  شاکیان به هر علت برای جلوگیری از ارجاع دعوا به محاکم قضایی یا اداره کار</t>
  </si>
  <si>
    <t>Renewal and issuance of insurance policies for the entire group</t>
  </si>
  <si>
    <t>تمدید و صدور بیمه نامه های کل گروه</t>
  </si>
  <si>
    <t>TARGET:--KPI Description-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</si>
  <si>
    <t>Contractual guarantees and deposits</t>
  </si>
  <si>
    <t>تضامین و سپرده های قراردادی</t>
  </si>
  <si>
    <t>TARGET:--KPI Description-
دریافت تضامین از تامین کنندگان و اشخاص طرف قراردا با شرکت- متناسب با موضوع قرارداد. در صورت عدم دریافت امکان پرداخت توسط مالی وجود ندارد. -</t>
  </si>
  <si>
    <t>Creating bank of contract  for easier access of related departmenrs to the status of contracts</t>
  </si>
  <si>
    <t>ایجاد بانک قراردادها جهت دسترسی ساده تر واحدهای مرتبط به وضعیت قراردادها</t>
  </si>
  <si>
    <t>TARGET:--KPI Description-انتقال دیتای قرارداها به پورتال و ایجاد فایل جهت لینک قراردادها و عناوین
از 1400 تا 1403-</t>
  </si>
  <si>
    <t>Objection to rulings issued by the Harsh and Harmful Occupations Committee</t>
  </si>
  <si>
    <t>اعتراض به احکام صادره از طرف کمیته مشاغل  سخت و زیان آور</t>
  </si>
  <si>
    <t>Preparation and preparation of meeting minutes and notices of changes</t>
  </si>
  <si>
    <t>تهیه و تنظیم صورتجلسات مجامع و آگهی های تغییرات</t>
  </si>
  <si>
    <t>TARGET:--KPI Description-
صورتجلسات عادی
صورتجلسات مجمامع در خصوص افزایش یا کاهش سرمایه و آگهی تغییرات هیات مدیره
تغییرات ادرس
تغییرات اساس نامه
-</t>
  </si>
  <si>
    <t>Insurance losses</t>
  </si>
  <si>
    <t>خسارات بیمه ای</t>
  </si>
  <si>
    <t>TARGET:--KPI Description-
اعلام خسارت به شرکت بیمه 
پیگیری حضور کارشناسان بیمه
ارتباط با واحد های درون سازمانی برای دریافت اطلاعات بار و محموله
تکمیل مدارک و دریافت خسارت-</t>
  </si>
  <si>
    <t>مسعود الهائی</t>
  </si>
  <si>
    <t>کارشناس امور حقوقی</t>
  </si>
  <si>
    <t>حقوقی</t>
  </si>
  <si>
    <t xml:space="preserve">تنظیم پیش نویس کلیه قراردادهای ارجاعی  </t>
  </si>
  <si>
    <t xml:space="preserve"> ( پیمانکاری ، خرید ، فروش ، مشاوره و ...) و پیگیری امورات ومرتبط جهت نهایی و اخذ امضاء قراردادها </t>
  </si>
  <si>
    <t xml:space="preserve">اخذ تضامین </t>
  </si>
  <si>
    <t xml:space="preserve">متناسب با نوع و تعهدات قرارداد از پیمانکاران و اشخاص طرف قرارداد با شرکت </t>
  </si>
  <si>
    <t xml:space="preserve">امورات مربوط به تنخواه واحد حقوقی  </t>
  </si>
  <si>
    <t>ثبت کلیه هزینه های تنخواه و نمادی کردن هزینه های واحد و پیگیری جهت شارژ مجدد</t>
  </si>
  <si>
    <t xml:space="preserve">سایر امورات ارجاعی </t>
  </si>
  <si>
    <t>سایر امور جاری که از طرف مدیر ارجاع میگردد</t>
  </si>
  <si>
    <t>پیگیری و تنظیم صورتجلسات</t>
  </si>
  <si>
    <t xml:space="preserve">صورتجلسه مجمع عمومی عادی سالیانه برای انتخاب مدیران و بازرسین ،روزنامه ، صورتجلسه هیأت مدیره در خصوص تعیین سمت و دارندگان امضاء مجاز، صورتجلسه مجمع عمومی فوق العاده در خصوص اجازه نقل و انتقال سهام.، صورتجلسه مجمع عمومی فوق العاده در خصوص تغییر محل. ،  نمونه صورتجلسه مجمع عمومی فوق العاده در خصوص افزایش سرمایه.، صورتجلسه تبدیل سهام بی نام به بانام ، صورتجلسه درخصوص افزایش تعداد اعضاء هیأت مدیره در شرکتهای سهامی خاص،  نمونه صورتجلسه انتخاب مدیر/مدیران و ناظر ،                                                                                                                                                                   </t>
  </si>
  <si>
    <t>مینا درویشی</t>
  </si>
  <si>
    <t>پیگیری پرونده های حقوقی و کیفری له و علیه شرکت های گروه صنعتی در تمامی مراجع و مراحل</t>
  </si>
  <si>
    <t>تنظیم وکالتنامه و اعلام وکالت و مطالعه پرونده در مراجع قضایی و شبه قضایی له و علیه شرکت، تنظیم لوایح در خلال جلسات رسیدگی و پیشبرد روند پرونده ها، تنظیم دادخواست ها و شکوائیه ها و ارسال آن از طریق سامانه خودکاربری وکلا و پیگیری تا ثبت و تعیین شعبه، پیگیری پرونده ها در تمامی مراجع  از جمله دادسرا، کلانتری، پاسگاه، دادگاه های عمومی حقوقی و کیفری، اجرای احکام، در صورت لزوم مراجعه به ادارات جهت استعلام و ارائه به دادگاه ها و در صورت لزوم اعزام به مأموریت</t>
  </si>
  <si>
    <t>انجام امور مربوط به بایگانی پرونده ها</t>
  </si>
  <si>
    <t xml:space="preserve">تشکیل بدل پرونده ها و اخذ کپی از کلیه مدارک و مستندات مضبوط در پرونده های حقوقی و کیفری مربوط به گروه صنعتی جهت بایگانی در واحد </t>
  </si>
  <si>
    <t>تنظیم قراردادهای ارجاعی</t>
  </si>
  <si>
    <t>تنظیم کلیه قراردادهای ارجاعی اعم از پیمانکاری، خرید، مشاوره و ....</t>
  </si>
  <si>
    <t>میزان پیگیری و موفقیت در پرونده ها</t>
  </si>
  <si>
    <t>میزان پیگیری و موفقیت در پرونده های قضایی گروه صنعتی</t>
  </si>
  <si>
    <t>سایر امور ارجاعی</t>
  </si>
  <si>
    <t>میانجی گری، مذاکره و حل و فصل</t>
  </si>
  <si>
    <t>انجام میانجی گری، مذاکره و حل و فصل اختلافات حقوقی با اشخاص حقیقی و حقوقی مقابل جهت حل مشکل و جلوگیری از ارجاع پرونده به مراجع قضایی</t>
  </si>
  <si>
    <t xml:space="preserve">سلیمه منصوری </t>
  </si>
  <si>
    <t>کارشناس امور دعاوی</t>
  </si>
  <si>
    <t xml:space="preserve">تمدید و صدور بیمه نامه تا مرحله نهایی و پرداخت مبلغ بیمه نامه </t>
  </si>
  <si>
    <t xml:space="preserve">تمدید وصدور کلیه بیمه نامه ها اعم از آتش سوزی ، پروژه های عمرانی ، مسولیت مدنی ،تجهیزات الکترونیکی ، بیمه نامه شخص ثالث ، بیمه بدنه و... </t>
  </si>
  <si>
    <t>ایجاد فایل اکسل قراردادها ، ابلاغ قراردادها و سایر امورات مرتیط</t>
  </si>
  <si>
    <t>ایجاد فایل اکسل و چک لیست  قراردادها  ،  تنظیم و صدور معرفی نامه های ردیف پیمان ، ابلاغ قراردادها به پیمانکاران و واحد درخواست کننده .</t>
  </si>
  <si>
    <t xml:space="preserve">مکاتبات درون و برون سازمانی ، امور بایگانی واحد </t>
  </si>
  <si>
    <t xml:space="preserve"> انجام کلیه ی مکاتبات درون و برون سازمانی و امور بایگانی واحد .</t>
  </si>
  <si>
    <t>تهیه و تنظیم پیش نویس قرارداد های ارجاعی</t>
  </si>
  <si>
    <t>تهیه و تنظیم پیش نویس  قراردادهای ارجاعی و انجام امور مرتبط تا مرحله اخذ امضا پیمانکار .</t>
  </si>
  <si>
    <t xml:space="preserve">کارهای اصلی </t>
  </si>
  <si>
    <t>ایجا فایل اکسل تضامین و پیگیری امور مرتبط</t>
  </si>
  <si>
    <t>ایجاد فایل اکسل تضامین قراردادی و غیر قراردادی ،آزاد سازی تضامین تحویل تضامین به واحد خزانه و پیگیری عودت سامانه ای چک های دریافتی ، پیگیری تایید چک های دریافتی از پیمانکاران  .</t>
  </si>
  <si>
    <t>انجام ساایر امور ارجاعی</t>
  </si>
  <si>
    <t xml:space="preserve">پروژه ها </t>
  </si>
  <si>
    <t xml:space="preserve">پیگیری خسارتهای باربری و کشتیرانی  </t>
  </si>
  <si>
    <t>پیگیری و اخذ خسارت های باربری و محموله های گروه صنعتی پاک چوب  از مرحله اعلام خسارت تا مرحله اخذ مفاصا حساب .</t>
  </si>
  <si>
    <t>حامد ساماني پور</t>
  </si>
  <si>
    <t>معاونت تامین</t>
  </si>
  <si>
    <t>رحيم حمداني</t>
  </si>
  <si>
    <t>فصلی saving</t>
  </si>
  <si>
    <t>کاهش زمان تحویل خریدهای جنرال به 15 روز</t>
  </si>
  <si>
    <t>Spnd Under Management :SUM Tracking(رصد 75درصدی پرداختها طبق برنامه)</t>
  </si>
  <si>
    <t>خریدهای نقدی حداکثر 40 درصد باشد.</t>
  </si>
  <si>
    <t>جلسه ماهیانه تامین با مدیر عامل</t>
  </si>
  <si>
    <t>درصد کل خرید شرکت نسبت به Turnover</t>
  </si>
  <si>
    <t>نهایی نمودن تامین کننده ژنراتور گازی</t>
  </si>
  <si>
    <t>نهایی نمودن تامین کننده تصفیه خانه</t>
  </si>
  <si>
    <t>دپوی کریستال به اندازه مصرف 3 ماه</t>
  </si>
  <si>
    <t>نهایی نمودن قراردادهای صنعت</t>
  </si>
  <si>
    <t>نهایی سازی cctv تخته فشرده</t>
  </si>
  <si>
    <t xml:space="preserve">اخذ سهمیه های ارزی </t>
  </si>
  <si>
    <t>( خط ملامینه خوزستان (مربوط به ادغام پاک ملامینه) -3 میل خوزستان – 2 خط آغشته ی تخته فشرده – خط ام دی اف تخته فشرده – شروع اقدامات اخذ سهمیه خط جدید ملامینه تخته فشرده (شورت سایکل)
همه موارد به جز خط ملامینه تخته فشرده نهایی شود.</t>
  </si>
  <si>
    <t>نهایی نمودن پیمانکار هتل در صورت نهایی شدن طرح</t>
  </si>
  <si>
    <t>فروش خط ملامینه خوزستان</t>
  </si>
  <si>
    <t>علي خيرآبادي</t>
  </si>
  <si>
    <t>رئیس تامین داخلی (سرویس و قراردادها)</t>
  </si>
  <si>
    <t>TARGET:-
12 هفته-KPI Description--</t>
  </si>
  <si>
    <t>گزارش تحلیلی از امور انجام شده به صورت ماهانه</t>
  </si>
  <si>
    <t>بازدید از پروژه های 6 پیمانکار گریدA ارائه گزارش بازدید  و  ارزیابی فنی</t>
  </si>
  <si>
    <t xml:space="preserve">ارائه پروپوزال پیمانکاران توسعه </t>
  </si>
  <si>
    <t xml:space="preserve">نسیم درویشی </t>
  </si>
  <si>
    <t>رئیس تامین داخلی ( مواد اولیه)</t>
  </si>
  <si>
    <t xml:space="preserve">عظیم زارع محمدی </t>
  </si>
  <si>
    <t xml:space="preserve"> فصلیsaving</t>
  </si>
  <si>
    <t xml:space="preserve">آموزش sap  </t>
  </si>
  <si>
    <t xml:space="preserve">گزارش هفتگی از آخرین وضعیت سفارشات مواد اولیه و گزارش اقلام بورسی </t>
  </si>
  <si>
    <t>تکمیل فایل loa</t>
  </si>
  <si>
    <t>گزارش تحلیلی از خرید های انجام شده بصورت ماهیانه</t>
  </si>
  <si>
    <t>به روز شدن درخواست و سفارشات به طوری که درخواست و سفارش باز بیش از 15 روز نباشد</t>
  </si>
  <si>
    <t xml:space="preserve">ارسال تقویم بورسی به صورت ماهیانه </t>
  </si>
  <si>
    <t xml:space="preserve">تکمیل اسناد مالی </t>
  </si>
  <si>
    <t>تعیین تکلیف نمودن ضایعات سلفون</t>
  </si>
  <si>
    <t>اضافه نمودن تامین کننده جهت خرید مواد اولیه در خصوص سلفون</t>
  </si>
  <si>
    <t>ارائه پروپوزال افزایش میزان مصرف جوهر uv به جای لاک uv</t>
  </si>
  <si>
    <t>تعیین تکلیف نمودن  پرونده های  بازی که ریسک دارند</t>
  </si>
  <si>
    <t xml:space="preserve">دپو کریستال جهت مصرف زمستان </t>
  </si>
  <si>
    <t xml:space="preserve">افزایش سهمیه بورسی متانول </t>
  </si>
  <si>
    <t>مهساقاضی</t>
  </si>
  <si>
    <t>کارشناس تامین داخلی ( مواد اولیه)</t>
  </si>
  <si>
    <t>نسیم درویشی</t>
  </si>
  <si>
    <t xml:space="preserve">گزارش هفتگی از آخرین وضعیت خرید مواد اولیه </t>
  </si>
  <si>
    <t xml:space="preserve">تعیین تکلیف نمودن ضایعات سلفون </t>
  </si>
  <si>
    <t xml:space="preserve">برنامه ریزی خرید بر اساس میزان تولید واقعی </t>
  </si>
  <si>
    <t>پیگیری خرید جوهر یو وی جهت کاهش مصرف لاک  uv</t>
  </si>
  <si>
    <t>تعیین تکلیف سفارشاتی ریسک دارند</t>
  </si>
  <si>
    <t xml:space="preserve">تامین کننده ی جدید </t>
  </si>
  <si>
    <t xml:space="preserve">خرید دو قلم بورسی </t>
  </si>
  <si>
    <t>سارا انصاری کیا</t>
  </si>
  <si>
    <t xml:space="preserve">گزارش روزانه از آخرین وضعیت خرید های بورسی </t>
  </si>
  <si>
    <t>به روز شدن درخواست و سفارشات به طوزی که درخواست و سفارش باز بیش از 15 روز نباشد</t>
  </si>
  <si>
    <t xml:space="preserve">آموزش  sap  </t>
  </si>
  <si>
    <t xml:space="preserve">تعیین تکلیف نمودن پرونده ی باز پتروشیمی کرمانشاه </t>
  </si>
  <si>
    <t xml:space="preserve">تقویم بورسی </t>
  </si>
  <si>
    <t xml:space="preserve">خرید کود اوره از بارار آزاد در صورت قیمت مناسب </t>
  </si>
  <si>
    <t xml:space="preserve">تعیین تکلیف نمودن پرونده ی باز پتروشیمی بوشهر </t>
  </si>
  <si>
    <t>محمد کریمی متهور</t>
  </si>
  <si>
    <t>مدیر برنامه ریزی و منبع یابی</t>
  </si>
  <si>
    <t>حامد سامانی پور</t>
  </si>
  <si>
    <t>گزارش هفتگی از وضعیت خرید های داخلی  (مواد اولیه و بسته بندی و امور پیمان)</t>
  </si>
  <si>
    <t>ارائه گزارش هفتگی از وضعیت سفارشات قطعات وارداتی</t>
  </si>
  <si>
    <t>ارائه گزارش هفتگی از وضعیت سفارشات مواد اولیه وارداتی</t>
  </si>
  <si>
    <t>به روز رسانی Saving خرید های داخلی بصورت هفتگی و مقایسه آن با تارگت</t>
  </si>
  <si>
    <t xml:space="preserve">بهینه سازی فایل OSR </t>
  </si>
  <si>
    <t>ایجاد فایل رصد ثبت سفارشات و لینک به OSR</t>
  </si>
  <si>
    <t>بهینه سازی فرآیند سفارشات مواد اولیه وارداتی</t>
  </si>
  <si>
    <t>بهبود روش بررسی عملکرد تامین کننده مواد اولیه وارداتی</t>
  </si>
  <si>
    <t>كريم قربانزاده</t>
  </si>
  <si>
    <t>کارشناس منبع یابی</t>
  </si>
  <si>
    <t>تخفیفات (فصلی 200 میلیون تومان)</t>
  </si>
  <si>
    <t>موفقیت در بومی سازی جهت 50% درخواستها</t>
  </si>
  <si>
    <t>اعلان نتیجه استعلامات معاونت تامین در کمتر از 3 روز کاری</t>
  </si>
  <si>
    <t>اضافه نمودن 2 تامین کننده جدید</t>
  </si>
  <si>
    <t>حضور در بازار 2 مرتبه  و ارائه گزارش از وضعیت تامین کنندگان جاری جنرال (5 تامین کننده اصلی)</t>
  </si>
  <si>
    <t xml:space="preserve"> معرفی حداقل 1 تامین کننده جدید (منجر به خرید) در ابزار دقیق و برق و تاسیسات</t>
  </si>
  <si>
    <t>حضور میدانی منجر به نتیجه در خرید های مربوط به مارکتینگ در خرید های جاری ظرف 2 روز کاری از زمان درخواست</t>
  </si>
  <si>
    <t>شرکت در 2 نمایشگاه مرتبط و ارسال گزارش ، کاتالوگ و اطلاعات تامین کنندگان جدید  ظرف 3 روز از زمان حضور</t>
  </si>
  <si>
    <t>فاطمه حسين زاده</t>
  </si>
  <si>
    <t>رئیس تامین داخلی ( تامین کالاهای بسته بندی محصول، فروش ضایعات)</t>
  </si>
  <si>
    <t xml:space="preserve">ارائه گزارش‌های:  خریدهای بسته بندی و مارکتینگ به صورت هفتگی  و ماهانه </t>
  </si>
  <si>
    <t xml:space="preserve">ارائه گزارش های مربوط به فروش ضایعات کارخانجات گروه به صورت ماهانه </t>
  </si>
  <si>
    <t xml:space="preserve">تخفیفات ( ماهیانه 20.000.000.000ريال) </t>
  </si>
  <si>
    <t>کاهش علی الحساب خریدهای محوله   به 40 درصد</t>
  </si>
  <si>
    <t>ارائه گزارش ماهانه صورت وضعیت خرید البسه سازمانی 1405</t>
  </si>
  <si>
    <t>رصد دقیق میزان مصرف ماهانه مواد بسته بندی و سمپل سازی و همچنین خرید بر اساس مقادیر دقیق مصرف شده تولید (ارائه گزارش ماهانه میزان مصرف دقیق)</t>
  </si>
  <si>
    <t xml:space="preserve">کوتاه کردن زمان pr تا  loa  به  3 روز کاری </t>
  </si>
  <si>
    <t xml:space="preserve">افزودن دو وندور جدید  در خریدهای محوله در حوزه  : محصولات چاپی  و همچنین  البسه سازمانی ( حوزه مارکتینگ ) </t>
  </si>
  <si>
    <t>بازدید حضوری از حداقل 1 تامین کننده - ترجیحا شرکت های تولید کننده لباس 1405</t>
  </si>
  <si>
    <t xml:space="preserve">بستن درخواست های باز تا پایان آبان ماه 1404 در حوزه بسته بندی و خریدهای مارکتینگ  </t>
  </si>
  <si>
    <t xml:space="preserve">بستن صورتحساب مالی  خریدهای محوله تا پایان آبان ماه 1404- ارائه رسید و فاکتور به واحد مالی </t>
  </si>
  <si>
    <t xml:space="preserve">یکپارچه سازی فرآیند فروش ضایعات در کارخانجات گروه صنعتی </t>
  </si>
  <si>
    <t>حسين اميدي</t>
  </si>
  <si>
    <t>کارشناس تامین داخلی ( بسته بندی و مارکتینگ)</t>
  </si>
  <si>
    <t xml:space="preserve">ارائه گزارشات هفتگی جهت رصد وضعیت موجودی و  تامین مواد بسته بندی و مارکتینگ  (دوشنبه  هر هفته) </t>
  </si>
  <si>
    <t xml:space="preserve">کوتاه کردن زمان pr تا  loa  به  2 روز کاری </t>
  </si>
  <si>
    <t>تخفیفات (ماهیانه حداقل 10.000.000.000 میلیارد ریال )</t>
  </si>
  <si>
    <t>کاهش علی الحساب خریدهای بسته بندی  به 40 درصد</t>
  </si>
  <si>
    <t xml:space="preserve">ثبت و ارائه گزارش کامل از پرداختیها با جزئیات کامل هر ده روز یکبار 
( به همراه ذخیره سازی و سازماندهی تمامی مستندات، اسکن بارنامه ها، اسناد خرید و سایر مستندات) </t>
  </si>
  <si>
    <t xml:space="preserve">ارائه گزارش ماهانه مشکلات خریدهای بسته بندی ( جهت اشتراک با مدیران و یافتن راه حل بهبود ) </t>
  </si>
  <si>
    <t>رصد دقیق میزان مصرف ماهانه مواد بسته بندی و خرید بر اساس مقادیر دقیق مصرف شده انبار -ارائه گزارش ماهانه میزان مصرف دقیق</t>
  </si>
  <si>
    <t xml:space="preserve">بستن صورتحساب مالی  خریدهای انجام شده تا پایان آبان ماه 1404- ارائه رسید و فاکتور به واحد مالی </t>
  </si>
  <si>
    <t xml:space="preserve">بستن درخواست های باز در سیستم نماد  تا پایان آبان ماه 1404 در حوزه بسته بندی </t>
  </si>
  <si>
    <t xml:space="preserve">اضافه نمودن یک تامین کننده جهت  تامین کارتن و یک تامین کننده جهت تامین  پلاستیک حبابدار - (مربوط به حیطه بسته بندی)  </t>
  </si>
  <si>
    <t xml:space="preserve">اضافه نمودن یک تامین کننده تایید شده، جهت خرید جلد و فهرست سمپل سازی و  خرید حداقل 1 پارت از تامین کننده جدید( مربوط به حوزه مارکتینگ ) </t>
  </si>
  <si>
    <t>امیرحسین صفاری چیمه</t>
  </si>
  <si>
    <t>مدیر پروژه ها</t>
  </si>
  <si>
    <t>گزارش هفتگی روند پیشرفت قرارداد پادیران</t>
  </si>
  <si>
    <t>گزارش هفتگی از وضعیت خرید های سرویس و خدمات</t>
  </si>
  <si>
    <t>ارائه گزارش هفتگی از خرید های بورسی</t>
  </si>
  <si>
    <t>آموزش اکسل به تیم به مدت 4 ساعت</t>
  </si>
  <si>
    <t>بروزرسانی Paper OSR (تا پایان شهریور)</t>
  </si>
  <si>
    <t>نهایی سازی قرارداد دفتر تهران</t>
  </si>
  <si>
    <t>ایجاد Template DDS</t>
  </si>
  <si>
    <t>ایجاد Marketing Projects Tracker</t>
  </si>
  <si>
    <t>ایجاد Contract Tracker</t>
  </si>
  <si>
    <t>سميه هفت لنگ محمد جاني</t>
  </si>
  <si>
    <t>مدیر خرید خارجی</t>
  </si>
  <si>
    <t>بهبود و ارتقاء فایل  OSR جهت متریال</t>
  </si>
  <si>
    <t>رصد متریال و پیگیری هفتگی با تامین کننده جهت آپدیت سفارشات و جلوگیری از ریسک کسری مواد اولیه</t>
  </si>
  <si>
    <t xml:space="preserve">پیگیری جهت رفع چالش های واردات در سازمان صمت </t>
  </si>
  <si>
    <t>کوتاه نمودن زمان  خریدهای قطعات یدکی و ماشین آلات تا 20 درصد  و ارائه گزارش هفتگی</t>
  </si>
  <si>
    <t>پیگیری های روزانه با دفتر دبی جهت رفع چالش های مربوط به خرید(اکانساینی، پرداختی ها، بارگیری ها...)</t>
  </si>
  <si>
    <t>پیگیری جهت اخذ مجوز وارداتی لیفتراک های دیزلی</t>
  </si>
  <si>
    <t>پیگیری جهت اخذ مجوز واردات جرثقیل ثابت بریم</t>
  </si>
  <si>
    <t>ثبت سهمیه های ارزی فصل پاییز تا سقف بهینه سازی</t>
  </si>
  <si>
    <t>Po نمودن سفارشاتی که تا آبان 1404 صادر شده اند</t>
  </si>
  <si>
    <t>زهرا مرادي</t>
  </si>
  <si>
    <t>سرپرست تامین خارجی فاز 2 خط MDF</t>
  </si>
  <si>
    <t>مريم رشيدي خاني آبادي</t>
  </si>
  <si>
    <t>انجم امور روزانه شامل :پیگییری خریدها، ارسال پکینگ لیست بررسی شده و فاینال جهت محموله های اماده بارگیری ...</t>
  </si>
  <si>
    <t xml:space="preserve">اخذ 5000 یورو تخفیف از فروشندگان بصورت ماهیانه </t>
  </si>
  <si>
    <t>تایید LOA از زمان تهیه تا امضای مدیریت و ارسال ایمیل پرداخت پول به ارزی 7 روز کاری</t>
  </si>
  <si>
    <t>ارسال گزارشات رصد LOA ، گزارشات Open task دفتر دبی ،گزارشات وضعیت درخواست های هولدینگ ،-در روزهای چهارشنبه (در گروه واتساپی و همچنین بصورت یک ایمیل مشترک)</t>
  </si>
  <si>
    <t>تهیه فایل جامع شامل شرح کالا،مشخصه فنی،  تعرفه فروشنده ، کاربرد و دیتا شیت بابت هر خرید بعد از نهایی شدن خرید (همزمان با ارسال در پروسه پرداخت) -اعلام به خانم کمری  جهت ادامه فرایند واردات (از طریق ایمیل)</t>
  </si>
  <si>
    <t>بررسی وضعیت محموله های کوچک که قراراست بصورت مجزا ارسال گردد و فراهم نمودن شرایط جهت ترخیص بصورت پته (بدون ثبت سفارش)</t>
  </si>
  <si>
    <t>گرفتن گزارش از کلیه نمادهای هولدینگ-جهت اخذ درخواست ها ی صادر شده خارجی و اقدام روی آنها-هفته ای 2 بار</t>
  </si>
  <si>
    <t>بررسی اسناد مربوط به پرداختی به واحد ارزی ، به نحوی که هیچ ایمیلی به دلیل ابهامات یا مشکل در اسناد عودت نگردد.</t>
  </si>
  <si>
    <t>تهیه اکسل  مقایسه قیمت از خرید ها  و استعلام های قطعات مشابه، برند ها،  ساپلایرهای مختلف  و ساخت دیتا بیس</t>
  </si>
  <si>
    <t>یادگیری حیطه  واردات در حوزه کار تا 30 درصد به صورت خودآموز (سامانه جامع تجارت: افتتاح، ویرایش، درخواست بیمه نامه و الحاقیه بیمه،اظهار بانکی، چک وضعیت ثبت سفارشات، ساخت پروفرم و اسناد حمل)- کار عملی با همکاری همکاران واردات</t>
  </si>
  <si>
    <t>PO شدن کلیه درخواست های خرید صادر شده تا آبان ماه</t>
  </si>
  <si>
    <t>یادگیری  SAP  به مدت 6 ساعت  ماهیانه (3 ساعت تئوری- 3 ساعت عملی کار با دمو)</t>
  </si>
  <si>
    <t>بارگیری کلیه درخواست های صادر شده هولدینگ که تا پایان شهریور  1404 صادر شده اند</t>
  </si>
  <si>
    <t>سحر كمري</t>
  </si>
  <si>
    <t>رئیس تامین خارجی ماشین آلات و پروژه ها R&amp;D</t>
  </si>
  <si>
    <t>تهیه پکیج اسناد حمل و تحویل آن به لجستیک  قبل از ورود محموله ها به گمرک (پیش بینی افتتاح-خرید ارز-ویرایش، شناسه ...)اخذ گواهی پذیرش بازرسی، بیمه نامه و الحاقیه بیمه جهت خرید ارزهای انجام شده و بارهای در راه-به طوری که هیچ محموله بدون سند حملی در گمرک وجود نداشته باشد.</t>
  </si>
  <si>
    <t>فایل مربوط به رصد کامل مهلت رفع تعهدهای ارزی  و پیش بینی ثبت سفارشات موردنیاز جهت واردات محموله ها- مسئولیت کامل پیش بینی ثبت سفارشات و رفع تعهدهای ارزی بعهده شما می باشد</t>
  </si>
  <si>
    <t>انجام  کلیه مکاتبات موردنیاز جهت  واردات محموله ها و بارگیری  (اعلام محموله های اماده بارگیری،بررسی کد تعرفه ها با لجستیک (در زمان تایید LOA) ،  تایید ویرایش محموله ها پس از بارگیری و قبل از رسید محموله به گمرک، اخذ الحاقیه بیمه قبل از رسید محموله و ...)</t>
  </si>
  <si>
    <t>اپدیت یک گزارش کامل شامل (کلیه ثبت سفارشاتی که کد 8 رقمی گرفته اند، وضعیت ارزی آنها ، محموله های در گمرک-محموله های در راه-محموله های اماده بارگیری-محموله های در پروسه ساخت و زمان حدودی بارگیری آنها ، تاریخ  درخواست کدتعرفه از لجستیک، تاریخ اخذ کدتعرفه ،و...)به همراه جزییات هر محموله بصورت روزانه -ارسال در گروه روزهای چهارشنبه</t>
  </si>
  <si>
    <t>پیگیری کلیه امور موردنیاز جهت اخذ مجوزهای واردات و ارسال در صف تخصیص ثبت سفارشات مربوط به  (طرح توسعه و  ماشین آلاتی که در فصل Q3 اضافه خواهند شد)-از جمله پیگیری جهت صدور جواز توسعه (با هماهنگی با واحدهای ذیربط-پیگیری های لازم با اداره صمت و  وزارت  و... )</t>
  </si>
  <si>
    <t>پیگیری امور  مربوط به طرح توسعه تخته فشرده( پیگیری ها و مکاتبات با ادراه صمت و سازمان های مربوطه) تا حصول نتیجه</t>
  </si>
  <si>
    <t>پیگیری کلیه پروژه های هولدینگ ، گزارش رفع تعهدهای ارزی،گزارش محموله های در راه و گمرک و ارائه گزارش بصورت  هفتگی در فرمت توافق شده- ارسال شنبه ها از طریق ایمیل</t>
  </si>
  <si>
    <t>آموزش خانم میرشکاربه نحوی که تا 70 درصد امور مربوط به واردات را  بصورت مستقل انجام دهند</t>
  </si>
  <si>
    <t>زهرا میرشکارزاده</t>
  </si>
  <si>
    <t>کارشناس تامین خارجی</t>
  </si>
  <si>
    <t>گزارش کار روزانه -به همراه نتیجه در پایان هر روز</t>
  </si>
  <si>
    <t>اخذ گواهی پذیرش بازرسی، بیمه نامه و الحاقیه بیمه جهت خرید ارزهای انجام شده و بارهای در راه(قبل از رسیدن محموله ها به گمرک می بایست بیمه نامه و الحاقیه آن اخذ شود)</t>
  </si>
  <si>
    <t>کلیه مکاتبات مربوط به بانک جهت اسناد واردات</t>
  </si>
  <si>
    <t>کلیه مکاتبات مربوط به اداره صمت جهت افتتاح ،ویرایش ، ... -همچنین پیگیری با آقای شاچری تا حصول نتیجه</t>
  </si>
  <si>
    <t xml:space="preserve">صدور درخواست وجه های مربوط به بیمه و بازرسی در نماد </t>
  </si>
  <si>
    <t>یادگیری سامانه جامع تجارت (ساخت پروفرم،افتتاح،ویرایش ،اخذ شناسه، ثبت تیکت،پیگیری های مربوط به تیکت)</t>
  </si>
  <si>
    <t>بررسی گزارشات آخرین وضعیت محموله های در راه و آماده بارگیری که همکاران آماده می کنندو تهیه گزارشات آن از آبان ماه و ارسال در گروه</t>
  </si>
  <si>
    <t xml:space="preserve"> تهیه پکیج اسناد حمل قبل از ورود محموله به گمرک، ارسال اسناد به بانک، اظهار بانکی، و پیگیری های مربوطه از بانک های عامل</t>
  </si>
  <si>
    <t>یادگیری incoterm  و ارائه گزارش مقایسه ای از روش های حمل، چالش ها و ...</t>
  </si>
  <si>
    <t>فاطمه تميمي</t>
  </si>
  <si>
    <t>سرپرست تامین خارجی فاز 1 
خطوط اغشته- ملامینه و هایگلاس – فرمالین – سه میل</t>
  </si>
  <si>
    <t>آموزش SAP  به مدت 6 ساعت  ماهیانه به همکارانی که در گروه شما می باشند (5نفر) (3 ساعت تئوری- 3 ساعت عملی کار با دمو) -تهیه جزوه آموزشی از دوره ای که تاکنون برگزار شده است بنحوی که شخصی که در جلسات آموزشی حضور نداشته است با مطالع جزوه قادر بهدرک کامل و کار عملی باشد</t>
  </si>
  <si>
    <t>رئیس تامین خارجی قطعات</t>
  </si>
  <si>
    <t xml:space="preserve">رصد گزارش LOA و پیگیری درخواست های خرید صادر شده در نماد -پیگیری با تیم جهت بهبود آن  70 درصد </t>
  </si>
  <si>
    <t>رصد LOA های صادره از زمان صدور تا تایید مدیرعامل طی 7 روز کاری</t>
  </si>
  <si>
    <t>پیگیری جهت اخذ Consignee از دفتر دبی در  5 روز-پیگیری جهت اخذ فاکتور های مربوط به استعلامات  اخذ شده  از دبی  به مدت (7 روز انتظار-3روز یاداوری مجدد ) 10 روز  -در صورت عدم  اخذ استعلام توسط ان دفتر در مهلت مقرر و  داشتن استعلام  توسط ما ، ایمیل پروسه شدن  به دبی ارسال گردد.</t>
  </si>
  <si>
    <t>مدیریت کلیه خرید ارزهای انجام شده و رفع تعهد به موقع آنها -در صورت عدم امکان حل مشکل از 3 ماه قبل به مدیر واحد اطلاع رسانی گردد.</t>
  </si>
  <si>
    <t>بررسی اسناد کلیه پرداختی ها -به نحوی که هیچ ایمیلی از سمت ارزی عودت نشود</t>
  </si>
  <si>
    <t>مذاکره با  تامین کنندگان خارجی جهت تحویل زودتر از موعد اقلام دارای فوریت مانند Discharge Screw Antirotation و ...(بهبود تا 50 درصد)</t>
  </si>
  <si>
    <t>گزارش هفتگی درخواست های R&amp;D ،زمان پرداخت،زمان اماده شدن محموله و... همراه با گزارشات هفتگی قبلی</t>
  </si>
  <si>
    <t xml:space="preserve">اخذ مجوزات لازم جهت طرح توسعه </t>
  </si>
  <si>
    <t>آموزش نیروی جدید به نحوی که تا 80 درصد تسلط کامل به امور واحد داشته باشد</t>
  </si>
  <si>
    <t>ميلاد حداديان نژاد يوسفي</t>
  </si>
  <si>
    <t>رئیس تامین خارجی مواد اولیه</t>
  </si>
  <si>
    <t>آپدیت OSR کلیه متریال و ارسال آن بصورت روزانه در گروه (نظارت بر اطمینان از صحت و ارسال روزانه آن)</t>
  </si>
  <si>
    <t>تخفیف ماهیانه -100 میلیون تومان (جهت هرماه که خرید داخلی داشته باشیم)</t>
  </si>
  <si>
    <t>ارائه گزارش خرید ارزهای سال جاری به همراه تاریخ رفع تعهد آنها و وضعیت محموله های مرتبط- جهت کل متریال -هفتگی ارسال گردد</t>
  </si>
  <si>
    <t>12</t>
  </si>
  <si>
    <t>رصد و بررسی سفارشات ارسال شده به همراه تاریخ نیاز آنها به دبی و مطابقت با  تاریخ بارگیری محموله ها  طبق آپدیت دریافتی از دفتر دبی -ارائه گزارش مغایرت آن بصورت هفتگی</t>
  </si>
  <si>
    <t>آپدیت روزانه گزارش محموله های در گمرک و در راه -گزارش مقداری و مبلغی مربوط به ترخیص 90 درصدی و وضعیت تخصیص آنها</t>
  </si>
  <si>
    <t>بررسی گزارشات آمار تولید ثبت شده در سامانه جامع جهت کل محصولات هولدینگ و آپدیت گزارش آن -و همچنین مطابقت مقدار تولید ثبت شده در سامانه جهت MDF داخلی و بررسی آن در مقابل با مقدار موردنیاز کارخانه خوزستان و تخته فشرده (طبق ظرفیت پروانه)</t>
  </si>
  <si>
    <t xml:space="preserve">تهیه فرمت جدید و آپدیت گزارش وضعیت اسنادی مربوط به محموله های در راه و گمرک با روز شمار -جهت نمایان شدن چالش های ناشی از دیر رسیدن محموله ها به کارخانجات </t>
  </si>
  <si>
    <t xml:space="preserve">تهیه گزارشات پایان سال میلادی جهت کلیه متریال -مقداری و مبلغی </t>
  </si>
  <si>
    <t>تایید نهایی کلیه  سهمیه ارزی که در فصل پاییز باز می شوند -جهت کلیه متریال--پیش بینی و ثبت افتتاح ها با توجه به مقادیر موردنیاز متریال(به نحوی که در زمان بارگیری دچار کمبود ثبت سفارش نباشیم)</t>
  </si>
  <si>
    <t>یادگیری متریال PVC,Hpl,Glue,Additive,paper ، اشناییی با کدهای پرفروش ، نحوه تهیه پکیج اسناد حمل و رفع تعهد ارزی</t>
  </si>
  <si>
    <t>نگین ابراهیم نژاد</t>
  </si>
  <si>
    <t>سرپرست تامین خارجی - چیپس چوب و نئوپانMDF</t>
  </si>
  <si>
    <t>گزارش وضعیت مجوزها بصورت روزانه (وضعیت کل مجوزها-وضعیت محموله ها بصورت روزانه آپدیت و در گروه ارسال گردد)</t>
  </si>
  <si>
    <t>آپدیت روزانه گزارش وضعیت اسناد حمل مربوط به محموله های در راه و در گمرک به همراه جزییات (تاریخ بارنامه، تاریخ قبض انبار، تاریخ تحویل سند، تاریخ اعتبار ثبت سفارش در زمان تحویل سند، تاریخ مجدد تمدید، تاریخ ویرایش ، تاریخ اعلام حرکت بار،تاریخ رسید محموله ،توضیحات جهت تاخیرات ایجاد شده-روز شماره بین مراحل)-فرمت مدنظر از مدیر واحد درخواست شود</t>
  </si>
  <si>
    <t>تهیه سورس کشتی ها به نحوی که بدون ویرایش قادر به تحویل اسناد باشیم- تحویل اسناد حمل واخذ الحاقیه های بیمه قبل از رسید کشتی</t>
  </si>
  <si>
    <t>بررسی آپدیت دریافتی از دبی و مطابقت با سفارش ارسالی از لحاظ زمانی و مقداری -ارائه گزارش مغایرت داده ها -هرهفته</t>
  </si>
  <si>
    <t>گزارش هفتگی از چالش ها،راهکارهای استفاده شده جهت رفع چالش  -نتایج آن</t>
  </si>
  <si>
    <t>قرار دادن سهمیه های ارزی در صف تخصیص و پیگیری جهت تایید نهایی ثبت سفارشات از صمت -سهمیه پاییز بصورت 100 درصد مقداری که بهینه سازی آن تایید می گردد-پیش بینی و ثبت افتتاح ها با توجه به مقادیر موردنیاز متریال(به نحوی که در زمان بارگیری دچار کمبود ثبت سفارش نباشیم)</t>
  </si>
  <si>
    <t>پیگیری کامل  مشکلات کیفی ام دی اف و چیپس چوب تا حصول نتیجه - اعلام نتیجه به همکاران کنترل کیفیت</t>
  </si>
  <si>
    <t>یادگیری  و آپدیت روزانه  OSR -ارسال در گروه</t>
  </si>
  <si>
    <t>گزارش خریدارزهای سال جاری،تاریخ رفع تعهد،وضعیت محموله و در ادامه محموله های 90 درصدی که خرید ارز نشده اند-هفتگی ارسال در گروه-در صورتی که جهت رفع تعهد پرونده ای با ریسک مواجه می باشیم از 3 ماه قبل به مدیر واحد اطلاع رسانی گردد.</t>
  </si>
  <si>
    <t>آموزش خانم گلچین و خانم صفری جهت بهبودو ارتقا در انجام کلیه امور مربوط به  واحد تا 70 درصد</t>
  </si>
  <si>
    <t>تهیه و ارائه گزارش پایان سال میلادی 2025 در آذرماه-مقایسه آن نسبت به 2 سال اخیر (مقداری و مبلغی به تفکیک سایزو تفکیک هر کارخانه (از نظر سندی))</t>
  </si>
  <si>
    <t>مريم بديلي</t>
  </si>
  <si>
    <t>سرپرست تامین خارجی سلولزی-روکش کاغذ و افزودنی</t>
  </si>
  <si>
    <t>آپدیت روزانه OSR و  ارسال روزانه  در گروه</t>
  </si>
  <si>
    <t>تهیه اسناد حمل بدون نیاز به ویرایش  آنها - تهیه بیمه نامه ها یا الحاقیه قبل از رسیدن بار در گمرک و ...</t>
  </si>
  <si>
    <t>آپدیت روزانه گزارش وضعیت اسناد حمل مربوط به محموله های در راه و در گمرک به همراه جزییات (تاریخ درخواست بارگیری ، تاریخ بارنامه، تاریخ قبض انبار، تاریخ تحویل سند، تاریخ اعتبار ثبت سفارش در زمان تحویل سند، تاریخ مجدد تمدید، تاریخ ویرایش ، تاریخ اعلام حرکت بار،تاریخ رسید محموله ،توضیحات جهت تاخیرات ایجاد شده-روز شماره بین مراحل)-فرمت مدنظر از مدیر واحد درخواست شود</t>
  </si>
  <si>
    <t>قرار دادن  سهمیه ارزی کاغذ تزئینی و مواد افزودنی در صف تخصیص تا سهمیه فصل پاییز-پیش بینی و ثبت افتتاح ها با توجه به مقادیر موردنیاز متریال(به نحوی که در زمان بارگیری دچار کمبود ثبت سفارش نباشیم)</t>
  </si>
  <si>
    <t>آموزش خانم فروتن جهت آپدیت OSR و نحوه استخراج اطلاعات موردنیاز از آن</t>
  </si>
  <si>
    <t>تایید نهایی پرونده هایی که نیاز به ویرایش دارند -قبل از ورود محموله به کشور-بطوری که هیچ محموله ای در گمرک وجود نداشته باشد که اسناد حمل آن به دلیل نیاز به ویرایش ، تحویل تیم ترخیص نشده باشد</t>
  </si>
  <si>
    <t>گزارش پایان سال میلادی 2025 در آذرماه-به تفکیک کد رنگ و تامین کننده -و به تفکیک ثبت سفارشات هر کارخانه(مقداری-مبلغی)</t>
  </si>
  <si>
    <t>مهناز زرگر</t>
  </si>
  <si>
    <t>سرپرست تامین خارجی غیر سلولزی- PVC/HPL و چسب</t>
  </si>
  <si>
    <t>قرار دادن  سهمیه ارزی پی وی سی ، اچ پی ال و چسب در صف تخصیص تا سهمیه فصل پاییز-پیش بینی و ثبت افتتاح ها با توجه به مقادیر موردنیاز متریال(به نحوی که در زمان بارگیری دچار کمبود ثبت سفارش نباشیم)</t>
  </si>
  <si>
    <t>آموزش خانم مرادی جهت آپدیت OSR و نحوه استخراج اطلاعات موردنیاز از آن</t>
  </si>
  <si>
    <t>گزارش پایان سال میلادی 2025 در آذرماه-به تفکیک کد رنگ -و به تفکیک ثبت سفارشات هر کارخانه(مقداری-مبلغی)</t>
  </si>
  <si>
    <t>حضور در جلسات SAP و آموزش آن به تیم تامین به مدت 4 ساعت و اخذ صورت جلسه آموزش با امضای   4 نفری که در لیست شما می باشند-تهیه جزوه آموزشی با کلیه نکات از کل جلسات برگزار شده SAP-به نحوی که شخصی که حضور نداشته است با مطالعه جزوه قادر به درک آن و همچنین کار عملی باشد.</t>
  </si>
  <si>
    <t>صبا صفري نژاد</t>
  </si>
  <si>
    <t>کارشناس تامین خارجی - چیپس چوب و نئوپانMDF</t>
  </si>
  <si>
    <t>گزارش وضعیت مجوزها و ثبت سفارشات بصورت روزانه (وضعیت کل مجوزها-وضعیت محموله ها)</t>
  </si>
  <si>
    <t>تهیه پکیج اسناد حمل بگونه ای که بدون اشتباه باشند - حداقل یک روز قبل از رسیدن کشتی</t>
  </si>
  <si>
    <t>مکاتبات با بانک ها جهت پیگیری اسناد و اظهار بانکی  و پیگیری با  اداره صمت جهت تایید مجوزها</t>
  </si>
  <si>
    <t>ارائه گزارش کار روزانه -به همراه نتیجه آن</t>
  </si>
  <si>
    <t>آپدیت گزارش 2025 واردات طبق فرمت درخواستی</t>
  </si>
  <si>
    <t>یادگیری کامل سامانه جامع تجارت (از جمله اخذ فروشنده خارجی، شناسه کالا، سرفصل ، پیگیری با دفتر مقررات ....)</t>
  </si>
  <si>
    <t xml:space="preserve">یادگیری خواندن سورس و استخراج اطلاعات جهت بررسی اسناد </t>
  </si>
  <si>
    <t>انجام افتتاح های پاییز ام دی اف ، پرداخت کارمزدها و اعلام آنها</t>
  </si>
  <si>
    <t>زينب فروتن مهر</t>
  </si>
  <si>
    <t>کارشناس تامین خارجی سلولزی-روکش کاغذ و افزودنی</t>
  </si>
  <si>
    <t>تهیه اسناد حمل (اینویس، پکینگ، COO... ) و نامه های مربوطه -بدون اشکال و همچنین اسناد مرز</t>
  </si>
  <si>
    <t xml:space="preserve">مسولیت و تهیه بیمه ، الحاقیه بیمه، نامه پذیرش بازرسی ،  گواهی بازرسی و صدور کلیه درخواست پرداخت و ثبت بستانکاری آنها </t>
  </si>
  <si>
    <t>بررسی بارنامه های دریافتی از لجستیک با محموله ها و ارائه به سرپرست مربوطه  -در مدت  30 دقیقه (در کلیه روزهای هفته)</t>
  </si>
  <si>
    <t>افتتاح های مربوط به سهمیه پاییز و اخذ مجوزها  ( تایید اولیه یا در صف تخصیص ثبت شود)</t>
  </si>
  <si>
    <t>آپدیت انبار ها و سفارشات  و  ...</t>
  </si>
  <si>
    <t>گزارش  کار روزانه -به همراه نتیجه هر کار</t>
  </si>
  <si>
    <t>تهیه کا آف لیست بارگیری محموله های کاغذ</t>
  </si>
  <si>
    <t>آپدیت استوک فروشنده</t>
  </si>
  <si>
    <t>تقسیم بارنامه بر اساس ثبت سفارشات و با اولویت رفع تعهدات ارزی</t>
  </si>
  <si>
    <t>یادگیری زبان انگلیسی</t>
  </si>
  <si>
    <t>فاطمه گلچین  پور</t>
  </si>
  <si>
    <t>اخذ نامه های پذیرش بازرسی برای سندهای جدید</t>
  </si>
  <si>
    <t>اخذ بیمه نامه و الحاقیه های مورد نیاز و پیگیری با بیمه - پرداخت و بستانکاری(قبل از رسید کشتی)</t>
  </si>
  <si>
    <t>خرید نئوپان واستعلامات لازم از شرکت های معتبر -صدور درخواست وجه ها و گزارشات بارگیری</t>
  </si>
  <si>
    <t>کنترل تاریخ اعتبار کلیه ثبت سفارشات و سایر اطلاعات در جدول وضعیت ثبت سفارشات بخصوص برای اسناد کشتی ها</t>
  </si>
  <si>
    <t>آشنایی با سامانه جامع تجارت در زمینه های تجارت داخلی و خارجی  (ثبت سفارشات، آمار تولید و پیشبینی تولید-عملکرد-سهمیه های ارزی...)</t>
  </si>
  <si>
    <t>یادگیری خواندن سورس و استخراج اطلاعات جهت بررسی اسناد  حمل</t>
  </si>
  <si>
    <t>مراجعه به سازمان صمت جهت  اخذ تاییدیه های لازم  مربوط به ثبت سفارشات</t>
  </si>
  <si>
    <t xml:space="preserve">انجام افتتاح های پاییز ام دی اف ، پرداخت کارمزدها و اعلام آنها به واحد ارزی جهت ثبت در صف تخصیص </t>
  </si>
  <si>
    <t>بررسی و چک کردن اسناد حمل مربوط به محموله های فصل پاییز و مکاتبات لازم با بانک ها واداره صمت ...</t>
  </si>
  <si>
    <t>سارا مرداسي</t>
  </si>
  <si>
    <t>کارشناس پشتیبانی تامین خارجی</t>
  </si>
  <si>
    <t>ارسال روزانه اسناد حمل به بانک ها ، دریافت از بانک، ارسال اسکن اسناد در گروه و ...</t>
  </si>
  <si>
    <t>ارسال مکاتبات به اداره صمت خوزستان و پیگیری با  کارپرداز جهت دریافت انها</t>
  </si>
  <si>
    <t>اقدام جهت درخواستهای مارکتینگ وارداتی و ارایه LOA در کمتر از 14 روز تقویمی</t>
  </si>
  <si>
    <t>ارایه گزارش هفتگی از پروژه های مارکتینگ خارجی و آخرین وضعیت آنها و اعلان فرصت ها و ریسکها</t>
  </si>
  <si>
    <t>پیدا نمودن 2 تامین کننده خارجی در حوزه فعالیتهای مارکتینگ و ارایه تحلیل و گزارش از توانمندی آنها (آنالیز فنی و مالی)</t>
  </si>
  <si>
    <t>پیگیری با شرکت های Eksen,OTS,Imar,LG,Odatek,Egdas جهت پیشبرد پروژه  سایت طرح توسعه</t>
  </si>
  <si>
    <t>پیگیری پروژه های مارکتینگ خارجی با شرکت های Modiki جهت برند استراتژی و BTL ، شرکت های Kuskon و Dimention 3D جهت ساخت ویدئوها و رندرها</t>
  </si>
  <si>
    <t>مهشيد مرادي</t>
  </si>
  <si>
    <t>کارشناس تامین خارجی غیر سلولزی PVC/HPL و چسب</t>
  </si>
  <si>
    <t>تهیه پارت بندی  اسناد حمل به نحوی که نیاز به ویرایش نداشته باشند</t>
  </si>
  <si>
    <t>آپدیت انبار و سفارشات و ...</t>
  </si>
  <si>
    <t>بررسی کلیه بارنامه ها ی دریافتی  و مطابقت با اسناد حمل -نتیجه بارنامه به سرپرست  اعلام گردد (ظرف مدت 30 دقیقه)</t>
  </si>
  <si>
    <t>تحویل کلیه اسناد حمل محموله ها به لجستیک -قبل از رسید محموله به گمرک، بنحوی که هیچ محموله ای بدون سند حمل در گمرک وجود نداشته باشد.</t>
  </si>
  <si>
    <t>گزارش کار روزانه وبه همراه نتیجه هر کار</t>
  </si>
  <si>
    <t xml:space="preserve">آپدیت اطلاعات مربوط به گزارشات پایان سال میلادی 2025 </t>
  </si>
  <si>
    <t>افتتاح سهمیه ارزی فصل پاییز در سامانه جامع -پیگیر ی با اداره صمت جهت اخذ مجوز-   ارسال در صف تخصیص</t>
  </si>
  <si>
    <t>تهیه گزارش تمام پرونده های سال 1403 و 1404 و مشخص نمودن وضعیت محوله، خرید ارز و ...</t>
  </si>
  <si>
    <t>کمال شاچری</t>
  </si>
  <si>
    <t>کارشناس ثبت سفارشات</t>
  </si>
  <si>
    <t>محسن اسدنیا</t>
  </si>
  <si>
    <t>اخذ مجوز پرونده های تمدیدی در مدت 2 روز</t>
  </si>
  <si>
    <t>اخذ مجوزهای ویرایشی پرونده ها در مدت4 روز کاری</t>
  </si>
  <si>
    <t xml:space="preserve">اخذ مجوزهای افتتاح در مدت 2 هفته -پس از ارسال نامه به اداره صمت </t>
  </si>
  <si>
    <t>ارائه گزارش روزانه از کلیه کارهای انجام شده بصورت روزانه</t>
  </si>
  <si>
    <t xml:space="preserve">تایید مجوز ثبت سفارش لیفتراک های تخته فشرده </t>
  </si>
  <si>
    <t xml:space="preserve">تایید مجوز ثبت سفارش لیفتراک های پاک چوب خوزستان </t>
  </si>
  <si>
    <t>اخذ ثبت سفارش مربوط به سهمیه پاییز</t>
  </si>
  <si>
    <t>پیگیری جهت اخذ مجوزهای ماشین آلات</t>
  </si>
  <si>
    <t>Afsane mansouri</t>
  </si>
  <si>
    <t>مدیر ترخیص (CALL OFF) و ثبت سفارشات</t>
  </si>
  <si>
    <t>Mr Hamdani</t>
  </si>
  <si>
    <t xml:space="preserve">Logistics </t>
  </si>
  <si>
    <t>On Time Foreign Transportation</t>
  </si>
  <si>
    <t>مدت زمان هماهنگی جهت بارگیری تا بوکینگ و تحویل به موقع محموله ها</t>
  </si>
  <si>
    <t>Shipments booked &amp; Cleared On time (No. of shipments with ETA vs Actual :  
&lt; +/- 5 days (Target))</t>
  </si>
  <si>
    <t>Port Operation Efficiency</t>
  </si>
  <si>
    <t>درصد تن خروجی / تن ورودی (روزهای تخلیه و زمان بارگیری کشتی در زمان استاندارد)</t>
  </si>
  <si>
    <t xml:space="preserve">Monthly Report by 5th, Target 90% efficiency-KPI Description--
% Tons Outbound / Tons Inbound (Vessel Offloading days &amp; Loading time within standard time </t>
  </si>
  <si>
    <t>Customer Service Level</t>
  </si>
  <si>
    <t>حداقل مدت زمان ارسال محموله به کارخانجات</t>
  </si>
  <si>
    <t xml:space="preserve">Delivery Time Port to Factory &lt; 3 days </t>
  </si>
  <si>
    <t>Regulatory Compliance Rate</t>
  </si>
  <si>
    <t>انطباق نرخ با مقررات</t>
  </si>
  <si>
    <t>Monthly Report by 5th, 95% Compliance vs checklist-KPI Description--
% with regulatory documents without fine</t>
  </si>
  <si>
    <t>Safety</t>
  </si>
  <si>
    <t>ایمنی(تعداد حوادث یا اتفاقات ایمنی در یک بازه زمانی مشخص)</t>
  </si>
  <si>
    <t>50% reduction from last 6 months average-KPI Description--
Accident Severity Rate (Zero Accident every month)</t>
  </si>
  <si>
    <t>BIK Inventory recording system: RM/PM/FG/Parts</t>
  </si>
  <si>
    <t>سیستم کنترل موجودی انبار  بندر</t>
  </si>
  <si>
    <t>Monthly Report by 5th, Target 99.8% accuracy-KPI Description--
Actual Stock quatity / System Quantity</t>
  </si>
  <si>
    <t xml:space="preserve">LOADING MDF 3 </t>
  </si>
  <si>
    <t xml:space="preserve">حمل و نقل خط ام دی اف  - ومهونر </t>
  </si>
  <si>
    <t>20% per Month, Total 5 Months. Monthly reporting the status, gaps &amp; corrective action-Warehouse &amp; Transportation</t>
  </si>
  <si>
    <t>Behnaz Zarasvand</t>
  </si>
  <si>
    <t>رئیس حمل و نقل خارجی</t>
  </si>
  <si>
    <t>Afsane Mansouri</t>
  </si>
  <si>
    <t>LOGISTICS</t>
  </si>
  <si>
    <t>Shipments booked &amp; Cleared On time (No. of shipments with ETA vs Actual :  &lt; +/- 5 days (Target))</t>
  </si>
  <si>
    <t>Document Correction Rate</t>
  </si>
  <si>
    <t>نرخ اصلاح اسناد</t>
  </si>
  <si>
    <t xml:space="preserve">Penatly for delay preparing Bl draft &amp; Document   </t>
  </si>
  <si>
    <t>Damage or Loss Rate</t>
  </si>
  <si>
    <t>حادثه</t>
  </si>
  <si>
    <t>Zero Accident every month(50% reduction from last 6 months average-KPI Description--Accident Severity Rate)</t>
  </si>
  <si>
    <t>Container &amp; Truck Utilization Rate</t>
  </si>
  <si>
    <t>بهره‌برداری از کانتینر و کامیون</t>
  </si>
  <si>
    <t>dicates how efficiently container space (volume or weight) is used. (ctual load / Maximum container capacity × 100)</t>
  </si>
  <si>
    <t>Multimodal Transport Rate</t>
  </si>
  <si>
    <t>نرخ حمل‌ونقل چندوجهی</t>
  </si>
  <si>
    <t>Planning and loading multiple shipments to reduce freight costs</t>
  </si>
  <si>
    <t>Short Cycle line &amp; MDF 3</t>
  </si>
  <si>
    <t>حمل و  واردات خط تولید</t>
  </si>
  <si>
    <t>Loading production line</t>
  </si>
  <si>
    <t>Molood kajarian</t>
  </si>
  <si>
    <t>سرپرست ترخیص مواد اولیه و ماشین آلات</t>
  </si>
  <si>
    <t>Ms Zarasvand</t>
  </si>
  <si>
    <t xml:space="preserve">Clearances per Documents  </t>
  </si>
  <si>
    <t>تعداد ترخیص‌ها به ازای هر سند</t>
  </si>
  <si>
    <t>Number of customs declarations(Entering data into the customs system (e.g. EPL, national trade portals))</t>
  </si>
  <si>
    <t>Average clearances time</t>
  </si>
  <si>
    <t>میانگین زمان ترخیص</t>
  </si>
  <si>
    <t xml:space="preserve">Minimize time(Time from arrival at port (It depends on the working hours of customs and banks) </t>
  </si>
  <si>
    <t>First time documents accuracy</t>
  </si>
  <si>
    <t>نرخ صحت اسناد اظهار (بدون جریمه)</t>
  </si>
  <si>
    <t>Number of documents( % of shipments cleared without documents correction or rejection)</t>
  </si>
  <si>
    <t>Cash and Deposit return process</t>
  </si>
  <si>
    <t>فرآیند بازگشت وجه نقد، سپرده و چک</t>
  </si>
  <si>
    <t xml:space="preserve"> the return of the guarantee check from the shipping company</t>
  </si>
  <si>
    <t>Customs notification</t>
  </si>
  <si>
    <t xml:space="preserve"> ابلاغیه گمرکی (تعداد پرونده هایی که به نفع شرکت به نتیجه رسیدن و بدون جریمه رفع تعهد شدیم
</t>
  </si>
  <si>
    <t xml:space="preserve">Declaration notice regarding value , weight , hs code (Cases that have been closed by following up and claiming in favor of the company at Iranian Customs) </t>
  </si>
  <si>
    <t>Narges Ghanbari</t>
  </si>
  <si>
    <t>سرپرست حمل و نقل خارجی واردات و صادرات</t>
  </si>
  <si>
    <t xml:space="preserve">On Time local Transport -Loading date Vs Order Date within 2 days </t>
  </si>
  <si>
    <t>درصد سفارش‌هایی که تاریخ بارگیری (Loading Date) آن‌ها حداکثر ۲ روز بعد از تاریخ سفارش (Order Date) است.(خرید داخلی)</t>
  </si>
  <si>
    <t xml:space="preserve">Percentage of shipments delivered to the factory within the planned time (On-time deliveries / Total deliveries) </t>
  </si>
  <si>
    <t>Average Transport Time</t>
  </si>
  <si>
    <t>میانگین مدت‌زمان حمل‌ونقل بین تاریخ بارگیری تا تاریخ تحویل برای تمام محموله‌ها در یک بازه زمانی مشخص</t>
  </si>
  <si>
    <t>Time taken from port departure to arrival at the factory.(Port to factoy &lt; +/- 3 days (Target)</t>
  </si>
  <si>
    <t>Transport Cost per Ton or per Shipment</t>
  </si>
  <si>
    <t>هزینه حمل‌ونقل به ازای هر تن یا هر محموله – کمتر از بودجه</t>
  </si>
  <si>
    <t>Total transportation cost / Weight or Number of shipments</t>
  </si>
  <si>
    <t>Percentage of shipments arriving without physical damage or product loss.(50% reduction from last 6 months average-KPI Description--
Accident Severity Rate -)</t>
  </si>
  <si>
    <t xml:space="preserve">BIK Inventory recording system: RM/PM/FG/Parts </t>
  </si>
  <si>
    <t>ثبت دقیق و به‌روز موجودی، ورودی‌ها، خروجی‌ها و جابه‌جایی‌ها</t>
  </si>
  <si>
    <t xml:space="preserve"> RDaily Report , Target 99.8% accuracy-KPI Description--
Actual Stock quatity / System Quantity</t>
  </si>
  <si>
    <t>Mohsen Asadnia</t>
  </si>
  <si>
    <t>Ali Nemati</t>
  </si>
  <si>
    <t>On-time Trucking/Loading Announcement – From Document Readiness Date to Actual Announcement Date</t>
  </si>
  <si>
    <t>"اعلام بار به‌موقع (از تاریخ آماده بودن سنند جهت خروج تا تاریخ واقعی اعلام بار)"</t>
  </si>
  <si>
    <t xml:space="preserve">"Measure the percentage of shipments where the load notification was made on time, based on the time elapsed from document readiness to the actual load notification."
 </t>
  </si>
  <si>
    <t>Transport Lead time to be within the average time</t>
  </si>
  <si>
    <t>زمان تحویل حمل‌ونقل – در محدوده میانگین -بندر به کارخانجات</t>
  </si>
  <si>
    <t>% of shipments lead time from BIK to factory should be within the average lead time.Port to factoy &lt; +/- 3 days (Target)</t>
  </si>
  <si>
    <t>Transport Cost per Ton or Shipment to be less than Budget</t>
  </si>
  <si>
    <t>Total transportation cost(Total transportation cost / Weight or Number of shipments)</t>
  </si>
  <si>
    <t>Percentage of shipments arriving without physical damage or product loss.(Accident Severity Rate)</t>
  </si>
  <si>
    <t>Reduce Local freight Cost by using railway within the budget  Fariman</t>
  </si>
  <si>
    <t>کاهش هزینه حمل‌ونقل محلی با استفاده از راه‌آهن جهت کارخانه خراسان – در محدوده بودجه</t>
  </si>
  <si>
    <t>Reduce BIK warehousing cost by Planning &amp; scheduling the shipment</t>
  </si>
  <si>
    <t>کاهش هزینه انبارداری BIK با برنامه‌ریزی و زمان‌بندی ارسال محموله‌ها(زمانبندی تمدید انبارداری)</t>
  </si>
  <si>
    <t>Warehouse cost per Ton within the budget( for loading and delivering in the shortest warehousing time with the highest loading capacity)</t>
  </si>
  <si>
    <t>Negar Pakravan</t>
  </si>
  <si>
    <t>کارشناس ترخیص و مدارک</t>
  </si>
  <si>
    <t>No. of shipments with ETA vs Actual :  
&lt; +/- 5 days (Target)( Shipments booked &amp; Cleared On time)</t>
  </si>
  <si>
    <t>درصد تن خروجی  (روزهای تخلیه و زمان بارگیری کشتی در زمان استاندارد)</t>
  </si>
  <si>
    <t>All documents are filled &amp; 
Available as per standard( Total freight cost / Number of shipments)</t>
  </si>
  <si>
    <t xml:space="preserve">Penatly for delay preparing Document   </t>
  </si>
  <si>
    <t>Zero Accident every month(50% reduction from last 6 months average-KPI Description--
Accident Severity Rate)</t>
  </si>
  <si>
    <t>Container Utilization Rate</t>
  </si>
  <si>
    <t xml:space="preserve">Monthly shipment report </t>
  </si>
  <si>
    <t>گزارش کلی محموله ها</t>
  </si>
  <si>
    <t>Specification of total shipment</t>
  </si>
  <si>
    <t xml:space="preserve">Monthly total payment report </t>
  </si>
  <si>
    <t>گزارش کلی کرایه پرداختی</t>
  </si>
  <si>
    <t>Total amount paid for shipping</t>
  </si>
  <si>
    <t>Yasaman Karamzadeh</t>
  </si>
  <si>
    <t>Molood Kajarian</t>
  </si>
  <si>
    <t>Customs correspondence</t>
  </si>
  <si>
    <t>تنظیم  مکاتبات گمرکی ( تمام ارتباطات رسمی، اسناد)</t>
  </si>
  <si>
    <t>Writing and registering various types of discharge letters(Ship inspection letters - Bank guarantees - plants and agricultural jihad - requests from customs - commitment letters to the Standards Administration)</t>
  </si>
  <si>
    <t>Customs Fine Incidents</t>
  </si>
  <si>
    <t>اظهار نادرست کالا(کم‌اظهاری یا بیش‌اظهاری ارزش کالا )</t>
  </si>
  <si>
    <t>Number of Clearance Rejections</t>
  </si>
  <si>
    <t>Duties and Tax Accuracy Warranty</t>
  </si>
  <si>
    <t>ضمانتنامه حقوق ورودی و مالیات بر ارزش افزوده (تحقق ماهیانه)</t>
  </si>
  <si>
    <t>Fulfilling the monthly instructions of the financial unit to obtain guarantees from specified banks.</t>
  </si>
  <si>
    <t xml:space="preserve">Yearly &amp; Season /Cost per Clearance </t>
  </si>
  <si>
    <t>گزارش ماهیانه فصلی و ساالیانه کل هزینه های ترخیص</t>
  </si>
  <si>
    <t>Preparing monthly &amp; annual logistics cost reports for all PC group</t>
  </si>
  <si>
    <t>گزارش و تسویه حساب سپرداه های نقدی و دموراژ</t>
  </si>
  <si>
    <t>سحر بناری</t>
  </si>
  <si>
    <t>کارشناس مالی</t>
  </si>
  <si>
    <t>Logistics</t>
  </si>
  <si>
    <t xml:space="preserve"> Payment orders </t>
  </si>
  <si>
    <t>تعداد کل دستور پرداخت‌ها به سازمان‌ها برای ترخیص در یک دوره مشخص</t>
  </si>
  <si>
    <t>Payment order issued to each organization for clearance of goods / criterion for measuring the number of documents</t>
  </si>
  <si>
    <t>Online payment</t>
  </si>
  <si>
    <t>تعداد  کل پرداخت های آنلاین-مبلغ کل</t>
  </si>
  <si>
    <t xml:space="preserve">Online payments to various organizations </t>
  </si>
  <si>
    <t xml:space="preserve">Submitting wallet recharge </t>
  </si>
  <si>
    <t>شارژ کیف پول</t>
  </si>
  <si>
    <t>Requests for each project separately and follow-up</t>
  </si>
  <si>
    <t>Customs declarations</t>
  </si>
  <si>
    <t>پرداخت نقدی  حقوق ورودی -تعداد و مبلغ کل</t>
  </si>
  <si>
    <t>Submitting monthly import declaration files for Pc finance department</t>
  </si>
  <si>
    <t>Warranty</t>
  </si>
  <si>
    <t>اخذ ضمانتنامه حقوق ورودی و ارزش افزوده</t>
  </si>
  <si>
    <t>preparing letter and docs for asking warranth from bank</t>
  </si>
  <si>
    <t>Registering and closing petty cash and payment instructions</t>
  </si>
  <si>
    <t xml:space="preserve"> ثبت، پیگیری و تسویه نهایی تراکنش‌های تنخواه و دستور پرداخت‌ها</t>
  </si>
  <si>
    <t>All accounts must be closed at the end of the month.</t>
  </si>
  <si>
    <t>Discrepancy between determination and approval to the financial unit for approval of invoices in the taxpayer system</t>
  </si>
  <si>
    <t>اختلاف زمانی یا مغایرت بین تاریخ تعیین/تأیید مبلغ فاکتور و تاریخ تأیید آن توسط واحد مالی در سامانه مؤدیان</t>
  </si>
  <si>
    <t>زهرا حمید زاده</t>
  </si>
  <si>
    <t>کارشناس حمل و نقل خارجی- صادرات</t>
  </si>
  <si>
    <t>demurrage invoices</t>
  </si>
  <si>
    <t>دموراژ</t>
  </si>
  <si>
    <t>Registration, review and discrepancy of demurrage invoices</t>
  </si>
  <si>
    <t>Mozhgan Azizi</t>
  </si>
  <si>
    <t xml:space="preserve">Payment orders </t>
  </si>
  <si>
    <t>رئیس عملیات ترخیص و انبار اولیه</t>
  </si>
  <si>
    <t>Mrs Mansouri</t>
  </si>
  <si>
    <t>Vessele Berthing plan</t>
  </si>
  <si>
    <t>پهلودهی کشتی (برنامه ریزی جهت اختصاص اسکله و انبار و هماهنگی تخلیه)</t>
  </si>
  <si>
    <t>Planning for the allocation for berthing of ships and warehouses</t>
  </si>
  <si>
    <t>Discharge planning</t>
  </si>
  <si>
    <t>برنامه ریزی و عملیات ترخیص(تعداد سند و محموله)</t>
  </si>
  <si>
    <t>Plan for release goods</t>
  </si>
  <si>
    <t>Unloading Monitoring</t>
  </si>
  <si>
    <t>نظارت بر تخلیه (24 ساعت)</t>
  </si>
  <si>
    <t>Monitoring the unloading of trucks, ships and containers</t>
  </si>
  <si>
    <t>Declaration Letters</t>
  </si>
  <si>
    <t>مکاتبات گمرگی جهت ترخیص کالا</t>
  </si>
  <si>
    <t>Delivery of clearance letters to various organizations</t>
  </si>
  <si>
    <t>Attending inspections</t>
  </si>
  <si>
    <t>بازرسی فیزیکی گمرک و هماهنگی برای نمونه‌برداری، آزمایشگاهی، یا بررسی و تأیید اسناد</t>
  </si>
  <si>
    <t>be present at physical customs insepection,coordinate sample collection , lab analaysis or document verification</t>
  </si>
  <si>
    <t xml:space="preserve">Payment and release of goods </t>
  </si>
  <si>
    <t>گواهی ترخیص گمرک،حواله تحویل کالا و مجوز خروج از انبار</t>
  </si>
  <si>
    <t>Customs release certificate , delivery order , warehouse reease note</t>
  </si>
  <si>
    <t>Customs exit door</t>
  </si>
  <si>
    <t>درب خروج گمرک و ارائه مدارک صادرشده توسط وزارت جهاد کشاورزی، سازمان ملی استاندارد و سازمان حفظ نباتات به‌منظور اخذ مجوز خروج کالا از گمرک.</t>
  </si>
  <si>
    <t>Visit the customs exit gate and submit documents from the Jihad, Standards, and Plant Protection Organization to obtain a permit to exit the goods from customs.</t>
  </si>
  <si>
    <t>Reza Safarzadeh</t>
  </si>
  <si>
    <t xml:space="preserve">plan for relase goods </t>
  </si>
  <si>
    <t>تحوبل و ثبت و پیگیری نامه های ترخیص به ارگانهای مختلف</t>
  </si>
  <si>
    <t>نامه اظهارنامه گمرکی</t>
  </si>
  <si>
    <t>Reza Farzaneh</t>
  </si>
  <si>
    <t>کارشناس ترخیص مواد اولیه و ماشین آلات</t>
  </si>
  <si>
    <t xml:space="preserve">Plan for relase goods </t>
  </si>
  <si>
    <t>تحویل و ثبت و پیگیری نامه های ترخیص به ارگانهای مختلف</t>
  </si>
  <si>
    <t>امیرحسین بیگدلو</t>
  </si>
  <si>
    <t>معاونت امور مالی</t>
  </si>
  <si>
    <t>بستن حساب های دفتر همه شرکتها تا 14 ماه بعد</t>
  </si>
  <si>
    <t>خرید 100 درصد از تخصیص های ارز</t>
  </si>
  <si>
    <t xml:space="preserve">اصلاح قیمت صادرات ، آنالیز سود و زیان طبقات مختلف محصولات مختلف </t>
  </si>
  <si>
    <t xml:space="preserve">کنترل هزینه کرد با بودجه و هماهنگی کامل با مدیران بیزنس از بابت آموزش و هزینه کرد و سود آوری محصولات </t>
  </si>
  <si>
    <t xml:space="preserve">قیمت گذاری به موقع و به روز نگهداری محاسبات حاشیه فروش </t>
  </si>
  <si>
    <t>به روز رسانی لیست اقلام راکد، درصدی، درجه دو و تهیه لیست قیمت و شرایط جهت فروش</t>
  </si>
  <si>
    <t>اتمام فرآیند آموزش SAP و شروع لایو HR</t>
  </si>
  <si>
    <t>تایید بلو پرینت های SAP با کمک آقای جایانتا</t>
  </si>
  <si>
    <t xml:space="preserve">دریافت مصوبه اعتباری از دو بانک </t>
  </si>
  <si>
    <t xml:space="preserve">مکانیزه کردن سیستم پرداخت </t>
  </si>
  <si>
    <t>دریافت تاییدیه تسهیلات  صندوق توسعه ملی  و نهایی سازی قرارداد در صورت تایید ساخت داخل و تاییدیه محیط زیست</t>
  </si>
  <si>
    <t xml:space="preserve">کنترل مصرف مواد اولیه در خط سه میل و توجیح نوسانات مصرف </t>
  </si>
  <si>
    <t xml:space="preserve">کنترل مصرف مواد اولیه در خط هایگلاس و توجیح نوسانات مصرف </t>
  </si>
  <si>
    <t xml:space="preserve">کنترل مصرف مواد اولیه در خطوط کاغذ آغشته و توجیح نوسانات مصرف </t>
  </si>
  <si>
    <t xml:space="preserve">کنترل مصرف مواد اولیه در خط ام دی اف خام و توجیح نوسانات مصرف </t>
  </si>
  <si>
    <t>مصوبه قابل استفاده با احتساب مسدودی به میزان 80 هزار میلیارد ریال بدون بدهی به صندوق توسعه</t>
  </si>
  <si>
    <t>بستن  2 پرونده مالیاتی قدیمی</t>
  </si>
  <si>
    <t>همگام سازی دستورالعمل ها و فریند ها مطابق SAP براساس برنامه زمانبندی</t>
  </si>
  <si>
    <t>مهدی محسنی</t>
  </si>
  <si>
    <t>مدیر تامین مالی گروه</t>
  </si>
  <si>
    <t>امیر حسین  بیگدلو</t>
  </si>
  <si>
    <t xml:space="preserve">ارسال گزارش ، ثبت سفارشات، کشتی ها، خرید ارز روزانه ، بدهی به دبی بصورت هفتگی </t>
  </si>
  <si>
    <t>پیگیری و خرید ارز خط ام دی اف تا پایان مهر 1404</t>
  </si>
  <si>
    <t xml:space="preserve">رسیدن به سقف مصوبه قابل استفاده به میزان 8 همت  </t>
  </si>
  <si>
    <t xml:space="preserve">دریافت مصوبه اعتباری از بانک ملی </t>
  </si>
  <si>
    <t>دریافت مصوبه اعتباری از بانک کشاورزی</t>
  </si>
  <si>
    <t>دریافت مصوبه اعتباری از بانک پارسیان</t>
  </si>
  <si>
    <t xml:space="preserve">دریافت مصوبه اعتباری از بانک رفاه </t>
  </si>
  <si>
    <t>شیوا سلطانی نیا</t>
  </si>
  <si>
    <t>رئیس حسابداری ارزی</t>
  </si>
  <si>
    <t>ارسال لیست آپدیت شده تخصیص ارز راس ساعت 9 صبح هر روز</t>
  </si>
  <si>
    <t xml:space="preserve"> دریافت سوئیف خرید ارز حداکثر ظرف 10 روز و ارسال آن به ددفتر مرکزی یا تامین کننده</t>
  </si>
  <si>
    <t xml:space="preserve">ارسال گزارش روزانه میزان ارز حاصل از صادرات به تفکیک مشتری، محصول و شرکت </t>
  </si>
  <si>
    <t>مختومه کردن پرونده حداکثر ظرف 10 روز  و ارسال اطلاعات به واحد خرید و لجستیک</t>
  </si>
  <si>
    <t>خرید ارز قبل از تاریخ سررسید</t>
  </si>
  <si>
    <t>ارسال هفتگی وضعیت کشتی ها و تکمیل این گزارش به نحوی که بیانگر تمام شرایط محموله ها بوده و در هماهنگی و ارتباط کامل با سایر گزارشات مرتبط باشد.</t>
  </si>
  <si>
    <t>ارسال هفتگی بدهی به دفتر مرکزی</t>
  </si>
  <si>
    <t>ارسال هفتگی  خرید ارز قطعات  (با و بدون ثبت سفارش)</t>
  </si>
  <si>
    <t>ارسال گزارش خرید ارز به تفکیک شرکت و مواد اولیه در مقایسه با سال قبل پس از هر خرید ارز</t>
  </si>
  <si>
    <t>اخذ تسهیلات ریالی بابت خرید ارز</t>
  </si>
  <si>
    <t>رفع تعهد ارزی  بانک شهر شعبه شاهنامه</t>
  </si>
  <si>
    <t>فروش ته مانده های کوتاژ تا پایان مهر 1404</t>
  </si>
  <si>
    <t xml:space="preserve">مغایرت گیری حسابهای ارزی با مدیران مالی شرکت ها  و ارسال  MOM ماهانه </t>
  </si>
  <si>
    <t xml:space="preserve">ارسال گزارش واردات سال های 2017 الی 2022 با در نظر گرفتن نرخ خرید  </t>
  </si>
  <si>
    <t>ارسال KPI فصل زمستان تیم مالی ارزی قبل از اتمام فصل پاییز  و تکمیل KPI فصل زمستان تا 5 دیماه 1404</t>
  </si>
  <si>
    <t xml:space="preserve">جلسه هفتگی و ارئه گزارش  آخرین وضعیت ثبت سفارشات و تهیه صورتجلسه مذاکرات جلسه با واحد خرید خارجی و لجستیک و ارسال منظم خلاصه جلسه  و صورت جلسات </t>
  </si>
  <si>
    <t xml:space="preserve">آموزش کامل پرسنل ارزی در مورد تهیه همه انواع گزارشات واحد ارزی </t>
  </si>
  <si>
    <t>احمد خنیفر</t>
  </si>
  <si>
    <t>كارشناس حسابداری ارزی</t>
  </si>
  <si>
    <t xml:space="preserve">مطالعه یخش اول مجموع مقررات بانک مرکزی _ بخش 1 </t>
  </si>
  <si>
    <t>پیگیری و ارائه گزارش جهت رفع تعهدات واردات پس از ارائه اسناد و رفع موانع مربوط تا رفع تعهد نهایی</t>
  </si>
  <si>
    <t xml:space="preserve"> دریافت سوییفت پس از تحویل اسناد به صرافی یا بانک  ظرف 15 روز کاری</t>
  </si>
  <si>
    <t xml:space="preserve"> نامه نگاری های  مختومه شدن خرید ارزهای ثبت سفارش با بانک و صرافی</t>
  </si>
  <si>
    <t>ارائه گزارشات  ثبت سفارشات مختومه به واحد بازرگانی و معاونت مالی به صورت روزانه (گزارش po)</t>
  </si>
  <si>
    <t xml:space="preserve">ثبت اسناد برداشتی از حساب ها مربوط به خرید ارز و کارمزد های مربوطه در سیستم نماد </t>
  </si>
  <si>
    <t>ارسال گزارش خرید ارز به تفکیک شرکت و مواد اولیه در مقایسه با سال قبل پس از هر خرید ارز به صورت روزانه</t>
  </si>
  <si>
    <t xml:space="preserve"> پیگیری با بانک ها جهت آماده کردن رسید های خرید ارز و ارسال و ثبت در سیستم و ارسال مستندات به واحد مالی کارخانجات</t>
  </si>
  <si>
    <t xml:space="preserve">ارائه گزارش ها در خصوص میزان خرید ارز انجام شده به تفکیک بانک ها یا کالا ها و ...به واحد های مربوطه </t>
  </si>
  <si>
    <t>زهره سودان</t>
  </si>
  <si>
    <t>ارسال لیست آپدیت شده تخصیص ارز  حداکثر 1 ساعت پس از شروع تایم کاری</t>
  </si>
  <si>
    <t xml:space="preserve"> اخذ مصوبه از بانک جهت خرید ارز و ارائه تضامین به بانک عامل به محض تایید تخصیص </t>
  </si>
  <si>
    <t xml:space="preserve">ارائه گزارش از بابت وضعیت چک های تضمین 35% و ضمانت نامه و پیگیری با بانک جهت ابطال آنها بلافاصله پس از رفع تعهد </t>
  </si>
  <si>
    <t xml:space="preserve">صدور به موقع و صحیح درخواست پرداخت و پیگیری جهت تامین ریال مورد نیاز جهت خرید ارز از واحد خزانه </t>
  </si>
  <si>
    <t xml:space="preserve">ارسال درخواست صدور ضمانت نامه به بانک ها بلافاصله پس از دریافت ایمیل واحد لاجستیک جهت صدور و اخذ آنها در همان روز </t>
  </si>
  <si>
    <t xml:space="preserve"> کنترل ضمانت نامه پس از ارائه پیش نویس بانک و اعلام تاییدیه جهت صدور به بانک مربوطه</t>
  </si>
  <si>
    <t xml:space="preserve"> ارائه انواع گزارش ها در خصوص وضعیت ضمانت نامه ها و بدهی های ریالی در این خصوص </t>
  </si>
  <si>
    <t xml:space="preserve"> نامه نگاری جهت دریافت تسهیلات ارزی  بابت ثبت سفارشات  و تهیه و آپدیت گزارش از این بابت </t>
  </si>
  <si>
    <t xml:space="preserve">تهیه و ارسال به موقع فرمهای بانکی و مدارک مورد نیاز بانک ها </t>
  </si>
  <si>
    <t>سحر قیصری</t>
  </si>
  <si>
    <t xml:space="preserve">آماده کردن هفتگی گزارش  وضعیت و مقدار کلیه ثبت سفارشات در صف بانک مرکزی یا تخصیص یافته </t>
  </si>
  <si>
    <t xml:space="preserve"> ایجاد و تمدید ثبت سفارشات در سامانه جامع جهت تخصیص ارز </t>
  </si>
  <si>
    <t xml:space="preserve"> آپدیت روزانه و صحیح  گزارش از سامانه جامع جهت ثبت سفارشات تایید شده و اولویت دار از طرف بانک مرکزی</t>
  </si>
  <si>
    <t xml:space="preserve"> تجزیه و ابطال مقدار خریداری  نشده ارز ثبت سفارشات درسامانه جامع تجارت  پس از تایید بانک </t>
  </si>
  <si>
    <t xml:space="preserve">تنظیم نامه های رفع تعهد بانکی از محل صادرات خود و ارائه به بانک و پیگیری جهت رفع تعهد </t>
  </si>
  <si>
    <t>اعلام جزئیات فروش ارز و رفع تعهدات به واحد مالی پس از مختومه معامله</t>
  </si>
  <si>
    <t xml:space="preserve">کنترل بهای تمام شده خرید ارز پس از پایان فرآیند و اعلام آن به وسیله کاربرگ به واحد مالی هر کارخانه </t>
  </si>
  <si>
    <t>مریم چناری</t>
  </si>
  <si>
    <t xml:space="preserve">ثبت اسناد دریافت وجوه صادرات در نماد روزانه پس از اعلام کارشناس مالی فروش </t>
  </si>
  <si>
    <t xml:space="preserve"> بررسی پرداختی های مربوط به ماشین آلات و  ارسال به روز درخواست پرداخت به دفتر دبی و پیگیری پرداخت تا وصول توسط ذی نفع.</t>
  </si>
  <si>
    <t xml:space="preserve">پیگیری و بررسی صورت حساب ها تا وصول وجوه واردات با دفتر دبی </t>
  </si>
  <si>
    <t xml:space="preserve">مغایرت گیری و تطابق نماد از بابت مانده حساب های مشتریان با واقعیت و ارائه گزارش از این بابت </t>
  </si>
  <si>
    <t xml:space="preserve"> رفع چالش ها ی نحوه واریزی مشتریان و  پیگیری وصول دریافت ارز بصورت روزانه </t>
  </si>
  <si>
    <t>ارائه گزارش صحیح در خصوص اخرین وضعیت وصول حواله های واردات</t>
  </si>
  <si>
    <t>نیكوالسادات حبیبیان نژاد</t>
  </si>
  <si>
    <t xml:space="preserve">تهیه صحیح و ارسال مدارک به بانک طی 48 ساعت به بانک </t>
  </si>
  <si>
    <t xml:space="preserve">دریافت استعلامات حساب های بانکی پیش از خرید ارز </t>
  </si>
  <si>
    <t xml:space="preserve"> دریافت تاییدیه بانک عامل از بابت تکمیل مدارک و پیگیری جهت صدور حواله به محض رسیدن مدارک به بانک </t>
  </si>
  <si>
    <t xml:space="preserve">پیگیری و رفع شکایت و ابهامات در خصوص پیش برد پرونده ها با بانک مرکزی </t>
  </si>
  <si>
    <t xml:space="preserve"> اعلام روزانه نرخ سنا به واحد های مالی صادرات و فروش</t>
  </si>
  <si>
    <t>مهدی قضاتلو</t>
  </si>
  <si>
    <t>مدیر خزانه داری و تامین مالی</t>
  </si>
  <si>
    <t>دریافت تسهیلات از بانک ها  از محل مصوبه ظرف مهلت 2 روز از درخواست نیاز</t>
  </si>
  <si>
    <t>تهیه و ارسال بدون ایراد لیست پرداخت  روزانه</t>
  </si>
  <si>
    <t xml:space="preserve">مدیریت روزانه  نقدینگی  و گردش مناسب پول  بین بانک ها </t>
  </si>
  <si>
    <t xml:space="preserve">دریافت مصوبه اعتباری از بانک صادرات تا مبلغ 200 میلیارد تومان </t>
  </si>
  <si>
    <t xml:space="preserve">مکانیزه کردن تمام پرداخت ها </t>
  </si>
  <si>
    <t xml:space="preserve">دریافت مصوبه اعتباری از بانک خاورمیانه تا سقف 400 میلیارد تومان </t>
  </si>
  <si>
    <t xml:space="preserve">دریافت مصوبه اعتباری از بانک سامان تا سقف 200 میلیارد تومان </t>
  </si>
  <si>
    <t>ندا منافی موركانی</t>
  </si>
  <si>
    <t>رئیس حسابداری خزانه</t>
  </si>
  <si>
    <t>تهیه و ارسال لیست پرداخت  روزانه  و تکمیل  اطلاعات  لیست  پرداخت  روزانه با درج واحد درخواست کننده، نام صحیح صادر کننده صورتحساب، نام شرکت پاک چوب، تاریخ صورتحساب، تاریخ ارسال به خزانه، موعد پرداخت و مبلغ پرداخت شده به واحد های درخواست کننده پرداخت</t>
  </si>
  <si>
    <t xml:space="preserve">پرداخت از طریق سیستم بانکداری شرکتی بانکها ( حداقل 4 بانک ) </t>
  </si>
  <si>
    <t>وصول وام بانک ملت در همان روز تسویه قسط</t>
  </si>
  <si>
    <t>صدور بیمه نامه تسهیلات یک روز قبل از دریافت تسهیلات</t>
  </si>
  <si>
    <t xml:space="preserve">پرداخت حقوق مدیران در 10هم هر ماه </t>
  </si>
  <si>
    <t>وصول وام بانک تجارت نهایتا تا 5 روز پس از تسویه قسط</t>
  </si>
  <si>
    <t>ارسال مدارک پرداخت ظرف 24 ساعت از تاریخ پرداخت</t>
  </si>
  <si>
    <t xml:space="preserve">تهیه صورت مغایرت بانکی برای همه بانکها و پرینت و امضای آن 3 روز پس از پایان ماه </t>
  </si>
  <si>
    <t xml:space="preserve">تسویه طلب و بدهی های بین گروه </t>
  </si>
  <si>
    <t xml:space="preserve">تامین وجوه چک های صادره به نفع دیگران </t>
  </si>
  <si>
    <t xml:space="preserve">مغایرت گیری، به روز رسانی اسناد انتظامی به عهده دیگران و به نفع دیگران با سیستم نماد و لیست چک ها و چک های تضمین  موجود </t>
  </si>
  <si>
    <t>مکانیزه کردن تمام پرداخت های  خزانه</t>
  </si>
  <si>
    <t xml:space="preserve">گردش مناسب پول بین بانک ها </t>
  </si>
  <si>
    <t>حمید  حکیمی نیری</t>
  </si>
  <si>
    <t>مشاور مالی پاره وقت</t>
  </si>
  <si>
    <t>دریافت تسهیلات بانک ملت حداکثر تا  24 ساعت پس از واریز قسط</t>
  </si>
  <si>
    <t>دریافت تسهیلات بانک سپه حداکثر تا  3 روز پس از واریز قسط</t>
  </si>
  <si>
    <t xml:space="preserve">ارسال روزانه اخبار بانک ها </t>
  </si>
  <si>
    <t xml:space="preserve">مصوبه قابل استفاده با احتساب مسدودی به میزان 8 همت  </t>
  </si>
  <si>
    <t>دریافت تاییدیه هیات مدیره بانک سپه از بابت  تسهیلات در صندوق توسعه ملی  و انعقاد قرارداد ارزی تا پایان مهر ماه 1404</t>
  </si>
  <si>
    <t>تصویب تسهیلات پروژه نیروگاه خورشیدی و انعقاد قرارداد با بانک ملت</t>
  </si>
  <si>
    <t xml:space="preserve">دریافت مصوبه اعتباری افزایش تسهیلات  اعتباری از بانک پاسارگاد  </t>
  </si>
  <si>
    <t xml:space="preserve">دریافت مصوبه اعتباری افزایش تسهیلات در بانک ملت به مبلغ 1000 میالیارد تومان </t>
  </si>
  <si>
    <t xml:space="preserve">دریافت مصوبه اعتباری افزایش حد سالیانه از بانک صنعت و معدن تا سقف 500 میلیارد تومان </t>
  </si>
  <si>
    <t>آلاء قربی</t>
  </si>
  <si>
    <t>كارشناس حسابداری خزانه</t>
  </si>
  <si>
    <t xml:space="preserve">ثبت خزانه اسناد پرداختی شرکتهای گروه </t>
  </si>
  <si>
    <t>تهیه منابع و مصارف روزانه در غیاب خانم آدینه</t>
  </si>
  <si>
    <t xml:space="preserve">مدیریت منابع و ارسال گزارش پرداخت ها با تمام جزییات </t>
  </si>
  <si>
    <t xml:space="preserve">ثبت، مغایرت گیری، به روز رسانی  حساب اسناد انتظامی </t>
  </si>
  <si>
    <t>خدیجه آدینه</t>
  </si>
  <si>
    <t xml:space="preserve">تهیه گزارش روزانه کش فلو </t>
  </si>
  <si>
    <t xml:space="preserve">پیگیری چک های وصول نشده </t>
  </si>
  <si>
    <t>حضور کامل در جلسات SAP</t>
  </si>
  <si>
    <t xml:space="preserve">به روز رسانی وضعیت مالیاتی سهامداران </t>
  </si>
  <si>
    <t xml:space="preserve">تهیه  و ارسال گزارش روزانه پرداختی های گروه </t>
  </si>
  <si>
    <t>راضیه تنومند</t>
  </si>
  <si>
    <t xml:space="preserve">ارسال تمام  اسناد روزانه  به بانک </t>
  </si>
  <si>
    <t xml:space="preserve">عدم اشتباه در پرداختهای اینترنتی </t>
  </si>
  <si>
    <t>فاطمه حسینی زاد</t>
  </si>
  <si>
    <t xml:space="preserve">کنترل  روزانه اسناد دریافتی از شرکتها گروه </t>
  </si>
  <si>
    <t>ثبت کلیه اسناد پرداخت شده</t>
  </si>
  <si>
    <t xml:space="preserve">ارسال روزانه اسناد پرداختی به شرکتهای گروه </t>
  </si>
  <si>
    <t>پریسا دامن افشان</t>
  </si>
  <si>
    <t>ندا منافی مورکانی</t>
  </si>
  <si>
    <t xml:space="preserve">پرداخت عملیات شرکت کشت و صنعت تخته فشرده </t>
  </si>
  <si>
    <t xml:space="preserve">ثبت خزانه کلیه پرداختهای شرکت کشت و صنعت تخته فشرده </t>
  </si>
  <si>
    <t>سارا فولادی نژاد</t>
  </si>
  <si>
    <t>رئیس حسابداری فروش</t>
  </si>
  <si>
    <t>سید علی میرشجاعی</t>
  </si>
  <si>
    <t>به روز رسانی روزانه گزارش وضعیت تولید و فروش بدون ایراد - بر اساس گزارشات BI</t>
  </si>
  <si>
    <t>پیگیری دلیل عدم وصول چک های مشتریان و اعلام آن بر ای قراردادن مشتری در لیست مشتریان پرریسک</t>
  </si>
  <si>
    <t xml:space="preserve">پیگیری دریافت چک های مشتریان و عدم وجود هرگونه مغایرت بین لیست چک های گوگل شیت و سیستم نماد </t>
  </si>
  <si>
    <t xml:space="preserve">کنترل آیین نامه های فروش </t>
  </si>
  <si>
    <t xml:space="preserve">تهیه گزارش تولید و فروش  ماهیانه در سطح کد کالا و گروه </t>
  </si>
  <si>
    <t xml:space="preserve">تهیه گزارش ماهانه  هزینه ها ی هر شرکت به تفکیک سرفصل و مرکز هزینه و تجزیه و تحلیل روند </t>
  </si>
  <si>
    <t xml:space="preserve">تهیه گزارش کنترلی هزینه های واقعی و بودجه شده برای 1404 به صورت ماهیانه </t>
  </si>
  <si>
    <t xml:space="preserve">تهیه گزارش تراز هر شرکت در سطح معین و تجزیه تحلیل روند ماهیانه </t>
  </si>
  <si>
    <t xml:space="preserve">کنترل عملکرد مشتریان بزرگ در سطح شرکت های گروه </t>
  </si>
  <si>
    <t>پیگیری دریافت گزارش چک های واگذار شده به بانک ملت به صورت هفتگی</t>
  </si>
  <si>
    <t xml:space="preserve">ارسال به موقع KPI </t>
  </si>
  <si>
    <t>انجام  امور بانکی مربوط به تسهیلات و ... آقای حکیمی -آقای  محسنی-آقای قضاتلو</t>
  </si>
  <si>
    <t>ایجاد (حسابهای معین و تفضیل) و الگوهای حساب در کلیه شرکتهای گروه</t>
  </si>
  <si>
    <t>کنترل هزینه های تنخواه دفتر اهواز-کنترل هزینه های تنخواه سپه(شخصی)-کنترل هزینه های ماموریت پرسنل</t>
  </si>
  <si>
    <t>پیگیری و دریافت تمام بارنامه ها و رسید های پرداخت آنها و ارسال به کارخانجات</t>
  </si>
  <si>
    <t>عدم وجود هرگونه چک دریافت نشده و پیگیری آن از واحد فروش</t>
  </si>
  <si>
    <t xml:space="preserve">گزارش هزینه های  هر شرکت به تفکیک کد معیین و مرکز هزینه </t>
  </si>
  <si>
    <t>کنترل و ارسال  لیست مشتریان بلک لیست  -هفتگی و  با هربار تغییر در لیست میبایست برای تیم فروش و مالی ارسال گردد.</t>
  </si>
  <si>
    <t xml:space="preserve">مغایرت گیری گزارش چک های دریافت شده و در جریان وصول با دفاتر </t>
  </si>
  <si>
    <t>پیگیری مغایرت گیری سیستم مالی و زیر سیستم فروش  هر چهار کارخانه</t>
  </si>
  <si>
    <t>میترا سلیمی</t>
  </si>
  <si>
    <t>كارشناس حسابداری فروش</t>
  </si>
  <si>
    <t xml:space="preserve">ثبت ، ارسال و پیگیری روزانه بارنامه های حمل </t>
  </si>
  <si>
    <t>ثبت تنخواه دفتر اهواز</t>
  </si>
  <si>
    <t>تبت تنخواه سپه(حسابهای شخصی هیئت مدیره)</t>
  </si>
  <si>
    <t>سارا برون</t>
  </si>
  <si>
    <t>تهیه گزارش مشتریان بلک لیست و چکهای وصول نشده و ارسال به مدیران فروش و مالی (روزانه)</t>
  </si>
  <si>
    <t>تهیه گزارش مشتریان بد حساب(روزانه) و ارسال به مدیریت پایان هفته</t>
  </si>
  <si>
    <t>اسکن روزانه کلیه چکهای دریافت شده از پست و ارسال به واحد مالی کارخانجات به تفکیک</t>
  </si>
  <si>
    <t>کنترل و مغایرت  گیری چکهای ثبت شده و فایل های واگذاری و ارسال چکها به بانکها چهارشنبه هر هفته</t>
  </si>
  <si>
    <t>پست چکهای برگشتی و عودتی جهت مشتریان</t>
  </si>
  <si>
    <t>صدور چک سفید مشتریان</t>
  </si>
  <si>
    <t>مائده موگهی</t>
  </si>
  <si>
    <t>آپدیت روزانه گزارش اکسل check details</t>
  </si>
  <si>
    <t>تهیه گزارش از چکهای در جریان وصول جهت مسئولین اعتبارات (شنبه هر هفته)</t>
  </si>
  <si>
    <t>تهیه گزارش از چکهای در جریان وصول  هفته آینده جهت مدیران فروش (چهارشنبه هر هفته)</t>
  </si>
  <si>
    <t>پیگیری روزانه چکهای برگشتی و عودتی و برداشتن چکها از سر حساب با بانکهای ملت و تجارت و اقتصادنوین و ...</t>
  </si>
  <si>
    <t xml:space="preserve">کنترل مانده حساب کارکنان و ثبت و صدور سند مالی </t>
  </si>
  <si>
    <t xml:space="preserve">کنترل مانده حساب فروشندگان و ثبت و صدور سند مالی </t>
  </si>
  <si>
    <t xml:space="preserve">کنترل هزینه های تنخواه ماموریت پرسنل طبق  آئین نامه </t>
  </si>
  <si>
    <t>ارسال کلیه قراردادها جهت امضای مدیریت به کارخانه تخته فشرده</t>
  </si>
  <si>
    <t>کنترل هزینه های تنخواه دفتر اهواز-کنترل هزینه های تنخواه سپه</t>
  </si>
  <si>
    <t>حسین غلام نژاد</t>
  </si>
  <si>
    <t>مدیر حسابداری صنعتی</t>
  </si>
  <si>
    <t xml:space="preserve">کنترل انبارگردانی ماهانه شرکت های گروه </t>
  </si>
  <si>
    <t>تهیه گزارش موجودی مواد و محصولات ماهانه</t>
  </si>
  <si>
    <t>بررسی و اطمینان از صدور تمامی هزینه ها در سیستم جهت بستن حسابها</t>
  </si>
  <si>
    <t xml:space="preserve"> تهیه تطبیق فصلی بین شرکتهای گروه  جهت صدور فاکتور خرید و فروش</t>
  </si>
  <si>
    <t xml:space="preserve">محاسبه مستقل قیمت تمام شده ام دی اف خام </t>
  </si>
  <si>
    <t>مغایرت گیری چوب موجود با میزان تولید و خرید</t>
  </si>
  <si>
    <t>کنترل قیمت گذاری صحیح واردات مواد اولیه از طریق جذب کامل و مرتبط هزینه های سفارشات</t>
  </si>
  <si>
    <t>کنترل موجودی های ارسالی به کارخانه های اجاره ای و موجودی های امانی نزد شرکت برای تولید دیگران</t>
  </si>
  <si>
    <t xml:space="preserve">تهیه و تدوین روش های اجرایی انبار </t>
  </si>
  <si>
    <t xml:space="preserve">تهیه و تدوین روش های اجرایی تولید </t>
  </si>
  <si>
    <t>آشنایی کامل با پروسه تولید و قیمت تمام شده و ایجاد تنظیمات صحیح CO در  SAP</t>
  </si>
  <si>
    <t xml:space="preserve">ارسال قیمت تمام شده بدون ایراد تا 10 هم هر ماه </t>
  </si>
  <si>
    <t xml:space="preserve">حضور در جلسات SAP جهت تدوین شیوه ها و رویه های اجرایی زیر سیستم های مالی و انبار </t>
  </si>
  <si>
    <t>گزارش  اقلام راکد موجودی های خام و محصول و پیگیری فروش</t>
  </si>
  <si>
    <t xml:space="preserve">کنترل هزینه های ثبت شده شرکتها </t>
  </si>
  <si>
    <t>راضیه خسروشاهی</t>
  </si>
  <si>
    <t>سید علی میر شجاعی</t>
  </si>
  <si>
    <t xml:space="preserve">کنترل و تایید پیش فاکتور های صادراتی در سطح گروه پس از بررسی ظرف مهلت 2 ساعت </t>
  </si>
  <si>
    <t>کنترل دستور تحویل های صادر شده و خروج نخورده صادراتی</t>
  </si>
  <si>
    <t>به روز رسانی صورتحساب مشتریان صادراتی بلافاصله بعد از تایید دریافت ارز و صدور پیش فاکتور</t>
  </si>
  <si>
    <t>ارسال صورتحساب مشتریان صادراتی در پاسخ به درخواست واحد فروش صادراتی</t>
  </si>
  <si>
    <t xml:space="preserve">ارسال گزارش تطبیق پیش فاکتور های صادر شده صادراتی با کوتاژ و تکمیل اطلاعات صادرات شرکت های گروه </t>
  </si>
  <si>
    <t>پیگیری دریافت کوتاژ های صادراتی حد اکثر 3 روز کاری بعد از خروج کالا</t>
  </si>
  <si>
    <t>محاسبه و کنترل حق الزحمه ترخیص کاران و ثبت و پیگیری پرداخت آن</t>
  </si>
  <si>
    <t>تخصیص  دریافت های ارزی به شرکت های گروه و ارسال به واحد ارزی</t>
  </si>
  <si>
    <t>ثبت تنخواه دفتر تهران در نماد</t>
  </si>
  <si>
    <t>بررسی و کنترل مانده حساب مشتریان صادراتی ( فایل اکسل) و تطبیق آن با مانده حساب مشتریان در سیستم نماد شرکت ها</t>
  </si>
  <si>
    <t>تهیه و ارسال گزارش پیش فاکتورهای تایید مالی شده  به تفکیک نقدی و اعتباری</t>
  </si>
  <si>
    <t xml:space="preserve">تهیه و ارسال گزارش فروش صادراتی به تفکیک مشتری و محصول </t>
  </si>
  <si>
    <t>مدیرحسابداری مدیریت</t>
  </si>
  <si>
    <t xml:space="preserve">کنترل و نظارت بر فرآیند تایید پیش فاکتور های مشتریان </t>
  </si>
  <si>
    <t xml:space="preserve">کنترل اجرای  آیین نامه های ابلاغی فروش  </t>
  </si>
  <si>
    <t xml:space="preserve">کنترل و مغایرت گیری حساب 20 مشتری اول در پایان هر سه ماه </t>
  </si>
  <si>
    <t>ارسال گزارش هزینه های ماهانه به تفکیک مرکز هزینه و سرفصل حساب</t>
  </si>
  <si>
    <t xml:space="preserve">تهیه گزارش اقلام ترازنامه و سود و زیان در سطح معیین و تحلیل روند </t>
  </si>
  <si>
    <t>ارسال سود و زیان ماهانه بدون هر گونه ایراد و با در نظر گرفتن صدور تمام اسناد تا روز 13 هم هر ماه</t>
  </si>
  <si>
    <t xml:space="preserve">محاسبه سود و زیان تسعیر ارز </t>
  </si>
  <si>
    <t xml:space="preserve">کنترل و ارائه اطلاعات مورد نیاز جهت محاسبه پورسانت تیم فروش </t>
  </si>
  <si>
    <t>ارسال به موقع KPI</t>
  </si>
  <si>
    <t>کنترل قیمت گذاری صحیح کالاهای داخلی و صادراتی</t>
  </si>
  <si>
    <t xml:space="preserve">گزارش پیش فاکتور های تایید مالی شده به تفکیک نقدی و غیر نقدی </t>
  </si>
  <si>
    <t>بررسی و محاسبه تخفیفات تارگت محور داخلی و خارجی</t>
  </si>
  <si>
    <t xml:space="preserve">کنترل گردش و مانده حساب مشتریان صادراتی </t>
  </si>
  <si>
    <t>حضور در جلسات SAP جهت تدوین شیوه ها و رویه های اجرایی زیر سیستم های مالی و فروش</t>
  </si>
  <si>
    <t xml:space="preserve">تهیه فایل گروهبندی کالاها جهت تسهیل قیمت گذاری در SAP </t>
  </si>
  <si>
    <t>کنترل ترازنامه - حسابهای دریافتنی ، پیش دریافتهای ارزی و ریالی</t>
  </si>
  <si>
    <t>کنترل Opex  و Capex  براساس بودجه</t>
  </si>
  <si>
    <t>تهیه گزارش سود و زیان به تفکیک شرکت و گروه محصول و مقایسه با بودجه مصوب 1403</t>
  </si>
  <si>
    <t>ارسال گزارش نوسانات فروش واقعی و بودجه به تفکیک کالا</t>
  </si>
  <si>
    <t xml:space="preserve">ارسال گزارش آنالیز تولید و فروش به تفکیک کالا  به صورت هفتگی </t>
  </si>
  <si>
    <t>عدم وجود چک وصول نشده بیش از یک هفته</t>
  </si>
  <si>
    <t>كارشناس سیستم ها و روش ها</t>
  </si>
  <si>
    <t>رسا عصاره مستقیم</t>
  </si>
  <si>
    <t>QMS</t>
  </si>
  <si>
    <t>حسابرسی آیین نامه های ابلاغی واحد HR</t>
  </si>
  <si>
    <t xml:space="preserve">تهیه و تدوین آئین نامه ها روش های اجرایی و فرم های واحد تعمیر و نگهداری </t>
  </si>
  <si>
    <t xml:space="preserve">تهیه و تدوین آئین نامه ها روش های اجرایی و فرم های واحد تولید </t>
  </si>
  <si>
    <t xml:space="preserve">تهیه و تدوین آئین نامه ها روش های اجرایی و فرم های واحد کنترل کیفیت </t>
  </si>
  <si>
    <t>تهیه و تدوین آئین نامه ها روش های اجرایی و فرم های واحد IT</t>
  </si>
  <si>
    <t xml:space="preserve">تهیه و تدوین آیین نامه ها روش های اجرایی و فرم های واحد مالی  </t>
  </si>
  <si>
    <t xml:space="preserve">تهیه و تدوین آیین نامه ها روش های اجرایی و فرم های واحد HSE </t>
  </si>
  <si>
    <t>ابلاغ و پیگیری SOP های تصویب شده از طرف مدیریت عامل</t>
  </si>
  <si>
    <t>ماهنوش مکوندی</t>
  </si>
  <si>
    <t>محمود حسینی</t>
  </si>
  <si>
    <t>معاونت برنامه ریزی و لجستیک</t>
  </si>
  <si>
    <t>برنامه ریزی</t>
  </si>
  <si>
    <t>Slow moving and dead moving Melamine stock management ( Make it Zero)</t>
  </si>
  <si>
    <t>مدیریت موجودی محصولات ملامینه بدون گردش و کم گردش</t>
  </si>
  <si>
    <t>کنترل سطح موجودی محصولات ملامینه کم گردش در بازه 3 ماه ( به صفر رساندن موجودی حال حاضر)</t>
  </si>
  <si>
    <t>Slow moving and dead moving Hi Gloss stock management (Make it ZERO)</t>
  </si>
  <si>
    <t>مدیریت موجودی محصولات هایگلاس بدون گردش و کم گردش</t>
  </si>
  <si>
    <t>کنترل سطح موجودی محصولات هایگلاس کم گردش در بازه 3 ماه ( به صفر رساندن موجودی حال حاضر)</t>
  </si>
  <si>
    <t>Slow moving and dead moving HPM  stock management (Make it zero)</t>
  </si>
  <si>
    <t>مدیریت موجودی محصولات صفحه بدون گردش و کم گردش</t>
  </si>
  <si>
    <t xml:space="preserve">%95 Paper Fullfilment of MTS Melamile Demand </t>
  </si>
  <si>
    <t xml:space="preserve">تحقق %95 تقاضای محصولات پر فروش ملامینه بجز </t>
  </si>
  <si>
    <t>کنترل سطح موجودی مناسب کاغذ ملامینه محصولات پر فروش به شرط خرید طبق سفارشات برنامه ریزی</t>
  </si>
  <si>
    <t xml:space="preserve">%95 Paper Fullfilment of MTS B2B Demand </t>
  </si>
  <si>
    <t>تحقق %95 تقاضای محصولات پر فروش صفحه</t>
  </si>
  <si>
    <t xml:space="preserve">%86 PVC Fullfilment of MTS Hi Gloss Demand </t>
  </si>
  <si>
    <t>تحقق %86 تقاضای محصولات پر فروش هایگلاس</t>
  </si>
  <si>
    <t>کنترل سطح موجودی مناسب پوشش هایگلاس محصولات پر فروش به شرط خرید طبق سفارشات برنامه ریزی</t>
  </si>
  <si>
    <t>Melamine FG DOH management</t>
  </si>
  <si>
    <t>مدیریت سطح موجودی محصولات ملامینه</t>
  </si>
  <si>
    <t>کنترل سطح موجودی محصولات ملامینه براساس Classification توافق شده</t>
  </si>
  <si>
    <t>HG Gloss FG DOH management</t>
  </si>
  <si>
    <t>مدیریت سطح موجودی محصولات هایگلاس</t>
  </si>
  <si>
    <t>کنترل سطح موجودی محصولات هایگلاس براساس Classification توافق شده</t>
  </si>
  <si>
    <t>15 days average delivery time for MTO melamine items</t>
  </si>
  <si>
    <t>میانگین زمان تحویل محصولات MTO ملامینه</t>
  </si>
  <si>
    <t>مدیریت میانگین زمان تحویل محصولات ملامینه MTO</t>
  </si>
  <si>
    <t>Establish of S&amp;OP Process</t>
  </si>
  <si>
    <t>استقرار فرایندهای هماهنگی بین فروش و زنجیره تامین</t>
  </si>
  <si>
    <t>ایجاد هماهنگی بین تیمهای برنامه ریزی ، تامین، فروش و لجستیک</t>
  </si>
  <si>
    <t>Demand Planning Process</t>
  </si>
  <si>
    <t>کنترل تقاضای ماهانه فروش</t>
  </si>
  <si>
    <t>کنترل تقاضای ماهانه ، فروش واقعی</t>
  </si>
  <si>
    <t>Min logistic Delivery Cost Model</t>
  </si>
  <si>
    <t xml:space="preserve">تهیه مدل لجستیک با حداقل هزینه </t>
  </si>
  <si>
    <t>کنترل هزینه جابجایی مواد نیمه ساخته و محصول</t>
  </si>
  <si>
    <t>WH process Monitoring and feedback</t>
  </si>
  <si>
    <t>مرور فرآیندهای انبار و ارائه راهکار</t>
  </si>
  <si>
    <t>بررسی فرآیندهای انبار</t>
  </si>
  <si>
    <t>WH Capacity Utilization</t>
  </si>
  <si>
    <t>بهینه سازی فضای انبار</t>
  </si>
  <si>
    <t>استفاده بهینه از فضای انبار</t>
  </si>
  <si>
    <t>OC Finalization / Duties Matrix</t>
  </si>
  <si>
    <t>چارت سازمانی و ماتریس مسئولیتها</t>
  </si>
  <si>
    <t>نهایی سازی چارت سازمانی برنامه ریزی ؛ لجستیک و انبار و ماتریس وظایف</t>
  </si>
  <si>
    <t>شهریار متاعی</t>
  </si>
  <si>
    <t>مدیر برنامه ریزی تقاضا</t>
  </si>
  <si>
    <t>کنترل سطح موجودی محصولات ملامینه براساس Classification توافق شده -  Days</t>
  </si>
  <si>
    <t>کنترل سطح موجودی محصولات هایگلاس براساس Classification توافق شده -  Days</t>
  </si>
  <si>
    <t>مدیریت میانگین زمان تحویل محصولات ملامینه MTO - تارگت  Days</t>
  </si>
  <si>
    <t>مریم نژادحسینیان</t>
  </si>
  <si>
    <t>کارشناس تامین RM</t>
  </si>
  <si>
    <t>MDF &amp; IMP Replenishment Plan (Production Plan)</t>
  </si>
  <si>
    <t>Run MRP and Generate PRs</t>
  </si>
  <si>
    <t>Material Consumption Review</t>
  </si>
  <si>
    <t>ROP for inter-company material &amp; Zero RM OOS per Factory</t>
  </si>
  <si>
    <t>Accurate and Ontime Report</t>
  </si>
  <si>
    <t>سجاد عرب ستاوی</t>
  </si>
  <si>
    <t>کارشناس گزارش گیری و تجزیه و تحلیل داده</t>
  </si>
  <si>
    <t>داشبورد سازی و مانیتورینگ کردن لجستیک</t>
  </si>
  <si>
    <t>داشبورد سازی و مانیتورینگ کردن تولید و فروش</t>
  </si>
  <si>
    <t>دقت و به موقع بودن گزارشات ارسالی (بدون خطا و سر وقت)</t>
  </si>
  <si>
    <t>میلاد افشارنیا</t>
  </si>
  <si>
    <t>کارشناس برنامه ریزی</t>
  </si>
  <si>
    <t>کنترل برنامه تولید روزانه و تولید محصولات مطابق برنامه داده شده به هر خط</t>
  </si>
  <si>
    <t>آنالیز و ارسال گزارش تولید برای واحد مالی (مطابق رسید های ثبت شده در انبارها)</t>
  </si>
  <si>
    <t>پیگیری میزان تولید خطوط تولید و utiliz بودن خطوط مطابق ظرفیت تعیین شده در هر خط</t>
  </si>
  <si>
    <t>محمد محمود زاده</t>
  </si>
  <si>
    <t>1. تحویل فایل MSA به آقای افشارنیا</t>
  </si>
  <si>
    <t>2. کنترل موجودی محصول (بدون OOS و Slow Mover )</t>
  </si>
  <si>
    <t>3. ارائه فیدبک به موقع برای درخواستهای خارج از برنامه</t>
  </si>
  <si>
    <t>فریبا جولائی</t>
  </si>
  <si>
    <t>1-	تجزیه ، تحلیل و کنترل پیش بینی فروش</t>
  </si>
  <si>
    <t>Jayanta Bhowmik</t>
  </si>
  <si>
    <t>معاون فناوری اطلاعات</t>
  </si>
  <si>
    <t>Rahim Hamdani</t>
  </si>
  <si>
    <t>System Downtime</t>
  </si>
  <si>
    <t>System Availability</t>
  </si>
  <si>
    <t>Internet &amp; Network performance</t>
  </si>
  <si>
    <t>Average rate for satisfaction survey for whole team</t>
  </si>
  <si>
    <t>Change Management and All IT Project Governance – Identification and drive open issues and project topics towards resolution (Drive Steering Committee, Weekly Project Reviews and chase Teams for open issue closure)</t>
  </si>
  <si>
    <t>UPS Upgrade for Tehran Current &amp; New office</t>
  </si>
  <si>
    <t>TKF CCTV Deployment Initiation with 25% progress in deployment.</t>
  </si>
  <si>
    <t>SAP Production Servers &amp; Storage Deployment</t>
  </si>
  <si>
    <t>SAP Server Backup Infrastructure Deployment</t>
  </si>
  <si>
    <t>SAP HCM (HR) Go Live</t>
  </si>
  <si>
    <t>SAP S/4 Hana Testing and Training completion</t>
  </si>
  <si>
    <t>CRM Project Implementation - Contract and project initiation, Application/Database Server architecture readiness, Customer portal, integration with messaging platforms by end of Q3.</t>
  </si>
  <si>
    <t>Process improvement in TKF warehouses (wood yard and chemical plants goods issue) to bring in accuracy in costing.</t>
  </si>
  <si>
    <t>Develop Integrated Dashboard to have the landing page of all functional dashboards and link to open specific dashboards ( To the extent data available in Namad)</t>
  </si>
  <si>
    <t>Dubai SAP S/4 Hana Project implementation - License acquisition, contract signing and completion of requirement gathering, finalization of SOW.</t>
  </si>
  <si>
    <t>Mohammad Hossein Jafarimalek</t>
  </si>
  <si>
    <t>مدیر ارشد فناوری اطلاعات</t>
  </si>
  <si>
    <t xml:space="preserve">Namad,Automation,Email, BI downtime 24/7/365 </t>
  </si>
  <si>
    <t xml:space="preserve">Namad,Automation,Email, BI availability 24/7/365 </t>
  </si>
  <si>
    <t>Intra company network performance</t>
  </si>
  <si>
    <t>latency &lt;= 1 ms
Packet loss &lt;=1%
DMVPN Uptime &gt;= 99.9%
WiFi Latency to Access Internet &gt;99.9</t>
  </si>
  <si>
    <t>Internet uptime across all companies</t>
  </si>
  <si>
    <t xml:space="preserve">
Internet Uptime &gt;= 99.9%</t>
  </si>
  <si>
    <t>out of scale 5</t>
  </si>
  <si>
    <t>grooming of team member and SAP dashoard and fiori skill upgrade</t>
  </si>
  <si>
    <t>if Erfan &amp; Hamzeh achieve their SAP skill upgrade Jafarimalek achieves this</t>
  </si>
  <si>
    <t>TKF CCTV Deploy Initiation with 25% progress</t>
  </si>
  <si>
    <t>If contract and payment done by End of Mehr</t>
  </si>
  <si>
    <t xml:space="preserve">UPS Upgrade for TEH [Current and New office] </t>
  </si>
  <si>
    <t>SAP Server Backup Infrastructure</t>
  </si>
  <si>
    <t>Create a system for sales and production targets to be registered by end of Aban</t>
  </si>
  <si>
    <t>Develop Integrated Dashboard to have all departments dashboard including a landing page to the extent that data available in Namad</t>
  </si>
  <si>
    <t>a landing integrated dashboard for accumulating data from all departments dashbaord</t>
  </si>
  <si>
    <t>implementation of CRM DB and application servers alongside Customer Service Portal and integration with messaging platforms</t>
  </si>
  <si>
    <t>If contract is done by 24Mehr</t>
  </si>
  <si>
    <t>Mohammad Mohammadifar</t>
  </si>
  <si>
    <t>كارشناس فناوری اطلاعات</t>
  </si>
  <si>
    <t>% of closed tickets / open tickets</t>
  </si>
  <si>
    <t>all basis tickets to be closed within SLA independently without help</t>
  </si>
  <si>
    <t>Develop BASIS capability to be able to do basic day to day user, roll, authorization management activities in SAP</t>
  </si>
  <si>
    <t>Mentor and ensure IT Expert productivity at 100%</t>
  </si>
  <si>
    <t>all assignments should be completed dutring the Q3</t>
  </si>
  <si>
    <t>Erfan Kiaei</t>
  </si>
  <si>
    <t>مدیر نرم افزار و BI</t>
  </si>
  <si>
    <t>برای آقای عرفان کیائی 6198 - میانگین KPI واحد های IT و SAP درج خواهد شد</t>
  </si>
  <si>
    <t>MIS systems Backup success rate</t>
  </si>
  <si>
    <t>Mentor and ensure BI Expert productivity at 100%</t>
  </si>
  <si>
    <t>all assignments to BI Expert should be completed dutring the Q3</t>
  </si>
  <si>
    <t>Connect PBI HR Dashboards to SAP</t>
  </si>
  <si>
    <t>Deliver new PBI dashboards assignments</t>
  </si>
  <si>
    <t>Hamzeh Taffakh</t>
  </si>
  <si>
    <t>SAP ABAP Skill development including CDSView</t>
  </si>
  <si>
    <t>at least 4-5 reports in ABAP in Q3</t>
  </si>
  <si>
    <t>SAP Fiori Skill upgrade</t>
  </si>
  <si>
    <t>Successfully design and deploy at least one working SAP Fiori custom app (e.g., a simple employee leave request or inventory tracking app) in the test environment, and document the process in a step-by-step guide.</t>
  </si>
  <si>
    <t>Diana Naghavi</t>
  </si>
  <si>
    <t>BI Expert</t>
  </si>
  <si>
    <t xml:space="preserve">Improve sales and production dashboard UI/UX </t>
  </si>
  <si>
    <t>Saeid Eghlidi</t>
  </si>
  <si>
    <t>مدیر سخت افزار و زیر ساخت</t>
  </si>
  <si>
    <t>Network Backup Success Rate</t>
  </si>
  <si>
    <t>TKF CCTV Deploy Initiation with 50% progress</t>
  </si>
  <si>
    <t>شروع پروژه مداربسته و راه اندازی NVRها و تکمیل تصاویر دوربینهای فعلی و پیشرفت پروژه تا 50%</t>
  </si>
  <si>
    <t>Design HQ new office infrastructure</t>
  </si>
  <si>
    <t xml:space="preserve"> HQ new office implement network</t>
  </si>
  <si>
    <t>Network Expansion for TKF (Energy Plant, Sandblast, Transfer room and chipper rack)</t>
  </si>
  <si>
    <t>Mehdi Porkhandeh</t>
  </si>
  <si>
    <t>کارشناس سخت افزار</t>
  </si>
  <si>
    <t>in hours</t>
  </si>
  <si>
    <t>Babak Sakhaei</t>
  </si>
  <si>
    <t>Mohsen Emami</t>
  </si>
  <si>
    <t>کارشناس سخت افزار و شبکه</t>
  </si>
  <si>
    <t>Siavash Saleh Kashi</t>
  </si>
  <si>
    <t>SAP</t>
  </si>
  <si>
    <t>Master Data Management – Finalizing at least 60% of the critical master data in the MMPU, MMLE, PP, DMS, PM modules and other areas where master data already exists in the Namad system.</t>
  </si>
  <si>
    <t>مدیریت داده های اساسی - نهایی سازی حداقل 60% از داده های اساسی Critical در ماژول های MMPU, MMLE, PP, DMS, PM و سایر حوزه هایی که Master Data آنها در سیستم نماد موجود است.</t>
  </si>
  <si>
    <t>SAP Training – Gaining knowledge of concepts, master data, and processes in SAP in order to establish better integration between the Namad system and SAP, and ensure consistency across modules, particularly in MMPU, MMLE, PP, DMS, PM.</t>
  </si>
  <si>
    <t>آموزش SAP - شناخت مفاهیم، داده های اساسی و فرآیندها در SAP به منظور برقراری بهتر ارتباط بین سیستم نماد و سپ و یکپارچگی بین ماژول ها به ویژه در ماژول های MMPU, MMLE, PP, DMS, PM</t>
  </si>
  <si>
    <t>SAP Training and Testing – Attending training sessions to become proficient in SAP and capable of supporting the system after go-live, especially in the MMPU, MMLE, PP, DMS, PM modules.</t>
  </si>
  <si>
    <t>آموزش و تست SAP - حضور در جلسات آموزش جهت تسلط به کار با SAP و توانایی پشتیبانی سیستم بعد از لایو به ویژه در ماژول های MMPU, MMLE, PP, DMS, PM</t>
  </si>
  <si>
    <t>Process and Integration Management – Reviewing and analyzing blueprint documentation across all modules, with a special focus on MMPU, MMLE, PP, DMS, PM.</t>
  </si>
  <si>
    <t>مدیریت فرآیندها و یکپارچگی - مطالعه، بررسی مستندات بلوپرینت  همه ماژول ها به ویژه ماژول های MMPU, MMLE, PP, DMS, PM</t>
  </si>
  <si>
    <t>Knowledge Management, Research and Development – Gaining proficiency in the system and continuously executing different test scenarios, particularly in the MMPU, MMLE, PP, DMS, PM modules.</t>
  </si>
  <si>
    <t>مدیریت دانش و توسعه و تحقیق - تسلط به کار با سیستم و انجام مستمر سناریو تست های متفاوت به ویژه در ماژول های MMPU, MMLE, PP, DMS, PM</t>
  </si>
  <si>
    <t>Completion of Training Phase – Completing the Training phase and achieving 40% progress in the Test phase of the SAP implementation project.</t>
  </si>
  <si>
    <t>اتمام فاز Training (آموزش) و پیشرفت 40% از فاز Test (تست) پروژه پیاده سازی SAP</t>
  </si>
  <si>
    <t>Create and publish at least one existing Power BI dashboard inside SAP Fiori Launchpad as a Analytics App, with proper connection and role-based access, and document the step-by-step process for future reuse.</t>
  </si>
  <si>
    <t>SAP Fiori Skill upgrade and move PBI dashboards to Fiori</t>
  </si>
  <si>
    <t>Iman Safikhani</t>
  </si>
  <si>
    <t>كارشناس فن آوری اطلاعات</t>
  </si>
  <si>
    <t>Hadi Sorkheh</t>
  </si>
  <si>
    <t>Mohammad Mohammadi</t>
  </si>
  <si>
    <t>سیاوش صالح</t>
  </si>
  <si>
    <t>مدیر پروژه SAP</t>
  </si>
  <si>
    <r>
      <t>Infrastructure and Technical Management</t>
    </r>
    <r>
      <rPr>
        <sz val="8"/>
        <color rgb="FF000000"/>
        <rFont val="B Nazanin"/>
        <charset val="178"/>
      </rPr>
      <t xml:space="preserve"> – Follow-up on installation and finalization of the Production system and preparation for HR Go-Live.</t>
    </r>
  </si>
  <si>
    <t>مدیریت زیرساخت و فنی - پیگیری نصب و نهایی سازی سیستم Production و آماده سازی جهت لایو HR</t>
  </si>
  <si>
    <r>
      <t>Master Data Management</t>
    </r>
    <r>
      <rPr>
        <sz val="8"/>
        <color rgb="FF000000"/>
        <rFont val="B Nazanin"/>
        <charset val="178"/>
      </rPr>
      <t xml:space="preserve"> – Finalization of at least 50% of the critical master data of the project in SAP templates.</t>
    </r>
  </si>
  <si>
    <t>مدیریت داده های اساسی - نهایی سازی حداقل 50% از داده های اساسی Critical پروژه در Template های SAP</t>
  </si>
  <si>
    <r>
      <t>Change Management and Project Governance</t>
    </r>
    <r>
      <rPr>
        <sz val="8"/>
        <color rgb="FF000000"/>
        <rFont val="B Nazanin"/>
        <charset val="178"/>
      </rPr>
      <t xml:space="preserve"> – Identification of open issues and project topics, and follow-up for resolution (Steering Committee, management decisions, weekly meetings, etc.)</t>
    </r>
  </si>
  <si>
    <t>مدیریت تغییر و راهبری پروژه - شناسایی مشکلات و موضوعات باز پروژه و پیگیری جهت حل این موارد (کمیته راهبری، تصمیمات مدیریتی، جلسات هفتگی و ...)</t>
  </si>
  <si>
    <r>
      <t>Integration Testing</t>
    </r>
    <r>
      <rPr>
        <sz val="8"/>
        <color rgb="FF000000"/>
        <rFont val="B Nazanin"/>
        <charset val="178"/>
      </rPr>
      <t xml:space="preserve"> – Preparation of a complete list of processes that must be tested with real data in the system.</t>
    </r>
  </si>
  <si>
    <t>تست یکپارچگی  - تهیه لیست تمام فرآیندهایی که می بایست با داده های واقعی در سیستم تست شوند</t>
  </si>
  <si>
    <r>
      <t>Integration Testing</t>
    </r>
    <r>
      <rPr>
        <sz val="8"/>
        <color rgb="FF000000"/>
        <rFont val="B Nazanin"/>
        <charset val="178"/>
      </rPr>
      <t xml:space="preserve"> – Preparation of integration test scenarios in all modules with the support of Sameh Ara team.</t>
    </r>
  </si>
  <si>
    <t>تست یکپارچگی  - تهیه سناریو های تست یکپارچگی در همه ماژول ها با کمک تیم سامه آرا</t>
  </si>
  <si>
    <r>
      <t>Integration Testing</t>
    </r>
    <r>
      <rPr>
        <sz val="8"/>
        <color rgb="FF000000"/>
        <rFont val="B Nazanin"/>
        <charset val="178"/>
      </rPr>
      <t xml:space="preserve"> – Planning and execution of at least 50% of integration test sessions across all modules.</t>
    </r>
  </si>
  <si>
    <t>تست یکپارچگی  - برنامه ریزی و برگزاری حداقل 50% جلسات تست یکپارچگی در همه ماژول ها</t>
  </si>
  <si>
    <r>
      <t>Training Management</t>
    </r>
    <r>
      <rPr>
        <sz val="8"/>
        <color rgb="FF000000"/>
        <rFont val="B Nazanin"/>
        <charset val="178"/>
      </rPr>
      <t xml:space="preserve"> – Planning and supervision of training sessions in collaboration with all departments. Customize focussed trainings for all the different subgroups within a module.</t>
    </r>
  </si>
  <si>
    <t>مدیریت آموزش - برنامه ریزی و نظارت بر آموزش ها در تعامل به همه واحدهای سازمان. مدیریت و تفکیک جلسات آموزشی به گروه های گوچک تر و تخصصی تر از کاربران کلیدی</t>
  </si>
  <si>
    <r>
      <t>Project Management, Planning and Control</t>
    </r>
    <r>
      <rPr>
        <sz val="8"/>
        <color rgb="FF000000"/>
        <rFont val="B Nazanin"/>
        <charset val="178"/>
      </rPr>
      <t xml:space="preserve"> – Project management and Coordination with senior management and the SAP partner team, track and follow-up on the ongoing project activities, circulate project progress reports.</t>
    </r>
  </si>
  <si>
    <t>مدیریت پروژه، برنامه ریزی و کنترل - کدیریت پروژه و هماهنگی با مدیریت ارشد و تیم مشاور، پیگیری موضوعات جاری پروژه، تهیه و ارسال گزارش های پیشرفت</t>
  </si>
  <si>
    <r>
      <t>Cutover preparation</t>
    </r>
    <r>
      <rPr>
        <sz val="8"/>
        <color rgb="FF000000"/>
        <rFont val="B Nazanin"/>
        <charset val="178"/>
      </rPr>
      <t xml:space="preserve"> – Final preparation of data, authorizations, developments, and testing of HR modules prior to system Go-Live.</t>
    </r>
  </si>
  <si>
    <t>آماده سازی طرح انتقال به سیستم جدید - آماده سازی نهایی داده ها، دسترسی ها، توسعه ها و تست های ماژول های منابع انسانی  قبل از لایو</t>
  </si>
  <si>
    <r>
      <t xml:space="preserve">Team Member's Functional Competency Improvement </t>
    </r>
    <r>
      <rPr>
        <sz val="8"/>
        <color rgb="FF000000"/>
        <rFont val="B Nazanin"/>
        <charset val="178"/>
      </rPr>
      <t>- Upgrade their functional knowledge to consulting Level</t>
    </r>
  </si>
  <si>
    <t>ارتقای توانایی های مشاوره اعضای تیم - به روزرسانی دانش فنی اعضای تیم به سطح مشاور</t>
  </si>
  <si>
    <r>
      <t>Process and Integration Management</t>
    </r>
    <r>
      <rPr>
        <sz val="8"/>
        <color rgb="FF000000"/>
        <rFont val="B Nazanin"/>
        <charset val="178"/>
      </rPr>
      <t xml:space="preserve"> – Review, approval, and monitoring of developments in the system.</t>
    </r>
  </si>
  <si>
    <t>مدیریت فرآیندها و یکپارچگی - بررسی، تائید و نظارت بر انجام development ها در سیستم</t>
  </si>
  <si>
    <r>
      <t>Completion of Training Phase</t>
    </r>
    <r>
      <rPr>
        <sz val="8"/>
        <color theme="1"/>
        <rFont val="B Nazanin"/>
        <charset val="178"/>
      </rPr>
      <t xml:space="preserve"> – Completion of the Training phase and achieving 40% progress in the Testing phase of the SAP implementation project.</t>
    </r>
  </si>
  <si>
    <r>
      <t>Completion of HCM Implementation Phases</t>
    </r>
    <r>
      <rPr>
        <sz val="8"/>
        <color theme="1"/>
        <rFont val="B Nazanin"/>
        <charset val="178"/>
      </rPr>
      <t xml:space="preserve"> – Completion of all HCM module implementation phases for Go-Live on 1404-10-01.</t>
    </r>
  </si>
  <si>
    <t>تکمیل تمام فازهای پیاده سازی ماژول های HCM جهت انجام Live در تاریخ 1404-10-01</t>
  </si>
  <si>
    <t>Process improvement in warehouses (wood yard and chemical plants goods issue)</t>
  </si>
  <si>
    <t>بهبود فرآیندهای انبار (مصارف خطوط تولید چیپر و شیمیایی)</t>
  </si>
  <si>
    <t>CRM Project Initiation, Detail Scope Finalization, Completion of Architecture Readiness, Customer Service Module and Integration with Messaging Platforms</t>
  </si>
  <si>
    <t>آغاز پروژه CRM، نهایی سازی محدوده، تکمیل آماده سازی معماری سیستم، ماژول خدمات مشتریان و یکپارچه سازی با سیستم پیام رسان</t>
  </si>
  <si>
    <r>
      <rPr>
        <b/>
        <sz val="8"/>
        <color theme="1"/>
        <rFont val="B Nazanin"/>
        <charset val="178"/>
      </rPr>
      <t>Dubai SAP S/4HANA -</t>
    </r>
    <r>
      <rPr>
        <sz val="8"/>
        <color theme="1"/>
        <rFont val="B Nazanin"/>
        <charset val="178"/>
      </rPr>
      <t xml:space="preserve"> Completion of the Explore phase and Initiate the Realize phase.</t>
    </r>
  </si>
  <si>
    <t>پروژه SAP S/4HANA شرکت های دبی - تکمیل فاز Explore و آغاز فاز Realize</t>
  </si>
  <si>
    <t>جواد بیات</t>
  </si>
  <si>
    <t>سرپرست حوزه مالی و فروش SAP</t>
  </si>
  <si>
    <t>سیاوش صالح کاشی</t>
  </si>
  <si>
    <r>
      <t>Training Management</t>
    </r>
    <r>
      <rPr>
        <sz val="8"/>
        <color theme="1"/>
        <rFont val="B Nazanin"/>
        <charset val="178"/>
      </rPr>
      <t xml:space="preserve"> – Manage and monitor the quality of Realize–Training phase sessions in the FI, CO, BPC, SDLE, and FSCM modules.</t>
    </r>
  </si>
  <si>
    <t>مدیریت آموزش - مدیریت و نظارت کیفی بر جلسات آموزشی فاز Realize-Training در ماژول های FI, CO, BPC, SDLE, FSCM</t>
  </si>
  <si>
    <r>
      <t>Training Management</t>
    </r>
    <r>
      <rPr>
        <sz val="8"/>
        <color theme="1"/>
        <rFont val="B Nazanin"/>
        <charset val="178"/>
      </rPr>
      <t xml:space="preserve"> – Plan and conduct conceptual and functional trainings to ensure SAP team members gain proficiency in the system.</t>
    </r>
  </si>
  <si>
    <t>مدیریت آموزش  - برنامه ریزی و برگزاری آموزش های مفهومی و کاربری جهت تسلط اعضای تیم SAP به سیستم</t>
  </si>
  <si>
    <r>
      <t>Training Management</t>
    </r>
    <r>
      <rPr>
        <sz val="8"/>
        <color theme="1"/>
        <rFont val="B Nazanin"/>
        <charset val="178"/>
      </rPr>
      <t xml:space="preserve"> – Supervise the preparation of training documents and videos for FI, CO, BPC, SDLE, and FSCM modules and ensure accessibility of the files for key users.</t>
    </r>
  </si>
  <si>
    <t xml:space="preserve">مدیریت آموزش - نظارت بر تهیه اسناد و فیلم های آموزشی ماژول های FI, CO, BPC, SDLE, FSCM و اطمینان از در دسترس بودن فایلها برای کاربران کلیدی </t>
  </si>
  <si>
    <r>
      <t>Internal Training</t>
    </r>
    <r>
      <rPr>
        <sz val="8"/>
        <color theme="1"/>
        <rFont val="B Nazanin"/>
        <charset val="178"/>
      </rPr>
      <t xml:space="preserve"> – Deliver internal SAP trainings in the FI, CO, BPC, SDLE, and FSCM modules to strengthen key users’ expertise and enable more effective process testing.</t>
    </r>
  </si>
  <si>
    <t>آموزش داخلی - برگزاری آموزش های داخلی SAP در ماژول های  FI, CO, BPC, SDLE, FSCM به منظور تسلط بیشتر کاربران کلیدی و تست بهتر فرآیندهای جاری سازمان</t>
  </si>
  <si>
    <r>
      <t>Master Data Management</t>
    </r>
    <r>
      <rPr>
        <sz val="8"/>
        <color theme="1"/>
        <rFont val="B Nazanin"/>
        <charset val="178"/>
      </rPr>
      <t xml:space="preserve"> – Finalize at least 60% of the critical master data in the FI, CO, BPC, SDLE, and FSCM modules within SAP templates.</t>
    </r>
  </si>
  <si>
    <t>مدیریت داده های اساسی - نهایی سازی حداقل 60% از داده های اساسی Critical در ماژول های FI, CO, BPC, SDLE, FSCM در Template های SAP</t>
  </si>
  <si>
    <r>
      <t>Integration Testing</t>
    </r>
    <r>
      <rPr>
        <sz val="8"/>
        <color theme="1"/>
        <rFont val="B Nazanin"/>
        <charset val="178"/>
      </rPr>
      <t xml:space="preserve"> – Prepare a list of all processes in the FI, CO, BPC, SDLE, and FSCM modules that must be tested with real data in the system.</t>
    </r>
  </si>
  <si>
    <t>تست یکپارچگی  - تهیه لیست تمام فرآیندهایی که می بایست با داده های واقعی ماژول های FI, CO, BPC, SDLE, FSCM در سیستم تست شوند</t>
  </si>
  <si>
    <r>
      <t>Integration Testing</t>
    </r>
    <r>
      <rPr>
        <sz val="8"/>
        <color theme="1"/>
        <rFont val="B Nazanin"/>
        <charset val="178"/>
      </rPr>
      <t xml:space="preserve"> – Develop integration test scenarios in the FI, CO, BPC, SDLE, and FSCM modules with support from the Sameh Ara team.</t>
    </r>
  </si>
  <si>
    <t>تست یکپارچگی  - تهیه سناریو های تست یکپارچگی در ماژول های FI, CO, BPC, SDLE, FSCM با کمک تیم سامه آرا</t>
  </si>
  <si>
    <r>
      <t>Process and Integration Management</t>
    </r>
    <r>
      <rPr>
        <sz val="8"/>
        <color theme="1"/>
        <rFont val="B Nazanin"/>
        <charset val="178"/>
      </rPr>
      <t xml:space="preserve"> – Review and follow up on key decisions, update blueprints in the FI, CO, BPC, SDLE, and FSCM modules, and ensure approved changes are implemented in the system by consultants.</t>
    </r>
  </si>
  <si>
    <t xml:space="preserve">مدیریت فرآیندها و یکپارچگی  - مرور و پیگیری تصمیمات کلیدی و به روز رسانی بلوپرینت ها در ماژول های FI, CO, BPC, SDLE, FSCM و پیگیری جهت اعمال تغییرات مصوب در سیستم توسط مشاورین </t>
  </si>
  <si>
    <r>
      <t>Process and Integration Management</t>
    </r>
    <r>
      <rPr>
        <sz val="8"/>
        <color theme="1"/>
        <rFont val="B Nazanin"/>
        <charset val="178"/>
      </rPr>
      <t xml:space="preserve"> – Review, follow up, and monitor the execution of developments in the FI, CO, BPC, SDLE, and FSCM modules.</t>
    </r>
  </si>
  <si>
    <t>مدیریت فرآیندها و یکپارچگی - بررسی، پیگیری و نظارت بر انجام development ها در ماژول های FI, CO, BPC, SDLE, FSCM</t>
  </si>
  <si>
    <r>
      <t>Project Management</t>
    </r>
    <r>
      <rPr>
        <sz val="8"/>
        <color theme="1"/>
        <rFont val="B Nazanin"/>
        <charset val="178"/>
      </rPr>
      <t xml:space="preserve"> – Maintain regular presence in Khuzestan.</t>
    </r>
  </si>
  <si>
    <t xml:space="preserve">مدیریت پروژه - حضور منظم در خوزستان </t>
  </si>
  <si>
    <r>
      <t>Task Management</t>
    </r>
    <r>
      <rPr>
        <sz val="8"/>
        <color theme="1"/>
        <rFont val="B Nazanin"/>
        <charset val="178"/>
      </rPr>
      <t xml:space="preserve"> – Continuously monitor and follow up on the status of tasks until completion in the FI, CO, BPC, SDLE, and FSCM modules, ensure system-based notifications, and update Jira accordingly.</t>
    </r>
  </si>
  <si>
    <t>مدیریت Tasks - بررسی و پیگیری مستمر وضعیت تسک ها تا حصول نتیجه در ماژول های FI, CO, BPC, SDLE, FSCM و اطلاع رسانی سیستمی و به روزرسانی جیرا در حوزه ماژول های مذکور</t>
  </si>
  <si>
    <r>
      <t xml:space="preserve">Functional Competency Improvement </t>
    </r>
    <r>
      <rPr>
        <sz val="8"/>
        <color theme="1"/>
        <rFont val="B Nazanin"/>
        <charset val="178"/>
      </rPr>
      <t>- Upgrade Functional Knowledge to Consultant Level (Customizing and Database Tables in related Modules)</t>
    </r>
  </si>
  <si>
    <t>ارتقای توانایی های مشاوره - به روزرسانی دانش فنی اعضای تیم به سطح مشاور (شناخت Customizing و جداول DB در ماژول های مرتبط)</t>
  </si>
  <si>
    <r>
      <t>Knowledge Management, Development, and Research</t>
    </r>
    <r>
      <rPr>
        <sz val="8"/>
        <color theme="1"/>
        <rFont val="B Nazanin"/>
        <charset val="178"/>
      </rPr>
      <t xml:space="preserve"> – Gain in-depth expertise in the system and continuously execute various test scenarios in the FI, CO, BPC, SDLE, and FSCM modules.</t>
    </r>
  </si>
  <si>
    <t>مدیریت دانش و توسعه و تحقیق - تسلط به کار با سیستم و انجام مستمر سناریو تست های متفاوت ماژول های  FI, CO, BPC, SDLE, FSCM</t>
  </si>
  <si>
    <r>
      <t>Knowledge Management, Development, and Research</t>
    </r>
    <r>
      <rPr>
        <sz val="8"/>
        <color theme="1"/>
        <rFont val="B Nazanin"/>
        <charset val="178"/>
      </rPr>
      <t xml:space="preserve"> – Study and explore new SAP capabilities, processes, and applications.</t>
    </r>
  </si>
  <si>
    <t xml:space="preserve">مدیریت دانش و توسعه و تحقیق - مطالعه و بررسی قابلیت ها، فرآیندها و Application های جدید SAP </t>
  </si>
  <si>
    <r>
      <t xml:space="preserve">Completion of the </t>
    </r>
    <r>
      <rPr>
        <b/>
        <sz val="8"/>
        <color theme="1"/>
        <rFont val="B Nazanin"/>
        <charset val="178"/>
      </rPr>
      <t>Training Phase</t>
    </r>
    <r>
      <rPr>
        <sz val="8"/>
        <color theme="1"/>
        <rFont val="B Nazanin"/>
        <charset val="178"/>
      </rPr>
      <t xml:space="preserve"> and achievement of 40% progress in the </t>
    </r>
    <r>
      <rPr>
        <b/>
        <sz val="8"/>
        <color theme="1"/>
        <rFont val="B Nazanin"/>
        <charset val="178"/>
      </rPr>
      <t>Testing Phase</t>
    </r>
    <r>
      <rPr>
        <sz val="8"/>
        <color theme="1"/>
        <rFont val="B Nazanin"/>
        <charset val="178"/>
      </rPr>
      <t xml:space="preserve"> of the SAP implementation project.</t>
    </r>
  </si>
  <si>
    <t>Improvement of the Customizing and Functional Knowledge by 50% in Related Modules.</t>
  </si>
  <si>
    <t>ارتقای دانش Customizing و مشاوره به 50% در ماژول های مرتبط</t>
  </si>
  <si>
    <t>آرمین شلیل احمدی</t>
  </si>
  <si>
    <t>سرپرست منابع انسانی، تامین، HSEو انبار SAP</t>
  </si>
  <si>
    <r>
      <t>Training Management</t>
    </r>
    <r>
      <rPr>
        <sz val="8"/>
        <color theme="1"/>
        <rFont val="B Nazanin"/>
        <charset val="178"/>
      </rPr>
      <t xml:space="preserve"> – Manage and monitor the quality of Realize–Training phase sessions in the HCM, MMLE, MMPU, and EHS modules.</t>
    </r>
  </si>
  <si>
    <t>مدیریت آموزش - مدیریت و نظارت کیفی بر جلسات آموزشی فاز Realize-Training در ماژول های HCM, MMLE, MMPU, EHS</t>
  </si>
  <si>
    <r>
      <t>Training Management</t>
    </r>
    <r>
      <rPr>
        <sz val="8"/>
        <color theme="1"/>
        <rFont val="B Nazanin"/>
        <charset val="178"/>
      </rPr>
      <t xml:space="preserve"> – Supervise the preparation of training documents and videos for HCM, MMLE, MMPU, and EHS modules and ensure accessibility of the files for key users.</t>
    </r>
  </si>
  <si>
    <t xml:space="preserve">مدیریت آموزش - نظارت بر تهیه اسناد و فیلم های آموزشی ماژول های HCM, MMLE, MMPU, EHS و اطمینان از در دسترس بودن فایلها برای کاربران کلیدی </t>
  </si>
  <si>
    <r>
      <t>Internal Training</t>
    </r>
    <r>
      <rPr>
        <sz val="8"/>
        <color theme="1"/>
        <rFont val="B Nazanin"/>
        <charset val="178"/>
      </rPr>
      <t xml:space="preserve"> – Deliver internal SAP trainings in the HCM, MMLE, MMPU, and EHS modules to strengthen key users’ expertise and enable more effective process testing.</t>
    </r>
  </si>
  <si>
    <t>آموزش داخلی - برگزاری آموزش های داخلی SAP در ماژول های  HCM, MMLE, MMPU, EHS به منظور تسلط بیشتر کاربران کلیدی و تست بهتر فرآیندهای جاری سازمان</t>
  </si>
  <si>
    <r>
      <t>Master Data Management</t>
    </r>
    <r>
      <rPr>
        <sz val="8"/>
        <color theme="1"/>
        <rFont val="B Nazanin"/>
        <charset val="178"/>
      </rPr>
      <t xml:space="preserve"> – Finalize at least 50% of the critical master data in the HCM, MMLE, MMPU, and EHS modules within SAP templates.</t>
    </r>
  </si>
  <si>
    <t>مدیریت داده های اساسی - نهایی سازی حداقل 50% از داده های اساسی Critical در ماژول های HCM, MMLE, MMPU, EHS در Template های SAP</t>
  </si>
  <si>
    <r>
      <t>Integration Testing</t>
    </r>
    <r>
      <rPr>
        <sz val="8"/>
        <color theme="1"/>
        <rFont val="B Nazanin"/>
        <charset val="178"/>
      </rPr>
      <t xml:space="preserve"> – Prepare a list of all processes in the HCM, MMLE, MMPU, and EHS modules that must be tested with real data in the system.</t>
    </r>
  </si>
  <si>
    <t>تست یکپارچگی  - تهیه لیست تمام فرآیندهایی که می بایست با داده های واقعی ماژول های HCM, MMLE, MMPU, EHS در سیستم تست شوند</t>
  </si>
  <si>
    <r>
      <t>Integration Testing</t>
    </r>
    <r>
      <rPr>
        <sz val="8"/>
        <color theme="1"/>
        <rFont val="B Nazanin"/>
        <charset val="178"/>
      </rPr>
      <t xml:space="preserve"> – Develop integration test scenarios in the HCM, MMLE, MMPU, and EHS modules with support from the Sameh Ara team.</t>
    </r>
  </si>
  <si>
    <t>تست یکپارچگی  - تهیه سناریو های تست یکپارچگی در ماژول های HCM, MMLE, MMPU, EHS با کمک تیم سامه آرا</t>
  </si>
  <si>
    <r>
      <t>Process and Integration Management</t>
    </r>
    <r>
      <rPr>
        <sz val="8"/>
        <color theme="1"/>
        <rFont val="B Nazanin"/>
        <charset val="178"/>
      </rPr>
      <t xml:space="preserve"> – Review and follow up on key decisions, update blueprints in the HCM, MMLE, MMPU, and EHS modules, and ensure approved changes are implemented in the system by consultants.</t>
    </r>
  </si>
  <si>
    <t xml:space="preserve">مدیریت فرآیندها و یکپارچگی  - مرور و پیگیری تصمیمات کلیدی و به روز رسانی بلوپرینت ها در ماژول های HCM, MMLE, MMPU, EHS و پیگیری جهت اعمال تغییرات مصوب در سیستم توسط مشاورین </t>
  </si>
  <si>
    <r>
      <t>Process and Integration Management</t>
    </r>
    <r>
      <rPr>
        <sz val="8"/>
        <color theme="1"/>
        <rFont val="B Nazanin"/>
        <charset val="178"/>
      </rPr>
      <t xml:space="preserve"> – Review, follow up, and monitor the execution of developments in the HCM, MMLE, MMPU, and EHS modules.</t>
    </r>
  </si>
  <si>
    <t>مدیریت فرآیندها و یکپارچگی - بررسی، پیگیری و نظارت بر انجام development ها در ماژول های HCM, MMLE, MMPU, EHS</t>
  </si>
  <si>
    <r>
      <t>Project Management</t>
    </r>
    <r>
      <rPr>
        <sz val="8"/>
        <color theme="1"/>
        <rFont val="B Nazanin"/>
        <charset val="178"/>
      </rPr>
      <t xml:space="preserve"> – Finalize data, authorizations, developments, and testing for HR modules prior to system go-live.</t>
    </r>
  </si>
  <si>
    <t>مدیریت پروژه - آماده سازی نهایی داده ها، دسترسی ها، توسعه ها و تست های ماژول های HR پیش از لایو سیستم</t>
  </si>
  <si>
    <r>
      <t>Task Management</t>
    </r>
    <r>
      <rPr>
        <sz val="8"/>
        <color theme="1"/>
        <rFont val="B Nazanin"/>
        <charset val="178"/>
      </rPr>
      <t xml:space="preserve"> – Continuously monitor and follow up on the status of tasks until completion in the HCM, MMLE, MMPU, and EHS modules, ensure system-based notifications, and update Jira accordingly.</t>
    </r>
  </si>
  <si>
    <t>مدیریت Tasks - بررسی و پیگیری مستمر وضعیت تسک ها تا حصول نتیجه در ماژول های HCM, MMLE, MMPU, EHS و اطلاع رسانی سیستمی و به روزرسانی جیرا در حوزه ماژول های مذکور</t>
  </si>
  <si>
    <r>
      <t>Knowledge Management, Development, and Research</t>
    </r>
    <r>
      <rPr>
        <sz val="8"/>
        <color theme="1"/>
        <rFont val="B Nazanin"/>
        <charset val="178"/>
      </rPr>
      <t xml:space="preserve"> – Gain in-depth expertise in the system and continuously execute various test scenarios in the HCM, MMLE, MMPU, and EHS modules.</t>
    </r>
  </si>
  <si>
    <t>مدیریت دانش و توسعه و تحقیق - تسلط به کار با سیستم و انجام مستمر سناریو تست های متفاوت ماژول های  HCM, MMLE, MMPU, EHS</t>
  </si>
  <si>
    <r>
      <t xml:space="preserve">Completion of all implementation phases of the </t>
    </r>
    <r>
      <rPr>
        <b/>
        <sz val="8"/>
        <color theme="1"/>
        <rFont val="B Nazanin"/>
        <charset val="178"/>
      </rPr>
      <t>HCM modules</t>
    </r>
    <r>
      <rPr>
        <sz val="8"/>
        <color theme="1"/>
        <rFont val="B Nazanin"/>
        <charset val="178"/>
      </rPr>
      <t xml:space="preserve"> to achieve system </t>
    </r>
    <r>
      <rPr>
        <b/>
        <sz val="8"/>
        <color theme="1"/>
        <rFont val="B Nazanin"/>
        <charset val="178"/>
      </rPr>
      <t>go-live by 01-10-1404</t>
    </r>
    <r>
      <rPr>
        <sz val="8"/>
        <color theme="1"/>
        <rFont val="B Nazanin"/>
        <charset val="178"/>
      </rPr>
      <t>.</t>
    </r>
  </si>
  <si>
    <t>امیر ظفری</t>
  </si>
  <si>
    <t>سرپرست حوزه تولید، کیفیت، نت و مدیریت مستندات SAP</t>
  </si>
  <si>
    <r>
      <t>Training Management</t>
    </r>
    <r>
      <rPr>
        <sz val="8"/>
        <color theme="1"/>
        <rFont val="B Nazanin"/>
        <charset val="178"/>
      </rPr>
      <t xml:space="preserve"> – Manage and monitor the quality of Realize–Training phase sessions in the PP, QM, PM, and DMS modules.</t>
    </r>
  </si>
  <si>
    <t>مدیریت آموزش - مدیریت و نظارت کیفی بر جلسات آموزشی فاز Realize-Training در ماژول های PP, QM, PM, DMS</t>
  </si>
  <si>
    <r>
      <t>Training Management</t>
    </r>
    <r>
      <rPr>
        <sz val="8"/>
        <color theme="1"/>
        <rFont val="B Nazanin"/>
        <charset val="178"/>
      </rPr>
      <t xml:space="preserve"> – Supervise the preparation of training documents and videos for PP, QM, PM, and DMS modules and ensure accessibility of the files for key users.</t>
    </r>
  </si>
  <si>
    <t xml:space="preserve">مدیریت آموزش - نظارت بر تهیه اسناد و فیلم های آموزشی ماژول های PP, QM, PM, DMS و اطمینان از در دسترس بودن فایلها برای کاربران کلیدی </t>
  </si>
  <si>
    <r>
      <t>Internal Training</t>
    </r>
    <r>
      <rPr>
        <sz val="8"/>
        <color theme="1"/>
        <rFont val="B Nazanin"/>
        <charset val="178"/>
      </rPr>
      <t xml:space="preserve"> – Deliver internal SAP trainings in the PP, QM, PM, and DMS modules to strengthen key users’ expertise and enable more effective process testing.</t>
    </r>
  </si>
  <si>
    <t>آموزش داخلی - برگزاری آموزش های داخلی SAP در ماژول های  PP, QM, PM, DMS به منظور تسلط بیشتر کاربران کلیدی و تست بهتر فرآیندهای جاری سازمان</t>
  </si>
  <si>
    <r>
      <t>Master Data Management</t>
    </r>
    <r>
      <rPr>
        <sz val="8"/>
        <color theme="1"/>
        <rFont val="B Nazanin"/>
        <charset val="178"/>
      </rPr>
      <t xml:space="preserve"> – Finalize at least 60% of the critical master data in the PP, QM, PM, and DMS modules within SAP templates.</t>
    </r>
  </si>
  <si>
    <t>مدیریت داده های اساسی - نهایی سازی حداقل 60% از داده های اساسی Critical در ماژول های PP, QM, PM, DMS در Template های SAP</t>
  </si>
  <si>
    <r>
      <t>Integration Testing</t>
    </r>
    <r>
      <rPr>
        <sz val="8"/>
        <color theme="1"/>
        <rFont val="B Nazanin"/>
        <charset val="178"/>
      </rPr>
      <t xml:space="preserve"> – Prepare a list of all processes in the PP, QM, PM, and DMS modules that must be tested with real data in the system.</t>
    </r>
  </si>
  <si>
    <t>تست یکپارچگی  - تهیه لیست تمام فرآیندهایی که می بایست با داده های واقعی ماژول های PP, QM, PM, DMS در سیستم تست شوند</t>
  </si>
  <si>
    <r>
      <t>Integration Testing</t>
    </r>
    <r>
      <rPr>
        <sz val="8"/>
        <color theme="1"/>
        <rFont val="B Nazanin"/>
        <charset val="178"/>
      </rPr>
      <t xml:space="preserve"> – Develop integration test scenarios in the PP, QM, PM, and DMS modules with support from the Sameh Ara team.</t>
    </r>
  </si>
  <si>
    <t>تست یکپارچگی  - تهیه سناریو های تست یکپارچگی در ماژول های PP, QM, PM, DMS با کمک تیم سامه آرا</t>
  </si>
  <si>
    <r>
      <t>Process and Integration Management</t>
    </r>
    <r>
      <rPr>
        <sz val="8"/>
        <color theme="1"/>
        <rFont val="B Nazanin"/>
        <charset val="178"/>
      </rPr>
      <t xml:space="preserve"> – Review and follow up on key decisions, update blueprints in the PP, QM, PM, and DMS modules, and ensure approved changes are implemented in the system by consultants.</t>
    </r>
  </si>
  <si>
    <t xml:space="preserve">مدیریت فرآیندها و یکپارچگی  - مرور و پیگیری تصمیمات کلیدی و به روز رسانی بلوپرینت ها در ماژول های PP, QM, PM, DMS و پیگیری جهت اعمال تغییرات مصوب در سیستم توسط مشاورین </t>
  </si>
  <si>
    <r>
      <t>Process and Integration Management</t>
    </r>
    <r>
      <rPr>
        <sz val="8"/>
        <color theme="1"/>
        <rFont val="B Nazanin"/>
        <charset val="178"/>
      </rPr>
      <t xml:space="preserve"> – Review, follow up, and monitor the execution of developments in the PP, QM, PM, and DMS modules.</t>
    </r>
  </si>
  <si>
    <t>مدیریت فرآیندها و یکپارچگی - بررسی، پیگیری و نظارت بر انجام development ها در ماژول های PP, QM, PM, DMS</t>
  </si>
  <si>
    <r>
      <t>Task Management</t>
    </r>
    <r>
      <rPr>
        <sz val="8"/>
        <color theme="1"/>
        <rFont val="B Nazanin"/>
        <charset val="178"/>
      </rPr>
      <t xml:space="preserve"> – Continuously monitor and follow up on the status of tasks until completion in the PP, QM, PM, and DMS modules, ensure system-based notifications, and update Jira accordingly.</t>
    </r>
  </si>
  <si>
    <t>مدیریت Tasks - بررسی و پیگیری مستمر وضعیت تسک ها تا حصول نتیجه در ماژول های PP, QM, PM, DMS و اطلاع رسانی سیستمی و به روزرسانی جیرا در حوزه ماژول های مذکور</t>
  </si>
  <si>
    <r>
      <t>Knowledge Management, Development, and Research</t>
    </r>
    <r>
      <rPr>
        <sz val="8"/>
        <color theme="1"/>
        <rFont val="B Nazanin"/>
        <charset val="178"/>
      </rPr>
      <t xml:space="preserve"> – Gain in-depth expertise in the system and continuously execute various test scenarios in the PP, QM, PM, and DMS modules.</t>
    </r>
  </si>
  <si>
    <t>مدیریت دانش و توسعه و تحقیق - تسلط به کار با سیستم و انجام مستمر سناریو تست های متفاوت ماژول های  PP, QM, PM, DMS</t>
  </si>
  <si>
    <t>امیر خسرجی</t>
  </si>
  <si>
    <t>كارشناس منابع انسانی، تامین، HSEو انبار SAP</t>
  </si>
  <si>
    <r>
      <t>Project Session Quality and Technical Control</t>
    </r>
    <r>
      <rPr>
        <sz val="8"/>
        <color theme="1"/>
        <rFont val="B Nazanin"/>
        <charset val="178"/>
      </rPr>
      <t xml:space="preserve"> – Managing Realize-Training phase sessions in the modules MMPU, MMLE, EHS, and HCM</t>
    </r>
  </si>
  <si>
    <t>کنترل کیفی و فنی جلسات پروژه - مدیریت جلسات فاز Realize-Training در ماژول های MMPU, MMLE, EHS, HCM</t>
  </si>
  <si>
    <r>
      <t>Training Session Documentation</t>
    </r>
    <r>
      <rPr>
        <sz val="8"/>
        <color theme="1"/>
        <rFont val="B Nazanin"/>
        <charset val="178"/>
      </rPr>
      <t xml:space="preserve"> – Supervising the preparation of training documents and recorded videos for the modules MMPU, MMLE, EHS, and HCM, and ensuring files are accessible to key users</t>
    </r>
  </si>
  <si>
    <t xml:space="preserve">مستند سازی جلسات آموزش - نظارت بر تهیه اسناد و فیلم های آموزشی ماژول های MMPU, MMLE, EHS, HCM و اطمینان از در دسترس بودن فایلها برای کاربران کلیدی </t>
  </si>
  <si>
    <r>
      <t>Internal Training</t>
    </r>
    <r>
      <rPr>
        <sz val="8"/>
        <color theme="1"/>
        <rFont val="B Nazanin"/>
        <charset val="178"/>
      </rPr>
      <t xml:space="preserve"> – Conducting internal SAP trainings in the modules MMPU, MMLE, EHS, and HCM to strengthen key users’ expertise and improve testing of organizational processes</t>
    </r>
  </si>
  <si>
    <t>آموزش داخلی - برگزاری آموزش های داخلی SAP در ماژول های  MMPU, MMLE, EHS, HCM به منظور تسلط بیشتر کاربران کلیدی و تست بهتر فرآیندهای جاری سازمان</t>
  </si>
  <si>
    <r>
      <t>Master Data Management</t>
    </r>
    <r>
      <rPr>
        <sz val="8"/>
        <color theme="1"/>
        <rFont val="B Nazanin"/>
        <charset val="178"/>
      </rPr>
      <t xml:space="preserve"> – Finalizing at least 50% of the critical master data in the HCM, MMLE, MMPU, and EHS modules using SAP templates</t>
    </r>
  </si>
  <si>
    <r>
      <t>Task Management</t>
    </r>
    <r>
      <rPr>
        <sz val="8"/>
        <color theme="1"/>
        <rFont val="B Nazanin"/>
        <charset val="178"/>
      </rPr>
      <t xml:space="preserve"> – Continuously monitoring and following up on task statuses in the modules MMPU, MMLE, EHS, and HCM until completion, while providing system notifications and updating Jira for the mentioned modules</t>
    </r>
  </si>
  <si>
    <t>مدیریت Tasks - بررسی و پیگیری مستمر وضعیت تسک ها تا حصول نتیجه در ماژول های MMPU, MMLE, EHS, HCM و اطلاع رسانی سیستمی و به روزرسانی جیرا در حوزه ماژول های مذکور</t>
  </si>
  <si>
    <r>
      <t>SAP Practice and Testing</t>
    </r>
    <r>
      <rPr>
        <sz val="8"/>
        <color theme="1"/>
        <rFont val="B Nazanin"/>
        <charset val="178"/>
      </rPr>
      <t xml:space="preserve"> – Gaining proficiency in the system and continuously executing diverse test scenarios in the modules MMPU, MMLE, EHS, and HCM</t>
    </r>
  </si>
  <si>
    <t>تمرین و تست سیستم SAP - تسلط به کار با سیستم و انجام مستمر سناریو تست های متفاوت ماژول های  MMPU, MMLE, EHS, HCM</t>
  </si>
  <si>
    <r>
      <t>Integration Testing</t>
    </r>
    <r>
      <rPr>
        <sz val="8"/>
        <color theme="1"/>
        <rFont val="B Nazanin"/>
        <charset val="178"/>
      </rPr>
      <t xml:space="preserve"> – Participating in preparing the list of integration test scenarios in the HCM, MMLE, MMPU, and EHS modules with support from the SameAra team</t>
    </r>
  </si>
  <si>
    <t>تست یکپارچگی  - مشارکت در تهیه لیست سناریو های تست یکپارچگی در ماژول های HCM, MMLE, MMPU, EHS با کمک تیم سامه آرا</t>
  </si>
  <si>
    <r>
      <t>Knowledge Management, Research and Development</t>
    </r>
    <r>
      <rPr>
        <sz val="8"/>
        <color theme="1"/>
        <rFont val="B Nazanin"/>
        <charset val="178"/>
      </rPr>
      <t xml:space="preserve"> – Studying and reviewing new capabilities, processes, and SAP applications</t>
    </r>
  </si>
  <si>
    <r>
      <t>Project Management</t>
    </r>
    <r>
      <rPr>
        <sz val="8"/>
        <color theme="1"/>
        <rFont val="B Nazanin"/>
        <charset val="178"/>
      </rPr>
      <t xml:space="preserve"> – Contributing to the final preparation of data, access rights, developments, and tests in the HR modules before system go-live</t>
    </r>
  </si>
  <si>
    <t>مدیریت پروژه  - مشارکت در آماده سازی نهایی داده ها، دسترسی ها، توسعه ها و تست های ماژول های HR پیش از لایو سیستم</t>
  </si>
  <si>
    <r>
      <t>Completion of Training Phase</t>
    </r>
    <r>
      <rPr>
        <sz val="8"/>
        <color theme="1"/>
        <rFont val="B Nazanin"/>
        <charset val="178"/>
      </rPr>
      <t xml:space="preserve"> and achieving 40% progress in the Testing Phase of the SAP implementation project</t>
    </r>
  </si>
  <si>
    <r>
      <t>Completion of all HCM module implementation phases</t>
    </r>
    <r>
      <rPr>
        <sz val="8"/>
        <color theme="1"/>
        <rFont val="B Nazanin"/>
        <charset val="178"/>
      </rPr>
      <t xml:space="preserve"> to enable go-live on </t>
    </r>
    <r>
      <rPr>
        <b/>
        <sz val="8"/>
        <color theme="1"/>
        <rFont val="B Nazanin"/>
        <charset val="178"/>
      </rPr>
      <t>1404-10-01 (December 21, 2025)</t>
    </r>
  </si>
  <si>
    <t>Acceptance and effectiveness within the organization</t>
  </si>
  <si>
    <t>Employee organizational commitment</t>
  </si>
  <si>
    <t>Adherence to company policies, processes, and values</t>
  </si>
  <si>
    <t>Teamwork spirit</t>
  </si>
  <si>
    <t>Perseverance and resilience</t>
  </si>
  <si>
    <t>Effective communication and collaboration with other departments</t>
  </si>
  <si>
    <t>Personal growth and development</t>
  </si>
  <si>
    <t>Effective productivity in task execution</t>
  </si>
  <si>
    <t>Quality of work</t>
  </si>
  <si>
    <t>Accountability</t>
  </si>
  <si>
    <t>Problem-solving and decision-making ability</t>
  </si>
  <si>
    <t>Job-related technical skills and knowledge</t>
  </si>
  <si>
    <t>Time management and planning</t>
  </si>
  <si>
    <t>حسین امیری</t>
  </si>
  <si>
    <t>كارشناس مالی و فروش SAP</t>
  </si>
  <si>
    <r>
      <t>Project Session Quality and Technical Control</t>
    </r>
    <r>
      <rPr>
        <sz val="8"/>
        <color theme="1"/>
        <rFont val="B Nazanin"/>
        <charset val="178"/>
      </rPr>
      <t xml:space="preserve"> – Managing Realize-Training phase sessions in the modules FI, CO, BPC, FSCM, and SDLE</t>
    </r>
  </si>
  <si>
    <t>کنترل کیفی و فنی جلسات پروژه - مدیریت جلسات فاز Realize-Training در ماژول های FI, CO, BPC, FSCM, SDLE</t>
  </si>
  <si>
    <r>
      <t>Training Session Documentation</t>
    </r>
    <r>
      <rPr>
        <sz val="8"/>
        <color theme="1"/>
        <rFont val="B Nazanin"/>
        <charset val="178"/>
      </rPr>
      <t xml:space="preserve"> – Supervising the preparation of training documents and recorded videos for the modules FI, CO, BPC, FSCM, and SDLE, and ensuring files are accessible to key users</t>
    </r>
  </si>
  <si>
    <t xml:space="preserve">مستند سازی جلسات آموزش - نظارت بر تهیه اسناد و فیلم های آموزشی ماژول های FI, CO, BPC, FSCM, SDLE و اطمینان از در دسترس بودن فایلها برای کاربران کلیدی </t>
  </si>
  <si>
    <r>
      <t>Internal Training</t>
    </r>
    <r>
      <rPr>
        <sz val="8"/>
        <color theme="1"/>
        <rFont val="B Nazanin"/>
        <charset val="178"/>
      </rPr>
      <t xml:space="preserve"> – Conducting internal SAP trainings in the modules FI, CO, BPC, FSCM, and SDLE to strengthen key users’ expertise and improve testing of organizational processes</t>
    </r>
  </si>
  <si>
    <t>آموزش داخلی - برگزاری آموزش های داخلی SAP در ماژول های  FI, CO, BPC, FSCM, SDLE به منظور تسلط بیشتر کاربران کلیدی و تست بهتر فرآیندهای جاری سازمان</t>
  </si>
  <si>
    <r>
      <t>Master Data Management</t>
    </r>
    <r>
      <rPr>
        <sz val="8"/>
        <color theme="1"/>
        <rFont val="B Nazanin"/>
        <charset val="178"/>
      </rPr>
      <t xml:space="preserve"> – Finalizing at least 50% of the critical master data in the FI, CO, BPC, FSCM, and SDLE modules using SAP templates</t>
    </r>
  </si>
  <si>
    <r>
      <t>Task Management</t>
    </r>
    <r>
      <rPr>
        <sz val="8"/>
        <color theme="1"/>
        <rFont val="B Nazanin"/>
        <charset val="178"/>
      </rPr>
      <t xml:space="preserve"> – Continuously monitoring and following up on task statuses in the modules FI, CO, BPC, FSCM, and SDLE until completion, while providing system notifications and updating Jira for the mentioned modules</t>
    </r>
  </si>
  <si>
    <t>مدیریت Tasks - بررسی و پیگیری مستمر وضعیت تسک ها تا حصول نتیجه در ماژول های FI, CO, BPC, FSCM, SDLE و اطلاع رسانی سیستمی و به روزرسانی جیرا در حوزه ماژول های مذکور</t>
  </si>
  <si>
    <r>
      <t>SAP Practice and Testing</t>
    </r>
    <r>
      <rPr>
        <sz val="8"/>
        <color theme="1"/>
        <rFont val="B Nazanin"/>
        <charset val="178"/>
      </rPr>
      <t xml:space="preserve"> – Gaining proficiency in the system and continuously executing diverse test scenarios in the modules FI, CO, BPC, FSCM, and SDLE</t>
    </r>
  </si>
  <si>
    <t>تمرین و تست سیستم SAP - تسلط به کار با سیستم و انجام مستمر سناریو تست های متفاوت ماژول های  FI, CO, BPC, FSCM, SDLE</t>
  </si>
  <si>
    <r>
      <t>Integration Testing</t>
    </r>
    <r>
      <rPr>
        <sz val="8"/>
        <color theme="1"/>
        <rFont val="B Nazanin"/>
        <charset val="178"/>
      </rPr>
      <t xml:space="preserve"> – Participating in preparing the list of integration test scenarios in the FI, CO, BPC, FSCM, and SDLE modules with support from the SameAra team</t>
    </r>
  </si>
  <si>
    <t>اسما پوربختیار</t>
  </si>
  <si>
    <t>کارشناس تولید و مدیریت مستندات SAP</t>
  </si>
  <si>
    <r>
      <t>Project Session Quality and Technical Control</t>
    </r>
    <r>
      <rPr>
        <sz val="8"/>
        <color theme="1"/>
        <rFont val="B Nazanin"/>
        <charset val="178"/>
      </rPr>
      <t xml:space="preserve"> – Managing Realize-Training phase sessions in the modules PP, QM, PM, and DMS</t>
    </r>
  </si>
  <si>
    <t>کنترل کیفی و فنی جلسات پروژه - مدیریت جلسات فاز Realize-Training در ماژول های PP, QM, PM, DMS</t>
  </si>
  <si>
    <r>
      <t>Training Session Documentation</t>
    </r>
    <r>
      <rPr>
        <sz val="8"/>
        <color theme="1"/>
        <rFont val="B Nazanin"/>
        <charset val="178"/>
      </rPr>
      <t xml:space="preserve"> – Supervising the preparation of training documents and recorded videos for the modules PP, QM, PM, and DMS, and ensuring files are accessible to key users</t>
    </r>
  </si>
  <si>
    <t xml:space="preserve">مستند سازی جلسات آموزش - نظارت بر تهیه اسناد و فیلم های آموزشی ماژول های PP, QM, PM, DMS و اطمینان از در دسترس بودن فایلها برای کاربران کلیدی </t>
  </si>
  <si>
    <r>
      <t>Internal Training</t>
    </r>
    <r>
      <rPr>
        <sz val="8"/>
        <color theme="1"/>
        <rFont val="B Nazanin"/>
        <charset val="178"/>
      </rPr>
      <t xml:space="preserve"> – Conducting internal SAP trainings in the modules PP, QM, PM, and DMS to strengthen key users’ expertise and improve testing of organizational processes</t>
    </r>
  </si>
  <si>
    <r>
      <t>Master Data Management</t>
    </r>
    <r>
      <rPr>
        <sz val="8"/>
        <color theme="1"/>
        <rFont val="B Nazanin"/>
        <charset val="178"/>
      </rPr>
      <t xml:space="preserve"> – Finalizing at least 50% of the critical master data in the PP, QM, PM, and DMS modules using SAP templates</t>
    </r>
  </si>
  <si>
    <t>مدیریت داده های اساسی - نهایی سازی حداقل 50% از داده های اساسی Critical در ماژول های PP, QM, PM, DMS در Template های SAP</t>
  </si>
  <si>
    <r>
      <t>Task Management</t>
    </r>
    <r>
      <rPr>
        <sz val="8"/>
        <color theme="1"/>
        <rFont val="B Nazanin"/>
        <charset val="178"/>
      </rPr>
      <t xml:space="preserve"> – Continuously monitoring and following up on task statuses in the modules PP, QM, PM, and DMS until completion, while providing system notifications and updating Jira for the mentioned modules</t>
    </r>
  </si>
  <si>
    <r>
      <t>SAP Practice and Testing</t>
    </r>
    <r>
      <rPr>
        <sz val="8"/>
        <color theme="1"/>
        <rFont val="B Nazanin"/>
        <charset val="178"/>
      </rPr>
      <t xml:space="preserve"> – Gaining proficiency in the system and continuously executing diverse test scenarios in the modules PP, QM, PM, and DMS</t>
    </r>
  </si>
  <si>
    <t>تمرین و تست سیستم SAP - تسلط به کار با سیستم و انجام مستمر سناریو تست های متفاوت ماژول های  PP, QM, PM, DMS</t>
  </si>
  <si>
    <r>
      <t>Integration Testing</t>
    </r>
    <r>
      <rPr>
        <sz val="8"/>
        <color theme="1"/>
        <rFont val="B Nazanin"/>
        <charset val="178"/>
      </rPr>
      <t xml:space="preserve"> – Participating in preparing the list of integration test scenarios in the PP, QM, PM, and DMS modules with support from the SameAra team</t>
    </r>
  </si>
  <si>
    <t>تست یکپارچگی  - مشارکت در تهیه لیست سناریو های تست یکپارچگی در ماژول های PP, QM, PM, DMS با کمک تیم سامه آرا</t>
  </si>
  <si>
    <t>پریا یاوری راد</t>
  </si>
  <si>
    <t>کارشناس کیفیت و نگهداری و تعمیرات SAP</t>
  </si>
  <si>
    <t>Project Session Quality and Technical Control – Managing Realize-Training phase sessions in the modules PP, QM, PM, and DMS</t>
  </si>
  <si>
    <t>سارا جنتی</t>
  </si>
  <si>
    <t>عظیم هوری زاده</t>
  </si>
  <si>
    <t>کارشناس اداری</t>
  </si>
  <si>
    <t>Monthly Transportation Report</t>
  </si>
  <si>
    <t xml:space="preserve">گزارش ماهانه   ترابری </t>
  </si>
  <si>
    <t>Monthly Events and Protocol Report</t>
  </si>
  <si>
    <t xml:space="preserve">گزارش ماهانه  مراسم و تشریفات </t>
  </si>
  <si>
    <t>Monthly Tickets and Flights Report</t>
  </si>
  <si>
    <t>گزارش ماهانه بلیط ها و پرواز ها</t>
  </si>
  <si>
    <t>Monthly Hospitality (Hotel Management) Report</t>
  </si>
  <si>
    <t xml:space="preserve">گزارش ماهانه  هتلداری </t>
  </si>
  <si>
    <t>Monthly Food Quantity and Cost Report</t>
  </si>
  <si>
    <t xml:space="preserve">گزارش ماهانه  تعداد و هزینه غذا </t>
  </si>
  <si>
    <t>Request Form for Kitchen and Guesthouse Supplies</t>
  </si>
  <si>
    <t xml:space="preserve">ثبت درخواست اقلام مورد نیاز آشپزخانه و مهمانسرا </t>
  </si>
  <si>
    <t>صفا قنبری</t>
  </si>
  <si>
    <t>سرپرست تشریفات</t>
  </si>
  <si>
    <t>درصد رضایت کارکنان از خدمات رفاهی و تشریفاتی</t>
  </si>
  <si>
    <t>نظرسنجی فصلی (میانگین امتیاز از 5 × 20 نفر)</t>
  </si>
  <si>
    <t>درصد تحقق برنامه‌های از پیش تعیین شده تشریفات</t>
  </si>
  <si>
    <t>تعداد برنامه‌های انجام‌شده ÷ تعداد کل برنامه‌های برنامه‌ریزی شده × 100</t>
  </si>
  <si>
    <t>به‌موقع بودن تدارکات و آماده‌سازی جلسات مهم</t>
  </si>
  <si>
    <t>تعداد جلسات آماده شده به‌موقع ÷ کل جلسات × 100</t>
  </si>
  <si>
    <t>مدیریت هزینه‌های تشریفاتی مطابق با بودجه ( درصد انحراف از بودجه )</t>
  </si>
  <si>
    <t>میزان هزینه واقعی ÷ بودجه تخصیص داده شده × 100</t>
  </si>
  <si>
    <t>رعایت اصول و آداب تشریفات در مراسم‌های رسمی</t>
  </si>
  <si>
    <t>ارزیابی مدیر از کیفیت اجرای مراسم (با چک‌لیست)</t>
  </si>
  <si>
    <t>سرعت پاسخ‌گویی به درخواست‌های خدماتی و رفاهی</t>
  </si>
  <si>
    <t>میانگین زمان پاسخ‌گویی &lt; 24 ساعت</t>
  </si>
  <si>
    <t>تمیزی و نظم در فضای عمومی (بازرسی‌های دوره‌ای)</t>
  </si>
  <si>
    <t>چک‌لیست ارزیابی فضای عمومی از نظر نظافت و نظم</t>
  </si>
  <si>
    <t>نوآوری در بهبود خدمات تشریفاتی یا رفاهی</t>
  </si>
  <si>
    <t>ارائه حداقل 1 پیشنهاد قابل اجرا در هر فصل</t>
  </si>
  <si>
    <t>خرید اقلام مختلف</t>
  </si>
  <si>
    <t>ظروف، لباس فرم، تجهیزات کافی شاپ، تجهیزات اتاق ها و دوبلکس</t>
  </si>
  <si>
    <t>پیگیری تاسیسات</t>
  </si>
  <si>
    <t>اتاق ها، موارد مربوط به مهمانسرا</t>
  </si>
  <si>
    <t>پیگیری امور پرسنل</t>
  </si>
  <si>
    <t>برنامه ریزی روزانه برای پرسنل، ثبت اضافه کار و مرخصی پرسنل، آموزش نیروهای جدید و آموزش متد های جدید به پرسنل،</t>
  </si>
  <si>
    <t>پذیرایی مراسمات</t>
  </si>
  <si>
    <t xml:space="preserve">جلسات، مهمانی ها ( VIP و  عادی )، دوره های آموزشی </t>
  </si>
  <si>
    <t>هماهنگی با واحد ترانسپورت برای اقامت مهمانان در مهمانسرا</t>
  </si>
  <si>
    <t>پیگیری منوی دیجیتال اتاق ها</t>
  </si>
  <si>
    <t>بروزرسانی لیست اتاق ها</t>
  </si>
  <si>
    <t>رضا داودی</t>
  </si>
  <si>
    <t>كارشناس زنجیره تامین</t>
  </si>
  <si>
    <t>اسماعیل کریمی زاد</t>
  </si>
  <si>
    <t>کنترل سفارشات(خرید)</t>
  </si>
  <si>
    <t>کنترل موجودی های انبار فنی کارخانه</t>
  </si>
  <si>
    <t>همزمان قبل از خرید کالا، موجودی واقعی در انبار بررسی میگردد.</t>
  </si>
  <si>
    <t>بررسی نیازهای ضروری بر اساس درخواست خرید و صحت صدور</t>
  </si>
  <si>
    <t>به منظور کنترل دقیق مصارف و تحویل کالا از انبار محل دقیق مصرف،زمان خروج قطعه ار انبار و همچنین دوره مصرف مورد بررسی قرارا میگیرد.</t>
  </si>
  <si>
    <t>کنترل فاکتورهای خرید قبل از پرداخت و صحت سنجی علت تامین</t>
  </si>
  <si>
    <t>بررسی و نظارت روی اقلام موجود در قرنطینه انبار</t>
  </si>
  <si>
    <t>شامل اقلام عدم تایید شده، برگشتی و اقلام اماده خروج جهت تعمیر و ساخت</t>
  </si>
  <si>
    <t>امور محوله اضطراری</t>
  </si>
  <si>
    <t>دستورات مدیریت</t>
  </si>
  <si>
    <t>تایید نهایی درخواست خریدها و دستورکار(ساخت و تعمیر)</t>
  </si>
  <si>
    <t>ارائه روش های جدید جهت بهبود کدهای تکراری</t>
  </si>
  <si>
    <t>برنامه ریزی جهت اصلاح کدینگ</t>
  </si>
  <si>
    <t>طرح و اجرای انبار گردانی گروهی</t>
  </si>
  <si>
    <t>معاونت کارخانجات</t>
  </si>
  <si>
    <t>Conversion Cost Target- All factories</t>
  </si>
  <si>
    <t>هزینه های تبدیل به محصول نهایی - همه کارخانجات</t>
  </si>
  <si>
    <t>Absolute Direct Labor Cost-  All factories</t>
  </si>
  <si>
    <t>هزینه دستمزد مستقیم تولید (ABS)- همه کارخانجات
جمع کل هزینه‌های دستمزد مستقیم پرسنل تولید در دوره مشخص</t>
  </si>
  <si>
    <t>Direct Labor Cost per Sheet-  All factories</t>
  </si>
  <si>
    <t>هزینه دستمزد مستقیم تولید ( per-sheet)- همه کارخانجات</t>
  </si>
  <si>
    <t>Production Plan Execution Rate-  All factories</t>
  </si>
  <si>
    <t>نرخ اجرای برنامه تولید (% Plan Achievement)- همه کارخانجات</t>
  </si>
  <si>
    <t>BOM Adherence-  All factories</t>
  </si>
  <si>
    <t>پایبندی به لیست مواد مصرفی (BOM Accuracy %)- همه کارخانجات
ملامینه کمتر از 1%.
هایگلاس کمتر از 3%. 
کاغذ کمتر از 4%
سه میل کمتر از  4%
محصولات شمیمیای کمتر از 1%
صفحه کابینت کمتر از 3%
MDF   کمتر از 10%</t>
  </si>
  <si>
    <t>Labor Productivity (Output per Man-Hour)-  All factories</t>
  </si>
  <si>
    <t>بهره‌وری نیروی انسانی (تولید به ازای نفر یا ساعت کار مفید)- همه کارخانجات</t>
  </si>
  <si>
    <t>Grade A Quality Rate-  All factories</t>
  </si>
  <si>
    <t xml:space="preserve">درصد تولید با کیفیت درجه A- همه کارخانجات
بیشتر از 99% (به شرط عدم مشکل در مغزی) </t>
  </si>
  <si>
    <t>Customer Complaint Rate-  All factories</t>
  </si>
  <si>
    <t>نرخ شکایات مشتری (Customer Complaint Rate)- همه کارخانجات</t>
  </si>
  <si>
    <t>تعداد شکایات ثبت‌شده نسبت به حجم کل فروش
کاهش ۲۰٪ نسبت به Q1</t>
  </si>
  <si>
    <t>Employee Turnover Rate vs. Target (%)-  All factories</t>
  </si>
  <si>
    <t>نرخ ترک کار کارکنان (Turnover Rate)- همه کارخانجات</t>
  </si>
  <si>
    <t>درصد خروج نیروی انسانی نسبت به هدف بودجه‌ای
حفظ در محدوده ≤5%</t>
  </si>
  <si>
    <t>Overtime Hours vs. Budget (%)-  All factories</t>
  </si>
  <si>
    <t>ساعات اضافه‌کاری نسبت به بودجه (Overtime Control)- همه کارخانجات</t>
  </si>
  <si>
    <t>میزان اضافه‌کاری واقعی در مقابل بودجه مصوب</t>
  </si>
  <si>
    <t>Training Hours per Employee-  All factories</t>
  </si>
  <si>
    <t>ساعات آموزش به ازای هر نفر- همه کارخانجات</t>
  </si>
  <si>
    <t>Employee Satisfaction Index (ESI %)-  All factories</t>
  </si>
  <si>
    <t>شاخص رضایت کارکنان (Employee Satisfaction Index)- همه کارخانجات</t>
  </si>
  <si>
    <t>Lost Time Injury Frequency Rate (LTIFR)-  All factories</t>
  </si>
  <si>
    <t>نرخ تکرار حوادث منجر به از دست رفتن زمان کاری (LTI Frequency Rate)- همه کارخانجات</t>
  </si>
  <si>
    <t>Maintenance Cost per Sheet Produced-  All factories</t>
  </si>
  <si>
    <t>هزینه تعمیرات و نگهداری به ازای هر شیت تولید- همه کارخانجات</t>
  </si>
  <si>
    <t>Implementation of ISO Standards
(TKH, KHU: 90%, IRA: 40%, KHO: 10%)</t>
  </si>
  <si>
    <t>اجرای ISO 
TKH,KHU: 90%, IRA:40%, KHO:10%</t>
  </si>
  <si>
    <t>Execution of 25% of the 5S Implementation Campaign</t>
  </si>
  <si>
    <t xml:space="preserve">اجرای  25٪ از کمپین پیاده سازی 5S </t>
  </si>
  <si>
    <t>Completion of SAP Project Related to Plant</t>
  </si>
  <si>
    <t>تکمیل پروژه SAP مرتبط با کارخانجات طبق برنامه زمانبندی</t>
  </si>
  <si>
    <t>علیرضا فریدونی برزآباد</t>
  </si>
  <si>
    <t>دستیار مدیرعامل</t>
  </si>
  <si>
    <t>هزینه دستمزد مستقیم تولید (ABS)- همه کارخانجات</t>
  </si>
  <si>
    <t>جمع کل هزینه‌های دستمزد مستقیم پرسنل تولید در دوره مشخص</t>
  </si>
  <si>
    <t>پایبندی به لیست مواد مصرفی (BOM Accuracy %)- همه کارخانجات</t>
  </si>
  <si>
    <t>ملامینه کمتر از 1%.
هایگلاس کمتر از 3%. 
کاغذ کمتر از 4%
سه میل کمتر از  4%
محصولات شمیمیای کمتر از 1%
صفحه کابینت کمتر از 3%
MDF   کمتر از 10%</t>
  </si>
  <si>
    <t>درصد تولید با کیفیت درجه A- همه کارخانجات</t>
  </si>
  <si>
    <t xml:space="preserve">بیشتر از 99% (به شرط عدم مشکل در مغزی) </t>
  </si>
  <si>
    <t>Company Projects lead, team and resouce allignmrnt</t>
  </si>
  <si>
    <t>درصد پروژه‌های در مسیر زمان‌بندی (On-Time Projects %)</t>
  </si>
  <si>
    <t>≥ ۹۰٪ پروژه‌ها در محدوده زمان‌بندی مصوب</t>
  </si>
  <si>
    <t>Company Projects Time, Budget refer to planning</t>
  </si>
  <si>
    <t>درصد پروژه‌های در محدوده بودجه (On-Budget Projects %)</t>
  </si>
  <si>
    <t>≥ ۹۵٪ پروژه‌ها در محدوده بودجه</t>
  </si>
  <si>
    <t xml:space="preserve">اجرای ISO </t>
  </si>
  <si>
    <t>TKH,KHU: 90%, IRA:40%, KHO:10%</t>
  </si>
  <si>
    <t>Completion of the Technical Warehouse Optimization Project</t>
  </si>
  <si>
    <t>بازطراحی ساختار انبار فنی و بهینه‌سازی فرآیند تحویل قطعات</t>
  </si>
  <si>
    <t>Training of Key Factory Managers and Enhancement of Meeting and Reporting Quality</t>
  </si>
  <si>
    <t>Execution of the Nexus Integration Project</t>
  </si>
  <si>
    <t xml:space="preserve">اجرای پروژه یکپارچه سازی نکسوس </t>
  </si>
  <si>
    <t>Implementation of the Project Budget and Timeline Monitoring Mechanism (Budget Control System)</t>
  </si>
  <si>
    <t>راه‌اندازی مکانیزم پایش بودجه و زمان پروژه‌ها (Budget Control System)</t>
  </si>
  <si>
    <t>Design and Deployment of the KPI Management Dashboard</t>
  </si>
  <si>
    <t>طراحی و استقرار داشبورد مدیریتی KPIها</t>
  </si>
  <si>
    <t>Design and Deployment of the Online Production and Line Monitoring Dashboard</t>
  </si>
  <si>
    <t>طراحی و استقرار داشبورد مونیتورینگ آنلاین تولید و خطوط تولید</t>
  </si>
  <si>
    <t>Design and Deployment of the Factory Management Dashboard</t>
  </si>
  <si>
    <t>طراحی و استقرار داشبورد مدیریتی کارخانجات</t>
  </si>
  <si>
    <t>شاملمانیتورینگ شاخص های کنترل کیفیت، تعمیرات و نگهداری، برنامه ریزی و کنترل تولید، ایمنی</t>
  </si>
  <si>
    <t>Improvement of the Budgeting Structure (Operational, Capital, and Financial)</t>
  </si>
  <si>
    <t>بهبود ساختار بودجه نویسی (عملیاتی، سرمایه ای و مالی)</t>
  </si>
  <si>
    <t>Design of a Managerial Dashboard for Monitoring Organizational Cost Indicators Based on Projected P&amp;L and Achievement Percentage (20%)</t>
  </si>
  <si>
    <t>طراحی داشبورد مدیرتی پایش شاخص های هزینه ای سازمان بر اساس P&amp;L پیش بینی شده و درصد تحقق (20%)</t>
  </si>
  <si>
    <t>Design and Deployment of a Product Inventory Management Dashboard, Categorized by Turnover Speed and Related CNWC Costs</t>
  </si>
  <si>
    <t>طراحی و استقرار داشبورد مدیرتی موجودی محصول به تفکیک سرعت حرکت و هزینه های مربوطه در CNWC</t>
  </si>
  <si>
    <t>Design and Support for Implementation of a Comprehensive Succession Planning System</t>
  </si>
  <si>
    <t>طراحی و کمک به اجرای سیستم جامع جانشین پروری</t>
  </si>
  <si>
    <t>Design and Support for Implementation of a Comprehensive Annual Competency Assessment System for Identifying High-Potential Employees</t>
  </si>
  <si>
    <t>طراحی و کمک به اجرای سیستم جامع شایستگی سالیانه جهت تهیه لیست پوتنشیال ها</t>
  </si>
  <si>
    <t>علی محمد اسفندیاری</t>
  </si>
  <si>
    <t>مشاور مدیر عامل</t>
  </si>
  <si>
    <t>Resolving issues with order registration and currency exchange</t>
  </si>
  <si>
    <t>رفع مشکلات ثبت سفارشات و ارزی</t>
  </si>
  <si>
    <t xml:space="preserve">Obtaining permit for  TKF gas power plant </t>
  </si>
  <si>
    <t>دریافت مجور  نیروگاه گازی تخته فشرده</t>
  </si>
  <si>
    <t xml:space="preserve">Obtaining permit for  IRN gas power plant </t>
  </si>
  <si>
    <t>دریافت مجور گاز  نیروگاه گازی ایرانیان</t>
  </si>
  <si>
    <t>Change of land use for 65 hectares of development plan</t>
  </si>
  <si>
    <t>تغییر کاربری 65 هکتار طرح توسعه</t>
  </si>
  <si>
    <t>Permit for increasing electricity connection from 30 to 60 MW</t>
  </si>
  <si>
    <t>مجوز افزایش انشعاب برق از30 به 60 مگاوات</t>
  </si>
  <si>
    <t>این فصل 15 مگا وات اضافه و اجرا شود و اقدامات لازم برای 30 مگاوات بعد انجام گیرد</t>
  </si>
  <si>
    <t>Increasing gas connection from 4000 to 26,500 m³/h</t>
  </si>
  <si>
    <t>افزایش انشعاب گار از 4000 به 10000 یا  26500 مترمکعب در ساعت</t>
  </si>
  <si>
    <t>افزایش 9900متر مکعب در ساعت  انشعاب گاز</t>
  </si>
  <si>
    <t>Permit for constructing a solar power plant</t>
  </si>
  <si>
    <t>مجوز احداث نیروگاه خورشیدی</t>
  </si>
  <si>
    <t>میزان تسهیلات بر اساس طرح توجیهی می باشد</t>
  </si>
  <si>
    <t>SEPAH Bank's request to the Ministry of Industry, Mine, and Trade's Machinery Office</t>
  </si>
  <si>
    <t>درخواست بانک سپه از دفتر ماشین سازی وزارت صمت</t>
  </si>
  <si>
    <t>Extension of environmental permit for the development project</t>
  </si>
  <si>
    <t>تمدید مجوز محیط زیست  طرح توسعه</t>
  </si>
  <si>
    <t>Permit for importing electric forklifts</t>
  </si>
  <si>
    <t>مجوز برای واردات لیفتراک برقی</t>
  </si>
  <si>
    <t>Follow-up on constructing wastewater treatment plant</t>
  </si>
  <si>
    <t>پیگیری احداث تصفیه خانه (مدیریت پساب)</t>
  </si>
  <si>
    <t>لغو حکم محیط زیست</t>
  </si>
  <si>
    <t>Supplying fuel for emergency diesel generators</t>
  </si>
  <si>
    <t>تامین سوخت دیزل ژنراتور های اضطراری</t>
  </si>
  <si>
    <t>Receive approval for non-domestic manufacturing of development project machinery</t>
  </si>
  <si>
    <t xml:space="preserve"> دریافت تاییدیه عدم ساخت داخل ماشین آلات طرح توسعه</t>
  </si>
  <si>
    <t>Receive approval for Khz foreign exchange quota from the Ministry</t>
  </si>
  <si>
    <t xml:space="preserve"> دریافت تاییدیه سهمیه ارزی پاک چوب خوزستان از وزارتخانه</t>
  </si>
  <si>
    <t>Receive approval for compressed board foreign exchange quota from the Ministry if a quota request is sent from Khuzestan Industries to the Ministry</t>
  </si>
  <si>
    <t xml:space="preserve"> دریافت تاییدیه سهمیه ارزی تخته فشرده از وزارتخانه در صورت ارسال درخواست سهمیه از صنایع خوزستان به وزارتخانه </t>
  </si>
  <si>
    <t>Receive approval for National Development Fund facilities.</t>
  </si>
  <si>
    <t>دریافت تائیدیه تسهیلات صندوق توسعه ملی</t>
  </si>
  <si>
    <t>Acquire foreign exchange quotas</t>
  </si>
  <si>
    <t>اخذ سهمیه های ارزی ( خط ملامینه خوزستان (مربوط به ادغام پاک ملامینه) -3 میل خوزستان – 2 خط آغشته ی تخته فشرده – خط ام دی اف تخته فشرده – شروع اقدامات اخذ سهمیه خط جدید ملامینه تخته فشرده (شورت سایکل)</t>
  </si>
  <si>
    <t>Increase  quota for IRN</t>
  </si>
  <si>
    <t>افزایش سهمیه برق پاک چوب ایرانیان</t>
  </si>
  <si>
    <t xml:space="preserve"> انتخاب واحد نمونه از سوی سازمان حمایت مصرف کنندگان و تولید کنندگان</t>
  </si>
  <si>
    <t>Receive environmental clearance and an operating license for the melamine press line.</t>
  </si>
  <si>
    <t>دریافت مجوز محیط زیست و در یافت پروانه بهره برداری برای خط پرس ملامینه</t>
  </si>
  <si>
    <t>Increase methanol quota from the Chemical and Polymer Industries Office.</t>
  </si>
  <si>
    <t xml:space="preserve"> افزایش سهمیه متانول از دفتر صنایع شیمیایی و پلیمر</t>
  </si>
  <si>
    <t>شایان ابراهیمی زنگنه</t>
  </si>
  <si>
    <t>مدیر ارشد توسعه بازار</t>
  </si>
  <si>
    <t>ناصر مرسی</t>
  </si>
  <si>
    <t>فروش</t>
  </si>
  <si>
    <t>Trade Marketing Calendar Align with Marketing and Action Plan (Q3)</t>
  </si>
  <si>
    <t xml:space="preserve">    پیاده سازی برنامه های ترید مارکتینگ</t>
  </si>
  <si>
    <t>نرخ تحقق هدف فروش</t>
  </si>
  <si>
    <t>Online Sales Platform phase 1</t>
  </si>
  <si>
    <t>اجرای پلتفرم آنلاین فاز آماده سازی</t>
  </si>
  <si>
    <t>SFA</t>
  </si>
  <si>
    <t>دقت پیش بینی فروش</t>
  </si>
  <si>
    <t>CRM Project</t>
  </si>
  <si>
    <t>اجرای پلتفرم CRM فاز آماده سازی</t>
  </si>
  <si>
    <t>EUCALYPTUS ESSENCE MIX pallet phase PHASE 2</t>
  </si>
  <si>
    <t>پروژه میکس پالت فاز دوم</t>
  </si>
  <si>
    <t>Mobile showroom Project Phase 2</t>
  </si>
  <si>
    <t xml:space="preserve"> شو روم و موبایل شو روم </t>
  </si>
  <si>
    <t>Signboard Project ( Nominate 16 customers and share with MK Team)</t>
  </si>
  <si>
    <t xml:space="preserve">تابلو پاک چوب  </t>
  </si>
  <si>
    <t>جعفر ریاحی</t>
  </si>
  <si>
    <t>مدیر خدمات پس از فروش</t>
  </si>
  <si>
    <t>شایان زنگنه</t>
  </si>
  <si>
    <t>مدیریت درصد شکایات حل شده در ماه</t>
  </si>
  <si>
    <t>تعداد شکایات حل شده ÷ کل شکایات ارجاع‌شده
این شاخص نشان می‌دهد که واحد خدمات پس از فروش در هر ماه به چند شکایت رسیدگی و آنها را حل کرده است. این شاخص میزان کارایی و عملکرد کلی واحد را نشان می‌دهد.</t>
  </si>
  <si>
    <t>نرخ حل مشکل در تماس اول</t>
  </si>
  <si>
    <t>تعداد حل‌شده تلفنی ÷ کل شکایات
درصد حل و فصل مذاکره تلفنی بدون بازدید و بدون پرداخت خسارت</t>
  </si>
  <si>
    <t>تعداد بازدیدهای حضوری انجام‌شده در ماه</t>
  </si>
  <si>
    <t>به ازای کل شکایات حداقل 5%</t>
  </si>
  <si>
    <t>مدیریت نرخ بازگشت شکایت 
(مشتری درخواست بررسی مجدد داده)</t>
  </si>
  <si>
    <t>اعلام نارضایتی بیش از 5% نمره منفی دارد
درصد رضایت مشتریان پس از رسیدگی</t>
  </si>
  <si>
    <t>حدود 15 گزارش در طول 3 ماه
1ـگزارش مبالغ در نظر گرفته شده برای خسارات کمتر از ۵۰ میلیون تومان ( ۱۰ روزه)
2ـگزارش منابع انسان 
3ـگزارشات جامع ماهانه کیفی (شکایات،مبالغ پرداختی و...)
ارزیابی دقت ، کیفیت و جامعیت گزارش ارائه شده به مدیرارشد
 گزارش ماهانه از انواع شکایات و تماس ها- انتقادات- پیشنهادات 
گزارش کامل تا ۵م هر ماه</t>
  </si>
  <si>
    <t>نرخ رضایت مشتری از پاسخگویی به تماس ها</t>
  </si>
  <si>
    <t>ارزیابی میزان رضایت مشتریان از پاسخگویی و خدمات ارائه شده</t>
  </si>
  <si>
    <t>نهایی سازی روند اجرا پورتال خدمات امور مشتریان</t>
  </si>
  <si>
    <t>نهایی سازی برنامه اجرا پورتال خدمات امور مشتریان با تیم فناوری اطلاعات</t>
  </si>
  <si>
    <t>والارضا شاهی</t>
  </si>
  <si>
    <t>رئیس تحول دیجیتال در فرآیند فروش</t>
  </si>
  <si>
    <t>Finalize The Online Platform Implementation TimelineWith IT Team</t>
  </si>
  <si>
    <t>نهایی سازی زمان اجرای پلتفرم آنلاین</t>
  </si>
  <si>
    <t>نهایی سازی برنامه اجرای پلتفرم آنلاین فروش و شروع پروژه</t>
  </si>
  <si>
    <t>Come Up With a Plan For Digitalization of Sales Support Procedures</t>
  </si>
  <si>
    <t>آماده سازی برنامه ای برای تحول دیجیتال پروسه ها تیم پشتیبانی فروش</t>
  </si>
  <si>
    <t>شفاف سازی و ساده نمودن کار های تیم پشتیبانی فروش با تحول دیجیتال در این دپارتمان</t>
  </si>
  <si>
    <t>Preparing an on-boarding plan for sales team</t>
  </si>
  <si>
    <t>تهیه برنامه ای برای ورودی های جدید تیم فروش</t>
  </si>
  <si>
    <t>Finalize Online Platform Scope Of Work</t>
  </si>
  <si>
    <t>نهایی سازی روند اجرا پلتفرم آنلاین</t>
  </si>
  <si>
    <t>نهایی سازی برنامه اجرا پلتفرم آنلاین با تیم فناوری اطلاعات</t>
  </si>
  <si>
    <t>Finalize Sales Support Portal Scope Of Work</t>
  </si>
  <si>
    <t>Finalize Field Sales Platform Scope Of Work</t>
  </si>
  <si>
    <t>نهایی سازی روند اجرا پلتفرم فروش میدانی</t>
  </si>
  <si>
    <t>نهایی سازی برنامه اجرا پلتفرم فروش میدانی با تیم فناوری اطلاعات</t>
  </si>
  <si>
    <t>Operational Sales Dashboard</t>
  </si>
  <si>
    <t>نهایی سازی دشبورد فروش قابل استفاده</t>
  </si>
  <si>
    <t>نهایی سازی دشبورد فروش یکپارچه</t>
  </si>
  <si>
    <t>Complete a Meeting With All the Involved Departments For the Online Sales and Customer Support Portal</t>
  </si>
  <si>
    <t>برگزاری جلسه با تمامی تیم های درگیر در پلتفرم خدمات پشتیبانی امور مشتریان و پلتفرم آنلاین</t>
  </si>
  <si>
    <t>برگزاری جلسه برای آمادگی تیم های درگیر در پلتفرم آنلاین و امور مشتریان برای آشنایی با پلتفرم ها</t>
  </si>
  <si>
    <t>مهیار صفرنژادی</t>
  </si>
  <si>
    <t>کارشناس تحول دیجیتال</t>
  </si>
  <si>
    <t>آماده سازی فایل ها لازم برای برگزاری جلسه با تمامی تیم های درگیر در پلتفرم خدمات پشتیبانی امور مشتریان و پلتفرم آنلاین</t>
  </si>
  <si>
    <t>ارائه اطلاعات بازار و برند های رقیب به تیم توسعه کسب و کار</t>
  </si>
  <si>
    <t>تحلیل رقبای داخلی و خارجی در فضای آنلاین</t>
  </si>
  <si>
    <t>آماده سازی فایل های آموزشی پلتفرم های در دست ساخت</t>
  </si>
  <si>
    <t>امیررضا کریمی</t>
  </si>
  <si>
    <t>مدیر توسعه و عملیات فروش</t>
  </si>
  <si>
    <t>Sales volume and turnover</t>
  </si>
  <si>
    <t>حجم فروش و کل درآمد حاصل از فروش محصولات در یک دوره زمانی مشخص و مقایسه با دوره مشابه سال قبل و بودجه فروش</t>
  </si>
  <si>
    <t xml:space="preserve">Design an integrated trade marketing plan for H2 in order to achieving targets </t>
  </si>
  <si>
    <t>طراحی یک طرح یکپارچه بازاریابی فروش برای نیمه دوم سال جهت دستیابی به اهداف</t>
  </si>
  <si>
    <t>دقت پیش‌بینی فروش</t>
  </si>
  <si>
    <t>Review all procedures, based and reports and make necessary changes to improve the way of work</t>
  </si>
  <si>
    <t>بازنگری تمامی پروسه ها، فایل ها و گزارشات و اعمال تغییرات لازم جهت بهبود عملکرد تیم</t>
  </si>
  <si>
    <t>غزاله عزلتی</t>
  </si>
  <si>
    <t>حجم فروش و درآمد فروش</t>
  </si>
  <si>
    <t>حجم فروش و کل درآمد حاصل از فروش محصولات در یک دوره زمانی مشخص و مقایسه با دوره مشابه سال قبل و بودجه فروش
بر اساس تحقق هدف ماه ، فروش از ابتدای سال و مقایسه با زمان مشابه در سال قبل</t>
  </si>
  <si>
    <t>میزان دقت پیش‌بینی‌های فروش در مقایسه با نتایج واقعی</t>
  </si>
  <si>
    <t>انحراف از برنامه فروش</t>
  </si>
  <si>
    <t>میزان انحراف فروش واقعی از برنامه فروش</t>
  </si>
  <si>
    <t>اعمال تغییرات لازم در تمامی پروسه ها، فایل ها و گزارشات مربوط به اهداف هماهنگ با برنامه ریزی تولید</t>
  </si>
  <si>
    <t>هانیه اسدی کمال</t>
  </si>
  <si>
    <t>اعمال تغییرات لازم در گزارشات روزانه فروش</t>
  </si>
  <si>
    <t>مهدیس زرگر</t>
  </si>
  <si>
    <t>کارشناس عملیات فروش</t>
  </si>
  <si>
    <t>اعمال سهمیه بندی کالاها بر اساس سیاست های عملیات فروش</t>
  </si>
  <si>
    <t>شکوفه محمدی</t>
  </si>
  <si>
    <t>کارشناس تحلیل و گزارشات</t>
  </si>
  <si>
    <t>اماده سازی مستر دیتای واحد فروش</t>
  </si>
  <si>
    <t>طراحی داشبورد واحد فروش</t>
  </si>
  <si>
    <t>بازنگری تمامی پروسه ها، فایل ها و گزارشات و اعمال تغییرات لازم جهت اعمال در داشبورد</t>
  </si>
  <si>
    <t>فرزانه پيروند بوري</t>
  </si>
  <si>
    <t>کارشناس صدای مشتریان</t>
  </si>
  <si>
    <t>تعداد تماس‌های پاسخ داده شده</t>
  </si>
  <si>
    <t>تعداد تماس‌ ، پیام ها و ایمیل های پاسخ داده شده در ماه</t>
  </si>
  <si>
    <t>میانگین زمان پاسخگویی</t>
  </si>
  <si>
    <t>میانگین زمان پاسخگویی به تماس‌ها ، پیام ها و ایمیل ها. (≤ 3 ساعت (پیام)/1 روز (ایمیل))</t>
  </si>
  <si>
    <t>دقت و جامعیت گزارش ماهانه</t>
  </si>
  <si>
    <r>
      <t xml:space="preserve">ارزیابی دقت ، کیفیت و جامعیت گزارش ارائه شده به مدیرارشد
 گزارش ماهانه از انواع شکایات و تماس ها- انتقادات- پیشنهادات 
</t>
    </r>
    <r>
      <rPr>
        <b/>
        <u/>
        <sz val="8"/>
        <color theme="1"/>
        <rFont val="B Nazanin"/>
        <charset val="178"/>
      </rPr>
      <t>گزارش کامل تا ۵م هر ماه</t>
    </r>
  </si>
  <si>
    <t>سمیه حسینی</t>
  </si>
  <si>
    <t>سرپرست خدمات کیفی</t>
  </si>
  <si>
    <t>درصد شکایات حل شده در ماه</t>
  </si>
  <si>
    <t xml:space="preserve">تعداد شکایات حل شده ÷ کل شکایات ارجاع‌شده
این شاخص نشان می‌دهد که واحد خدمات پس از فروش در هر ماه به چند شکایت رسیدگی 
و آنها را حل کرده است. این شاخص میزان کارایی و عملکرد کلی واحد را نشان می‌دهد.
</t>
  </si>
  <si>
    <t>نرخ بازگشت شکایت 
(مشتری درخواست بررسی مجدد داده)</t>
  </si>
  <si>
    <t>پایان هر ماه یک گزارش
گزارش ماهانه منطقه ای
ویژه کارشناس</t>
  </si>
  <si>
    <t>زینب عفری</t>
  </si>
  <si>
    <t>کارشناس خدمات کیفی</t>
  </si>
  <si>
    <t>نیلوفر ادیبی</t>
  </si>
  <si>
    <t>Mr. Tunc</t>
  </si>
  <si>
    <t>معاونت مارکتینگ</t>
  </si>
  <si>
    <t>Marketing</t>
  </si>
  <si>
    <t>کارهای اصلی و پروژه ها</t>
  </si>
  <si>
    <t>Main Task &amp; Projects</t>
  </si>
  <si>
    <t>Marketing Strategy &amp; Plan follow up</t>
  </si>
  <si>
    <t>پیگیری استراتژی و پلن مارکتینگ</t>
  </si>
  <si>
    <t xml:space="preserve">Social Media Management According to Marketing plan </t>
  </si>
  <si>
    <t>مدیریت رسانه‌های اجتماعی طبق پلن مارکتینگ</t>
  </si>
  <si>
    <t>Market Research Report</t>
  </si>
  <si>
    <t>گزارش تحقیقات بازار</t>
  </si>
  <si>
    <t xml:space="preserve">Sub-Brand Brand Book Presentation </t>
  </si>
  <si>
    <t>ارائه زیربرند</t>
  </si>
  <si>
    <t>finalizing the website project</t>
  </si>
  <si>
    <t>نهایی سازی پروژه وبسایت</t>
  </si>
  <si>
    <t xml:space="preserve">Distributing all mobile showroom to do market (75) . If the suppliers will deliver on time </t>
  </si>
  <si>
    <t>توزیع تمام موبایل شوروم ها برای عرضه به بازار (75).</t>
  </si>
  <si>
    <t>در صورتی که تأمین‌کنندگان به موقع تحویل دهند.</t>
  </si>
  <si>
    <t>Woodex fair preparation</t>
  </si>
  <si>
    <t>آماده‌سازی نمایشگاه وودکس</t>
  </si>
  <si>
    <t>New décor presentation to sales and following ordering process</t>
  </si>
  <si>
    <t>ارائه دکور جدید به واحد فروش و پیگیری فرآیند سفارش</t>
  </si>
  <si>
    <t>Preparation and delivery of 15 Signboards. Which the suppliers didn’t able to provide in Q2</t>
  </si>
  <si>
    <t>آماده‌سازی و تحویل ۱۵ تابلو</t>
  </si>
  <si>
    <t>که تأمین‌کنندگان نتوانستند در سه‌ماهه دوم ارائه دهند</t>
  </si>
  <si>
    <t>Branding of 4 trucks</t>
  </si>
  <si>
    <t>برندد کردن 4 عدد تراک</t>
  </si>
  <si>
    <t>Preparation for new decors presentation.
 New color chart and doucemnts. This will be preparation and execution will be in Q4</t>
  </si>
  <si>
    <t>آماده‌سازی برای ارائه دکورهای جدید</t>
  </si>
  <si>
    <t>color chart و مستندات جدید. 
آماده‌سازی و اجرا در سه‌ماهه چهارم خواهد بود</t>
  </si>
  <si>
    <t>Execution of 20 décor Eucalytus phase 2 to do market</t>
  </si>
  <si>
    <t>اجرای ۲۰ دکور اکالیپتوس فاز ۲ برای عرضه به بازار</t>
  </si>
  <si>
    <t>Preparation and starting organization for 1 Big showroom in Tehran. This is preparation and opening hopefully in Q4. If we do all payments and agreement</t>
  </si>
  <si>
    <t>آماده‌سازی و سازماندهی ۱ نمایشگاه بزرگ در تهران.</t>
  </si>
  <si>
    <t>این آماده‌سازی و افتتاح در سه‌ماهه چهارم است. اگر تمام پرداخت‌ها و توافقات انجام شود.</t>
  </si>
  <si>
    <t>Finalizing the showroom of the central office building</t>
  </si>
  <si>
    <t>نهایی سازی شوروم ساختمان اداری مرکزی</t>
  </si>
  <si>
    <t>Finalizing the showroom in Tehran</t>
  </si>
  <si>
    <t>نهایی سازی شوروم تهران</t>
  </si>
  <si>
    <t>Adding 9 new HPL decors</t>
  </si>
  <si>
    <t>اضافه کردن تعداد 9 دکور جدید HPL</t>
  </si>
  <si>
    <t>Atefeh Safari</t>
  </si>
  <si>
    <t>کارشناس گرافیک</t>
  </si>
  <si>
    <t>Fatemeh Javadian</t>
  </si>
  <si>
    <t>Social Media Designs (Conditional Stories, Slide Posts)</t>
  </si>
  <si>
    <t>طراحی سوشال مدیا (استوریهای مناسبتی و پست های اسلایدی)</t>
  </si>
  <si>
    <t>Eucalyptus Essence 2 items design (sticker and catalog)</t>
  </si>
  <si>
    <t>طراحی آیتم های اکالیپتوس اسنس 2 (استیکر و کاتالوگ)</t>
  </si>
  <si>
    <t>Monthly Desktop Calendar</t>
  </si>
  <si>
    <t>تقویم دسکتاپ هر ماه</t>
  </si>
  <si>
    <t>Prepration Introduction contetn of sub-brands</t>
  </si>
  <si>
    <t>آماده سازی معرفی زیر برندها</t>
  </si>
  <si>
    <t>Website content designs</t>
  </si>
  <si>
    <t>طراحی محتوای وبسایت</t>
  </si>
  <si>
    <t>Truck branding</t>
  </si>
  <si>
    <t>تراک برندینگ</t>
  </si>
  <si>
    <t>Preparing Content for new choosen decors</t>
  </si>
  <si>
    <t>آماده سازی محتوای معرفی دکورهای منتخب جدید</t>
  </si>
  <si>
    <t>Pakchoob General Product Catalog - Farsi adaptation</t>
  </si>
  <si>
    <t>اماده سازی کاتالوگ جنرال محصولات</t>
  </si>
  <si>
    <t>Preparing digital contents for new choosen decors</t>
  </si>
  <si>
    <t>اماده سازی محتوای دیجیتال دکورهای جدید</t>
  </si>
  <si>
    <t>Render correction for Eucalyptus Essence 2</t>
  </si>
  <si>
    <t>اصلاحات رندرهای اکالیپتوس اسنس 2</t>
  </si>
  <si>
    <t>Agricalture promotion designs (Banner, Story)</t>
  </si>
  <si>
    <t>طراحی بنر، استوریهای واحد ترویج کشاورزی</t>
  </si>
  <si>
    <t>Golnoosh Alambeigi</t>
  </si>
  <si>
    <t>مدیر روابط و رسانه های اجتماعی</t>
  </si>
  <si>
    <t>providing corporate subjects information to the web site</t>
  </si>
  <si>
    <t>تهیه محتوای موضوعات مربوط به شرکت برای وبسایت</t>
  </si>
  <si>
    <t>Yalda Night</t>
  </si>
  <si>
    <t>شب یلدا</t>
  </si>
  <si>
    <t xml:space="preserve">Publishing Ads and interviews in the sectoral publications </t>
  </si>
  <si>
    <t>چاپ تبلیغات و مصاحبه در مجلات تخصصی صنعت</t>
  </si>
  <si>
    <t>C-level and VIP Gifts</t>
  </si>
  <si>
    <t>هدایای معاونت ها</t>
  </si>
  <si>
    <t>Nowruz &amp; christmas calendar and notebook and postcard</t>
  </si>
  <si>
    <t>سررسید، تقویم و کارت تبریک  کریسمس و عید نوروز</t>
  </si>
  <si>
    <t>Sponsoring architecture schools</t>
  </si>
  <si>
    <t>اسپانسری مدرسه معماری</t>
  </si>
  <si>
    <t>completing mail addresses of the customers (architects, designers, etc.)</t>
  </si>
  <si>
    <t>تکمیل آدرس ایمیل های انواع مشتریان (معماران، طراحان و ...)</t>
  </si>
  <si>
    <t>professional corporate video</t>
  </si>
  <si>
    <t>تهیه ویدئوی حرفه ای معرفی گروه صنعتی پاک چوب</t>
  </si>
  <si>
    <t xml:space="preserve">CSR-blood donation </t>
  </si>
  <si>
    <t xml:space="preserve">مسئولیت اجتماعی- اهدای خون </t>
  </si>
  <si>
    <t xml:space="preserve">Digital media Advertising </t>
  </si>
  <si>
    <t>تبلیغات در فضای دیجیتال</t>
  </si>
  <si>
    <t>Architects' event</t>
  </si>
  <si>
    <t>ایونت معماران</t>
  </si>
  <si>
    <t>Nasim Baghcheh</t>
  </si>
  <si>
    <t>مدیر تحقیقات بازار</t>
  </si>
  <si>
    <t>Competition Observation in Tehran regarding TM activities and their pricing: delivering a powerpoint report and an excel file for price index</t>
  </si>
  <si>
    <t xml:space="preserve">نظارت بر رقبا در شهر تهران در ارتباط با فعالیت های تریدمارکتینگ و قیمتگذاری: ارسال گزارش پاورپوینت فعالیت های ترید و فایل اکسل ایندکس قیمت گذاری </t>
  </si>
  <si>
    <t>Competition Observation in Ahvaz regarding TM activities and their pricing: delivering a powerpoint report and an excel file for price index</t>
  </si>
  <si>
    <t xml:space="preserve">نظارت بر رقبا در شهر اهواز در ارتباط با فعالیت های تریدمارکتینگ و قیمتگذاری: ارسال گزارش پاورپوینت فعالیت های ترید و فایل اکسل ایندکس قیمت گذاری </t>
  </si>
  <si>
    <t>Competition Observation in Isfahan regarding TM activities and their pricing: delivering a powerpoint report and an excel file for price index</t>
  </si>
  <si>
    <t xml:space="preserve">نظارت بر رقبا در شهر اصفهان در ارتباط با فعالیت های تریدمارکتینگ و قیمتگذاری: ارسال گزارش پاورپوینت فعالیت های ترید و فایل اکسل ایندکس قیمت گذاری </t>
  </si>
  <si>
    <t>Competition Observation in Shiraz regarding TM activities and their pricing: delivering a powerpoint report and an excel file for price index</t>
  </si>
  <si>
    <t xml:space="preserve">نظارت بر رقبا در شهر شیراز در ارتباط با فعالیت های تریدمارکتینگ و قیمتگذاری: ارسال گزارش پاورپوینت فعالیت های ترید و فایل اکسل ایندکس قیمت گذاری </t>
  </si>
  <si>
    <t>Competition Observation in Tabriz regarding TM activities and their pricing: delivering a powerpoint report and an excel file for price index</t>
  </si>
  <si>
    <t xml:space="preserve">نظارت بر رقبا در شهر تبریز در ارتباط با فعالیت های تریدمارکتینگ و قیمتگذاری: ارسال گزارش پاورپوینت فعالیت های ترید و فایل اکسل ایندکس قیمت گذاری </t>
  </si>
  <si>
    <t xml:space="preserve">end-user Understanding: To understand Tehran carpenters/designers need states, market gaps, market trends, etc. </t>
  </si>
  <si>
    <t xml:space="preserve">شناخت مصرف کننده نهایی: شناخت نیازها، خلاهای بازار، ترندهای بازار و غیره از منظر نجاران/طراحان در شهر تهران </t>
  </si>
  <si>
    <t>Competitors' color chart analysis, best selling colors in terms of agents and designers/architects, providing an archive of their current designs</t>
  </si>
  <si>
    <t xml:space="preserve">تحلیل نمونه ها و سمپل های رقبا از منظر تنوع رنگ و فینیش و غیره، پرفروشترین رنگ های هر برند از نظر نمایندگان، نجاران و طراحان، تهیه آرشیو عکس از طرح های فعلی هر یک از رقبا و به روز رسانی روتین تمامی تغییرات  </t>
  </si>
  <si>
    <t>BLT report</t>
  </si>
  <si>
    <t>گزارش BLT</t>
  </si>
  <si>
    <t xml:space="preserve">Pricing benchmarks of competitors </t>
  </si>
  <si>
    <t xml:space="preserve">بنچمارک قیمتگذاری رقبا </t>
  </si>
  <si>
    <t>Behzad Moammer Pilehrood</t>
  </si>
  <si>
    <t>كارشناس تحقیقات بازار</t>
  </si>
  <si>
    <t>DUYGU AKARSU</t>
  </si>
  <si>
    <t>مدیر بین المللی ترید مارکتینگ برند</t>
  </si>
  <si>
    <t>Follow up Marketing Strategy &amp; Budget</t>
  </si>
  <si>
    <t xml:space="preserve">SM management and creating monthly detailed content sharing calendars </t>
  </si>
  <si>
    <t>New décor Melamine&amp;Pvc Pet - Phase 1 (Concept, printing material)</t>
  </si>
  <si>
    <t>New Pakchoob product catalogue document</t>
  </si>
  <si>
    <t>New décor Melamine&amp;Pvc Pet color chart preparation - Phase 1</t>
  </si>
  <si>
    <t>Finalizing Central showroom - Phase 1 (design and all agreement)</t>
  </si>
  <si>
    <t>Finalizing Tehran showroom - Phase 1 (design and all agreement)</t>
  </si>
  <si>
    <t>Adding worktop decors</t>
  </si>
  <si>
    <t>Corparate Film - Phase 2</t>
  </si>
  <si>
    <t>Web site project finalise with standart format (except RU and AR language)</t>
  </si>
  <si>
    <t>New Brand System Presentation</t>
  </si>
  <si>
    <t>New Brand System Event</t>
  </si>
  <si>
    <t>Product Training Preparation</t>
  </si>
  <si>
    <t>Merch Team Project</t>
  </si>
  <si>
    <t>Trade Marketing Materials Dispatch Report</t>
  </si>
  <si>
    <t>مدیر برند و تبلیغات</t>
  </si>
  <si>
    <t>Preparation of website</t>
  </si>
  <si>
    <t>آماده سازی وب سابت</t>
  </si>
  <si>
    <t>Email marketing</t>
  </si>
  <si>
    <t>ایمیل مارکتینگ</t>
  </si>
  <si>
    <t xml:space="preserve">    Preparation of All  Eucalyptus Essence 2 Contents(Card, Sticker, Catalog, Social Media, videos, render motions, color corrections)</t>
  </si>
  <si>
    <t>اماده سازی محتوای پروژه اکالیپتوس اسانس 2 شامل کارت، استیکر، کاتالوگ، سوشال مدیا، ویدئو، موشن، اصلاح رنگ)</t>
  </si>
  <si>
    <t>All social media posts &amp; stories for products: content production and uploading (Instagram, Youtube, Linkedin, Aparat)</t>
  </si>
  <si>
    <t>آماده سازی و انتشار پست و استوری سوشال مدیا در رسانه های اینستاگرام؛ یوتیوب، لینکدین، آپارات</t>
  </si>
  <si>
    <t>Preparation of monthly sales price list report</t>
  </si>
  <si>
    <t>آماده سازی گزارش فروش</t>
  </si>
  <si>
    <t>Influencer Marketing</t>
  </si>
  <si>
    <t>اینفلوئنسر مارکتینگ</t>
  </si>
  <si>
    <t>Designing &amp; Printing a set of stationery with the new office information</t>
  </si>
  <si>
    <t>آماده سازی ست اوراق اداری دفاتر جدید</t>
  </si>
  <si>
    <t>Prepration of Monthly Desktop Calendar</t>
  </si>
  <si>
    <t>آماده سازی کلندر ماهانه دسکتاپ</t>
  </si>
  <si>
    <t>Prepration of  Eucalyptus Essence1 render motions</t>
  </si>
  <si>
    <t>آماده سازی موشن رندرهای اکالیپتوس اسانس 1</t>
  </si>
  <si>
    <t>آماده سازی ورژن فارسی کاتالوگ جنرال</t>
  </si>
  <si>
    <t>Preparation of the new melamine line 2 video</t>
  </si>
  <si>
    <t>آماده سازی ویدئو خط 2 ملامینه</t>
  </si>
  <si>
    <t>Prepration Pakchoob day motion video</t>
  </si>
  <si>
    <t>آماده سازی ویدئو روی پاک چوب</t>
  </si>
  <si>
    <t>Post and stories report of Intermob</t>
  </si>
  <si>
    <t>آماده سازی و انتشار پست و استوری های اینترموب</t>
  </si>
  <si>
    <t>Prepration Agricalture promotion designs(Banner, Story)</t>
  </si>
  <si>
    <t>آماده سازی طرح استوری و بنر کشاورزی</t>
  </si>
  <si>
    <t>New brand system introduction &amp; presentation to Inside &amp; Outside</t>
  </si>
  <si>
    <t>آماده سازی پروپوزال معرفی ساب برندها</t>
  </si>
  <si>
    <t>New choosen décor printed marketing materials and color chart</t>
  </si>
  <si>
    <t>آماده سازی متریال های دکورهای جدید</t>
  </si>
  <si>
    <t>آماده سازی محتوای دیجیتال دکورهای جدید</t>
  </si>
  <si>
    <t>Intermob General Fair Report</t>
  </si>
  <si>
    <t>گزارش نمایشگاه اینترموب</t>
  </si>
  <si>
    <t>Monthly social media report</t>
  </si>
  <si>
    <t>آماده سازی گزارش اینستاگرام</t>
  </si>
  <si>
    <t>HANDE ASICI</t>
  </si>
  <si>
    <t>Marketing Strategy &amp; Plan &amp; Budget follow up</t>
  </si>
  <si>
    <t>SM content management &amp; communication plan</t>
  </si>
  <si>
    <t>Periodical mailings inside &amp; Outside</t>
  </si>
  <si>
    <t>Influencer collaboration &amp; content for SM</t>
  </si>
  <si>
    <t>Décor renders management with render companies for SM and website</t>
  </si>
  <si>
    <t>Décor animation &amp; moodboard videos</t>
  </si>
  <si>
    <t>Pakchoob General Product Catalog</t>
  </si>
  <si>
    <t>Web site project finalisation with standart format (excluding RU and AR languages)</t>
  </si>
  <si>
    <t>Brand Strategy &amp; Brandbook, (Phase 3)</t>
  </si>
  <si>
    <t>Personnel product trainings preparation</t>
  </si>
  <si>
    <t>Eucalyptus Essence Stage2 Relaunch: Next 20 decors - Card, Sticker, Catalog, Social Media (phase 2)</t>
  </si>
  <si>
    <t>Central showroom design coordination</t>
  </si>
  <si>
    <t>Starting new surface finish projects, surface selection (phase 1)</t>
  </si>
  <si>
    <t>New melamine décor integration &amp; process followup for 2026</t>
  </si>
  <si>
    <t>New pvc-pet décor integration &amp; process followup for 2026</t>
  </si>
  <si>
    <t>New worktop décor selection, integration &amp; process followup for 2026</t>
  </si>
  <si>
    <t>Preparation for new decors marketing materials and color chart</t>
  </si>
  <si>
    <t>Intermob fair report</t>
  </si>
  <si>
    <t>Social media reports</t>
  </si>
  <si>
    <t>Fatima Sedady</t>
  </si>
  <si>
    <t>مدیر ترید ماركتینگ</t>
  </si>
  <si>
    <t>BLT</t>
  </si>
  <si>
    <t>Dealer visit and report - 10 dealers</t>
  </si>
  <si>
    <t>Factory &amp; Sample unit visit - 2 times</t>
  </si>
  <si>
    <t>Central showroom - Phase 1 (design and all agreement)</t>
  </si>
  <si>
    <t>Tehran showroom - Phase 1 (design and all agreement) - Mr. Dastani</t>
  </si>
  <si>
    <t xml:space="preserve">Pinta Pkg Project </t>
  </si>
  <si>
    <t>Promotional items targeting, branding, design &amp; ordering</t>
  </si>
  <si>
    <t>Web site project (Dealer list &amp; Product list)</t>
  </si>
  <si>
    <t>Sub Brand Event</t>
  </si>
  <si>
    <t>Morteza Mohammadi</t>
  </si>
  <si>
    <t>کارشناس ترید ماركتینگ</t>
  </si>
  <si>
    <t>BTL project reports</t>
  </si>
  <si>
    <t>Tracking and coordinating the printing and monitoring of all printed trade marketing materials</t>
  </si>
  <si>
    <t>Examining competitors' color chart designs, style, production and reporting as a presentaion</t>
  </si>
  <si>
    <t>Preparing technical specification documents of all labels, catalogs, color charts, signboards, promotional materials, etc.</t>
  </si>
  <si>
    <t>Promotional items branding</t>
  </si>
  <si>
    <t>Singboards (resizing, mockup &amp; report)</t>
  </si>
  <si>
    <t>Showrooms itemes design</t>
  </si>
  <si>
    <t>Business cards for all departments</t>
  </si>
  <si>
    <t>New décor Melamine&amp;Pvc Pet color chart preparation</t>
  </si>
  <si>
    <t>New décor Melamine&amp;Pvc Pet Sample Box preparation</t>
  </si>
  <si>
    <t>PR projects designs</t>
  </si>
  <si>
    <t>Noushin Sattarifard</t>
  </si>
  <si>
    <t>رئیس ترید مارکتینگ</t>
  </si>
  <si>
    <t>Mobile showroom distribution  -  phase 2 - Padiran</t>
  </si>
  <si>
    <t>Mobile showroom production &amp; distribution  -  phase 3 - Ghavami</t>
  </si>
  <si>
    <t>Mobile showroom production  -  phase 4 - Pourmorshed</t>
  </si>
  <si>
    <t>General coordination with inside &amp; outside (for meeting)</t>
  </si>
  <si>
    <t>Distrubution color charts</t>
  </si>
  <si>
    <t>Distribution promotional gift, items, cataloges, …</t>
  </si>
  <si>
    <t>Distribution customizing samples</t>
  </si>
  <si>
    <t>Big showrooms - Tehran - Mr. Dastani</t>
  </si>
  <si>
    <t>Big showrooms - Central office</t>
  </si>
  <si>
    <t>Collecting contact info from customers, dealers, etc…</t>
  </si>
  <si>
    <t>Market visit and report - 10 dealers</t>
  </si>
  <si>
    <t>All BTL projects reports with Morteza</t>
  </si>
  <si>
    <t>Niloofar Taghavi</t>
  </si>
  <si>
    <t>مسئول طراحی و تبلیغات</t>
  </si>
  <si>
    <t>Design of Eucalyptus Essence 2 items (card – post – story)</t>
  </si>
  <si>
    <t>طراحی آیتم های اکالیپتوس اسنس 2 (کارت - پست و استوری)</t>
  </si>
  <si>
    <t>Storyboard for videos and motions (Eucalyptus 2 and Melamine)</t>
  </si>
  <si>
    <t>استوری برد ویدیوها و موشن ها ( اکالیپتوس 2 و ملامینه)</t>
  </si>
  <si>
    <t>Website content (banner design, product images, and related visuals)</t>
  </si>
  <si>
    <t>محتوای وب سایت (طراحی بنر ها و تصاویر محصولات و برخی تصاویر مرتبط)</t>
  </si>
  <si>
    <t>Melamine video</t>
  </si>
  <si>
    <t>ویدیو ملامینه</t>
  </si>
  <si>
    <t>Social media design (carousel posts)</t>
  </si>
  <si>
    <t>طراحی سوشال مدیا ( پست های اسلایدی)</t>
  </si>
  <si>
    <t>Proposals (projects, BLT, and print guidelines)</t>
  </si>
  <si>
    <t>پروپوزالها (پروژه ها و BLT و راهنمای چاپ ها)</t>
  </si>
  <si>
    <t>Publishing content on Pinterest and LinkedIn</t>
  </si>
  <si>
    <t xml:space="preserve"> انتشار محتوای پینترست و لینکدین</t>
  </si>
  <si>
    <t>Monthly update of sales price lists</t>
  </si>
  <si>
    <t>آپدیت ماهانه لیست قیمت‌های فروش</t>
  </si>
  <si>
    <t>Influencer marketing</t>
  </si>
  <si>
    <t>Obtaining supplier codes</t>
  </si>
  <si>
    <t>گرفتن کد های تامین</t>
  </si>
  <si>
    <t>Designing &amp; Printing corporate/envelope stationery</t>
  </si>
  <si>
    <t>طراحی و چاپ پاکت های سازمانی</t>
  </si>
  <si>
    <t>Preparing content for introducing new selected décors</t>
  </si>
  <si>
    <t xml:space="preserve">آماده سازی محتوای معرفی دکور های منتخب جدید </t>
  </si>
  <si>
    <t>Color corrections for Eucalyptus Essence 2 décor collection</t>
  </si>
  <si>
    <t>اصلاحات رنگ دکور های کالکشن اکالیپتوس اسنس 2</t>
  </si>
  <si>
    <t>Yasin Moshtaravi</t>
  </si>
  <si>
    <t>مسئول عکاسی و تصویربرداری</t>
  </si>
  <si>
    <t>Follow-up on advertising trucks / coordination with the vehicle owner, logistics unit, printing and installation teams, and inspection of transit vehicles after banner installation</t>
  </si>
  <si>
    <t xml:space="preserve">پیگیری تراک های تبلیغاتی / هماهنگی با صاحب ماشین ، واحد تدارکات ، چاپ و نصاب ، بازدید از ماشین های ترانزیت پس از نصب بنر </t>
  </si>
  <si>
    <t xml:space="preserve">
The complete filming of the 4-day Intermob 2025 Exhibition – Istanbul</t>
  </si>
  <si>
    <t>تصویربرداری کامل 4 روز نمایشگاه اینترموب 2025 -  استانبول</t>
  </si>
  <si>
    <t>Editing of 5 stories and one comprehensive video from the Intermob 2025 Exhibition</t>
  </si>
  <si>
    <t>تدوین 5 استوری و یک کلیپ جامع از نمایشگاه اینترموب 2025</t>
  </si>
  <si>
    <t>Uploading content on YouTube and Aparat</t>
  </si>
  <si>
    <t>بارگزاری محتوا در یوتیوب و آپارات</t>
  </si>
  <si>
    <t>Filming factory visitors / Editing the video clip and photos</t>
  </si>
  <si>
    <t>تصویربرداری از بازدیدکنندگان کارخانه / تدوین کلیپ و ادیت تصاویر</t>
  </si>
  <si>
    <t>Preparation of the Yalda Night video</t>
  </si>
  <si>
    <t>تهیه ویدئو مربوط به شب یلدا</t>
  </si>
  <si>
    <t>Filming of the Wood Cleaning Day event</t>
  </si>
  <si>
    <t xml:space="preserve">تصویربرداری روز پاک چوب </t>
  </si>
  <si>
    <t>Uploading Instagram content / Responding to Instagram direct messages</t>
  </si>
  <si>
    <t>بارگزاری محتوای اینستاگرام / پاسخگویی به دایرکت اینستاگرام</t>
  </si>
  <si>
    <t>Filming the Pakchoob ceremonies</t>
  </si>
  <si>
    <t>تصویربرداری از مراسمات پاک چوب</t>
  </si>
  <si>
    <t>Instagram Monthly Report</t>
  </si>
  <si>
    <t>گزارش ماهانه اینستاگرام</t>
  </si>
  <si>
    <t>Preparing an introduction video clip for the MDF production line</t>
  </si>
  <si>
    <t>آماده سازی کلیپ معرفی خط تولید ملامینه</t>
  </si>
  <si>
    <t>Printing and sending condolence banners on the occasion of the passing of colleagues' immediate family members</t>
  </si>
  <si>
    <t>چاپ و ارسال بنر های تسلیت به مناسبت درگذشت اقوام درجه یک همکاران</t>
  </si>
  <si>
    <t>A production line video for cabinet panels, prepared for presentation to the production line supplier</t>
  </si>
  <si>
    <t>کلیپ خط تولید صفحه کابینت جهت ارائه به تامین کننده خط تولید</t>
  </si>
  <si>
    <t>Filming the progress of the central building project</t>
  </si>
  <si>
    <t>تصویربرداری از پیشرفت پروژه ساختمان مرکزی</t>
  </si>
  <si>
    <t>Obtaining the registration license and drone pilot certificate</t>
  </si>
  <si>
    <t>اخذ مجوز پلاک و گواهینامه هلیشات</t>
  </si>
  <si>
    <t>Filming educational/training classes</t>
  </si>
  <si>
    <t xml:space="preserve">تصویربرداری از کلاس های آموزشی </t>
  </si>
  <si>
    <t>Preparation and printing of the guesthouse information form</t>
  </si>
  <si>
    <t>آماده سازی و چاپ فرم اطلاعات مربوط به مهمانسرا</t>
  </si>
  <si>
    <t>Filming of the formalin fire extinguishing drill</t>
  </si>
  <si>
    <t>تصویربرداری از مانور اطفا حریق فرمالین</t>
  </si>
  <si>
    <t>ChatGPT said:
Follow-up on the installation of CCTV cameras on Melamine Line 2 – Tehran Factory</t>
  </si>
  <si>
    <t>پیگیری نصب دوربین مداربسته بر روی خط 2 ملامینه - کارخانه تهران</t>
  </si>
  <si>
    <t>Filming of the Phase 2 project of the Particle Board Factory</t>
  </si>
  <si>
    <t>تصویربرداری از پروژه فاز 2 کارخانه تخته فشرده</t>
  </si>
  <si>
    <t>Kiarash Vazirzadeh</t>
  </si>
  <si>
    <t xml:space="preserve">Competitors' color chart analysis </t>
  </si>
  <si>
    <t xml:space="preserve">تحلیل نمونه ها و سمپل های رقبا از منظر تنوع رنگ و فینیش و غیره </t>
  </si>
  <si>
    <t>Ihsan Tarhan / احسان طرحان</t>
  </si>
  <si>
    <t>معاونت پروژه ها</t>
  </si>
  <si>
    <t>Project</t>
  </si>
  <si>
    <t>KHZ Facility UV Coating Line Agreement</t>
  </si>
  <si>
    <t>توافقنامه خط پوشش UV تاسیسات KHZ</t>
  </si>
  <si>
    <t>MDF 1 Chipper Modification Completion</t>
  </si>
  <si>
    <t>Complete transportation and clearance</t>
  </si>
  <si>
    <t>MDF 1 Chip Silo Corrections, new parts transport to site.</t>
  </si>
  <si>
    <t>اصلاحات سیلوی چیپر، حمل قطعات جدید به محل. MDF1</t>
  </si>
  <si>
    <t>Additional Machine Suppliying of Sample Press</t>
  </si>
  <si>
    <t>تأمین ماشین‌آلات اضافی پرس نمونه</t>
  </si>
  <si>
    <t>New Main Building Civil Works Starting</t>
  </si>
  <si>
    <t>شروع کارهای عمرانی ساختمان اصلی جدید</t>
  </si>
  <si>
    <t>Melamine, Short Cycle 6073</t>
  </si>
  <si>
    <t>Short Cycle 6073 ملامینه</t>
  </si>
  <si>
    <t>Custom clearance to be finalized</t>
  </si>
  <si>
    <t>Melamine Packaging Line</t>
  </si>
  <si>
    <t>خط بسته بندی ملامینه</t>
  </si>
  <si>
    <t>to be Finished</t>
  </si>
  <si>
    <t>High Gloss</t>
  </si>
  <si>
    <t>هایگلاس</t>
  </si>
  <si>
    <t>Manufacturing by Supplier (90%)</t>
  </si>
  <si>
    <t>MDF 3 Line - Starwood Demontage</t>
  </si>
  <si>
    <t>خط 3 MDF- دمونتاژ  Starwood</t>
  </si>
  <si>
    <t>Demontage in Starwood (50%)
Transport (40%), if carry on complete with truck
Project Works (60%)
Main Building of Production Line (37%)
New Machine Agreement (Chipping Line, Conveyors,heating systems, ext) (%100)
Machine Foundations (10%)</t>
  </si>
  <si>
    <t>Energy Station, Gas Engine (4,3 MWX3)-Purchase of Gas Engine for Powering Iranian, Takhte feshordeh and Khuzestan factories</t>
  </si>
  <si>
    <t xml:space="preserve">نیروگاه، موتور گازی (۴،۳ مگاوات × ۳) </t>
  </si>
  <si>
    <t>Contract Signing</t>
  </si>
  <si>
    <t>Waste Water Treatment Plant</t>
  </si>
  <si>
    <t>تصفیه خانه فاضلاب</t>
  </si>
  <si>
    <t>Manufacturing by Supplier (50%)
Civil Works by Pakchoob (10%)</t>
  </si>
  <si>
    <t>Birim Makina</t>
  </si>
  <si>
    <t>راه اندازی birim makina</t>
  </si>
  <si>
    <t>Start-Up</t>
  </si>
  <si>
    <t>Khorasan Fire Exthinguishing</t>
  </si>
  <si>
    <t>اطفاء حریق خراسان</t>
  </si>
  <si>
    <t>End of Installation</t>
  </si>
  <si>
    <t>Khuzestan Fire Exthinguishing</t>
  </si>
  <si>
    <t>اطفاء حریق خوزستان</t>
  </si>
  <si>
    <t>Tehran Fire Exthinguishing</t>
  </si>
  <si>
    <t>اطفاء حریق تهران</t>
  </si>
  <si>
    <t>Central Office Building</t>
  </si>
  <si>
    <t>ساختمان دفتر مرکزی</t>
  </si>
  <si>
    <t>to be Finished by Padiran 80%</t>
  </si>
  <si>
    <t>New Guest House</t>
  </si>
  <si>
    <t>مهمانسرای جدید</t>
  </si>
  <si>
    <t>finalizing the 40% of the design phase</t>
  </si>
  <si>
    <t>Sample Machine for Marketing</t>
  </si>
  <si>
    <t>ماشین سمپل برای مارکتینگ</t>
  </si>
  <si>
    <t>Transportation (100%)</t>
  </si>
  <si>
    <t>Ali Tahan</t>
  </si>
  <si>
    <t>Project Control Supervisor</t>
  </si>
  <si>
    <t>Mohammad Mahmoudifar</t>
  </si>
  <si>
    <t>Prepare &amp; update project schedules (electrical &amp; mechanical &amp;civil)</t>
  </si>
  <si>
    <t>Submit detailed schedule and update regularly</t>
  </si>
  <si>
    <t>Monitor actual vs planned project progress</t>
  </si>
  <si>
    <t>Deviation ≤ 5%</t>
  </si>
  <si>
    <t>Continuous follow-up with relevant units on project progress</t>
  </si>
  <si>
    <t>Collect and consolidate reports</t>
  </si>
  <si>
    <t>Risk &amp; issue management</t>
  </si>
  <si>
    <t>Identify key risks and provide corrective actions</t>
  </si>
  <si>
    <t>Coordination between units &amp; subcontractors</t>
  </si>
  <si>
    <t>Hold coordination meetings &amp; resolve conflicts</t>
  </si>
  <si>
    <t>Maintain project documentation</t>
  </si>
  <si>
    <t>Archive and update all project documents</t>
  </si>
  <si>
    <t>Mostafa Mousaei</t>
  </si>
  <si>
    <t>Mechanical Supervisor</t>
  </si>
  <si>
    <t>Complete mechanical workload data for Tehran Melamine project</t>
  </si>
  <si>
    <t>Submit full report by 15th October</t>
  </si>
  <si>
    <t>Define mechanical material standards &amp; select qualified subcontractor</t>
  </si>
  <si>
    <t>Approve material list &amp; select subcontractor by 15th October</t>
  </si>
  <si>
    <t>Monitor and control mechanical works according to schedule</t>
  </si>
  <si>
    <t>Progress deviation ≤ 5% monthly</t>
  </si>
  <si>
    <t>Attend MDF3 meetings &amp; improve technical knowledge</t>
  </si>
  <si>
    <t>≥90% attendance, provide 2 knowledge notes per quarter</t>
  </si>
  <si>
    <t>Maintain continuous communication with factory maintenance for previous issues</t>
  </si>
  <si>
    <t>Follow up and resolve issues</t>
  </si>
  <si>
    <t>Supervise installation of mechanical packaging equipment for Melamine project</t>
  </si>
  <si>
    <t>Execute with ≤2% nonconformity</t>
  </si>
  <si>
    <t>Purchase of Gas Engine for Powering Iranian, Takhte feshordeh and Khuzestan factories</t>
  </si>
  <si>
    <t>Start-up of birim makina – stationary loader</t>
  </si>
  <si>
    <t>Rahim Raeisi</t>
  </si>
  <si>
    <t>Electrical Supervisor</t>
  </si>
  <si>
    <t>Complete electrical workload data for Tehran Melamine project</t>
  </si>
  <si>
    <t>Define electrical material standards &amp; select qualified subcontractor</t>
  </si>
  <si>
    <t>Monitor and control electrical works according to schedule</t>
  </si>
  <si>
    <t>Supervise installation of electrical packaging equipment for Melamine project</t>
  </si>
  <si>
    <t>رئيس پروژه ماشين آلات</t>
  </si>
  <si>
    <t>Reporting to management</t>
  </si>
  <si>
    <t>Submit consolidated project report weekly</t>
  </si>
  <si>
    <t>Budget and cost management</t>
  </si>
  <si>
    <t>Keep project costs within ±5% of approved budget</t>
  </si>
  <si>
    <t>Risk management</t>
  </si>
  <si>
    <t>Identify high-level risks and implement corrective actions promptly</t>
  </si>
  <si>
    <t>Coordination between departments &amp; supervisors</t>
  </si>
  <si>
    <t>Hold weekly executive meetings and resolve inter-department conflicts</t>
  </si>
  <si>
    <t>Quality assurance &amp; compliance</t>
  </si>
  <si>
    <t>Ensure all works meet project standards, ≤2% nonconformity</t>
  </si>
  <si>
    <t>Manage Melamine Packaging Project execution</t>
  </si>
  <si>
    <t>Ensure project execution according to schedule, deviation ≤5%</t>
  </si>
  <si>
    <t>Manage Tehran Melamine Project execution</t>
  </si>
  <si>
    <t>MDF3 Local Supplier Agreements</t>
  </si>
  <si>
    <t>Achieve 50% completion</t>
  </si>
  <si>
    <t>MDF1 Chipper Modification</t>
  </si>
  <si>
    <t>Complete modification works</t>
  </si>
  <si>
    <t>MDF1 Chip Silo Corrections</t>
  </si>
  <si>
    <t>Transport new parts to site and complete corrections</t>
  </si>
  <si>
    <t>Purchase of Gas Engine for Powering Iranian, Takhte Feshordeh, and Khuzestan Factories</t>
  </si>
  <si>
    <t>Start-up of Birim Makina – Stationary Loader</t>
  </si>
  <si>
    <t>Complete installation and start-up</t>
  </si>
  <si>
    <t>Waste Water Project Progress</t>
  </si>
  <si>
    <t>Reach 30% completion</t>
  </si>
  <si>
    <t>Mr Assafi</t>
  </si>
  <si>
    <t>R&amp;D Expert</t>
  </si>
  <si>
    <t>احسان طرحان</t>
  </si>
  <si>
    <t>MDF1 Chip Silo Corrections, new parts transport to site</t>
  </si>
  <si>
    <t>تجهیزات جدید برای  سیلو های MDF1</t>
  </si>
  <si>
    <t>MDF 3 Machine Supplier Agreements completeness.</t>
  </si>
  <si>
    <t>تکمیل توافقنامه‌های تامین‌کنندگان ماشین‌آلات MDF 3.</t>
  </si>
  <si>
    <t>Waste Water Project Progress Will be proceed as 30%</t>
  </si>
  <si>
    <t>پروژه تصفیه خانه پساب</t>
  </si>
  <si>
    <t>سیویل سوله اصلی کارخانه جدید</t>
  </si>
  <si>
    <t>تجهیزات تکمیلی ماشین پرس نمونه</t>
  </si>
  <si>
    <t>KT 6037 Iranian Factory Short Cycle Line Completion as 50%</t>
  </si>
  <si>
    <t>خط ملامینه جدید کارخانه تهران</t>
  </si>
  <si>
    <t>Takhte Feshordeh Packaging line</t>
  </si>
  <si>
    <t>خط بسته بندی تخت فشرده</t>
  </si>
  <si>
    <t>Purchase of gas engine for powering Iranian, Takhte feshordeh and Khuzestan factories</t>
  </si>
  <si>
    <t>خرید موتور گازی برای تامین برق کارخانه های ایران، تخت فشرده و خوزستان</t>
  </si>
  <si>
    <t>Cooperation in pursuing gas power plant permits</t>
  </si>
  <si>
    <t>همکاری در پیگیری مجوزهای نیروگاه گازی</t>
  </si>
  <si>
    <t>Cooperation in tracking solar power plant permits</t>
  </si>
  <si>
    <t>همکاری در پیگیری مجوزهای نیروگاه خورشیدی</t>
  </si>
  <si>
    <t>Mr Doveirejzadeh</t>
  </si>
  <si>
    <t>Ihsan Tarhan</t>
  </si>
  <si>
    <t>Cooperation in preparing a machinery feasibility plan to receive facilities</t>
  </si>
  <si>
    <t>همکاری در تهیه طرح توجیهی ماشین آلات جهت دریافت تسهیلات</t>
  </si>
  <si>
    <t>Adel Tavakoli</t>
  </si>
  <si>
    <t xml:space="preserve">مدیر عمران </t>
  </si>
  <si>
    <t>MDF 3 Desing Companies Project Completion as %50</t>
  </si>
  <si>
    <t>New Guest House Design Phaze Completion %50</t>
  </si>
  <si>
    <t>Ali Ermurat</t>
  </si>
  <si>
    <t>Project Manager</t>
  </si>
  <si>
    <t>احسان طرحان / Ihsan Tarhan</t>
  </si>
  <si>
    <t>Overtime Works in Starwood Demontage</t>
  </si>
  <si>
    <t>Overtime Works inTKF Factory Mechanical Maintanence Works</t>
  </si>
  <si>
    <t>Overtime Works during maintanence activities</t>
  </si>
  <si>
    <t>Overtime Works General</t>
  </si>
  <si>
    <t>Compliance with the company's fundamental principles</t>
  </si>
  <si>
    <t>Attendance, absence management, and punctuality</t>
  </si>
  <si>
    <t>Responsiveness</t>
  </si>
  <si>
    <t>Accountability and accessibility</t>
  </si>
  <si>
    <t>Compliance with professional and ethical conduct principles</t>
  </si>
  <si>
    <t>Yusuf Kilickan</t>
  </si>
  <si>
    <t>Project Head</t>
  </si>
  <si>
    <t xml:space="preserve">Ahmet Yazici </t>
  </si>
  <si>
    <t>Ergin Karaman</t>
  </si>
  <si>
    <t>Cengiz Azakli</t>
  </si>
  <si>
    <t>Mojtaba Nazeri</t>
  </si>
  <si>
    <t>Head of Technical Office</t>
  </si>
  <si>
    <t>Project size estimation</t>
  </si>
  <si>
    <t>Project contractor purchase request</t>
  </si>
  <si>
    <t>Contractor status review</t>
  </si>
  <si>
    <t>Monitoring the quality and quantity of purchased materials</t>
  </si>
  <si>
    <t>Mehrab Kamiari</t>
  </si>
  <si>
    <t>Technical office expert</t>
  </si>
  <si>
    <t>hasan elahi</t>
  </si>
  <si>
    <t>Internal management of construction site</t>
  </si>
  <si>
    <t>Provision of materials for contractors</t>
  </si>
  <si>
    <t>Division of labor of daily wage workers</t>
  </si>
  <si>
    <t>Support and supervision of daily wage workers</t>
  </si>
  <si>
    <t>ali kord</t>
  </si>
  <si>
    <t>Prepare &amp; update project schedules (civil)</t>
  </si>
  <si>
    <t>Abdolkarim Alekasir</t>
  </si>
  <si>
    <t>Surveying Supervisor</t>
  </si>
  <si>
    <t>Supervision of leveling operations</t>
  </si>
  <si>
    <t>Supervision of road construction operations</t>
  </si>
  <si>
    <t>Supervision of landscaping of the central building</t>
  </si>
  <si>
    <t>Supervision of the precise implementation of the Pak Choob Iranian project</t>
  </si>
  <si>
    <t>Sadegh Saadi</t>
  </si>
  <si>
    <t>Hamzeh Sahraei</t>
  </si>
  <si>
    <t>Head of execution</t>
  </si>
  <si>
    <t>Supervision of the implementation of the central building</t>
  </si>
  <si>
    <t>Supervision of the implementation of the site landscaping</t>
  </si>
  <si>
    <t>Supervision of the implementation of the loader machine project</t>
  </si>
  <si>
    <t>Supervision of the implementation of the scale</t>
  </si>
  <si>
    <t>Supervision of the implementation of the restaurant</t>
  </si>
  <si>
    <t>Mohammad Mehdipour</t>
  </si>
  <si>
    <t>Saeid Mohammadpour</t>
  </si>
  <si>
    <t>Hadi Hori</t>
  </si>
  <si>
    <t>سوسن جعفر خادم</t>
  </si>
  <si>
    <t>كارشناس حسابداری مالی</t>
  </si>
  <si>
    <t>تهیه و کنترل کلیه محاسبات مربوط به حقوق و دستمزد</t>
  </si>
  <si>
    <t>اواسط فصل به کارگزینی گروه جابجا شد، خانم عاملی در انتهای فصل قرار هست شاخص های واحد جدید رو با نتایج اضافه کنند.</t>
  </si>
  <si>
    <t>ثبت سند حقوق و دستمزد و مغایرت گیری زیرسیستم حقوق و مالی</t>
  </si>
  <si>
    <t>تهیه و کنترل و ارسال لیست بیمه و مالیات حقوق در زمان تعیین شده</t>
  </si>
  <si>
    <t>کنترل مبلغ بیمه تکمیلی درمان پرسنل،کسر از فیش حقوقی و آماده سازی لیست پرداخت قسط به شرکت بیمه وهمچنین اسناد مربوطه(شامل شناسایی هزینه ،شناسایی بیمه نامه ها،ثبت پرداخت و کنترل حسابها)</t>
  </si>
  <si>
    <t>مغایرت گیری گزارشات معاملات فصلی با دفاتر</t>
  </si>
  <si>
    <t xml:space="preserve">کنترل ثبت به موقع هزینه های شرکت  در مرکز هزینه و سرفصل صحیح </t>
  </si>
  <si>
    <t>تهیه گزارش خرید جهت اظهارنامه ارزش افزوده و معاملات فصلی</t>
  </si>
  <si>
    <t xml:space="preserve">تهیه،کنترل و ارائه گزارشات تسهیلات (کنترل مانده حساب اصل و بهره تسهیلات در سیستم مالی با کاربرگ ها) جهت ارائه به مدیران و خزانه کل </t>
  </si>
  <si>
    <t>پیگیری و تهیه نامه های مفاصا حساب و امورات پیمانکاران</t>
  </si>
  <si>
    <t xml:space="preserve">کنترل و ارسال اسناد حسابداری از سیستم خزانه داری به سیتم مالی </t>
  </si>
  <si>
    <t>کنترل حساب های تنخواه و هزینه ها</t>
  </si>
  <si>
    <t>تهیه و کنترل لیست بن کارت پرسنل، پاداش بهره وری و تشویقی ها، سایر هدایای ازدواج و ...در زمانهای تعیین شده ی آیین نامه</t>
  </si>
  <si>
    <t>محاسبه حقوق رانندگان ایاب و ذهاب و تنظیم فیش حقوقی  و انطباق کارکردها و قرارداد ها با آیین نامه ی اجرایی در پایان هر ماه</t>
  </si>
  <si>
    <t>مجتبی دیناروند</t>
  </si>
  <si>
    <t>رئیس امور فرهنگی و ورزشی</t>
  </si>
  <si>
    <t>Percentage of Full Implementation of the Sports Calendar</t>
  </si>
  <si>
    <t>درصد اجرای کامل تقویم ورزشی</t>
  </si>
  <si>
    <t>(تعداد مسابقات برگزار شده ÷ تعداد مسابقات برنامه‌ریزی‌شده) × 100</t>
  </si>
  <si>
    <t>Percentage of Participation in Cultural Programs Outside the Company</t>
  </si>
  <si>
    <t>درصد حضور در برنامه‌های فرهنگی خارج از شرکت</t>
  </si>
  <si>
    <t>شرکت در مراسمات ختم اعضای درجه یک پرسنل برای عرض تسلیت از طرف سازمان
شرکت در مراسم هفته نیروی انتظامی و تقدیر از کادر فرماندهی شهرستان شوش، شاوور و کرخه</t>
  </si>
  <si>
    <t>Quality of Reporting After Cultural Programs</t>
  </si>
  <si>
    <t>کیفیت گزارش‌دهی پس از برنامه‌های فرهنگی</t>
  </si>
  <si>
    <t>شامل گزارش های تصویری نیز می شود</t>
  </si>
  <si>
    <t>Holding Monthly Birthday Events in the Current Season</t>
  </si>
  <si>
    <t>Percentage of Progress of the Khuzestan PakChoob Club Permit Project</t>
  </si>
  <si>
    <t>درصد پیشرفت پروژه مجوز باشگاه پاک چوب خوزستان</t>
  </si>
  <si>
    <t>Coordination of Visitors</t>
  </si>
  <si>
    <t>هماهنگی بازدیدکنندگان</t>
  </si>
  <si>
    <t>بازدیدکنندگان سایر شرکت ها، ادارات، ارگان ها و مهمانان مدیران ارشد</t>
  </si>
  <si>
    <t>Organizing a Children's Drawing Contest</t>
  </si>
  <si>
    <t>برگزاری مسابقه نقاشی کودکان</t>
  </si>
  <si>
    <t>برگزاری مسابقه نقاشی درآبان ماه به مناسبت روز جهانی کودک ( برای فرزندان پرسنل سازمان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</si>
</sst>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0_);_(* \(#,##0\);_(* &quot;-&quot;??_);_(@_)"/>
    <numFmt numFmtId="165" formatCode="0.0"/>
    <numFmt numFmtId="166" formatCode="0.0%"/>
    <numFmt numFmtId="167" formatCode="0_);\(0\)"/>
    <numFmt numFmtId="168" formatCode="0;[Red]0"/>
    <numFmt numFmtId="169" formatCode="_ * #,##0_-_ ;_ * #,##0\-_ ;_ * &quot;-&quot;??_-_ ;_ @_ "/>
    <numFmt numFmtId="170" formatCode="[$-3000401]0"/>
    <numFmt numFmtId="171" formatCode="_ * #,##0.00_-[$ريال-429]_ ;_ * #,##0.00\-[$ريال-429]_ ;_ * &quot;-&quot;??_-[$ريال-429]_ ;_ @_ "/>
    <numFmt numFmtId="172" formatCode="_-* #,##0.00_-;\-* #,##0.00_-;_-* &quot;-&quot;??_-;_-@_-"/>
  </numFmts>
  <fonts count="89" x14ac:knownFonts="1">
    <font>
      <sz val="11"/>
      <color theme="1"/>
      <name val="Aptos Narrow"/>
      <family val="2"/>
      <scheme val="minor"/>
    </font>
    <font>
      <sz val="11"/>
      <color theme="1"/>
      <name val="Aptos Narrow"/>
      <family val="2"/>
      <scheme val="minor"/>
    </font>
    <font>
      <b/>
      <sz val="9"/>
      <name val="B Nazanin"/>
      <charset val="178"/>
    </font>
    <font>
      <sz val="9"/>
      <color theme="1"/>
      <name val="B Nazanin"/>
      <charset val="178"/>
    </font>
    <font>
      <b/>
      <sz val="11"/>
      <color rgb="FF000000"/>
      <name val="Arial Narrow"/>
      <family val="2"/>
    </font>
    <font>
      <sz val="9"/>
      <color rgb="FF000000"/>
      <name val="B Nazanin"/>
      <charset val="178"/>
    </font>
    <font>
      <b/>
      <sz val="9"/>
      <color theme="1"/>
      <name val="B Nazanin"/>
      <charset val="178"/>
    </font>
    <font>
      <b/>
      <sz val="10"/>
      <color theme="1"/>
      <name val="B Nazanin"/>
      <charset val="178"/>
    </font>
    <font>
      <b/>
      <sz val="18"/>
      <color theme="1"/>
      <name val="Arial Narrow"/>
      <family val="2"/>
    </font>
    <font>
      <b/>
      <sz val="11"/>
      <color theme="1"/>
      <name val="Arial Narrow"/>
      <family val="2"/>
    </font>
    <font>
      <b/>
      <sz val="9"/>
      <color rgb="FF000000"/>
      <name val="B Nazanin"/>
      <charset val="178"/>
    </font>
    <font>
      <b/>
      <sz val="10"/>
      <color rgb="FF000000"/>
      <name val="B Nazanin"/>
      <charset val="178"/>
    </font>
    <font>
      <sz val="9"/>
      <name val="B Nazanin"/>
      <charset val="178"/>
    </font>
    <font>
      <sz val="10"/>
      <color rgb="FF000000"/>
      <name val="Aptos Narrow"/>
      <family val="2"/>
      <scheme val="minor"/>
    </font>
    <font>
      <b/>
      <sz val="10"/>
      <name val="B Nazanin"/>
      <charset val="178"/>
    </font>
    <font>
      <b/>
      <sz val="18"/>
      <color rgb="FF000000"/>
      <name val="Arial Narrow"/>
      <family val="2"/>
    </font>
    <font>
      <b/>
      <sz val="18"/>
      <name val="Arial Narrow"/>
      <family val="2"/>
    </font>
    <font>
      <sz val="11"/>
      <color theme="1"/>
      <name val="B Nazanin"/>
      <charset val="178"/>
    </font>
    <font>
      <sz val="8"/>
      <color theme="1"/>
      <name val="B Nazanin"/>
      <charset val="178"/>
    </font>
    <font>
      <sz val="8"/>
      <name val="B Nazanin"/>
      <charset val="178"/>
    </font>
    <font>
      <b/>
      <sz val="11"/>
      <name val="Arial Narrow"/>
      <family val="2"/>
    </font>
    <font>
      <sz val="8"/>
      <color rgb="FF000000"/>
      <name val="B Nazanin"/>
      <charset val="178"/>
    </font>
    <font>
      <b/>
      <sz val="8"/>
      <color rgb="FF000000"/>
      <name val="B Nazanin"/>
      <charset val="178"/>
    </font>
    <font>
      <b/>
      <sz val="8"/>
      <color theme="1"/>
      <name val="B Nazanin"/>
      <charset val="178"/>
    </font>
    <font>
      <b/>
      <sz val="8"/>
      <name val="B Nazanin"/>
      <charset val="178"/>
    </font>
    <font>
      <sz val="8"/>
      <color indexed="81"/>
      <name val="Tahoma"/>
      <family val="2"/>
    </font>
    <font>
      <sz val="9"/>
      <color indexed="81"/>
      <name val="Tahoma"/>
      <family val="2"/>
    </font>
    <font>
      <b/>
      <sz val="9"/>
      <color indexed="81"/>
      <name val="Tahoma"/>
      <family val="2"/>
    </font>
    <font>
      <b/>
      <sz val="12"/>
      <color theme="1"/>
      <name val="Aptos Narrow"/>
      <family val="2"/>
      <scheme val="minor"/>
    </font>
    <font>
      <b/>
      <sz val="12"/>
      <name val="Aptos Narrow"/>
      <family val="2"/>
      <scheme val="minor"/>
    </font>
    <font>
      <b/>
      <sz val="12"/>
      <color rgb="FF000000"/>
      <name val="Aptos Narrow"/>
      <family val="2"/>
      <scheme val="minor"/>
    </font>
    <font>
      <b/>
      <sz val="11"/>
      <color theme="1"/>
      <name val="B Nazanin"/>
      <charset val="178"/>
    </font>
    <font>
      <b/>
      <sz val="11"/>
      <name val="B Nazanin"/>
      <charset val="178"/>
    </font>
    <font>
      <sz val="11"/>
      <color theme="1"/>
      <name val="Aptos Narrow"/>
      <family val="2"/>
      <charset val="178"/>
      <scheme val="minor"/>
    </font>
    <font>
      <sz val="9"/>
      <color rgb="FFFF0000"/>
      <name val="B Nazanin"/>
      <charset val="178"/>
    </font>
    <font>
      <vertAlign val="superscript"/>
      <sz val="9"/>
      <color theme="1"/>
      <name val="B Nazanin"/>
      <charset val="178"/>
    </font>
    <font>
      <sz val="10"/>
      <name val="Aptos Narrow"/>
      <family val="2"/>
      <scheme val="minor"/>
    </font>
    <font>
      <sz val="10"/>
      <name val="B Nazanin"/>
      <charset val="178"/>
    </font>
    <font>
      <b/>
      <sz val="24"/>
      <color indexed="81"/>
      <name val="Tahoma"/>
      <family val="2"/>
    </font>
    <font>
      <sz val="24"/>
      <color indexed="81"/>
      <name val="Tahoma"/>
      <family val="2"/>
    </font>
    <font>
      <b/>
      <sz val="22"/>
      <color indexed="81"/>
      <name val="Tahoma"/>
      <family val="2"/>
    </font>
    <font>
      <sz val="22"/>
      <color indexed="81"/>
      <name val="Tahoma"/>
      <family val="2"/>
    </font>
    <font>
      <b/>
      <sz val="11"/>
      <color indexed="81"/>
      <name val="Tahoma"/>
      <family val="2"/>
    </font>
    <font>
      <sz val="11"/>
      <color indexed="81"/>
      <name val="Tahoma"/>
      <family val="2"/>
    </font>
    <font>
      <b/>
      <sz val="10"/>
      <color theme="1"/>
      <name val="Aptos Narrow"/>
      <family val="2"/>
    </font>
    <font>
      <b/>
      <sz val="11"/>
      <color theme="1"/>
      <name val="Aptos Narrow"/>
      <family val="2"/>
    </font>
    <font>
      <b/>
      <sz val="11"/>
      <color rgb="FF000000"/>
      <name val="Aptos Narrow"/>
      <family val="2"/>
    </font>
    <font>
      <sz val="8"/>
      <color indexed="8"/>
      <name val="B Nazanin"/>
      <charset val="178"/>
    </font>
    <font>
      <b/>
      <sz val="10"/>
      <name val="Aptos Narrow"/>
      <family val="2"/>
    </font>
    <font>
      <b/>
      <sz val="11"/>
      <name val="Aptos Narrow"/>
      <family val="2"/>
    </font>
    <font>
      <sz val="10"/>
      <color rgb="FF000000"/>
      <name val="Arial"/>
      <family val="2"/>
    </font>
    <font>
      <b/>
      <sz val="11"/>
      <color rgb="FF000000"/>
      <name val="B Nazanin"/>
      <charset val="178"/>
    </font>
    <font>
      <b/>
      <sz val="14"/>
      <color indexed="81"/>
      <name val="Tahoma"/>
      <family val="2"/>
    </font>
    <font>
      <sz val="14"/>
      <color indexed="81"/>
      <name val="Tahoma"/>
      <family val="2"/>
    </font>
    <font>
      <b/>
      <sz val="11"/>
      <color theme="1"/>
      <name val="Aptos Narrow"/>
      <family val="2"/>
      <scheme val="minor"/>
    </font>
    <font>
      <b/>
      <sz val="16"/>
      <color theme="1"/>
      <name val="Aptos Narrow"/>
      <family val="2"/>
      <scheme val="minor"/>
    </font>
    <font>
      <b/>
      <sz val="16"/>
      <name val="Aptos Narrow"/>
      <family val="2"/>
      <scheme val="minor"/>
    </font>
    <font>
      <b/>
      <sz val="16"/>
      <color rgb="FFFF0000"/>
      <name val="Aptos Narrow"/>
      <family val="2"/>
      <scheme val="minor"/>
    </font>
    <font>
      <sz val="8"/>
      <color rgb="FFFF0000"/>
      <name val="B Nazanin"/>
      <charset val="178"/>
    </font>
    <font>
      <b/>
      <sz val="16"/>
      <color rgb="FF000000"/>
      <name val="Aptos Narrow"/>
      <family val="2"/>
      <scheme val="minor"/>
    </font>
    <font>
      <sz val="16"/>
      <name val="Aptos Narrow"/>
      <family val="2"/>
      <scheme val="minor"/>
    </font>
    <font>
      <sz val="16"/>
      <color theme="1"/>
      <name val="Aptos Narrow"/>
      <family val="2"/>
      <scheme val="minor"/>
    </font>
    <font>
      <b/>
      <u/>
      <sz val="8"/>
      <color rgb="FF000000"/>
      <name val="B Nazanin"/>
      <charset val="178"/>
    </font>
    <font>
      <b/>
      <u/>
      <sz val="8"/>
      <color theme="1"/>
      <name val="B Nazanin"/>
      <charset val="178"/>
    </font>
    <font>
      <sz val="11"/>
      <color rgb="FF000000"/>
      <name val="Calibri"/>
      <family val="2"/>
      <charset val="1"/>
    </font>
    <font>
      <sz val="10"/>
      <color rgb="FF000000"/>
      <name val="Calibri"/>
      <family val="2"/>
      <charset val="1"/>
    </font>
    <font>
      <b/>
      <sz val="16"/>
      <color indexed="8"/>
      <name val="Aptos Narrow"/>
      <family val="2"/>
      <scheme val="minor"/>
    </font>
    <font>
      <b/>
      <sz val="10"/>
      <color theme="1"/>
      <name val="Aptos Narrow"/>
      <family val="2"/>
      <scheme val="minor"/>
    </font>
    <font>
      <b/>
      <sz val="10"/>
      <name val="Aptos Narrow"/>
      <family val="2"/>
      <scheme val="minor"/>
    </font>
    <font>
      <sz val="16"/>
      <color rgb="FF000000"/>
      <name val="Aptos Narrow"/>
      <family val="2"/>
      <scheme val="minor"/>
    </font>
    <font>
      <sz val="8"/>
      <name val="Aptos Narrow"/>
      <family val="2"/>
      <scheme val="minor"/>
    </font>
    <font>
      <sz val="8"/>
      <color theme="1"/>
      <name val="Aptos Narrow"/>
      <family val="2"/>
      <scheme val="minor"/>
    </font>
    <font>
      <sz val="16"/>
      <color rgb="FF000000"/>
      <name val="B Nazanin"/>
      <charset val="178"/>
    </font>
    <font>
      <sz val="8"/>
      <color rgb="FF000000"/>
      <name val="Aptos Narrow"/>
      <family val="2"/>
      <scheme val="minor"/>
    </font>
    <font>
      <sz val="16"/>
      <color theme="1"/>
      <name val="B Nazanin"/>
      <charset val="178"/>
    </font>
    <font>
      <sz val="11"/>
      <color rgb="FF000000"/>
      <name val="B Nazanin"/>
      <charset val="178"/>
    </font>
    <font>
      <sz val="10"/>
      <color theme="1"/>
      <name val="B Nazanin"/>
      <charset val="178"/>
    </font>
    <font>
      <sz val="10"/>
      <color rgb="FF000000"/>
      <name val="B Nazanin"/>
      <charset val="178"/>
    </font>
    <font>
      <sz val="11"/>
      <name val="B Nazanin"/>
      <charset val="178"/>
    </font>
    <font>
      <b/>
      <sz val="8"/>
      <color indexed="81"/>
      <name val="Tahoma"/>
      <family val="2"/>
    </font>
    <font>
      <sz val="9"/>
      <color indexed="81"/>
      <name val="Nazanin"/>
      <charset val="178"/>
    </font>
    <font>
      <sz val="9"/>
      <color indexed="81"/>
      <name val="2  Nazanin"/>
      <charset val="178"/>
    </font>
    <font>
      <b/>
      <sz val="9"/>
      <name val="B Titr"/>
      <charset val="178"/>
    </font>
    <font>
      <sz val="11"/>
      <color theme="1"/>
      <name val="B Titr"/>
      <charset val="178"/>
    </font>
    <font>
      <sz val="9"/>
      <color theme="1"/>
      <name val="B Titr"/>
      <charset val="178"/>
    </font>
    <font>
      <b/>
      <sz val="9"/>
      <name val="Times New Roman"/>
      <family val="1"/>
    </font>
    <font>
      <b/>
      <sz val="10"/>
      <color theme="1"/>
      <name val="Times New Roman"/>
      <family val="1"/>
    </font>
    <font>
      <b/>
      <sz val="10"/>
      <color rgb="FF000000"/>
      <name val="Times New Roman"/>
      <family val="1"/>
    </font>
    <font>
      <b/>
      <sz val="10"/>
      <name val="Times New Roman"/>
      <family val="1"/>
    </font>
  </fonts>
  <fills count="32">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0"/>
        <bgColor indexed="64"/>
      </patternFill>
    </fill>
    <fill>
      <patternFill patternType="solid">
        <fgColor theme="9" tint="0.79998168889431442"/>
        <bgColor indexed="64"/>
      </patternFill>
    </fill>
    <fill>
      <patternFill patternType="solid">
        <fgColor rgb="FFEBF1DE"/>
        <bgColor rgb="FF000000"/>
      </patternFill>
    </fill>
    <fill>
      <patternFill patternType="solid">
        <fgColor theme="7" tint="0.79998168889431442"/>
        <bgColor indexed="64"/>
      </patternFill>
    </fill>
    <fill>
      <patternFill patternType="solid">
        <fgColor theme="8"/>
        <bgColor indexed="64"/>
      </patternFill>
    </fill>
    <fill>
      <patternFill patternType="solid">
        <fgColor theme="8" tint="0.79998168889431442"/>
        <bgColor rgb="FF000000"/>
      </patternFill>
    </fill>
    <fill>
      <patternFill patternType="solid">
        <fgColor theme="8"/>
        <bgColor rgb="FF000000"/>
      </patternFill>
    </fill>
    <fill>
      <patternFill patternType="solid">
        <fgColor theme="0"/>
        <bgColor rgb="FF000000"/>
      </patternFill>
    </fill>
    <fill>
      <patternFill patternType="solid">
        <fgColor theme="9" tint="0.79995117038483843"/>
        <bgColor indexed="64"/>
      </patternFill>
    </fill>
    <fill>
      <patternFill patternType="solid">
        <fgColor theme="8" tint="0.79998168889431442"/>
        <bgColor theme="4" tint="0.79998168889431442"/>
      </patternFill>
    </fill>
    <fill>
      <patternFill patternType="solid">
        <fgColor theme="6" tint="0.79998168889431442"/>
        <bgColor theme="4" tint="0.79998168889431442"/>
      </patternFill>
    </fill>
    <fill>
      <patternFill patternType="solid">
        <fgColor rgb="FFFFFF00"/>
        <bgColor rgb="FF000000"/>
      </patternFill>
    </fill>
    <fill>
      <patternFill patternType="solid">
        <fgColor theme="0"/>
        <bgColor theme="4" tint="0.79998168889431442"/>
      </patternFill>
    </fill>
    <fill>
      <patternFill patternType="solid">
        <fgColor theme="8" tint="0.79998168889431442"/>
        <bgColor theme="4"/>
      </patternFill>
    </fill>
    <fill>
      <patternFill patternType="solid">
        <fgColor theme="6" tint="0.79998168889431442"/>
        <bgColor theme="4"/>
      </patternFill>
    </fill>
    <fill>
      <patternFill patternType="solid">
        <fgColor theme="0"/>
        <bgColor theme="4"/>
      </patternFill>
    </fill>
    <fill>
      <patternFill patternType="solid">
        <fgColor theme="7" tint="0.79998168889431442"/>
        <bgColor theme="4"/>
      </patternFill>
    </fill>
    <fill>
      <patternFill patternType="solid">
        <fgColor theme="8" tint="0.79995117038483843"/>
        <bgColor indexed="64"/>
      </patternFill>
    </fill>
    <fill>
      <patternFill patternType="solid">
        <fgColor theme="7" tint="0.79998168889431442"/>
        <bgColor rgb="FF000000"/>
      </patternFill>
    </fill>
    <fill>
      <patternFill patternType="solid">
        <fgColor theme="8" tint="0.79998168889431442"/>
        <bgColor rgb="FFFFFFFF"/>
      </patternFill>
    </fill>
    <fill>
      <patternFill patternType="solid">
        <fgColor theme="6" tint="0.79998168889431442"/>
        <bgColor rgb="FFFFFFFF"/>
      </patternFill>
    </fill>
    <fill>
      <patternFill patternType="solid">
        <fgColor theme="4" tint="0.79998168889431442"/>
        <bgColor indexed="64"/>
      </patternFill>
    </fill>
    <fill>
      <patternFill patternType="solid">
        <fgColor theme="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8"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top style="thin">
        <color theme="4"/>
      </top>
      <bottom/>
      <diagonal/>
    </border>
    <border>
      <left style="thin">
        <color indexed="64"/>
      </left>
      <right/>
      <top style="thin">
        <color theme="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s>
  <cellStyleXfs count="24">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xf numFmtId="9" fontId="13" fillId="0" borderId="0" applyFont="0" applyFill="0" applyBorder="0" applyAlignment="0" applyProtection="0"/>
    <xf numFmtId="0" fontId="1" fillId="0" borderId="0"/>
    <xf numFmtId="43" fontId="13" fillId="0" borderId="0" applyFont="0" applyFill="0" applyBorder="0" applyAlignment="0" applyProtection="0"/>
    <xf numFmtId="0" fontId="13" fillId="0" borderId="0"/>
    <xf numFmtId="9" fontId="33"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3" fillId="0" borderId="0"/>
    <xf numFmtId="9" fontId="13" fillId="0" borderId="0" applyFont="0" applyFill="0" applyBorder="0" applyAlignment="0" applyProtection="0"/>
    <xf numFmtId="0" fontId="50" fillId="0" borderId="0"/>
    <xf numFmtId="172" fontId="13" fillId="0" borderId="0" applyFont="0" applyFill="0" applyBorder="0" applyAlignment="0" applyProtection="0"/>
    <xf numFmtId="0" fontId="13" fillId="0" borderId="0"/>
    <xf numFmtId="43" fontId="1" fillId="0" borderId="0" applyFont="0" applyFill="0" applyBorder="0" applyAlignment="0" applyProtection="0"/>
    <xf numFmtId="0" fontId="13" fillId="0" borderId="0"/>
    <xf numFmtId="0" fontId="33" fillId="0" borderId="0"/>
    <xf numFmtId="9" fontId="64" fillId="0" borderId="0" applyFont="0" applyFill="0" applyBorder="0" applyAlignment="0" applyProtection="0"/>
    <xf numFmtId="0" fontId="65" fillId="0" borderId="0"/>
    <xf numFmtId="0" fontId="13" fillId="0" borderId="0"/>
    <xf numFmtId="0" fontId="13" fillId="0" borderId="0"/>
  </cellStyleXfs>
  <cellXfs count="2003">
    <xf numFmtId="0" fontId="0" fillId="0" borderId="0" xfId="0"/>
    <xf numFmtId="1" fontId="3"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 fontId="4"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readingOrder="2"/>
    </xf>
    <xf numFmtId="1" fontId="6" fillId="2"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9" fontId="8" fillId="2" borderId="1" xfId="2" applyFont="1" applyFill="1" applyBorder="1" applyAlignment="1">
      <alignment horizontal="center" vertical="center"/>
    </xf>
    <xf numFmtId="0" fontId="3" fillId="2" borderId="1" xfId="0" applyFont="1" applyFill="1" applyBorder="1" applyAlignment="1">
      <alignment horizontal="left" vertical="center"/>
    </xf>
    <xf numFmtId="164" fontId="3" fillId="3" borderId="1" xfId="1" applyNumberFormat="1" applyFont="1" applyFill="1" applyBorder="1" applyAlignment="1">
      <alignment horizontal="center" vertical="center"/>
    </xf>
    <xf numFmtId="9" fontId="9" fillId="3"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9" fontId="5" fillId="2" borderId="1" xfId="2"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1" fontId="4" fillId="0" borderId="1" xfId="0" applyNumberFormat="1" applyFont="1" applyBorder="1" applyAlignment="1">
      <alignment horizontal="center" vertical="center"/>
    </xf>
    <xf numFmtId="49" fontId="5" fillId="0" borderId="1" xfId="0" applyNumberFormat="1" applyFont="1" applyBorder="1" applyAlignment="1">
      <alignment horizontal="center" vertical="center" readingOrder="2"/>
    </xf>
    <xf numFmtId="1" fontId="6" fillId="0" borderId="1" xfId="0" applyNumberFormat="1" applyFont="1" applyBorder="1" applyAlignment="1">
      <alignment horizontal="center" vertical="center"/>
    </xf>
    <xf numFmtId="0" fontId="7" fillId="0" borderId="1" xfId="0" applyFont="1" applyBorder="1" applyAlignment="1">
      <alignment horizontal="center" vertical="center"/>
    </xf>
    <xf numFmtId="9" fontId="8" fillId="0" borderId="1" xfId="2"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164" fontId="3" fillId="0" borderId="1" xfId="1" applyNumberFormat="1" applyFont="1" applyFill="1" applyBorder="1" applyAlignment="1">
      <alignment horizontal="center" vertical="center"/>
    </xf>
    <xf numFmtId="9" fontId="9"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right" vertical="center" readingOrder="1"/>
    </xf>
    <xf numFmtId="9" fontId="3" fillId="0" borderId="1" xfId="2" applyFont="1" applyFill="1" applyBorder="1" applyAlignment="1">
      <alignment horizontal="center" vertical="center"/>
    </xf>
    <xf numFmtId="1" fontId="6"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9" fontId="8" fillId="4" borderId="1" xfId="0" applyNumberFormat="1" applyFont="1" applyFill="1" applyBorder="1" applyAlignment="1">
      <alignment horizontal="center" vertical="center"/>
    </xf>
    <xf numFmtId="0" fontId="12" fillId="4" borderId="1" xfId="0" applyFont="1" applyFill="1" applyBorder="1" applyAlignment="1">
      <alignment horizontal="left" vertical="center"/>
    </xf>
    <xf numFmtId="0" fontId="3" fillId="4" borderId="1" xfId="0" applyFont="1" applyFill="1" applyBorder="1" applyAlignment="1">
      <alignment horizontal="right" vertical="center"/>
    </xf>
    <xf numFmtId="9" fontId="3" fillId="4" borderId="1" xfId="2" applyFont="1" applyFill="1" applyBorder="1" applyAlignment="1">
      <alignment horizontal="center" vertical="center"/>
    </xf>
    <xf numFmtId="9" fontId="9" fillId="4" borderId="1" xfId="0" applyNumberFormat="1" applyFont="1" applyFill="1" applyBorder="1" applyAlignment="1">
      <alignment horizontal="center" vertical="center"/>
    </xf>
    <xf numFmtId="9"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xf>
    <xf numFmtId="0" fontId="12" fillId="4" borderId="1" xfId="0" applyFont="1" applyFill="1" applyBorder="1" applyAlignment="1">
      <alignment horizontal="right" vertical="center" wrapText="1"/>
    </xf>
    <xf numFmtId="0" fontId="12" fillId="4" borderId="1" xfId="0" applyFont="1" applyFill="1" applyBorder="1" applyAlignment="1">
      <alignment horizontal="right" vertical="center"/>
    </xf>
    <xf numFmtId="0" fontId="12" fillId="4" borderId="1" xfId="0" applyFont="1" applyFill="1" applyBorder="1" applyAlignment="1">
      <alignment horizontal="right" vertical="center" readingOrder="2"/>
    </xf>
    <xf numFmtId="1" fontId="3" fillId="4" borderId="1" xfId="2" applyNumberFormat="1" applyFont="1" applyFill="1" applyBorder="1" applyAlignment="1">
      <alignment horizontal="center" vertical="center"/>
    </xf>
    <xf numFmtId="9" fontId="3" fillId="3" borderId="1" xfId="2" applyFont="1" applyFill="1" applyBorder="1" applyAlignment="1">
      <alignment horizontal="center" vertical="center"/>
    </xf>
    <xf numFmtId="0" fontId="3" fillId="4" borderId="1" xfId="0" applyFont="1" applyFill="1" applyBorder="1"/>
    <xf numFmtId="9" fontId="8" fillId="0" borderId="1" xfId="0" applyNumberFormat="1" applyFont="1" applyBorder="1" applyAlignment="1">
      <alignment horizontal="center" vertical="center"/>
    </xf>
    <xf numFmtId="1" fontId="3" fillId="0" borderId="1" xfId="2" applyNumberFormat="1" applyFont="1" applyFill="1" applyBorder="1" applyAlignment="1">
      <alignment horizontal="center" vertical="center"/>
    </xf>
    <xf numFmtId="9" fontId="9" fillId="0" borderId="1" xfId="2" applyFont="1" applyFill="1" applyBorder="1" applyAlignment="1">
      <alignment horizontal="center" vertical="center"/>
    </xf>
    <xf numFmtId="0" fontId="3" fillId="2" borderId="1" xfId="0" applyFont="1" applyFill="1" applyBorder="1" applyAlignment="1">
      <alignment horizontal="right" vertical="center"/>
    </xf>
    <xf numFmtId="1" fontId="9" fillId="2" borderId="1" xfId="0" applyNumberFormat="1" applyFont="1" applyFill="1" applyBorder="1" applyAlignment="1">
      <alignment horizontal="center" vertical="center"/>
    </xf>
    <xf numFmtId="9" fontId="10" fillId="2" borderId="1" xfId="2" applyFont="1" applyFill="1" applyBorder="1" applyAlignment="1">
      <alignment horizontal="center" vertical="center"/>
    </xf>
    <xf numFmtId="1" fontId="5" fillId="2" borderId="1" xfId="2" applyNumberFormat="1" applyFont="1" applyFill="1" applyBorder="1" applyAlignment="1">
      <alignment horizontal="center" vertical="center"/>
    </xf>
    <xf numFmtId="49" fontId="14" fillId="4" borderId="1" xfId="3" applyNumberFormat="1" applyFont="1" applyFill="1" applyBorder="1" applyAlignment="1">
      <alignment horizontal="center" vertical="center"/>
    </xf>
    <xf numFmtId="9" fontId="15" fillId="2" borderId="1" xfId="2" applyFont="1" applyFill="1" applyBorder="1" applyAlignment="1">
      <alignment horizontal="center" vertical="center"/>
    </xf>
    <xf numFmtId="0" fontId="12" fillId="2" borderId="1" xfId="0" applyFont="1" applyFill="1" applyBorder="1" applyAlignment="1">
      <alignment horizontal="right" vertical="center"/>
    </xf>
    <xf numFmtId="165" fontId="12" fillId="2" borderId="1" xfId="0" applyNumberFormat="1" applyFont="1" applyFill="1" applyBorder="1" applyAlignment="1">
      <alignment horizontal="center" vertical="center"/>
    </xf>
    <xf numFmtId="9" fontId="4" fillId="2" borderId="1" xfId="2" applyFont="1" applyFill="1" applyBorder="1" applyAlignment="1">
      <alignment horizontal="center" vertical="center"/>
    </xf>
    <xf numFmtId="49" fontId="3" fillId="6" borderId="1" xfId="0" applyNumberFormat="1" applyFont="1" applyFill="1" applyBorder="1" applyAlignment="1">
      <alignment horizontal="center" vertical="center"/>
    </xf>
    <xf numFmtId="1" fontId="9" fillId="6" borderId="1" xfId="0" applyNumberFormat="1" applyFont="1" applyFill="1" applyBorder="1" applyAlignment="1">
      <alignment horizontal="center" vertical="center"/>
    </xf>
    <xf numFmtId="49" fontId="12" fillId="6" borderId="1" xfId="0" applyNumberFormat="1" applyFont="1" applyFill="1" applyBorder="1" applyAlignment="1">
      <alignment horizontal="center" vertical="center"/>
    </xf>
    <xf numFmtId="9" fontId="10" fillId="4" borderId="1" xfId="4" applyFont="1" applyFill="1" applyBorder="1" applyAlignment="1">
      <alignment horizontal="center" vertical="center"/>
    </xf>
    <xf numFmtId="1" fontId="5" fillId="4" borderId="1" xfId="4" applyNumberFormat="1" applyFont="1" applyFill="1" applyBorder="1" applyAlignment="1">
      <alignment horizontal="center" vertical="center"/>
    </xf>
    <xf numFmtId="9" fontId="5" fillId="4" borderId="1" xfId="4" applyFont="1" applyFill="1" applyBorder="1" applyAlignment="1">
      <alignment horizontal="center" vertical="center"/>
    </xf>
    <xf numFmtId="9" fontId="16" fillId="4" borderId="1" xfId="2" applyFont="1" applyFill="1" applyBorder="1" applyAlignment="1">
      <alignment horizontal="center" vertical="center"/>
    </xf>
    <xf numFmtId="0" fontId="12" fillId="4" borderId="1" xfId="0" applyFont="1" applyFill="1" applyBorder="1" applyAlignment="1">
      <alignment horizontal="center" vertical="center"/>
    </xf>
    <xf numFmtId="9" fontId="4" fillId="4" borderId="1" xfId="4" applyFont="1" applyFill="1" applyBorder="1" applyAlignment="1">
      <alignment horizontal="center" vertical="center"/>
    </xf>
    <xf numFmtId="9" fontId="5" fillId="4" borderId="1" xfId="2" applyFont="1" applyFill="1" applyBorder="1" applyAlignment="1">
      <alignment horizontal="center" vertical="center"/>
    </xf>
    <xf numFmtId="1" fontId="5" fillId="4" borderId="1" xfId="2" applyNumberFormat="1" applyFont="1" applyFill="1" applyBorder="1" applyAlignment="1">
      <alignment horizontal="center" vertical="center"/>
    </xf>
    <xf numFmtId="1" fontId="9" fillId="0" borderId="1" xfId="0" applyNumberFormat="1" applyFont="1" applyBorder="1" applyAlignment="1">
      <alignment horizontal="center" vertical="center"/>
    </xf>
    <xf numFmtId="0" fontId="6" fillId="0" borderId="1" xfId="0" applyFont="1" applyBorder="1" applyAlignment="1">
      <alignment horizontal="center"/>
    </xf>
    <xf numFmtId="1" fontId="3" fillId="0" borderId="1" xfId="0" applyNumberFormat="1" applyFont="1" applyBorder="1" applyAlignment="1">
      <alignment horizontal="center"/>
    </xf>
    <xf numFmtId="0" fontId="3" fillId="0" borderId="1" xfId="0" applyFont="1" applyBorder="1" applyAlignment="1">
      <alignment horizontal="center"/>
    </xf>
    <xf numFmtId="49" fontId="14" fillId="6" borderId="1" xfId="0" applyNumberFormat="1" applyFont="1" applyFill="1" applyBorder="1" applyAlignment="1">
      <alignment horizontal="center" vertical="center"/>
    </xf>
    <xf numFmtId="0" fontId="3" fillId="0" borderId="1" xfId="0" applyFont="1" applyBorder="1"/>
    <xf numFmtId="9" fontId="3" fillId="0" borderId="1" xfId="2" applyFont="1" applyBorder="1" applyAlignment="1">
      <alignment horizontal="center" vertical="center"/>
    </xf>
    <xf numFmtId="9" fontId="9" fillId="0" borderId="1" xfId="2" applyFont="1" applyBorder="1" applyAlignment="1">
      <alignment horizontal="center" vertical="center"/>
    </xf>
    <xf numFmtId="9" fontId="5" fillId="0" borderId="1" xfId="2" applyFont="1" applyFill="1" applyBorder="1" applyAlignment="1">
      <alignment horizontal="center" vertical="center"/>
    </xf>
    <xf numFmtId="1" fontId="5" fillId="0" borderId="1" xfId="2" applyNumberFormat="1" applyFont="1" applyFill="1" applyBorder="1" applyAlignment="1">
      <alignment horizontal="center" vertical="center"/>
    </xf>
    <xf numFmtId="0" fontId="17" fillId="4" borderId="1" xfId="0" applyFont="1" applyFill="1" applyBorder="1" applyAlignment="1">
      <alignment horizontal="center" vertical="center" wrapText="1"/>
    </xf>
    <xf numFmtId="0" fontId="18" fillId="4" borderId="1" xfId="0" applyFont="1" applyFill="1" applyBorder="1" applyAlignment="1">
      <alignment horizontal="center" vertical="center"/>
    </xf>
    <xf numFmtId="164" fontId="19" fillId="4" borderId="1" xfId="1" applyNumberFormat="1" applyFont="1" applyFill="1" applyBorder="1" applyAlignment="1">
      <alignment horizontal="center" vertical="center"/>
    </xf>
    <xf numFmtId="9" fontId="20" fillId="4" borderId="1" xfId="2" applyFont="1" applyFill="1" applyBorder="1" applyAlignment="1">
      <alignment horizontal="center" vertical="center"/>
    </xf>
    <xf numFmtId="9" fontId="10" fillId="0" borderId="1" xfId="4" applyFont="1" applyFill="1" applyBorder="1" applyAlignment="1">
      <alignment horizontal="center" vertical="center"/>
    </xf>
    <xf numFmtId="1" fontId="5" fillId="0" borderId="1" xfId="4" applyNumberFormat="1" applyFont="1" applyFill="1" applyBorder="1" applyAlignment="1">
      <alignment horizontal="center" vertical="center"/>
    </xf>
    <xf numFmtId="9" fontId="5" fillId="0" borderId="1" xfId="4" applyFont="1" applyFill="1" applyBorder="1" applyAlignment="1">
      <alignment horizontal="center" vertical="center"/>
    </xf>
    <xf numFmtId="49" fontId="14" fillId="0" borderId="1" xfId="0" applyNumberFormat="1" applyFont="1" applyBorder="1" applyAlignment="1">
      <alignment horizontal="center" vertical="center"/>
    </xf>
    <xf numFmtId="9" fontId="4" fillId="0" borderId="1" xfId="4" applyFont="1" applyFill="1" applyBorder="1" applyAlignment="1">
      <alignment horizontal="center" vertical="center"/>
    </xf>
    <xf numFmtId="0" fontId="3" fillId="0" borderId="0" xfId="0" applyFont="1"/>
    <xf numFmtId="9" fontId="4" fillId="0" borderId="1" xfId="2" applyFont="1" applyFill="1" applyBorder="1" applyAlignment="1">
      <alignment horizontal="center" vertical="center"/>
    </xf>
    <xf numFmtId="0" fontId="3" fillId="0" borderId="1" xfId="0" applyFont="1" applyBorder="1" applyAlignment="1">
      <alignment wrapText="1"/>
    </xf>
    <xf numFmtId="49" fontId="14" fillId="2"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1" fontId="20" fillId="6" borderId="1" xfId="0" applyNumberFormat="1" applyFont="1" applyFill="1" applyBorder="1" applyAlignment="1">
      <alignment horizontal="center" vertical="center"/>
    </xf>
    <xf numFmtId="9" fontId="2" fillId="2" borderId="1" xfId="0" applyNumberFormat="1" applyFont="1" applyFill="1" applyBorder="1" applyAlignment="1">
      <alignment horizontal="center" vertical="center"/>
    </xf>
    <xf numFmtId="1" fontId="12" fillId="2" borderId="1" xfId="0" applyNumberFormat="1" applyFont="1" applyFill="1" applyBorder="1" applyAlignment="1">
      <alignment horizontal="center" vertical="center"/>
    </xf>
    <xf numFmtId="9" fontId="12"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9" fontId="5" fillId="2" borderId="1" xfId="0" applyNumberFormat="1" applyFont="1" applyFill="1" applyBorder="1" applyAlignment="1">
      <alignment horizontal="center" vertical="center"/>
    </xf>
    <xf numFmtId="9" fontId="20" fillId="2" borderId="1" xfId="2" applyFont="1" applyFill="1" applyBorder="1" applyAlignment="1">
      <alignment horizontal="center" vertical="center"/>
    </xf>
    <xf numFmtId="49" fontId="12" fillId="2" borderId="1" xfId="0" applyNumberFormat="1" applyFont="1" applyFill="1" applyBorder="1" applyAlignment="1">
      <alignment horizontal="center" vertical="center"/>
    </xf>
    <xf numFmtId="1" fontId="20" fillId="2" borderId="1" xfId="0" applyNumberFormat="1" applyFont="1" applyFill="1" applyBorder="1" applyAlignment="1">
      <alignment horizontal="center" vertical="center"/>
    </xf>
    <xf numFmtId="9" fontId="10" fillId="2" borderId="1" xfId="4" applyFont="1" applyFill="1" applyBorder="1" applyAlignment="1">
      <alignment horizontal="center" vertical="center"/>
    </xf>
    <xf numFmtId="1" fontId="5" fillId="2" borderId="1" xfId="4" applyNumberFormat="1" applyFont="1" applyFill="1" applyBorder="1" applyAlignment="1">
      <alignment horizontal="center" vertical="center"/>
    </xf>
    <xf numFmtId="9" fontId="5" fillId="2" borderId="1" xfId="4" applyFont="1" applyFill="1" applyBorder="1" applyAlignment="1">
      <alignment horizontal="center" vertical="center"/>
    </xf>
    <xf numFmtId="9" fontId="16" fillId="2" borderId="1" xfId="2" applyFont="1" applyFill="1" applyBorder="1" applyAlignment="1">
      <alignment horizontal="center" vertical="center"/>
    </xf>
    <xf numFmtId="9" fontId="3" fillId="2" borderId="1" xfId="2" applyFont="1" applyFill="1" applyBorder="1" applyAlignment="1">
      <alignment horizontal="center" vertical="top"/>
    </xf>
    <xf numFmtId="9" fontId="9" fillId="2" borderId="1" xfId="4" applyFont="1" applyFill="1" applyBorder="1" applyAlignment="1">
      <alignment horizontal="center" vertical="top"/>
    </xf>
    <xf numFmtId="9" fontId="3" fillId="4" borderId="1" xfId="2" applyFont="1" applyFill="1" applyBorder="1" applyAlignment="1">
      <alignment horizontal="center" vertical="top"/>
    </xf>
    <xf numFmtId="9" fontId="9" fillId="4" borderId="1" xfId="4" applyFont="1" applyFill="1" applyBorder="1" applyAlignment="1">
      <alignment horizontal="center" vertical="top"/>
    </xf>
    <xf numFmtId="9" fontId="16" fillId="6" borderId="1" xfId="2" applyFont="1" applyFill="1" applyBorder="1" applyAlignment="1">
      <alignment horizontal="center" vertical="center"/>
    </xf>
    <xf numFmtId="9" fontId="3" fillId="0" borderId="1" xfId="2" applyFont="1" applyFill="1" applyBorder="1" applyAlignment="1">
      <alignment horizontal="center" vertical="top"/>
    </xf>
    <xf numFmtId="9" fontId="9" fillId="0" borderId="1" xfId="2" applyFont="1" applyFill="1" applyBorder="1" applyAlignment="1">
      <alignment horizontal="center" vertical="top"/>
    </xf>
    <xf numFmtId="0" fontId="5" fillId="2" borderId="1" xfId="6" applyNumberFormat="1" applyFont="1" applyFill="1" applyBorder="1" applyAlignment="1">
      <alignment horizontal="center" vertical="center"/>
    </xf>
    <xf numFmtId="49" fontId="12" fillId="0" borderId="1" xfId="0" applyNumberFormat="1" applyFont="1" applyBorder="1" applyAlignment="1">
      <alignment horizontal="center" vertical="center"/>
    </xf>
    <xf numFmtId="1" fontId="20" fillId="0" borderId="1" xfId="0" applyNumberFormat="1" applyFont="1" applyBorder="1" applyAlignment="1">
      <alignment horizontal="center" vertical="center"/>
    </xf>
    <xf numFmtId="0" fontId="7" fillId="7" borderId="1" xfId="0" applyFont="1" applyFill="1" applyBorder="1" applyAlignment="1">
      <alignment horizontal="center" vertical="center"/>
    </xf>
    <xf numFmtId="9" fontId="3" fillId="4" borderId="1" xfId="4" applyFont="1" applyFill="1" applyBorder="1" applyAlignment="1">
      <alignment horizontal="center" vertical="center"/>
    </xf>
    <xf numFmtId="0" fontId="14" fillId="7" borderId="1" xfId="0" applyFont="1" applyFill="1" applyBorder="1" applyAlignment="1">
      <alignment horizontal="center" vertical="center"/>
    </xf>
    <xf numFmtId="9" fontId="6" fillId="2" borderId="1" xfId="2" applyFont="1" applyFill="1" applyBorder="1" applyAlignment="1">
      <alignment horizontal="center" vertical="center"/>
    </xf>
    <xf numFmtId="1" fontId="3" fillId="2" borderId="1" xfId="2" applyNumberFormat="1" applyFont="1" applyFill="1" applyBorder="1" applyAlignment="1">
      <alignment horizontal="center" vertical="center"/>
    </xf>
    <xf numFmtId="9" fontId="3" fillId="2" borderId="1" xfId="2" applyFont="1" applyFill="1" applyBorder="1" applyAlignment="1">
      <alignment horizontal="center" vertical="center"/>
    </xf>
    <xf numFmtId="0" fontId="3" fillId="2" borderId="1" xfId="0" applyFont="1" applyFill="1" applyBorder="1" applyAlignment="1">
      <alignment horizontal="left" vertical="center" wrapText="1"/>
    </xf>
    <xf numFmtId="9" fontId="9" fillId="2" borderId="1" xfId="2" applyFont="1" applyFill="1" applyBorder="1" applyAlignment="1">
      <alignment horizontal="center" vertical="center"/>
    </xf>
    <xf numFmtId="9" fontId="6" fillId="4" borderId="1" xfId="2" applyFont="1" applyFill="1" applyBorder="1" applyAlignment="1">
      <alignment horizontal="center" vertical="center"/>
    </xf>
    <xf numFmtId="0" fontId="7" fillId="6" borderId="1" xfId="0" applyFont="1" applyFill="1" applyBorder="1" applyAlignment="1">
      <alignment horizontal="center" vertical="center"/>
    </xf>
    <xf numFmtId="9" fontId="15" fillId="4" borderId="1" xfId="2" applyFont="1" applyFill="1" applyBorder="1" applyAlignment="1">
      <alignment horizontal="center" vertical="center"/>
    </xf>
    <xf numFmtId="9" fontId="9" fillId="4" borderId="1" xfId="2" applyFont="1" applyFill="1" applyBorder="1" applyAlignment="1">
      <alignment horizontal="center" vertical="center"/>
    </xf>
    <xf numFmtId="9" fontId="5" fillId="4" borderId="1" xfId="0" applyNumberFormat="1" applyFont="1" applyFill="1" applyBorder="1" applyAlignment="1">
      <alignment horizontal="center" vertical="center"/>
    </xf>
    <xf numFmtId="9" fontId="4" fillId="4" borderId="1" xfId="2" applyFont="1" applyFill="1" applyBorder="1" applyAlignment="1">
      <alignment horizontal="center" vertical="center"/>
    </xf>
    <xf numFmtId="166" fontId="5" fillId="4" borderId="1" xfId="0" applyNumberFormat="1" applyFont="1" applyFill="1" applyBorder="1" applyAlignment="1">
      <alignment horizontal="center" vertical="center"/>
    </xf>
    <xf numFmtId="9" fontId="10" fillId="4" borderId="1" xfId="2" applyFont="1" applyFill="1" applyBorder="1" applyAlignment="1">
      <alignment horizontal="center" vertical="center"/>
    </xf>
    <xf numFmtId="0" fontId="3" fillId="0" borderId="2" xfId="0" applyFont="1" applyBorder="1"/>
    <xf numFmtId="9" fontId="6" fillId="6" borderId="1" xfId="2" applyFont="1" applyFill="1" applyBorder="1" applyAlignment="1">
      <alignment horizontal="center" vertical="center"/>
    </xf>
    <xf numFmtId="1" fontId="3" fillId="6" borderId="1" xfId="2" applyNumberFormat="1" applyFont="1" applyFill="1" applyBorder="1" applyAlignment="1">
      <alignment horizontal="center" vertical="center"/>
    </xf>
    <xf numFmtId="9" fontId="3" fillId="6" borderId="1" xfId="2" applyFont="1" applyFill="1" applyBorder="1" applyAlignment="1">
      <alignment horizontal="center" vertical="center"/>
    </xf>
    <xf numFmtId="0" fontId="14" fillId="6" borderId="1" xfId="0" applyFont="1" applyFill="1" applyBorder="1" applyAlignment="1">
      <alignment horizontal="center" vertical="center"/>
    </xf>
    <xf numFmtId="0" fontId="12" fillId="6" borderId="1" xfId="0" applyFont="1" applyFill="1" applyBorder="1" applyAlignment="1">
      <alignment horizontal="left" vertical="center"/>
    </xf>
    <xf numFmtId="0" fontId="12" fillId="6" borderId="1" xfId="0" applyFont="1" applyFill="1" applyBorder="1" applyAlignment="1">
      <alignment horizontal="right" vertical="center"/>
    </xf>
    <xf numFmtId="9" fontId="5" fillId="6" borderId="1" xfId="0" applyNumberFormat="1" applyFont="1" applyFill="1" applyBorder="1" applyAlignment="1">
      <alignment horizontal="center" vertical="center"/>
    </xf>
    <xf numFmtId="9" fontId="4" fillId="6" borderId="1" xfId="2" applyFont="1" applyFill="1" applyBorder="1" applyAlignment="1">
      <alignment horizontal="center" vertical="center"/>
    </xf>
    <xf numFmtId="9" fontId="4" fillId="4" borderId="1" xfId="0" applyNumberFormat="1" applyFont="1" applyFill="1" applyBorder="1" applyAlignment="1">
      <alignment horizontal="center" vertical="center"/>
    </xf>
    <xf numFmtId="9" fontId="10" fillId="6" borderId="1" xfId="2" applyFont="1" applyFill="1" applyBorder="1" applyAlignment="1">
      <alignment horizontal="center" vertical="center"/>
    </xf>
    <xf numFmtId="1" fontId="5" fillId="6" borderId="1" xfId="2" applyNumberFormat="1" applyFont="1" applyFill="1" applyBorder="1" applyAlignment="1">
      <alignment horizontal="center" vertical="center"/>
    </xf>
    <xf numFmtId="9" fontId="5" fillId="6" borderId="1" xfId="2" applyFont="1" applyFill="1" applyBorder="1" applyAlignment="1">
      <alignment horizontal="center" vertical="center"/>
    </xf>
    <xf numFmtId="9" fontId="4" fillId="6" borderId="1" xfId="0" applyNumberFormat="1" applyFont="1" applyFill="1" applyBorder="1" applyAlignment="1">
      <alignment horizontal="center" vertical="center"/>
    </xf>
    <xf numFmtId="0" fontId="5" fillId="4" borderId="1" xfId="3" applyFont="1" applyFill="1" applyBorder="1" applyAlignment="1">
      <alignment horizontal="left" vertical="center" wrapText="1"/>
    </xf>
    <xf numFmtId="0" fontId="3" fillId="2" borderId="1" xfId="0" applyFont="1" applyFill="1" applyBorder="1"/>
    <xf numFmtId="9" fontId="5" fillId="2" borderId="1" xfId="3" applyNumberFormat="1" applyFont="1" applyFill="1" applyBorder="1" applyAlignment="1">
      <alignment horizontal="center" vertical="center"/>
    </xf>
    <xf numFmtId="9" fontId="12" fillId="2" borderId="1" xfId="2" applyFont="1" applyFill="1" applyBorder="1" applyAlignment="1">
      <alignment horizontal="center" vertical="center"/>
    </xf>
    <xf numFmtId="9" fontId="8" fillId="4" borderId="1" xfId="2" applyFont="1" applyFill="1" applyBorder="1" applyAlignment="1">
      <alignment horizontal="center" vertical="center"/>
    </xf>
    <xf numFmtId="9" fontId="5" fillId="4" borderId="1" xfId="3" applyNumberFormat="1" applyFont="1" applyFill="1" applyBorder="1" applyAlignment="1">
      <alignment horizontal="center" vertical="center"/>
    </xf>
    <xf numFmtId="9" fontId="2" fillId="4" borderId="1" xfId="2" applyFont="1" applyFill="1" applyBorder="1" applyAlignment="1">
      <alignment horizontal="center" vertical="center"/>
    </xf>
    <xf numFmtId="1" fontId="12" fillId="4" borderId="1" xfId="2" applyNumberFormat="1" applyFont="1" applyFill="1" applyBorder="1" applyAlignment="1">
      <alignment horizontal="center" vertical="center"/>
    </xf>
    <xf numFmtId="9" fontId="12" fillId="4" borderId="1" xfId="2" applyFont="1" applyFill="1" applyBorder="1" applyAlignment="1">
      <alignment horizontal="center" vertical="center"/>
    </xf>
    <xf numFmtId="9" fontId="2" fillId="6" borderId="1" xfId="2" applyFont="1" applyFill="1" applyBorder="1" applyAlignment="1">
      <alignment horizontal="center" vertical="center"/>
    </xf>
    <xf numFmtId="1" fontId="12" fillId="6" borderId="1" xfId="2" applyNumberFormat="1" applyFont="1" applyFill="1" applyBorder="1" applyAlignment="1">
      <alignment horizontal="center" vertical="center"/>
    </xf>
    <xf numFmtId="9" fontId="12" fillId="6" borderId="1" xfId="2" applyFont="1" applyFill="1" applyBorder="1" applyAlignment="1">
      <alignment horizontal="center" vertical="center"/>
    </xf>
    <xf numFmtId="9" fontId="8" fillId="6" borderId="1" xfId="2" applyFont="1" applyFill="1" applyBorder="1" applyAlignment="1">
      <alignment horizontal="center" vertical="center"/>
    </xf>
    <xf numFmtId="9" fontId="5" fillId="6" borderId="1" xfId="3" applyNumberFormat="1" applyFont="1" applyFill="1" applyBorder="1" applyAlignment="1">
      <alignment horizontal="center" vertical="center"/>
    </xf>
    <xf numFmtId="9" fontId="20" fillId="6" borderId="1" xfId="2" applyFont="1" applyFill="1" applyBorder="1" applyAlignment="1">
      <alignment horizontal="center" vertical="center"/>
    </xf>
    <xf numFmtId="9" fontId="12" fillId="0" borderId="1" xfId="2" applyFont="1" applyFill="1" applyBorder="1" applyAlignment="1">
      <alignment horizontal="center" vertical="center"/>
    </xf>
    <xf numFmtId="1" fontId="12" fillId="0" borderId="1" xfId="2" applyNumberFormat="1" applyFont="1" applyFill="1" applyBorder="1" applyAlignment="1">
      <alignment horizontal="center" vertical="center"/>
    </xf>
    <xf numFmtId="0" fontId="3" fillId="6" borderId="1" xfId="0" applyFont="1" applyFill="1" applyBorder="1"/>
    <xf numFmtId="0" fontId="14" fillId="0" borderId="1" xfId="0" applyFont="1" applyBorder="1" applyAlignment="1">
      <alignment horizontal="center" vertical="center"/>
    </xf>
    <xf numFmtId="9" fontId="5" fillId="0" borderId="1" xfId="3" applyNumberFormat="1" applyFont="1" applyBorder="1" applyAlignment="1">
      <alignment horizontal="center" vertical="center"/>
    </xf>
    <xf numFmtId="9" fontId="20" fillId="0" borderId="1" xfId="2" applyFont="1" applyFill="1" applyBorder="1" applyAlignment="1">
      <alignment horizontal="center" vertical="center"/>
    </xf>
    <xf numFmtId="9" fontId="2" fillId="0" borderId="1" xfId="2" applyFont="1" applyFill="1" applyBorder="1" applyAlignment="1">
      <alignment horizontal="center" vertical="center"/>
    </xf>
    <xf numFmtId="9" fontId="2" fillId="2" borderId="1" xfId="2" applyFont="1" applyFill="1" applyBorder="1" applyAlignment="1">
      <alignment horizontal="center" vertical="center"/>
    </xf>
    <xf numFmtId="1" fontId="12" fillId="2" borderId="1" xfId="2" applyNumberFormat="1" applyFont="1" applyFill="1" applyBorder="1" applyAlignment="1">
      <alignment horizontal="center" vertical="center"/>
    </xf>
    <xf numFmtId="9" fontId="6" fillId="0" borderId="1" xfId="2" applyFont="1" applyFill="1" applyBorder="1" applyAlignment="1">
      <alignment horizontal="center" vertical="center"/>
    </xf>
    <xf numFmtId="0" fontId="14" fillId="2" borderId="1" xfId="0" applyFont="1" applyFill="1" applyBorder="1" applyAlignment="1">
      <alignment horizontal="center" vertical="center"/>
    </xf>
    <xf numFmtId="9" fontId="12" fillId="2" borderId="1" xfId="4" applyFont="1" applyFill="1" applyBorder="1" applyAlignment="1">
      <alignment horizontal="center" vertical="center"/>
    </xf>
    <xf numFmtId="9" fontId="12" fillId="2" borderId="1" xfId="2" applyFont="1" applyFill="1" applyBorder="1" applyAlignment="1">
      <alignment horizontal="center" vertical="center" wrapText="1"/>
    </xf>
    <xf numFmtId="0" fontId="14" fillId="4" borderId="1" xfId="0" applyFont="1" applyFill="1" applyBorder="1" applyAlignment="1">
      <alignment horizontal="center" vertical="center"/>
    </xf>
    <xf numFmtId="0" fontId="12" fillId="4" borderId="1" xfId="0" applyFont="1" applyFill="1" applyBorder="1"/>
    <xf numFmtId="9" fontId="16" fillId="0" borderId="1" xfId="2" applyFont="1" applyFill="1" applyBorder="1" applyAlignment="1">
      <alignment horizontal="center" vertical="center"/>
    </xf>
    <xf numFmtId="0" fontId="12" fillId="0" borderId="1" xfId="0" applyFont="1" applyBorder="1"/>
    <xf numFmtId="9" fontId="9" fillId="6" borderId="1" xfId="2" applyFont="1" applyFill="1" applyBorder="1" applyAlignment="1">
      <alignment horizontal="center" vertical="center"/>
    </xf>
    <xf numFmtId="9" fontId="12" fillId="2" borderId="1" xfId="3" applyNumberFormat="1" applyFont="1" applyFill="1" applyBorder="1" applyAlignment="1">
      <alignment horizontal="center" vertical="center"/>
    </xf>
    <xf numFmtId="9" fontId="12" fillId="4" borderId="1" xfId="3" applyNumberFormat="1" applyFont="1" applyFill="1" applyBorder="1" applyAlignment="1">
      <alignment horizontal="center" vertical="center"/>
    </xf>
    <xf numFmtId="9" fontId="12" fillId="6" borderId="1" xfId="3"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11" fillId="8" borderId="1" xfId="0" applyFont="1" applyFill="1" applyBorder="1" applyAlignment="1">
      <alignment horizontal="center" vertical="center"/>
    </xf>
    <xf numFmtId="0" fontId="3" fillId="4" borderId="1" xfId="0" applyFont="1" applyFill="1" applyBorder="1" applyAlignment="1">
      <alignment horizontal="center" vertical="center"/>
    </xf>
    <xf numFmtId="1" fontId="12" fillId="4" borderId="1" xfId="0" applyNumberFormat="1" applyFont="1" applyFill="1" applyBorder="1" applyAlignment="1">
      <alignment horizontal="center" vertical="center"/>
    </xf>
    <xf numFmtId="0" fontId="21" fillId="2" borderId="1" xfId="3" applyFont="1" applyFill="1" applyBorder="1" applyAlignment="1">
      <alignment horizontal="center" vertical="center"/>
    </xf>
    <xf numFmtId="49" fontId="18" fillId="2" borderId="1" xfId="0" applyNumberFormat="1" applyFont="1" applyFill="1" applyBorder="1" applyAlignment="1">
      <alignment horizontal="center" vertical="center"/>
    </xf>
    <xf numFmtId="1" fontId="4" fillId="2" borderId="1" xfId="3" applyNumberFormat="1" applyFont="1" applyFill="1" applyBorder="1" applyAlignment="1">
      <alignment horizontal="center" vertical="center"/>
    </xf>
    <xf numFmtId="0" fontId="22" fillId="2" borderId="1" xfId="3" applyFont="1" applyFill="1" applyBorder="1" applyAlignment="1">
      <alignment horizontal="center" vertical="center"/>
    </xf>
    <xf numFmtId="49" fontId="7" fillId="2" borderId="1" xfId="0" applyNumberFormat="1" applyFont="1" applyFill="1" applyBorder="1" applyAlignment="1">
      <alignment horizontal="center" vertical="center"/>
    </xf>
    <xf numFmtId="49" fontId="19" fillId="2" borderId="1" xfId="3" applyNumberFormat="1" applyFont="1" applyFill="1" applyBorder="1" applyAlignment="1">
      <alignment horizontal="left" vertical="center"/>
    </xf>
    <xf numFmtId="0" fontId="21" fillId="2" borderId="1" xfId="3" applyFont="1" applyFill="1" applyBorder="1" applyAlignment="1">
      <alignment horizontal="right" vertical="center"/>
    </xf>
    <xf numFmtId="0" fontId="19" fillId="2" borderId="1" xfId="3" applyFont="1" applyFill="1" applyBorder="1" applyAlignment="1">
      <alignment horizontal="center" vertical="center"/>
    </xf>
    <xf numFmtId="164" fontId="19" fillId="2" borderId="1" xfId="1" applyNumberFormat="1" applyFont="1" applyFill="1" applyBorder="1" applyAlignment="1">
      <alignment horizontal="center" vertical="center"/>
    </xf>
    <xf numFmtId="9" fontId="21" fillId="2" borderId="1" xfId="2" applyFont="1" applyFill="1" applyBorder="1" applyAlignment="1">
      <alignment horizontal="center" vertical="center"/>
    </xf>
    <xf numFmtId="1" fontId="21" fillId="2" borderId="1" xfId="2" applyNumberFormat="1" applyFont="1" applyFill="1" applyBorder="1" applyAlignment="1">
      <alignment horizontal="center" vertical="center"/>
    </xf>
    <xf numFmtId="9" fontId="21" fillId="2" borderId="1" xfId="4" applyFont="1" applyFill="1" applyBorder="1" applyAlignment="1">
      <alignment horizontal="center" vertical="center"/>
    </xf>
    <xf numFmtId="49" fontId="19" fillId="0" borderId="1" xfId="0" applyNumberFormat="1" applyFont="1" applyBorder="1" applyAlignment="1">
      <alignment horizontal="center" vertical="center"/>
    </xf>
    <xf numFmtId="49" fontId="18" fillId="0" borderId="1" xfId="0" applyNumberFormat="1" applyFont="1" applyBorder="1" applyAlignment="1">
      <alignment horizontal="center" vertical="center"/>
    </xf>
    <xf numFmtId="0" fontId="24" fillId="0" borderId="1" xfId="0" applyFont="1" applyBorder="1" applyAlignment="1">
      <alignment horizontal="center" vertical="center"/>
    </xf>
    <xf numFmtId="49" fontId="7" fillId="4" borderId="1" xfId="0" applyNumberFormat="1" applyFont="1" applyFill="1" applyBorder="1" applyAlignment="1">
      <alignment horizontal="center" vertical="center"/>
    </xf>
    <xf numFmtId="49" fontId="19" fillId="4" borderId="1" xfId="3" applyNumberFormat="1" applyFont="1" applyFill="1" applyBorder="1" applyAlignment="1">
      <alignment horizontal="left" vertical="center"/>
    </xf>
    <xf numFmtId="0" fontId="21" fillId="4" borderId="1" xfId="3" applyFont="1" applyFill="1" applyBorder="1" applyAlignment="1">
      <alignment horizontal="right" vertical="center"/>
    </xf>
    <xf numFmtId="9" fontId="19" fillId="4" borderId="1" xfId="2" applyFont="1" applyFill="1" applyBorder="1" applyAlignment="1">
      <alignment horizontal="center" vertical="center"/>
    </xf>
    <xf numFmtId="167" fontId="19" fillId="4" borderId="1" xfId="1" applyNumberFormat="1" applyFont="1" applyFill="1" applyBorder="1" applyAlignment="1">
      <alignment horizontal="center" vertical="center"/>
    </xf>
    <xf numFmtId="9" fontId="21" fillId="4" borderId="1" xfId="2" applyFont="1" applyFill="1" applyBorder="1" applyAlignment="1">
      <alignment horizontal="center" vertical="center"/>
    </xf>
    <xf numFmtId="1" fontId="21" fillId="4" borderId="1" xfId="2" applyNumberFormat="1" applyFont="1" applyFill="1" applyBorder="1" applyAlignment="1">
      <alignment horizontal="center" vertical="center"/>
    </xf>
    <xf numFmtId="9" fontId="21" fillId="4" borderId="1" xfId="4" applyFont="1" applyFill="1" applyBorder="1" applyAlignment="1">
      <alignment horizontal="center" vertical="center"/>
    </xf>
    <xf numFmtId="9" fontId="23" fillId="4" borderId="1" xfId="4" applyFont="1" applyFill="1" applyBorder="1" applyAlignment="1">
      <alignment horizontal="center" vertical="center"/>
    </xf>
    <xf numFmtId="0" fontId="19" fillId="0" borderId="1" xfId="0" applyFont="1" applyBorder="1" applyAlignment="1">
      <alignment horizontal="center" vertical="center"/>
    </xf>
    <xf numFmtId="0" fontId="19" fillId="4" borderId="1" xfId="3" applyFont="1" applyFill="1" applyBorder="1" applyAlignment="1">
      <alignment horizontal="center" vertical="center"/>
    </xf>
    <xf numFmtId="37" fontId="21" fillId="4" borderId="1" xfId="6" applyNumberFormat="1" applyFont="1" applyFill="1" applyBorder="1" applyAlignment="1">
      <alignment horizontal="center" vertical="center"/>
    </xf>
    <xf numFmtId="49" fontId="19" fillId="0" borderId="1" xfId="3" applyNumberFormat="1" applyFont="1" applyBorder="1" applyAlignment="1">
      <alignment horizontal="left" vertical="center"/>
    </xf>
    <xf numFmtId="0" fontId="21" fillId="0" borderId="1" xfId="3" applyFont="1" applyBorder="1" applyAlignment="1">
      <alignment horizontal="right" vertical="center"/>
    </xf>
    <xf numFmtId="9" fontId="19" fillId="0" borderId="1" xfId="2" applyFont="1" applyBorder="1" applyAlignment="1">
      <alignment horizontal="center" vertical="center"/>
    </xf>
    <xf numFmtId="9" fontId="21" fillId="0" borderId="1" xfId="2" applyFont="1" applyFill="1" applyBorder="1" applyAlignment="1">
      <alignment horizontal="center" vertical="center"/>
    </xf>
    <xf numFmtId="1" fontId="21" fillId="0" borderId="1" xfId="2" applyNumberFormat="1" applyFont="1" applyFill="1" applyBorder="1" applyAlignment="1">
      <alignment horizontal="center" vertical="center"/>
    </xf>
    <xf numFmtId="9" fontId="21" fillId="0" borderId="1" xfId="4" applyFont="1" applyFill="1" applyBorder="1" applyAlignment="1">
      <alignment horizontal="center" vertical="center"/>
    </xf>
    <xf numFmtId="9" fontId="23" fillId="0" borderId="1" xfId="4" applyFont="1" applyFill="1" applyBorder="1" applyAlignment="1">
      <alignment horizontal="center" vertical="center"/>
    </xf>
    <xf numFmtId="0" fontId="19" fillId="0" borderId="1" xfId="3" applyFont="1" applyBorder="1" applyAlignment="1">
      <alignment horizontal="center" vertical="center"/>
    </xf>
    <xf numFmtId="167" fontId="18" fillId="0" borderId="1" xfId="1" applyNumberFormat="1" applyFont="1" applyFill="1" applyBorder="1" applyAlignment="1">
      <alignment horizontal="center" vertical="center"/>
    </xf>
    <xf numFmtId="9" fontId="18" fillId="0" borderId="1" xfId="2" applyFont="1" applyFill="1" applyBorder="1" applyAlignment="1">
      <alignment horizontal="center" vertical="center"/>
    </xf>
    <xf numFmtId="1" fontId="19" fillId="0" borderId="1" xfId="2" applyNumberFormat="1" applyFont="1" applyBorder="1" applyAlignment="1">
      <alignment horizontal="center" vertical="center"/>
    </xf>
    <xf numFmtId="0" fontId="14" fillId="2" borderId="1" xfId="3" applyFont="1" applyFill="1" applyBorder="1" applyAlignment="1">
      <alignment horizontal="center" vertical="center"/>
    </xf>
    <xf numFmtId="164" fontId="21" fillId="2" borderId="1" xfId="6" applyNumberFormat="1" applyFont="1" applyFill="1" applyBorder="1" applyAlignment="1">
      <alignment horizontal="center" vertical="center"/>
    </xf>
    <xf numFmtId="37" fontId="19" fillId="2" borderId="1" xfId="1" applyNumberFormat="1" applyFont="1" applyFill="1" applyBorder="1" applyAlignment="1">
      <alignment horizontal="center" vertical="center"/>
    </xf>
    <xf numFmtId="9" fontId="14" fillId="4" borderId="1" xfId="2" applyFont="1" applyFill="1" applyBorder="1" applyAlignment="1">
      <alignment horizontal="center" vertical="center"/>
    </xf>
    <xf numFmtId="164" fontId="21" fillId="4" borderId="1" xfId="6" applyNumberFormat="1" applyFont="1" applyFill="1" applyBorder="1" applyAlignment="1">
      <alignment horizontal="center" vertical="center"/>
    </xf>
    <xf numFmtId="9" fontId="21" fillId="4" borderId="1" xfId="2" applyFont="1" applyFill="1" applyBorder="1" applyAlignment="1">
      <alignment horizontal="right" vertical="center"/>
    </xf>
    <xf numFmtId="167" fontId="21" fillId="4" borderId="1" xfId="1" applyNumberFormat="1" applyFont="1" applyFill="1" applyBorder="1" applyAlignment="1">
      <alignment horizontal="center" vertical="center"/>
    </xf>
    <xf numFmtId="9" fontId="18" fillId="4" borderId="1" xfId="4" applyFont="1" applyFill="1" applyBorder="1" applyAlignment="1">
      <alignment horizontal="center" vertical="center"/>
    </xf>
    <xf numFmtId="1" fontId="22" fillId="4" borderId="1" xfId="2" applyNumberFormat="1" applyFont="1" applyFill="1" applyBorder="1" applyAlignment="1">
      <alignment horizontal="center" vertical="center"/>
    </xf>
    <xf numFmtId="9" fontId="21" fillId="0" borderId="1" xfId="0" applyNumberFormat="1" applyFont="1" applyBorder="1" applyAlignment="1">
      <alignment horizontal="center" vertical="center"/>
    </xf>
    <xf numFmtId="9" fontId="21" fillId="0" borderId="1" xfId="2" applyFont="1" applyBorder="1" applyAlignment="1">
      <alignment horizontal="center" vertical="center"/>
    </xf>
    <xf numFmtId="168" fontId="21" fillId="0" borderId="1" xfId="0" applyNumberFormat="1" applyFont="1" applyBorder="1" applyAlignment="1">
      <alignment horizontal="center" vertical="center"/>
    </xf>
    <xf numFmtId="49" fontId="19" fillId="2" borderId="1" xfId="0" applyNumberFormat="1" applyFont="1" applyFill="1" applyBorder="1" applyAlignment="1">
      <alignment horizontal="center" vertical="center"/>
    </xf>
    <xf numFmtId="49" fontId="19" fillId="2" borderId="1" xfId="0" applyNumberFormat="1" applyFont="1" applyFill="1" applyBorder="1" applyAlignment="1">
      <alignment horizontal="center" vertical="center" wrapText="1"/>
    </xf>
    <xf numFmtId="0" fontId="24" fillId="2" borderId="1" xfId="0" applyFont="1" applyFill="1" applyBorder="1" applyAlignment="1">
      <alignment horizontal="center" vertical="center"/>
    </xf>
    <xf numFmtId="0" fontId="19" fillId="2" borderId="1" xfId="3" applyFont="1" applyFill="1" applyBorder="1" applyAlignment="1">
      <alignment horizontal="center" vertical="center" wrapText="1"/>
    </xf>
    <xf numFmtId="1" fontId="21" fillId="2" borderId="1" xfId="7" applyNumberFormat="1" applyFont="1" applyFill="1" applyBorder="1" applyAlignment="1">
      <alignment horizontal="center" vertical="center"/>
    </xf>
    <xf numFmtId="9" fontId="22" fillId="2" borderId="1" xfId="4" applyFont="1" applyFill="1" applyBorder="1" applyAlignment="1">
      <alignment horizontal="center" vertical="center"/>
    </xf>
    <xf numFmtId="9" fontId="23" fillId="2" borderId="1" xfId="2" applyFont="1" applyFill="1" applyBorder="1" applyAlignment="1">
      <alignment horizontal="center" vertical="center"/>
    </xf>
    <xf numFmtId="0" fontId="19" fillId="2" borderId="1" xfId="0" applyFont="1" applyFill="1" applyBorder="1" applyAlignment="1">
      <alignment horizontal="center" vertical="center"/>
    </xf>
    <xf numFmtId="0" fontId="0" fillId="2" borderId="1" xfId="0" applyFill="1" applyBorder="1" applyAlignment="1">
      <alignment horizontal="center" vertical="center"/>
    </xf>
    <xf numFmtId="49" fontId="19" fillId="6" borderId="1" xfId="0" applyNumberFormat="1" applyFont="1" applyFill="1" applyBorder="1" applyAlignment="1">
      <alignment horizontal="center" vertical="center"/>
    </xf>
    <xf numFmtId="49" fontId="18" fillId="6" borderId="1" xfId="0" applyNumberFormat="1" applyFont="1" applyFill="1" applyBorder="1" applyAlignment="1">
      <alignment horizontal="center" vertical="center"/>
    </xf>
    <xf numFmtId="49" fontId="19" fillId="6" borderId="1" xfId="0" applyNumberFormat="1" applyFont="1" applyFill="1" applyBorder="1" applyAlignment="1">
      <alignment horizontal="center" vertical="center" wrapText="1"/>
    </xf>
    <xf numFmtId="0" fontId="24" fillId="6" borderId="1" xfId="0" applyFont="1" applyFill="1" applyBorder="1" applyAlignment="1">
      <alignment horizontal="center" vertical="center"/>
    </xf>
    <xf numFmtId="0" fontId="19" fillId="4" borderId="1" xfId="3" applyFont="1" applyFill="1" applyBorder="1" applyAlignment="1">
      <alignment horizontal="center" vertical="center" wrapText="1"/>
    </xf>
    <xf numFmtId="0" fontId="21" fillId="4" borderId="1" xfId="7" applyFont="1" applyFill="1" applyBorder="1" applyAlignment="1">
      <alignment horizontal="center" vertical="center"/>
    </xf>
    <xf numFmtId="9" fontId="22" fillId="4" borderId="1" xfId="4" applyFont="1" applyFill="1" applyBorder="1" applyAlignment="1">
      <alignment horizontal="center" vertical="center"/>
    </xf>
    <xf numFmtId="9" fontId="23" fillId="4" borderId="1" xfId="2" applyFont="1" applyFill="1" applyBorder="1" applyAlignment="1">
      <alignment horizontal="center" vertical="center"/>
    </xf>
    <xf numFmtId="0" fontId="19" fillId="6" borderId="1" xfId="0" applyFont="1" applyFill="1" applyBorder="1" applyAlignment="1">
      <alignment horizontal="center" vertical="center"/>
    </xf>
    <xf numFmtId="9" fontId="21" fillId="4" borderId="1" xfId="7" applyNumberFormat="1" applyFont="1" applyFill="1" applyBorder="1" applyAlignment="1">
      <alignment horizontal="center" vertical="center"/>
    </xf>
    <xf numFmtId="1" fontId="21" fillId="4" borderId="1" xfId="4" applyNumberFormat="1" applyFont="1" applyFill="1" applyBorder="1" applyAlignment="1">
      <alignment horizontal="center" vertical="center"/>
    </xf>
    <xf numFmtId="0" fontId="21" fillId="4" borderId="1" xfId="3" applyFont="1" applyFill="1" applyBorder="1" applyAlignment="1">
      <alignment horizontal="right" vertical="center" wrapText="1"/>
    </xf>
    <xf numFmtId="49" fontId="7" fillId="6" borderId="1" xfId="0" applyNumberFormat="1" applyFont="1" applyFill="1" applyBorder="1" applyAlignment="1">
      <alignment horizontal="center" vertical="center"/>
    </xf>
    <xf numFmtId="49" fontId="19" fillId="6" borderId="1" xfId="3" applyNumberFormat="1" applyFont="1" applyFill="1" applyBorder="1" applyAlignment="1">
      <alignment horizontal="left" vertical="center"/>
    </xf>
    <xf numFmtId="0" fontId="21" fillId="6" borderId="1" xfId="3" applyFont="1" applyFill="1" applyBorder="1" applyAlignment="1">
      <alignment horizontal="right" vertical="center"/>
    </xf>
    <xf numFmtId="0" fontId="19" fillId="6" borderId="1" xfId="3" applyFont="1" applyFill="1" applyBorder="1" applyAlignment="1">
      <alignment horizontal="center" vertical="center" wrapText="1"/>
    </xf>
    <xf numFmtId="0" fontId="21" fillId="6" borderId="1" xfId="7" applyFont="1" applyFill="1" applyBorder="1" applyAlignment="1">
      <alignment horizontal="center" vertical="center"/>
    </xf>
    <xf numFmtId="9" fontId="21" fillId="6" borderId="1" xfId="2" applyFont="1" applyFill="1" applyBorder="1" applyAlignment="1">
      <alignment horizontal="center" vertical="center"/>
    </xf>
    <xf numFmtId="1" fontId="21" fillId="6" borderId="1" xfId="2" applyNumberFormat="1" applyFont="1" applyFill="1" applyBorder="1" applyAlignment="1">
      <alignment horizontal="center" vertical="center"/>
    </xf>
    <xf numFmtId="9" fontId="22" fillId="6" borderId="1" xfId="4" applyFont="1" applyFill="1" applyBorder="1" applyAlignment="1">
      <alignment horizontal="center" vertical="center"/>
    </xf>
    <xf numFmtId="9" fontId="23" fillId="6" borderId="1" xfId="4" applyFont="1" applyFill="1" applyBorder="1" applyAlignment="1">
      <alignment horizontal="center" vertical="center"/>
    </xf>
    <xf numFmtId="9" fontId="21" fillId="6" borderId="1" xfId="7" applyNumberFormat="1" applyFont="1" applyFill="1" applyBorder="1" applyAlignment="1">
      <alignment horizontal="center" vertical="center"/>
    </xf>
    <xf numFmtId="1" fontId="9" fillId="0" borderId="0" xfId="0" applyNumberFormat="1" applyFont="1"/>
    <xf numFmtId="0" fontId="6" fillId="0" borderId="0" xfId="0" applyFont="1"/>
    <xf numFmtId="1" fontId="3" fillId="0" borderId="0" xfId="0" applyNumberFormat="1" applyFont="1"/>
    <xf numFmtId="0" fontId="7" fillId="0" borderId="0" xfId="0" applyFont="1"/>
    <xf numFmtId="0" fontId="8" fillId="0" borderId="0" xfId="0" applyFont="1"/>
    <xf numFmtId="0" fontId="3" fillId="0" borderId="0" xfId="0" applyFont="1" applyAlignment="1">
      <alignment horizontal="right"/>
    </xf>
    <xf numFmtId="0" fontId="9" fillId="0" borderId="0" xfId="0" applyFont="1"/>
    <xf numFmtId="0" fontId="3" fillId="0" borderId="0" xfId="0" applyFont="1" applyAlignment="1">
      <alignment horizontal="center" vertical="center" wrapText="1"/>
    </xf>
    <xf numFmtId="1" fontId="28" fillId="2" borderId="1" xfId="0" applyNumberFormat="1" applyFont="1" applyFill="1" applyBorder="1" applyAlignment="1">
      <alignment horizontal="center" vertical="center"/>
    </xf>
    <xf numFmtId="9" fontId="28" fillId="2" borderId="1" xfId="2" applyFont="1" applyFill="1" applyBorder="1" applyAlignment="1">
      <alignment horizontal="center" vertical="center"/>
    </xf>
    <xf numFmtId="164" fontId="3" fillId="2" borderId="1" xfId="1" applyNumberFormat="1" applyFont="1" applyFill="1" applyBorder="1" applyAlignment="1">
      <alignment horizontal="center" vertical="center"/>
    </xf>
    <xf numFmtId="9" fontId="12" fillId="10" borderId="1" xfId="2" applyFont="1" applyFill="1" applyBorder="1" applyAlignment="1">
      <alignment horizontal="center" vertical="center"/>
    </xf>
    <xf numFmtId="49" fontId="3" fillId="2" borderId="4"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 fontId="28" fillId="0" borderId="1" xfId="0" applyNumberFormat="1" applyFont="1" applyBorder="1" applyAlignment="1">
      <alignment horizontal="center" vertical="center"/>
    </xf>
    <xf numFmtId="9" fontId="28" fillId="0" borderId="1" xfId="2" applyFont="1" applyFill="1" applyBorder="1" applyAlignment="1">
      <alignment horizontal="center" vertical="center"/>
    </xf>
    <xf numFmtId="9" fontId="28" fillId="0" borderId="1" xfId="0" applyNumberFormat="1" applyFont="1" applyBorder="1" applyAlignment="1">
      <alignment horizontal="center" vertical="center"/>
    </xf>
    <xf numFmtId="9" fontId="3" fillId="6"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9" fontId="28" fillId="4" borderId="1" xfId="0" applyNumberFormat="1" applyFont="1" applyFill="1" applyBorder="1" applyAlignment="1">
      <alignment horizontal="center" vertical="center"/>
    </xf>
    <xf numFmtId="0" fontId="12"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readingOrder="2"/>
    </xf>
    <xf numFmtId="9" fontId="28" fillId="0" borderId="1" xfId="2" applyFont="1" applyBorder="1" applyAlignment="1">
      <alignment horizontal="center" vertical="center"/>
    </xf>
    <xf numFmtId="0" fontId="12" fillId="2" borderId="1" xfId="0" applyFont="1" applyFill="1" applyBorder="1" applyAlignment="1">
      <alignment horizontal="center"/>
    </xf>
    <xf numFmtId="1" fontId="29" fillId="2" borderId="1" xfId="0" applyNumberFormat="1" applyFont="1" applyFill="1" applyBorder="1" applyAlignment="1">
      <alignment horizontal="center"/>
    </xf>
    <xf numFmtId="0" fontId="18" fillId="2" borderId="1" xfId="0" applyFont="1" applyFill="1" applyBorder="1" applyAlignment="1">
      <alignment horizontal="center"/>
    </xf>
    <xf numFmtId="0" fontId="17" fillId="2" borderId="1" xfId="0" applyFont="1" applyFill="1" applyBorder="1" applyAlignment="1">
      <alignment horizontal="center"/>
    </xf>
    <xf numFmtId="9" fontId="29" fillId="11" borderId="1" xfId="2" applyFont="1" applyFill="1" applyBorder="1" applyAlignment="1">
      <alignment horizontal="center" vertical="center"/>
    </xf>
    <xf numFmtId="0" fontId="17" fillId="2" borderId="1" xfId="0" applyFont="1" applyFill="1" applyBorder="1"/>
    <xf numFmtId="0" fontId="17" fillId="3" borderId="1" xfId="0" applyFont="1" applyFill="1" applyBorder="1"/>
    <xf numFmtId="9" fontId="17" fillId="2" borderId="1" xfId="0" applyNumberFormat="1" applyFont="1" applyFill="1" applyBorder="1" applyAlignment="1">
      <alignment horizontal="center"/>
    </xf>
    <xf numFmtId="9" fontId="3" fillId="10" borderId="1" xfId="4" applyFont="1" applyFill="1" applyBorder="1" applyAlignment="1">
      <alignment horizontal="center" vertical="center"/>
    </xf>
    <xf numFmtId="1" fontId="28" fillId="0" borderId="1" xfId="0" applyNumberFormat="1" applyFont="1" applyBorder="1" applyAlignment="1">
      <alignment horizontal="center"/>
    </xf>
    <xf numFmtId="0" fontId="18" fillId="0" borderId="1" xfId="0" applyFont="1" applyBorder="1" applyAlignment="1">
      <alignment horizontal="center"/>
    </xf>
    <xf numFmtId="0" fontId="17" fillId="0" borderId="1" xfId="0" applyFont="1" applyBorder="1" applyAlignment="1">
      <alignment horizontal="center"/>
    </xf>
    <xf numFmtId="0" fontId="3" fillId="0" borderId="1" xfId="0" applyFont="1" applyBorder="1" applyAlignment="1">
      <alignment horizontal="center" vertical="center" wrapText="1"/>
    </xf>
    <xf numFmtId="0" fontId="3" fillId="7" borderId="1" xfId="0" applyFont="1" applyFill="1" applyBorder="1" applyAlignment="1">
      <alignment horizontal="center" vertical="center"/>
    </xf>
    <xf numFmtId="9" fontId="30" fillId="5" borderId="1" xfId="2" applyFont="1" applyFill="1" applyBorder="1" applyAlignment="1">
      <alignment horizontal="center" vertical="center"/>
    </xf>
    <xf numFmtId="0" fontId="17" fillId="4" borderId="1" xfId="0" applyFont="1" applyFill="1" applyBorder="1"/>
    <xf numFmtId="9" fontId="17" fillId="3" borderId="1" xfId="0" applyNumberFormat="1" applyFont="1" applyFill="1" applyBorder="1" applyAlignment="1">
      <alignment horizontal="center"/>
    </xf>
    <xf numFmtId="9" fontId="17" fillId="4" borderId="1" xfId="0" applyNumberFormat="1" applyFont="1" applyFill="1" applyBorder="1" applyAlignment="1">
      <alignment horizontal="center"/>
    </xf>
    <xf numFmtId="1" fontId="29" fillId="11" borderId="1" xfId="0" applyNumberFormat="1" applyFont="1" applyFill="1" applyBorder="1" applyAlignment="1">
      <alignment horizontal="center" vertical="center"/>
    </xf>
    <xf numFmtId="49" fontId="12" fillId="11" borderId="1" xfId="0" applyNumberFormat="1" applyFont="1" applyFill="1" applyBorder="1" applyAlignment="1">
      <alignment horizontal="center" vertical="center"/>
    </xf>
    <xf numFmtId="1" fontId="12" fillId="11" borderId="1" xfId="0" applyNumberFormat="1" applyFont="1" applyFill="1" applyBorder="1" applyAlignment="1">
      <alignment horizontal="center" vertical="center"/>
    </xf>
    <xf numFmtId="0" fontId="12" fillId="11" borderId="1" xfId="0" applyFont="1" applyFill="1" applyBorder="1" applyAlignment="1">
      <alignment horizontal="center" vertical="center"/>
    </xf>
    <xf numFmtId="49" fontId="12" fillId="11" borderId="1" xfId="3" applyNumberFormat="1" applyFont="1" applyFill="1" applyBorder="1" applyAlignment="1">
      <alignment horizontal="center" vertical="center" wrapText="1"/>
    </xf>
    <xf numFmtId="0" fontId="5" fillId="11" borderId="1" xfId="3" applyFont="1" applyFill="1" applyBorder="1" applyAlignment="1">
      <alignment horizontal="center" vertical="center" wrapText="1"/>
    </xf>
    <xf numFmtId="0" fontId="12" fillId="11" borderId="1" xfId="3" applyFont="1" applyFill="1" applyBorder="1" applyAlignment="1">
      <alignment horizontal="center" vertical="center"/>
    </xf>
    <xf numFmtId="1" fontId="5" fillId="11" borderId="1" xfId="4" applyNumberFormat="1" applyFont="1" applyFill="1" applyBorder="1" applyAlignment="1">
      <alignment horizontal="center" vertical="center"/>
    </xf>
    <xf numFmtId="9" fontId="5" fillId="11" borderId="1" xfId="2" applyFont="1" applyFill="1" applyBorder="1" applyAlignment="1">
      <alignment horizontal="center" vertical="center"/>
    </xf>
    <xf numFmtId="1" fontId="5" fillId="11" borderId="1" xfId="2" applyNumberFormat="1" applyFont="1" applyFill="1" applyBorder="1" applyAlignment="1">
      <alignment horizontal="center" vertical="center"/>
    </xf>
    <xf numFmtId="9" fontId="5" fillId="11" borderId="1" xfId="4" applyFont="1" applyFill="1" applyBorder="1" applyAlignment="1">
      <alignment horizontal="center" vertical="center"/>
    </xf>
    <xf numFmtId="9" fontId="5" fillId="12" borderId="1" xfId="2" applyFont="1" applyFill="1" applyBorder="1" applyAlignment="1">
      <alignment horizontal="center" vertical="center"/>
    </xf>
    <xf numFmtId="1" fontId="30" fillId="0" borderId="1" xfId="0" applyNumberFormat="1" applyFont="1" applyBorder="1" applyAlignment="1">
      <alignment horizontal="center" vertical="center"/>
    </xf>
    <xf numFmtId="49" fontId="12" fillId="0" borderId="1" xfId="0" applyNumberFormat="1" applyFont="1" applyBorder="1" applyAlignment="1">
      <alignment horizontal="center" vertical="center" readingOrder="2"/>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wrapText="1"/>
    </xf>
    <xf numFmtId="9" fontId="5" fillId="5" borderId="1" xfId="0" applyNumberFormat="1" applyFont="1" applyFill="1" applyBorder="1" applyAlignment="1">
      <alignment horizontal="center" vertical="center"/>
    </xf>
    <xf numFmtId="9" fontId="5" fillId="5" borderId="1" xfId="2" applyFont="1" applyFill="1" applyBorder="1" applyAlignment="1">
      <alignment horizontal="center" vertical="center"/>
    </xf>
    <xf numFmtId="1" fontId="5" fillId="5" borderId="1" xfId="2"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9" fontId="30" fillId="6" borderId="1" xfId="2" applyFont="1" applyFill="1" applyBorder="1" applyAlignment="1">
      <alignment horizontal="center" vertical="center"/>
    </xf>
    <xf numFmtId="0" fontId="12"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9" fontId="5" fillId="13" borderId="1" xfId="2" applyFont="1" applyFill="1" applyBorder="1" applyAlignment="1">
      <alignment horizontal="center" vertical="center"/>
    </xf>
    <xf numFmtId="1" fontId="5" fillId="13" borderId="1" xfId="2" applyNumberFormat="1" applyFont="1" applyFill="1" applyBorder="1" applyAlignment="1">
      <alignment horizontal="center" vertical="center"/>
    </xf>
    <xf numFmtId="9" fontId="30" fillId="0" borderId="1" xfId="2" applyFont="1" applyFill="1" applyBorder="1" applyAlignment="1">
      <alignment horizontal="center" vertical="center"/>
    </xf>
    <xf numFmtId="0" fontId="12" fillId="0" borderId="1" xfId="0" applyFont="1" applyBorder="1" applyAlignment="1">
      <alignment horizontal="center" vertical="center" wrapText="1"/>
    </xf>
    <xf numFmtId="0" fontId="3" fillId="2" borderId="1" xfId="3" applyFont="1" applyFill="1" applyBorder="1" applyAlignment="1">
      <alignment horizontal="center" vertical="center"/>
    </xf>
    <xf numFmtId="49" fontId="3" fillId="2" borderId="1" xfId="3" applyNumberFormat="1" applyFont="1" applyFill="1" applyBorder="1" applyAlignment="1">
      <alignment horizontal="center" vertical="center"/>
    </xf>
    <xf numFmtId="0" fontId="3" fillId="2" borderId="1" xfId="3" applyFont="1" applyFill="1" applyBorder="1" applyAlignment="1">
      <alignment horizontal="center" vertical="center" wrapText="1" readingOrder="2"/>
    </xf>
    <xf numFmtId="9" fontId="3" fillId="2" borderId="1" xfId="4" applyFont="1" applyFill="1" applyBorder="1" applyAlignment="1">
      <alignment horizontal="center" vertical="center"/>
    </xf>
    <xf numFmtId="0" fontId="3" fillId="0" borderId="0" xfId="0" applyFont="1" applyAlignment="1">
      <alignment horizontal="center"/>
    </xf>
    <xf numFmtId="0" fontId="3" fillId="4" borderId="1" xfId="3" applyFont="1" applyFill="1" applyBorder="1" applyAlignment="1">
      <alignment horizontal="center" vertical="center"/>
    </xf>
    <xf numFmtId="49" fontId="3" fillId="4" borderId="1" xfId="0" applyNumberFormat="1" applyFont="1" applyFill="1" applyBorder="1" applyAlignment="1">
      <alignment horizontal="center" vertical="center"/>
    </xf>
    <xf numFmtId="9" fontId="28" fillId="4" borderId="1" xfId="2" applyFont="1" applyFill="1" applyBorder="1" applyAlignment="1">
      <alignment horizontal="center" vertical="center"/>
    </xf>
    <xf numFmtId="49" fontId="3" fillId="4" borderId="1" xfId="3" applyNumberFormat="1" applyFont="1" applyFill="1" applyBorder="1" applyAlignment="1">
      <alignment horizontal="center" vertical="center"/>
    </xf>
    <xf numFmtId="0" fontId="3" fillId="4" borderId="1" xfId="3" applyFont="1" applyFill="1" applyBorder="1" applyAlignment="1">
      <alignment horizontal="center" vertical="center" wrapText="1"/>
    </xf>
    <xf numFmtId="1" fontId="29" fillId="2" borderId="1" xfId="0" applyNumberFormat="1" applyFont="1" applyFill="1" applyBorder="1" applyAlignment="1">
      <alignment horizontal="center" vertical="center"/>
    </xf>
    <xf numFmtId="9" fontId="29" fillId="2" borderId="1" xfId="2" applyFont="1" applyFill="1" applyBorder="1" applyAlignment="1">
      <alignment horizontal="center" vertical="center"/>
    </xf>
    <xf numFmtId="0" fontId="32" fillId="2" borderId="1" xfId="0" applyFont="1" applyFill="1" applyBorder="1" applyAlignment="1">
      <alignment horizontal="center" vertical="center"/>
    </xf>
    <xf numFmtId="0" fontId="32" fillId="2" borderId="1" xfId="0" applyFont="1" applyFill="1" applyBorder="1" applyAlignment="1">
      <alignment horizontal="right" vertical="center"/>
    </xf>
    <xf numFmtId="1" fontId="31" fillId="2" borderId="1" xfId="2" applyNumberFormat="1" applyFont="1" applyFill="1" applyBorder="1" applyAlignment="1">
      <alignment horizontal="center" vertical="center"/>
    </xf>
    <xf numFmtId="9" fontId="32" fillId="2" borderId="1" xfId="2" applyFont="1" applyFill="1" applyBorder="1" applyAlignment="1">
      <alignment horizontal="center" vertical="center"/>
    </xf>
    <xf numFmtId="1" fontId="32" fillId="2" borderId="1" xfId="2" applyNumberFormat="1" applyFont="1" applyFill="1" applyBorder="1" applyAlignment="1">
      <alignment horizontal="center" vertical="center"/>
    </xf>
    <xf numFmtId="9" fontId="32" fillId="10" borderId="1" xfId="2" applyFont="1" applyFill="1" applyBorder="1" applyAlignment="1">
      <alignment horizontal="center" vertical="center"/>
    </xf>
    <xf numFmtId="0" fontId="12" fillId="0" borderId="1" xfId="0" applyFont="1" applyBorder="1" applyAlignment="1">
      <alignment horizontal="center" vertical="center"/>
    </xf>
    <xf numFmtId="1" fontId="29" fillId="0" borderId="1" xfId="0" applyNumberFormat="1" applyFont="1" applyBorder="1" applyAlignment="1">
      <alignment horizontal="center" vertical="center"/>
    </xf>
    <xf numFmtId="0" fontId="3" fillId="14" borderId="1" xfId="0" applyFont="1" applyFill="1" applyBorder="1" applyAlignment="1">
      <alignment horizontal="center" vertical="center"/>
    </xf>
    <xf numFmtId="9" fontId="29" fillId="4" borderId="1" xfId="2" applyFont="1" applyFill="1" applyBorder="1" applyAlignment="1">
      <alignment horizontal="center" vertical="center"/>
    </xf>
    <xf numFmtId="0" fontId="32" fillId="4" borderId="1" xfId="0" applyFont="1" applyFill="1" applyBorder="1" applyAlignment="1">
      <alignment horizontal="center" vertical="center"/>
    </xf>
    <xf numFmtId="0" fontId="32" fillId="4" borderId="1" xfId="0" applyFont="1" applyFill="1" applyBorder="1" applyAlignment="1">
      <alignment horizontal="right" vertical="center"/>
    </xf>
    <xf numFmtId="9" fontId="31" fillId="4" borderId="1" xfId="2" applyFont="1" applyFill="1" applyBorder="1" applyAlignment="1">
      <alignment horizontal="center" vertical="center"/>
    </xf>
    <xf numFmtId="1" fontId="31" fillId="4" borderId="1" xfId="2" applyNumberFormat="1" applyFont="1" applyFill="1" applyBorder="1" applyAlignment="1">
      <alignment horizontal="center" vertical="center"/>
    </xf>
    <xf numFmtId="9" fontId="32" fillId="4" borderId="1" xfId="2" applyFont="1" applyFill="1" applyBorder="1" applyAlignment="1">
      <alignment horizontal="center" vertical="center"/>
    </xf>
    <xf numFmtId="1" fontId="32" fillId="4" borderId="1" xfId="2" applyNumberFormat="1" applyFont="1" applyFill="1" applyBorder="1" applyAlignment="1">
      <alignment horizontal="center" vertical="center"/>
    </xf>
    <xf numFmtId="0" fontId="31" fillId="4" borderId="1" xfId="0" applyFont="1" applyFill="1" applyBorder="1" applyAlignment="1">
      <alignment horizontal="center" vertical="center"/>
    </xf>
    <xf numFmtId="9" fontId="29" fillId="0" borderId="1" xfId="2" applyFont="1" applyBorder="1" applyAlignment="1">
      <alignment horizontal="center" vertical="center"/>
    </xf>
    <xf numFmtId="49" fontId="31" fillId="0" borderId="1" xfId="0" applyNumberFormat="1" applyFont="1" applyBorder="1" applyAlignment="1">
      <alignment horizontal="center" vertical="center"/>
    </xf>
    <xf numFmtId="49" fontId="31" fillId="6" borderId="1" xfId="0" applyNumberFormat="1" applyFont="1" applyFill="1" applyBorder="1" applyAlignment="1">
      <alignment horizontal="center" vertical="center" readingOrder="2"/>
    </xf>
    <xf numFmtId="0" fontId="31" fillId="6" borderId="1" xfId="0" applyFont="1" applyFill="1" applyBorder="1" applyAlignment="1">
      <alignment horizontal="center" vertical="center" wrapText="1"/>
    </xf>
    <xf numFmtId="9" fontId="32" fillId="6" borderId="1" xfId="0" applyNumberFormat="1" applyFont="1" applyFill="1" applyBorder="1" applyAlignment="1">
      <alignment horizontal="center" vertical="center"/>
    </xf>
    <xf numFmtId="9" fontId="32" fillId="6" borderId="1" xfId="2" applyFont="1" applyFill="1" applyBorder="1" applyAlignment="1">
      <alignment horizontal="center" vertical="center"/>
    </xf>
    <xf numFmtId="1" fontId="32" fillId="6" borderId="1" xfId="2" applyNumberFormat="1" applyFont="1" applyFill="1" applyBorder="1" applyAlignment="1">
      <alignment horizontal="center" vertical="center"/>
    </xf>
    <xf numFmtId="0" fontId="32" fillId="6" borderId="1" xfId="0" applyFont="1" applyFill="1" applyBorder="1" applyAlignment="1">
      <alignment horizontal="center" vertical="center"/>
    </xf>
    <xf numFmtId="0" fontId="32" fillId="6" borderId="1" xfId="0" applyFont="1" applyFill="1" applyBorder="1" applyAlignment="1">
      <alignment horizontal="center" vertical="center" wrapText="1" readingOrder="2"/>
    </xf>
    <xf numFmtId="0" fontId="32" fillId="6" borderId="1" xfId="0" applyFont="1" applyFill="1" applyBorder="1" applyAlignment="1">
      <alignment horizontal="center" vertical="center" wrapText="1"/>
    </xf>
    <xf numFmtId="1" fontId="32" fillId="0" borderId="1" xfId="0" applyNumberFormat="1" applyFont="1" applyBorder="1" applyAlignment="1">
      <alignment horizontal="center" vertical="center"/>
    </xf>
    <xf numFmtId="9" fontId="31" fillId="0" borderId="1" xfId="2" applyFont="1" applyBorder="1" applyAlignment="1">
      <alignment horizontal="center" vertical="center"/>
    </xf>
    <xf numFmtId="1" fontId="31" fillId="0" borderId="1" xfId="2" applyNumberFormat="1" applyFont="1" applyBorder="1" applyAlignment="1">
      <alignment horizontal="center" vertical="center"/>
    </xf>
    <xf numFmtId="9" fontId="32" fillId="0" borderId="1" xfId="2" applyFont="1" applyBorder="1" applyAlignment="1">
      <alignment horizontal="center" vertical="center"/>
    </xf>
    <xf numFmtId="0" fontId="5" fillId="6" borderId="1" xfId="7"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9" fontId="12" fillId="0" borderId="1" xfId="0" applyNumberFormat="1" applyFont="1" applyBorder="1" applyAlignment="1">
      <alignment horizontal="center" vertical="center"/>
    </xf>
    <xf numFmtId="1" fontId="3" fillId="0" borderId="1" xfId="2" applyNumberFormat="1" applyFont="1" applyBorder="1" applyAlignment="1">
      <alignment horizontal="center" vertical="center"/>
    </xf>
    <xf numFmtId="9" fontId="12" fillId="0" borderId="1" xfId="2" applyFont="1" applyBorder="1" applyAlignment="1">
      <alignment horizontal="center" vertical="center"/>
    </xf>
    <xf numFmtId="0" fontId="5" fillId="11" borderId="1" xfId="0" applyFont="1" applyFill="1" applyBorder="1" applyAlignment="1">
      <alignment horizontal="center" vertical="center"/>
    </xf>
    <xf numFmtId="0" fontId="3" fillId="2" borderId="1" xfId="0" applyFont="1" applyFill="1" applyBorder="1" applyAlignment="1">
      <alignment horizontal="right" vertical="center" wrapText="1"/>
    </xf>
    <xf numFmtId="0" fontId="5" fillId="8" borderId="1" xfId="0" applyFont="1" applyFill="1" applyBorder="1" applyAlignment="1">
      <alignment horizontal="center" vertical="center"/>
    </xf>
    <xf numFmtId="9" fontId="12" fillId="4" borderId="1" xfId="0" applyNumberFormat="1" applyFont="1" applyFill="1" applyBorder="1" applyAlignment="1">
      <alignment horizontal="center" vertical="center"/>
    </xf>
    <xf numFmtId="165" fontId="18" fillId="4" borderId="1" xfId="0" applyNumberFormat="1" applyFont="1" applyFill="1" applyBorder="1" applyAlignment="1">
      <alignment horizontal="center" vertical="center"/>
    </xf>
    <xf numFmtId="1" fontId="12" fillId="4" borderId="1" xfId="4" applyNumberFormat="1" applyFont="1" applyFill="1" applyBorder="1" applyAlignment="1">
      <alignment horizontal="center" vertical="center"/>
    </xf>
    <xf numFmtId="1" fontId="12" fillId="0" borderId="1" xfId="0" applyNumberFormat="1" applyFont="1" applyBorder="1" applyAlignment="1">
      <alignment horizontal="center" vertical="center"/>
    </xf>
    <xf numFmtId="0" fontId="12" fillId="6" borderId="1" xfId="0" applyFont="1" applyFill="1" applyBorder="1" applyAlignment="1">
      <alignment horizontal="right" vertical="center" wrapText="1"/>
    </xf>
    <xf numFmtId="0" fontId="3" fillId="4" borderId="1" xfId="0" applyFont="1" applyFill="1" applyBorder="1" applyAlignment="1">
      <alignment horizontal="center" vertical="center" wrapText="1"/>
    </xf>
    <xf numFmtId="1" fontId="12" fillId="2" borderId="1" xfId="3" applyNumberFormat="1" applyFont="1" applyFill="1" applyBorder="1" applyAlignment="1">
      <alignment horizontal="center" vertical="center"/>
    </xf>
    <xf numFmtId="1" fontId="12" fillId="4" borderId="1" xfId="3" applyNumberFormat="1" applyFont="1" applyFill="1" applyBorder="1" applyAlignment="1">
      <alignment horizontal="center" vertical="center"/>
    </xf>
    <xf numFmtId="3" fontId="12" fillId="4" borderId="1" xfId="4"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3" fontId="12" fillId="4" borderId="1" xfId="0" applyNumberFormat="1" applyFont="1" applyFill="1" applyBorder="1" applyAlignment="1">
      <alignment horizontal="center" vertical="center"/>
    </xf>
    <xf numFmtId="3" fontId="12" fillId="2" borderId="1" xfId="0" applyNumberFormat="1" applyFont="1" applyFill="1" applyBorder="1" applyAlignment="1">
      <alignment horizontal="center" vertical="center"/>
    </xf>
    <xf numFmtId="3" fontId="12" fillId="0" borderId="1" xfId="0" applyNumberFormat="1" applyFont="1" applyBorder="1" applyAlignment="1">
      <alignment horizontal="center" vertical="center"/>
    </xf>
    <xf numFmtId="1" fontId="12" fillId="0" borderId="1" xfId="2" applyNumberFormat="1" applyFont="1" applyBorder="1" applyAlignment="1">
      <alignment horizontal="center" vertical="center"/>
    </xf>
    <xf numFmtId="164" fontId="12" fillId="4" borderId="1" xfId="1" applyNumberFormat="1" applyFont="1" applyFill="1" applyBorder="1" applyAlignment="1">
      <alignment horizontal="center" vertical="center"/>
    </xf>
    <xf numFmtId="164" fontId="12" fillId="0" borderId="1" xfId="1" applyNumberFormat="1" applyFont="1" applyBorder="1" applyAlignment="1">
      <alignment horizontal="center" vertical="center"/>
    </xf>
    <xf numFmtId="0" fontId="3" fillId="2" borderId="1" xfId="0" applyFont="1" applyFill="1" applyBorder="1" applyAlignment="1">
      <alignment horizontal="center"/>
    </xf>
    <xf numFmtId="49" fontId="12" fillId="2" borderId="1" xfId="3" applyNumberFormat="1" applyFont="1" applyFill="1" applyBorder="1" applyAlignment="1">
      <alignment horizontal="center" vertical="center"/>
    </xf>
    <xf numFmtId="0" fontId="5" fillId="2" borderId="1" xfId="3" applyFont="1" applyFill="1" applyBorder="1" applyAlignment="1">
      <alignment horizontal="center" vertical="center"/>
    </xf>
    <xf numFmtId="0" fontId="12" fillId="2" borderId="1" xfId="3" applyFont="1" applyFill="1" applyBorder="1" applyAlignment="1">
      <alignment horizontal="center" vertical="center"/>
    </xf>
    <xf numFmtId="9" fontId="5" fillId="10" borderId="1" xfId="2" applyFont="1" applyFill="1" applyBorder="1" applyAlignment="1">
      <alignment horizontal="center" vertical="center"/>
    </xf>
    <xf numFmtId="0" fontId="3" fillId="6" borderId="1" xfId="0" applyFont="1" applyFill="1" applyBorder="1" applyAlignment="1">
      <alignment horizontal="center"/>
    </xf>
    <xf numFmtId="1" fontId="29" fillId="6" borderId="1" xfId="0" applyNumberFormat="1" applyFont="1" applyFill="1" applyBorder="1" applyAlignment="1">
      <alignment horizontal="center" vertical="center"/>
    </xf>
    <xf numFmtId="1" fontId="12" fillId="6" borderId="1" xfId="0" applyNumberFormat="1" applyFont="1" applyFill="1" applyBorder="1" applyAlignment="1">
      <alignment horizontal="center" vertical="center"/>
    </xf>
    <xf numFmtId="49" fontId="12" fillId="4" borderId="1" xfId="3" applyNumberFormat="1" applyFont="1" applyFill="1" applyBorder="1" applyAlignment="1">
      <alignment horizontal="center" vertical="center"/>
    </xf>
    <xf numFmtId="0" fontId="5" fillId="4" borderId="1" xfId="3" applyFont="1" applyFill="1" applyBorder="1" applyAlignment="1">
      <alignment horizontal="center" vertical="center"/>
    </xf>
    <xf numFmtId="0" fontId="12" fillId="4" borderId="1" xfId="3" applyFont="1" applyFill="1" applyBorder="1" applyAlignment="1">
      <alignment horizontal="center" vertical="center"/>
    </xf>
    <xf numFmtId="9" fontId="29" fillId="6" borderId="1" xfId="2" applyFont="1" applyFill="1" applyBorder="1" applyAlignment="1">
      <alignment horizontal="center" vertical="center"/>
    </xf>
    <xf numFmtId="49" fontId="12" fillId="6" borderId="1" xfId="3" applyNumberFormat="1" applyFont="1" applyFill="1" applyBorder="1" applyAlignment="1">
      <alignment horizontal="center" vertical="center"/>
    </xf>
    <xf numFmtId="0" fontId="5" fillId="6" borderId="1" xfId="3" applyFont="1" applyFill="1" applyBorder="1" applyAlignment="1">
      <alignment horizontal="center" vertical="center"/>
    </xf>
    <xf numFmtId="0" fontId="12" fillId="6" borderId="1" xfId="3" applyFont="1" applyFill="1" applyBorder="1" applyAlignment="1">
      <alignment horizontal="center" vertical="center"/>
    </xf>
    <xf numFmtId="9" fontId="5" fillId="6" borderId="1" xfId="4" applyFont="1" applyFill="1" applyBorder="1" applyAlignment="1">
      <alignment horizontal="center" vertical="center"/>
    </xf>
    <xf numFmtId="1" fontId="28" fillId="2" borderId="1" xfId="2" applyNumberFormat="1" applyFont="1" applyFill="1" applyBorder="1" applyAlignment="1">
      <alignment horizontal="center" vertical="center"/>
    </xf>
    <xf numFmtId="1" fontId="28" fillId="6" borderId="1" xfId="2" applyNumberFormat="1" applyFont="1" applyFill="1" applyBorder="1" applyAlignment="1">
      <alignment horizontal="center" vertical="center"/>
    </xf>
    <xf numFmtId="9" fontId="28" fillId="6" borderId="1" xfId="2" applyFont="1" applyFill="1" applyBorder="1" applyAlignment="1">
      <alignment horizontal="center" vertical="center"/>
    </xf>
    <xf numFmtId="0" fontId="12" fillId="6" borderId="1" xfId="0" applyFont="1" applyFill="1" applyBorder="1" applyAlignment="1">
      <alignment horizontal="center" vertical="center" readingOrder="2"/>
    </xf>
    <xf numFmtId="1" fontId="28" fillId="6" borderId="1" xfId="0" applyNumberFormat="1" applyFont="1" applyFill="1" applyBorder="1" applyAlignment="1">
      <alignment horizontal="center" vertical="center"/>
    </xf>
    <xf numFmtId="0" fontId="12" fillId="2" borderId="1" xfId="0" applyFont="1" applyFill="1" applyBorder="1"/>
    <xf numFmtId="9" fontId="2" fillId="10" borderId="1" xfId="2" applyFont="1" applyFill="1" applyBorder="1" applyAlignment="1">
      <alignment horizontal="center" vertical="center" wrapText="1"/>
    </xf>
    <xf numFmtId="0" fontId="3" fillId="4" borderId="1" xfId="0" applyFont="1" applyFill="1" applyBorder="1" applyAlignment="1">
      <alignment horizontal="center"/>
    </xf>
    <xf numFmtId="9" fontId="12" fillId="4" borderId="1" xfId="4" applyFont="1" applyFill="1" applyBorder="1" applyAlignment="1">
      <alignment horizontal="center" vertical="center"/>
    </xf>
    <xf numFmtId="9" fontId="29" fillId="0" borderId="1" xfId="2" applyFont="1" applyFill="1" applyBorder="1" applyAlignment="1">
      <alignment horizontal="center" vertical="center"/>
    </xf>
    <xf numFmtId="9" fontId="12" fillId="0" borderId="1" xfId="3" applyNumberFormat="1" applyFont="1" applyBorder="1" applyAlignment="1">
      <alignment horizontal="center" vertical="center"/>
    </xf>
    <xf numFmtId="9" fontId="30" fillId="4" borderId="1" xfId="2" applyFont="1" applyFill="1" applyBorder="1" applyAlignment="1">
      <alignment horizontal="center" vertical="center"/>
    </xf>
    <xf numFmtId="0" fontId="12" fillId="3" borderId="1" xfId="0" applyFont="1" applyFill="1" applyBorder="1" applyAlignment="1">
      <alignment horizontal="center" vertical="center"/>
    </xf>
    <xf numFmtId="1" fontId="29" fillId="2" borderId="1" xfId="2" applyNumberFormat="1" applyFont="1" applyFill="1" applyBorder="1" applyAlignment="1">
      <alignment horizontal="center" vertical="center"/>
    </xf>
    <xf numFmtId="1" fontId="29" fillId="0" borderId="1" xfId="2" applyNumberFormat="1" applyFont="1" applyFill="1" applyBorder="1" applyAlignment="1">
      <alignment horizontal="center" vertical="center"/>
    </xf>
    <xf numFmtId="0" fontId="3" fillId="15"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12" fillId="7" borderId="1" xfId="3" applyFont="1" applyFill="1" applyBorder="1" applyAlignment="1">
      <alignment horizontal="center" vertical="center"/>
    </xf>
    <xf numFmtId="0" fontId="3" fillId="16"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6" fillId="4" borderId="1" xfId="0" applyFont="1" applyFill="1" applyBorder="1" applyAlignment="1">
      <alignment horizontal="center" vertical="center"/>
    </xf>
    <xf numFmtId="49" fontId="12" fillId="2" borderId="1" xfId="3" applyNumberFormat="1" applyFont="1" applyFill="1" applyBorder="1" applyAlignment="1">
      <alignment horizontal="center" vertical="center" wrapText="1"/>
    </xf>
    <xf numFmtId="49" fontId="12" fillId="4" borderId="1" xfId="3" applyNumberFormat="1" applyFont="1" applyFill="1" applyBorder="1" applyAlignment="1">
      <alignment horizontal="center" vertical="center" wrapText="1"/>
    </xf>
    <xf numFmtId="49" fontId="12" fillId="6" borderId="1" xfId="3" applyNumberFormat="1" applyFont="1" applyFill="1" applyBorder="1" applyAlignment="1">
      <alignment horizontal="center" vertical="center" wrapText="1"/>
    </xf>
    <xf numFmtId="9" fontId="3" fillId="6" borderId="1" xfId="4" applyFont="1" applyFill="1" applyBorder="1" applyAlignment="1">
      <alignment horizontal="center" vertical="center"/>
    </xf>
    <xf numFmtId="0" fontId="12" fillId="0" borderId="1" xfId="3" applyFont="1" applyBorder="1" applyAlignment="1">
      <alignment horizontal="center" vertical="center"/>
    </xf>
    <xf numFmtId="49" fontId="12" fillId="0" borderId="1" xfId="3" applyNumberFormat="1" applyFont="1" applyBorder="1" applyAlignment="1">
      <alignment horizontal="center" vertical="center" wrapText="1"/>
    </xf>
    <xf numFmtId="0" fontId="5" fillId="0" borderId="1" xfId="3" applyFont="1" applyBorder="1" applyAlignment="1">
      <alignment horizontal="center" vertical="center"/>
    </xf>
    <xf numFmtId="0" fontId="3" fillId="4" borderId="1" xfId="0" applyFont="1" applyFill="1" applyBorder="1" applyAlignment="1">
      <alignment horizontal="center" vertical="center" wrapText="1" readingOrder="2"/>
    </xf>
    <xf numFmtId="0" fontId="3" fillId="4" borderId="1" xfId="0" applyFont="1" applyFill="1" applyBorder="1" applyAlignment="1">
      <alignment horizontal="center" vertical="center" readingOrder="2"/>
    </xf>
    <xf numFmtId="9" fontId="28" fillId="2" borderId="1" xfId="0" applyNumberFormat="1" applyFont="1" applyFill="1" applyBorder="1" applyAlignment="1">
      <alignment horizontal="center" vertical="center"/>
    </xf>
    <xf numFmtId="9" fontId="28" fillId="6" borderId="1" xfId="0" applyNumberFormat="1" applyFont="1" applyFill="1" applyBorder="1" applyAlignment="1">
      <alignment horizontal="center" vertical="center"/>
    </xf>
    <xf numFmtId="0" fontId="3" fillId="2" borderId="1" xfId="0" applyFont="1" applyFill="1" applyBorder="1" applyAlignment="1">
      <alignment horizontal="center" vertical="center" readingOrder="2"/>
    </xf>
    <xf numFmtId="9" fontId="3" fillId="2" borderId="1" xfId="0" applyNumberFormat="1" applyFont="1" applyFill="1" applyBorder="1" applyAlignment="1">
      <alignment horizontal="center"/>
    </xf>
    <xf numFmtId="9" fontId="3" fillId="4" borderId="1" xfId="0" applyNumberFormat="1" applyFont="1" applyFill="1" applyBorder="1" applyAlignment="1">
      <alignment horizontal="center"/>
    </xf>
    <xf numFmtId="0" fontId="5" fillId="17" borderId="1" xfId="0" applyFont="1" applyFill="1" applyBorder="1" applyAlignment="1">
      <alignment horizontal="center" vertical="center"/>
    </xf>
    <xf numFmtId="0" fontId="5" fillId="17" borderId="1" xfId="0" applyFont="1" applyFill="1" applyBorder="1" applyAlignment="1">
      <alignment horizontal="center" vertical="center" wrapText="1" readingOrder="2"/>
    </xf>
    <xf numFmtId="0" fontId="12" fillId="2" borderId="1" xfId="0" applyFont="1" applyFill="1" applyBorder="1" applyAlignment="1">
      <alignment horizontal="right" vertical="center" wrapText="1"/>
    </xf>
    <xf numFmtId="9" fontId="3" fillId="10" borderId="1" xfId="2" applyFont="1" applyFill="1" applyBorder="1" applyAlignment="1">
      <alignment horizontal="center" vertical="center"/>
    </xf>
    <xf numFmtId="0" fontId="6" fillId="2" borderId="1" xfId="0" applyFont="1" applyFill="1" applyBorder="1" applyAlignment="1">
      <alignment horizontal="center" vertical="center"/>
    </xf>
    <xf numFmtId="0" fontId="3" fillId="4" borderId="1" xfId="5" applyFont="1" applyFill="1" applyBorder="1" applyAlignment="1">
      <alignment horizontal="center" vertical="center"/>
    </xf>
    <xf numFmtId="0" fontId="3" fillId="4" borderId="1" xfId="5" applyFont="1" applyFill="1" applyBorder="1" applyAlignment="1">
      <alignment horizontal="center"/>
    </xf>
    <xf numFmtId="0" fontId="5" fillId="5" borderId="1" xfId="0" applyFont="1" applyFill="1" applyBorder="1" applyAlignment="1">
      <alignment horizontal="center" vertical="center" readingOrder="1"/>
    </xf>
    <xf numFmtId="49" fontId="3" fillId="4" borderId="1" xfId="0" applyNumberFormat="1" applyFont="1" applyFill="1" applyBorder="1" applyAlignment="1">
      <alignment horizontal="center" vertical="center" readingOrder="2"/>
    </xf>
    <xf numFmtId="0" fontId="6" fillId="6" borderId="1" xfId="0" applyFont="1" applyFill="1" applyBorder="1" applyAlignment="1">
      <alignment vertical="center"/>
    </xf>
    <xf numFmtId="0" fontId="3" fillId="6" borderId="1" xfId="5" applyFont="1" applyFill="1" applyBorder="1" applyAlignment="1">
      <alignment horizontal="center" vertical="center"/>
    </xf>
    <xf numFmtId="0" fontId="3" fillId="6" borderId="1" xfId="5" applyFont="1" applyFill="1" applyBorder="1" applyAlignment="1">
      <alignment horizontal="center"/>
    </xf>
    <xf numFmtId="1" fontId="5" fillId="6" borderId="1" xfId="4" applyNumberFormat="1" applyFont="1" applyFill="1" applyBorder="1" applyAlignment="1">
      <alignment horizontal="center" vertical="center"/>
    </xf>
    <xf numFmtId="0" fontId="3" fillId="0" borderId="1" xfId="0" applyFont="1" applyBorder="1" applyAlignment="1">
      <alignment horizontal="center" vertical="center" readingOrder="1"/>
    </xf>
    <xf numFmtId="0" fontId="3" fillId="0" borderId="1" xfId="0" applyFont="1" applyBorder="1" applyAlignment="1">
      <alignment horizontal="center" vertical="center" readingOrder="2"/>
    </xf>
    <xf numFmtId="0" fontId="3" fillId="2" borderId="1" xfId="5" applyFont="1" applyFill="1" applyBorder="1" applyAlignment="1">
      <alignment horizontal="center" vertical="center"/>
    </xf>
    <xf numFmtId="9" fontId="12" fillId="6" borderId="1" xfId="2" applyFont="1" applyFill="1" applyBorder="1" applyAlignment="1">
      <alignment horizontal="center" vertical="center" wrapText="1"/>
    </xf>
    <xf numFmtId="1" fontId="3" fillId="6" borderId="1" xfId="0" quotePrefix="1" applyNumberFormat="1" applyFont="1" applyFill="1" applyBorder="1" applyAlignment="1">
      <alignment horizontal="center" vertical="center"/>
    </xf>
    <xf numFmtId="49" fontId="12" fillId="4" borderId="1" xfId="0" applyNumberFormat="1" applyFont="1" applyFill="1" applyBorder="1" applyAlignment="1">
      <alignment horizontal="center" vertical="center"/>
    </xf>
    <xf numFmtId="9" fontId="12" fillId="6" borderId="1" xfId="0" applyNumberFormat="1" applyFont="1" applyFill="1" applyBorder="1" applyAlignment="1">
      <alignment horizontal="center" vertical="center"/>
    </xf>
    <xf numFmtId="9" fontId="12" fillId="10" borderId="1" xfId="2" applyFont="1" applyFill="1" applyBorder="1" applyAlignment="1">
      <alignment horizontal="center" vertical="center" wrapText="1"/>
    </xf>
    <xf numFmtId="1" fontId="29" fillId="0" borderId="1"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9" fontId="29" fillId="0" borderId="1" xfId="2" applyFont="1" applyBorder="1" applyAlignment="1">
      <alignment horizontal="center" vertical="center" wrapText="1"/>
    </xf>
    <xf numFmtId="9" fontId="3" fillId="6" borderId="1" xfId="2" applyFont="1" applyFill="1" applyBorder="1" applyAlignment="1">
      <alignment horizontal="center" vertical="center" wrapText="1"/>
    </xf>
    <xf numFmtId="9" fontId="3" fillId="0" borderId="1" xfId="2" applyFont="1" applyBorder="1" applyAlignment="1">
      <alignment horizontal="center" vertical="center" wrapText="1"/>
    </xf>
    <xf numFmtId="1" fontId="29" fillId="6" borderId="1" xfId="0" applyNumberFormat="1" applyFont="1" applyFill="1" applyBorder="1" applyAlignment="1">
      <alignment horizontal="center" vertical="center" wrapText="1"/>
    </xf>
    <xf numFmtId="9" fontId="12" fillId="4" borderId="1" xfId="2" applyFont="1" applyFill="1" applyBorder="1" applyAlignment="1">
      <alignment horizontal="center" vertical="center" wrapText="1"/>
    </xf>
    <xf numFmtId="169" fontId="3" fillId="4" borderId="1" xfId="1" applyNumberFormat="1" applyFont="1" applyFill="1" applyBorder="1" applyAlignment="1">
      <alignment vertical="center"/>
    </xf>
    <xf numFmtId="169" fontId="3" fillId="4" borderId="1" xfId="1" applyNumberFormat="1" applyFont="1" applyFill="1" applyBorder="1" applyAlignment="1">
      <alignment horizontal="center" vertical="center"/>
    </xf>
    <xf numFmtId="9" fontId="3" fillId="4" borderId="1" xfId="2" applyFont="1" applyFill="1" applyBorder="1" applyAlignment="1">
      <alignment horizontal="center" vertical="center" wrapText="1"/>
    </xf>
    <xf numFmtId="9" fontId="29" fillId="0" borderId="1" xfId="2" applyFont="1" applyFill="1" applyBorder="1" applyAlignment="1">
      <alignment horizontal="center" vertical="center" wrapText="1"/>
    </xf>
    <xf numFmtId="49" fontId="3" fillId="2" borderId="1" xfId="3" applyNumberFormat="1" applyFont="1" applyFill="1" applyBorder="1" applyAlignment="1">
      <alignment horizontal="center" vertical="center" wrapText="1"/>
    </xf>
    <xf numFmtId="1" fontId="28" fillId="2" borderId="1" xfId="3" applyNumberFormat="1" applyFont="1" applyFill="1" applyBorder="1" applyAlignment="1">
      <alignment horizontal="center" vertical="center" wrapText="1"/>
    </xf>
    <xf numFmtId="0" fontId="3" fillId="2" borderId="1" xfId="3" applyFont="1" applyFill="1" applyBorder="1" applyAlignment="1">
      <alignment horizontal="center" vertical="center" wrapText="1"/>
    </xf>
    <xf numFmtId="9" fontId="30" fillId="2" borderId="1" xfId="8" applyFont="1" applyFill="1" applyBorder="1" applyAlignment="1">
      <alignment horizontal="center" vertical="center" wrapText="1"/>
    </xf>
    <xf numFmtId="9" fontId="3" fillId="2" borderId="1" xfId="8" applyFont="1" applyFill="1" applyBorder="1" applyAlignment="1">
      <alignment horizontal="center" vertical="center" wrapText="1"/>
    </xf>
    <xf numFmtId="1" fontId="5" fillId="2" borderId="1" xfId="3" applyNumberFormat="1" applyFont="1" applyFill="1" applyBorder="1" applyAlignment="1">
      <alignment horizontal="center" vertical="center" wrapText="1"/>
    </xf>
    <xf numFmtId="1" fontId="5" fillId="2" borderId="1" xfId="8" applyNumberFormat="1" applyFont="1" applyFill="1" applyBorder="1" applyAlignment="1">
      <alignment horizontal="center" vertical="center" wrapText="1"/>
    </xf>
    <xf numFmtId="9" fontId="5" fillId="2" borderId="1" xfId="8" applyFont="1" applyFill="1" applyBorder="1" applyAlignment="1">
      <alignment horizontal="center" vertical="center" wrapText="1"/>
    </xf>
    <xf numFmtId="49" fontId="3" fillId="6" borderId="1" xfId="3" applyNumberFormat="1" applyFont="1" applyFill="1" applyBorder="1" applyAlignment="1">
      <alignment horizontal="center" vertical="center" wrapText="1"/>
    </xf>
    <xf numFmtId="1" fontId="28" fillId="6" borderId="1" xfId="3" applyNumberFormat="1" applyFont="1" applyFill="1" applyBorder="1" applyAlignment="1">
      <alignment horizontal="center" vertical="center" wrapText="1"/>
    </xf>
    <xf numFmtId="0" fontId="3" fillId="6" borderId="1" xfId="3" applyFont="1" applyFill="1" applyBorder="1" applyAlignment="1">
      <alignment horizontal="center" vertical="center" wrapText="1"/>
    </xf>
    <xf numFmtId="9" fontId="30" fillId="4" borderId="1" xfId="8" applyFont="1" applyFill="1" applyBorder="1" applyAlignment="1">
      <alignment horizontal="center" vertical="center" wrapText="1"/>
    </xf>
    <xf numFmtId="9" fontId="3" fillId="4" borderId="1" xfId="8" applyFont="1" applyFill="1" applyBorder="1" applyAlignment="1">
      <alignment horizontal="center" vertical="center" wrapText="1"/>
    </xf>
    <xf numFmtId="9" fontId="5" fillId="4" borderId="1" xfId="2" applyFont="1" applyFill="1" applyBorder="1" applyAlignment="1">
      <alignment horizontal="center" vertical="center" wrapText="1"/>
    </xf>
    <xf numFmtId="1" fontId="5" fillId="4" borderId="1" xfId="8" applyNumberFormat="1" applyFont="1" applyFill="1" applyBorder="1" applyAlignment="1">
      <alignment horizontal="center" vertical="center" wrapText="1"/>
    </xf>
    <xf numFmtId="9" fontId="5" fillId="4" borderId="1" xfId="8" applyFont="1" applyFill="1" applyBorder="1" applyAlignment="1">
      <alignment horizontal="center" vertical="center" wrapText="1"/>
    </xf>
    <xf numFmtId="1" fontId="5" fillId="4" borderId="1" xfId="3" applyNumberFormat="1" applyFont="1" applyFill="1" applyBorder="1" applyAlignment="1">
      <alignment horizontal="center" vertical="center" wrapText="1"/>
    </xf>
    <xf numFmtId="0" fontId="3" fillId="0" borderId="1" xfId="3" applyFont="1" applyBorder="1" applyAlignment="1">
      <alignment horizontal="center" vertical="center" wrapText="1"/>
    </xf>
    <xf numFmtId="9" fontId="3" fillId="0" borderId="1" xfId="8" applyFont="1" applyFill="1" applyBorder="1" applyAlignment="1">
      <alignment horizontal="center" vertical="center" wrapText="1"/>
    </xf>
    <xf numFmtId="1" fontId="5" fillId="0" borderId="1" xfId="3" applyNumberFormat="1" applyFont="1" applyBorder="1" applyAlignment="1">
      <alignment horizontal="center" vertical="center" wrapText="1"/>
    </xf>
    <xf numFmtId="1" fontId="5" fillId="0" borderId="1" xfId="8" applyNumberFormat="1" applyFont="1" applyFill="1" applyBorder="1" applyAlignment="1">
      <alignment horizontal="center" vertical="center" wrapText="1"/>
    </xf>
    <xf numFmtId="9" fontId="5" fillId="0" borderId="1" xfId="8" applyFont="1" applyFill="1" applyBorder="1" applyAlignment="1">
      <alignment horizontal="center" vertical="center" wrapText="1"/>
    </xf>
    <xf numFmtId="0" fontId="12" fillId="2" borderId="1" xfId="0" applyFont="1" applyFill="1" applyBorder="1" applyAlignment="1">
      <alignment horizontal="center" vertical="center" wrapText="1"/>
    </xf>
    <xf numFmtId="9" fontId="12" fillId="10" borderId="1" xfId="4" applyFont="1" applyFill="1" applyBorder="1" applyAlignment="1">
      <alignment horizontal="center" vertical="center"/>
    </xf>
    <xf numFmtId="166" fontId="3" fillId="4" borderId="1" xfId="2" applyNumberFormat="1" applyFont="1" applyFill="1" applyBorder="1" applyAlignment="1">
      <alignment horizontal="center" vertical="center"/>
    </xf>
    <xf numFmtId="0" fontId="3" fillId="4" borderId="1" xfId="0" applyFont="1" applyFill="1" applyBorder="1" applyAlignment="1">
      <alignment horizontal="center" wrapText="1"/>
    </xf>
    <xf numFmtId="0" fontId="3" fillId="4" borderId="1" xfId="0" applyFont="1" applyFill="1" applyBorder="1" applyAlignment="1">
      <alignment horizontal="left" wrapText="1"/>
    </xf>
    <xf numFmtId="0" fontId="12" fillId="6" borderId="1" xfId="0" applyFont="1" applyFill="1" applyBorder="1" applyAlignment="1">
      <alignment horizontal="center" wrapText="1"/>
    </xf>
    <xf numFmtId="0" fontId="12" fillId="6" borderId="1" xfId="0" applyFont="1" applyFill="1" applyBorder="1" applyAlignment="1">
      <alignment horizontal="left" wrapText="1"/>
    </xf>
    <xf numFmtId="0" fontId="3" fillId="0" borderId="1" xfId="0" applyFont="1" applyBorder="1" applyAlignment="1">
      <alignment horizontal="center" wrapText="1"/>
    </xf>
    <xf numFmtId="0" fontId="3" fillId="6" borderId="1" xfId="0" applyFont="1" applyFill="1" applyBorder="1" applyAlignment="1">
      <alignment horizontal="center" wrapText="1"/>
    </xf>
    <xf numFmtId="0" fontId="34" fillId="6" borderId="1" xfId="0" applyFont="1" applyFill="1" applyBorder="1" applyAlignment="1">
      <alignment horizontal="center" vertical="center" wrapText="1"/>
    </xf>
    <xf numFmtId="0" fontId="3" fillId="3" borderId="1" xfId="0" applyFont="1" applyFill="1" applyBorder="1" applyAlignment="1">
      <alignment horizontal="center" wrapText="1"/>
    </xf>
    <xf numFmtId="0" fontId="12" fillId="3" borderId="1" xfId="0" applyFont="1" applyFill="1" applyBorder="1" applyAlignment="1">
      <alignment horizontal="center" wrapText="1"/>
    </xf>
    <xf numFmtId="0" fontId="34" fillId="4" borderId="1" xfId="0" applyFont="1" applyFill="1" applyBorder="1" applyAlignment="1">
      <alignment horizontal="center" vertical="center" wrapText="1"/>
    </xf>
    <xf numFmtId="0" fontId="12" fillId="2" borderId="1" xfId="0" applyFont="1" applyFill="1" applyBorder="1" applyAlignment="1">
      <alignment horizontal="center" vertical="center" shrinkToFit="1"/>
    </xf>
    <xf numFmtId="0" fontId="12" fillId="6" borderId="1" xfId="0" applyFont="1" applyFill="1" applyBorder="1" applyAlignment="1">
      <alignment horizontal="center" vertical="center" shrinkToFit="1"/>
    </xf>
    <xf numFmtId="49" fontId="3" fillId="15"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wrapText="1"/>
    </xf>
    <xf numFmtId="49" fontId="12" fillId="6" borderId="1" xfId="0" applyNumberFormat="1" applyFont="1" applyFill="1" applyBorder="1" applyAlignment="1">
      <alignment horizontal="center" vertical="center" wrapText="1"/>
    </xf>
    <xf numFmtId="49" fontId="3" fillId="18" borderId="1" xfId="0" applyNumberFormat="1" applyFont="1" applyFill="1" applyBorder="1" applyAlignment="1">
      <alignment horizontal="center" vertical="center"/>
    </xf>
    <xf numFmtId="1" fontId="29" fillId="18" borderId="1" xfId="0" applyNumberFormat="1" applyFont="1" applyFill="1" applyBorder="1" applyAlignment="1">
      <alignment horizontal="center" vertical="center"/>
    </xf>
    <xf numFmtId="49" fontId="12" fillId="18" borderId="1" xfId="0" applyNumberFormat="1" applyFont="1" applyFill="1" applyBorder="1" applyAlignment="1">
      <alignment horizontal="center" vertical="center"/>
    </xf>
    <xf numFmtId="0" fontId="12" fillId="18" borderId="1" xfId="0" applyFont="1" applyFill="1" applyBorder="1" applyAlignment="1">
      <alignment horizontal="center" vertical="center" shrinkToFit="1"/>
    </xf>
    <xf numFmtId="49" fontId="12" fillId="18" borderId="1" xfId="0" applyNumberFormat="1" applyFont="1" applyFill="1" applyBorder="1" applyAlignment="1">
      <alignment horizontal="center" vertical="center" wrapText="1"/>
    </xf>
    <xf numFmtId="9" fontId="29" fillId="18" borderId="1" xfId="2" applyFont="1" applyFill="1" applyBorder="1" applyAlignment="1">
      <alignment horizontal="center" vertical="center"/>
    </xf>
    <xf numFmtId="49" fontId="12" fillId="18" borderId="1" xfId="3" applyNumberFormat="1" applyFont="1" applyFill="1" applyBorder="1" applyAlignment="1">
      <alignment horizontal="center" vertical="center" wrapText="1"/>
    </xf>
    <xf numFmtId="0" fontId="5" fillId="18" borderId="1" xfId="3" applyFont="1" applyFill="1" applyBorder="1" applyAlignment="1">
      <alignment horizontal="center" vertical="center" wrapText="1"/>
    </xf>
    <xf numFmtId="9" fontId="5" fillId="18" borderId="1" xfId="4" applyFont="1" applyFill="1" applyBorder="1" applyAlignment="1">
      <alignment horizontal="center" vertical="center"/>
    </xf>
    <xf numFmtId="9" fontId="12" fillId="18" borderId="1" xfId="2" applyFont="1" applyFill="1" applyBorder="1" applyAlignment="1">
      <alignment horizontal="center" vertical="center"/>
    </xf>
    <xf numFmtId="1" fontId="12" fillId="18" borderId="1" xfId="2" applyNumberFormat="1" applyFont="1" applyFill="1" applyBorder="1" applyAlignment="1">
      <alignment horizontal="center" vertical="center"/>
    </xf>
    <xf numFmtId="9" fontId="3" fillId="18" borderId="1" xfId="2" applyFont="1" applyFill="1" applyBorder="1" applyAlignment="1">
      <alignment horizontal="center" vertical="center"/>
    </xf>
    <xf numFmtId="0" fontId="5" fillId="6" borderId="1" xfId="3" applyFont="1" applyFill="1" applyBorder="1" applyAlignment="1">
      <alignment horizontal="center" vertical="center" wrapText="1"/>
    </xf>
    <xf numFmtId="0" fontId="5" fillId="2" borderId="1" xfId="3" applyFont="1" applyFill="1" applyBorder="1" applyAlignment="1">
      <alignment horizontal="center" vertical="center" wrapText="1"/>
    </xf>
    <xf numFmtId="0" fontId="5" fillId="4" borderId="1" xfId="3" applyFont="1" applyFill="1" applyBorder="1" applyAlignment="1">
      <alignment horizontal="center" vertical="center" wrapText="1"/>
    </xf>
    <xf numFmtId="0" fontId="3" fillId="6" borderId="1" xfId="3" applyFont="1" applyFill="1" applyBorder="1" applyAlignment="1">
      <alignment horizontal="center" vertical="center"/>
    </xf>
    <xf numFmtId="49" fontId="3" fillId="18" borderId="1" xfId="3" applyNumberFormat="1" applyFont="1" applyFill="1" applyBorder="1" applyAlignment="1">
      <alignment horizontal="center" vertical="center" wrapText="1"/>
    </xf>
    <xf numFmtId="0" fontId="3" fillId="18" borderId="1" xfId="3" applyFont="1" applyFill="1" applyBorder="1" applyAlignment="1">
      <alignment horizontal="center" vertical="center"/>
    </xf>
    <xf numFmtId="0" fontId="12" fillId="18" borderId="1" xfId="0" applyFont="1" applyFill="1" applyBorder="1" applyAlignment="1">
      <alignment horizontal="center" vertical="center" wrapText="1"/>
    </xf>
    <xf numFmtId="0" fontId="12" fillId="18" borderId="1" xfId="0" applyFont="1" applyFill="1" applyBorder="1" applyAlignment="1">
      <alignment horizontal="center" vertical="center"/>
    </xf>
    <xf numFmtId="1" fontId="3" fillId="18" borderId="1" xfId="2" applyNumberFormat="1" applyFont="1" applyFill="1" applyBorder="1" applyAlignment="1">
      <alignment horizontal="center" vertical="center"/>
    </xf>
    <xf numFmtId="3" fontId="12" fillId="3" borderId="1" xfId="2" applyNumberFormat="1" applyFont="1" applyFill="1" applyBorder="1" applyAlignment="1">
      <alignment horizontal="center" vertical="center"/>
    </xf>
    <xf numFmtId="9" fontId="12" fillId="16" borderId="1" xfId="2" applyFont="1" applyFill="1" applyBorder="1" applyAlignment="1">
      <alignment horizontal="center" vertical="center"/>
    </xf>
    <xf numFmtId="49" fontId="3" fillId="4" borderId="1" xfId="3" applyNumberFormat="1" applyFont="1" applyFill="1" applyBorder="1" applyAlignment="1">
      <alignment horizontal="center" vertical="center" wrapText="1"/>
    </xf>
    <xf numFmtId="9" fontId="28" fillId="19" borderId="1" xfId="2" applyFont="1" applyFill="1" applyBorder="1" applyAlignment="1">
      <alignment horizontal="center" vertical="center"/>
    </xf>
    <xf numFmtId="0" fontId="3" fillId="19" borderId="1" xfId="0" applyFont="1" applyFill="1" applyBorder="1" applyAlignment="1">
      <alignment horizontal="center" vertical="center"/>
    </xf>
    <xf numFmtId="9" fontId="3" fillId="10" borderId="1" xfId="0" applyNumberFormat="1" applyFont="1" applyFill="1" applyBorder="1" applyAlignment="1">
      <alignment horizontal="center" vertical="center"/>
    </xf>
    <xf numFmtId="9" fontId="28" fillId="20" borderId="1" xfId="2" applyFont="1" applyFill="1" applyBorder="1" applyAlignment="1">
      <alignment horizontal="center" vertical="center"/>
    </xf>
    <xf numFmtId="0" fontId="2" fillId="4" borderId="1" xfId="0" applyFont="1" applyFill="1" applyBorder="1" applyAlignment="1">
      <alignment horizontal="center" vertical="center"/>
    </xf>
    <xf numFmtId="0" fontId="3" fillId="20" borderId="1" xfId="0" applyFont="1" applyFill="1" applyBorder="1" applyAlignment="1">
      <alignment horizontal="center" vertical="center"/>
    </xf>
    <xf numFmtId="9" fontId="3" fillId="20" borderId="1" xfId="2" applyFont="1" applyFill="1" applyBorder="1" applyAlignment="1">
      <alignment horizontal="center" vertical="center"/>
    </xf>
    <xf numFmtId="0" fontId="3" fillId="21" borderId="1" xfId="0" applyFont="1" applyFill="1" applyBorder="1" applyAlignment="1">
      <alignment horizontal="center" vertical="center"/>
    </xf>
    <xf numFmtId="1" fontId="6" fillId="4" borderId="1" xfId="2" applyNumberFormat="1" applyFont="1" applyFill="1" applyBorder="1" applyAlignment="1">
      <alignment horizontal="center" vertical="center"/>
    </xf>
    <xf numFmtId="0" fontId="5" fillId="4" borderId="1" xfId="0" applyFont="1" applyFill="1" applyBorder="1" applyAlignment="1">
      <alignment horizontal="center" vertical="center"/>
    </xf>
    <xf numFmtId="3" fontId="6" fillId="4" borderId="1" xfId="2" applyNumberFormat="1" applyFont="1" applyFill="1" applyBorder="1" applyAlignment="1">
      <alignment horizontal="center" vertical="center"/>
    </xf>
    <xf numFmtId="166" fontId="6" fillId="4" borderId="1" xfId="2" applyNumberFormat="1" applyFont="1" applyFill="1" applyBorder="1" applyAlignment="1">
      <alignment horizontal="center" vertical="center"/>
    </xf>
    <xf numFmtId="9" fontId="28" fillId="21" borderId="1" xfId="2" applyFont="1" applyFill="1" applyBorder="1" applyAlignment="1">
      <alignment horizontal="center" vertical="center"/>
    </xf>
    <xf numFmtId="0" fontId="2" fillId="0" borderId="1" xfId="0" applyFont="1" applyBorder="1" applyAlignment="1">
      <alignment horizontal="center" vertical="center" wrapText="1"/>
    </xf>
    <xf numFmtId="9" fontId="10" fillId="6" borderId="1" xfId="0" applyNumberFormat="1" applyFont="1" applyFill="1" applyBorder="1" applyAlignment="1">
      <alignment horizontal="center" vertical="center"/>
    </xf>
    <xf numFmtId="0" fontId="12" fillId="6" borderId="1" xfId="0" applyFont="1" applyFill="1" applyBorder="1" applyAlignment="1">
      <alignment horizontal="left"/>
    </xf>
    <xf numFmtId="0" fontId="12" fillId="6" borderId="1" xfId="0" applyFont="1" applyFill="1" applyBorder="1" applyAlignment="1">
      <alignment horizontal="right"/>
    </xf>
    <xf numFmtId="0" fontId="12" fillId="6" borderId="1" xfId="0" applyFont="1" applyFill="1" applyBorder="1" applyAlignment="1">
      <alignment horizontal="center" vertical="center" wrapText="1" readingOrder="2"/>
    </xf>
    <xf numFmtId="0" fontId="12" fillId="6" borderId="1" xfId="0" applyFont="1" applyFill="1" applyBorder="1" applyAlignment="1">
      <alignment horizontal="left" vertical="center" wrapText="1"/>
    </xf>
    <xf numFmtId="1" fontId="6" fillId="6" borderId="1" xfId="2" applyNumberFormat="1" applyFont="1" applyFill="1" applyBorder="1" applyAlignment="1">
      <alignment horizontal="center" vertical="center"/>
    </xf>
    <xf numFmtId="0" fontId="2" fillId="0" borderId="1" xfId="0" applyFont="1" applyBorder="1" applyAlignment="1">
      <alignment horizontal="center" wrapText="1"/>
    </xf>
    <xf numFmtId="0" fontId="12" fillId="6" borderId="1" xfId="0" applyFont="1" applyFill="1" applyBorder="1" applyAlignment="1">
      <alignment horizontal="center" readingOrder="2"/>
    </xf>
    <xf numFmtId="49" fontId="2" fillId="18" borderId="1" xfId="3" applyNumberFormat="1" applyFont="1" applyFill="1" applyBorder="1" applyAlignment="1">
      <alignment horizontal="center" vertical="center" wrapText="1"/>
    </xf>
    <xf numFmtId="0" fontId="5" fillId="18" borderId="1" xfId="3" applyFont="1" applyFill="1" applyBorder="1" applyAlignment="1">
      <alignment horizontal="left" vertical="center" wrapText="1"/>
    </xf>
    <xf numFmtId="9" fontId="10" fillId="18" borderId="1" xfId="4" applyFont="1" applyFill="1" applyBorder="1" applyAlignment="1">
      <alignment horizontal="center" vertical="center"/>
    </xf>
    <xf numFmtId="0" fontId="12" fillId="0" borderId="1" xfId="0" applyFont="1" applyBorder="1" applyAlignment="1">
      <alignment horizontal="center"/>
    </xf>
    <xf numFmtId="0" fontId="3" fillId="2" borderId="1" xfId="0" applyFont="1" applyFill="1" applyBorder="1" applyAlignment="1">
      <alignment horizontal="left"/>
    </xf>
    <xf numFmtId="166" fontId="12" fillId="3" borderId="1" xfId="2" applyNumberFormat="1" applyFont="1" applyFill="1" applyBorder="1" applyAlignment="1">
      <alignment horizontal="center" vertical="center"/>
    </xf>
    <xf numFmtId="0" fontId="3" fillId="4" borderId="1" xfId="0" applyFont="1" applyFill="1" applyBorder="1" applyAlignment="1">
      <alignment horizontal="center" readingOrder="2"/>
    </xf>
    <xf numFmtId="9" fontId="5" fillId="4" borderId="1" xfId="4" applyFont="1" applyFill="1" applyBorder="1" applyAlignment="1">
      <alignment horizontal="left" vertical="center" wrapText="1"/>
    </xf>
    <xf numFmtId="49" fontId="3" fillId="2" borderId="1" xfId="9" applyNumberFormat="1" applyFont="1" applyFill="1" applyBorder="1" applyAlignment="1">
      <alignment horizontal="center" vertical="center"/>
    </xf>
    <xf numFmtId="1" fontId="28" fillId="2" borderId="1" xfId="9" applyNumberFormat="1" applyFont="1" applyFill="1" applyBorder="1" applyAlignment="1">
      <alignment horizontal="center" vertical="center"/>
    </xf>
    <xf numFmtId="49" fontId="12" fillId="2" borderId="1" xfId="9" applyNumberFormat="1" applyFont="1" applyFill="1" applyBorder="1" applyAlignment="1">
      <alignment horizontal="center" vertical="center"/>
    </xf>
    <xf numFmtId="49" fontId="3" fillId="2" borderId="1" xfId="9" applyNumberFormat="1" applyFont="1" applyFill="1" applyBorder="1" applyAlignment="1">
      <alignment horizontal="center" vertical="center" wrapText="1"/>
    </xf>
    <xf numFmtId="0" fontId="3" fillId="2" borderId="1" xfId="9" applyFont="1" applyFill="1" applyBorder="1" applyAlignment="1">
      <alignment horizontal="center" vertical="center"/>
    </xf>
    <xf numFmtId="9" fontId="30" fillId="2" borderId="1" xfId="10" applyFont="1" applyFill="1" applyBorder="1" applyAlignment="1">
      <alignment horizontal="center" vertical="center"/>
    </xf>
    <xf numFmtId="9" fontId="3" fillId="2" borderId="1" xfId="8" applyFont="1" applyFill="1" applyBorder="1" applyAlignment="1">
      <alignment horizontal="center" vertical="center"/>
    </xf>
    <xf numFmtId="9" fontId="3" fillId="2" borderId="1" xfId="10" applyFont="1" applyFill="1" applyBorder="1" applyAlignment="1">
      <alignment horizontal="center" vertical="center"/>
    </xf>
    <xf numFmtId="1" fontId="3" fillId="2" borderId="1" xfId="10" applyNumberFormat="1" applyFont="1" applyFill="1" applyBorder="1" applyAlignment="1">
      <alignment horizontal="center" vertical="center"/>
    </xf>
    <xf numFmtId="9" fontId="5" fillId="10" borderId="1" xfId="10" applyFont="1" applyFill="1" applyBorder="1" applyAlignment="1">
      <alignment horizontal="center" vertical="center"/>
    </xf>
    <xf numFmtId="9" fontId="5" fillId="2" borderId="1" xfId="10" applyFont="1" applyFill="1" applyBorder="1" applyAlignment="1">
      <alignment horizontal="center" vertical="center"/>
    </xf>
    <xf numFmtId="49" fontId="3" fillId="6" borderId="1" xfId="9" applyNumberFormat="1" applyFont="1" applyFill="1" applyBorder="1" applyAlignment="1">
      <alignment horizontal="center" vertical="center"/>
    </xf>
    <xf numFmtId="1" fontId="28" fillId="6" borderId="1" xfId="9" applyNumberFormat="1" applyFont="1" applyFill="1" applyBorder="1" applyAlignment="1">
      <alignment horizontal="center" vertical="center"/>
    </xf>
    <xf numFmtId="49" fontId="12" fillId="0" borderId="1" xfId="9" applyNumberFormat="1" applyFont="1" applyBorder="1" applyAlignment="1">
      <alignment horizontal="center" vertical="center"/>
    </xf>
    <xf numFmtId="49" fontId="3" fillId="6" borderId="1" xfId="9" applyNumberFormat="1" applyFont="1" applyFill="1" applyBorder="1" applyAlignment="1">
      <alignment horizontal="center" vertical="center" wrapText="1"/>
    </xf>
    <xf numFmtId="0" fontId="3" fillId="4" borderId="1" xfId="9" applyFont="1" applyFill="1" applyBorder="1" applyAlignment="1">
      <alignment horizontal="center" vertical="center"/>
    </xf>
    <xf numFmtId="9" fontId="30" fillId="4" borderId="1" xfId="10" applyFont="1" applyFill="1" applyBorder="1" applyAlignment="1">
      <alignment horizontal="center" vertical="center"/>
    </xf>
    <xf numFmtId="0" fontId="12" fillId="4" borderId="1" xfId="0" applyFont="1" applyFill="1" applyBorder="1" applyAlignment="1">
      <alignment horizontal="right" vertical="center" wrapText="1" readingOrder="2"/>
    </xf>
    <xf numFmtId="9" fontId="3" fillId="4" borderId="1" xfId="8" applyFont="1" applyFill="1" applyBorder="1" applyAlignment="1">
      <alignment horizontal="center" vertical="center"/>
    </xf>
    <xf numFmtId="9" fontId="3" fillId="4" borderId="1" xfId="10" applyFont="1" applyFill="1" applyBorder="1" applyAlignment="1">
      <alignment horizontal="center" vertical="center"/>
    </xf>
    <xf numFmtId="1" fontId="3" fillId="4" borderId="1" xfId="10" applyNumberFormat="1" applyFont="1" applyFill="1" applyBorder="1" applyAlignment="1">
      <alignment horizontal="center" vertical="center"/>
    </xf>
    <xf numFmtId="9" fontId="3" fillId="6" borderId="1" xfId="10" applyFont="1" applyFill="1" applyBorder="1" applyAlignment="1">
      <alignment horizontal="center" vertical="center"/>
    </xf>
    <xf numFmtId="1" fontId="3" fillId="4" borderId="1" xfId="8" applyNumberFormat="1" applyFont="1" applyFill="1" applyBorder="1" applyAlignment="1">
      <alignment horizontal="center" vertical="center"/>
    </xf>
    <xf numFmtId="9" fontId="5" fillId="4" borderId="1" xfId="10" applyFont="1" applyFill="1" applyBorder="1" applyAlignment="1">
      <alignment horizontal="center" vertical="center"/>
    </xf>
    <xf numFmtId="1" fontId="5" fillId="4" borderId="1" xfId="10" applyNumberFormat="1" applyFont="1" applyFill="1" applyBorder="1" applyAlignment="1">
      <alignment horizontal="center" vertical="center"/>
    </xf>
    <xf numFmtId="9" fontId="5" fillId="6" borderId="1" xfId="10" applyFont="1" applyFill="1" applyBorder="1" applyAlignment="1">
      <alignment horizontal="center" vertical="center"/>
    </xf>
    <xf numFmtId="0" fontId="12" fillId="6" borderId="1" xfId="9" applyFont="1" applyFill="1" applyBorder="1" applyAlignment="1">
      <alignment horizontal="center" vertical="center"/>
    </xf>
    <xf numFmtId="9" fontId="29" fillId="6" borderId="1" xfId="10" applyFont="1" applyFill="1" applyBorder="1" applyAlignment="1">
      <alignment horizontal="center" vertical="center"/>
    </xf>
    <xf numFmtId="0" fontId="12" fillId="6" borderId="1" xfId="9" applyFont="1" applyFill="1" applyBorder="1" applyAlignment="1">
      <alignment horizontal="center" vertical="center" wrapText="1"/>
    </xf>
    <xf numFmtId="0" fontId="12" fillId="6" borderId="1" xfId="9" applyFont="1" applyFill="1" applyBorder="1" applyAlignment="1">
      <alignment horizontal="left" vertical="center" wrapText="1"/>
    </xf>
    <xf numFmtId="9" fontId="5" fillId="6" borderId="1" xfId="9" applyNumberFormat="1" applyFont="1" applyFill="1" applyBorder="1" applyAlignment="1">
      <alignment horizontal="center" vertical="center"/>
    </xf>
    <xf numFmtId="1" fontId="3" fillId="6" borderId="1" xfId="10" applyNumberFormat="1" applyFont="1" applyFill="1" applyBorder="1" applyAlignment="1">
      <alignment horizontal="center" vertical="center"/>
    </xf>
    <xf numFmtId="9" fontId="12" fillId="6" borderId="1" xfId="10" applyFont="1" applyFill="1" applyBorder="1" applyAlignment="1">
      <alignment horizontal="center" vertical="center"/>
    </xf>
    <xf numFmtId="0" fontId="3" fillId="2" borderId="1" xfId="9" applyFont="1" applyFill="1" applyBorder="1" applyAlignment="1">
      <alignment horizontal="center" vertical="center" wrapText="1"/>
    </xf>
    <xf numFmtId="0" fontId="3" fillId="2" borderId="1" xfId="9" applyFont="1" applyFill="1" applyBorder="1" applyAlignment="1">
      <alignment horizontal="left" vertical="center" wrapText="1"/>
    </xf>
    <xf numFmtId="9" fontId="5" fillId="2" borderId="1" xfId="9" applyNumberFormat="1" applyFont="1" applyFill="1" applyBorder="1" applyAlignment="1">
      <alignment horizontal="center" vertical="center"/>
    </xf>
    <xf numFmtId="1" fontId="5" fillId="2" borderId="1" xfId="10" applyNumberFormat="1" applyFont="1" applyFill="1" applyBorder="1" applyAlignment="1">
      <alignment horizontal="center" vertical="center"/>
    </xf>
    <xf numFmtId="0" fontId="3" fillId="6" borderId="1" xfId="9" applyFont="1" applyFill="1" applyBorder="1" applyAlignment="1">
      <alignment horizontal="center" vertical="center"/>
    </xf>
    <xf numFmtId="0" fontId="3" fillId="4" borderId="1" xfId="9" applyFont="1" applyFill="1" applyBorder="1" applyAlignment="1">
      <alignment horizontal="center" vertical="center" wrapText="1"/>
    </xf>
    <xf numFmtId="0" fontId="3" fillId="4" borderId="1" xfId="9" applyFont="1" applyFill="1" applyBorder="1" applyAlignment="1">
      <alignment horizontal="left" vertical="center" wrapText="1"/>
    </xf>
    <xf numFmtId="9" fontId="5" fillId="4" borderId="1" xfId="9" applyNumberFormat="1" applyFont="1" applyFill="1" applyBorder="1" applyAlignment="1">
      <alignment horizontal="center" vertical="center"/>
    </xf>
    <xf numFmtId="0" fontId="3" fillId="3" borderId="1" xfId="0" applyFont="1" applyFill="1" applyBorder="1" applyAlignment="1">
      <alignment horizontal="center" vertical="center"/>
    </xf>
    <xf numFmtId="0" fontId="6" fillId="3" borderId="1" xfId="0" applyFont="1" applyFill="1" applyBorder="1" applyAlignment="1">
      <alignment horizontal="center" vertical="center"/>
    </xf>
    <xf numFmtId="9" fontId="5" fillId="3" borderId="1" xfId="0" applyNumberFormat="1" applyFont="1" applyFill="1" applyBorder="1" applyAlignment="1">
      <alignment horizontal="center" vertical="center"/>
    </xf>
    <xf numFmtId="166" fontId="5" fillId="4" borderId="1" xfId="9" applyNumberFormat="1" applyFont="1" applyFill="1" applyBorder="1" applyAlignment="1">
      <alignment horizontal="center" vertical="center"/>
    </xf>
    <xf numFmtId="1" fontId="5" fillId="6" borderId="1" xfId="10" applyNumberFormat="1" applyFont="1" applyFill="1" applyBorder="1" applyAlignment="1">
      <alignment horizontal="center" vertical="center"/>
    </xf>
    <xf numFmtId="9" fontId="12" fillId="0" borderId="1" xfId="10" applyFont="1" applyBorder="1" applyAlignment="1">
      <alignment horizontal="center" vertical="center"/>
    </xf>
    <xf numFmtId="0" fontId="12" fillId="2" borderId="1" xfId="9" applyFont="1" applyFill="1" applyBorder="1" applyAlignment="1">
      <alignment horizontal="center" vertical="center" wrapText="1"/>
    </xf>
    <xf numFmtId="9" fontId="12" fillId="10" borderId="1" xfId="10" applyFont="1" applyFill="1" applyBorder="1" applyAlignment="1">
      <alignment horizontal="center" vertical="center"/>
    </xf>
    <xf numFmtId="9" fontId="12" fillId="2" borderId="1" xfId="10" applyFont="1" applyFill="1" applyBorder="1" applyAlignment="1">
      <alignment horizontal="center" vertical="center"/>
    </xf>
    <xf numFmtId="49" fontId="12" fillId="2" borderId="1" xfId="9" applyNumberFormat="1" applyFont="1" applyFill="1" applyBorder="1" applyAlignment="1">
      <alignment horizontal="center" vertical="center" readingOrder="2"/>
    </xf>
    <xf numFmtId="49" fontId="12" fillId="0" borderId="1" xfId="9" applyNumberFormat="1" applyFont="1" applyBorder="1" applyAlignment="1">
      <alignment horizontal="center" vertical="center" readingOrder="2"/>
    </xf>
    <xf numFmtId="9" fontId="30" fillId="2" borderId="1" xfId="2" applyFont="1" applyFill="1" applyBorder="1" applyAlignment="1">
      <alignment horizontal="center" vertical="center"/>
    </xf>
    <xf numFmtId="3" fontId="5" fillId="2" borderId="1"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3" fontId="5" fillId="3"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49" fontId="12"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9" fontId="18" fillId="2" borderId="1" xfId="2" applyFont="1" applyFill="1" applyBorder="1" applyAlignment="1">
      <alignment horizontal="center" vertical="center"/>
    </xf>
    <xf numFmtId="9" fontId="19" fillId="10" borderId="1" xfId="2" applyFont="1" applyFill="1" applyBorder="1" applyAlignment="1">
      <alignment horizontal="center" vertical="center" wrapText="1"/>
    </xf>
    <xf numFmtId="49" fontId="19" fillId="0" borderId="1" xfId="0" applyNumberFormat="1" applyFont="1" applyBorder="1" applyAlignment="1">
      <alignment horizontal="center" vertical="center" wrapText="1"/>
    </xf>
    <xf numFmtId="9" fontId="18" fillId="4" borderId="1" xfId="2" applyFont="1" applyFill="1" applyBorder="1" applyAlignment="1">
      <alignment horizontal="center" vertical="center"/>
    </xf>
    <xf numFmtId="0" fontId="18" fillId="6" borderId="1" xfId="0" applyFont="1" applyFill="1" applyBorder="1" applyAlignment="1">
      <alignment horizontal="center" vertical="center"/>
    </xf>
    <xf numFmtId="0" fontId="18" fillId="0" borderId="1" xfId="0" applyFont="1" applyBorder="1" applyAlignment="1">
      <alignment horizontal="center" vertical="center"/>
    </xf>
    <xf numFmtId="9" fontId="19" fillId="0" borderId="1" xfId="2" applyFont="1" applyFill="1" applyBorder="1" applyAlignment="1">
      <alignment horizontal="center" vertical="center"/>
    </xf>
    <xf numFmtId="9" fontId="18" fillId="0" borderId="1" xfId="2" applyFont="1" applyBorder="1" applyAlignment="1">
      <alignment horizontal="center" vertical="center" wrapText="1"/>
    </xf>
    <xf numFmtId="1" fontId="18" fillId="2" borderId="1" xfId="0" applyNumberFormat="1" applyFont="1" applyFill="1" applyBorder="1" applyAlignment="1">
      <alignment horizontal="center" vertical="center"/>
    </xf>
    <xf numFmtId="0" fontId="18" fillId="2" borderId="1" xfId="0" applyFont="1" applyFill="1" applyBorder="1" applyAlignment="1">
      <alignment horizontal="center" vertical="center"/>
    </xf>
    <xf numFmtId="9" fontId="21" fillId="2" borderId="1" xfId="0" applyNumberFormat="1" applyFont="1" applyFill="1" applyBorder="1" applyAlignment="1">
      <alignment horizontal="center" vertical="center"/>
    </xf>
    <xf numFmtId="0" fontId="18" fillId="6" borderId="1" xfId="0" applyFont="1" applyFill="1" applyBorder="1" applyAlignment="1">
      <alignment horizontal="center"/>
    </xf>
    <xf numFmtId="1" fontId="18" fillId="6" borderId="1" xfId="0" applyNumberFormat="1" applyFont="1" applyFill="1" applyBorder="1" applyAlignment="1">
      <alignment horizontal="center" vertical="center"/>
    </xf>
    <xf numFmtId="9" fontId="21" fillId="4" borderId="1" xfId="0" applyNumberFormat="1" applyFont="1" applyFill="1" applyBorder="1" applyAlignment="1">
      <alignment horizontal="center" vertical="center"/>
    </xf>
    <xf numFmtId="166" fontId="21" fillId="4" borderId="1" xfId="0" applyNumberFormat="1" applyFont="1" applyFill="1" applyBorder="1" applyAlignment="1">
      <alignment horizontal="center" vertical="center"/>
    </xf>
    <xf numFmtId="9" fontId="21" fillId="6" borderId="1" xfId="0" applyNumberFormat="1" applyFont="1" applyFill="1" applyBorder="1" applyAlignment="1">
      <alignment horizontal="center" vertical="center"/>
    </xf>
    <xf numFmtId="0" fontId="18" fillId="3" borderId="1" xfId="0" applyFont="1" applyFill="1" applyBorder="1" applyAlignment="1">
      <alignment horizontal="center" wrapText="1"/>
    </xf>
    <xf numFmtId="0" fontId="19" fillId="3" borderId="1" xfId="0" applyFont="1" applyFill="1" applyBorder="1" applyAlignment="1">
      <alignment horizontal="center" wrapText="1"/>
    </xf>
    <xf numFmtId="9" fontId="18" fillId="3" borderId="1" xfId="2" applyFont="1" applyFill="1" applyBorder="1" applyAlignment="1">
      <alignment horizontal="center" vertical="center"/>
    </xf>
    <xf numFmtId="9" fontId="19" fillId="10" borderId="1" xfId="4" applyFont="1" applyFill="1" applyBorder="1" applyAlignment="1">
      <alignment horizontal="center" vertical="center"/>
    </xf>
    <xf numFmtId="9" fontId="19" fillId="3" borderId="1" xfId="4" applyFont="1" applyFill="1" applyBorder="1" applyAlignment="1">
      <alignment horizontal="center" vertical="center"/>
    </xf>
    <xf numFmtId="0" fontId="36" fillId="3" borderId="1" xfId="0" applyFont="1" applyFill="1" applyBorder="1" applyAlignment="1">
      <alignment horizontal="center" vertical="center" wrapText="1"/>
    </xf>
    <xf numFmtId="0" fontId="36" fillId="3" borderId="1" xfId="0" applyFont="1" applyFill="1" applyBorder="1" applyAlignment="1">
      <alignment horizontal="center" vertical="center"/>
    </xf>
    <xf numFmtId="0" fontId="37" fillId="3" borderId="1" xfId="0" applyFont="1" applyFill="1" applyBorder="1" applyAlignment="1">
      <alignment horizontal="center" wrapText="1"/>
    </xf>
    <xf numFmtId="166" fontId="36" fillId="3" borderId="1" xfId="2" applyNumberFormat="1" applyFont="1" applyFill="1" applyBorder="1" applyAlignment="1">
      <alignment horizontal="center" vertical="center"/>
    </xf>
    <xf numFmtId="9" fontId="19" fillId="4" borderId="1" xfId="4" applyFont="1" applyFill="1" applyBorder="1" applyAlignment="1">
      <alignment horizontal="center" vertical="center"/>
    </xf>
    <xf numFmtId="3" fontId="36" fillId="3" borderId="1" xfId="2" applyNumberFormat="1" applyFont="1" applyFill="1" applyBorder="1" applyAlignment="1">
      <alignment horizontal="center" vertical="center"/>
    </xf>
    <xf numFmtId="0" fontId="18" fillId="4" borderId="1" xfId="0" applyFont="1" applyFill="1" applyBorder="1" applyAlignment="1">
      <alignment horizontal="center" wrapText="1"/>
    </xf>
    <xf numFmtId="0" fontId="18" fillId="0" borderId="1" xfId="0" applyFont="1" applyBorder="1" applyAlignment="1">
      <alignment horizontal="center" wrapText="1"/>
    </xf>
    <xf numFmtId="9" fontId="18" fillId="0" borderId="1" xfId="2" applyFont="1" applyBorder="1" applyAlignment="1">
      <alignment horizontal="center" vertical="center"/>
    </xf>
    <xf numFmtId="0" fontId="23" fillId="2" borderId="1" xfId="0" applyFont="1" applyFill="1" applyBorder="1" applyAlignment="1">
      <alignment horizontal="center" vertical="center"/>
    </xf>
    <xf numFmtId="9" fontId="30" fillId="2" borderId="1" xfId="1" applyNumberFormat="1" applyFont="1" applyFill="1" applyBorder="1" applyAlignment="1">
      <alignment horizontal="center" vertical="center"/>
    </xf>
    <xf numFmtId="164" fontId="21" fillId="2" borderId="1" xfId="1" applyNumberFormat="1" applyFont="1" applyFill="1" applyBorder="1" applyAlignment="1">
      <alignment horizontal="right" vertical="center"/>
    </xf>
    <xf numFmtId="164" fontId="21" fillId="2" borderId="1" xfId="1" applyNumberFormat="1" applyFont="1" applyFill="1" applyBorder="1" applyAlignment="1">
      <alignment horizontal="center" vertical="center"/>
    </xf>
    <xf numFmtId="9" fontId="23" fillId="10" borderId="1" xfId="3" applyNumberFormat="1" applyFont="1" applyFill="1" applyBorder="1" applyAlignment="1">
      <alignment horizontal="center" vertical="center"/>
    </xf>
    <xf numFmtId="0" fontId="23" fillId="0" borderId="1" xfId="0" applyFont="1" applyBorder="1" applyAlignment="1">
      <alignment horizontal="center" vertical="center"/>
    </xf>
    <xf numFmtId="164" fontId="21" fillId="4" borderId="1" xfId="1" applyNumberFormat="1" applyFont="1" applyFill="1" applyBorder="1" applyAlignment="1">
      <alignment horizontal="right" vertical="center"/>
    </xf>
    <xf numFmtId="164" fontId="21" fillId="4" borderId="1" xfId="1" applyNumberFormat="1" applyFont="1" applyFill="1" applyBorder="1" applyAlignment="1">
      <alignment horizontal="center" vertical="center"/>
    </xf>
    <xf numFmtId="0" fontId="21" fillId="4" borderId="1" xfId="3" applyFont="1" applyFill="1" applyBorder="1" applyAlignment="1">
      <alignment horizontal="center" vertical="center"/>
    </xf>
    <xf numFmtId="9" fontId="23" fillId="0" borderId="1" xfId="4" applyFont="1" applyBorder="1" applyAlignment="1">
      <alignment horizontal="center" vertical="center"/>
    </xf>
    <xf numFmtId="9" fontId="30" fillId="0" borderId="1" xfId="2" applyFont="1" applyBorder="1" applyAlignment="1">
      <alignment horizontal="center" vertical="center"/>
    </xf>
    <xf numFmtId="0" fontId="19" fillId="6" borderId="1" xfId="3" applyFont="1" applyFill="1" applyBorder="1" applyAlignment="1">
      <alignment horizontal="center" vertical="center"/>
    </xf>
    <xf numFmtId="9" fontId="28" fillId="0" borderId="1" xfId="0" applyNumberFormat="1" applyFont="1" applyBorder="1" applyAlignment="1">
      <alignment horizontal="center" vertical="center" wrapText="1"/>
    </xf>
    <xf numFmtId="9" fontId="21" fillId="6" borderId="1" xfId="4" applyFont="1" applyFill="1" applyBorder="1" applyAlignment="1">
      <alignment horizontal="center" vertical="center"/>
    </xf>
    <xf numFmtId="3" fontId="21" fillId="0" borderId="1" xfId="0" applyNumberFormat="1" applyFont="1" applyBorder="1" applyAlignment="1">
      <alignment horizontal="center" vertical="center"/>
    </xf>
    <xf numFmtId="9" fontId="30" fillId="0" borderId="1" xfId="0" applyNumberFormat="1" applyFont="1" applyBorder="1" applyAlignment="1">
      <alignment horizontal="center" vertical="center"/>
    </xf>
    <xf numFmtId="164" fontId="21" fillId="0" borderId="1" xfId="1" applyNumberFormat="1" applyFont="1" applyBorder="1" applyAlignment="1">
      <alignment horizontal="center" vertical="center"/>
    </xf>
    <xf numFmtId="49" fontId="24" fillId="2" borderId="1" xfId="0" applyNumberFormat="1" applyFont="1" applyFill="1" applyBorder="1" applyAlignment="1">
      <alignment horizontal="center" vertical="center"/>
    </xf>
    <xf numFmtId="49" fontId="18" fillId="4" borderId="1" xfId="0" applyNumberFormat="1" applyFont="1" applyFill="1" applyBorder="1" applyAlignment="1">
      <alignment horizontal="center" vertical="center"/>
    </xf>
    <xf numFmtId="167" fontId="21" fillId="4" borderId="1" xfId="6" applyNumberFormat="1" applyFont="1" applyFill="1" applyBorder="1" applyAlignment="1">
      <alignment horizontal="center" vertical="center"/>
    </xf>
    <xf numFmtId="49" fontId="19" fillId="2" borderId="1" xfId="3" applyNumberFormat="1" applyFont="1" applyFill="1" applyBorder="1" applyAlignment="1">
      <alignment horizontal="center" vertical="center"/>
    </xf>
    <xf numFmtId="9" fontId="21" fillId="2" borderId="1" xfId="2" applyFont="1" applyFill="1" applyBorder="1" applyAlignment="1">
      <alignment horizontal="right" vertical="center"/>
    </xf>
    <xf numFmtId="167" fontId="19" fillId="2" borderId="1" xfId="1" applyNumberFormat="1" applyFont="1" applyFill="1" applyBorder="1" applyAlignment="1">
      <alignment horizontal="center" vertical="center"/>
    </xf>
    <xf numFmtId="1" fontId="24" fillId="0" borderId="1" xfId="2" applyNumberFormat="1" applyFont="1" applyFill="1" applyBorder="1" applyAlignment="1">
      <alignment horizontal="center" vertical="center"/>
    </xf>
    <xf numFmtId="49" fontId="19" fillId="0" borderId="1" xfId="3" applyNumberFormat="1" applyFont="1" applyBorder="1" applyAlignment="1">
      <alignment horizontal="center" vertical="center"/>
    </xf>
    <xf numFmtId="0" fontId="21" fillId="0" borderId="1" xfId="3" applyFont="1" applyBorder="1" applyAlignment="1">
      <alignment horizontal="center" vertical="center"/>
    </xf>
    <xf numFmtId="1" fontId="21" fillId="4" borderId="1" xfId="1" applyNumberFormat="1" applyFont="1" applyFill="1" applyBorder="1" applyAlignment="1">
      <alignment horizontal="center" vertical="center"/>
    </xf>
    <xf numFmtId="1" fontId="19" fillId="0" borderId="1" xfId="2" applyNumberFormat="1" applyFont="1" applyFill="1" applyBorder="1" applyAlignment="1">
      <alignment horizontal="center" vertical="center"/>
    </xf>
    <xf numFmtId="9" fontId="28" fillId="4" borderId="1" xfId="4" applyFont="1" applyFill="1" applyBorder="1" applyAlignment="1">
      <alignment horizontal="center" vertical="center"/>
    </xf>
    <xf numFmtId="9" fontId="18" fillId="4" borderId="1" xfId="4" applyFont="1" applyFill="1" applyBorder="1" applyAlignment="1">
      <alignment horizontal="right" vertical="center"/>
    </xf>
    <xf numFmtId="1" fontId="29" fillId="2" borderId="1" xfId="3" applyNumberFormat="1" applyFont="1" applyFill="1" applyBorder="1" applyAlignment="1">
      <alignment horizontal="center" vertical="center"/>
    </xf>
    <xf numFmtId="0" fontId="24" fillId="2" borderId="1" xfId="3" applyFont="1" applyFill="1" applyBorder="1" applyAlignment="1">
      <alignment horizontal="center" vertical="center"/>
    </xf>
    <xf numFmtId="9" fontId="21" fillId="0" borderId="1" xfId="1" applyNumberFormat="1" applyFont="1" applyBorder="1" applyAlignment="1">
      <alignment horizontal="center" vertical="center"/>
    </xf>
    <xf numFmtId="1" fontId="30" fillId="2" borderId="1" xfId="3" applyNumberFormat="1" applyFont="1" applyFill="1" applyBorder="1" applyAlignment="1">
      <alignment horizontal="center" vertical="center"/>
    </xf>
    <xf numFmtId="9" fontId="19" fillId="0" borderId="1" xfId="3" applyNumberFormat="1" applyFont="1" applyBorder="1" applyAlignment="1">
      <alignment horizontal="center" vertical="center"/>
    </xf>
    <xf numFmtId="1" fontId="29" fillId="3" borderId="1" xfId="0" applyNumberFormat="1" applyFont="1" applyFill="1" applyBorder="1" applyAlignment="1">
      <alignment horizontal="center" vertical="center"/>
    </xf>
    <xf numFmtId="49" fontId="19" fillId="3" borderId="1" xfId="0" applyNumberFormat="1" applyFont="1" applyFill="1" applyBorder="1" applyAlignment="1">
      <alignment horizontal="center" vertical="center"/>
    </xf>
    <xf numFmtId="49" fontId="24" fillId="2" borderId="1" xfId="3" applyNumberFormat="1" applyFont="1" applyFill="1" applyBorder="1" applyAlignment="1">
      <alignment horizontal="center" vertical="center"/>
    </xf>
    <xf numFmtId="164" fontId="24" fillId="2" borderId="1" xfId="1" applyNumberFormat="1" applyFont="1" applyFill="1" applyBorder="1" applyAlignment="1">
      <alignment horizontal="center" vertical="center"/>
    </xf>
    <xf numFmtId="9" fontId="24" fillId="2" borderId="1" xfId="2" applyFont="1" applyFill="1" applyBorder="1" applyAlignment="1">
      <alignment horizontal="center" vertical="center"/>
    </xf>
    <xf numFmtId="1" fontId="24" fillId="2" borderId="1" xfId="2" applyNumberFormat="1" applyFont="1" applyFill="1" applyBorder="1" applyAlignment="1">
      <alignment horizontal="center" vertical="center"/>
    </xf>
    <xf numFmtId="9" fontId="24" fillId="2" borderId="1" xfId="4" applyFont="1" applyFill="1" applyBorder="1" applyAlignment="1">
      <alignment horizontal="center" vertical="center"/>
    </xf>
    <xf numFmtId="9" fontId="24" fillId="10" borderId="1" xfId="3" applyNumberFormat="1" applyFont="1" applyFill="1" applyBorder="1" applyAlignment="1">
      <alignment horizontal="center" vertical="center"/>
    </xf>
    <xf numFmtId="49" fontId="24" fillId="6" borderId="1" xfId="0" applyNumberFormat="1" applyFont="1" applyFill="1" applyBorder="1" applyAlignment="1">
      <alignment horizontal="center" vertical="center"/>
    </xf>
    <xf numFmtId="49" fontId="24" fillId="4" borderId="1" xfId="0" applyNumberFormat="1" applyFont="1" applyFill="1" applyBorder="1" applyAlignment="1">
      <alignment horizontal="center" vertical="center"/>
    </xf>
    <xf numFmtId="49" fontId="19" fillId="4" borderId="1" xfId="0" applyNumberFormat="1" applyFont="1" applyFill="1" applyBorder="1" applyAlignment="1">
      <alignment horizontal="center" vertical="center"/>
    </xf>
    <xf numFmtId="49" fontId="24" fillId="4" borderId="1" xfId="3" applyNumberFormat="1" applyFont="1" applyFill="1" applyBorder="1" applyAlignment="1">
      <alignment horizontal="center" vertical="center"/>
    </xf>
    <xf numFmtId="0" fontId="24" fillId="4" borderId="1" xfId="3" applyFont="1" applyFill="1" applyBorder="1" applyAlignment="1">
      <alignment horizontal="center" vertical="center"/>
    </xf>
    <xf numFmtId="0" fontId="24" fillId="4" borderId="1" xfId="0" applyFont="1" applyFill="1" applyBorder="1" applyAlignment="1">
      <alignment horizontal="center" vertical="center"/>
    </xf>
    <xf numFmtId="9" fontId="24" fillId="4" borderId="1" xfId="2" applyFont="1" applyFill="1" applyBorder="1" applyAlignment="1">
      <alignment horizontal="center" vertical="center"/>
    </xf>
    <xf numFmtId="1" fontId="24" fillId="4" borderId="1" xfId="2" applyNumberFormat="1" applyFont="1" applyFill="1" applyBorder="1" applyAlignment="1">
      <alignment horizontal="center" vertical="center"/>
    </xf>
    <xf numFmtId="9" fontId="24" fillId="4" borderId="1" xfId="4" applyFont="1" applyFill="1" applyBorder="1" applyAlignment="1">
      <alignment horizontal="center" vertical="center"/>
    </xf>
    <xf numFmtId="49" fontId="24" fillId="4" borderId="1" xfId="3" applyNumberFormat="1" applyFont="1" applyFill="1" applyBorder="1" applyAlignment="1">
      <alignment horizontal="left" vertical="center"/>
    </xf>
    <xf numFmtId="0" fontId="24" fillId="4" borderId="1" xfId="3" applyFont="1" applyFill="1" applyBorder="1" applyAlignment="1">
      <alignment horizontal="center" vertical="center" wrapText="1"/>
    </xf>
    <xf numFmtId="170" fontId="24" fillId="4" borderId="1" xfId="0" applyNumberFormat="1" applyFont="1" applyFill="1" applyBorder="1" applyAlignment="1">
      <alignment horizontal="center" vertical="center"/>
    </xf>
    <xf numFmtId="49" fontId="24" fillId="6" borderId="1" xfId="3" applyNumberFormat="1" applyFont="1" applyFill="1" applyBorder="1" applyAlignment="1">
      <alignment horizontal="left" vertical="center"/>
    </xf>
    <xf numFmtId="0" fontId="24" fillId="6" borderId="1" xfId="3" applyFont="1" applyFill="1" applyBorder="1" applyAlignment="1">
      <alignment horizontal="center" vertical="center" wrapText="1"/>
    </xf>
    <xf numFmtId="9" fontId="24" fillId="6" borderId="1" xfId="2" applyFont="1" applyFill="1" applyBorder="1" applyAlignment="1">
      <alignment horizontal="center" vertical="center"/>
    </xf>
    <xf numFmtId="1" fontId="24" fillId="6" borderId="1" xfId="2" applyNumberFormat="1" applyFont="1" applyFill="1" applyBorder="1" applyAlignment="1">
      <alignment horizontal="center" vertical="center"/>
    </xf>
    <xf numFmtId="9" fontId="24" fillId="6" borderId="1" xfId="4" applyFont="1" applyFill="1" applyBorder="1" applyAlignment="1">
      <alignment horizontal="center" vertical="center"/>
    </xf>
    <xf numFmtId="170" fontId="24" fillId="6" borderId="1" xfId="0" applyNumberFormat="1" applyFont="1" applyFill="1" applyBorder="1" applyAlignment="1">
      <alignment horizontal="center" vertical="center"/>
    </xf>
    <xf numFmtId="49" fontId="24" fillId="2" borderId="1" xfId="3" applyNumberFormat="1" applyFont="1" applyFill="1" applyBorder="1" applyAlignment="1">
      <alignment horizontal="left" vertical="center"/>
    </xf>
    <xf numFmtId="171" fontId="24" fillId="2" borderId="1" xfId="0" applyNumberFormat="1" applyFont="1" applyFill="1" applyBorder="1" applyAlignment="1">
      <alignment horizontal="center" vertical="center"/>
    </xf>
    <xf numFmtId="9" fontId="24" fillId="10" borderId="1" xfId="4" applyFont="1" applyFill="1" applyBorder="1" applyAlignment="1">
      <alignment horizontal="center" vertical="center"/>
    </xf>
    <xf numFmtId="0" fontId="24" fillId="6" borderId="1" xfId="3" applyFont="1" applyFill="1" applyBorder="1" applyAlignment="1">
      <alignment horizontal="center" vertical="center"/>
    </xf>
    <xf numFmtId="9" fontId="29" fillId="2" borderId="1" xfId="2" applyFont="1" applyFill="1" applyBorder="1" applyAlignment="1">
      <alignment horizontal="center"/>
    </xf>
    <xf numFmtId="9" fontId="29" fillId="4" borderId="1" xfId="2" applyFont="1" applyFill="1" applyBorder="1" applyAlignment="1">
      <alignment horizontal="center"/>
    </xf>
    <xf numFmtId="9" fontId="29" fillId="6" borderId="1" xfId="2" applyFont="1" applyFill="1" applyBorder="1" applyAlignment="1">
      <alignment horizontal="center"/>
    </xf>
    <xf numFmtId="0" fontId="30" fillId="2" borderId="1" xfId="3" applyFont="1" applyFill="1" applyBorder="1" applyAlignment="1">
      <alignment horizontal="center" vertical="center"/>
    </xf>
    <xf numFmtId="0" fontId="24" fillId="3" borderId="1" xfId="0" applyFont="1" applyFill="1" applyBorder="1" applyAlignment="1">
      <alignment horizontal="center" vertical="center"/>
    </xf>
    <xf numFmtId="49" fontId="24" fillId="3" borderId="1" xfId="0" applyNumberFormat="1" applyFont="1" applyFill="1" applyBorder="1" applyAlignment="1">
      <alignment horizontal="center" vertical="center"/>
    </xf>
    <xf numFmtId="49" fontId="24" fillId="0" borderId="1" xfId="0" applyNumberFormat="1" applyFont="1" applyBorder="1" applyAlignment="1">
      <alignment horizontal="center" vertical="center"/>
    </xf>
    <xf numFmtId="1" fontId="30" fillId="2" borderId="1" xfId="1" applyNumberFormat="1" applyFont="1" applyFill="1" applyBorder="1" applyAlignment="1">
      <alignment horizontal="center" vertical="center"/>
    </xf>
    <xf numFmtId="1" fontId="22" fillId="2" borderId="1" xfId="2" applyNumberFormat="1" applyFont="1" applyFill="1" applyBorder="1" applyAlignment="1">
      <alignment horizontal="center" vertical="center"/>
    </xf>
    <xf numFmtId="0" fontId="18" fillId="2" borderId="1" xfId="0" applyFont="1" applyFill="1" applyBorder="1" applyAlignment="1">
      <alignment horizontal="left" vertical="center"/>
    </xf>
    <xf numFmtId="0" fontId="18" fillId="2" borderId="1" xfId="0" applyFont="1" applyFill="1" applyBorder="1" applyAlignment="1">
      <alignment horizontal="right" vertical="center"/>
    </xf>
    <xf numFmtId="3" fontId="21" fillId="2" borderId="1" xfId="7" applyNumberFormat="1" applyFont="1" applyFill="1" applyBorder="1" applyAlignment="1">
      <alignment horizontal="center" vertical="center"/>
    </xf>
    <xf numFmtId="9" fontId="30" fillId="2" borderId="1" xfId="7" applyNumberFormat="1" applyFont="1" applyFill="1" applyBorder="1" applyAlignment="1">
      <alignment horizontal="center" vertical="center"/>
    </xf>
    <xf numFmtId="9" fontId="21" fillId="2" borderId="1" xfId="7" applyNumberFormat="1" applyFont="1" applyFill="1" applyBorder="1" applyAlignment="1">
      <alignment horizontal="center" vertical="center"/>
    </xf>
    <xf numFmtId="9" fontId="23" fillId="10" borderId="1" xfId="7" applyNumberFormat="1" applyFont="1" applyFill="1" applyBorder="1" applyAlignment="1">
      <alignment horizontal="center" vertical="center"/>
    </xf>
    <xf numFmtId="1" fontId="30" fillId="0" borderId="1" xfId="1" applyNumberFormat="1" applyFont="1" applyFill="1" applyBorder="1" applyAlignment="1">
      <alignment horizontal="center" vertical="center"/>
    </xf>
    <xf numFmtId="1" fontId="22" fillId="0" borderId="1" xfId="2" applyNumberFormat="1" applyFont="1" applyFill="1" applyBorder="1" applyAlignment="1">
      <alignment horizontal="center" vertical="center"/>
    </xf>
    <xf numFmtId="0" fontId="18" fillId="4" borderId="1" xfId="0" applyFont="1" applyFill="1" applyBorder="1" applyAlignment="1">
      <alignment horizontal="left" vertical="center"/>
    </xf>
    <xf numFmtId="0" fontId="18" fillId="4" borderId="1" xfId="0" applyFont="1" applyFill="1" applyBorder="1" applyAlignment="1">
      <alignment horizontal="right" vertical="center"/>
    </xf>
    <xf numFmtId="3" fontId="21" fillId="4" borderId="1" xfId="7" applyNumberFormat="1" applyFont="1" applyFill="1" applyBorder="1" applyAlignment="1">
      <alignment horizontal="center" vertical="center"/>
    </xf>
    <xf numFmtId="9" fontId="30" fillId="4" borderId="1" xfId="7" applyNumberFormat="1" applyFont="1" applyFill="1" applyBorder="1" applyAlignment="1">
      <alignment horizontal="center" vertical="center"/>
    </xf>
    <xf numFmtId="0" fontId="23" fillId="4" borderId="1" xfId="0" applyFont="1" applyFill="1" applyBorder="1"/>
    <xf numFmtId="1" fontId="28" fillId="0" borderId="1" xfId="1" applyNumberFormat="1" applyFont="1" applyFill="1" applyBorder="1" applyAlignment="1">
      <alignment horizontal="center" vertical="center"/>
    </xf>
    <xf numFmtId="1" fontId="23" fillId="0" borderId="1" xfId="2" applyNumberFormat="1" applyFont="1" applyFill="1" applyBorder="1" applyAlignment="1">
      <alignment horizontal="center" vertical="center"/>
    </xf>
    <xf numFmtId="9" fontId="28" fillId="4" borderId="1" xfId="7" applyNumberFormat="1" applyFont="1" applyFill="1" applyBorder="1" applyAlignment="1">
      <alignment horizontal="center" vertical="center"/>
    </xf>
    <xf numFmtId="1" fontId="18" fillId="4" borderId="1" xfId="2" applyNumberFormat="1" applyFont="1" applyFill="1" applyBorder="1" applyAlignment="1">
      <alignment horizontal="center" vertical="center"/>
    </xf>
    <xf numFmtId="1" fontId="18" fillId="0" borderId="1" xfId="2" applyNumberFormat="1" applyFont="1" applyFill="1" applyBorder="1" applyAlignment="1">
      <alignment horizontal="center" vertical="center"/>
    </xf>
    <xf numFmtId="0" fontId="19" fillId="0" borderId="1" xfId="0" applyFont="1" applyBorder="1" applyAlignment="1">
      <alignment horizontal="left" vertical="center"/>
    </xf>
    <xf numFmtId="0" fontId="19" fillId="0" borderId="1" xfId="0" applyFont="1" applyBorder="1" applyAlignment="1">
      <alignment horizontal="right" vertical="center"/>
    </xf>
    <xf numFmtId="9" fontId="21" fillId="0" borderId="1" xfId="7" applyNumberFormat="1" applyFont="1" applyBorder="1" applyAlignment="1">
      <alignment horizontal="center" vertical="center"/>
    </xf>
    <xf numFmtId="9" fontId="28" fillId="0" borderId="1" xfId="7" applyNumberFormat="1" applyFont="1" applyBorder="1" applyAlignment="1">
      <alignment horizontal="center" vertical="center"/>
    </xf>
    <xf numFmtId="9" fontId="18" fillId="0" borderId="1" xfId="7" applyNumberFormat="1" applyFont="1" applyBorder="1" applyAlignment="1">
      <alignment horizontal="center" vertical="center"/>
    </xf>
    <xf numFmtId="0" fontId="23" fillId="0" borderId="1" xfId="0" applyFont="1" applyBorder="1"/>
    <xf numFmtId="0" fontId="21" fillId="0" borderId="1" xfId="7" applyFont="1" applyBorder="1" applyAlignment="1">
      <alignment horizontal="center" vertical="center"/>
    </xf>
    <xf numFmtId="0" fontId="21" fillId="2" borderId="1" xfId="7" applyFont="1" applyFill="1" applyBorder="1" applyAlignment="1">
      <alignment horizontal="center" vertical="center"/>
    </xf>
    <xf numFmtId="9" fontId="23" fillId="10" borderId="1" xfId="2" applyFont="1" applyFill="1" applyBorder="1" applyAlignment="1">
      <alignment horizontal="center" vertical="center"/>
    </xf>
    <xf numFmtId="1" fontId="21" fillId="4" borderId="1" xfId="7" applyNumberFormat="1" applyFont="1" applyFill="1" applyBorder="1" applyAlignment="1">
      <alignment horizontal="center" vertical="center"/>
    </xf>
    <xf numFmtId="0" fontId="21" fillId="6" borderId="1" xfId="3" applyFont="1" applyFill="1" applyBorder="1" applyAlignment="1">
      <alignment horizontal="right" vertical="center" wrapText="1"/>
    </xf>
    <xf numFmtId="0" fontId="19" fillId="6" borderId="1" xfId="3" applyFont="1" applyFill="1" applyBorder="1" applyAlignment="1">
      <alignment horizontal="center" vertical="top" wrapText="1"/>
    </xf>
    <xf numFmtId="1" fontId="28" fillId="0" borderId="0" xfId="0" applyNumberFormat="1" applyFont="1"/>
    <xf numFmtId="0" fontId="28" fillId="0" borderId="0" xfId="0" applyFont="1" applyAlignment="1">
      <alignment horizontal="center"/>
    </xf>
    <xf numFmtId="1" fontId="3" fillId="22" borderId="1" xfId="0" applyNumberFormat="1" applyFont="1" applyFill="1" applyBorder="1" applyAlignment="1">
      <alignment horizontal="center" vertical="center" wrapText="1"/>
    </xf>
    <xf numFmtId="0" fontId="3" fillId="22" borderId="1" xfId="0" applyFont="1" applyFill="1" applyBorder="1" applyAlignment="1">
      <alignment horizontal="center" vertical="center" wrapText="1"/>
    </xf>
    <xf numFmtId="1" fontId="28" fillId="22" borderId="1" xfId="0" applyNumberFormat="1" applyFont="1" applyFill="1" applyBorder="1" applyAlignment="1">
      <alignment horizontal="center" vertical="center" wrapText="1"/>
    </xf>
    <xf numFmtId="9" fontId="28" fillId="22" borderId="1" xfId="2" applyFont="1" applyFill="1" applyBorder="1" applyAlignment="1">
      <alignment horizontal="center" vertical="center" wrapText="1"/>
    </xf>
    <xf numFmtId="0" fontId="3" fillId="22" borderId="1" xfId="0" applyFont="1" applyFill="1" applyBorder="1" applyAlignment="1">
      <alignment horizontal="center" vertical="center"/>
    </xf>
    <xf numFmtId="164" fontId="3" fillId="22" borderId="1" xfId="1" applyNumberFormat="1" applyFont="1" applyFill="1" applyBorder="1" applyAlignment="1">
      <alignment horizontal="center" vertical="center" wrapText="1"/>
    </xf>
    <xf numFmtId="9" fontId="3" fillId="22" borderId="1" xfId="2" applyFont="1" applyFill="1" applyBorder="1" applyAlignment="1">
      <alignment horizontal="center" vertical="center" wrapText="1"/>
    </xf>
    <xf numFmtId="0" fontId="18" fillId="0" borderId="0" xfId="0" applyFont="1"/>
    <xf numFmtId="1" fontId="19" fillId="0" borderId="1" xfId="0" applyNumberFormat="1" applyFont="1" applyBorder="1" applyAlignment="1">
      <alignment horizontal="center" vertical="center"/>
    </xf>
    <xf numFmtId="0" fontId="44" fillId="2" borderId="1" xfId="0" applyFont="1" applyFill="1" applyBorder="1" applyAlignment="1">
      <alignment horizontal="center" vertical="center"/>
    </xf>
    <xf numFmtId="0" fontId="21" fillId="2" borderId="1" xfId="0" applyFont="1" applyFill="1" applyBorder="1" applyAlignment="1">
      <alignment horizontal="center" vertical="center"/>
    </xf>
    <xf numFmtId="0" fontId="18" fillId="2" borderId="1" xfId="0" applyFont="1" applyFill="1" applyBorder="1"/>
    <xf numFmtId="164" fontId="21" fillId="2" borderId="1" xfId="6" applyNumberFormat="1" applyFont="1" applyFill="1" applyBorder="1" applyAlignment="1">
      <alignment horizontal="center" vertical="center" wrapText="1"/>
    </xf>
    <xf numFmtId="9" fontId="45" fillId="2" borderId="1" xfId="4" applyFont="1" applyFill="1" applyBorder="1" applyAlignment="1">
      <alignment horizontal="center" vertical="center"/>
    </xf>
    <xf numFmtId="9" fontId="18" fillId="2" borderId="1" xfId="0" applyNumberFormat="1" applyFont="1" applyFill="1" applyBorder="1" applyAlignment="1">
      <alignment horizontal="center" vertical="center"/>
    </xf>
    <xf numFmtId="49" fontId="23" fillId="2" borderId="1" xfId="0" applyNumberFormat="1" applyFont="1" applyFill="1" applyBorder="1" applyAlignment="1">
      <alignment horizontal="center" vertical="center"/>
    </xf>
    <xf numFmtId="0" fontId="44" fillId="0" borderId="1" xfId="0" applyFont="1" applyBorder="1" applyAlignment="1">
      <alignment horizontal="center" vertical="center"/>
    </xf>
    <xf numFmtId="9" fontId="23" fillId="0" borderId="1" xfId="2" applyFont="1" applyFill="1" applyBorder="1" applyAlignment="1">
      <alignment horizontal="center" vertical="center"/>
    </xf>
    <xf numFmtId="0" fontId="21" fillId="0" borderId="1" xfId="0" applyFont="1" applyBorder="1" applyAlignment="1">
      <alignment horizontal="center" vertical="center"/>
    </xf>
    <xf numFmtId="0" fontId="18" fillId="0" borderId="1" xfId="0" applyFont="1" applyBorder="1"/>
    <xf numFmtId="164" fontId="21" fillId="0" borderId="1" xfId="6" applyNumberFormat="1" applyFont="1" applyBorder="1" applyAlignment="1">
      <alignment horizontal="center" vertical="center" wrapText="1"/>
    </xf>
    <xf numFmtId="9" fontId="45" fillId="0" borderId="1" xfId="4" applyFont="1" applyFill="1" applyBorder="1" applyAlignment="1">
      <alignment horizontal="center" vertical="center"/>
    </xf>
    <xf numFmtId="1" fontId="18" fillId="0" borderId="1" xfId="0" applyNumberFormat="1" applyFont="1" applyBorder="1" applyAlignment="1">
      <alignment horizontal="center" vertical="center"/>
    </xf>
    <xf numFmtId="9" fontId="18" fillId="0" borderId="1" xfId="0" applyNumberFormat="1" applyFont="1" applyBorder="1" applyAlignment="1">
      <alignment horizontal="center" vertical="center"/>
    </xf>
    <xf numFmtId="49" fontId="23" fillId="0" borderId="1" xfId="0" applyNumberFormat="1" applyFont="1" applyBorder="1" applyAlignment="1">
      <alignment horizontal="center" vertical="center"/>
    </xf>
    <xf numFmtId="49" fontId="44" fillId="0" borderId="1" xfId="0" applyNumberFormat="1" applyFont="1" applyBorder="1" applyAlignment="1">
      <alignment horizontal="center" vertical="center"/>
    </xf>
    <xf numFmtId="9" fontId="21" fillId="0" borderId="1" xfId="4" applyFont="1" applyFill="1" applyBorder="1" applyAlignment="1">
      <alignment horizontal="center" vertical="center" wrapText="1"/>
    </xf>
    <xf numFmtId="9" fontId="46" fillId="0" borderId="1" xfId="4" applyFont="1" applyBorder="1" applyAlignment="1">
      <alignment horizontal="center" vertical="center"/>
    </xf>
    <xf numFmtId="0" fontId="18" fillId="14" borderId="6" xfId="0" applyFont="1" applyFill="1" applyBorder="1" applyAlignment="1">
      <alignment horizontal="center" vertical="center"/>
    </xf>
    <xf numFmtId="9" fontId="23" fillId="4" borderId="6" xfId="0" applyNumberFormat="1" applyFont="1" applyFill="1" applyBorder="1" applyAlignment="1">
      <alignment horizontal="center" vertical="center"/>
    </xf>
    <xf numFmtId="0" fontId="19" fillId="4" borderId="6" xfId="0" applyFont="1" applyFill="1" applyBorder="1" applyAlignment="1">
      <alignment horizontal="left" vertical="center"/>
    </xf>
    <xf numFmtId="0" fontId="18" fillId="4" borderId="6" xfId="0" applyFont="1" applyFill="1" applyBorder="1" applyAlignment="1">
      <alignment horizontal="right" vertical="center"/>
    </xf>
    <xf numFmtId="9" fontId="18" fillId="4" borderId="6" xfId="2" applyFont="1" applyFill="1" applyBorder="1" applyAlignment="1">
      <alignment horizontal="center" vertical="center"/>
    </xf>
    <xf numFmtId="9" fontId="45" fillId="4" borderId="6" xfId="0" applyNumberFormat="1" applyFont="1" applyFill="1" applyBorder="1" applyAlignment="1">
      <alignment horizontal="center" vertical="center"/>
    </xf>
    <xf numFmtId="1" fontId="18" fillId="4" borderId="1" xfId="0" applyNumberFormat="1" applyFont="1" applyFill="1" applyBorder="1" applyAlignment="1">
      <alignment horizontal="center" vertical="center"/>
    </xf>
    <xf numFmtId="9" fontId="18" fillId="4" borderId="1" xfId="0" applyNumberFormat="1" applyFont="1" applyFill="1" applyBorder="1" applyAlignment="1">
      <alignment horizontal="center" vertical="center"/>
    </xf>
    <xf numFmtId="0" fontId="18" fillId="14" borderId="1" xfId="0" applyFont="1" applyFill="1" applyBorder="1" applyAlignment="1">
      <alignment horizontal="center" vertical="center"/>
    </xf>
    <xf numFmtId="9" fontId="23" fillId="4" borderId="1" xfId="0" applyNumberFormat="1" applyFont="1" applyFill="1" applyBorder="1" applyAlignment="1">
      <alignment horizontal="center" vertical="center"/>
    </xf>
    <xf numFmtId="0" fontId="19" fillId="4" borderId="1" xfId="0" applyFont="1" applyFill="1" applyBorder="1" applyAlignment="1">
      <alignment horizontal="right" vertical="center" wrapText="1"/>
    </xf>
    <xf numFmtId="0" fontId="19" fillId="4" borderId="1" xfId="0" applyFont="1" applyFill="1" applyBorder="1" applyAlignment="1">
      <alignment horizontal="right" vertical="center"/>
    </xf>
    <xf numFmtId="9" fontId="45" fillId="4" borderId="1" xfId="0" applyNumberFormat="1" applyFont="1" applyFill="1" applyBorder="1" applyAlignment="1">
      <alignment horizontal="center" vertical="center"/>
    </xf>
    <xf numFmtId="0" fontId="19" fillId="4" borderId="1" xfId="0" applyFont="1" applyFill="1" applyBorder="1" applyAlignment="1">
      <alignment horizontal="left" vertical="center"/>
    </xf>
    <xf numFmtId="0" fontId="19" fillId="4" borderId="1" xfId="0" applyFont="1" applyFill="1" applyBorder="1" applyAlignment="1">
      <alignment horizontal="right" vertical="center" readingOrder="2"/>
    </xf>
    <xf numFmtId="166" fontId="18" fillId="4" borderId="1" xfId="2" applyNumberFormat="1" applyFont="1" applyFill="1" applyBorder="1" applyAlignment="1">
      <alignment horizontal="center" vertical="center"/>
    </xf>
    <xf numFmtId="9" fontId="23" fillId="0" borderId="1" xfId="0" applyNumberFormat="1" applyFont="1" applyBorder="1" applyAlignment="1">
      <alignment horizontal="center" vertical="center"/>
    </xf>
    <xf numFmtId="0" fontId="47" fillId="0" borderId="1" xfId="0" applyFont="1" applyBorder="1" applyAlignment="1">
      <alignment horizontal="left" vertical="center"/>
    </xf>
    <xf numFmtId="0" fontId="47" fillId="0" borderId="1" xfId="0" applyFont="1" applyBorder="1"/>
    <xf numFmtId="0" fontId="18" fillId="0" borderId="1" xfId="0" applyFont="1" applyBorder="1" applyAlignment="1">
      <alignment horizontal="right" vertical="center"/>
    </xf>
    <xf numFmtId="9" fontId="45" fillId="0" borderId="1" xfId="0" applyNumberFormat="1" applyFont="1" applyBorder="1" applyAlignment="1">
      <alignment horizontal="center" vertical="center"/>
    </xf>
    <xf numFmtId="0" fontId="18" fillId="0" borderId="1" xfId="0" applyFont="1" applyBorder="1" applyAlignment="1">
      <alignment horizontal="left" vertical="center"/>
    </xf>
    <xf numFmtId="1" fontId="48" fillId="2" borderId="1" xfId="0" applyNumberFormat="1" applyFont="1" applyFill="1" applyBorder="1" applyAlignment="1">
      <alignment horizontal="center" vertical="center"/>
    </xf>
    <xf numFmtId="49" fontId="19" fillId="2" borderId="1" xfId="3" applyNumberFormat="1" applyFont="1" applyFill="1" applyBorder="1" applyAlignment="1">
      <alignment horizontal="left" vertical="top" wrapText="1"/>
    </xf>
    <xf numFmtId="0" fontId="21" fillId="2" borderId="1" xfId="3" applyFont="1" applyFill="1" applyBorder="1" applyAlignment="1">
      <alignment horizontal="right" vertical="top"/>
    </xf>
    <xf numFmtId="9" fontId="46" fillId="2" borderId="1" xfId="4" applyFont="1" applyFill="1" applyBorder="1" applyAlignment="1">
      <alignment horizontal="center" vertical="center"/>
    </xf>
    <xf numFmtId="1" fontId="18" fillId="2" borderId="1" xfId="2" applyNumberFormat="1" applyFont="1" applyFill="1" applyBorder="1" applyAlignment="1">
      <alignment horizontal="center" vertical="center"/>
    </xf>
    <xf numFmtId="9" fontId="18" fillId="2" borderId="1" xfId="4" applyFont="1" applyFill="1" applyBorder="1" applyAlignment="1">
      <alignment horizontal="center" vertical="center"/>
    </xf>
    <xf numFmtId="1" fontId="48" fillId="0" borderId="1" xfId="0" applyNumberFormat="1" applyFont="1" applyBorder="1" applyAlignment="1">
      <alignment horizontal="center" vertical="center"/>
    </xf>
    <xf numFmtId="49" fontId="19" fillId="4" borderId="1" xfId="3" applyNumberFormat="1" applyFont="1" applyFill="1" applyBorder="1" applyAlignment="1">
      <alignment horizontal="left" vertical="top"/>
    </xf>
    <xf numFmtId="0" fontId="21" fillId="4" borderId="1" xfId="3" applyFont="1" applyFill="1" applyBorder="1" applyAlignment="1">
      <alignment horizontal="right" vertical="top"/>
    </xf>
    <xf numFmtId="9" fontId="46" fillId="4" borderId="1" xfId="4" applyFont="1" applyFill="1" applyBorder="1" applyAlignment="1">
      <alignment horizontal="center" vertical="center"/>
    </xf>
    <xf numFmtId="0" fontId="18" fillId="4" borderId="1" xfId="0" applyFont="1" applyFill="1" applyBorder="1"/>
    <xf numFmtId="0" fontId="21" fillId="4" borderId="1" xfId="3" applyFont="1" applyFill="1" applyBorder="1" applyAlignment="1">
      <alignment horizontal="center" vertical="top"/>
    </xf>
    <xf numFmtId="49" fontId="19" fillId="6" borderId="1" xfId="3" applyNumberFormat="1" applyFont="1" applyFill="1" applyBorder="1" applyAlignment="1">
      <alignment horizontal="left" vertical="top"/>
    </xf>
    <xf numFmtId="0" fontId="21" fillId="6" borderId="1" xfId="3" applyFont="1" applyFill="1" applyBorder="1" applyAlignment="1">
      <alignment horizontal="right" vertical="top"/>
    </xf>
    <xf numFmtId="9" fontId="46" fillId="6" borderId="1" xfId="4" applyFont="1" applyFill="1" applyBorder="1" applyAlignment="1">
      <alignment horizontal="center" vertical="center"/>
    </xf>
    <xf numFmtId="1" fontId="18" fillId="6" borderId="1" xfId="2" applyNumberFormat="1" applyFont="1" applyFill="1" applyBorder="1" applyAlignment="1">
      <alignment horizontal="center" vertical="center"/>
    </xf>
    <xf numFmtId="9" fontId="24" fillId="0" borderId="1" xfId="2" applyFont="1" applyFill="1" applyBorder="1" applyAlignment="1">
      <alignment horizontal="center" vertical="center"/>
    </xf>
    <xf numFmtId="49" fontId="19" fillId="0" borderId="1" xfId="3" applyNumberFormat="1" applyFont="1" applyBorder="1" applyAlignment="1">
      <alignment horizontal="left" vertical="top"/>
    </xf>
    <xf numFmtId="0" fontId="21" fillId="0" borderId="1" xfId="3" applyFont="1" applyBorder="1" applyAlignment="1">
      <alignment horizontal="right" vertical="top"/>
    </xf>
    <xf numFmtId="9" fontId="46" fillId="0" borderId="1" xfId="4" applyFont="1" applyFill="1" applyBorder="1" applyAlignment="1">
      <alignment horizontal="center" vertical="center"/>
    </xf>
    <xf numFmtId="0" fontId="19" fillId="0" borderId="1" xfId="3" applyFont="1" applyBorder="1" applyAlignment="1">
      <alignment horizontal="center" vertical="center" wrapText="1"/>
    </xf>
    <xf numFmtId="49" fontId="19" fillId="11" borderId="1" xfId="0" applyNumberFormat="1" applyFont="1" applyFill="1" applyBorder="1" applyAlignment="1">
      <alignment horizontal="center" vertical="center"/>
    </xf>
    <xf numFmtId="0" fontId="18" fillId="2" borderId="1" xfId="5" applyFont="1" applyFill="1" applyBorder="1" applyAlignment="1">
      <alignment horizontal="right" vertical="center"/>
    </xf>
    <xf numFmtId="9" fontId="49" fillId="2" borderId="1" xfId="2" applyFont="1" applyFill="1" applyBorder="1" applyAlignment="1">
      <alignment horizontal="center" vertical="center"/>
    </xf>
    <xf numFmtId="1" fontId="19" fillId="2" borderId="1" xfId="2" applyNumberFormat="1" applyFont="1" applyFill="1" applyBorder="1" applyAlignment="1">
      <alignment horizontal="center" vertical="center"/>
    </xf>
    <xf numFmtId="9" fontId="19" fillId="2" borderId="1" xfId="2" applyFont="1" applyFill="1" applyBorder="1" applyAlignment="1">
      <alignment horizontal="center" vertical="center"/>
    </xf>
    <xf numFmtId="0" fontId="18" fillId="4" borderId="1" xfId="5" applyFont="1" applyFill="1" applyBorder="1" applyAlignment="1">
      <alignment horizontal="right" vertical="center"/>
    </xf>
    <xf numFmtId="9" fontId="49" fillId="4" borderId="1" xfId="2" applyFont="1" applyFill="1" applyBorder="1" applyAlignment="1">
      <alignment horizontal="center" vertical="center"/>
    </xf>
    <xf numFmtId="0" fontId="18" fillId="4" borderId="1" xfId="0" applyFont="1" applyFill="1" applyBorder="1" applyAlignment="1">
      <alignment horizontal="right" vertical="center" wrapText="1"/>
    </xf>
    <xf numFmtId="9" fontId="24" fillId="0" borderId="1" xfId="2" applyFont="1" applyBorder="1" applyAlignment="1">
      <alignment horizontal="center" vertical="center"/>
    </xf>
    <xf numFmtId="0" fontId="18" fillId="0" borderId="1" xfId="0" applyFont="1" applyBorder="1" applyAlignment="1">
      <alignment vertical="center" readingOrder="1"/>
    </xf>
    <xf numFmtId="0" fontId="18" fillId="0" borderId="1" xfId="0" applyFont="1" applyBorder="1" applyAlignment="1">
      <alignment horizontal="center" vertical="center" readingOrder="2"/>
    </xf>
    <xf numFmtId="9" fontId="45" fillId="0" borderId="1" xfId="2" applyFont="1" applyFill="1" applyBorder="1" applyAlignment="1">
      <alignment horizontal="center" vertical="center"/>
    </xf>
    <xf numFmtId="1" fontId="21" fillId="0" borderId="1" xfId="2" applyNumberFormat="1" applyFont="1" applyBorder="1" applyAlignment="1">
      <alignment horizontal="center" vertical="center"/>
    </xf>
    <xf numFmtId="9" fontId="21" fillId="0" borderId="1" xfId="4" applyFont="1" applyBorder="1" applyAlignment="1">
      <alignment horizontal="center" vertical="center"/>
    </xf>
    <xf numFmtId="9" fontId="18" fillId="6" borderId="1" xfId="4" applyFont="1" applyFill="1" applyBorder="1" applyAlignment="1">
      <alignment horizontal="center" vertical="center"/>
    </xf>
    <xf numFmtId="0" fontId="19" fillId="0" borderId="1" xfId="0" applyFont="1" applyBorder="1" applyAlignment="1">
      <alignment horizontal="right" vertical="center" wrapText="1"/>
    </xf>
    <xf numFmtId="1" fontId="21" fillId="0" borderId="1" xfId="4" applyNumberFormat="1" applyFont="1" applyBorder="1" applyAlignment="1">
      <alignment horizontal="center" vertical="center"/>
    </xf>
    <xf numFmtId="9" fontId="18" fillId="0" borderId="1" xfId="4" applyFont="1" applyBorder="1" applyAlignment="1">
      <alignment horizontal="center" vertical="center"/>
    </xf>
    <xf numFmtId="9" fontId="45" fillId="0" borderId="1" xfId="2" applyFont="1" applyBorder="1" applyAlignment="1">
      <alignment horizontal="center" vertical="center"/>
    </xf>
    <xf numFmtId="1" fontId="19" fillId="2" borderId="1" xfId="0" applyNumberFormat="1" applyFont="1" applyFill="1" applyBorder="1" applyAlignment="1">
      <alignment horizontal="center" vertical="center"/>
    </xf>
    <xf numFmtId="9" fontId="45" fillId="2" borderId="1" xfId="2" applyFont="1" applyFill="1" applyBorder="1" applyAlignment="1">
      <alignment horizontal="center" vertical="center"/>
    </xf>
    <xf numFmtId="1" fontId="19" fillId="4" borderId="1" xfId="0" applyNumberFormat="1" applyFont="1" applyFill="1" applyBorder="1" applyAlignment="1">
      <alignment horizontal="center" vertical="center"/>
    </xf>
    <xf numFmtId="9" fontId="45" fillId="4" borderId="1" xfId="2" applyFont="1" applyFill="1" applyBorder="1" applyAlignment="1">
      <alignment horizontal="center" vertical="center"/>
    </xf>
    <xf numFmtId="9" fontId="18" fillId="6" borderId="1" xfId="2" applyFont="1" applyFill="1" applyBorder="1" applyAlignment="1">
      <alignment horizontal="center" vertical="center"/>
    </xf>
    <xf numFmtId="0" fontId="19" fillId="6" borderId="1" xfId="0" applyFont="1" applyFill="1" applyBorder="1" applyAlignment="1">
      <alignment horizontal="left" vertical="center"/>
    </xf>
    <xf numFmtId="0" fontId="19" fillId="6" borderId="1" xfId="0" applyFont="1" applyFill="1" applyBorder="1" applyAlignment="1">
      <alignment horizontal="right" vertical="center" wrapText="1"/>
    </xf>
    <xf numFmtId="1" fontId="19" fillId="6" borderId="1" xfId="0" applyNumberFormat="1" applyFont="1" applyFill="1" applyBorder="1" applyAlignment="1">
      <alignment horizontal="center" vertical="center"/>
    </xf>
    <xf numFmtId="9" fontId="45" fillId="6" borderId="1" xfId="2" applyFont="1" applyFill="1" applyBorder="1" applyAlignment="1">
      <alignment horizontal="center" vertical="center"/>
    </xf>
    <xf numFmtId="0" fontId="19" fillId="6" borderId="1" xfId="0" applyFont="1" applyFill="1" applyBorder="1" applyAlignment="1">
      <alignment horizontal="right" vertical="center"/>
    </xf>
    <xf numFmtId="49" fontId="18" fillId="23" borderId="1" xfId="0" applyNumberFormat="1" applyFont="1" applyFill="1" applyBorder="1" applyAlignment="1">
      <alignment horizontal="center" vertical="center"/>
    </xf>
    <xf numFmtId="49" fontId="44" fillId="23" borderId="1" xfId="0" applyNumberFormat="1" applyFont="1" applyFill="1" applyBorder="1" applyAlignment="1">
      <alignment horizontal="center" vertical="center"/>
    </xf>
    <xf numFmtId="0" fontId="19" fillId="23" borderId="1" xfId="0" applyFont="1" applyFill="1" applyBorder="1" applyAlignment="1">
      <alignment horizontal="center" vertical="center"/>
    </xf>
    <xf numFmtId="49" fontId="19" fillId="23" borderId="1" xfId="0" applyNumberFormat="1" applyFont="1" applyFill="1" applyBorder="1" applyAlignment="1">
      <alignment horizontal="center" vertical="center"/>
    </xf>
    <xf numFmtId="0" fontId="18" fillId="23" borderId="1" xfId="0" applyFont="1" applyFill="1" applyBorder="1" applyAlignment="1">
      <alignment horizontal="center" vertical="center"/>
    </xf>
    <xf numFmtId="9" fontId="24" fillId="23" borderId="1" xfId="11" applyFont="1" applyFill="1" applyBorder="1" applyAlignment="1">
      <alignment horizontal="center" vertical="center"/>
    </xf>
    <xf numFmtId="49" fontId="19" fillId="23" borderId="1" xfId="12" applyNumberFormat="1" applyFont="1" applyFill="1" applyBorder="1" applyAlignment="1">
      <alignment horizontal="left" vertical="center"/>
    </xf>
    <xf numFmtId="0" fontId="21" fillId="23" borderId="1" xfId="12" applyFont="1" applyFill="1" applyBorder="1" applyAlignment="1">
      <alignment horizontal="right" vertical="center"/>
    </xf>
    <xf numFmtId="0" fontId="19" fillId="23" borderId="1" xfId="12" applyFont="1" applyFill="1" applyBorder="1" applyAlignment="1">
      <alignment horizontal="center" vertical="center"/>
    </xf>
    <xf numFmtId="1" fontId="21" fillId="23" borderId="1" xfId="13" applyNumberFormat="1" applyFont="1" applyFill="1" applyBorder="1" applyAlignment="1">
      <alignment horizontal="center" vertical="center"/>
    </xf>
    <xf numFmtId="9" fontId="46" fillId="23" borderId="1" xfId="13" applyFont="1" applyFill="1" applyBorder="1" applyAlignment="1">
      <alignment horizontal="center" vertical="center"/>
    </xf>
    <xf numFmtId="1" fontId="21" fillId="23" borderId="1" xfId="11" applyNumberFormat="1" applyFont="1" applyFill="1" applyBorder="1" applyAlignment="1">
      <alignment horizontal="center" vertical="center"/>
    </xf>
    <xf numFmtId="9" fontId="21" fillId="23" borderId="1" xfId="13" applyFont="1" applyFill="1" applyBorder="1" applyAlignment="1">
      <alignment horizontal="center" vertical="center"/>
    </xf>
    <xf numFmtId="49" fontId="44" fillId="6" borderId="1" xfId="0" applyNumberFormat="1" applyFont="1" applyFill="1" applyBorder="1" applyAlignment="1">
      <alignment horizontal="center" vertical="center"/>
    </xf>
    <xf numFmtId="9" fontId="24" fillId="4" borderId="1" xfId="11" applyFont="1" applyFill="1" applyBorder="1" applyAlignment="1">
      <alignment horizontal="center" vertical="center"/>
    </xf>
    <xf numFmtId="49" fontId="19" fillId="4" borderId="1" xfId="12" applyNumberFormat="1" applyFont="1" applyFill="1" applyBorder="1" applyAlignment="1">
      <alignment horizontal="left" vertical="center"/>
    </xf>
    <xf numFmtId="0" fontId="21" fillId="4" borderId="1" xfId="12" applyFont="1" applyFill="1" applyBorder="1" applyAlignment="1">
      <alignment horizontal="right" vertical="center"/>
    </xf>
    <xf numFmtId="0" fontId="19" fillId="4" borderId="1" xfId="12" applyFont="1" applyFill="1" applyBorder="1" applyAlignment="1">
      <alignment horizontal="center" vertical="center"/>
    </xf>
    <xf numFmtId="1" fontId="21" fillId="4" borderId="1" xfId="13" applyNumberFormat="1" applyFont="1" applyFill="1" applyBorder="1" applyAlignment="1">
      <alignment horizontal="center" vertical="center"/>
    </xf>
    <xf numFmtId="9" fontId="46" fillId="4" borderId="1" xfId="13" applyFont="1" applyFill="1" applyBorder="1" applyAlignment="1">
      <alignment horizontal="center" vertical="center"/>
    </xf>
    <xf numFmtId="1" fontId="21" fillId="4" borderId="1" xfId="11" applyNumberFormat="1" applyFont="1" applyFill="1" applyBorder="1" applyAlignment="1">
      <alignment horizontal="center" vertical="center"/>
    </xf>
    <xf numFmtId="9" fontId="21" fillId="4" borderId="1" xfId="13" applyFont="1" applyFill="1" applyBorder="1" applyAlignment="1">
      <alignment horizontal="center" vertical="center"/>
    </xf>
    <xf numFmtId="9" fontId="18" fillId="4" borderId="1" xfId="13" applyFont="1" applyFill="1" applyBorder="1" applyAlignment="1">
      <alignment horizontal="center" vertical="center"/>
    </xf>
    <xf numFmtId="9" fontId="24" fillId="0" borderId="1" xfId="11" applyFont="1" applyFill="1" applyBorder="1" applyAlignment="1">
      <alignment horizontal="center" vertical="center"/>
    </xf>
    <xf numFmtId="49" fontId="19" fillId="0" borderId="1" xfId="12" applyNumberFormat="1" applyFont="1" applyBorder="1" applyAlignment="1">
      <alignment horizontal="left" vertical="center"/>
    </xf>
    <xf numFmtId="0" fontId="21" fillId="0" borderId="1" xfId="12" applyFont="1" applyBorder="1" applyAlignment="1">
      <alignment horizontal="right" vertical="center"/>
    </xf>
    <xf numFmtId="0" fontId="19" fillId="6" borderId="1" xfId="12" applyFont="1" applyFill="1" applyBorder="1" applyAlignment="1">
      <alignment horizontal="center" vertical="center"/>
    </xf>
    <xf numFmtId="1" fontId="21" fillId="6" borderId="1" xfId="13" applyNumberFormat="1" applyFont="1" applyFill="1" applyBorder="1" applyAlignment="1">
      <alignment horizontal="center" vertical="center"/>
    </xf>
    <xf numFmtId="9" fontId="46" fillId="6" borderId="1" xfId="13" applyFont="1" applyFill="1" applyBorder="1" applyAlignment="1">
      <alignment horizontal="center" vertical="center"/>
    </xf>
    <xf numFmtId="1" fontId="21" fillId="0" borderId="1" xfId="11" applyNumberFormat="1" applyFont="1" applyFill="1" applyBorder="1" applyAlignment="1">
      <alignment horizontal="center" vertical="center"/>
    </xf>
    <xf numFmtId="9" fontId="21" fillId="0" borderId="1" xfId="13" applyFont="1" applyFill="1" applyBorder="1" applyAlignment="1">
      <alignment horizontal="center" vertical="center"/>
    </xf>
    <xf numFmtId="9" fontId="18" fillId="0" borderId="1" xfId="13" applyFont="1" applyFill="1" applyBorder="1" applyAlignment="1">
      <alignment horizontal="center" vertical="center"/>
    </xf>
    <xf numFmtId="0" fontId="19" fillId="0" borderId="1" xfId="12" applyFont="1" applyBorder="1" applyAlignment="1">
      <alignment horizontal="center" vertical="center"/>
    </xf>
    <xf numFmtId="1" fontId="21" fillId="0" borderId="1" xfId="13" applyNumberFormat="1" applyFont="1" applyFill="1" applyBorder="1" applyAlignment="1">
      <alignment horizontal="center" vertical="center"/>
    </xf>
    <xf numFmtId="9" fontId="46" fillId="0" borderId="1" xfId="13" applyFont="1" applyFill="1" applyBorder="1" applyAlignment="1">
      <alignment horizontal="center" vertical="center"/>
    </xf>
    <xf numFmtId="9" fontId="24" fillId="2" borderId="1" xfId="11" applyFont="1" applyFill="1" applyBorder="1" applyAlignment="1">
      <alignment horizontal="center" vertical="center"/>
    </xf>
    <xf numFmtId="49" fontId="19" fillId="2" borderId="1" xfId="3" applyNumberFormat="1" applyFont="1" applyFill="1" applyBorder="1" applyAlignment="1">
      <alignment horizontal="left" vertical="center" wrapText="1" shrinkToFit="1"/>
    </xf>
    <xf numFmtId="0" fontId="19" fillId="2" borderId="1" xfId="3" applyFont="1" applyFill="1" applyBorder="1" applyAlignment="1">
      <alignment horizontal="center" vertical="center" shrinkToFit="1"/>
    </xf>
    <xf numFmtId="49" fontId="19" fillId="4" borderId="1" xfId="3" applyNumberFormat="1" applyFont="1" applyFill="1" applyBorder="1" applyAlignment="1">
      <alignment horizontal="left" vertical="center" shrinkToFit="1"/>
    </xf>
    <xf numFmtId="0" fontId="19" fillId="4" borderId="1" xfId="3" applyFont="1" applyFill="1" applyBorder="1" applyAlignment="1">
      <alignment horizontal="center" vertical="center" shrinkToFit="1"/>
    </xf>
    <xf numFmtId="49" fontId="19" fillId="0" borderId="1" xfId="3" applyNumberFormat="1" applyFont="1" applyBorder="1" applyAlignment="1">
      <alignment horizontal="left" vertical="center" shrinkToFit="1"/>
    </xf>
    <xf numFmtId="0" fontId="19" fillId="0" borderId="1" xfId="3" applyFont="1" applyBorder="1" applyAlignment="1">
      <alignment horizontal="center" vertical="center" shrinkToFit="1"/>
    </xf>
    <xf numFmtId="49" fontId="19" fillId="2" borderId="1" xfId="3" applyNumberFormat="1" applyFont="1" applyFill="1" applyBorder="1" applyAlignment="1">
      <alignment horizontal="left" vertical="center" shrinkToFit="1"/>
    </xf>
    <xf numFmtId="0" fontId="21" fillId="2" borderId="1" xfId="3" applyFont="1" applyFill="1" applyBorder="1" applyAlignment="1">
      <alignment horizontal="right" vertical="center" shrinkToFit="1"/>
    </xf>
    <xf numFmtId="0" fontId="21" fillId="4" borderId="1" xfId="3" applyFont="1" applyFill="1" applyBorder="1" applyAlignment="1">
      <alignment horizontal="right" vertical="center" shrinkToFit="1"/>
    </xf>
    <xf numFmtId="0" fontId="21" fillId="0" borderId="1" xfId="3" applyFont="1" applyBorder="1" applyAlignment="1">
      <alignment horizontal="right" vertical="center" shrinkToFit="1"/>
    </xf>
    <xf numFmtId="9" fontId="46" fillId="2" borderId="1" xfId="0" applyNumberFormat="1" applyFont="1" applyFill="1" applyBorder="1" applyAlignment="1">
      <alignment horizontal="center" vertical="center"/>
    </xf>
    <xf numFmtId="9" fontId="46" fillId="4"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9" fontId="21" fillId="6" borderId="1" xfId="14" applyNumberFormat="1" applyFont="1" applyFill="1" applyBorder="1" applyAlignment="1">
      <alignment horizontal="center" vertical="center"/>
    </xf>
    <xf numFmtId="9" fontId="46" fillId="6" borderId="1" xfId="14" applyNumberFormat="1" applyFont="1" applyFill="1" applyBorder="1" applyAlignment="1">
      <alignment horizontal="center" vertical="center"/>
    </xf>
    <xf numFmtId="9" fontId="46" fillId="0" borderId="1" xfId="14" applyNumberFormat="1" applyFont="1" applyBorder="1" applyAlignment="1">
      <alignment horizontal="center" vertical="center"/>
    </xf>
    <xf numFmtId="0" fontId="21" fillId="0" borderId="1" xfId="14" applyFont="1" applyBorder="1" applyAlignment="1">
      <alignment horizontal="center" vertical="center"/>
    </xf>
    <xf numFmtId="164" fontId="21" fillId="2" borderId="1" xfId="15" applyNumberFormat="1" applyFont="1" applyFill="1" applyBorder="1" applyAlignment="1">
      <alignment horizontal="center" vertical="center"/>
    </xf>
    <xf numFmtId="9" fontId="46" fillId="2" borderId="1" xfId="3" applyNumberFormat="1" applyFont="1" applyFill="1" applyBorder="1" applyAlignment="1">
      <alignment horizontal="center" vertical="center"/>
    </xf>
    <xf numFmtId="9" fontId="21" fillId="4" borderId="1" xfId="3" applyNumberFormat="1" applyFont="1" applyFill="1" applyBorder="1" applyAlignment="1">
      <alignment horizontal="center" vertical="center"/>
    </xf>
    <xf numFmtId="9" fontId="46" fillId="4" borderId="1" xfId="3" applyNumberFormat="1" applyFont="1" applyFill="1" applyBorder="1" applyAlignment="1">
      <alignment horizontal="center" vertical="center"/>
    </xf>
    <xf numFmtId="164" fontId="21" fillId="4" borderId="1" xfId="15" applyNumberFormat="1" applyFont="1" applyFill="1" applyBorder="1" applyAlignment="1">
      <alignment horizontal="center" vertical="center"/>
    </xf>
    <xf numFmtId="0" fontId="21" fillId="6" borderId="1" xfId="3" applyFont="1" applyFill="1" applyBorder="1" applyAlignment="1">
      <alignment horizontal="center" vertical="center"/>
    </xf>
    <xf numFmtId="9" fontId="23" fillId="2" borderId="1" xfId="4" applyFont="1" applyFill="1" applyBorder="1" applyAlignment="1">
      <alignment horizontal="center" vertical="center"/>
    </xf>
    <xf numFmtId="0" fontId="18" fillId="2" borderId="1" xfId="0" applyFont="1" applyFill="1" applyBorder="1" applyAlignment="1">
      <alignment horizontal="left"/>
    </xf>
    <xf numFmtId="0" fontId="18" fillId="2" borderId="1" xfId="0" applyFont="1" applyFill="1" applyBorder="1" applyAlignment="1">
      <alignment horizontal="right" wrapText="1"/>
    </xf>
    <xf numFmtId="0" fontId="44" fillId="6" borderId="1" xfId="0" applyFont="1" applyFill="1" applyBorder="1" applyAlignment="1">
      <alignment horizontal="center" vertical="center"/>
    </xf>
    <xf numFmtId="0" fontId="18" fillId="4" borderId="1" xfId="0" applyFont="1" applyFill="1" applyBorder="1" applyAlignment="1">
      <alignment horizontal="left"/>
    </xf>
    <xf numFmtId="0" fontId="18" fillId="4" borderId="1" xfId="0" applyFont="1" applyFill="1" applyBorder="1" applyAlignment="1">
      <alignment horizontal="right" wrapText="1"/>
    </xf>
    <xf numFmtId="9" fontId="45" fillId="4" borderId="1" xfId="4" applyFont="1" applyFill="1" applyBorder="1" applyAlignment="1">
      <alignment horizontal="center" vertical="center"/>
    </xf>
    <xf numFmtId="0" fontId="23" fillId="6" borderId="1" xfId="0" applyFont="1" applyFill="1" applyBorder="1" applyAlignment="1">
      <alignment horizontal="center" vertical="center"/>
    </xf>
    <xf numFmtId="0" fontId="18" fillId="6" borderId="1" xfId="0" applyFont="1" applyFill="1" applyBorder="1" applyAlignment="1">
      <alignment horizontal="left"/>
    </xf>
    <xf numFmtId="0" fontId="18" fillId="6" borderId="1" xfId="0" applyFont="1" applyFill="1" applyBorder="1" applyAlignment="1">
      <alignment horizontal="right" wrapText="1"/>
    </xf>
    <xf numFmtId="0" fontId="18" fillId="6" borderId="1" xfId="0" applyFont="1" applyFill="1" applyBorder="1"/>
    <xf numFmtId="9" fontId="45" fillId="6" borderId="1" xfId="4" applyFont="1" applyFill="1" applyBorder="1" applyAlignment="1">
      <alignment horizontal="center" vertical="center"/>
    </xf>
    <xf numFmtId="49" fontId="48" fillId="2" borderId="1" xfId="0" applyNumberFormat="1" applyFont="1" applyFill="1" applyBorder="1" applyAlignment="1">
      <alignment horizontal="center" vertical="center"/>
    </xf>
    <xf numFmtId="0" fontId="19" fillId="2" borderId="1" xfId="0" applyFont="1" applyFill="1" applyBorder="1" applyAlignment="1">
      <alignment horizontal="right" vertical="center"/>
    </xf>
    <xf numFmtId="9" fontId="19" fillId="2" borderId="1" xfId="4" applyFont="1" applyFill="1" applyBorder="1" applyAlignment="1">
      <alignment horizontal="center" vertical="center"/>
    </xf>
    <xf numFmtId="9" fontId="22" fillId="4" borderId="1" xfId="2" applyFont="1" applyFill="1" applyBorder="1" applyAlignment="1">
      <alignment horizontal="center" vertical="center"/>
    </xf>
    <xf numFmtId="9" fontId="46" fillId="4" borderId="1" xfId="2" applyFont="1" applyFill="1" applyBorder="1" applyAlignment="1">
      <alignment horizontal="center" vertical="center"/>
    </xf>
    <xf numFmtId="9" fontId="23" fillId="6" borderId="1" xfId="2" applyFont="1" applyFill="1" applyBorder="1" applyAlignment="1">
      <alignment horizontal="center" vertical="center"/>
    </xf>
    <xf numFmtId="9" fontId="19" fillId="2" borderId="1" xfId="2" applyFont="1" applyFill="1" applyBorder="1" applyAlignment="1">
      <alignment horizontal="center" vertical="center" wrapText="1"/>
    </xf>
    <xf numFmtId="49" fontId="48" fillId="6" borderId="1" xfId="0" applyNumberFormat="1" applyFont="1" applyFill="1" applyBorder="1" applyAlignment="1">
      <alignment horizontal="center" vertical="center"/>
    </xf>
    <xf numFmtId="0" fontId="19" fillId="4" borderId="1" xfId="0" applyFont="1" applyFill="1" applyBorder="1" applyAlignment="1">
      <alignment horizontal="center" vertical="center"/>
    </xf>
    <xf numFmtId="1" fontId="19" fillId="4" borderId="1" xfId="2" applyNumberFormat="1" applyFont="1" applyFill="1" applyBorder="1" applyAlignment="1">
      <alignment horizontal="center" vertical="center"/>
    </xf>
    <xf numFmtId="0" fontId="19" fillId="4" borderId="1" xfId="0" applyFont="1" applyFill="1" applyBorder="1"/>
    <xf numFmtId="1" fontId="19" fillId="6" borderId="1" xfId="2" applyNumberFormat="1" applyFont="1" applyFill="1" applyBorder="1" applyAlignment="1">
      <alignment horizontal="center" vertical="center"/>
    </xf>
    <xf numFmtId="9" fontId="49" fillId="6" borderId="1" xfId="2" applyFont="1" applyFill="1" applyBorder="1" applyAlignment="1">
      <alignment horizontal="center" vertical="center"/>
    </xf>
    <xf numFmtId="9" fontId="19" fillId="6" borderId="1" xfId="2" applyFont="1" applyFill="1" applyBorder="1" applyAlignment="1">
      <alignment horizontal="center" vertical="center"/>
    </xf>
    <xf numFmtId="0" fontId="19" fillId="0" borderId="1" xfId="0" applyFont="1" applyBorder="1"/>
    <xf numFmtId="9" fontId="19" fillId="2" borderId="1" xfId="3" applyNumberFormat="1" applyFont="1" applyFill="1" applyBorder="1" applyAlignment="1">
      <alignment horizontal="center" vertical="center"/>
    </xf>
    <xf numFmtId="9" fontId="21" fillId="0" borderId="1" xfId="3" applyNumberFormat="1" applyFont="1" applyBorder="1" applyAlignment="1">
      <alignment horizontal="center" vertical="center"/>
    </xf>
    <xf numFmtId="9" fontId="49" fillId="0" borderId="1" xfId="2" applyFont="1" applyFill="1" applyBorder="1" applyAlignment="1">
      <alignment horizontal="center" vertical="center"/>
    </xf>
    <xf numFmtId="0" fontId="44" fillId="0" borderId="0" xfId="0" applyFont="1"/>
    <xf numFmtId="0" fontId="23" fillId="0" borderId="0" xfId="0" applyFont="1"/>
    <xf numFmtId="0" fontId="45" fillId="0" borderId="0" xfId="0" applyFont="1"/>
    <xf numFmtId="1" fontId="18" fillId="22" borderId="1" xfId="0" applyNumberFormat="1" applyFont="1" applyFill="1" applyBorder="1" applyAlignment="1">
      <alignment horizontal="center" vertical="center" wrapText="1"/>
    </xf>
    <xf numFmtId="0" fontId="18" fillId="22" borderId="1" xfId="0" applyFont="1" applyFill="1" applyBorder="1" applyAlignment="1">
      <alignment horizontal="center" vertical="center" wrapText="1"/>
    </xf>
    <xf numFmtId="0" fontId="18" fillId="22" borderId="3" xfId="0" applyFont="1" applyFill="1" applyBorder="1" applyAlignment="1">
      <alignment horizontal="left" vertical="center" wrapText="1"/>
    </xf>
    <xf numFmtId="9" fontId="23" fillId="22" borderId="3" xfId="2" applyFont="1" applyFill="1" applyBorder="1" applyAlignment="1">
      <alignment horizontal="center" vertical="center" wrapText="1"/>
    </xf>
    <xf numFmtId="0" fontId="18" fillId="22" borderId="3" xfId="0" applyFont="1" applyFill="1" applyBorder="1" applyAlignment="1">
      <alignment horizontal="center" vertical="center"/>
    </xf>
    <xf numFmtId="0" fontId="18" fillId="22" borderId="3" xfId="0" applyFont="1" applyFill="1" applyBorder="1" applyAlignment="1">
      <alignment horizontal="center" vertical="center" wrapText="1"/>
    </xf>
    <xf numFmtId="9" fontId="18" fillId="22" borderId="3" xfId="2" applyFont="1" applyFill="1" applyBorder="1" applyAlignment="1">
      <alignment horizontal="center" vertical="center" wrapText="1"/>
    </xf>
    <xf numFmtId="9" fontId="18" fillId="22" borderId="1" xfId="2" applyFont="1" applyFill="1" applyBorder="1" applyAlignment="1">
      <alignment horizontal="center" vertical="center" wrapText="1"/>
    </xf>
    <xf numFmtId="0" fontId="18" fillId="0" borderId="0" xfId="0" applyFont="1" applyAlignment="1">
      <alignment horizontal="center" vertical="center" wrapText="1"/>
    </xf>
    <xf numFmtId="0" fontId="18" fillId="3" borderId="1" xfId="0" applyFont="1" applyFill="1" applyBorder="1" applyAlignment="1">
      <alignment horizontal="center" vertical="center" wrapText="1"/>
    </xf>
    <xf numFmtId="164" fontId="18" fillId="2" borderId="1" xfId="1" applyNumberFormat="1" applyFont="1" applyFill="1" applyBorder="1" applyAlignment="1">
      <alignment horizontal="center" vertical="center"/>
    </xf>
    <xf numFmtId="9" fontId="31" fillId="2" borderId="1" xfId="0" applyNumberFormat="1" applyFont="1" applyFill="1" applyBorder="1" applyAlignment="1">
      <alignment horizontal="center" vertical="center"/>
    </xf>
    <xf numFmtId="164" fontId="18" fillId="0" borderId="1" xfId="1" applyNumberFormat="1" applyFont="1" applyFill="1" applyBorder="1" applyAlignment="1">
      <alignment horizontal="center" vertical="center"/>
    </xf>
    <xf numFmtId="9" fontId="31" fillId="0" borderId="1" xfId="0" applyNumberFormat="1" applyFont="1" applyBorder="1" applyAlignment="1">
      <alignment horizontal="center" vertical="center"/>
    </xf>
    <xf numFmtId="9" fontId="31" fillId="4" borderId="1" xfId="0" applyNumberFormat="1" applyFont="1" applyFill="1" applyBorder="1" applyAlignment="1">
      <alignment horizontal="center" vertical="center"/>
    </xf>
    <xf numFmtId="0" fontId="18" fillId="2" borderId="1" xfId="0" applyFont="1" applyFill="1" applyBorder="1" applyAlignment="1">
      <alignment vertical="center" readingOrder="1"/>
    </xf>
    <xf numFmtId="0" fontId="18" fillId="2" borderId="1" xfId="0" applyFont="1" applyFill="1" applyBorder="1" applyAlignment="1">
      <alignment horizontal="right" vertical="center" readingOrder="2"/>
    </xf>
    <xf numFmtId="0" fontId="18" fillId="4" borderId="1" xfId="0" applyFont="1" applyFill="1" applyBorder="1" applyAlignment="1">
      <alignment vertical="center" readingOrder="1"/>
    </xf>
    <xf numFmtId="0" fontId="18" fillId="4" borderId="1" xfId="0" applyFont="1" applyFill="1" applyBorder="1" applyAlignment="1">
      <alignment horizontal="right" vertical="center" readingOrder="2"/>
    </xf>
    <xf numFmtId="164" fontId="18" fillId="4" borderId="1" xfId="1" applyNumberFormat="1" applyFont="1" applyFill="1" applyBorder="1" applyAlignment="1">
      <alignment horizontal="center" vertical="center"/>
    </xf>
    <xf numFmtId="0" fontId="18" fillId="4" borderId="1" xfId="0" applyFont="1" applyFill="1" applyBorder="1" applyAlignment="1">
      <alignment horizontal="right" vertical="center" wrapText="1" readingOrder="2"/>
    </xf>
    <xf numFmtId="9" fontId="18" fillId="4" borderId="3" xfId="0" applyNumberFormat="1" applyFont="1" applyFill="1" applyBorder="1" applyAlignment="1">
      <alignment horizontal="center" vertical="center"/>
    </xf>
    <xf numFmtId="9" fontId="31" fillId="4" borderId="3" xfId="0" applyNumberFormat="1" applyFont="1" applyFill="1" applyBorder="1" applyAlignment="1">
      <alignment horizontal="center" vertical="center"/>
    </xf>
    <xf numFmtId="0" fontId="19" fillId="24" borderId="1" xfId="0" applyFont="1" applyFill="1" applyBorder="1" applyAlignment="1">
      <alignment horizontal="center" vertical="center"/>
    </xf>
    <xf numFmtId="0" fontId="19" fillId="24" borderId="5" xfId="0" applyFont="1" applyFill="1" applyBorder="1" applyAlignment="1">
      <alignment horizontal="center" vertical="center" readingOrder="2"/>
    </xf>
    <xf numFmtId="0" fontId="19" fillId="24" borderId="5" xfId="0" applyFont="1" applyFill="1" applyBorder="1" applyAlignment="1">
      <alignment horizontal="center" vertical="center"/>
    </xf>
    <xf numFmtId="9" fontId="21" fillId="24" borderId="5" xfId="0" applyNumberFormat="1" applyFont="1" applyFill="1" applyBorder="1" applyAlignment="1">
      <alignment horizontal="center" vertical="center"/>
    </xf>
    <xf numFmtId="9" fontId="51" fillId="24" borderId="5" xfId="0" applyNumberFormat="1" applyFont="1" applyFill="1" applyBorder="1" applyAlignment="1">
      <alignment horizontal="center" vertical="center"/>
    </xf>
    <xf numFmtId="0" fontId="21" fillId="24" borderId="5" xfId="0" applyFont="1" applyFill="1" applyBorder="1" applyAlignment="1">
      <alignment horizontal="center" vertical="center"/>
    </xf>
    <xf numFmtId="0" fontId="18" fillId="0" borderId="3" xfId="0" applyFont="1" applyBorder="1" applyAlignment="1">
      <alignment horizontal="center" vertical="center"/>
    </xf>
    <xf numFmtId="1" fontId="9" fillId="0" borderId="3" xfId="0" applyNumberFormat="1" applyFont="1" applyBorder="1" applyAlignment="1">
      <alignment horizontal="center" vertical="center"/>
    </xf>
    <xf numFmtId="0" fontId="18" fillId="0" borderId="3" xfId="0" applyFont="1" applyBorder="1" applyAlignment="1">
      <alignment vertical="center" readingOrder="1"/>
    </xf>
    <xf numFmtId="0" fontId="18" fillId="0" borderId="3" xfId="0" applyFont="1" applyBorder="1" applyAlignment="1">
      <alignment horizontal="right" vertical="center" readingOrder="2"/>
    </xf>
    <xf numFmtId="9" fontId="18" fillId="0" borderId="3" xfId="0" applyNumberFormat="1" applyFont="1" applyBorder="1" applyAlignment="1">
      <alignment horizontal="center" vertical="center"/>
    </xf>
    <xf numFmtId="9" fontId="31" fillId="0" borderId="3" xfId="0" applyNumberFormat="1" applyFont="1" applyBorder="1" applyAlignment="1">
      <alignment horizontal="center" vertical="center"/>
    </xf>
    <xf numFmtId="9" fontId="18" fillId="0" borderId="3" xfId="2" applyFont="1" applyFill="1" applyBorder="1" applyAlignment="1">
      <alignment horizontal="center" vertical="center"/>
    </xf>
    <xf numFmtId="0" fontId="18" fillId="2"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9" fontId="31" fillId="6" borderId="1" xfId="0" applyNumberFormat="1" applyFont="1" applyFill="1" applyBorder="1" applyAlignment="1">
      <alignment horizontal="center" vertical="center"/>
    </xf>
    <xf numFmtId="9" fontId="18" fillId="6" borderId="1" xfId="0" applyNumberFormat="1" applyFont="1" applyFill="1" applyBorder="1" applyAlignment="1">
      <alignment horizontal="center" vertical="center"/>
    </xf>
    <xf numFmtId="0" fontId="18" fillId="0" borderId="1" xfId="0" applyFont="1" applyBorder="1" applyAlignment="1">
      <alignment horizontal="right" vertical="center" readingOrder="2"/>
    </xf>
    <xf numFmtId="0" fontId="18" fillId="4" borderId="3" xfId="0" applyFont="1" applyFill="1" applyBorder="1" applyAlignment="1">
      <alignment horizontal="center" vertical="center"/>
    </xf>
    <xf numFmtId="9" fontId="31" fillId="2" borderId="1" xfId="2" applyFont="1" applyFill="1" applyBorder="1" applyAlignment="1">
      <alignment horizontal="center" vertical="center"/>
    </xf>
    <xf numFmtId="0" fontId="18" fillId="3" borderId="1" xfId="0" applyFont="1" applyFill="1" applyBorder="1" applyAlignment="1">
      <alignment horizontal="center" vertical="center"/>
    </xf>
    <xf numFmtId="9" fontId="31" fillId="6" borderId="1" xfId="2" applyFont="1" applyFill="1" applyBorder="1" applyAlignment="1">
      <alignment horizontal="center" vertical="center"/>
    </xf>
    <xf numFmtId="0" fontId="18" fillId="4" borderId="1" xfId="2" applyNumberFormat="1" applyFont="1" applyFill="1" applyBorder="1" applyAlignment="1">
      <alignment horizontal="center" vertical="center"/>
    </xf>
    <xf numFmtId="9" fontId="31" fillId="0" borderId="1" xfId="2" applyFont="1" applyFill="1" applyBorder="1" applyAlignment="1">
      <alignment horizontal="center" vertical="center"/>
    </xf>
    <xf numFmtId="0" fontId="18" fillId="0" borderId="1" xfId="2" applyNumberFormat="1" applyFont="1" applyFill="1" applyBorder="1" applyAlignment="1">
      <alignment horizontal="center" vertical="center"/>
    </xf>
    <xf numFmtId="0" fontId="18" fillId="4" borderId="3" xfId="0" applyFont="1" applyFill="1" applyBorder="1" applyAlignment="1">
      <alignment vertical="center" readingOrder="1"/>
    </xf>
    <xf numFmtId="0" fontId="18" fillId="4" borderId="3" xfId="0" applyFont="1" applyFill="1" applyBorder="1" applyAlignment="1">
      <alignment horizontal="right" vertical="center" readingOrder="2"/>
    </xf>
    <xf numFmtId="9" fontId="18" fillId="4" borderId="3" xfId="2" applyFont="1" applyFill="1" applyBorder="1" applyAlignment="1">
      <alignment horizontal="center" vertical="center"/>
    </xf>
    <xf numFmtId="9" fontId="31" fillId="4" borderId="3" xfId="2" applyFont="1" applyFill="1" applyBorder="1" applyAlignment="1">
      <alignment horizontal="center" vertical="center"/>
    </xf>
    <xf numFmtId="9" fontId="31" fillId="0" borderId="3" xfId="2" applyFont="1" applyFill="1" applyBorder="1" applyAlignment="1">
      <alignment horizontal="center" vertical="center"/>
    </xf>
    <xf numFmtId="49" fontId="19" fillId="2" borderId="1" xfId="3" applyNumberFormat="1" applyFont="1" applyFill="1" applyBorder="1" applyAlignment="1">
      <alignment horizontal="left" vertical="center" wrapText="1"/>
    </xf>
    <xf numFmtId="9" fontId="51" fillId="2" borderId="1" xfId="4" applyFont="1" applyFill="1" applyBorder="1" applyAlignment="1">
      <alignment horizontal="center" vertical="center"/>
    </xf>
    <xf numFmtId="49" fontId="19" fillId="4" borderId="1" xfId="3" applyNumberFormat="1" applyFont="1" applyFill="1" applyBorder="1" applyAlignment="1">
      <alignment horizontal="left" vertical="center" wrapText="1"/>
    </xf>
    <xf numFmtId="9" fontId="51" fillId="4" borderId="1" xfId="4" applyFont="1" applyFill="1" applyBorder="1" applyAlignment="1">
      <alignment horizontal="center" vertical="center"/>
    </xf>
    <xf numFmtId="9" fontId="19" fillId="4" borderId="1" xfId="2" applyFont="1" applyFill="1" applyBorder="1" applyAlignment="1">
      <alignment horizontal="center" vertical="center" wrapText="1"/>
    </xf>
    <xf numFmtId="49" fontId="19" fillId="6" borderId="1" xfId="3" applyNumberFormat="1" applyFont="1" applyFill="1" applyBorder="1" applyAlignment="1">
      <alignment horizontal="left" vertical="center" wrapText="1"/>
    </xf>
    <xf numFmtId="0" fontId="18" fillId="6" borderId="1" xfId="0" applyFont="1" applyFill="1" applyBorder="1" applyAlignment="1">
      <alignment horizontal="right" vertical="center" readingOrder="2"/>
    </xf>
    <xf numFmtId="9" fontId="51" fillId="6" borderId="1" xfId="4" applyFont="1" applyFill="1" applyBorder="1" applyAlignment="1">
      <alignment horizontal="center" vertical="center"/>
    </xf>
    <xf numFmtId="9" fontId="19" fillId="6" borderId="1" xfId="2" applyFont="1" applyFill="1" applyBorder="1" applyAlignment="1">
      <alignment horizontal="center" vertical="center" wrapText="1"/>
    </xf>
    <xf numFmtId="49" fontId="19" fillId="0" borderId="1" xfId="3" applyNumberFormat="1" applyFont="1" applyBorder="1" applyAlignment="1">
      <alignment horizontal="left" vertical="center" wrapText="1"/>
    </xf>
    <xf numFmtId="9" fontId="51" fillId="0" borderId="1" xfId="4" applyFont="1" applyBorder="1" applyAlignment="1">
      <alignment horizontal="center" vertical="center"/>
    </xf>
    <xf numFmtId="9" fontId="19" fillId="0" borderId="1" xfId="2" applyFont="1" applyBorder="1" applyAlignment="1">
      <alignment horizontal="center" vertical="center" wrapText="1"/>
    </xf>
    <xf numFmtId="9" fontId="51" fillId="4" borderId="1" xfId="2" applyFont="1" applyFill="1" applyBorder="1" applyAlignment="1">
      <alignment horizontal="center" vertical="center"/>
    </xf>
    <xf numFmtId="9" fontId="51" fillId="0" borderId="1" xfId="2" applyFont="1" applyFill="1" applyBorder="1" applyAlignment="1">
      <alignment horizontal="center" vertical="center"/>
    </xf>
    <xf numFmtId="9" fontId="32" fillId="0" borderId="1" xfId="2" applyFont="1" applyFill="1" applyBorder="1" applyAlignment="1">
      <alignment horizontal="center" vertical="center"/>
    </xf>
    <xf numFmtId="0" fontId="18" fillId="0" borderId="0" xfId="0" applyFont="1" applyAlignment="1">
      <alignment readingOrder="1"/>
    </xf>
    <xf numFmtId="0" fontId="18" fillId="0" borderId="0" xfId="0" applyFont="1" applyAlignment="1">
      <alignment horizontal="right" readingOrder="2"/>
    </xf>
    <xf numFmtId="0" fontId="31" fillId="0" borderId="0" xfId="0" applyFont="1"/>
    <xf numFmtId="9" fontId="18" fillId="0" borderId="0" xfId="2" applyFont="1"/>
    <xf numFmtId="0" fontId="18" fillId="22" borderId="1" xfId="0" applyFont="1" applyFill="1" applyBorder="1" applyAlignment="1">
      <alignment horizontal="center" vertical="center" wrapText="1" readingOrder="1"/>
    </xf>
    <xf numFmtId="0" fontId="18" fillId="22" borderId="1" xfId="0" applyFont="1" applyFill="1" applyBorder="1" applyAlignment="1">
      <alignment horizontal="center" vertical="center" wrapText="1" readingOrder="2"/>
    </xf>
    <xf numFmtId="164" fontId="18" fillId="22" borderId="1" xfId="1" applyNumberFormat="1" applyFont="1" applyFill="1" applyBorder="1" applyAlignment="1">
      <alignment horizontal="center" vertical="center" wrapText="1"/>
    </xf>
    <xf numFmtId="1" fontId="55" fillId="19" borderId="3" xfId="0" applyNumberFormat="1" applyFont="1" applyFill="1" applyBorder="1" applyAlignment="1">
      <alignment horizontal="center" vertical="center" wrapText="1"/>
    </xf>
    <xf numFmtId="0" fontId="18" fillId="19" borderId="3"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23" fillId="19" borderId="3" xfId="0" applyFont="1" applyFill="1" applyBorder="1" applyAlignment="1">
      <alignment horizontal="center" vertical="center" wrapText="1"/>
    </xf>
    <xf numFmtId="9" fontId="56" fillId="2" borderId="1" xfId="2" applyFont="1" applyFill="1" applyBorder="1" applyAlignment="1">
      <alignment horizontal="center" vertical="center"/>
    </xf>
    <xf numFmtId="164" fontId="18" fillId="2" borderId="1" xfId="1" applyNumberFormat="1" applyFont="1" applyFill="1" applyBorder="1"/>
    <xf numFmtId="9" fontId="55" fillId="2" borderId="1" xfId="2" applyFont="1" applyFill="1" applyBorder="1" applyAlignment="1">
      <alignment horizontal="center" vertical="center"/>
    </xf>
    <xf numFmtId="9" fontId="56" fillId="10" borderId="1" xfId="2" applyFont="1" applyFill="1" applyBorder="1" applyAlignment="1">
      <alignment horizontal="center" vertical="center"/>
    </xf>
    <xf numFmtId="1" fontId="55" fillId="21" borderId="3" xfId="0" applyNumberFormat="1" applyFont="1" applyFill="1" applyBorder="1" applyAlignment="1">
      <alignment horizontal="center" vertical="center" wrapText="1"/>
    </xf>
    <xf numFmtId="0" fontId="18" fillId="21" borderId="3" xfId="0" applyFont="1" applyFill="1" applyBorder="1" applyAlignment="1">
      <alignment horizontal="center" vertical="center" wrapText="1"/>
    </xf>
    <xf numFmtId="0" fontId="23" fillId="21" borderId="3" xfId="0" applyFont="1" applyFill="1" applyBorder="1" applyAlignment="1">
      <alignment horizontal="center" vertical="center" wrapText="1"/>
    </xf>
    <xf numFmtId="9" fontId="56" fillId="6" borderId="1" xfId="2" applyFont="1" applyFill="1" applyBorder="1" applyAlignment="1">
      <alignment horizontal="center" vertical="center"/>
    </xf>
    <xf numFmtId="0" fontId="18" fillId="0" borderId="1" xfId="0" applyFont="1" applyBorder="1" applyAlignment="1">
      <alignment horizontal="left" vertical="center" wrapText="1"/>
    </xf>
    <xf numFmtId="0" fontId="18" fillId="0" borderId="1" xfId="0" applyFont="1" applyBorder="1" applyAlignment="1">
      <alignment horizontal="right" vertical="center" wrapText="1"/>
    </xf>
    <xf numFmtId="164" fontId="18" fillId="0" borderId="1" xfId="1" applyNumberFormat="1" applyFont="1" applyBorder="1"/>
    <xf numFmtId="9" fontId="55" fillId="0" borderId="1" xfId="2" applyFont="1" applyFill="1" applyBorder="1" applyAlignment="1">
      <alignment horizontal="center" vertical="center"/>
    </xf>
    <xf numFmtId="9" fontId="56" fillId="0" borderId="1" xfId="3" applyNumberFormat="1" applyFont="1" applyBorder="1" applyAlignment="1">
      <alignment horizontal="center" vertical="center"/>
    </xf>
    <xf numFmtId="9" fontId="18" fillId="0" borderId="1" xfId="2" applyFont="1" applyBorder="1"/>
    <xf numFmtId="0" fontId="18" fillId="20" borderId="3" xfId="0" applyFont="1" applyFill="1" applyBorder="1" applyAlignment="1">
      <alignment horizontal="center" vertical="center" wrapText="1"/>
    </xf>
    <xf numFmtId="9" fontId="56" fillId="4" borderId="1" xfId="2" applyFont="1" applyFill="1" applyBorder="1" applyAlignment="1">
      <alignment horizontal="center" vertical="center"/>
    </xf>
    <xf numFmtId="9" fontId="19" fillId="4" borderId="1" xfId="0" applyNumberFormat="1" applyFont="1" applyFill="1" applyBorder="1" applyAlignment="1">
      <alignment horizontal="center" vertical="center"/>
    </xf>
    <xf numFmtId="9" fontId="56" fillId="4" borderId="1" xfId="0" applyNumberFormat="1" applyFont="1" applyFill="1" applyBorder="1" applyAlignment="1">
      <alignment horizontal="center" vertical="center"/>
    </xf>
    <xf numFmtId="166" fontId="18" fillId="4" borderId="1" xfId="0" applyNumberFormat="1" applyFont="1" applyFill="1" applyBorder="1" applyAlignment="1">
      <alignment horizontal="center" vertical="center"/>
    </xf>
    <xf numFmtId="0" fontId="18" fillId="4" borderId="1" xfId="0" applyFont="1" applyFill="1" applyBorder="1" applyAlignment="1">
      <alignment horizontal="left" vertical="center" wrapText="1"/>
    </xf>
    <xf numFmtId="1" fontId="19" fillId="4" borderId="1" xfId="4" applyNumberFormat="1" applyFont="1" applyFill="1" applyBorder="1" applyAlignment="1">
      <alignment horizontal="center" vertical="center"/>
    </xf>
    <xf numFmtId="0" fontId="19" fillId="6" borderId="1" xfId="5" applyFont="1" applyFill="1" applyBorder="1" applyAlignment="1">
      <alignment horizontal="center" vertical="center"/>
    </xf>
    <xf numFmtId="9" fontId="56" fillId="6" borderId="1" xfId="11" applyFont="1" applyFill="1" applyBorder="1" applyAlignment="1">
      <alignment horizontal="center" vertical="center"/>
    </xf>
    <xf numFmtId="0" fontId="19" fillId="6" borderId="1" xfId="5" applyFont="1" applyFill="1" applyBorder="1" applyAlignment="1">
      <alignment horizontal="left" vertical="center"/>
    </xf>
    <xf numFmtId="0" fontId="19" fillId="6" borderId="1" xfId="5" applyFont="1" applyFill="1" applyBorder="1" applyAlignment="1">
      <alignment horizontal="right" vertical="center" wrapText="1"/>
    </xf>
    <xf numFmtId="1" fontId="19" fillId="6" borderId="1" xfId="5" applyNumberFormat="1" applyFont="1" applyFill="1" applyBorder="1" applyAlignment="1">
      <alignment horizontal="center" vertical="center"/>
    </xf>
    <xf numFmtId="9" fontId="55" fillId="6" borderId="1" xfId="5" applyNumberFormat="1" applyFont="1" applyFill="1" applyBorder="1" applyAlignment="1">
      <alignment horizontal="center" vertical="center"/>
    </xf>
    <xf numFmtId="9" fontId="18" fillId="6" borderId="1" xfId="11" applyFont="1" applyFill="1" applyBorder="1" applyAlignment="1">
      <alignment horizontal="center" vertical="center"/>
    </xf>
    <xf numFmtId="1" fontId="18" fillId="6" borderId="1" xfId="11" applyNumberFormat="1" applyFont="1" applyFill="1" applyBorder="1" applyAlignment="1">
      <alignment horizontal="center" vertical="center"/>
    </xf>
    <xf numFmtId="9" fontId="18" fillId="6" borderId="1" xfId="5" applyNumberFormat="1" applyFont="1" applyFill="1" applyBorder="1" applyAlignment="1">
      <alignment horizontal="center" vertical="center"/>
    </xf>
    <xf numFmtId="0" fontId="55" fillId="0" borderId="1" xfId="0" applyFont="1" applyBorder="1" applyAlignment="1">
      <alignment horizontal="center" vertical="center"/>
    </xf>
    <xf numFmtId="0" fontId="19" fillId="6" borderId="1" xfId="5" applyFont="1" applyFill="1" applyBorder="1" applyAlignment="1">
      <alignment horizontal="right" vertical="center"/>
    </xf>
    <xf numFmtId="9" fontId="55" fillId="6" borderId="1" xfId="5" applyNumberFormat="1" applyFont="1" applyFill="1" applyBorder="1" applyAlignment="1">
      <alignment horizontal="center" vertical="center" wrapText="1"/>
    </xf>
    <xf numFmtId="49" fontId="18" fillId="2" borderId="1" xfId="5" applyNumberFormat="1" applyFont="1" applyFill="1" applyBorder="1" applyAlignment="1">
      <alignment horizontal="center" vertical="center"/>
    </xf>
    <xf numFmtId="1" fontId="56" fillId="2" borderId="1" xfId="5" applyNumberFormat="1" applyFont="1" applyFill="1" applyBorder="1" applyAlignment="1">
      <alignment horizontal="center" vertical="center"/>
    </xf>
    <xf numFmtId="49" fontId="19" fillId="2" borderId="1" xfId="5" applyNumberFormat="1" applyFont="1" applyFill="1" applyBorder="1" applyAlignment="1">
      <alignment horizontal="center" vertical="center"/>
    </xf>
    <xf numFmtId="0" fontId="24" fillId="2" borderId="1" xfId="5" applyFont="1" applyFill="1" applyBorder="1" applyAlignment="1">
      <alignment horizontal="center" vertical="center"/>
    </xf>
    <xf numFmtId="9" fontId="56" fillId="2" borderId="1" xfId="11" applyFont="1" applyFill="1" applyBorder="1" applyAlignment="1">
      <alignment horizontal="center" vertical="center"/>
    </xf>
    <xf numFmtId="49" fontId="19" fillId="2" borderId="1" xfId="5" applyNumberFormat="1" applyFont="1" applyFill="1" applyBorder="1" applyAlignment="1">
      <alignment horizontal="left" vertical="center"/>
    </xf>
    <xf numFmtId="49" fontId="19" fillId="2" borderId="1" xfId="5" applyNumberFormat="1" applyFont="1" applyFill="1" applyBorder="1" applyAlignment="1">
      <alignment horizontal="right" vertical="center"/>
    </xf>
    <xf numFmtId="0" fontId="19" fillId="2" borderId="1" xfId="5" applyFont="1" applyFill="1" applyBorder="1" applyAlignment="1">
      <alignment horizontal="center" vertical="center"/>
    </xf>
    <xf numFmtId="9" fontId="19" fillId="2" borderId="1" xfId="11" applyFont="1" applyFill="1" applyBorder="1" applyAlignment="1">
      <alignment horizontal="center" vertical="center"/>
    </xf>
    <xf numFmtId="49" fontId="18" fillId="0" borderId="1" xfId="5" applyNumberFormat="1" applyFont="1" applyBorder="1" applyAlignment="1">
      <alignment horizontal="center" vertical="center"/>
    </xf>
    <xf numFmtId="1" fontId="56" fillId="0" borderId="1" xfId="5" applyNumberFormat="1" applyFont="1" applyBorder="1" applyAlignment="1">
      <alignment horizontal="center" vertical="center"/>
    </xf>
    <xf numFmtId="49" fontId="19" fillId="0" borderId="1" xfId="5" applyNumberFormat="1" applyFont="1" applyBorder="1" applyAlignment="1">
      <alignment horizontal="center" vertical="center"/>
    </xf>
    <xf numFmtId="0" fontId="24" fillId="0" borderId="1" xfId="5" applyFont="1" applyBorder="1" applyAlignment="1">
      <alignment horizontal="center" vertical="center"/>
    </xf>
    <xf numFmtId="49" fontId="19" fillId="4" borderId="1" xfId="5" applyNumberFormat="1" applyFont="1" applyFill="1" applyBorder="1" applyAlignment="1">
      <alignment horizontal="center" vertical="center"/>
    </xf>
    <xf numFmtId="9" fontId="56" fillId="4" borderId="1" xfId="11" applyFont="1" applyFill="1" applyBorder="1" applyAlignment="1">
      <alignment horizontal="center" vertical="center"/>
    </xf>
    <xf numFmtId="49" fontId="19" fillId="4" borderId="1" xfId="5" applyNumberFormat="1" applyFont="1" applyFill="1" applyBorder="1" applyAlignment="1">
      <alignment horizontal="left" vertical="center"/>
    </xf>
    <xf numFmtId="49" fontId="19" fillId="4" borderId="1" xfId="5" applyNumberFormat="1" applyFont="1" applyFill="1" applyBorder="1" applyAlignment="1">
      <alignment horizontal="right" vertical="center"/>
    </xf>
    <xf numFmtId="0" fontId="19" fillId="4" borderId="1" xfId="5" applyFont="1" applyFill="1" applyBorder="1" applyAlignment="1">
      <alignment horizontal="center" vertical="center"/>
    </xf>
    <xf numFmtId="9" fontId="19" fillId="4" borderId="1" xfId="11" applyFont="1" applyFill="1" applyBorder="1" applyAlignment="1">
      <alignment horizontal="center" vertical="center"/>
    </xf>
    <xf numFmtId="9" fontId="55" fillId="4" borderId="1" xfId="2" applyFont="1" applyFill="1" applyBorder="1"/>
    <xf numFmtId="0" fontId="19" fillId="0" borderId="1" xfId="5" applyFont="1" applyBorder="1" applyAlignment="1">
      <alignment horizontal="center" vertical="center"/>
    </xf>
    <xf numFmtId="9" fontId="56" fillId="0" borderId="1" xfId="11" applyFont="1" applyFill="1" applyBorder="1" applyAlignment="1">
      <alignment horizontal="center"/>
    </xf>
    <xf numFmtId="0" fontId="19" fillId="0" borderId="1" xfId="3" applyFont="1" applyBorder="1" applyAlignment="1">
      <alignment horizontal="left" vertical="center"/>
    </xf>
    <xf numFmtId="0" fontId="19" fillId="0" borderId="1" xfId="3" applyFont="1" applyBorder="1" applyAlignment="1">
      <alignment horizontal="right" vertical="center"/>
    </xf>
    <xf numFmtId="1" fontId="18" fillId="0" borderId="1" xfId="7" applyNumberFormat="1" applyFont="1" applyBorder="1" applyAlignment="1">
      <alignment horizontal="center" vertical="center"/>
    </xf>
    <xf numFmtId="9" fontId="56" fillId="0" borderId="1" xfId="11" applyFont="1" applyFill="1" applyBorder="1" applyAlignment="1">
      <alignment horizontal="center" vertical="center"/>
    </xf>
    <xf numFmtId="9" fontId="19" fillId="0" borderId="1" xfId="11" applyFont="1" applyFill="1" applyBorder="1" applyAlignment="1">
      <alignment horizontal="center" vertical="center"/>
    </xf>
    <xf numFmtId="1" fontId="19" fillId="0" borderId="1" xfId="11" applyNumberFormat="1" applyFont="1" applyFill="1" applyBorder="1" applyAlignment="1">
      <alignment horizontal="center" vertical="center"/>
    </xf>
    <xf numFmtId="9" fontId="55" fillId="0" borderId="1" xfId="2" applyFont="1" applyBorder="1"/>
    <xf numFmtId="9" fontId="55" fillId="0" borderId="1" xfId="11" applyFont="1" applyFill="1" applyBorder="1" applyAlignment="1">
      <alignment horizontal="center" vertical="center"/>
    </xf>
    <xf numFmtId="1" fontId="24" fillId="2" borderId="1" xfId="5" applyNumberFormat="1" applyFont="1" applyFill="1" applyBorder="1" applyAlignment="1">
      <alignment horizontal="center" vertical="center"/>
    </xf>
    <xf numFmtId="1" fontId="18" fillId="2" borderId="1" xfId="7" applyNumberFormat="1" applyFont="1" applyFill="1" applyBorder="1" applyAlignment="1">
      <alignment horizontal="center" vertical="center"/>
    </xf>
    <xf numFmtId="1" fontId="19" fillId="2" borderId="1" xfId="5" applyNumberFormat="1" applyFont="1" applyFill="1" applyBorder="1" applyAlignment="1">
      <alignment horizontal="center" vertical="center"/>
    </xf>
    <xf numFmtId="1" fontId="24" fillId="0" borderId="1" xfId="5" applyNumberFormat="1" applyFont="1" applyBorder="1" applyAlignment="1">
      <alignment horizontal="center" vertical="center"/>
    </xf>
    <xf numFmtId="49" fontId="19" fillId="0" borderId="1" xfId="5" applyNumberFormat="1" applyFont="1" applyBorder="1" applyAlignment="1">
      <alignment horizontal="left" vertical="center"/>
    </xf>
    <xf numFmtId="49" fontId="19" fillId="0" borderId="1" xfId="5" applyNumberFormat="1" applyFont="1" applyBorder="1" applyAlignment="1">
      <alignment horizontal="right" vertical="center"/>
    </xf>
    <xf numFmtId="9" fontId="19" fillId="0" borderId="1" xfId="5" applyNumberFormat="1" applyFont="1" applyBorder="1" applyAlignment="1">
      <alignment horizontal="center" vertical="center"/>
    </xf>
    <xf numFmtId="1" fontId="19" fillId="0" borderId="1" xfId="5" applyNumberFormat="1" applyFont="1" applyBorder="1" applyAlignment="1">
      <alignment horizontal="center" vertical="center"/>
    </xf>
    <xf numFmtId="9" fontId="19" fillId="2" borderId="1" xfId="5" applyNumberFormat="1" applyFont="1" applyFill="1" applyBorder="1" applyAlignment="1">
      <alignment horizontal="center" vertical="center"/>
    </xf>
    <xf numFmtId="9" fontId="19" fillId="4" borderId="1" xfId="5" applyNumberFormat="1" applyFont="1" applyFill="1" applyBorder="1" applyAlignment="1">
      <alignment horizontal="center" vertical="center"/>
    </xf>
    <xf numFmtId="0" fontId="19" fillId="0" borderId="3" xfId="3" applyFont="1" applyBorder="1" applyAlignment="1">
      <alignment horizontal="center" vertical="center"/>
    </xf>
    <xf numFmtId="9" fontId="18" fillId="0" borderId="3" xfId="2" applyFont="1" applyBorder="1" applyAlignment="1">
      <alignment horizontal="center" vertical="center"/>
    </xf>
    <xf numFmtId="9" fontId="56" fillId="0" borderId="3" xfId="11" applyFont="1" applyFill="1" applyBorder="1" applyAlignment="1">
      <alignment horizontal="center" vertical="center"/>
    </xf>
    <xf numFmtId="9" fontId="19" fillId="0" borderId="3" xfId="11" applyFont="1" applyFill="1" applyBorder="1" applyAlignment="1">
      <alignment horizontal="center" vertical="center"/>
    </xf>
    <xf numFmtId="1" fontId="19" fillId="0" borderId="3" xfId="11" applyNumberFormat="1" applyFont="1" applyFill="1" applyBorder="1" applyAlignment="1">
      <alignment horizontal="center" vertical="center"/>
    </xf>
    <xf numFmtId="49" fontId="55" fillId="2" borderId="1" xfId="0" applyNumberFormat="1" applyFont="1" applyFill="1" applyBorder="1" applyAlignment="1">
      <alignment horizontal="center" vertical="center"/>
    </xf>
    <xf numFmtId="0" fontId="18" fillId="2" borderId="1" xfId="0" applyFont="1" applyFill="1" applyBorder="1" applyAlignment="1">
      <alignment horizontal="right" vertical="center" wrapText="1"/>
    </xf>
    <xf numFmtId="9" fontId="57" fillId="2" borderId="1" xfId="0" applyNumberFormat="1" applyFont="1" applyFill="1" applyBorder="1" applyAlignment="1">
      <alignment horizontal="center" vertical="center"/>
    </xf>
    <xf numFmtId="9" fontId="56" fillId="10" borderId="1" xfId="0" applyNumberFormat="1" applyFont="1" applyFill="1" applyBorder="1" applyAlignment="1">
      <alignment horizontal="center" vertical="center"/>
    </xf>
    <xf numFmtId="49" fontId="55" fillId="6" borderId="1" xfId="0" applyNumberFormat="1" applyFont="1" applyFill="1" applyBorder="1" applyAlignment="1">
      <alignment horizontal="center" vertical="center"/>
    </xf>
    <xf numFmtId="3" fontId="58" fillId="4" borderId="1" xfId="2" applyNumberFormat="1" applyFont="1" applyFill="1" applyBorder="1" applyAlignment="1">
      <alignment horizontal="center" vertical="center"/>
    </xf>
    <xf numFmtId="9" fontId="57" fillId="4" borderId="1" xfId="0" applyNumberFormat="1" applyFont="1" applyFill="1" applyBorder="1" applyAlignment="1">
      <alignment horizontal="center" vertical="center"/>
    </xf>
    <xf numFmtId="166" fontId="58" fillId="4" borderId="1" xfId="0" applyNumberFormat="1" applyFont="1" applyFill="1" applyBorder="1" applyAlignment="1">
      <alignment horizontal="center" vertical="center"/>
    </xf>
    <xf numFmtId="9" fontId="59" fillId="4" borderId="1" xfId="0" applyNumberFormat="1" applyFont="1" applyFill="1" applyBorder="1" applyAlignment="1">
      <alignment horizontal="center" vertical="center"/>
    </xf>
    <xf numFmtId="0" fontId="18" fillId="3" borderId="1" xfId="0" applyFont="1" applyFill="1" applyBorder="1" applyAlignment="1">
      <alignment horizontal="left" vertical="center"/>
    </xf>
    <xf numFmtId="0" fontId="18" fillId="3" borderId="1" xfId="0" applyFont="1" applyFill="1" applyBorder="1" applyAlignment="1">
      <alignment horizontal="right" vertical="center" wrapText="1"/>
    </xf>
    <xf numFmtId="9" fontId="18" fillId="3" borderId="1" xfId="0" applyNumberFormat="1" applyFont="1" applyFill="1" applyBorder="1" applyAlignment="1">
      <alignment horizontal="center" vertical="center"/>
    </xf>
    <xf numFmtId="9" fontId="57" fillId="3" borderId="1" xfId="0" applyNumberFormat="1" applyFont="1" applyFill="1" applyBorder="1" applyAlignment="1">
      <alignment horizontal="center" vertical="center"/>
    </xf>
    <xf numFmtId="9" fontId="58" fillId="3" borderId="1" xfId="0" applyNumberFormat="1" applyFont="1" applyFill="1" applyBorder="1" applyAlignment="1">
      <alignment horizontal="center" vertical="center"/>
    </xf>
    <xf numFmtId="1" fontId="21" fillId="4" borderId="1" xfId="0" applyNumberFormat="1" applyFont="1" applyFill="1" applyBorder="1" applyAlignment="1">
      <alignment horizontal="center" vertical="center"/>
    </xf>
    <xf numFmtId="9" fontId="56" fillId="0" borderId="1" xfId="2" applyFont="1" applyFill="1" applyBorder="1" applyAlignment="1">
      <alignment horizontal="center" vertical="center"/>
    </xf>
    <xf numFmtId="1" fontId="58" fillId="0" borderId="1" xfId="0" applyNumberFormat="1" applyFont="1" applyBorder="1" applyAlignment="1">
      <alignment horizontal="center" vertical="center"/>
    </xf>
    <xf numFmtId="9" fontId="59" fillId="0" borderId="1" xfId="2" applyFont="1" applyFill="1" applyBorder="1" applyAlignment="1">
      <alignment horizontal="center" vertical="center"/>
    </xf>
    <xf numFmtId="9" fontId="56" fillId="0" borderId="1" xfId="0" applyNumberFormat="1" applyFont="1" applyBorder="1" applyAlignment="1">
      <alignment horizontal="center" vertical="center"/>
    </xf>
    <xf numFmtId="1" fontId="21" fillId="0" borderId="1" xfId="0" applyNumberFormat="1" applyFont="1" applyBorder="1" applyAlignment="1">
      <alignment horizontal="center" vertical="center"/>
    </xf>
    <xf numFmtId="49" fontId="18" fillId="6" borderId="3" xfId="0" applyNumberFormat="1" applyFont="1" applyFill="1" applyBorder="1" applyAlignment="1">
      <alignment horizontal="center" vertical="center"/>
    </xf>
    <xf numFmtId="49" fontId="55" fillId="6" borderId="3" xfId="0" applyNumberFormat="1" applyFont="1" applyFill="1" applyBorder="1" applyAlignment="1">
      <alignment horizontal="center" vertical="center"/>
    </xf>
    <xf numFmtId="0" fontId="23" fillId="0" borderId="3" xfId="0" applyFont="1" applyBorder="1" applyAlignment="1">
      <alignment horizontal="center" vertical="center"/>
    </xf>
    <xf numFmtId="0" fontId="18" fillId="6" borderId="3" xfId="0" applyFont="1" applyFill="1" applyBorder="1" applyAlignment="1">
      <alignment horizontal="center" vertical="center"/>
    </xf>
    <xf numFmtId="0" fontId="19" fillId="0" borderId="3" xfId="0" applyFont="1" applyBorder="1" applyAlignment="1">
      <alignment horizontal="center" vertical="center"/>
    </xf>
    <xf numFmtId="9" fontId="56" fillId="0" borderId="3" xfId="2" applyFont="1" applyFill="1" applyBorder="1" applyAlignment="1">
      <alignment horizontal="center" vertical="center"/>
    </xf>
    <xf numFmtId="0" fontId="18" fillId="0" borderId="3" xfId="0" applyFont="1" applyBorder="1" applyAlignment="1">
      <alignment horizontal="left" vertical="center"/>
    </xf>
    <xf numFmtId="0" fontId="18" fillId="0" borderId="3" xfId="0" applyFont="1" applyBorder="1" applyAlignment="1">
      <alignment horizontal="right" vertical="center" wrapText="1"/>
    </xf>
    <xf numFmtId="1" fontId="58" fillId="0" borderId="3" xfId="0" applyNumberFormat="1" applyFont="1" applyBorder="1" applyAlignment="1">
      <alignment horizontal="center" vertical="center"/>
    </xf>
    <xf numFmtId="9" fontId="59" fillId="0" borderId="3" xfId="2" applyFont="1" applyFill="1" applyBorder="1" applyAlignment="1">
      <alignment horizontal="center" vertical="center"/>
    </xf>
    <xf numFmtId="9" fontId="21" fillId="0" borderId="3" xfId="2" applyFont="1" applyFill="1" applyBorder="1" applyAlignment="1">
      <alignment horizontal="center" vertical="center"/>
    </xf>
    <xf numFmtId="1" fontId="21" fillId="0" borderId="3" xfId="2" applyNumberFormat="1" applyFont="1" applyFill="1" applyBorder="1" applyAlignment="1">
      <alignment horizontal="center" vertical="center"/>
    </xf>
    <xf numFmtId="9" fontId="21" fillId="0" borderId="3" xfId="0" applyNumberFormat="1" applyFont="1" applyBorder="1" applyAlignment="1">
      <alignment horizontal="center" vertical="center"/>
    </xf>
    <xf numFmtId="9" fontId="56" fillId="0" borderId="3" xfId="0" applyNumberFormat="1" applyFont="1" applyBorder="1" applyAlignment="1">
      <alignment horizontal="center" vertical="center"/>
    </xf>
    <xf numFmtId="1" fontId="56" fillId="2" borderId="1" xfId="0" applyNumberFormat="1" applyFont="1" applyFill="1" applyBorder="1" applyAlignment="1">
      <alignment horizontal="center" vertical="center"/>
    </xf>
    <xf numFmtId="0" fontId="23" fillId="2" borderId="1" xfId="0" applyFont="1" applyFill="1" applyBorder="1" applyAlignment="1">
      <alignment horizontal="center"/>
    </xf>
    <xf numFmtId="0" fontId="19" fillId="2" borderId="1" xfId="3" applyFont="1" applyFill="1" applyBorder="1" applyAlignment="1">
      <alignment horizontal="left" vertical="center"/>
    </xf>
    <xf numFmtId="0" fontId="19" fillId="2" borderId="1" xfId="3" applyFont="1" applyFill="1" applyBorder="1" applyAlignment="1">
      <alignment horizontal="right" vertical="center"/>
    </xf>
    <xf numFmtId="0" fontId="19" fillId="2" borderId="1" xfId="3" applyFont="1" applyFill="1" applyBorder="1" applyAlignment="1">
      <alignment horizontal="right" vertical="center" wrapText="1"/>
    </xf>
    <xf numFmtId="1" fontId="56" fillId="0" borderId="1" xfId="0" applyNumberFormat="1" applyFont="1" applyBorder="1" applyAlignment="1">
      <alignment horizontal="center" vertical="center"/>
    </xf>
    <xf numFmtId="0" fontId="23" fillId="0" borderId="1" xfId="0" applyFont="1" applyBorder="1" applyAlignment="1">
      <alignment horizontal="center"/>
    </xf>
    <xf numFmtId="0" fontId="19" fillId="4" borderId="1" xfId="3" applyFont="1" applyFill="1" applyBorder="1" applyAlignment="1">
      <alignment horizontal="left" vertical="center"/>
    </xf>
    <xf numFmtId="0" fontId="19" fillId="4" borderId="1" xfId="3" applyFont="1" applyFill="1" applyBorder="1" applyAlignment="1">
      <alignment horizontal="right" vertical="center"/>
    </xf>
    <xf numFmtId="0" fontId="19" fillId="4" borderId="1" xfId="3" applyFont="1" applyFill="1" applyBorder="1" applyAlignment="1">
      <alignment horizontal="right" vertical="center" wrapText="1"/>
    </xf>
    <xf numFmtId="9" fontId="56" fillId="0" borderId="1" xfId="2" applyFont="1" applyBorder="1" applyAlignment="1">
      <alignment horizontal="center" vertical="center"/>
    </xf>
    <xf numFmtId="0" fontId="19" fillId="0" borderId="1" xfId="3" applyFont="1" applyBorder="1" applyAlignment="1">
      <alignment horizontal="right" vertical="center" wrapText="1"/>
    </xf>
    <xf numFmtId="1" fontId="56" fillId="0" borderId="3" xfId="0" applyNumberFormat="1" applyFont="1" applyBorder="1" applyAlignment="1">
      <alignment horizontal="center" vertical="center"/>
    </xf>
    <xf numFmtId="49" fontId="19" fillId="0" borderId="3" xfId="0" applyNumberFormat="1" applyFont="1" applyBorder="1" applyAlignment="1">
      <alignment horizontal="center" vertical="center"/>
    </xf>
    <xf numFmtId="0" fontId="23" fillId="0" borderId="3" xfId="0" applyFont="1" applyBorder="1" applyAlignment="1">
      <alignment horizontal="center"/>
    </xf>
    <xf numFmtId="9" fontId="56" fillId="0" borderId="3" xfId="2" applyFont="1" applyBorder="1" applyAlignment="1">
      <alignment horizontal="center" vertical="center"/>
    </xf>
    <xf numFmtId="0" fontId="19" fillId="0" borderId="3" xfId="3" applyFont="1" applyBorder="1" applyAlignment="1">
      <alignment horizontal="left" vertical="center"/>
    </xf>
    <xf numFmtId="0" fontId="19" fillId="0" borderId="3" xfId="3" applyFont="1" applyBorder="1" applyAlignment="1">
      <alignment horizontal="right" vertical="center"/>
    </xf>
    <xf numFmtId="0" fontId="19" fillId="0" borderId="3" xfId="3" applyFont="1" applyBorder="1" applyAlignment="1">
      <alignment horizontal="right" vertical="center" wrapText="1"/>
    </xf>
    <xf numFmtId="9" fontId="19" fillId="0" borderId="3" xfId="2" applyFont="1" applyBorder="1" applyAlignment="1">
      <alignment horizontal="center" vertical="center"/>
    </xf>
    <xf numFmtId="0" fontId="19" fillId="2" borderId="1" xfId="3" applyFont="1" applyFill="1" applyBorder="1" applyAlignment="1">
      <alignment horizontal="right" vertical="center" wrapText="1" readingOrder="2"/>
    </xf>
    <xf numFmtId="0" fontId="19" fillId="4" borderId="1" xfId="3" applyFont="1" applyFill="1" applyBorder="1" applyAlignment="1">
      <alignment horizontal="right" vertical="center" wrapText="1" readingOrder="2"/>
    </xf>
    <xf numFmtId="0" fontId="19" fillId="0" borderId="1" xfId="3" applyFont="1" applyBorder="1" applyAlignment="1">
      <alignment horizontal="right" vertical="center" wrapText="1" readingOrder="2"/>
    </xf>
    <xf numFmtId="9" fontId="19" fillId="0" borderId="1" xfId="4" applyFont="1" applyBorder="1" applyAlignment="1">
      <alignment horizontal="center" vertical="center"/>
    </xf>
    <xf numFmtId="1" fontId="19" fillId="0" borderId="1" xfId="4" applyNumberFormat="1" applyFont="1" applyBorder="1" applyAlignment="1">
      <alignment horizontal="center" vertical="center"/>
    </xf>
    <xf numFmtId="49" fontId="18" fillId="2" borderId="3" xfId="0" applyNumberFormat="1" applyFont="1" applyFill="1" applyBorder="1" applyAlignment="1">
      <alignment horizontal="center" vertical="center"/>
    </xf>
    <xf numFmtId="0" fontId="18" fillId="0" borderId="1" xfId="3" applyFont="1" applyBorder="1" applyAlignment="1">
      <alignment horizontal="right" vertical="center" wrapText="1"/>
    </xf>
    <xf numFmtId="9" fontId="56" fillId="2" borderId="1" xfId="0" applyNumberFormat="1" applyFont="1" applyFill="1" applyBorder="1" applyAlignment="1">
      <alignment horizontal="center" vertical="center"/>
    </xf>
    <xf numFmtId="0" fontId="21" fillId="25" borderId="1" xfId="7" applyFont="1" applyFill="1" applyBorder="1" applyAlignment="1">
      <alignment horizontal="center" vertical="center"/>
    </xf>
    <xf numFmtId="9" fontId="59" fillId="2" borderId="1" xfId="2" applyFont="1" applyFill="1" applyBorder="1" applyAlignment="1">
      <alignment horizontal="center" vertical="center"/>
    </xf>
    <xf numFmtId="9" fontId="55" fillId="10" borderId="1" xfId="4" applyFont="1" applyFill="1" applyBorder="1" applyAlignment="1">
      <alignment horizontal="center" vertical="center"/>
    </xf>
    <xf numFmtId="0" fontId="21" fillId="26" borderId="1" xfId="7" applyFont="1" applyFill="1" applyBorder="1" applyAlignment="1">
      <alignment horizontal="center" vertical="center"/>
    </xf>
    <xf numFmtId="9" fontId="59" fillId="4" borderId="1" xfId="2" applyFont="1" applyFill="1" applyBorder="1" applyAlignment="1">
      <alignment horizontal="center" vertical="center"/>
    </xf>
    <xf numFmtId="9" fontId="55" fillId="4" borderId="1" xfId="4" applyFont="1" applyFill="1" applyBorder="1" applyAlignment="1">
      <alignment horizontal="center" vertical="center"/>
    </xf>
    <xf numFmtId="9" fontId="55" fillId="0" borderId="1" xfId="4" applyFont="1" applyFill="1" applyBorder="1" applyAlignment="1">
      <alignment horizontal="center" vertical="center"/>
    </xf>
    <xf numFmtId="9" fontId="59" fillId="0" borderId="1" xfId="2" applyFont="1" applyBorder="1" applyAlignment="1">
      <alignment horizontal="center" vertical="center"/>
    </xf>
    <xf numFmtId="0" fontId="55" fillId="2" borderId="1" xfId="0" applyFont="1" applyFill="1" applyBorder="1" applyAlignment="1">
      <alignment horizontal="center" vertical="center"/>
    </xf>
    <xf numFmtId="9" fontId="55" fillId="4" borderId="1" xfId="2" applyFont="1" applyFill="1" applyBorder="1" applyAlignment="1">
      <alignment horizontal="center" vertical="center"/>
    </xf>
    <xf numFmtId="9" fontId="18" fillId="4" borderId="1" xfId="7" applyNumberFormat="1" applyFont="1" applyFill="1" applyBorder="1" applyAlignment="1">
      <alignment horizontal="center" vertical="center"/>
    </xf>
    <xf numFmtId="0" fontId="55" fillId="4" borderId="1" xfId="0" applyFont="1" applyFill="1" applyBorder="1"/>
    <xf numFmtId="0" fontId="21" fillId="17" borderId="1" xfId="0" applyFont="1" applyFill="1" applyBorder="1" applyAlignment="1">
      <alignment horizontal="left" vertical="center"/>
    </xf>
    <xf numFmtId="0" fontId="21" fillId="17" borderId="5" xfId="0" applyFont="1" applyFill="1" applyBorder="1" applyAlignment="1">
      <alignment horizontal="right" vertical="center" wrapText="1" readingOrder="2"/>
    </xf>
    <xf numFmtId="0" fontId="19" fillId="3" borderId="1" xfId="0" applyFont="1" applyFill="1" applyBorder="1" applyAlignment="1">
      <alignment horizontal="right" vertical="center" wrapText="1"/>
    </xf>
    <xf numFmtId="0" fontId="21" fillId="17" borderId="6" xfId="0" applyFont="1" applyFill="1" applyBorder="1" applyAlignment="1">
      <alignment horizontal="left" vertical="center"/>
    </xf>
    <xf numFmtId="0" fontId="21" fillId="17" borderId="7" xfId="0" applyFont="1" applyFill="1" applyBorder="1" applyAlignment="1">
      <alignment horizontal="right" vertical="center" wrapText="1" readingOrder="2"/>
    </xf>
    <xf numFmtId="9" fontId="55" fillId="6" borderId="1" xfId="2" applyFont="1" applyFill="1" applyBorder="1" applyAlignment="1">
      <alignment horizontal="center" vertical="center"/>
    </xf>
    <xf numFmtId="9" fontId="18" fillId="6" borderId="1" xfId="7" applyNumberFormat="1" applyFont="1" applyFill="1" applyBorder="1" applyAlignment="1">
      <alignment horizontal="center" vertical="center"/>
    </xf>
    <xf numFmtId="0" fontId="55" fillId="6" borderId="1" xfId="0" applyFont="1" applyFill="1" applyBorder="1"/>
    <xf numFmtId="9" fontId="60" fillId="2" borderId="1" xfId="2" applyFont="1" applyFill="1" applyBorder="1" applyAlignment="1">
      <alignment horizontal="center" vertical="center"/>
    </xf>
    <xf numFmtId="0" fontId="19" fillId="2" borderId="1" xfId="3" applyFont="1" applyFill="1" applyBorder="1" applyAlignment="1">
      <alignment horizontal="right" vertical="center" readingOrder="2"/>
    </xf>
    <xf numFmtId="9" fontId="61" fillId="10" borderId="1" xfId="2" applyFont="1" applyFill="1" applyBorder="1" applyAlignment="1">
      <alignment horizontal="center" vertical="center"/>
    </xf>
    <xf numFmtId="9" fontId="60" fillId="4" borderId="1" xfId="2" applyFont="1" applyFill="1" applyBorder="1" applyAlignment="1">
      <alignment horizontal="center" vertical="center"/>
    </xf>
    <xf numFmtId="0" fontId="19" fillId="4" borderId="1" xfId="3" applyFont="1" applyFill="1" applyBorder="1" applyAlignment="1">
      <alignment horizontal="right" vertical="center" readingOrder="2"/>
    </xf>
    <xf numFmtId="9" fontId="60" fillId="6" borderId="1" xfId="2" applyFont="1" applyFill="1" applyBorder="1" applyAlignment="1">
      <alignment horizontal="center" vertical="center"/>
    </xf>
    <xf numFmtId="0" fontId="19" fillId="6" borderId="1" xfId="3" applyFont="1" applyFill="1" applyBorder="1" applyAlignment="1">
      <alignment horizontal="right" vertical="center" readingOrder="2"/>
    </xf>
    <xf numFmtId="49" fontId="56" fillId="2" borderId="1" xfId="0" applyNumberFormat="1" applyFont="1" applyFill="1" applyBorder="1" applyAlignment="1">
      <alignment horizontal="center" vertical="center"/>
    </xf>
    <xf numFmtId="0" fontId="19" fillId="2" borderId="1" xfId="3" applyFont="1" applyFill="1" applyBorder="1" applyAlignment="1">
      <alignment horizontal="center" vertical="center" wrapText="1" readingOrder="2"/>
    </xf>
    <xf numFmtId="9" fontId="59" fillId="10" borderId="1" xfId="2" applyFont="1" applyFill="1" applyBorder="1" applyAlignment="1">
      <alignment horizontal="center" vertical="center"/>
    </xf>
    <xf numFmtId="0" fontId="56" fillId="0" borderId="1" xfId="0" applyFont="1" applyBorder="1" applyAlignment="1">
      <alignment horizontal="center" vertical="center"/>
    </xf>
    <xf numFmtId="0" fontId="19" fillId="4" borderId="1" xfId="3" applyFont="1" applyFill="1" applyBorder="1" applyAlignment="1">
      <alignment horizontal="center" vertical="center" wrapText="1" readingOrder="2"/>
    </xf>
    <xf numFmtId="49" fontId="56" fillId="0" borderId="1" xfId="0" applyNumberFormat="1" applyFont="1" applyBorder="1" applyAlignment="1">
      <alignment horizontal="center" vertical="center"/>
    </xf>
    <xf numFmtId="0" fontId="19" fillId="0" borderId="1" xfId="3" applyFont="1" applyBorder="1" applyAlignment="1">
      <alignment horizontal="center" vertical="center" wrapText="1" readingOrder="2"/>
    </xf>
    <xf numFmtId="0" fontId="56" fillId="2" borderId="1" xfId="0" applyFont="1" applyFill="1" applyBorder="1" applyAlignment="1">
      <alignment horizontal="center" vertical="center"/>
    </xf>
    <xf numFmtId="0" fontId="19" fillId="0" borderId="1" xfId="3" applyFont="1" applyBorder="1" applyAlignment="1">
      <alignment horizontal="right" vertical="center" readingOrder="2"/>
    </xf>
    <xf numFmtId="0" fontId="55" fillId="0" borderId="1" xfId="0" applyFont="1" applyBorder="1"/>
    <xf numFmtId="49" fontId="19" fillId="2" borderId="1" xfId="0" applyNumberFormat="1" applyFont="1" applyFill="1" applyBorder="1" applyAlignment="1">
      <alignment horizontal="center" vertical="center" shrinkToFit="1"/>
    </xf>
    <xf numFmtId="0" fontId="19" fillId="2" borderId="1" xfId="3" applyFont="1" applyFill="1" applyBorder="1" applyAlignment="1">
      <alignment horizontal="center" vertical="center" wrapText="1" shrinkToFit="1"/>
    </xf>
    <xf numFmtId="1" fontId="19" fillId="2" borderId="1" xfId="11" applyNumberFormat="1" applyFont="1" applyFill="1" applyBorder="1" applyAlignment="1">
      <alignment horizontal="center" vertical="center"/>
    </xf>
    <xf numFmtId="49" fontId="19" fillId="0" borderId="1" xfId="0" applyNumberFormat="1" applyFont="1" applyBorder="1" applyAlignment="1">
      <alignment horizontal="center" vertical="center" shrinkToFit="1"/>
    </xf>
    <xf numFmtId="0" fontId="19" fillId="4" borderId="1" xfId="3" applyFont="1" applyFill="1" applyBorder="1" applyAlignment="1">
      <alignment horizontal="center" vertical="center" wrapText="1" shrinkToFit="1"/>
    </xf>
    <xf numFmtId="1" fontId="19" fillId="4" borderId="1" xfId="11" applyNumberFormat="1" applyFont="1" applyFill="1" applyBorder="1" applyAlignment="1">
      <alignment horizontal="center" vertical="center"/>
    </xf>
    <xf numFmtId="49" fontId="18" fillId="0" borderId="1" xfId="0" applyNumberFormat="1" applyFont="1" applyBorder="1" applyAlignment="1">
      <alignment horizontal="center" vertical="center" shrinkToFit="1"/>
    </xf>
    <xf numFmtId="0" fontId="19" fillId="0" borderId="1" xfId="3" applyFont="1" applyBorder="1" applyAlignment="1">
      <alignment horizontal="center" vertical="center" wrapText="1" shrinkToFit="1"/>
    </xf>
    <xf numFmtId="9" fontId="55" fillId="6" borderId="1" xfId="4" applyFont="1" applyFill="1" applyBorder="1" applyAlignment="1">
      <alignment horizontal="center" vertical="center"/>
    </xf>
    <xf numFmtId="0" fontId="18" fillId="0" borderId="1" xfId="7" applyFont="1" applyBorder="1" applyAlignment="1">
      <alignment horizontal="center" vertical="center"/>
    </xf>
    <xf numFmtId="1" fontId="21" fillId="0" borderId="1" xfId="7" applyNumberFormat="1" applyFont="1" applyBorder="1" applyAlignment="1">
      <alignment horizontal="center" vertical="center"/>
    </xf>
    <xf numFmtId="9" fontId="56" fillId="6" borderId="1" xfId="0" applyNumberFormat="1" applyFont="1" applyFill="1" applyBorder="1" applyAlignment="1">
      <alignment horizontal="center" vertical="center"/>
    </xf>
    <xf numFmtId="49" fontId="19" fillId="2" borderId="1" xfId="3" applyNumberFormat="1" applyFont="1" applyFill="1" applyBorder="1" applyAlignment="1">
      <alignment horizontal="center" vertical="center" shrinkToFit="1"/>
    </xf>
    <xf numFmtId="49" fontId="19" fillId="4" borderId="1" xfId="3" applyNumberFormat="1" applyFont="1" applyFill="1" applyBorder="1" applyAlignment="1">
      <alignment horizontal="center" vertical="center" shrinkToFit="1"/>
    </xf>
    <xf numFmtId="49" fontId="19" fillId="6" borderId="1" xfId="3" applyNumberFormat="1" applyFont="1" applyFill="1" applyBorder="1" applyAlignment="1">
      <alignment horizontal="center" vertical="center"/>
    </xf>
    <xf numFmtId="49" fontId="19" fillId="0" borderId="1" xfId="3" applyNumberFormat="1" applyFont="1" applyBorder="1" applyAlignment="1">
      <alignment horizontal="center" vertical="center" shrinkToFit="1"/>
    </xf>
    <xf numFmtId="9" fontId="59" fillId="6" borderId="1" xfId="2" applyFont="1" applyFill="1" applyBorder="1" applyAlignment="1">
      <alignment horizontal="center" vertical="center"/>
    </xf>
    <xf numFmtId="9" fontId="56" fillId="2" borderId="1" xfId="2" applyFont="1" applyFill="1" applyBorder="1" applyAlignment="1">
      <alignment horizontal="center"/>
    </xf>
    <xf numFmtId="1" fontId="18" fillId="2" borderId="1" xfId="4" applyNumberFormat="1" applyFont="1" applyFill="1" applyBorder="1" applyAlignment="1">
      <alignment horizontal="center" vertical="center"/>
    </xf>
    <xf numFmtId="9" fontId="55" fillId="10" borderId="1" xfId="2" applyFont="1" applyFill="1" applyBorder="1" applyAlignment="1">
      <alignment horizontal="center" vertical="center"/>
    </xf>
    <xf numFmtId="9" fontId="56" fillId="4" borderId="1" xfId="2" applyFont="1" applyFill="1" applyBorder="1" applyAlignment="1">
      <alignment horizontal="center"/>
    </xf>
    <xf numFmtId="9" fontId="56" fillId="6" borderId="1" xfId="2" applyFont="1" applyFill="1" applyBorder="1" applyAlignment="1">
      <alignment horizontal="center"/>
    </xf>
    <xf numFmtId="0" fontId="19" fillId="6" borderId="1" xfId="3" applyFont="1" applyFill="1" applyBorder="1" applyAlignment="1">
      <alignment horizontal="left" vertical="center"/>
    </xf>
    <xf numFmtId="0" fontId="19" fillId="6" borderId="1" xfId="3" applyFont="1" applyFill="1" applyBorder="1" applyAlignment="1">
      <alignment horizontal="right" vertical="center"/>
    </xf>
    <xf numFmtId="1" fontId="18" fillId="6" borderId="1" xfId="4" applyNumberFormat="1" applyFont="1" applyFill="1" applyBorder="1" applyAlignment="1">
      <alignment horizontal="center" vertical="center"/>
    </xf>
    <xf numFmtId="0" fontId="21" fillId="8" borderId="1" xfId="0" applyFont="1" applyFill="1" applyBorder="1" applyAlignment="1">
      <alignment horizontal="center" vertical="center"/>
    </xf>
    <xf numFmtId="0" fontId="18" fillId="2" borderId="1" xfId="0" applyFont="1" applyFill="1" applyBorder="1" applyAlignment="1">
      <alignment horizontal="left" vertical="top"/>
    </xf>
    <xf numFmtId="49" fontId="18" fillId="2" borderId="1" xfId="0" applyNumberFormat="1" applyFont="1" applyFill="1" applyBorder="1" applyAlignment="1">
      <alignment horizontal="right" vertical="top"/>
    </xf>
    <xf numFmtId="0" fontId="18" fillId="2" borderId="1" xfId="0" applyFont="1" applyFill="1" applyBorder="1" applyAlignment="1">
      <alignment horizontal="right" vertical="top" wrapText="1" readingOrder="2"/>
    </xf>
    <xf numFmtId="9" fontId="19" fillId="2" borderId="1" xfId="0" applyNumberFormat="1" applyFont="1" applyFill="1" applyBorder="1" applyAlignment="1">
      <alignment horizontal="center" vertical="center"/>
    </xf>
    <xf numFmtId="49" fontId="55" fillId="0" borderId="1" xfId="0" applyNumberFormat="1" applyFont="1" applyBorder="1" applyAlignment="1">
      <alignment horizontal="center" vertical="center"/>
    </xf>
    <xf numFmtId="0" fontId="18" fillId="4" borderId="1" xfId="0" applyFont="1" applyFill="1" applyBorder="1" applyAlignment="1">
      <alignment horizontal="left" vertical="top"/>
    </xf>
    <xf numFmtId="49" fontId="18" fillId="4" borderId="1" xfId="0" applyNumberFormat="1" applyFont="1" applyFill="1" applyBorder="1" applyAlignment="1">
      <alignment horizontal="right" vertical="top"/>
    </xf>
    <xf numFmtId="0" fontId="18" fillId="4" borderId="1" xfId="0" applyFont="1" applyFill="1" applyBorder="1" applyAlignment="1">
      <alignment horizontal="right" vertical="top" wrapText="1" readingOrder="2"/>
    </xf>
    <xf numFmtId="0" fontId="21" fillId="0" borderId="1" xfId="7" applyFont="1" applyBorder="1" applyAlignment="1">
      <alignment horizontal="left" vertical="center"/>
    </xf>
    <xf numFmtId="49" fontId="18" fillId="0" borderId="1" xfId="0" applyNumberFormat="1" applyFont="1" applyBorder="1" applyAlignment="1">
      <alignment horizontal="right" vertical="top"/>
    </xf>
    <xf numFmtId="0" fontId="18" fillId="0" borderId="1" xfId="0" applyFont="1" applyBorder="1" applyAlignment="1">
      <alignment horizontal="right" vertical="top" wrapText="1" readingOrder="2"/>
    </xf>
    <xf numFmtId="9" fontId="19" fillId="0" borderId="1" xfId="0" applyNumberFormat="1" applyFont="1" applyBorder="1" applyAlignment="1">
      <alignment horizontal="center" vertical="center"/>
    </xf>
    <xf numFmtId="0" fontId="18" fillId="0" borderId="1" xfId="0" applyFont="1" applyBorder="1" applyAlignment="1">
      <alignment horizontal="left" vertical="top" wrapText="1" readingOrder="1"/>
    </xf>
    <xf numFmtId="0" fontId="18" fillId="0" borderId="1" xfId="0" applyFont="1" applyBorder="1" applyAlignment="1">
      <alignment horizontal="right" vertical="top" readingOrder="2"/>
    </xf>
    <xf numFmtId="0" fontId="18" fillId="2" borderId="1" xfId="0" applyFont="1" applyFill="1" applyBorder="1" applyAlignment="1">
      <alignment horizontal="right" vertical="center" wrapText="1" readingOrder="2"/>
    </xf>
    <xf numFmtId="1" fontId="18" fillId="4" borderId="1" xfId="4" applyNumberFormat="1" applyFont="1" applyFill="1" applyBorder="1" applyAlignment="1">
      <alignment horizontal="center" vertical="center"/>
    </xf>
    <xf numFmtId="0" fontId="19" fillId="0" borderId="1" xfId="0" applyFont="1" applyBorder="1" applyAlignment="1">
      <alignment horizontal="right" vertical="center" wrapText="1" readingOrder="2"/>
    </xf>
    <xf numFmtId="9" fontId="19" fillId="0" borderId="1" xfId="4" applyFont="1" applyFill="1" applyBorder="1" applyAlignment="1">
      <alignment horizontal="center" vertical="center"/>
    </xf>
    <xf numFmtId="1" fontId="19" fillId="0" borderId="1" xfId="4" applyNumberFormat="1" applyFont="1" applyFill="1" applyBorder="1" applyAlignment="1">
      <alignment horizontal="center" vertical="center"/>
    </xf>
    <xf numFmtId="0" fontId="19" fillId="4" borderId="1" xfId="3" applyFont="1" applyFill="1" applyBorder="1" applyAlignment="1">
      <alignment horizontal="center"/>
    </xf>
    <xf numFmtId="0" fontId="21" fillId="25" borderId="1" xfId="7" applyFont="1" applyFill="1" applyBorder="1" applyAlignment="1">
      <alignment horizontal="left" vertical="center"/>
    </xf>
    <xf numFmtId="0" fontId="21" fillId="2" borderId="1" xfId="0" applyFont="1" applyFill="1" applyBorder="1" applyAlignment="1">
      <alignment horizontal="right" vertical="center"/>
    </xf>
    <xf numFmtId="1" fontId="56" fillId="6" borderId="1" xfId="0" applyNumberFormat="1" applyFont="1" applyFill="1" applyBorder="1" applyAlignment="1">
      <alignment horizontal="center" vertical="center"/>
    </xf>
    <xf numFmtId="49" fontId="18" fillId="4" borderId="1" xfId="0" applyNumberFormat="1" applyFont="1" applyFill="1" applyBorder="1" applyAlignment="1">
      <alignment horizontal="left" vertical="center"/>
    </xf>
    <xf numFmtId="49" fontId="18" fillId="4" borderId="1" xfId="0" applyNumberFormat="1" applyFont="1" applyFill="1" applyBorder="1" applyAlignment="1">
      <alignment horizontal="right" vertical="center" readingOrder="2"/>
    </xf>
    <xf numFmtId="0" fontId="21" fillId="4" borderId="1" xfId="0" applyFont="1" applyFill="1" applyBorder="1" applyAlignment="1">
      <alignment horizontal="right" vertical="center"/>
    </xf>
    <xf numFmtId="9" fontId="56" fillId="0" borderId="1" xfId="2" applyFont="1" applyFill="1" applyBorder="1" applyAlignment="1">
      <alignment horizontal="center"/>
    </xf>
    <xf numFmtId="49" fontId="18" fillId="0" borderId="1" xfId="0" applyNumberFormat="1" applyFont="1" applyBorder="1" applyAlignment="1">
      <alignment horizontal="left" vertical="center"/>
    </xf>
    <xf numFmtId="49" fontId="18" fillId="2" borderId="1" xfId="0" applyNumberFormat="1" applyFont="1" applyFill="1" applyBorder="1" applyAlignment="1">
      <alignment horizontal="left" vertical="center"/>
    </xf>
    <xf numFmtId="49" fontId="18" fillId="4" borderId="1" xfId="0" applyNumberFormat="1" applyFont="1" applyFill="1" applyBorder="1" applyAlignment="1">
      <alignment horizontal="left" vertical="center" wrapText="1"/>
    </xf>
    <xf numFmtId="9" fontId="21" fillId="2" borderId="1" xfId="4" applyFont="1" applyFill="1" applyBorder="1" applyAlignment="1">
      <alignment horizontal="center"/>
    </xf>
    <xf numFmtId="9" fontId="59" fillId="2" borderId="1" xfId="16" applyNumberFormat="1" applyFont="1" applyFill="1" applyBorder="1" applyAlignment="1">
      <alignment horizontal="center" vertical="center"/>
    </xf>
    <xf numFmtId="9" fontId="21" fillId="2" borderId="1" xfId="16" applyNumberFormat="1" applyFont="1" applyFill="1" applyBorder="1" applyAlignment="1">
      <alignment horizontal="center" vertical="center"/>
    </xf>
    <xf numFmtId="9" fontId="59" fillId="10" borderId="1" xfId="16" applyNumberFormat="1" applyFont="1" applyFill="1" applyBorder="1" applyAlignment="1">
      <alignment horizontal="center" vertical="center"/>
    </xf>
    <xf numFmtId="9" fontId="21" fillId="4" borderId="1" xfId="16" applyNumberFormat="1" applyFont="1" applyFill="1" applyBorder="1" applyAlignment="1">
      <alignment horizontal="center"/>
    </xf>
    <xf numFmtId="9" fontId="59" fillId="4" borderId="1" xfId="16" applyNumberFormat="1" applyFont="1" applyFill="1" applyBorder="1" applyAlignment="1">
      <alignment horizontal="center" vertical="center"/>
    </xf>
    <xf numFmtId="9" fontId="21" fillId="4" borderId="1" xfId="16" applyNumberFormat="1" applyFont="1" applyFill="1" applyBorder="1" applyAlignment="1">
      <alignment horizontal="center" vertical="center"/>
    </xf>
    <xf numFmtId="9" fontId="21" fillId="6" borderId="1" xfId="16" applyNumberFormat="1" applyFont="1" applyFill="1" applyBorder="1" applyAlignment="1">
      <alignment horizontal="center" vertical="center"/>
    </xf>
    <xf numFmtId="0" fontId="21" fillId="6" borderId="1" xfId="16" applyFont="1" applyFill="1" applyBorder="1" applyAlignment="1">
      <alignment horizontal="center" vertical="center"/>
    </xf>
    <xf numFmtId="9" fontId="59" fillId="6" borderId="1" xfId="16" applyNumberFormat="1" applyFont="1" applyFill="1" applyBorder="1" applyAlignment="1">
      <alignment horizontal="center" vertical="center"/>
    </xf>
    <xf numFmtId="0" fontId="55" fillId="2" borderId="6" xfId="0" applyFont="1" applyFill="1" applyBorder="1" applyAlignment="1">
      <alignment horizontal="center" vertical="center"/>
    </xf>
    <xf numFmtId="0" fontId="18" fillId="2" borderId="6" xfId="0" applyFont="1" applyFill="1" applyBorder="1" applyAlignment="1">
      <alignment horizontal="center" vertical="center"/>
    </xf>
    <xf numFmtId="9" fontId="55" fillId="2" borderId="1" xfId="0" applyNumberFormat="1" applyFont="1" applyFill="1" applyBorder="1" applyAlignment="1">
      <alignment horizontal="center" vertical="center"/>
    </xf>
    <xf numFmtId="0" fontId="18" fillId="2" borderId="1" xfId="0" applyFont="1" applyFill="1" applyBorder="1" applyAlignment="1">
      <alignment horizontal="right"/>
    </xf>
    <xf numFmtId="0" fontId="55" fillId="6" borderId="6" xfId="0" applyFont="1" applyFill="1" applyBorder="1" applyAlignment="1">
      <alignment horizontal="center" vertical="center"/>
    </xf>
    <xf numFmtId="0" fontId="18" fillId="6" borderId="6" xfId="0" applyFont="1" applyFill="1" applyBorder="1" applyAlignment="1">
      <alignment horizontal="center" vertical="center"/>
    </xf>
    <xf numFmtId="9" fontId="55" fillId="4" borderId="1" xfId="0" applyNumberFormat="1" applyFont="1" applyFill="1" applyBorder="1" applyAlignment="1">
      <alignment horizontal="center" vertical="center"/>
    </xf>
    <xf numFmtId="0" fontId="18" fillId="4" borderId="1" xfId="0" applyFont="1" applyFill="1" applyBorder="1" applyAlignment="1">
      <alignment horizontal="right"/>
    </xf>
    <xf numFmtId="0" fontId="55" fillId="4" borderId="1" xfId="0" applyFont="1" applyFill="1" applyBorder="1" applyAlignment="1">
      <alignment horizontal="center" vertical="center"/>
    </xf>
    <xf numFmtId="9" fontId="55" fillId="0" borderId="1" xfId="0" applyNumberFormat="1" applyFont="1" applyBorder="1" applyAlignment="1">
      <alignment horizontal="center" vertical="center"/>
    </xf>
    <xf numFmtId="0" fontId="18" fillId="0" borderId="1" xfId="0" applyFont="1" applyBorder="1" applyAlignment="1">
      <alignment horizontal="right"/>
    </xf>
    <xf numFmtId="0" fontId="55" fillId="6" borderId="1" xfId="0" applyFont="1" applyFill="1" applyBorder="1" applyAlignment="1">
      <alignment horizontal="center" vertical="center"/>
    </xf>
    <xf numFmtId="0" fontId="19" fillId="0" borderId="1" xfId="0" applyFont="1" applyBorder="1" applyAlignment="1">
      <alignment horizontal="center" vertical="center" readingOrder="2"/>
    </xf>
    <xf numFmtId="9" fontId="55" fillId="0" borderId="1" xfId="2" applyFont="1" applyBorder="1" applyAlignment="1">
      <alignment horizontal="center" vertical="center"/>
    </xf>
    <xf numFmtId="0" fontId="19" fillId="0" borderId="1" xfId="0" applyFont="1" applyBorder="1" applyAlignment="1">
      <alignment horizontal="right" vertical="center" readingOrder="2"/>
    </xf>
    <xf numFmtId="49" fontId="18" fillId="2" borderId="6" xfId="0" applyNumberFormat="1" applyFont="1" applyFill="1" applyBorder="1" applyAlignment="1">
      <alignment horizontal="center" vertical="center"/>
    </xf>
    <xf numFmtId="0" fontId="18" fillId="2" borderId="1" xfId="0" applyFont="1" applyFill="1" applyBorder="1" applyAlignment="1">
      <alignment vertical="top" wrapText="1"/>
    </xf>
    <xf numFmtId="0" fontId="18" fillId="2" borderId="1" xfId="0" applyFont="1" applyFill="1" applyBorder="1" applyAlignment="1">
      <alignment horizontal="right" vertical="top" wrapText="1"/>
    </xf>
    <xf numFmtId="0" fontId="18" fillId="4" borderId="1" xfId="0" applyFont="1" applyFill="1" applyBorder="1" applyAlignment="1">
      <alignment vertical="top" wrapText="1"/>
    </xf>
    <xf numFmtId="0" fontId="18" fillId="4" borderId="1" xfId="0" applyFont="1" applyFill="1" applyBorder="1" applyAlignment="1">
      <alignment horizontal="right" vertical="top" wrapText="1"/>
    </xf>
    <xf numFmtId="0" fontId="18" fillId="4" borderId="1" xfId="0" applyFont="1" applyFill="1" applyBorder="1" applyAlignment="1">
      <alignment vertical="top"/>
    </xf>
    <xf numFmtId="9" fontId="55" fillId="6" borderId="1" xfId="0" applyNumberFormat="1" applyFont="1" applyFill="1" applyBorder="1" applyAlignment="1">
      <alignment horizontal="center" vertical="center"/>
    </xf>
    <xf numFmtId="0" fontId="18" fillId="6" borderId="1" xfId="0" applyFont="1" applyFill="1" applyBorder="1" applyAlignment="1">
      <alignment vertical="top" wrapText="1"/>
    </xf>
    <xf numFmtId="0" fontId="18" fillId="6" borderId="1" xfId="0" applyFont="1" applyFill="1" applyBorder="1" applyAlignment="1">
      <alignment horizontal="right" vertical="top" wrapText="1"/>
    </xf>
    <xf numFmtId="0" fontId="18" fillId="2" borderId="8" xfId="0" applyFont="1" applyFill="1" applyBorder="1" applyAlignment="1">
      <alignment horizontal="center" vertical="center"/>
    </xf>
    <xf numFmtId="9" fontId="55" fillId="2" borderId="8" xfId="2" applyFont="1" applyFill="1" applyBorder="1" applyAlignment="1">
      <alignment horizontal="center" vertical="center"/>
    </xf>
    <xf numFmtId="41" fontId="21" fillId="4" borderId="1" xfId="1" applyNumberFormat="1" applyFont="1" applyFill="1" applyBorder="1" applyAlignment="1">
      <alignment horizontal="center" vertical="center"/>
    </xf>
    <xf numFmtId="9" fontId="59" fillId="4" borderId="1" xfId="7" applyNumberFormat="1" applyFont="1" applyFill="1" applyBorder="1" applyAlignment="1">
      <alignment horizontal="center" vertical="center"/>
    </xf>
    <xf numFmtId="9" fontId="18" fillId="4" borderId="1" xfId="2" applyFont="1" applyFill="1" applyBorder="1" applyAlignment="1">
      <alignment horizontal="right" vertical="center" wrapText="1"/>
    </xf>
    <xf numFmtId="9" fontId="55" fillId="4" borderId="1" xfId="7" applyNumberFormat="1" applyFont="1" applyFill="1" applyBorder="1" applyAlignment="1">
      <alignment horizontal="center" vertical="center"/>
    </xf>
    <xf numFmtId="1" fontId="59" fillId="2" borderId="1" xfId="1" applyNumberFormat="1" applyFont="1" applyFill="1" applyBorder="1" applyAlignment="1">
      <alignment horizontal="center" vertical="center"/>
    </xf>
    <xf numFmtId="9" fontId="59" fillId="2" borderId="1" xfId="7" applyNumberFormat="1" applyFont="1" applyFill="1" applyBorder="1" applyAlignment="1">
      <alignment horizontal="center" vertical="center"/>
    </xf>
    <xf numFmtId="9" fontId="55" fillId="10" borderId="1" xfId="7" applyNumberFormat="1" applyFont="1" applyFill="1" applyBorder="1" applyAlignment="1">
      <alignment horizontal="center" vertical="center"/>
    </xf>
    <xf numFmtId="1" fontId="59" fillId="0" borderId="1" xfId="1" applyNumberFormat="1" applyFont="1" applyFill="1" applyBorder="1" applyAlignment="1">
      <alignment horizontal="center" vertical="center"/>
    </xf>
    <xf numFmtId="1" fontId="55" fillId="0" borderId="1" xfId="1" applyNumberFormat="1" applyFont="1" applyFill="1" applyBorder="1" applyAlignment="1">
      <alignment horizontal="center" vertical="center"/>
    </xf>
    <xf numFmtId="9" fontId="55" fillId="0" borderId="1" xfId="7" applyNumberFormat="1" applyFont="1" applyBorder="1" applyAlignment="1">
      <alignment horizontal="center" vertical="center"/>
    </xf>
    <xf numFmtId="41" fontId="21" fillId="2" borderId="1" xfId="1" applyNumberFormat="1" applyFont="1" applyFill="1" applyBorder="1" applyAlignment="1">
      <alignment horizontal="center" vertical="center"/>
    </xf>
    <xf numFmtId="2" fontId="21" fillId="4" borderId="1" xfId="2" applyNumberFormat="1" applyFont="1" applyFill="1" applyBorder="1" applyAlignment="1">
      <alignment horizontal="center" vertical="center"/>
    </xf>
    <xf numFmtId="2" fontId="21" fillId="0" borderId="1" xfId="7" applyNumberFormat="1" applyFont="1" applyBorder="1" applyAlignment="1">
      <alignment horizontal="center" vertical="center"/>
    </xf>
    <xf numFmtId="1" fontId="55" fillId="2" borderId="1" xfId="0" applyNumberFormat="1" applyFont="1" applyFill="1" applyBorder="1" applyAlignment="1">
      <alignment horizontal="center" vertical="center"/>
    </xf>
    <xf numFmtId="0" fontId="21" fillId="2" borderId="1" xfId="6" applyNumberFormat="1" applyFont="1" applyFill="1" applyBorder="1" applyAlignment="1">
      <alignment horizontal="center" vertical="center"/>
    </xf>
    <xf numFmtId="1" fontId="55"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164" fontId="21" fillId="2" borderId="1" xfId="17" applyNumberFormat="1" applyFont="1" applyFill="1" applyBorder="1" applyAlignment="1">
      <alignment horizontal="center" vertical="center"/>
    </xf>
    <xf numFmtId="9" fontId="21" fillId="2" borderId="1" xfId="18" applyNumberFormat="1" applyFont="1" applyFill="1" applyBorder="1" applyAlignment="1">
      <alignment horizontal="center" vertical="center"/>
    </xf>
    <xf numFmtId="9" fontId="55" fillId="10" borderId="1" xfId="18" applyNumberFormat="1" applyFont="1" applyFill="1" applyBorder="1" applyAlignment="1">
      <alignment horizontal="center" vertical="center"/>
    </xf>
    <xf numFmtId="9" fontId="21" fillId="4" borderId="1" xfId="18" applyNumberFormat="1" applyFont="1" applyFill="1" applyBorder="1" applyAlignment="1">
      <alignment horizontal="center" vertical="center"/>
    </xf>
    <xf numFmtId="9" fontId="59" fillId="4" borderId="1" xfId="18" applyNumberFormat="1" applyFont="1" applyFill="1" applyBorder="1" applyAlignment="1">
      <alignment horizontal="center" vertical="center"/>
    </xf>
    <xf numFmtId="0" fontId="21" fillId="4" borderId="1" xfId="17" applyNumberFormat="1" applyFont="1" applyFill="1" applyBorder="1" applyAlignment="1">
      <alignment horizontal="center" vertical="center"/>
    </xf>
    <xf numFmtId="9" fontId="55" fillId="4" borderId="1" xfId="18" applyNumberFormat="1" applyFont="1" applyFill="1" applyBorder="1" applyAlignment="1">
      <alignment horizontal="center" vertical="center"/>
    </xf>
    <xf numFmtId="9" fontId="18" fillId="4" borderId="1" xfId="18" applyNumberFormat="1" applyFont="1" applyFill="1" applyBorder="1" applyAlignment="1">
      <alignment horizontal="center" vertical="center"/>
    </xf>
    <xf numFmtId="0" fontId="21" fillId="0" borderId="1" xfId="18" applyFont="1" applyBorder="1" applyAlignment="1">
      <alignment horizontal="center" vertical="center"/>
    </xf>
    <xf numFmtId="9" fontId="18" fillId="0" borderId="1" xfId="18" applyNumberFormat="1" applyFont="1" applyBorder="1" applyAlignment="1">
      <alignment horizontal="center" vertical="center"/>
    </xf>
    <xf numFmtId="9" fontId="55" fillId="0" borderId="1" xfId="18" applyNumberFormat="1" applyFont="1" applyBorder="1" applyAlignment="1">
      <alignment horizontal="center" vertical="center"/>
    </xf>
    <xf numFmtId="9" fontId="21" fillId="0" borderId="1" xfId="18" applyNumberFormat="1" applyFont="1" applyBorder="1" applyAlignment="1">
      <alignment horizontal="center" vertical="center"/>
    </xf>
    <xf numFmtId="0" fontId="21" fillId="0" borderId="6" xfId="18" applyFont="1" applyBorder="1" applyAlignment="1">
      <alignment horizontal="center" vertical="center"/>
    </xf>
    <xf numFmtId="9" fontId="55" fillId="0" borderId="6" xfId="2" applyFont="1" applyFill="1" applyBorder="1" applyAlignment="1">
      <alignment horizontal="center" vertical="center"/>
    </xf>
    <xf numFmtId="41" fontId="19" fillId="4" borderId="1" xfId="1" applyNumberFormat="1" applyFont="1" applyFill="1" applyBorder="1" applyAlignment="1">
      <alignment horizontal="center" vertical="center" wrapText="1"/>
    </xf>
    <xf numFmtId="37" fontId="21" fillId="4" borderId="1" xfId="1" applyNumberFormat="1" applyFont="1" applyFill="1" applyBorder="1" applyAlignment="1">
      <alignment horizontal="center" vertical="center"/>
    </xf>
    <xf numFmtId="1" fontId="21" fillId="2" borderId="1" xfId="4" applyNumberFormat="1" applyFont="1" applyFill="1" applyBorder="1" applyAlignment="1">
      <alignment horizontal="center" vertical="center"/>
    </xf>
    <xf numFmtId="4" fontId="21" fillId="4" borderId="1" xfId="2" applyNumberFormat="1" applyFont="1" applyFill="1" applyBorder="1" applyAlignment="1">
      <alignment horizontal="center" vertical="center"/>
    </xf>
    <xf numFmtId="9" fontId="59" fillId="4" borderId="1" xfId="2" applyFont="1" applyFill="1" applyBorder="1" applyAlignment="1">
      <alignment horizontal="center" vertical="center" wrapText="1"/>
    </xf>
    <xf numFmtId="0" fontId="21" fillId="4" borderId="1" xfId="4" applyNumberFormat="1" applyFont="1" applyFill="1" applyBorder="1" applyAlignment="1">
      <alignment horizontal="center" vertical="center"/>
    </xf>
    <xf numFmtId="0" fontId="21" fillId="6" borderId="1" xfId="4" applyNumberFormat="1" applyFont="1" applyFill="1" applyBorder="1" applyAlignment="1">
      <alignment horizontal="center" vertical="center"/>
    </xf>
    <xf numFmtId="3" fontId="21" fillId="2" borderId="1" xfId="15" applyNumberFormat="1" applyFont="1" applyFill="1" applyBorder="1" applyAlignment="1">
      <alignment horizontal="center" vertical="center" wrapText="1"/>
    </xf>
    <xf numFmtId="9" fontId="59" fillId="2" borderId="1" xfId="18" applyNumberFormat="1" applyFont="1" applyFill="1" applyBorder="1" applyAlignment="1">
      <alignment horizontal="center" vertical="center" wrapText="1"/>
    </xf>
    <xf numFmtId="3" fontId="21" fillId="4" borderId="1" xfId="15" applyNumberFormat="1" applyFont="1" applyFill="1" applyBorder="1" applyAlignment="1">
      <alignment horizontal="center" vertical="center" wrapText="1"/>
    </xf>
    <xf numFmtId="9" fontId="59" fillId="4" borderId="1" xfId="18" applyNumberFormat="1" applyFont="1" applyFill="1" applyBorder="1" applyAlignment="1">
      <alignment horizontal="center" vertical="center" wrapText="1"/>
    </xf>
    <xf numFmtId="1" fontId="55" fillId="6" borderId="1" xfId="0" applyNumberFormat="1" applyFont="1" applyFill="1" applyBorder="1" applyAlignment="1">
      <alignment horizontal="center" vertical="center"/>
    </xf>
    <xf numFmtId="3" fontId="21" fillId="6" borderId="1" xfId="15" applyNumberFormat="1" applyFont="1" applyFill="1" applyBorder="1" applyAlignment="1">
      <alignment horizontal="center" vertical="center" wrapText="1"/>
    </xf>
    <xf numFmtId="9" fontId="59" fillId="6" borderId="1" xfId="19" applyNumberFormat="1" applyFont="1" applyFill="1" applyBorder="1" applyAlignment="1">
      <alignment horizontal="center" vertical="center"/>
    </xf>
    <xf numFmtId="9" fontId="55" fillId="6" borderId="1" xfId="7" applyNumberFormat="1" applyFont="1" applyFill="1" applyBorder="1" applyAlignment="1">
      <alignment horizontal="center" vertical="center"/>
    </xf>
    <xf numFmtId="9" fontId="21" fillId="0" borderId="1" xfId="2" applyFont="1" applyFill="1" applyBorder="1" applyAlignment="1">
      <alignment horizontal="center" vertical="center" wrapText="1"/>
    </xf>
    <xf numFmtId="9" fontId="59" fillId="0" borderId="1" xfId="19" applyNumberFormat="1" applyFont="1" applyBorder="1" applyAlignment="1">
      <alignment horizontal="center" vertical="center"/>
    </xf>
    <xf numFmtId="0" fontId="21" fillId="2" borderId="1" xfId="3" applyFont="1" applyFill="1" applyBorder="1" applyAlignment="1">
      <alignment horizontal="right" vertical="center" readingOrder="2"/>
    </xf>
    <xf numFmtId="0" fontId="21" fillId="2" borderId="1" xfId="2" applyNumberFormat="1" applyFont="1" applyFill="1" applyBorder="1" applyAlignment="1">
      <alignment horizontal="center" vertical="center"/>
    </xf>
    <xf numFmtId="9" fontId="18" fillId="2" borderId="1" xfId="3" applyNumberFormat="1" applyFont="1" applyFill="1" applyBorder="1" applyAlignment="1">
      <alignment horizontal="center" vertical="center"/>
    </xf>
    <xf numFmtId="0" fontId="21" fillId="4" borderId="1" xfId="3" applyFont="1" applyFill="1" applyBorder="1" applyAlignment="1">
      <alignment horizontal="right" vertical="center" readingOrder="2"/>
    </xf>
    <xf numFmtId="2" fontId="21" fillId="4" borderId="1" xfId="18" applyNumberFormat="1" applyFont="1" applyFill="1" applyBorder="1" applyAlignment="1">
      <alignment horizontal="center" vertical="center"/>
    </xf>
    <xf numFmtId="1" fontId="21" fillId="4" borderId="1" xfId="18" applyNumberFormat="1" applyFont="1" applyFill="1" applyBorder="1" applyAlignment="1">
      <alignment horizontal="center" vertical="center"/>
    </xf>
    <xf numFmtId="0" fontId="21" fillId="0" borderId="1" xfId="3" applyFont="1" applyBorder="1" applyAlignment="1">
      <alignment horizontal="right" vertical="center" readingOrder="2"/>
    </xf>
    <xf numFmtId="1" fontId="21" fillId="0" borderId="1" xfId="18" applyNumberFormat="1" applyFont="1" applyBorder="1" applyAlignment="1">
      <alignment horizontal="center" vertical="center"/>
    </xf>
    <xf numFmtId="9" fontId="21" fillId="2" borderId="1" xfId="2" applyFont="1" applyFill="1" applyBorder="1" applyAlignment="1">
      <alignment horizontal="left" vertical="center"/>
    </xf>
    <xf numFmtId="9" fontId="19" fillId="2" borderId="1" xfId="18" applyNumberFormat="1" applyFont="1" applyFill="1" applyBorder="1" applyAlignment="1">
      <alignment horizontal="center" vertical="center"/>
    </xf>
    <xf numFmtId="9" fontId="56" fillId="2" borderId="1" xfId="18" applyNumberFormat="1" applyFont="1" applyFill="1" applyBorder="1" applyAlignment="1">
      <alignment horizontal="center" vertical="center"/>
    </xf>
    <xf numFmtId="9" fontId="18" fillId="2" borderId="1" xfId="18" applyNumberFormat="1" applyFont="1" applyFill="1" applyBorder="1" applyAlignment="1">
      <alignment horizontal="center" vertical="center"/>
    </xf>
    <xf numFmtId="49" fontId="23" fillId="6" borderId="1" xfId="0" applyNumberFormat="1" applyFont="1" applyFill="1" applyBorder="1" applyAlignment="1">
      <alignment horizontal="center" vertical="center"/>
    </xf>
    <xf numFmtId="9" fontId="21" fillId="4" borderId="1" xfId="2" applyFont="1" applyFill="1" applyBorder="1" applyAlignment="1">
      <alignment horizontal="left" vertical="center"/>
    </xf>
    <xf numFmtId="0" fontId="19" fillId="4" borderId="1" xfId="2" applyNumberFormat="1" applyFont="1" applyFill="1" applyBorder="1" applyAlignment="1">
      <alignment horizontal="center" vertical="center"/>
    </xf>
    <xf numFmtId="9" fontId="56" fillId="4" borderId="1" xfId="18" applyNumberFormat="1" applyFont="1" applyFill="1" applyBorder="1" applyAlignment="1">
      <alignment horizontal="center" vertical="center"/>
    </xf>
    <xf numFmtId="1" fontId="19" fillId="4" borderId="1" xfId="18" applyNumberFormat="1" applyFont="1" applyFill="1" applyBorder="1" applyAlignment="1">
      <alignment horizontal="center" vertical="center"/>
    </xf>
    <xf numFmtId="9" fontId="19" fillId="4" borderId="1" xfId="18" applyNumberFormat="1" applyFont="1" applyFill="1" applyBorder="1" applyAlignment="1">
      <alignment horizontal="center" vertical="center"/>
    </xf>
    <xf numFmtId="9" fontId="21" fillId="0" borderId="1" xfId="2" applyFont="1" applyFill="1" applyBorder="1" applyAlignment="1">
      <alignment horizontal="left" vertical="center"/>
    </xf>
    <xf numFmtId="9" fontId="56" fillId="0" borderId="1" xfId="18" applyNumberFormat="1" applyFont="1" applyBorder="1" applyAlignment="1">
      <alignment horizontal="center" vertical="center"/>
    </xf>
    <xf numFmtId="9" fontId="18" fillId="0" borderId="1" xfId="2" applyFont="1" applyFill="1" applyBorder="1" applyAlignment="1">
      <alignment horizontal="left" vertical="center"/>
    </xf>
    <xf numFmtId="9" fontId="19" fillId="0" borderId="1" xfId="18" applyNumberFormat="1" applyFont="1" applyBorder="1" applyAlignment="1">
      <alignment horizontal="center" vertical="center"/>
    </xf>
    <xf numFmtId="1" fontId="19" fillId="0" borderId="1" xfId="18" applyNumberFormat="1" applyFont="1" applyBorder="1" applyAlignment="1">
      <alignment horizontal="center" vertical="center"/>
    </xf>
    <xf numFmtId="1" fontId="19" fillId="2" borderId="1" xfId="17" applyNumberFormat="1" applyFont="1" applyFill="1" applyBorder="1" applyAlignment="1">
      <alignment horizontal="center" vertical="center"/>
    </xf>
    <xf numFmtId="9" fontId="56" fillId="10" borderId="1" xfId="18" applyNumberFormat="1" applyFont="1" applyFill="1" applyBorder="1" applyAlignment="1">
      <alignment horizontal="center" vertical="center"/>
    </xf>
    <xf numFmtId="9" fontId="59" fillId="2" borderId="1" xfId="18" applyNumberFormat="1" applyFont="1" applyFill="1" applyBorder="1" applyAlignment="1">
      <alignment horizontal="center" vertical="center"/>
    </xf>
    <xf numFmtId="9" fontId="59" fillId="10" borderId="1" xfId="18" applyNumberFormat="1" applyFont="1" applyFill="1" applyBorder="1" applyAlignment="1">
      <alignment horizontal="center" vertical="center"/>
    </xf>
    <xf numFmtId="9" fontId="59" fillId="0" borderId="1" xfId="18" applyNumberFormat="1" applyFont="1" applyBorder="1" applyAlignment="1">
      <alignment horizontal="center" vertical="center"/>
    </xf>
    <xf numFmtId="9" fontId="21" fillId="2" borderId="1" xfId="17" applyNumberFormat="1" applyFont="1" applyFill="1" applyBorder="1" applyAlignment="1">
      <alignment horizontal="center" vertical="center"/>
    </xf>
    <xf numFmtId="164" fontId="21" fillId="4" borderId="1" xfId="17" applyNumberFormat="1" applyFont="1" applyFill="1" applyBorder="1" applyAlignment="1">
      <alignment horizontal="center" vertical="center"/>
    </xf>
    <xf numFmtId="1" fontId="21" fillId="2" borderId="1" xfId="18" applyNumberFormat="1" applyFont="1" applyFill="1" applyBorder="1" applyAlignment="1">
      <alignment horizontal="center" vertical="center"/>
    </xf>
    <xf numFmtId="0" fontId="18" fillId="4" borderId="1" xfId="0" applyFont="1" applyFill="1" applyBorder="1" applyAlignment="1">
      <alignment horizontal="center"/>
    </xf>
    <xf numFmtId="9" fontId="19" fillId="2" borderId="1" xfId="2" applyFont="1" applyFill="1" applyBorder="1" applyAlignment="1">
      <alignment horizontal="left" vertical="center"/>
    </xf>
    <xf numFmtId="0" fontId="19" fillId="2" borderId="1" xfId="0" applyFont="1" applyFill="1" applyBorder="1" applyAlignment="1">
      <alignment horizontal="right" vertical="center" readingOrder="2"/>
    </xf>
    <xf numFmtId="3" fontId="19" fillId="2" borderId="1" xfId="18" applyNumberFormat="1" applyFont="1" applyFill="1" applyBorder="1" applyAlignment="1">
      <alignment horizontal="center" vertical="center"/>
    </xf>
    <xf numFmtId="9" fontId="19" fillId="4" borderId="1" xfId="2" applyFont="1" applyFill="1" applyBorder="1" applyAlignment="1">
      <alignment horizontal="left" vertical="center"/>
    </xf>
    <xf numFmtId="9" fontId="19" fillId="0" borderId="1" xfId="2" applyFont="1" applyFill="1" applyBorder="1" applyAlignment="1">
      <alignment horizontal="left" vertical="center"/>
    </xf>
    <xf numFmtId="9" fontId="18" fillId="4" borderId="1" xfId="2" applyFont="1" applyFill="1" applyBorder="1" applyAlignment="1">
      <alignment horizontal="left" vertical="center"/>
    </xf>
    <xf numFmtId="0" fontId="19" fillId="2" borderId="1" xfId="0" applyFont="1" applyFill="1" applyBorder="1" applyAlignment="1">
      <alignment horizontal="left" vertical="center"/>
    </xf>
    <xf numFmtId="9" fontId="18" fillId="2" borderId="1" xfId="2" applyFont="1" applyFill="1" applyBorder="1" applyAlignment="1">
      <alignment horizontal="left" vertical="center"/>
    </xf>
    <xf numFmtId="9" fontId="55" fillId="2" borderId="1" xfId="18" applyNumberFormat="1" applyFont="1" applyFill="1" applyBorder="1" applyAlignment="1">
      <alignment horizontal="center" vertical="center"/>
    </xf>
    <xf numFmtId="2" fontId="21" fillId="0" borderId="1" xfId="18" applyNumberFormat="1" applyFont="1" applyBorder="1" applyAlignment="1">
      <alignment horizontal="center" vertical="center"/>
    </xf>
    <xf numFmtId="9" fontId="21" fillId="2" borderId="1" xfId="20" applyFont="1" applyFill="1" applyBorder="1" applyAlignment="1">
      <alignment horizontal="center" vertical="center"/>
    </xf>
    <xf numFmtId="9" fontId="59" fillId="2" borderId="1" xfId="21" applyNumberFormat="1" applyFont="1" applyFill="1" applyBorder="1" applyAlignment="1">
      <alignment horizontal="center" vertical="center"/>
    </xf>
    <xf numFmtId="9" fontId="21" fillId="2" borderId="1" xfId="21" applyNumberFormat="1" applyFont="1" applyFill="1" applyBorder="1" applyAlignment="1">
      <alignment horizontal="center" vertical="center"/>
    </xf>
    <xf numFmtId="9" fontId="59" fillId="10" borderId="1" xfId="21" applyNumberFormat="1" applyFont="1" applyFill="1" applyBorder="1" applyAlignment="1">
      <alignment horizontal="center" vertical="center"/>
    </xf>
    <xf numFmtId="9" fontId="21" fillId="4" borderId="1" xfId="20" applyFont="1" applyFill="1" applyBorder="1" applyAlignment="1">
      <alignment horizontal="center" vertical="center"/>
    </xf>
    <xf numFmtId="9" fontId="59" fillId="4" borderId="1" xfId="21" applyNumberFormat="1" applyFont="1" applyFill="1" applyBorder="1" applyAlignment="1">
      <alignment horizontal="center" vertical="center"/>
    </xf>
    <xf numFmtId="9" fontId="21" fillId="4" borderId="1" xfId="21" applyNumberFormat="1" applyFont="1" applyFill="1" applyBorder="1" applyAlignment="1">
      <alignment horizontal="center" vertical="center"/>
    </xf>
    <xf numFmtId="1" fontId="21" fillId="4" borderId="1" xfId="20" applyNumberFormat="1" applyFont="1" applyFill="1" applyBorder="1" applyAlignment="1">
      <alignment horizontal="center" vertical="center"/>
    </xf>
    <xf numFmtId="1" fontId="21" fillId="0" borderId="1" xfId="20" applyNumberFormat="1" applyFont="1" applyFill="1" applyBorder="1" applyAlignment="1">
      <alignment horizontal="center" vertical="center"/>
    </xf>
    <xf numFmtId="9" fontId="59" fillId="0" borderId="1" xfId="21" applyNumberFormat="1" applyFont="1" applyBorder="1" applyAlignment="1">
      <alignment horizontal="center" vertical="center"/>
    </xf>
    <xf numFmtId="9" fontId="21" fillId="0" borderId="1" xfId="21" applyNumberFormat="1" applyFont="1" applyBorder="1" applyAlignment="1">
      <alignment horizontal="center" vertical="center"/>
    </xf>
    <xf numFmtId="0" fontId="19" fillId="0" borderId="3" xfId="0" applyFont="1" applyBorder="1" applyAlignment="1">
      <alignment horizontal="right" vertical="center" readingOrder="2"/>
    </xf>
    <xf numFmtId="0" fontId="19" fillId="0" borderId="3" xfId="0" applyFont="1" applyBorder="1" applyAlignment="1">
      <alignment horizontal="right" vertical="center"/>
    </xf>
    <xf numFmtId="1" fontId="21" fillId="0" borderId="3" xfId="20" applyNumberFormat="1" applyFont="1" applyFill="1" applyBorder="1" applyAlignment="1">
      <alignment horizontal="center" vertical="center"/>
    </xf>
    <xf numFmtId="9" fontId="59" fillId="0" borderId="3" xfId="21" applyNumberFormat="1" applyFont="1" applyBorder="1" applyAlignment="1">
      <alignment horizontal="center" vertical="center"/>
    </xf>
    <xf numFmtId="9" fontId="21" fillId="11" borderId="1" xfId="0" applyNumberFormat="1" applyFont="1" applyFill="1" applyBorder="1" applyAlignment="1">
      <alignment horizontal="center" vertical="center"/>
    </xf>
    <xf numFmtId="9" fontId="59" fillId="11" borderId="1" xfId="0" applyNumberFormat="1" applyFont="1" applyFill="1" applyBorder="1" applyAlignment="1">
      <alignment horizontal="center" vertical="center"/>
    </xf>
    <xf numFmtId="9" fontId="21" fillId="5" borderId="1" xfId="0" applyNumberFormat="1" applyFont="1" applyFill="1" applyBorder="1" applyAlignment="1">
      <alignment horizontal="center" vertical="center"/>
    </xf>
    <xf numFmtId="9" fontId="59" fillId="5" borderId="1" xfId="0" applyNumberFormat="1" applyFont="1" applyFill="1" applyBorder="1" applyAlignment="1">
      <alignment horizontal="center" vertical="center"/>
    </xf>
    <xf numFmtId="9" fontId="59" fillId="0" borderId="1" xfId="0" applyNumberFormat="1" applyFont="1" applyBorder="1" applyAlignment="1">
      <alignment horizontal="center" vertical="center"/>
    </xf>
    <xf numFmtId="0" fontId="18" fillId="2" borderId="1" xfId="0" applyFont="1" applyFill="1" applyBorder="1" applyAlignment="1">
      <alignment horizontal="left" vertical="center" wrapText="1"/>
    </xf>
    <xf numFmtId="0" fontId="23" fillId="4" borderId="1" xfId="0" applyFont="1" applyFill="1" applyBorder="1" applyAlignment="1">
      <alignment horizontal="center" vertical="center"/>
    </xf>
    <xf numFmtId="49" fontId="23" fillId="4" borderId="1" xfId="0" applyNumberFormat="1" applyFont="1" applyFill="1" applyBorder="1" applyAlignment="1">
      <alignment horizontal="center" vertical="center"/>
    </xf>
    <xf numFmtId="0" fontId="19"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2" borderId="1" xfId="0" applyFont="1" applyFill="1" applyBorder="1" applyAlignment="1">
      <alignment vertical="center"/>
    </xf>
    <xf numFmtId="0" fontId="18" fillId="4" borderId="1" xfId="0" applyFont="1" applyFill="1" applyBorder="1" applyAlignment="1">
      <alignment vertical="center"/>
    </xf>
    <xf numFmtId="0" fontId="18" fillId="0" borderId="1" xfId="0" applyFont="1" applyBorder="1" applyAlignment="1">
      <alignment vertical="center"/>
    </xf>
    <xf numFmtId="0" fontId="55" fillId="6" borderId="3" xfId="0" applyFont="1" applyFill="1" applyBorder="1" applyAlignment="1">
      <alignment horizontal="center" vertical="center"/>
    </xf>
    <xf numFmtId="0" fontId="23" fillId="6" borderId="3" xfId="0" applyFont="1" applyFill="1" applyBorder="1" applyAlignment="1">
      <alignment horizontal="center" vertical="center"/>
    </xf>
    <xf numFmtId="0" fontId="19" fillId="6" borderId="3" xfId="0" applyFont="1" applyFill="1" applyBorder="1" applyAlignment="1">
      <alignment horizontal="center" vertical="center"/>
    </xf>
    <xf numFmtId="9" fontId="55" fillId="6" borderId="3" xfId="2" applyFont="1" applyFill="1" applyBorder="1" applyAlignment="1">
      <alignment horizontal="center" vertical="center"/>
    </xf>
    <xf numFmtId="0" fontId="19" fillId="6" borderId="3" xfId="0" applyFont="1" applyFill="1" applyBorder="1" applyAlignment="1">
      <alignment horizontal="left" vertical="center" wrapText="1"/>
    </xf>
    <xf numFmtId="0" fontId="18" fillId="6" borderId="3" xfId="0" applyFont="1" applyFill="1" applyBorder="1" applyAlignment="1">
      <alignment horizontal="right" vertical="center" wrapText="1"/>
    </xf>
    <xf numFmtId="0" fontId="19" fillId="6" borderId="3" xfId="0" applyFont="1" applyFill="1" applyBorder="1" applyAlignment="1">
      <alignment vertical="top" wrapText="1"/>
    </xf>
    <xf numFmtId="9" fontId="21" fillId="6" borderId="3" xfId="2" applyFont="1" applyFill="1" applyBorder="1" applyAlignment="1">
      <alignment horizontal="center" vertical="center"/>
    </xf>
    <xf numFmtId="9" fontId="59" fillId="6" borderId="3" xfId="2" applyFont="1" applyFill="1" applyBorder="1" applyAlignment="1">
      <alignment horizontal="center" vertical="center"/>
    </xf>
    <xf numFmtId="49" fontId="18" fillId="2" borderId="4" xfId="0" applyNumberFormat="1" applyFont="1" applyFill="1" applyBorder="1" applyAlignment="1">
      <alignment horizontal="center" vertical="center"/>
    </xf>
    <xf numFmtId="0" fontId="18" fillId="2" borderId="1" xfId="0" applyFont="1" applyFill="1" applyBorder="1" applyAlignment="1">
      <alignment horizontal="left" vertical="top" wrapText="1"/>
    </xf>
    <xf numFmtId="49" fontId="18" fillId="4" borderId="4" xfId="0" applyNumberFormat="1" applyFont="1" applyFill="1" applyBorder="1" applyAlignment="1">
      <alignment horizontal="center" vertical="center"/>
    </xf>
    <xf numFmtId="0" fontId="18" fillId="4" borderId="1" xfId="0" applyFont="1" applyFill="1" applyBorder="1" applyAlignment="1">
      <alignment horizontal="left" vertical="top" wrapText="1"/>
    </xf>
    <xf numFmtId="49" fontId="18" fillId="6" borderId="4" xfId="0" applyNumberFormat="1" applyFont="1" applyFill="1" applyBorder="1" applyAlignment="1">
      <alignment horizontal="center" vertical="center"/>
    </xf>
    <xf numFmtId="0" fontId="19" fillId="6" borderId="1" xfId="0" applyFont="1" applyFill="1" applyBorder="1" applyAlignment="1">
      <alignment horizontal="left" vertical="top" wrapText="1"/>
    </xf>
    <xf numFmtId="0" fontId="19" fillId="6" borderId="1" xfId="0" applyFont="1" applyFill="1" applyBorder="1" applyAlignment="1">
      <alignment horizontal="right" vertical="top" wrapText="1"/>
    </xf>
    <xf numFmtId="0" fontId="18" fillId="6" borderId="1" xfId="0" applyFont="1" applyFill="1" applyBorder="1" applyAlignment="1">
      <alignment horizontal="center" wrapText="1"/>
    </xf>
    <xf numFmtId="0" fontId="18" fillId="2" borderId="1" xfId="0" applyFont="1" applyFill="1" applyBorder="1" applyAlignment="1">
      <alignment horizontal="left" wrapText="1"/>
    </xf>
    <xf numFmtId="0" fontId="18" fillId="4" borderId="1" xfId="0" applyFont="1" applyFill="1" applyBorder="1" applyAlignment="1">
      <alignment horizontal="left" wrapText="1"/>
    </xf>
    <xf numFmtId="0" fontId="18" fillId="6" borderId="1" xfId="0" applyFont="1" applyFill="1" applyBorder="1" applyAlignment="1">
      <alignment horizontal="right"/>
    </xf>
    <xf numFmtId="49" fontId="18" fillId="2" borderId="1" xfId="0" applyNumberFormat="1" applyFont="1" applyFill="1" applyBorder="1" applyAlignment="1">
      <alignment horizontal="center" vertical="center" wrapText="1"/>
    </xf>
    <xf numFmtId="0" fontId="23" fillId="2" borderId="1" xfId="0" applyFont="1" applyFill="1" applyBorder="1" applyAlignment="1">
      <alignment horizontal="center" vertical="center" wrapText="1"/>
    </xf>
    <xf numFmtId="9" fontId="55" fillId="2" borderId="1" xfId="2" applyFont="1" applyFill="1" applyBorder="1" applyAlignment="1">
      <alignment horizontal="center" vertical="center" wrapText="1"/>
    </xf>
    <xf numFmtId="49" fontId="18" fillId="4" borderId="1" xfId="0" applyNumberFormat="1" applyFont="1" applyFill="1" applyBorder="1" applyAlignment="1">
      <alignment horizontal="center" vertical="center" wrapText="1"/>
    </xf>
    <xf numFmtId="0" fontId="23" fillId="4" borderId="1" xfId="0" applyFont="1" applyFill="1" applyBorder="1" applyAlignment="1">
      <alignment horizontal="center" vertical="center" wrapText="1"/>
    </xf>
    <xf numFmtId="9" fontId="55" fillId="4" borderId="1" xfId="2" applyFont="1" applyFill="1" applyBorder="1" applyAlignment="1">
      <alignment horizontal="center" vertical="center" wrapText="1"/>
    </xf>
    <xf numFmtId="49" fontId="18" fillId="6" borderId="1" xfId="0" applyNumberFormat="1" applyFont="1" applyFill="1" applyBorder="1" applyAlignment="1">
      <alignment horizontal="center" vertical="center" wrapText="1"/>
    </xf>
    <xf numFmtId="0" fontId="23" fillId="6" borderId="1" xfId="0" applyFont="1" applyFill="1" applyBorder="1" applyAlignment="1">
      <alignment horizontal="center" vertical="center" wrapText="1"/>
    </xf>
    <xf numFmtId="9" fontId="55" fillId="6" borderId="1" xfId="2" applyFont="1" applyFill="1" applyBorder="1" applyAlignment="1">
      <alignment horizontal="center" vertical="center" wrapText="1"/>
    </xf>
    <xf numFmtId="0" fontId="18" fillId="6" borderId="1" xfId="0" applyFont="1" applyFill="1" applyBorder="1" applyAlignment="1">
      <alignment horizontal="right" vertical="center"/>
    </xf>
    <xf numFmtId="49" fontId="18" fillId="6" borderId="3" xfId="0" applyNumberFormat="1" applyFont="1" applyFill="1" applyBorder="1" applyAlignment="1">
      <alignment horizontal="center" vertical="center" wrapText="1"/>
    </xf>
    <xf numFmtId="0" fontId="23" fillId="6" borderId="3" xfId="0" applyFont="1" applyFill="1" applyBorder="1" applyAlignment="1">
      <alignment horizontal="center" vertical="center" wrapText="1"/>
    </xf>
    <xf numFmtId="9" fontId="55" fillId="6" borderId="3" xfId="2" applyFont="1" applyFill="1" applyBorder="1" applyAlignment="1">
      <alignment horizontal="center" vertical="center" wrapText="1"/>
    </xf>
    <xf numFmtId="0" fontId="18" fillId="6" borderId="3" xfId="0" applyFont="1" applyFill="1" applyBorder="1" applyAlignment="1">
      <alignment horizontal="left" vertical="center" wrapText="1"/>
    </xf>
    <xf numFmtId="0" fontId="18" fillId="6" borderId="3" xfId="0" applyFont="1" applyFill="1" applyBorder="1" applyAlignment="1">
      <alignment horizontal="right" vertical="center"/>
    </xf>
    <xf numFmtId="0" fontId="55" fillId="6" borderId="3" xfId="0" applyFont="1" applyFill="1" applyBorder="1"/>
    <xf numFmtId="0" fontId="18" fillId="0" borderId="3" xfId="0" applyFont="1" applyBorder="1"/>
    <xf numFmtId="0" fontId="18" fillId="6" borderId="1" xfId="0" applyFont="1" applyFill="1" applyBorder="1" applyAlignment="1">
      <alignment horizontal="left" vertical="center"/>
    </xf>
    <xf numFmtId="0" fontId="19" fillId="2"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19" fillId="2" borderId="1" xfId="0" applyFont="1" applyFill="1" applyBorder="1" applyAlignment="1">
      <alignment horizontal="right" vertical="center" wrapText="1"/>
    </xf>
    <xf numFmtId="0" fontId="19" fillId="4" borderId="1" xfId="0" applyFont="1" applyFill="1" applyBorder="1" applyAlignment="1">
      <alignment horizontal="right" vertical="center" wrapText="1" indent="1"/>
    </xf>
    <xf numFmtId="0" fontId="18" fillId="6" borderId="1" xfId="0" applyFont="1" applyFill="1" applyBorder="1" applyAlignment="1">
      <alignment horizontal="left" vertical="top" wrapText="1"/>
    </xf>
    <xf numFmtId="9" fontId="59" fillId="10" borderId="1" xfId="4" applyFont="1" applyFill="1" applyBorder="1" applyAlignment="1">
      <alignment horizontal="center" vertical="center"/>
    </xf>
    <xf numFmtId="0" fontId="55" fillId="0" borderId="1" xfId="0" applyFont="1" applyBorder="1" applyAlignment="1">
      <alignment horizontal="center"/>
    </xf>
    <xf numFmtId="9" fontId="59" fillId="4" borderId="1" xfId="4" applyFont="1" applyFill="1" applyBorder="1" applyAlignment="1">
      <alignment horizontal="center" vertical="center"/>
    </xf>
    <xf numFmtId="0" fontId="24" fillId="2" borderId="1" xfId="0" applyFont="1" applyFill="1" applyBorder="1" applyAlignment="1">
      <alignment horizontal="center" vertical="center" wrapText="1"/>
    </xf>
    <xf numFmtId="9" fontId="56" fillId="10" borderId="1" xfId="2" applyFont="1" applyFill="1" applyBorder="1" applyAlignment="1">
      <alignment horizontal="center" vertical="center" wrapText="1"/>
    </xf>
    <xf numFmtId="0" fontId="24" fillId="0" borderId="1" xfId="0" applyFont="1" applyBorder="1" applyAlignment="1">
      <alignment horizontal="center" vertical="center" wrapText="1"/>
    </xf>
    <xf numFmtId="9" fontId="56" fillId="2" borderId="1" xfId="4" applyFont="1" applyFill="1" applyBorder="1" applyAlignment="1">
      <alignment horizontal="center" vertical="center"/>
    </xf>
    <xf numFmtId="49" fontId="56" fillId="6" borderId="1" xfId="0" applyNumberFormat="1" applyFont="1" applyFill="1" applyBorder="1" applyAlignment="1">
      <alignment horizontal="center" vertical="center"/>
    </xf>
    <xf numFmtId="9" fontId="19" fillId="4" borderId="1" xfId="3" applyNumberFormat="1" applyFont="1" applyFill="1" applyBorder="1" applyAlignment="1">
      <alignment horizontal="center" vertical="center"/>
    </xf>
    <xf numFmtId="9" fontId="56" fillId="4" borderId="1" xfId="4" applyFont="1" applyFill="1" applyBorder="1" applyAlignment="1">
      <alignment horizontal="center" vertical="center"/>
    </xf>
    <xf numFmtId="0" fontId="56" fillId="4" borderId="1" xfId="0" applyFont="1" applyFill="1" applyBorder="1"/>
    <xf numFmtId="9" fontId="19" fillId="6" borderId="1" xfId="3" applyNumberFormat="1" applyFont="1" applyFill="1" applyBorder="1" applyAlignment="1">
      <alignment horizontal="center" vertical="center"/>
    </xf>
    <xf numFmtId="9" fontId="56" fillId="6" borderId="1" xfId="4" applyFont="1" applyFill="1" applyBorder="1" applyAlignment="1">
      <alignment horizontal="center" vertical="center"/>
    </xf>
    <xf numFmtId="9" fontId="19" fillId="6" borderId="1" xfId="4" applyFont="1" applyFill="1" applyBorder="1" applyAlignment="1">
      <alignment horizontal="center" vertical="center"/>
    </xf>
    <xf numFmtId="0" fontId="56" fillId="0" borderId="1" xfId="0" applyFont="1" applyBorder="1"/>
    <xf numFmtId="0" fontId="24" fillId="6" borderId="1" xfId="0" applyFont="1" applyFill="1" applyBorder="1" applyAlignment="1">
      <alignment horizontal="center" vertical="center" wrapText="1"/>
    </xf>
    <xf numFmtId="49" fontId="19" fillId="6" borderId="3" xfId="0" applyNumberFormat="1" applyFont="1" applyFill="1" applyBorder="1" applyAlignment="1">
      <alignment horizontal="center" vertical="center"/>
    </xf>
    <xf numFmtId="0" fontId="24" fillId="6" borderId="3" xfId="0" applyFont="1" applyFill="1" applyBorder="1" applyAlignment="1">
      <alignment horizontal="center" vertical="center"/>
    </xf>
    <xf numFmtId="9" fontId="56" fillId="6" borderId="3" xfId="2" applyFont="1" applyFill="1" applyBorder="1" applyAlignment="1">
      <alignment horizontal="center" vertical="center"/>
    </xf>
    <xf numFmtId="0" fontId="19" fillId="6" borderId="3" xfId="0" applyFont="1" applyFill="1" applyBorder="1" applyAlignment="1">
      <alignment horizontal="right" vertical="center"/>
    </xf>
    <xf numFmtId="9" fontId="19" fillId="6" borderId="3" xfId="3" applyNumberFormat="1" applyFont="1" applyFill="1" applyBorder="1" applyAlignment="1">
      <alignment horizontal="center" vertical="center"/>
    </xf>
    <xf numFmtId="9" fontId="56" fillId="6" borderId="3" xfId="4" applyFont="1" applyFill="1" applyBorder="1" applyAlignment="1">
      <alignment horizontal="center" vertical="center"/>
    </xf>
    <xf numFmtId="9" fontId="19" fillId="6" borderId="3" xfId="2" applyFont="1" applyFill="1" applyBorder="1" applyAlignment="1">
      <alignment horizontal="center" vertical="center"/>
    </xf>
    <xf numFmtId="1" fontId="19" fillId="6" borderId="3" xfId="2" applyNumberFormat="1" applyFont="1" applyFill="1" applyBorder="1" applyAlignment="1">
      <alignment horizontal="center" vertical="center"/>
    </xf>
    <xf numFmtId="9" fontId="19" fillId="6" borderId="3" xfId="4" applyFont="1" applyFill="1" applyBorder="1" applyAlignment="1">
      <alignment horizontal="center" vertical="center"/>
    </xf>
    <xf numFmtId="0" fontId="56" fillId="0" borderId="3" xfId="0" applyFont="1" applyBorder="1"/>
    <xf numFmtId="0" fontId="56" fillId="6" borderId="1" xfId="0" applyFont="1" applyFill="1" applyBorder="1"/>
    <xf numFmtId="9" fontId="59" fillId="2" borderId="1" xfId="4" applyFont="1" applyFill="1" applyBorder="1" applyAlignment="1">
      <alignment horizontal="center" vertical="center"/>
    </xf>
    <xf numFmtId="9" fontId="56" fillId="0" borderId="1" xfId="4" applyFont="1" applyFill="1" applyBorder="1" applyAlignment="1">
      <alignment horizontal="center" vertical="center"/>
    </xf>
    <xf numFmtId="9" fontId="18" fillId="2" borderId="1" xfId="2" applyFont="1" applyFill="1" applyBorder="1" applyAlignment="1">
      <alignment horizontal="right" vertical="center"/>
    </xf>
    <xf numFmtId="9" fontId="18" fillId="4" borderId="1" xfId="2" applyFont="1" applyFill="1" applyBorder="1" applyAlignment="1">
      <alignment horizontal="right" vertical="center"/>
    </xf>
    <xf numFmtId="0" fontId="55" fillId="0" borderId="0" xfId="0" applyFont="1"/>
    <xf numFmtId="0" fontId="22" fillId="11" borderId="1" xfId="0" applyFont="1" applyFill="1" applyBorder="1" applyAlignment="1">
      <alignment horizontal="center" vertical="center"/>
    </xf>
    <xf numFmtId="0" fontId="19" fillId="2" borderId="1" xfId="0" applyFont="1" applyFill="1" applyBorder="1" applyAlignment="1">
      <alignment vertical="center"/>
    </xf>
    <xf numFmtId="0" fontId="56" fillId="6" borderId="1" xfId="0" applyFont="1" applyFill="1" applyBorder="1" applyAlignment="1">
      <alignment horizontal="center" vertical="center"/>
    </xf>
    <xf numFmtId="0" fontId="19" fillId="4" borderId="1" xfId="0" applyFont="1" applyFill="1" applyBorder="1" applyAlignment="1">
      <alignment vertical="center"/>
    </xf>
    <xf numFmtId="0" fontId="19" fillId="0" borderId="1" xfId="0" applyFont="1" applyBorder="1" applyAlignment="1">
      <alignment vertical="center"/>
    </xf>
    <xf numFmtId="9" fontId="21" fillId="2" borderId="1" xfId="3" applyNumberFormat="1" applyFont="1" applyFill="1" applyBorder="1" applyAlignment="1">
      <alignment horizontal="center" vertical="center"/>
    </xf>
    <xf numFmtId="9" fontId="21" fillId="6" borderId="1" xfId="3" applyNumberFormat="1" applyFont="1" applyFill="1" applyBorder="1" applyAlignment="1">
      <alignment horizontal="center" vertical="center"/>
    </xf>
    <xf numFmtId="0" fontId="23" fillId="0" borderId="1" xfId="0" applyFont="1" applyBorder="1" applyAlignment="1">
      <alignment horizontal="center" vertical="center" wrapText="1"/>
    </xf>
    <xf numFmtId="49" fontId="18" fillId="6" borderId="1" xfId="0" applyNumberFormat="1" applyFont="1" applyFill="1" applyBorder="1" applyAlignment="1">
      <alignment horizontal="left" vertical="center"/>
    </xf>
    <xf numFmtId="0" fontId="21" fillId="4" borderId="1" xfId="0" applyFont="1" applyFill="1" applyBorder="1" applyAlignment="1">
      <alignment horizontal="right" vertical="center" wrapText="1"/>
    </xf>
    <xf numFmtId="164" fontId="21" fillId="4" borderId="1" xfId="1" applyNumberFormat="1" applyFont="1" applyFill="1" applyBorder="1" applyAlignment="1">
      <alignment horizontal="center" vertical="center" wrapText="1"/>
    </xf>
    <xf numFmtId="166" fontId="59" fillId="4" borderId="1" xfId="0" applyNumberFormat="1" applyFont="1" applyFill="1" applyBorder="1" applyAlignment="1">
      <alignment horizontal="center" vertical="center"/>
    </xf>
    <xf numFmtId="0" fontId="21" fillId="4" borderId="1" xfId="0" applyFont="1" applyFill="1" applyBorder="1" applyAlignment="1">
      <alignment horizontal="left" vertical="center" wrapText="1"/>
    </xf>
    <xf numFmtId="0" fontId="21" fillId="4" borderId="1" xfId="0" applyFont="1" applyFill="1" applyBorder="1" applyAlignment="1">
      <alignment horizontal="left" vertical="center"/>
    </xf>
    <xf numFmtId="9" fontId="18" fillId="0" borderId="1" xfId="0" applyNumberFormat="1" applyFont="1" applyBorder="1" applyAlignment="1">
      <alignment horizontal="center"/>
    </xf>
    <xf numFmtId="9" fontId="55" fillId="0" borderId="1" xfId="2" applyFont="1" applyBorder="1" applyAlignment="1">
      <alignment horizontal="center"/>
    </xf>
    <xf numFmtId="0" fontId="21" fillId="2" borderId="1" xfId="0" applyFont="1" applyFill="1" applyBorder="1" applyAlignment="1">
      <alignment horizontal="center" vertical="center" wrapText="1"/>
    </xf>
    <xf numFmtId="0" fontId="21" fillId="2" borderId="1" xfId="0" applyFont="1" applyFill="1" applyBorder="1" applyAlignment="1">
      <alignment horizontal="right" vertical="center" wrapText="1"/>
    </xf>
    <xf numFmtId="164" fontId="21" fillId="2" borderId="1" xfId="1" applyNumberFormat="1" applyFont="1" applyFill="1" applyBorder="1" applyAlignment="1">
      <alignment horizontal="center" vertical="center" wrapText="1"/>
    </xf>
    <xf numFmtId="9" fontId="55" fillId="2" borderId="1" xfId="2" applyFont="1" applyFill="1" applyBorder="1" applyAlignment="1">
      <alignment horizontal="center"/>
    </xf>
    <xf numFmtId="0" fontId="21" fillId="4" borderId="1" xfId="0" applyFont="1" applyFill="1" applyBorder="1" applyAlignment="1">
      <alignment horizontal="center" vertical="center" wrapText="1"/>
    </xf>
    <xf numFmtId="9" fontId="55" fillId="4" borderId="1" xfId="2" applyFont="1" applyFill="1" applyBorder="1" applyAlignment="1">
      <alignment horizontal="center"/>
    </xf>
    <xf numFmtId="0" fontId="18" fillId="2" borderId="1" xfId="0" applyFont="1" applyFill="1" applyBorder="1" applyAlignment="1">
      <alignment horizontal="center" vertical="center" readingOrder="2"/>
    </xf>
    <xf numFmtId="0" fontId="18" fillId="4" borderId="1" xfId="0" applyFont="1" applyFill="1" applyBorder="1" applyAlignment="1">
      <alignment horizontal="center" vertical="center" readingOrder="2"/>
    </xf>
    <xf numFmtId="1" fontId="24" fillId="2" borderId="1" xfId="0" applyNumberFormat="1" applyFont="1" applyFill="1" applyBorder="1" applyAlignment="1">
      <alignment horizontal="center" vertical="center"/>
    </xf>
    <xf numFmtId="0" fontId="18" fillId="19" borderId="1" xfId="0" applyFont="1" applyFill="1" applyBorder="1" applyAlignment="1">
      <alignment horizontal="center" vertical="center" wrapText="1"/>
    </xf>
    <xf numFmtId="1" fontId="24" fillId="0" borderId="1" xfId="0" applyNumberFormat="1" applyFont="1" applyBorder="1" applyAlignment="1">
      <alignment horizontal="center" vertical="center"/>
    </xf>
    <xf numFmtId="0" fontId="18" fillId="21" borderId="1" xfId="0" applyFont="1" applyFill="1" applyBorder="1" applyAlignment="1">
      <alignment horizontal="center" vertical="center" wrapText="1"/>
    </xf>
    <xf numFmtId="166" fontId="19" fillId="4" borderId="1" xfId="4" applyNumberFormat="1" applyFont="1" applyFill="1" applyBorder="1" applyAlignment="1">
      <alignment horizontal="center" vertical="center"/>
    </xf>
    <xf numFmtId="9" fontId="56" fillId="4" borderId="1" xfId="3" applyNumberFormat="1" applyFont="1" applyFill="1" applyBorder="1" applyAlignment="1">
      <alignment horizontal="center" vertical="center"/>
    </xf>
    <xf numFmtId="0" fontId="21" fillId="0" borderId="1" xfId="0" applyFont="1" applyBorder="1" applyAlignment="1">
      <alignment horizontal="left" vertical="center"/>
    </xf>
    <xf numFmtId="1" fontId="18" fillId="2" borderId="1" xfId="1" applyNumberFormat="1" applyFont="1" applyFill="1" applyBorder="1" applyAlignment="1">
      <alignment horizontal="center" vertical="center"/>
    </xf>
    <xf numFmtId="1" fontId="18" fillId="0" borderId="1" xfId="1" applyNumberFormat="1" applyFont="1" applyBorder="1" applyAlignment="1">
      <alignment horizontal="center" vertical="center"/>
    </xf>
    <xf numFmtId="166" fontId="19" fillId="4" borderId="9" xfId="4" applyNumberFormat="1" applyFont="1" applyFill="1" applyBorder="1" applyAlignment="1">
      <alignment horizontal="center" vertical="center"/>
    </xf>
    <xf numFmtId="9" fontId="56" fillId="4" borderId="9" xfId="3" applyNumberFormat="1" applyFont="1" applyFill="1" applyBorder="1" applyAlignment="1">
      <alignment horizontal="center" vertical="center"/>
    </xf>
    <xf numFmtId="1" fontId="19" fillId="4" borderId="1" xfId="3" applyNumberFormat="1" applyFont="1" applyFill="1" applyBorder="1" applyAlignment="1">
      <alignment horizontal="center" vertical="center"/>
    </xf>
    <xf numFmtId="0" fontId="19" fillId="4" borderId="9" xfId="3" applyFont="1" applyFill="1" applyBorder="1" applyAlignment="1">
      <alignment horizontal="center" vertical="center"/>
    </xf>
    <xf numFmtId="9" fontId="19" fillId="4" borderId="9" xfId="2" applyFont="1" applyFill="1" applyBorder="1" applyAlignment="1">
      <alignment horizontal="center" vertical="center"/>
    </xf>
    <xf numFmtId="0" fontId="18" fillId="0" borderId="1" xfId="0" applyFont="1" applyBorder="1" applyAlignment="1">
      <alignment wrapText="1"/>
    </xf>
    <xf numFmtId="9" fontId="19" fillId="0" borderId="9" xfId="2" applyFont="1" applyBorder="1" applyAlignment="1">
      <alignment horizontal="center" vertical="center"/>
    </xf>
    <xf numFmtId="9" fontId="55" fillId="0" borderId="9" xfId="0" applyNumberFormat="1" applyFont="1" applyBorder="1" applyAlignment="1">
      <alignment horizontal="center" vertical="center"/>
    </xf>
    <xf numFmtId="0" fontId="19" fillId="0" borderId="1" xfId="0" applyFont="1" applyBorder="1" applyAlignment="1">
      <alignment horizontal="left" vertical="center" wrapText="1"/>
    </xf>
    <xf numFmtId="9" fontId="19" fillId="3" borderId="9" xfId="2" applyFont="1" applyFill="1" applyBorder="1" applyAlignment="1">
      <alignment horizontal="center" vertical="center"/>
    </xf>
    <xf numFmtId="0" fontId="21" fillId="0" borderId="1" xfId="0" applyFont="1" applyBorder="1" applyAlignment="1">
      <alignment horizontal="left" vertical="center" wrapText="1" shrinkToFit="1"/>
    </xf>
    <xf numFmtId="9" fontId="19" fillId="0" borderId="9" xfId="3" applyNumberFormat="1" applyFont="1" applyBorder="1" applyAlignment="1">
      <alignment horizontal="center" vertical="center"/>
    </xf>
    <xf numFmtId="9" fontId="56" fillId="0" borderId="9" xfId="2" applyFont="1" applyBorder="1" applyAlignment="1">
      <alignment horizontal="center" vertical="center"/>
    </xf>
    <xf numFmtId="1" fontId="19" fillId="2" borderId="9" xfId="3" applyNumberFormat="1" applyFont="1" applyFill="1" applyBorder="1" applyAlignment="1">
      <alignment horizontal="center" vertical="center"/>
    </xf>
    <xf numFmtId="9" fontId="56" fillId="2" borderId="9" xfId="2" applyFont="1" applyFill="1" applyBorder="1" applyAlignment="1">
      <alignment horizontal="center" vertical="center"/>
    </xf>
    <xf numFmtId="1" fontId="19" fillId="2" borderId="1" xfId="3" applyNumberFormat="1" applyFont="1" applyFill="1" applyBorder="1" applyAlignment="1">
      <alignment horizontal="center" vertical="center"/>
    </xf>
    <xf numFmtId="0" fontId="21" fillId="5" borderId="1" xfId="0" applyFont="1" applyFill="1" applyBorder="1" applyAlignment="1">
      <alignment horizontal="center" vertical="center"/>
    </xf>
    <xf numFmtId="1" fontId="19" fillId="4" borderId="9" xfId="3" applyNumberFormat="1" applyFont="1" applyFill="1" applyBorder="1" applyAlignment="1">
      <alignment horizontal="center" vertical="center"/>
    </xf>
    <xf numFmtId="9" fontId="56" fillId="4" borderId="9" xfId="2" applyFont="1" applyFill="1" applyBorder="1" applyAlignment="1">
      <alignment horizontal="center" vertical="center"/>
    </xf>
    <xf numFmtId="9" fontId="19" fillId="4" borderId="9" xfId="3" applyNumberFormat="1" applyFont="1" applyFill="1" applyBorder="1" applyAlignment="1">
      <alignment horizontal="center" vertical="center"/>
    </xf>
    <xf numFmtId="1" fontId="19" fillId="0" borderId="1" xfId="3" applyNumberFormat="1" applyFont="1" applyBorder="1" applyAlignment="1">
      <alignment horizontal="center" vertical="center"/>
    </xf>
    <xf numFmtId="0" fontId="19" fillId="0" borderId="9" xfId="3" applyFont="1" applyBorder="1" applyAlignment="1">
      <alignment horizontal="center" vertical="center"/>
    </xf>
    <xf numFmtId="49" fontId="18" fillId="3" borderId="1" xfId="0" applyNumberFormat="1" applyFont="1" applyFill="1" applyBorder="1" applyAlignment="1">
      <alignment horizontal="center" vertical="center"/>
    </xf>
    <xf numFmtId="1" fontId="23" fillId="2" borderId="1" xfId="0" applyNumberFormat="1" applyFont="1" applyFill="1" applyBorder="1" applyAlignment="1">
      <alignment horizontal="center" vertical="center"/>
    </xf>
    <xf numFmtId="10" fontId="19" fillId="2" borderId="9" xfId="4" applyNumberFormat="1" applyFont="1" applyFill="1" applyBorder="1" applyAlignment="1">
      <alignment horizontal="center" vertical="center"/>
    </xf>
    <xf numFmtId="9" fontId="56" fillId="2" borderId="9" xfId="3" applyNumberFormat="1" applyFont="1" applyFill="1" applyBorder="1" applyAlignment="1">
      <alignment horizontal="center" vertical="center"/>
    </xf>
    <xf numFmtId="1" fontId="23" fillId="0" borderId="1" xfId="0" applyNumberFormat="1" applyFont="1" applyBorder="1" applyAlignment="1">
      <alignment horizontal="center" vertical="center"/>
    </xf>
    <xf numFmtId="10" fontId="19" fillId="4" borderId="9" xfId="4" applyNumberFormat="1" applyFont="1" applyFill="1" applyBorder="1" applyAlignment="1">
      <alignment horizontal="center" vertical="center"/>
    </xf>
    <xf numFmtId="9" fontId="19" fillId="4" borderId="9" xfId="4" applyFont="1" applyFill="1" applyBorder="1" applyAlignment="1">
      <alignment horizontal="center" vertical="center"/>
    </xf>
    <xf numFmtId="9" fontId="21" fillId="0" borderId="9" xfId="2" applyFont="1" applyBorder="1" applyAlignment="1">
      <alignment horizontal="center" vertical="center"/>
    </xf>
    <xf numFmtId="9" fontId="59" fillId="0" borderId="9" xfId="3" applyNumberFormat="1" applyFont="1" applyBorder="1" applyAlignment="1">
      <alignment horizontal="center" vertical="center"/>
    </xf>
    <xf numFmtId="9" fontId="21" fillId="3" borderId="9" xfId="2" applyFont="1" applyFill="1" applyBorder="1" applyAlignment="1">
      <alignment horizontal="center" vertical="center"/>
    </xf>
    <xf numFmtId="1" fontId="59" fillId="2" borderId="1" xfId="0" applyNumberFormat="1" applyFont="1" applyFill="1" applyBorder="1" applyAlignment="1">
      <alignment horizontal="center" vertical="center"/>
    </xf>
    <xf numFmtId="1" fontId="22" fillId="2" borderId="1" xfId="0" applyNumberFormat="1" applyFont="1" applyFill="1" applyBorder="1" applyAlignment="1">
      <alignment horizontal="center" vertical="center"/>
    </xf>
    <xf numFmtId="9" fontId="19" fillId="2" borderId="9" xfId="3" applyNumberFormat="1" applyFont="1" applyFill="1" applyBorder="1" applyAlignment="1">
      <alignment horizontal="center" vertical="center"/>
    </xf>
    <xf numFmtId="1" fontId="59" fillId="0" borderId="1" xfId="0" applyNumberFormat="1" applyFont="1" applyBorder="1" applyAlignment="1">
      <alignment horizontal="center" vertical="center"/>
    </xf>
    <xf numFmtId="1" fontId="22" fillId="0" borderId="1" xfId="0" applyNumberFormat="1" applyFont="1" applyBorder="1" applyAlignment="1">
      <alignment horizontal="center" vertical="center"/>
    </xf>
    <xf numFmtId="9" fontId="19" fillId="0" borderId="9" xfId="2" applyFont="1" applyBorder="1" applyAlignment="1">
      <alignment horizontal="center" vertical="center" wrapText="1"/>
    </xf>
    <xf numFmtId="9" fontId="56" fillId="0" borderId="9" xfId="2" applyFont="1" applyFill="1" applyBorder="1" applyAlignment="1">
      <alignment horizontal="center" vertical="center"/>
    </xf>
    <xf numFmtId="9" fontId="18" fillId="0" borderId="10" xfId="2" applyFont="1" applyFill="1" applyBorder="1" applyAlignment="1">
      <alignment horizontal="center" vertical="center"/>
    </xf>
    <xf numFmtId="1" fontId="18" fillId="0" borderId="1" xfId="3" applyNumberFormat="1" applyFont="1" applyBorder="1" applyAlignment="1">
      <alignment horizontal="center" vertical="center"/>
    </xf>
    <xf numFmtId="0" fontId="19" fillId="2" borderId="9" xfId="3" applyFont="1" applyFill="1" applyBorder="1" applyAlignment="1">
      <alignment horizontal="center" vertical="center"/>
    </xf>
    <xf numFmtId="9" fontId="19" fillId="6" borderId="9" xfId="2" applyFont="1" applyFill="1" applyBorder="1" applyAlignment="1">
      <alignment horizontal="center" vertical="center"/>
    </xf>
    <xf numFmtId="9" fontId="56" fillId="6" borderId="9" xfId="2" applyFont="1" applyFill="1" applyBorder="1" applyAlignment="1">
      <alignment horizontal="center" vertical="center"/>
    </xf>
    <xf numFmtId="9" fontId="56" fillId="0" borderId="9" xfId="3" applyNumberFormat="1" applyFont="1" applyBorder="1" applyAlignment="1">
      <alignment horizontal="center" vertical="center"/>
    </xf>
    <xf numFmtId="1" fontId="18" fillId="0" borderId="1" xfId="2" applyNumberFormat="1" applyFont="1" applyBorder="1" applyAlignment="1">
      <alignment horizontal="center" vertical="center"/>
    </xf>
    <xf numFmtId="1" fontId="19" fillId="2" borderId="9" xfId="22" applyNumberFormat="1" applyFont="1" applyFill="1" applyBorder="1" applyAlignment="1">
      <alignment horizontal="center" vertical="center"/>
    </xf>
    <xf numFmtId="1" fontId="19" fillId="2" borderId="1" xfId="22" applyNumberFormat="1" applyFont="1" applyFill="1" applyBorder="1" applyAlignment="1">
      <alignment horizontal="center" vertical="center"/>
    </xf>
    <xf numFmtId="9" fontId="19" fillId="4" borderId="9" xfId="22" applyNumberFormat="1" applyFont="1" applyFill="1" applyBorder="1" applyAlignment="1">
      <alignment horizontal="center" vertical="center"/>
    </xf>
    <xf numFmtId="1" fontId="19" fillId="4" borderId="1" xfId="22" applyNumberFormat="1" applyFont="1" applyFill="1" applyBorder="1" applyAlignment="1">
      <alignment horizontal="center" vertical="center"/>
    </xf>
    <xf numFmtId="1" fontId="19" fillId="4" borderId="9" xfId="22" applyNumberFormat="1" applyFont="1" applyFill="1" applyBorder="1" applyAlignment="1">
      <alignment horizontal="center" vertical="center"/>
    </xf>
    <xf numFmtId="0" fontId="19" fillId="4" borderId="9" xfId="22" applyFont="1" applyFill="1" applyBorder="1" applyAlignment="1">
      <alignment horizontal="center" vertical="center"/>
    </xf>
    <xf numFmtId="165" fontId="19" fillId="4" borderId="9" xfId="3" applyNumberFormat="1" applyFont="1" applyFill="1" applyBorder="1" applyAlignment="1">
      <alignment horizontal="center" vertical="center"/>
    </xf>
    <xf numFmtId="0" fontId="21" fillId="11" borderId="1" xfId="0" applyFont="1" applyFill="1" applyBorder="1" applyAlignment="1">
      <alignment horizontal="center" vertical="center"/>
    </xf>
    <xf numFmtId="9" fontId="18" fillId="2" borderId="10" xfId="2" applyFont="1" applyFill="1" applyBorder="1" applyAlignment="1">
      <alignment horizontal="center" vertical="center"/>
    </xf>
    <xf numFmtId="1" fontId="18" fillId="2" borderId="1" xfId="0" applyNumberFormat="1" applyFont="1" applyFill="1" applyBorder="1" applyAlignment="1">
      <alignment horizontal="center"/>
    </xf>
    <xf numFmtId="9" fontId="18" fillId="4" borderId="10" xfId="2" applyFont="1" applyFill="1" applyBorder="1" applyAlignment="1">
      <alignment horizontal="center" vertical="center"/>
    </xf>
    <xf numFmtId="1" fontId="18" fillId="4" borderId="1" xfId="0" applyNumberFormat="1" applyFont="1" applyFill="1" applyBorder="1" applyAlignment="1">
      <alignment horizontal="center"/>
    </xf>
    <xf numFmtId="9" fontId="18" fillId="0" borderId="10" xfId="2" applyFont="1" applyBorder="1" applyAlignment="1">
      <alignment horizontal="center" vertical="center"/>
    </xf>
    <xf numFmtId="1" fontId="18" fillId="0" borderId="1" xfId="0" applyNumberFormat="1" applyFont="1" applyBorder="1" applyAlignment="1">
      <alignment horizontal="center"/>
    </xf>
    <xf numFmtId="0" fontId="21" fillId="6" borderId="1" xfId="0" applyFont="1" applyFill="1" applyBorder="1" applyAlignment="1">
      <alignment horizontal="center" vertical="center"/>
    </xf>
    <xf numFmtId="9" fontId="18" fillId="0" borderId="11" xfId="2" applyFont="1" applyFill="1" applyBorder="1" applyAlignment="1">
      <alignment horizontal="center" vertical="center"/>
    </xf>
    <xf numFmtId="9" fontId="56" fillId="0" borderId="4" xfId="2" applyFont="1" applyFill="1" applyBorder="1" applyAlignment="1">
      <alignment horizontal="center" vertical="center"/>
    </xf>
    <xf numFmtId="9" fontId="56" fillId="2" borderId="1" xfId="3"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1" fontId="23" fillId="2" borderId="9" xfId="0" applyNumberFormat="1" applyFont="1" applyFill="1" applyBorder="1" applyAlignment="1">
      <alignment horizontal="center" vertical="center"/>
    </xf>
    <xf numFmtId="0" fontId="18" fillId="2" borderId="9" xfId="0" applyFont="1" applyFill="1" applyBorder="1" applyAlignment="1">
      <alignment horizontal="left" vertical="center"/>
    </xf>
    <xf numFmtId="0" fontId="18" fillId="2" borderId="9" xfId="0" applyFont="1" applyFill="1" applyBorder="1" applyAlignment="1">
      <alignment horizontal="center" vertical="center"/>
    </xf>
    <xf numFmtId="9" fontId="19" fillId="2" borderId="9" xfId="2" applyFont="1" applyFill="1" applyBorder="1" applyAlignment="1">
      <alignment horizontal="center" vertical="center"/>
    </xf>
    <xf numFmtId="49" fontId="18" fillId="0" borderId="9" xfId="0" applyNumberFormat="1" applyFont="1" applyBorder="1" applyAlignment="1">
      <alignment horizontal="center" vertical="center"/>
    </xf>
    <xf numFmtId="0" fontId="18" fillId="6" borderId="9" xfId="0" applyFont="1" applyFill="1" applyBorder="1" applyAlignment="1">
      <alignment horizontal="center" vertical="center"/>
    </xf>
    <xf numFmtId="1" fontId="23" fillId="0" borderId="9" xfId="0" applyNumberFormat="1" applyFont="1" applyBorder="1" applyAlignment="1">
      <alignment horizontal="center" vertical="center"/>
    </xf>
    <xf numFmtId="49" fontId="18" fillId="4" borderId="9" xfId="0" applyNumberFormat="1" applyFont="1" applyFill="1" applyBorder="1" applyAlignment="1">
      <alignment horizontal="center" vertical="center"/>
    </xf>
    <xf numFmtId="0" fontId="21" fillId="5" borderId="9" xfId="0" applyFont="1" applyFill="1" applyBorder="1" applyAlignment="1">
      <alignment horizontal="center" vertical="center"/>
    </xf>
    <xf numFmtId="0" fontId="21" fillId="4" borderId="9" xfId="3" applyFont="1" applyFill="1" applyBorder="1" applyAlignment="1">
      <alignment horizontal="left" vertical="center"/>
    </xf>
    <xf numFmtId="0" fontId="21" fillId="4" borderId="9" xfId="3" applyFont="1" applyFill="1" applyBorder="1" applyAlignment="1">
      <alignment horizontal="center" vertical="center"/>
    </xf>
    <xf numFmtId="0" fontId="55" fillId="4" borderId="3" xfId="0" applyFont="1" applyFill="1" applyBorder="1"/>
    <xf numFmtId="49" fontId="18" fillId="0" borderId="4" xfId="0" applyNumberFormat="1" applyFont="1" applyBorder="1" applyAlignment="1">
      <alignment horizontal="center" vertical="center"/>
    </xf>
    <xf numFmtId="0" fontId="18" fillId="6" borderId="4" xfId="0" applyFont="1" applyFill="1" applyBorder="1" applyAlignment="1">
      <alignment horizontal="center" vertical="center"/>
    </xf>
    <xf numFmtId="1" fontId="23" fillId="0" borderId="4" xfId="0" applyNumberFormat="1" applyFont="1" applyBorder="1" applyAlignment="1">
      <alignment horizontal="center" vertical="center"/>
    </xf>
    <xf numFmtId="0" fontId="21" fillId="5" borderId="4" xfId="0" applyFont="1" applyFill="1" applyBorder="1" applyAlignment="1">
      <alignment horizontal="center" vertical="center"/>
    </xf>
    <xf numFmtId="0" fontId="21" fillId="4" borderId="4" xfId="3" applyFont="1" applyFill="1" applyBorder="1" applyAlignment="1">
      <alignment horizontal="left" vertical="center"/>
    </xf>
    <xf numFmtId="0" fontId="21" fillId="4" borderId="4" xfId="3" applyFont="1" applyFill="1" applyBorder="1" applyAlignment="1">
      <alignment horizontal="center" vertical="center"/>
    </xf>
    <xf numFmtId="1" fontId="19" fillId="4" borderId="4" xfId="3" applyNumberFormat="1" applyFont="1" applyFill="1" applyBorder="1" applyAlignment="1">
      <alignment horizontal="center" vertical="center"/>
    </xf>
    <xf numFmtId="9" fontId="56" fillId="4" borderId="4" xfId="2" applyFont="1" applyFill="1" applyBorder="1" applyAlignment="1">
      <alignment horizontal="center" vertical="center"/>
    </xf>
    <xf numFmtId="9" fontId="19" fillId="4" borderId="4" xfId="2" applyFont="1" applyFill="1" applyBorder="1" applyAlignment="1">
      <alignment horizontal="center" vertical="center"/>
    </xf>
    <xf numFmtId="0" fontId="22" fillId="2" borderId="1" xfId="0" applyFont="1" applyFill="1" applyBorder="1" applyAlignment="1">
      <alignment horizontal="center"/>
    </xf>
    <xf numFmtId="0" fontId="22" fillId="2" borderId="1" xfId="0" applyFont="1" applyFill="1" applyBorder="1"/>
    <xf numFmtId="0" fontId="22" fillId="0" borderId="1" xfId="0" applyFont="1" applyBorder="1" applyAlignment="1">
      <alignment horizontal="center"/>
    </xf>
    <xf numFmtId="0" fontId="22" fillId="4" borderId="1" xfId="0" applyFont="1" applyFill="1" applyBorder="1"/>
    <xf numFmtId="0" fontId="23" fillId="2" borderId="1" xfId="0" applyFont="1" applyFill="1" applyBorder="1" applyAlignment="1">
      <alignment horizontal="left" vertical="center" indent="1"/>
    </xf>
    <xf numFmtId="0" fontId="23" fillId="4" borderId="1" xfId="0" applyFont="1" applyFill="1" applyBorder="1" applyAlignment="1">
      <alignment horizontal="left" vertical="center" indent="1"/>
    </xf>
    <xf numFmtId="0" fontId="18" fillId="0" borderId="1" xfId="0" applyFont="1" applyBorder="1" applyAlignment="1">
      <alignment horizontal="left" vertical="center" indent="1"/>
    </xf>
    <xf numFmtId="0" fontId="23" fillId="2" borderId="1" xfId="0" applyFont="1" applyFill="1" applyBorder="1"/>
    <xf numFmtId="0" fontId="18" fillId="2" borderId="1" xfId="3" applyFont="1" applyFill="1" applyBorder="1" applyAlignment="1">
      <alignment horizontal="center" vertical="center"/>
    </xf>
    <xf numFmtId="49" fontId="18" fillId="2" borderId="1" xfId="3" applyNumberFormat="1" applyFont="1" applyFill="1" applyBorder="1" applyAlignment="1">
      <alignment horizontal="center" vertical="center"/>
    </xf>
    <xf numFmtId="0" fontId="18" fillId="2" borderId="1" xfId="3" applyFont="1" applyFill="1" applyBorder="1" applyAlignment="1">
      <alignment horizontal="center" vertical="center" wrapText="1"/>
    </xf>
    <xf numFmtId="0" fontId="18" fillId="4" borderId="1" xfId="3" applyFont="1" applyFill="1" applyBorder="1" applyAlignment="1">
      <alignment horizontal="center" vertical="center"/>
    </xf>
    <xf numFmtId="49" fontId="18" fillId="4" borderId="1" xfId="3" applyNumberFormat="1" applyFont="1" applyFill="1" applyBorder="1" applyAlignment="1">
      <alignment horizontal="center" vertical="center"/>
    </xf>
    <xf numFmtId="0" fontId="18" fillId="4" borderId="1" xfId="3" applyFont="1" applyFill="1" applyBorder="1" applyAlignment="1">
      <alignment horizontal="center" vertical="center" wrapText="1"/>
    </xf>
    <xf numFmtId="0" fontId="18" fillId="6" borderId="1" xfId="3" applyFont="1" applyFill="1" applyBorder="1" applyAlignment="1">
      <alignment horizontal="center" vertical="center"/>
    </xf>
    <xf numFmtId="9" fontId="18" fillId="6" borderId="1" xfId="2" applyFont="1" applyFill="1" applyBorder="1" applyAlignment="1">
      <alignment horizontal="center"/>
    </xf>
    <xf numFmtId="9" fontId="55" fillId="6" borderId="1" xfId="2" applyFont="1" applyFill="1" applyBorder="1" applyAlignment="1">
      <alignment horizontal="center"/>
    </xf>
    <xf numFmtId="0" fontId="23" fillId="2" borderId="1" xfId="0" applyFont="1" applyFill="1" applyBorder="1" applyAlignment="1">
      <alignment horizontal="right" vertical="center" wrapText="1"/>
    </xf>
    <xf numFmtId="0" fontId="23" fillId="4" borderId="1" xfId="0" applyFont="1" applyFill="1" applyBorder="1" applyAlignment="1">
      <alignment horizontal="right" vertical="center" wrapText="1"/>
    </xf>
    <xf numFmtId="0" fontId="23" fillId="0" borderId="1" xfId="0" applyFont="1" applyBorder="1" applyAlignment="1">
      <alignment horizontal="right" vertical="center" wrapText="1"/>
    </xf>
    <xf numFmtId="0" fontId="18" fillId="0" borderId="1" xfId="0" applyFont="1" applyBorder="1" applyAlignment="1">
      <alignment horizontal="center" vertical="center" wrapText="1"/>
    </xf>
    <xf numFmtId="0" fontId="18" fillId="7" borderId="1" xfId="0" applyFont="1" applyFill="1" applyBorder="1" applyAlignment="1">
      <alignment horizontal="center" vertical="center"/>
    </xf>
    <xf numFmtId="9" fontId="66" fillId="4" borderId="1" xfId="0" applyNumberFormat="1" applyFont="1" applyFill="1" applyBorder="1" applyAlignment="1">
      <alignment horizontal="center" vertical="center"/>
    </xf>
    <xf numFmtId="0" fontId="18" fillId="4" borderId="1" xfId="0" applyFont="1" applyFill="1" applyBorder="1" applyAlignment="1">
      <alignment wrapText="1"/>
    </xf>
    <xf numFmtId="0" fontId="47" fillId="0" borderId="1" xfId="0" applyFont="1" applyBorder="1" applyAlignment="1">
      <alignment wrapText="1"/>
    </xf>
    <xf numFmtId="0" fontId="18" fillId="0" borderId="1" xfId="0" applyFont="1" applyBorder="1" applyAlignment="1">
      <alignment vertical="center" wrapText="1"/>
    </xf>
    <xf numFmtId="0" fontId="47" fillId="0" borderId="1" xfId="0" applyFont="1" applyBorder="1" applyAlignment="1">
      <alignment horizontal="right" vertical="center" wrapText="1"/>
    </xf>
    <xf numFmtId="0" fontId="47" fillId="0" borderId="1" xfId="0" applyFont="1" applyBorder="1" applyAlignment="1">
      <alignment horizontal="right"/>
    </xf>
    <xf numFmtId="1" fontId="56"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1" xfId="3" applyFont="1" applyFill="1" applyBorder="1" applyAlignment="1">
      <alignment horizontal="left" vertical="center" wrapText="1"/>
    </xf>
    <xf numFmtId="9" fontId="56" fillId="2" borderId="1" xfId="2" applyFont="1" applyFill="1" applyBorder="1" applyAlignment="1">
      <alignment horizontal="center" vertical="center" wrapText="1"/>
    </xf>
    <xf numFmtId="1" fontId="19" fillId="2" borderId="1" xfId="2" applyNumberFormat="1" applyFont="1" applyFill="1" applyBorder="1" applyAlignment="1">
      <alignment horizontal="center" vertical="center" wrapText="1"/>
    </xf>
    <xf numFmtId="1" fontId="56" fillId="0" borderId="1" xfId="0" applyNumberFormat="1" applyFont="1" applyBorder="1" applyAlignment="1">
      <alignment horizontal="center" vertical="center" wrapText="1"/>
    </xf>
    <xf numFmtId="0" fontId="19" fillId="0" borderId="1" xfId="3" applyFont="1" applyBorder="1" applyAlignment="1">
      <alignment horizontal="left" vertical="center" wrapText="1"/>
    </xf>
    <xf numFmtId="9" fontId="56" fillId="0" borderId="1" xfId="2" applyFont="1" applyFill="1" applyBorder="1" applyAlignment="1">
      <alignment horizontal="center" vertical="center" wrapText="1"/>
    </xf>
    <xf numFmtId="9" fontId="19" fillId="0" borderId="1" xfId="2" applyFont="1" applyFill="1" applyBorder="1" applyAlignment="1">
      <alignment horizontal="center" vertical="center" wrapText="1"/>
    </xf>
    <xf numFmtId="1" fontId="19" fillId="0" borderId="1" xfId="2" applyNumberFormat="1" applyFont="1" applyFill="1" applyBorder="1" applyAlignment="1">
      <alignment horizontal="center" vertical="center" wrapText="1"/>
    </xf>
    <xf numFmtId="0" fontId="19" fillId="0" borderId="1" xfId="3" applyFont="1" applyBorder="1" applyAlignment="1">
      <alignment vertical="center"/>
    </xf>
    <xf numFmtId="49" fontId="19" fillId="4" borderId="1" xfId="3" applyNumberFormat="1" applyFont="1" applyFill="1" applyBorder="1" applyAlignment="1">
      <alignment horizontal="center" vertical="center"/>
    </xf>
    <xf numFmtId="9" fontId="18" fillId="4" borderId="1" xfId="2" applyFont="1" applyFill="1" applyBorder="1" applyAlignment="1">
      <alignment horizontal="center" vertical="center" readingOrder="2"/>
    </xf>
    <xf numFmtId="9" fontId="18" fillId="4" borderId="1" xfId="2" applyFont="1" applyFill="1" applyBorder="1" applyAlignment="1">
      <alignment horizontal="center" readingOrder="2"/>
    </xf>
    <xf numFmtId="9" fontId="18" fillId="0" borderId="1" xfId="2" applyFont="1" applyFill="1" applyBorder="1" applyAlignment="1">
      <alignment horizontal="center" readingOrder="2"/>
    </xf>
    <xf numFmtId="9" fontId="55" fillId="0" borderId="1" xfId="2" applyFont="1" applyFill="1" applyBorder="1" applyAlignment="1">
      <alignment horizontal="center"/>
    </xf>
    <xf numFmtId="1" fontId="22" fillId="6" borderId="1" xfId="2" applyNumberFormat="1" applyFont="1" applyFill="1" applyBorder="1" applyAlignment="1">
      <alignment horizontal="center" vertical="center"/>
    </xf>
    <xf numFmtId="49" fontId="19" fillId="6" borderId="1" xfId="3" applyNumberFormat="1" applyFont="1" applyFill="1" applyBorder="1" applyAlignment="1">
      <alignment horizontal="center" vertical="center" wrapText="1"/>
    </xf>
    <xf numFmtId="0" fontId="21" fillId="6" borderId="1" xfId="3" applyFont="1" applyFill="1" applyBorder="1" applyAlignment="1">
      <alignment horizontal="center" vertical="center" wrapText="1"/>
    </xf>
    <xf numFmtId="0" fontId="21" fillId="2" borderId="1" xfId="3" applyFont="1" applyFill="1" applyBorder="1" applyAlignment="1">
      <alignment horizontal="center" vertical="center" wrapText="1"/>
    </xf>
    <xf numFmtId="0" fontId="21" fillId="0" borderId="1" xfId="3" applyFont="1" applyBorder="1" applyAlignment="1">
      <alignment horizontal="center" vertical="center" wrapText="1"/>
    </xf>
    <xf numFmtId="9" fontId="56" fillId="2" borderId="1" xfId="0" applyNumberFormat="1" applyFont="1" applyFill="1" applyBorder="1" applyAlignment="1">
      <alignment horizontal="center" vertical="center" wrapText="1"/>
    </xf>
    <xf numFmtId="9" fontId="19" fillId="2" borderId="1" xfId="4" applyFont="1" applyFill="1" applyBorder="1" applyAlignment="1">
      <alignment horizontal="center" vertical="center" wrapText="1"/>
    </xf>
    <xf numFmtId="9" fontId="55" fillId="10" borderId="1" xfId="2" applyFont="1" applyFill="1" applyBorder="1" applyAlignment="1">
      <alignment horizontal="center" vertical="center" wrapText="1"/>
    </xf>
    <xf numFmtId="9" fontId="56" fillId="4" borderId="1" xfId="0" applyNumberFormat="1" applyFont="1" applyFill="1" applyBorder="1" applyAlignment="1">
      <alignment horizontal="center" vertical="center" wrapText="1"/>
    </xf>
    <xf numFmtId="9" fontId="19" fillId="4" borderId="1" xfId="4" applyFont="1" applyFill="1" applyBorder="1" applyAlignment="1">
      <alignment horizontal="center" vertical="center" wrapText="1"/>
    </xf>
    <xf numFmtId="9" fontId="56" fillId="4" borderId="1" xfId="2" applyFont="1" applyFill="1" applyBorder="1" applyAlignment="1">
      <alignment horizontal="center" vertical="center" wrapText="1"/>
    </xf>
    <xf numFmtId="1" fontId="19" fillId="4" borderId="1" xfId="2" applyNumberFormat="1" applyFont="1" applyFill="1" applyBorder="1" applyAlignment="1">
      <alignment horizontal="center" vertical="center" wrapText="1"/>
    </xf>
    <xf numFmtId="9" fontId="56" fillId="0" borderId="1" xfId="0" applyNumberFormat="1" applyFont="1" applyBorder="1" applyAlignment="1">
      <alignment horizontal="center" vertical="center" wrapText="1"/>
    </xf>
    <xf numFmtId="9" fontId="19" fillId="0" borderId="1" xfId="4" applyFont="1" applyFill="1" applyBorder="1" applyAlignment="1">
      <alignment horizontal="center" vertical="center" wrapText="1"/>
    </xf>
    <xf numFmtId="9" fontId="21" fillId="0" borderId="1" xfId="0" applyNumberFormat="1" applyFont="1" applyBorder="1" applyAlignment="1">
      <alignment horizontal="center" vertical="center" wrapText="1"/>
    </xf>
    <xf numFmtId="49" fontId="19" fillId="2" borderId="1" xfId="3" applyNumberFormat="1" applyFont="1" applyFill="1" applyBorder="1" applyAlignment="1">
      <alignment horizontal="center" vertical="center" wrapText="1"/>
    </xf>
    <xf numFmtId="9" fontId="21" fillId="2" borderId="1" xfId="4" applyFont="1" applyFill="1" applyBorder="1" applyAlignment="1">
      <alignment horizontal="center" vertical="center" wrapText="1"/>
    </xf>
    <xf numFmtId="9" fontId="59" fillId="2" borderId="1" xfId="2" applyFont="1" applyFill="1" applyBorder="1" applyAlignment="1">
      <alignment horizontal="center" vertical="center" wrapText="1"/>
    </xf>
    <xf numFmtId="9" fontId="21" fillId="2" borderId="1" xfId="2" applyFont="1" applyFill="1" applyBorder="1" applyAlignment="1">
      <alignment horizontal="center" vertical="center" wrapText="1"/>
    </xf>
    <xf numFmtId="1" fontId="21" fillId="2" borderId="1" xfId="2" applyNumberFormat="1" applyFont="1" applyFill="1" applyBorder="1" applyAlignment="1">
      <alignment horizontal="center" vertical="center" wrapText="1"/>
    </xf>
    <xf numFmtId="49" fontId="19" fillId="4" borderId="1" xfId="3" applyNumberFormat="1" applyFont="1" applyFill="1" applyBorder="1" applyAlignment="1">
      <alignment horizontal="center" vertical="center" wrapText="1"/>
    </xf>
    <xf numFmtId="0" fontId="21" fillId="4" borderId="1" xfId="3" applyFont="1" applyFill="1" applyBorder="1" applyAlignment="1">
      <alignment horizontal="center" vertical="center" wrapText="1"/>
    </xf>
    <xf numFmtId="9" fontId="21" fillId="4" borderId="1" xfId="4" applyFont="1" applyFill="1" applyBorder="1" applyAlignment="1">
      <alignment horizontal="center" vertical="center" wrapText="1"/>
    </xf>
    <xf numFmtId="9" fontId="21" fillId="4" borderId="1" xfId="2" applyFont="1" applyFill="1" applyBorder="1" applyAlignment="1">
      <alignment horizontal="center" vertical="center" wrapText="1"/>
    </xf>
    <xf numFmtId="1" fontId="21" fillId="4" borderId="1" xfId="2" applyNumberFormat="1" applyFont="1" applyFill="1" applyBorder="1" applyAlignment="1">
      <alignment horizontal="center" vertical="center" wrapText="1"/>
    </xf>
    <xf numFmtId="9" fontId="55" fillId="4" borderId="1" xfId="4" applyFont="1" applyFill="1" applyBorder="1" applyAlignment="1">
      <alignment horizontal="center" vertical="center" wrapText="1"/>
    </xf>
    <xf numFmtId="49" fontId="19" fillId="0" borderId="1" xfId="3" applyNumberFormat="1" applyFont="1" applyBorder="1" applyAlignment="1">
      <alignment horizontal="center" vertical="center" wrapText="1"/>
    </xf>
    <xf numFmtId="9" fontId="59" fillId="0" borderId="1" xfId="2" applyFont="1" applyFill="1" applyBorder="1" applyAlignment="1">
      <alignment horizontal="center" vertical="center" wrapText="1"/>
    </xf>
    <xf numFmtId="1" fontId="21" fillId="0" borderId="1" xfId="2" applyNumberFormat="1" applyFont="1" applyFill="1" applyBorder="1" applyAlignment="1">
      <alignment horizontal="center" vertical="center" wrapText="1"/>
    </xf>
    <xf numFmtId="9" fontId="55" fillId="0" borderId="1" xfId="4" applyFont="1" applyFill="1" applyBorder="1" applyAlignment="1">
      <alignment horizontal="center" vertical="center" wrapText="1"/>
    </xf>
    <xf numFmtId="49" fontId="18" fillId="0" borderId="1" xfId="0" applyNumberFormat="1" applyFont="1" applyBorder="1" applyAlignment="1">
      <alignment horizontal="center" vertical="center" wrapText="1"/>
    </xf>
    <xf numFmtId="9" fontId="18" fillId="2" borderId="1" xfId="2" applyFont="1" applyFill="1" applyBorder="1" applyAlignment="1">
      <alignment horizontal="center" readingOrder="2"/>
    </xf>
    <xf numFmtId="0" fontId="23" fillId="6" borderId="1" xfId="0" applyFont="1" applyFill="1" applyBorder="1" applyAlignment="1">
      <alignment horizontal="center"/>
    </xf>
    <xf numFmtId="0" fontId="19" fillId="4" borderId="1" xfId="0" applyFont="1" applyFill="1" applyBorder="1" applyAlignment="1">
      <alignment horizontal="center" vertical="center" wrapText="1"/>
    </xf>
    <xf numFmtId="9" fontId="19" fillId="4" borderId="1" xfId="2" applyFont="1" applyFill="1" applyBorder="1" applyAlignment="1">
      <alignment horizontal="center" vertical="center" readingOrder="2"/>
    </xf>
    <xf numFmtId="49" fontId="55" fillId="2" borderId="3" xfId="0" applyNumberFormat="1" applyFont="1" applyFill="1" applyBorder="1" applyAlignment="1">
      <alignment horizontal="center" vertical="center"/>
    </xf>
    <xf numFmtId="0" fontId="23" fillId="2" borderId="0" xfId="0" applyFont="1" applyFill="1" applyAlignment="1">
      <alignment horizontal="center" vertical="center"/>
    </xf>
    <xf numFmtId="0" fontId="18" fillId="2" borderId="3" xfId="0" applyFont="1" applyFill="1" applyBorder="1" applyAlignment="1">
      <alignment horizontal="center" vertical="center"/>
    </xf>
    <xf numFmtId="9" fontId="55" fillId="27" borderId="1" xfId="2" applyFont="1" applyFill="1" applyBorder="1" applyAlignment="1">
      <alignment horizontal="center" vertical="center"/>
    </xf>
    <xf numFmtId="0" fontId="18" fillId="27" borderId="1" xfId="0" applyFont="1" applyFill="1" applyBorder="1" applyAlignment="1">
      <alignment horizontal="left" vertical="center"/>
    </xf>
    <xf numFmtId="0" fontId="18" fillId="27" borderId="1" xfId="0" applyFont="1" applyFill="1" applyBorder="1" applyAlignment="1">
      <alignment horizontal="right" vertical="center"/>
    </xf>
    <xf numFmtId="164" fontId="18" fillId="27" borderId="1" xfId="1" applyNumberFormat="1" applyFont="1" applyFill="1" applyBorder="1"/>
    <xf numFmtId="9" fontId="21" fillId="2" borderId="3" xfId="2" applyFont="1" applyFill="1" applyBorder="1" applyAlignment="1">
      <alignment horizontal="center" vertical="center"/>
    </xf>
    <xf numFmtId="1" fontId="21" fillId="2" borderId="3" xfId="2" applyNumberFormat="1" applyFont="1" applyFill="1" applyBorder="1" applyAlignment="1">
      <alignment horizontal="center" vertical="center"/>
    </xf>
    <xf numFmtId="9" fontId="21" fillId="2" borderId="3" xfId="4" applyFont="1" applyFill="1" applyBorder="1" applyAlignment="1">
      <alignment horizontal="center" vertical="center"/>
    </xf>
    <xf numFmtId="9" fontId="59" fillId="10" borderId="1" xfId="23" applyNumberFormat="1" applyFont="1" applyFill="1" applyBorder="1" applyAlignment="1">
      <alignment horizontal="center" vertical="center"/>
    </xf>
    <xf numFmtId="9" fontId="59" fillId="6" borderId="1" xfId="4" applyFont="1" applyFill="1" applyBorder="1" applyAlignment="1">
      <alignment horizontal="center" vertical="center"/>
    </xf>
    <xf numFmtId="0" fontId="21" fillId="0" borderId="1" xfId="0" applyFont="1" applyBorder="1" applyAlignment="1">
      <alignment horizontal="center" vertical="center" wrapText="1"/>
    </xf>
    <xf numFmtId="9" fontId="55" fillId="2" borderId="1" xfId="0" applyNumberFormat="1" applyFont="1" applyFill="1" applyBorder="1" applyAlignment="1">
      <alignment horizontal="center" vertical="center" wrapText="1"/>
    </xf>
    <xf numFmtId="9" fontId="59" fillId="2" borderId="1" xfId="0" applyNumberFormat="1" applyFont="1" applyFill="1" applyBorder="1" applyAlignment="1">
      <alignment horizontal="center" vertical="center"/>
    </xf>
    <xf numFmtId="9" fontId="55" fillId="4" borderId="1" xfId="0" applyNumberFormat="1" applyFont="1" applyFill="1" applyBorder="1" applyAlignment="1">
      <alignment horizontal="center" vertical="center" wrapText="1"/>
    </xf>
    <xf numFmtId="9" fontId="55" fillId="6" borderId="1" xfId="0" applyNumberFormat="1" applyFont="1" applyFill="1" applyBorder="1" applyAlignment="1">
      <alignment horizontal="center" vertical="center" wrapText="1"/>
    </xf>
    <xf numFmtId="0" fontId="18" fillId="0" borderId="4" xfId="0" applyFont="1" applyBorder="1" applyAlignment="1">
      <alignment horizontal="center" vertical="center"/>
    </xf>
    <xf numFmtId="49" fontId="21" fillId="6" borderId="1" xfId="0" applyNumberFormat="1" applyFont="1" applyFill="1" applyBorder="1" applyAlignment="1">
      <alignment horizontal="center" vertical="center"/>
    </xf>
    <xf numFmtId="9" fontId="55" fillId="0" borderId="1" xfId="0" applyNumberFormat="1" applyFont="1" applyBorder="1" applyAlignment="1">
      <alignment horizontal="center" vertical="center" wrapText="1"/>
    </xf>
    <xf numFmtId="0" fontId="18" fillId="2" borderId="4" xfId="0" applyFont="1" applyFill="1" applyBorder="1" applyAlignment="1">
      <alignment horizontal="center" vertical="center"/>
    </xf>
    <xf numFmtId="9" fontId="56" fillId="2" borderId="6" xfId="0" applyNumberFormat="1" applyFont="1" applyFill="1" applyBorder="1" applyAlignment="1">
      <alignment horizontal="center" vertical="center" wrapText="1"/>
    </xf>
    <xf numFmtId="0" fontId="18" fillId="0" borderId="6" xfId="0" applyFont="1" applyBorder="1" applyAlignment="1">
      <alignment horizontal="center"/>
    </xf>
    <xf numFmtId="0" fontId="18" fillId="0" borderId="6" xfId="0" applyFont="1" applyBorder="1" applyAlignment="1">
      <alignment horizontal="center" vertical="center"/>
    </xf>
    <xf numFmtId="0" fontId="23" fillId="0" borderId="6" xfId="0" applyFont="1" applyBorder="1" applyAlignment="1">
      <alignment horizontal="center" vertical="center"/>
    </xf>
    <xf numFmtId="9" fontId="56" fillId="6" borderId="1" xfId="0" applyNumberFormat="1" applyFont="1" applyFill="1" applyBorder="1" applyAlignment="1">
      <alignment horizontal="center" vertical="center" wrapText="1"/>
    </xf>
    <xf numFmtId="0" fontId="18" fillId="2" borderId="6" xfId="0" applyFont="1" applyFill="1" applyBorder="1" applyAlignment="1">
      <alignment horizontal="center"/>
    </xf>
    <xf numFmtId="0" fontId="23" fillId="2" borderId="6" xfId="0" applyFont="1" applyFill="1" applyBorder="1" applyAlignment="1">
      <alignment horizontal="center" vertical="center"/>
    </xf>
    <xf numFmtId="0" fontId="18" fillId="2" borderId="6" xfId="0" applyFont="1" applyFill="1" applyBorder="1"/>
    <xf numFmtId="0" fontId="19" fillId="2" borderId="6" xfId="0" applyFont="1" applyFill="1" applyBorder="1" applyAlignment="1">
      <alignment horizontal="center" vertical="center" wrapText="1"/>
    </xf>
    <xf numFmtId="0" fontId="19" fillId="2" borderId="6" xfId="0" applyFont="1" applyFill="1" applyBorder="1" applyAlignment="1">
      <alignment horizontal="center" vertical="center"/>
    </xf>
    <xf numFmtId="9" fontId="56" fillId="2" borderId="6" xfId="0" applyNumberFormat="1" applyFont="1" applyFill="1" applyBorder="1" applyAlignment="1">
      <alignment horizontal="center" vertical="center"/>
    </xf>
    <xf numFmtId="9" fontId="21" fillId="2" borderId="6" xfId="2" applyFont="1" applyFill="1" applyBorder="1" applyAlignment="1">
      <alignment horizontal="center" vertical="center"/>
    </xf>
    <xf numFmtId="1" fontId="21" fillId="2" borderId="6" xfId="2" applyNumberFormat="1" applyFont="1" applyFill="1" applyBorder="1" applyAlignment="1">
      <alignment horizontal="center" vertical="center"/>
    </xf>
    <xf numFmtId="9" fontId="21" fillId="2" borderId="6" xfId="4" applyFont="1" applyFill="1" applyBorder="1" applyAlignment="1">
      <alignment horizontal="center" vertical="center"/>
    </xf>
    <xf numFmtId="0" fontId="18" fillId="0" borderId="9" xfId="0" applyFont="1" applyBorder="1" applyAlignment="1">
      <alignment horizontal="center" vertical="center"/>
    </xf>
    <xf numFmtId="0" fontId="55" fillId="0" borderId="3" xfId="0" applyFont="1" applyBorder="1" applyAlignment="1">
      <alignment horizontal="center"/>
    </xf>
    <xf numFmtId="0" fontId="18" fillId="6" borderId="3" xfId="0" applyFont="1" applyFill="1" applyBorder="1" applyAlignment="1">
      <alignment horizontal="center"/>
    </xf>
    <xf numFmtId="49" fontId="18" fillId="0" borderId="3" xfId="0" applyNumberFormat="1" applyFont="1" applyBorder="1" applyAlignment="1">
      <alignment horizontal="center" vertical="center"/>
    </xf>
    <xf numFmtId="9" fontId="56" fillId="6" borderId="3" xfId="0" applyNumberFormat="1" applyFont="1" applyFill="1" applyBorder="1" applyAlignment="1">
      <alignment horizontal="center" vertical="center" wrapText="1"/>
    </xf>
    <xf numFmtId="0" fontId="19" fillId="0" borderId="3" xfId="0" applyFont="1" applyBorder="1" applyAlignment="1">
      <alignment horizontal="center" vertical="center" wrapText="1"/>
    </xf>
    <xf numFmtId="9" fontId="56" fillId="0" borderId="3" xfId="0" applyNumberFormat="1" applyFont="1" applyBorder="1" applyAlignment="1">
      <alignment horizontal="center" vertical="center" wrapText="1"/>
    </xf>
    <xf numFmtId="49" fontId="18" fillId="2" borderId="1" xfId="0" applyNumberFormat="1" applyFont="1" applyFill="1" applyBorder="1" applyAlignment="1">
      <alignment vertical="center" wrapText="1"/>
    </xf>
    <xf numFmtId="1" fontId="18" fillId="2" borderId="1" xfId="0" applyNumberFormat="1" applyFont="1" applyFill="1" applyBorder="1" applyAlignment="1">
      <alignment horizontal="center" vertical="center" wrapText="1"/>
    </xf>
    <xf numFmtId="9" fontId="56" fillId="28" borderId="1" xfId="0" applyNumberFormat="1" applyFont="1" applyFill="1" applyBorder="1" applyAlignment="1">
      <alignment horizontal="center" vertical="center" wrapText="1"/>
    </xf>
    <xf numFmtId="49" fontId="18" fillId="4" borderId="1" xfId="0" applyNumberFormat="1" applyFont="1" applyFill="1" applyBorder="1" applyAlignment="1">
      <alignment vertical="center" wrapText="1"/>
    </xf>
    <xf numFmtId="1" fontId="18" fillId="4" borderId="1" xfId="0" applyNumberFormat="1" applyFont="1" applyFill="1" applyBorder="1" applyAlignment="1">
      <alignment horizontal="center" vertical="center" wrapText="1"/>
    </xf>
    <xf numFmtId="0" fontId="21" fillId="4" borderId="1" xfId="0" applyFont="1" applyFill="1" applyBorder="1" applyAlignment="1">
      <alignment vertical="center"/>
    </xf>
    <xf numFmtId="49" fontId="18" fillId="0" borderId="1" xfId="0" applyNumberFormat="1" applyFont="1" applyBorder="1" applyAlignment="1">
      <alignment vertical="center" wrapText="1"/>
    </xf>
    <xf numFmtId="1" fontId="18" fillId="0" borderId="1" xfId="0" applyNumberFormat="1" applyFont="1" applyBorder="1" applyAlignment="1">
      <alignment horizontal="center" vertical="center" wrapText="1"/>
    </xf>
    <xf numFmtId="9" fontId="59" fillId="0" borderId="1" xfId="0" applyNumberFormat="1" applyFont="1" applyBorder="1" applyAlignment="1">
      <alignment horizontal="center" vertical="center" wrapText="1"/>
    </xf>
    <xf numFmtId="0" fontId="21" fillId="6" borderId="1" xfId="0" applyFont="1" applyFill="1" applyBorder="1" applyAlignment="1">
      <alignment horizontal="center" vertical="center" wrapText="1"/>
    </xf>
    <xf numFmtId="49" fontId="19" fillId="2" borderId="1" xfId="0" applyNumberFormat="1" applyFont="1" applyFill="1" applyBorder="1" applyAlignment="1">
      <alignment horizontal="left" vertical="center" wrapText="1"/>
    </xf>
    <xf numFmtId="49" fontId="19" fillId="4" borderId="1" xfId="0" applyNumberFormat="1" applyFont="1" applyFill="1" applyBorder="1" applyAlignment="1">
      <alignment horizontal="left" vertical="center" wrapText="1"/>
    </xf>
    <xf numFmtId="9" fontId="59" fillId="4" borderId="1" xfId="0" applyNumberFormat="1" applyFont="1" applyFill="1" applyBorder="1" applyAlignment="1">
      <alignment horizontal="center"/>
    </xf>
    <xf numFmtId="49" fontId="19" fillId="6" borderId="1" xfId="0" applyNumberFormat="1" applyFont="1" applyFill="1" applyBorder="1" applyAlignment="1">
      <alignment horizontal="left" vertical="center" wrapText="1"/>
    </xf>
    <xf numFmtId="1" fontId="18" fillId="6" borderId="1" xfId="0" applyNumberFormat="1" applyFont="1" applyFill="1" applyBorder="1" applyAlignment="1">
      <alignment horizontal="center" vertical="center" wrapText="1"/>
    </xf>
    <xf numFmtId="9" fontId="59" fillId="6" borderId="1" xfId="0" applyNumberFormat="1" applyFont="1" applyFill="1" applyBorder="1" applyAlignment="1">
      <alignment horizontal="center" vertical="center" wrapText="1"/>
    </xf>
    <xf numFmtId="49" fontId="19" fillId="0" borderId="1" xfId="0" applyNumberFormat="1" applyFont="1" applyBorder="1" applyAlignment="1">
      <alignment horizontal="left" vertical="center" wrapText="1"/>
    </xf>
    <xf numFmtId="9" fontId="19" fillId="2" borderId="1" xfId="0" applyNumberFormat="1" applyFont="1" applyFill="1" applyBorder="1" applyAlignment="1">
      <alignment horizontal="center" vertical="center" wrapText="1"/>
    </xf>
    <xf numFmtId="9" fontId="19" fillId="4" borderId="1" xfId="0" applyNumberFormat="1" applyFont="1" applyFill="1" applyBorder="1" applyAlignment="1">
      <alignment horizontal="center" vertical="center" wrapText="1"/>
    </xf>
    <xf numFmtId="9" fontId="19" fillId="6" borderId="1" xfId="0" applyNumberFormat="1" applyFont="1" applyFill="1" applyBorder="1" applyAlignment="1">
      <alignment horizontal="center" vertical="center" wrapText="1"/>
    </xf>
    <xf numFmtId="9" fontId="19" fillId="6" borderId="3" xfId="0" applyNumberFormat="1" applyFont="1" applyFill="1" applyBorder="1" applyAlignment="1">
      <alignment horizontal="center" vertical="center" wrapText="1"/>
    </xf>
    <xf numFmtId="0" fontId="21" fillId="0" borderId="3" xfId="0" applyFont="1" applyBorder="1" applyAlignment="1">
      <alignment horizontal="center" vertical="center" wrapText="1"/>
    </xf>
    <xf numFmtId="9" fontId="56" fillId="6" borderId="3" xfId="0" applyNumberFormat="1" applyFont="1" applyFill="1" applyBorder="1" applyAlignment="1">
      <alignment horizontal="center" vertical="center"/>
    </xf>
    <xf numFmtId="1" fontId="21" fillId="6" borderId="3" xfId="2" applyNumberFormat="1" applyFont="1" applyFill="1" applyBorder="1" applyAlignment="1">
      <alignment horizontal="center" vertical="center"/>
    </xf>
    <xf numFmtId="9" fontId="21" fillId="6" borderId="3" xfId="4" applyFont="1" applyFill="1" applyBorder="1" applyAlignment="1">
      <alignment horizontal="center" vertical="center"/>
    </xf>
    <xf numFmtId="0" fontId="55" fillId="0" borderId="3" xfId="0" applyFont="1" applyBorder="1"/>
    <xf numFmtId="9" fontId="21" fillId="4" borderId="3" xfId="2" applyFont="1" applyFill="1" applyBorder="1" applyAlignment="1">
      <alignment horizontal="center" vertical="center"/>
    </xf>
    <xf numFmtId="1" fontId="21" fillId="4" borderId="3" xfId="2" applyNumberFormat="1" applyFont="1" applyFill="1" applyBorder="1" applyAlignment="1">
      <alignment horizontal="center" vertical="center"/>
    </xf>
    <xf numFmtId="9" fontId="21" fillId="4" borderId="3" xfId="4" applyFont="1" applyFill="1" applyBorder="1" applyAlignment="1">
      <alignment horizontal="center" vertical="center"/>
    </xf>
    <xf numFmtId="0" fontId="18" fillId="0" borderId="3" xfId="0" applyFont="1" applyBorder="1" applyAlignment="1">
      <alignment horizontal="center"/>
    </xf>
    <xf numFmtId="0" fontId="55" fillId="0" borderId="3" xfId="0" applyFont="1" applyBorder="1" applyAlignment="1">
      <alignment horizontal="center" vertical="center"/>
    </xf>
    <xf numFmtId="0" fontId="55" fillId="2" borderId="1" xfId="0" applyFont="1" applyFill="1" applyBorder="1" applyAlignment="1">
      <alignment horizontal="center"/>
    </xf>
    <xf numFmtId="1" fontId="55" fillId="19" borderId="1" xfId="0" applyNumberFormat="1" applyFont="1" applyFill="1" applyBorder="1" applyAlignment="1">
      <alignment horizontal="center" vertical="center" wrapText="1"/>
    </xf>
    <xf numFmtId="9" fontId="19" fillId="2" borderId="1" xfId="2" applyFont="1" applyFill="1" applyBorder="1" applyAlignment="1">
      <alignment horizontal="center"/>
    </xf>
    <xf numFmtId="9" fontId="61" fillId="2" borderId="1" xfId="2" applyFont="1" applyFill="1" applyBorder="1" applyAlignment="1">
      <alignment horizontal="center" vertical="center"/>
    </xf>
    <xf numFmtId="9" fontId="55" fillId="10" borderId="1" xfId="2" applyFont="1" applyFill="1" applyBorder="1" applyAlignment="1">
      <alignment horizontal="center"/>
    </xf>
    <xf numFmtId="1" fontId="55" fillId="21" borderId="1" xfId="0" applyNumberFormat="1" applyFont="1" applyFill="1" applyBorder="1" applyAlignment="1">
      <alignment horizontal="center" vertical="center" wrapText="1"/>
    </xf>
    <xf numFmtId="9" fontId="60" fillId="0" borderId="1" xfId="3" applyNumberFormat="1" applyFont="1" applyBorder="1" applyAlignment="1">
      <alignment horizontal="center" vertical="center"/>
    </xf>
    <xf numFmtId="9" fontId="60" fillId="0" borderId="1" xfId="2" applyFont="1" applyFill="1" applyBorder="1" applyAlignment="1">
      <alignment horizontal="center" vertical="center"/>
    </xf>
    <xf numFmtId="9" fontId="19" fillId="0" borderId="1" xfId="2" applyFont="1" applyFill="1" applyBorder="1" applyAlignment="1">
      <alignment horizontal="center"/>
    </xf>
    <xf numFmtId="9" fontId="61" fillId="0" borderId="4" xfId="2" applyFont="1" applyFill="1" applyBorder="1" applyAlignment="1">
      <alignment horizontal="center" vertical="center"/>
    </xf>
    <xf numFmtId="1" fontId="21" fillId="0" borderId="1" xfId="4" applyNumberFormat="1" applyFont="1" applyFill="1" applyBorder="1" applyAlignment="1">
      <alignment horizontal="center" vertical="center"/>
    </xf>
    <xf numFmtId="9" fontId="61" fillId="0" borderId="1" xfId="2" applyFont="1" applyFill="1" applyBorder="1"/>
    <xf numFmtId="0" fontId="61" fillId="0" borderId="1" xfId="0" applyFont="1" applyBorder="1"/>
    <xf numFmtId="0" fontId="21" fillId="2" borderId="1" xfId="0" applyFont="1" applyFill="1" applyBorder="1" applyAlignment="1">
      <alignment horizontal="center" vertical="center" readingOrder="2"/>
    </xf>
    <xf numFmtId="0" fontId="21" fillId="6" borderId="1" xfId="0" applyFont="1" applyFill="1" applyBorder="1" applyAlignment="1">
      <alignment horizontal="center" vertical="center" readingOrder="2"/>
    </xf>
    <xf numFmtId="9" fontId="61" fillId="6" borderId="1" xfId="2" applyFont="1" applyFill="1" applyBorder="1" applyAlignment="1">
      <alignment horizontal="center" vertical="center"/>
    </xf>
    <xf numFmtId="1" fontId="21" fillId="6" borderId="1" xfId="4" applyNumberFormat="1" applyFont="1" applyFill="1" applyBorder="1" applyAlignment="1">
      <alignment horizontal="center" vertical="center"/>
    </xf>
    <xf numFmtId="0" fontId="61" fillId="6" borderId="1" xfId="0" applyFont="1" applyFill="1" applyBorder="1" applyAlignment="1">
      <alignment horizontal="center"/>
    </xf>
    <xf numFmtId="0" fontId="21" fillId="0" borderId="1" xfId="0" applyFont="1" applyBorder="1" applyAlignment="1">
      <alignment horizontal="center" vertical="center" readingOrder="2"/>
    </xf>
    <xf numFmtId="9" fontId="61" fillId="0" borderId="1" xfId="2" applyFont="1" applyBorder="1" applyAlignment="1">
      <alignment horizontal="center" vertical="center"/>
    </xf>
    <xf numFmtId="0" fontId="61" fillId="0" borderId="1" xfId="0" applyFont="1" applyBorder="1" applyAlignment="1">
      <alignment horizontal="center"/>
    </xf>
    <xf numFmtId="49" fontId="19" fillId="11" borderId="1" xfId="0" applyNumberFormat="1" applyFont="1" applyFill="1" applyBorder="1" applyAlignment="1">
      <alignment horizontal="center" vertical="center" readingOrder="2"/>
    </xf>
    <xf numFmtId="9" fontId="60" fillId="2" borderId="1" xfId="0" applyNumberFormat="1" applyFont="1" applyFill="1" applyBorder="1" applyAlignment="1">
      <alignment horizontal="center" vertical="center"/>
    </xf>
    <xf numFmtId="0" fontId="67" fillId="2" borderId="1" xfId="0" applyFont="1" applyFill="1" applyBorder="1" applyAlignment="1">
      <alignment horizontal="center" vertical="center" wrapText="1"/>
    </xf>
    <xf numFmtId="9" fontId="68" fillId="2" borderId="1" xfId="0" applyNumberFormat="1" applyFont="1" applyFill="1" applyBorder="1" applyAlignment="1">
      <alignment horizontal="center" vertical="center" wrapText="1"/>
    </xf>
    <xf numFmtId="49" fontId="21" fillId="13" borderId="1" xfId="0" applyNumberFormat="1" applyFont="1" applyFill="1" applyBorder="1" applyAlignment="1">
      <alignment horizontal="center" vertical="center" readingOrder="2"/>
    </xf>
    <xf numFmtId="9" fontId="61" fillId="6" borderId="1" xfId="0" applyNumberFormat="1" applyFont="1" applyFill="1" applyBorder="1" applyAlignment="1">
      <alignment horizontal="center" vertical="center"/>
    </xf>
    <xf numFmtId="0" fontId="67" fillId="6" borderId="1" xfId="0" applyFont="1" applyFill="1" applyBorder="1" applyAlignment="1">
      <alignment horizontal="center" vertical="center" wrapText="1"/>
    </xf>
    <xf numFmtId="0" fontId="67" fillId="6" borderId="1" xfId="0" applyFont="1" applyFill="1" applyBorder="1" applyAlignment="1">
      <alignment horizontal="center" vertical="center"/>
    </xf>
    <xf numFmtId="9" fontId="67" fillId="0" borderId="1" xfId="0" applyNumberFormat="1" applyFont="1" applyBorder="1" applyAlignment="1">
      <alignment horizontal="center" vertical="center" wrapText="1"/>
    </xf>
    <xf numFmtId="0" fontId="61" fillId="6" borderId="1" xfId="0" applyFont="1" applyFill="1" applyBorder="1" applyAlignment="1">
      <alignment horizontal="center" vertical="center"/>
    </xf>
    <xf numFmtId="49" fontId="21" fillId="29" borderId="1" xfId="0" applyNumberFormat="1" applyFont="1" applyFill="1" applyBorder="1" applyAlignment="1">
      <alignment horizontal="center" vertical="center" readingOrder="2"/>
    </xf>
    <xf numFmtId="9" fontId="61" fillId="0" borderId="1" xfId="0" applyNumberFormat="1" applyFont="1" applyBorder="1" applyAlignment="1">
      <alignment horizontal="center" vertical="center"/>
    </xf>
    <xf numFmtId="0" fontId="67" fillId="0" borderId="1" xfId="0" applyFont="1" applyBorder="1" applyAlignment="1">
      <alignment horizontal="center" vertical="center" wrapText="1"/>
    </xf>
    <xf numFmtId="9" fontId="69" fillId="2" borderId="1" xfId="2" applyFont="1" applyFill="1" applyBorder="1" applyAlignment="1">
      <alignment horizontal="center" vertical="center"/>
    </xf>
    <xf numFmtId="164" fontId="21" fillId="6" borderId="1" xfId="6" applyNumberFormat="1" applyFont="1" applyFill="1" applyBorder="1" applyAlignment="1">
      <alignment horizontal="center" vertical="center"/>
    </xf>
    <xf numFmtId="9" fontId="69" fillId="6" borderId="1" xfId="2" applyFont="1" applyFill="1" applyBorder="1" applyAlignment="1">
      <alignment horizontal="center" vertical="center"/>
    </xf>
    <xf numFmtId="0" fontId="61" fillId="6" borderId="1" xfId="0" applyFont="1" applyFill="1" applyBorder="1"/>
    <xf numFmtId="0" fontId="18" fillId="6" borderId="12" xfId="0" applyFont="1" applyFill="1" applyBorder="1" applyAlignment="1">
      <alignment horizontal="center" vertical="center" wrapText="1"/>
    </xf>
    <xf numFmtId="0" fontId="18" fillId="6" borderId="1" xfId="0" applyFont="1" applyFill="1" applyBorder="1" applyAlignment="1">
      <alignment horizontal="right" vertical="center" wrapText="1" readingOrder="2"/>
    </xf>
    <xf numFmtId="9" fontId="69" fillId="0" borderId="1" xfId="2" applyFont="1"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0" fontId="61" fillId="0" borderId="1" xfId="0" applyFont="1" applyBorder="1" applyAlignment="1">
      <alignment horizontal="center" vertical="center"/>
    </xf>
    <xf numFmtId="0" fontId="0" fillId="0" borderId="1" xfId="0" applyBorder="1"/>
    <xf numFmtId="0" fontId="70" fillId="2" borderId="1" xfId="0" applyFont="1" applyFill="1" applyBorder="1" applyAlignment="1">
      <alignment horizontal="center" vertical="center"/>
    </xf>
    <xf numFmtId="0" fontId="71" fillId="2" borderId="1" xfId="0" applyFont="1" applyFill="1" applyBorder="1" applyAlignment="1">
      <alignment horizontal="center" vertical="center"/>
    </xf>
    <xf numFmtId="49" fontId="71" fillId="2" borderId="1" xfId="0" applyNumberFormat="1" applyFont="1" applyFill="1" applyBorder="1" applyAlignment="1">
      <alignment horizontal="center" vertical="center"/>
    </xf>
    <xf numFmtId="0" fontId="71" fillId="2" borderId="1" xfId="0" applyFont="1" applyFill="1" applyBorder="1" applyAlignment="1">
      <alignment horizontal="center"/>
    </xf>
    <xf numFmtId="0" fontId="71" fillId="2" borderId="1" xfId="0" applyFont="1" applyFill="1" applyBorder="1" applyAlignment="1">
      <alignment horizontal="left" vertical="center"/>
    </xf>
    <xf numFmtId="0" fontId="71" fillId="2" borderId="1" xfId="0" applyFont="1" applyFill="1" applyBorder="1" applyAlignment="1">
      <alignment horizontal="right" vertical="center"/>
    </xf>
    <xf numFmtId="0" fontId="71" fillId="2" borderId="1" xfId="0" applyFont="1" applyFill="1" applyBorder="1"/>
    <xf numFmtId="9" fontId="72" fillId="2" borderId="1" xfId="0" applyNumberFormat="1" applyFont="1" applyFill="1" applyBorder="1" applyAlignment="1">
      <alignment horizontal="center" vertical="center"/>
    </xf>
    <xf numFmtId="9" fontId="71" fillId="2" borderId="1" xfId="0" applyNumberFormat="1" applyFont="1" applyFill="1" applyBorder="1" applyAlignment="1">
      <alignment horizontal="center" vertical="center"/>
    </xf>
    <xf numFmtId="9" fontId="73" fillId="2" borderId="1" xfId="2" applyFont="1" applyFill="1" applyBorder="1" applyAlignment="1">
      <alignment horizontal="center" vertical="center"/>
    </xf>
    <xf numFmtId="0" fontId="70" fillId="0" borderId="1" xfId="0" applyFont="1" applyBorder="1" applyAlignment="1">
      <alignment horizontal="center" vertical="center"/>
    </xf>
    <xf numFmtId="0" fontId="71" fillId="0" borderId="1" xfId="0" applyFont="1" applyBorder="1" applyAlignment="1">
      <alignment horizontal="center" vertical="center"/>
    </xf>
    <xf numFmtId="49" fontId="71" fillId="0" borderId="1" xfId="0" applyNumberFormat="1" applyFont="1" applyBorder="1" applyAlignment="1">
      <alignment horizontal="center" vertical="center"/>
    </xf>
    <xf numFmtId="0" fontId="71" fillId="0" borderId="1" xfId="0" applyFont="1" applyBorder="1" applyAlignment="1">
      <alignment horizontal="center"/>
    </xf>
    <xf numFmtId="9" fontId="61" fillId="0" borderId="1" xfId="2" applyFont="1" applyFill="1" applyBorder="1" applyAlignment="1">
      <alignment horizontal="center" vertical="center"/>
    </xf>
    <xf numFmtId="0" fontId="71" fillId="0" borderId="1" xfId="0" applyFont="1" applyBorder="1" applyAlignment="1">
      <alignment horizontal="left" vertical="center"/>
    </xf>
    <xf numFmtId="0" fontId="71" fillId="0" borderId="1" xfId="0" applyFont="1" applyBorder="1" applyAlignment="1">
      <alignment horizontal="right" vertical="center"/>
    </xf>
    <xf numFmtId="0" fontId="71" fillId="0" borderId="1" xfId="0" applyFont="1" applyBorder="1"/>
    <xf numFmtId="9" fontId="72" fillId="0" borderId="6" xfId="0" applyNumberFormat="1" applyFont="1" applyBorder="1" applyAlignment="1">
      <alignment horizontal="center" vertical="center"/>
    </xf>
    <xf numFmtId="9" fontId="71" fillId="0" borderId="1" xfId="0" applyNumberFormat="1" applyFont="1" applyBorder="1" applyAlignment="1">
      <alignment horizontal="center" vertical="center"/>
    </xf>
    <xf numFmtId="9" fontId="73" fillId="0" borderId="1" xfId="2" applyFont="1" applyFill="1" applyBorder="1" applyAlignment="1">
      <alignment horizontal="center" vertical="center"/>
    </xf>
    <xf numFmtId="0" fontId="70" fillId="0" borderId="1" xfId="0" applyFont="1" applyBorder="1" applyAlignment="1">
      <alignment horizontal="right" vertical="center"/>
    </xf>
    <xf numFmtId="0" fontId="71" fillId="0" borderId="1" xfId="0" applyFont="1" applyBorder="1" applyAlignment="1">
      <alignment horizontal="right"/>
    </xf>
    <xf numFmtId="9" fontId="72" fillId="2" borderId="1" xfId="2" applyFont="1" applyFill="1" applyBorder="1" applyAlignment="1">
      <alignment horizontal="center" vertical="center"/>
    </xf>
    <xf numFmtId="9" fontId="72" fillId="0" borderId="1" xfId="2" applyFont="1" applyFill="1" applyBorder="1" applyAlignment="1">
      <alignment horizontal="center" vertical="center"/>
    </xf>
    <xf numFmtId="0" fontId="73" fillId="0" borderId="1" xfId="0" applyFont="1" applyBorder="1" applyAlignment="1">
      <alignment horizontal="left" vertical="center"/>
    </xf>
    <xf numFmtId="0" fontId="73" fillId="0" borderId="6" xfId="0" applyFont="1" applyBorder="1" applyAlignment="1">
      <alignment horizontal="left" vertical="center"/>
    </xf>
    <xf numFmtId="0" fontId="71" fillId="2" borderId="1" xfId="0" applyFont="1" applyFill="1" applyBorder="1" applyAlignment="1">
      <alignment horizontal="right"/>
    </xf>
    <xf numFmtId="49" fontId="73" fillId="2" borderId="1" xfId="0" applyNumberFormat="1" applyFont="1" applyFill="1" applyBorder="1" applyAlignment="1">
      <alignment horizontal="center" vertical="center" readingOrder="2"/>
    </xf>
    <xf numFmtId="49" fontId="73" fillId="2" borderId="5" xfId="0" applyNumberFormat="1" applyFont="1" applyFill="1" applyBorder="1" applyAlignment="1">
      <alignment horizontal="center" vertical="center" readingOrder="2"/>
    </xf>
    <xf numFmtId="9" fontId="69" fillId="2" borderId="13" xfId="0" applyNumberFormat="1" applyFont="1" applyFill="1" applyBorder="1" applyAlignment="1">
      <alignment horizontal="center" vertical="center"/>
    </xf>
    <xf numFmtId="49" fontId="73" fillId="0" borderId="6" xfId="0" applyNumberFormat="1" applyFont="1" applyBorder="1" applyAlignment="1">
      <alignment horizontal="center" vertical="center" readingOrder="2"/>
    </xf>
    <xf numFmtId="49" fontId="73" fillId="0" borderId="7" xfId="0" applyNumberFormat="1" applyFont="1" applyBorder="1" applyAlignment="1">
      <alignment horizontal="center" vertical="center" readingOrder="2"/>
    </xf>
    <xf numFmtId="9" fontId="69" fillId="0" borderId="2" xfId="0" applyNumberFormat="1" applyFont="1" applyBorder="1" applyAlignment="1">
      <alignment horizontal="center" vertical="center"/>
    </xf>
    <xf numFmtId="9" fontId="74" fillId="0" borderId="1" xfId="0" applyNumberFormat="1" applyFont="1" applyBorder="1" applyAlignment="1">
      <alignment horizontal="center"/>
    </xf>
    <xf numFmtId="0" fontId="73" fillId="2" borderId="1" xfId="0" applyFont="1" applyFill="1" applyBorder="1" applyAlignment="1">
      <alignment horizontal="center" vertical="center"/>
    </xf>
    <xf numFmtId="0" fontId="73" fillId="2" borderId="1" xfId="0" applyFont="1" applyFill="1" applyBorder="1" applyAlignment="1">
      <alignment horizontal="center" vertical="center" readingOrder="2"/>
    </xf>
    <xf numFmtId="9" fontId="54" fillId="2" borderId="1" xfId="2" applyFont="1" applyFill="1" applyBorder="1" applyAlignment="1">
      <alignment horizontal="center" vertical="center"/>
    </xf>
    <xf numFmtId="9" fontId="17" fillId="2" borderId="1" xfId="2" applyFont="1" applyFill="1" applyBorder="1" applyAlignment="1">
      <alignment horizontal="center" vertical="center"/>
    </xf>
    <xf numFmtId="9" fontId="74" fillId="2" borderId="1" xfId="2" applyFont="1" applyFill="1" applyBorder="1" applyAlignment="1">
      <alignment horizontal="center" vertical="center"/>
    </xf>
    <xf numFmtId="9" fontId="75" fillId="2" borderId="1" xfId="2" applyFont="1" applyFill="1" applyBorder="1" applyAlignment="1">
      <alignment horizontal="center" vertical="center"/>
    </xf>
    <xf numFmtId="1" fontId="75" fillId="2" borderId="1" xfId="4" applyNumberFormat="1" applyFont="1" applyFill="1" applyBorder="1" applyAlignment="1">
      <alignment horizontal="center" vertical="center"/>
    </xf>
    <xf numFmtId="9" fontId="0" fillId="2" borderId="1" xfId="0" applyNumberFormat="1" applyFill="1" applyBorder="1" applyAlignment="1">
      <alignment horizontal="center" vertical="center"/>
    </xf>
    <xf numFmtId="0" fontId="70" fillId="6" borderId="1" xfId="0" applyFont="1" applyFill="1" applyBorder="1" applyAlignment="1">
      <alignment horizontal="center" vertical="center"/>
    </xf>
    <xf numFmtId="49" fontId="71" fillId="6" borderId="1" xfId="0" applyNumberFormat="1" applyFont="1" applyFill="1" applyBorder="1" applyAlignment="1">
      <alignment horizontal="center" vertical="center"/>
    </xf>
    <xf numFmtId="0" fontId="71" fillId="6" borderId="1" xfId="0" applyFont="1" applyFill="1" applyBorder="1" applyAlignment="1">
      <alignment horizontal="center" vertical="center"/>
    </xf>
    <xf numFmtId="0" fontId="73" fillId="6" borderId="1" xfId="0" applyFont="1" applyFill="1" applyBorder="1" applyAlignment="1">
      <alignment horizontal="center" vertical="center"/>
    </xf>
    <xf numFmtId="0" fontId="73" fillId="6" borderId="1" xfId="0" applyFont="1" applyFill="1" applyBorder="1" applyAlignment="1">
      <alignment horizontal="center" vertical="center" readingOrder="2"/>
    </xf>
    <xf numFmtId="0" fontId="54" fillId="6" borderId="1" xfId="0" applyFont="1" applyFill="1" applyBorder="1" applyAlignment="1">
      <alignment horizontal="center" vertical="center" wrapText="1"/>
    </xf>
    <xf numFmtId="9" fontId="17" fillId="6" borderId="1" xfId="2" applyFont="1" applyFill="1" applyBorder="1" applyAlignment="1">
      <alignment horizontal="center" vertical="center"/>
    </xf>
    <xf numFmtId="9" fontId="74" fillId="6" borderId="1" xfId="2" applyFont="1" applyFill="1" applyBorder="1" applyAlignment="1">
      <alignment horizontal="center" vertical="center"/>
    </xf>
    <xf numFmtId="1" fontId="75" fillId="6" borderId="1" xfId="4" applyNumberFormat="1" applyFont="1" applyFill="1" applyBorder="1" applyAlignment="1">
      <alignment horizontal="center" vertical="center"/>
    </xf>
    <xf numFmtId="9" fontId="0" fillId="6" borderId="1" xfId="0" applyNumberFormat="1" applyFill="1"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49" fontId="54" fillId="6" borderId="1" xfId="0" applyNumberFormat="1" applyFont="1" applyFill="1" applyBorder="1" applyAlignment="1">
      <alignment horizontal="center" vertical="center"/>
    </xf>
    <xf numFmtId="0" fontId="54" fillId="2" borderId="1" xfId="0" applyFont="1" applyFill="1" applyBorder="1" applyAlignment="1">
      <alignment horizontal="center" vertical="center" wrapText="1"/>
    </xf>
    <xf numFmtId="0" fontId="55" fillId="30" borderId="1" xfId="0" applyFont="1" applyFill="1" applyBorder="1" applyAlignment="1">
      <alignment horizontal="center" vertical="center"/>
    </xf>
    <xf numFmtId="49" fontId="54" fillId="2" borderId="1" xfId="0" applyNumberFormat="1" applyFont="1" applyFill="1" applyBorder="1" applyAlignment="1">
      <alignment horizontal="center" vertical="center"/>
    </xf>
    <xf numFmtId="9" fontId="71" fillId="2" borderId="1" xfId="2" applyFont="1" applyFill="1" applyBorder="1" applyAlignment="1">
      <alignment horizontal="center" vertical="center"/>
    </xf>
    <xf numFmtId="9" fontId="61" fillId="4" borderId="1" xfId="2" applyFont="1" applyFill="1" applyBorder="1" applyAlignment="1">
      <alignment horizontal="center" vertical="center"/>
    </xf>
    <xf numFmtId="0" fontId="71" fillId="4" borderId="1" xfId="0" applyFont="1" applyFill="1" applyBorder="1" applyAlignment="1">
      <alignment horizontal="right" vertical="center"/>
    </xf>
    <xf numFmtId="9" fontId="74" fillId="4" borderId="1" xfId="2" applyFont="1" applyFill="1" applyBorder="1" applyAlignment="1">
      <alignment horizontal="center" vertical="center"/>
    </xf>
    <xf numFmtId="9" fontId="71" fillId="4" borderId="1" xfId="2" applyFont="1" applyFill="1" applyBorder="1" applyAlignment="1">
      <alignment horizontal="center" vertical="center"/>
    </xf>
    <xf numFmtId="9" fontId="74" fillId="0" borderId="1" xfId="2" applyFont="1" applyFill="1" applyBorder="1" applyAlignment="1">
      <alignment horizontal="center" vertical="center"/>
    </xf>
    <xf numFmtId="9" fontId="71" fillId="0" borderId="1" xfId="2" applyFont="1" applyFill="1" applyBorder="1" applyAlignment="1">
      <alignment horizontal="center" vertical="center"/>
    </xf>
    <xf numFmtId="49" fontId="76" fillId="2" borderId="1" xfId="0" applyNumberFormat="1" applyFont="1" applyFill="1" applyBorder="1" applyAlignment="1">
      <alignment horizontal="left" vertical="center"/>
    </xf>
    <xf numFmtId="49" fontId="76" fillId="2" borderId="3" xfId="0" applyNumberFormat="1" applyFont="1" applyFill="1" applyBorder="1" applyAlignment="1">
      <alignment horizontal="center" vertical="center"/>
    </xf>
    <xf numFmtId="0" fontId="76" fillId="2" borderId="1" xfId="0" applyFont="1" applyFill="1" applyBorder="1" applyAlignment="1">
      <alignment horizontal="center" vertical="center"/>
    </xf>
    <xf numFmtId="49" fontId="76" fillId="2" borderId="1" xfId="0" applyNumberFormat="1" applyFont="1" applyFill="1" applyBorder="1" applyAlignment="1">
      <alignment horizontal="center" vertical="center"/>
    </xf>
    <xf numFmtId="49" fontId="76" fillId="4" borderId="1" xfId="0" applyNumberFormat="1" applyFont="1" applyFill="1" applyBorder="1" applyAlignment="1">
      <alignment horizontal="center" vertical="center"/>
    </xf>
    <xf numFmtId="9" fontId="61" fillId="2" borderId="3" xfId="2" applyFont="1" applyFill="1" applyBorder="1" applyAlignment="1">
      <alignment horizontal="center" vertical="center"/>
    </xf>
    <xf numFmtId="0" fontId="76" fillId="2" borderId="1" xfId="0" applyFont="1" applyFill="1" applyBorder="1" applyAlignment="1">
      <alignment horizontal="left" vertical="center"/>
    </xf>
    <xf numFmtId="0" fontId="17" fillId="2" borderId="1" xfId="0" applyFont="1" applyFill="1" applyBorder="1" applyAlignment="1">
      <alignment horizontal="center" vertical="center" wrapText="1"/>
    </xf>
    <xf numFmtId="0" fontId="76" fillId="2" borderId="1" xfId="0" applyFont="1" applyFill="1" applyBorder="1" applyAlignment="1">
      <alignment horizontal="center" vertical="center" wrapText="1"/>
    </xf>
    <xf numFmtId="9" fontId="76" fillId="2" borderId="1" xfId="0" applyNumberFormat="1" applyFont="1" applyFill="1" applyBorder="1" applyAlignment="1">
      <alignment horizontal="center" vertical="center" wrapText="1"/>
    </xf>
    <xf numFmtId="9" fontId="28" fillId="2" borderId="0" xfId="2" applyFont="1" applyFill="1" applyAlignment="1">
      <alignment horizontal="center" vertical="center" wrapText="1"/>
    </xf>
    <xf numFmtId="9" fontId="77" fillId="2" borderId="3" xfId="2" applyFont="1" applyFill="1" applyBorder="1" applyAlignment="1">
      <alignment horizontal="center" vertical="center"/>
    </xf>
    <xf numFmtId="1" fontId="77" fillId="2" borderId="3" xfId="2" applyNumberFormat="1" applyFont="1" applyFill="1" applyBorder="1" applyAlignment="1">
      <alignment horizontal="center" vertical="center"/>
    </xf>
    <xf numFmtId="9" fontId="77" fillId="2" borderId="3" xfId="4" applyFont="1" applyFill="1" applyBorder="1" applyAlignment="1">
      <alignment horizontal="center" vertical="center"/>
    </xf>
    <xf numFmtId="49" fontId="76" fillId="6" borderId="1" xfId="0" applyNumberFormat="1" applyFont="1" applyFill="1" applyBorder="1" applyAlignment="1">
      <alignment horizontal="left" vertical="center"/>
    </xf>
    <xf numFmtId="49" fontId="76" fillId="0" borderId="1" xfId="0" applyNumberFormat="1" applyFont="1" applyBorder="1" applyAlignment="1">
      <alignment horizontal="center" vertical="center"/>
    </xf>
    <xf numFmtId="0" fontId="76" fillId="0" borderId="1" xfId="0" applyFont="1" applyBorder="1" applyAlignment="1">
      <alignment horizontal="center" vertical="center"/>
    </xf>
    <xf numFmtId="0" fontId="76" fillId="4" borderId="1" xfId="0" applyFont="1" applyFill="1" applyBorder="1" applyAlignment="1">
      <alignment horizontal="left" vertical="center"/>
    </xf>
    <xf numFmtId="0" fontId="76" fillId="4" borderId="1" xfId="0" applyFont="1" applyFill="1" applyBorder="1" applyAlignment="1">
      <alignment horizontal="center" vertical="center" wrapText="1"/>
    </xf>
    <xf numFmtId="9" fontId="76" fillId="4" borderId="1" xfId="0" applyNumberFormat="1" applyFont="1" applyFill="1" applyBorder="1" applyAlignment="1">
      <alignment horizontal="center" vertical="center" wrapText="1"/>
    </xf>
    <xf numFmtId="9" fontId="28" fillId="4" borderId="1" xfId="2" applyFont="1" applyFill="1" applyBorder="1" applyAlignment="1">
      <alignment horizontal="center" vertical="center" wrapText="1"/>
    </xf>
    <xf numFmtId="9" fontId="77" fillId="4" borderId="1" xfId="2" applyFont="1" applyFill="1" applyBorder="1" applyAlignment="1">
      <alignment horizontal="center" vertical="center"/>
    </xf>
    <xf numFmtId="1" fontId="77" fillId="4" borderId="1" xfId="2" applyNumberFormat="1" applyFont="1" applyFill="1" applyBorder="1" applyAlignment="1">
      <alignment horizontal="center" vertical="center"/>
    </xf>
    <xf numFmtId="9" fontId="77" fillId="4" borderId="1" xfId="4" applyFont="1" applyFill="1" applyBorder="1" applyAlignment="1">
      <alignment horizontal="center" vertical="center"/>
    </xf>
    <xf numFmtId="49" fontId="76" fillId="6" borderId="1" xfId="0" applyNumberFormat="1" applyFont="1" applyFill="1" applyBorder="1" applyAlignment="1">
      <alignment horizontal="center" vertical="center"/>
    </xf>
    <xf numFmtId="0" fontId="78" fillId="4" borderId="1" xfId="0" applyFont="1" applyFill="1" applyBorder="1" applyAlignment="1">
      <alignment horizontal="center" vertical="center" wrapText="1"/>
    </xf>
    <xf numFmtId="0" fontId="76" fillId="4" borderId="1" xfId="0" applyFont="1" applyFill="1" applyBorder="1" applyAlignment="1">
      <alignment horizontal="center" vertical="center"/>
    </xf>
    <xf numFmtId="0" fontId="76" fillId="0" borderId="1" xfId="0" applyFont="1" applyBorder="1" applyAlignment="1">
      <alignment horizontal="left" vertical="center"/>
    </xf>
    <xf numFmtId="0" fontId="17" fillId="0" borderId="1" xfId="0" applyFont="1" applyBorder="1" applyAlignment="1">
      <alignment horizontal="center" vertical="center" wrapText="1"/>
    </xf>
    <xf numFmtId="0" fontId="76" fillId="0" borderId="1" xfId="0" applyFont="1" applyBorder="1" applyAlignment="1">
      <alignment horizontal="center" vertical="center" wrapText="1"/>
    </xf>
    <xf numFmtId="9" fontId="76" fillId="0" borderId="1" xfId="2" applyFont="1" applyBorder="1" applyAlignment="1">
      <alignment horizontal="center" vertical="center" wrapText="1"/>
    </xf>
    <xf numFmtId="9" fontId="77" fillId="6" borderId="1" xfId="2" applyFont="1" applyFill="1" applyBorder="1" applyAlignment="1">
      <alignment horizontal="center" vertical="center"/>
    </xf>
    <xf numFmtId="1" fontId="77" fillId="6" borderId="1" xfId="2" applyNumberFormat="1" applyFont="1" applyFill="1" applyBorder="1" applyAlignment="1">
      <alignment horizontal="center" vertical="center"/>
    </xf>
    <xf numFmtId="9" fontId="77" fillId="6" borderId="1" xfId="4" applyFont="1" applyFill="1" applyBorder="1" applyAlignment="1">
      <alignment horizontal="center" vertical="center"/>
    </xf>
    <xf numFmtId="9" fontId="76" fillId="0" borderId="1" xfId="2" applyFont="1" applyBorder="1" applyAlignment="1">
      <alignment horizontal="center" vertical="center"/>
    </xf>
    <xf numFmtId="0" fontId="76" fillId="0" borderId="1" xfId="0" applyFont="1" applyBorder="1"/>
    <xf numFmtId="0" fontId="17" fillId="6" borderId="1" xfId="0" applyFont="1" applyFill="1" applyBorder="1" applyAlignment="1">
      <alignment horizontal="center" vertical="center" wrapText="1"/>
    </xf>
    <xf numFmtId="0" fontId="76" fillId="6" borderId="1" xfId="0" applyFont="1" applyFill="1" applyBorder="1" applyAlignment="1">
      <alignment horizontal="center" vertical="center" wrapText="1"/>
    </xf>
    <xf numFmtId="0" fontId="18" fillId="0" borderId="0" xfId="0" applyFont="1" applyAlignment="1">
      <alignment horizontal="center"/>
    </xf>
    <xf numFmtId="0" fontId="23" fillId="0" borderId="0" xfId="0" applyFont="1" applyAlignment="1">
      <alignment horizontal="center"/>
    </xf>
    <xf numFmtId="0" fontId="18" fillId="0" borderId="0" xfId="0" applyFont="1" applyAlignment="1">
      <alignment horizontal="center" vertical="center"/>
    </xf>
    <xf numFmtId="1" fontId="55" fillId="22" borderId="3" xfId="0" applyNumberFormat="1" applyFont="1" applyFill="1" applyBorder="1" applyAlignment="1">
      <alignment horizontal="center" vertical="center" wrapText="1"/>
    </xf>
    <xf numFmtId="0" fontId="23" fillId="22" borderId="3" xfId="0" applyFont="1" applyFill="1" applyBorder="1" applyAlignment="1">
      <alignment horizontal="center" vertical="center" wrapText="1"/>
    </xf>
    <xf numFmtId="9" fontId="55" fillId="22" borderId="3" xfId="2" applyFont="1" applyFill="1" applyBorder="1" applyAlignment="1">
      <alignment horizontal="center" vertical="center" wrapText="1"/>
    </xf>
    <xf numFmtId="164" fontId="18" fillId="22" borderId="3" xfId="1" applyNumberFormat="1" applyFont="1" applyFill="1" applyBorder="1" applyAlignment="1">
      <alignment horizontal="center" vertical="center" wrapText="1"/>
    </xf>
    <xf numFmtId="1" fontId="18" fillId="22" borderId="3" xfId="0" applyNumberFormat="1" applyFont="1" applyFill="1" applyBorder="1" applyAlignment="1">
      <alignment horizontal="center" vertical="center" wrapText="1"/>
    </xf>
    <xf numFmtId="0" fontId="55" fillId="22" borderId="3" xfId="0" applyFont="1" applyFill="1" applyBorder="1" applyAlignment="1">
      <alignment horizontal="center" vertical="center" wrapText="1"/>
    </xf>
    <xf numFmtId="9" fontId="18" fillId="31" borderId="1" xfId="2" applyFont="1" applyFill="1" applyBorder="1" applyAlignment="1">
      <alignment horizontal="center" vertical="center"/>
    </xf>
    <xf numFmtId="9" fontId="19" fillId="31" borderId="1" xfId="2" applyFont="1" applyFill="1" applyBorder="1" applyAlignment="1">
      <alignment horizontal="center" vertical="center" wrapText="1"/>
    </xf>
    <xf numFmtId="9" fontId="19" fillId="31" borderId="1" xfId="2" applyFont="1" applyFill="1" applyBorder="1" applyAlignment="1">
      <alignment horizontal="center" vertical="center"/>
    </xf>
    <xf numFmtId="9" fontId="18" fillId="31" borderId="1" xfId="0" applyNumberFormat="1" applyFont="1" applyFill="1" applyBorder="1" applyAlignment="1">
      <alignment horizontal="center" vertical="center"/>
    </xf>
    <xf numFmtId="9" fontId="18" fillId="31" borderId="1" xfId="4" applyFont="1" applyFill="1" applyBorder="1" applyAlignment="1">
      <alignment horizontal="center" vertical="center"/>
    </xf>
    <xf numFmtId="9" fontId="18" fillId="31" borderId="1" xfId="13" applyFont="1" applyFill="1" applyBorder="1" applyAlignment="1">
      <alignment horizontal="center" vertical="center"/>
    </xf>
    <xf numFmtId="9" fontId="5" fillId="31" borderId="1" xfId="2" applyFont="1" applyFill="1" applyBorder="1" applyAlignment="1">
      <alignment horizontal="center" vertical="center"/>
    </xf>
    <xf numFmtId="9" fontId="12" fillId="31" borderId="1" xfId="0" applyNumberFormat="1" applyFont="1" applyFill="1" applyBorder="1" applyAlignment="1">
      <alignment horizontal="center" vertical="center"/>
    </xf>
    <xf numFmtId="9" fontId="3" fillId="31" borderId="1" xfId="2" applyFont="1" applyFill="1" applyBorder="1" applyAlignment="1">
      <alignment horizontal="center" vertical="center"/>
    </xf>
    <xf numFmtId="9" fontId="12" fillId="31" borderId="1" xfId="2" applyFont="1" applyFill="1" applyBorder="1" applyAlignment="1">
      <alignment horizontal="center" vertical="center"/>
    </xf>
    <xf numFmtId="9" fontId="2" fillId="31" borderId="1" xfId="2" applyFont="1" applyFill="1" applyBorder="1" applyAlignment="1">
      <alignment horizontal="center" vertical="center" wrapText="1"/>
    </xf>
    <xf numFmtId="9" fontId="12" fillId="31" borderId="1" xfId="2" applyFont="1" applyFill="1" applyBorder="1" applyAlignment="1">
      <alignment horizontal="center" vertical="center" wrapText="1"/>
    </xf>
    <xf numFmtId="9" fontId="23" fillId="31" borderId="1" xfId="3" applyNumberFormat="1" applyFont="1" applyFill="1" applyBorder="1" applyAlignment="1">
      <alignment horizontal="center" vertical="center"/>
    </xf>
    <xf numFmtId="9" fontId="23" fillId="31" borderId="1" xfId="2" applyFont="1" applyFill="1" applyBorder="1" applyAlignment="1">
      <alignment horizontal="center" vertical="center"/>
    </xf>
    <xf numFmtId="0" fontId="12" fillId="4" borderId="1" xfId="0" applyFont="1" applyFill="1" applyBorder="1" applyAlignment="1">
      <alignment horizontal="center" vertical="center" readingOrder="2"/>
    </xf>
    <xf numFmtId="49" fontId="12" fillId="0" borderId="1" xfId="3" applyNumberFormat="1" applyFont="1" applyBorder="1" applyAlignment="1">
      <alignment horizontal="center" vertical="center"/>
    </xf>
    <xf numFmtId="0" fontId="12" fillId="2" borderId="1" xfId="0" applyFont="1" applyFill="1" applyBorder="1" applyAlignment="1">
      <alignment horizontal="center" vertical="top"/>
    </xf>
    <xf numFmtId="0" fontId="12" fillId="4" borderId="1" xfId="0" applyFont="1" applyFill="1" applyBorder="1" applyAlignment="1">
      <alignment horizontal="center" vertical="top"/>
    </xf>
    <xf numFmtId="0" fontId="12" fillId="6" borderId="1" xfId="0" applyFont="1" applyFill="1" applyBorder="1" applyAlignment="1">
      <alignment horizontal="center" vertical="top"/>
    </xf>
    <xf numFmtId="0" fontId="12" fillId="0" borderId="1" xfId="0" applyFont="1" applyBorder="1" applyAlignment="1">
      <alignment horizontal="center" vertical="top"/>
    </xf>
    <xf numFmtId="0" fontId="12" fillId="4" borderId="1" xfId="3" applyFont="1" applyFill="1" applyBorder="1" applyAlignment="1">
      <alignment horizontal="center" vertical="center" wrapText="1"/>
    </xf>
    <xf numFmtId="0" fontId="12" fillId="4" borderId="1" xfId="0" applyFont="1" applyFill="1" applyBorder="1" applyAlignment="1">
      <alignment horizontal="center"/>
    </xf>
    <xf numFmtId="0" fontId="82" fillId="9" borderId="1" xfId="0" applyFont="1" applyFill="1" applyBorder="1" applyAlignment="1">
      <alignment horizontal="center" vertical="center" wrapText="1"/>
    </xf>
    <xf numFmtId="1" fontId="82" fillId="9" borderId="1" xfId="0" applyNumberFormat="1" applyFont="1" applyFill="1" applyBorder="1" applyAlignment="1">
      <alignment horizontal="center" vertical="center" wrapText="1"/>
    </xf>
    <xf numFmtId="9" fontId="82" fillId="9" borderId="1" xfId="2" applyFont="1" applyFill="1" applyBorder="1" applyAlignment="1">
      <alignment horizontal="center" vertical="center" wrapText="1"/>
    </xf>
    <xf numFmtId="0" fontId="83" fillId="0" borderId="0" xfId="0" applyFont="1"/>
    <xf numFmtId="0" fontId="84" fillId="0" borderId="0" xfId="0" applyFont="1"/>
    <xf numFmtId="0" fontId="85" fillId="9" borderId="1" xfId="0" applyFont="1" applyFill="1" applyBorder="1" applyAlignment="1">
      <alignment horizontal="center" vertical="center" wrapText="1"/>
    </xf>
    <xf numFmtId="9" fontId="85" fillId="9" borderId="1" xfId="2" applyFont="1" applyFill="1" applyBorder="1" applyAlignment="1">
      <alignment horizontal="center" vertical="center" wrapText="1"/>
    </xf>
    <xf numFmtId="0" fontId="21" fillId="0" borderId="1" xfId="0" applyFont="1" applyBorder="1" applyAlignment="1">
      <alignment horizontal="center" vertical="center" wrapText="1" readingOrder="2"/>
    </xf>
    <xf numFmtId="0" fontId="21" fillId="11" borderId="1" xfId="0" applyFont="1" applyFill="1" applyBorder="1" applyAlignment="1">
      <alignment horizontal="center" vertical="center" wrapText="1" readingOrder="2"/>
    </xf>
    <xf numFmtId="0" fontId="21" fillId="5" borderId="1" xfId="0" applyFont="1" applyFill="1" applyBorder="1" applyAlignment="1">
      <alignment horizontal="center" vertical="center" wrapText="1" readingOrder="2"/>
    </xf>
    <xf numFmtId="0" fontId="86" fillId="2" borderId="1" xfId="0" applyFont="1" applyFill="1" applyBorder="1" applyAlignment="1">
      <alignment horizontal="center" vertical="center"/>
    </xf>
    <xf numFmtId="0" fontId="87" fillId="0" borderId="1" xfId="0" applyFont="1" applyBorder="1" applyAlignment="1">
      <alignment horizontal="center" vertical="center"/>
    </xf>
    <xf numFmtId="0" fontId="86" fillId="0" borderId="1" xfId="0" applyFont="1" applyBorder="1" applyAlignment="1">
      <alignment horizontal="center" vertical="center"/>
    </xf>
    <xf numFmtId="0" fontId="86" fillId="4" borderId="1" xfId="0" applyFont="1" applyFill="1" applyBorder="1" applyAlignment="1">
      <alignment horizontal="center" vertical="center"/>
    </xf>
    <xf numFmtId="49" fontId="88" fillId="4" borderId="1" xfId="3" applyNumberFormat="1" applyFont="1" applyFill="1" applyBorder="1" applyAlignment="1">
      <alignment horizontal="center" vertical="center"/>
    </xf>
    <xf numFmtId="49" fontId="88" fillId="6" borderId="1" xfId="0" applyNumberFormat="1" applyFont="1" applyFill="1" applyBorder="1" applyAlignment="1">
      <alignment horizontal="center" vertical="center"/>
    </xf>
    <xf numFmtId="49" fontId="88" fillId="0" borderId="1" xfId="0" applyNumberFormat="1" applyFont="1" applyBorder="1" applyAlignment="1">
      <alignment horizontal="center" vertical="center"/>
    </xf>
    <xf numFmtId="49" fontId="88" fillId="2" borderId="1" xfId="0" applyNumberFormat="1" applyFont="1" applyFill="1" applyBorder="1" applyAlignment="1">
      <alignment horizontal="center" vertical="center"/>
    </xf>
    <xf numFmtId="49" fontId="86" fillId="0" borderId="1" xfId="0" applyNumberFormat="1" applyFont="1" applyBorder="1" applyAlignment="1">
      <alignment horizontal="center" vertical="center"/>
    </xf>
    <xf numFmtId="0" fontId="86" fillId="7" borderId="1" xfId="0" applyFont="1" applyFill="1" applyBorder="1" applyAlignment="1">
      <alignment horizontal="center" vertical="center"/>
    </xf>
    <xf numFmtId="0" fontId="88" fillId="7" borderId="1" xfId="0" applyFont="1" applyFill="1" applyBorder="1" applyAlignment="1">
      <alignment horizontal="center" vertical="center"/>
    </xf>
    <xf numFmtId="0" fontId="86" fillId="6" borderId="1" xfId="0" applyFont="1" applyFill="1" applyBorder="1" applyAlignment="1">
      <alignment horizontal="center" vertical="center"/>
    </xf>
    <xf numFmtId="0" fontId="88" fillId="6" borderId="1" xfId="0" applyFont="1" applyFill="1" applyBorder="1" applyAlignment="1">
      <alignment horizontal="center" vertical="center"/>
    </xf>
    <xf numFmtId="0" fontId="88" fillId="0" borderId="1" xfId="0" applyFont="1" applyBorder="1" applyAlignment="1">
      <alignment horizontal="center" vertical="center"/>
    </xf>
    <xf numFmtId="0" fontId="88" fillId="2" borderId="1" xfId="0" applyFont="1" applyFill="1" applyBorder="1" applyAlignment="1">
      <alignment horizontal="center" vertical="center"/>
    </xf>
    <xf numFmtId="0" fontId="88" fillId="4" borderId="1" xfId="0" applyFont="1" applyFill="1" applyBorder="1" applyAlignment="1">
      <alignment horizontal="center" vertical="center"/>
    </xf>
    <xf numFmtId="0" fontId="87" fillId="8" borderId="1" xfId="0" applyFont="1" applyFill="1" applyBorder="1" applyAlignment="1">
      <alignment horizontal="center" vertical="center"/>
    </xf>
    <xf numFmtId="0" fontId="87" fillId="2" borderId="1" xfId="3" applyFont="1" applyFill="1" applyBorder="1" applyAlignment="1">
      <alignment horizontal="center" vertical="center"/>
    </xf>
    <xf numFmtId="49" fontId="86" fillId="4" borderId="1" xfId="0" applyNumberFormat="1" applyFont="1" applyFill="1" applyBorder="1" applyAlignment="1">
      <alignment horizontal="center" vertical="center"/>
    </xf>
    <xf numFmtId="49" fontId="86" fillId="2" borderId="1" xfId="0" applyNumberFormat="1" applyFont="1" applyFill="1" applyBorder="1" applyAlignment="1">
      <alignment horizontal="center" vertical="center"/>
    </xf>
    <xf numFmtId="49" fontId="86" fillId="6" borderId="1" xfId="0" applyNumberFormat="1" applyFont="1" applyFill="1" applyBorder="1" applyAlignment="1">
      <alignment horizontal="center" vertical="center"/>
    </xf>
    <xf numFmtId="0" fontId="86" fillId="0" borderId="0" xfId="0" applyFont="1"/>
  </cellXfs>
  <cellStyles count="24">
    <cellStyle name="Comma" xfId="1" builtinId="3"/>
    <cellStyle name="Comma 2" xfId="15" xr:uid="{160C7D08-852E-4AC2-85B8-7FAEF86C7968}"/>
    <cellStyle name="Comma 2 2" xfId="6" xr:uid="{4E02BBE7-BF15-49FD-A4F6-39076C06D585}"/>
    <cellStyle name="Comma 3" xfId="17" xr:uid="{F03B9CA5-E6C2-4E75-BB2A-1B990FF1C85E}"/>
    <cellStyle name="Normal" xfId="0" builtinId="0"/>
    <cellStyle name="Normal 10 2" xfId="22" xr:uid="{E6065DAC-10AF-4C38-9D32-444D0E7A4D9B}"/>
    <cellStyle name="Normal 12 2" xfId="16" xr:uid="{2EBF0F6C-08D3-475B-A02A-6A8716C29698}"/>
    <cellStyle name="Normal 2" xfId="3" xr:uid="{F4993674-B9A3-48BC-95C1-E3F0DB80D476}"/>
    <cellStyle name="Normal 2 2" xfId="9" xr:uid="{71E56D30-2C29-445D-8DBF-E2741CB6C59E}"/>
    <cellStyle name="Normal 2 2 2" xfId="14" xr:uid="{380BED0F-E387-42B6-88E0-C26A271061E8}"/>
    <cellStyle name="Normal 2 2 2 2" xfId="18" xr:uid="{11841271-9210-42B0-8A17-6104D712BFEB}"/>
    <cellStyle name="Normal 2 2 3" xfId="19" xr:uid="{C559EA71-BB7C-42C9-9FA3-5ED2BDB9D95F}"/>
    <cellStyle name="Normal 2 3" xfId="12" xr:uid="{FC6CC799-B31B-4EC1-A580-26C37D2B17AE}"/>
    <cellStyle name="Normal 2 3 2" xfId="21" xr:uid="{D4A115E7-A8BD-4F6F-97AF-DF047F71D724}"/>
    <cellStyle name="Normal 3" xfId="7" xr:uid="{13F9952C-C36A-43FD-BF46-5626DF2AE62D}"/>
    <cellStyle name="Normal 4" xfId="5" xr:uid="{FCAE0855-FAEA-44CA-BF69-10B49CC89395}"/>
    <cellStyle name="Normal 8 3" xfId="23" xr:uid="{37492A51-C066-40A4-8D2B-56AEBFAC702C}"/>
    <cellStyle name="Percent" xfId="2" builtinId="5"/>
    <cellStyle name="Percent 2" xfId="4" xr:uid="{0A163F19-8674-40A4-BF06-CACD2568D4B8}"/>
    <cellStyle name="Percent 2 2" xfId="10" xr:uid="{0611BB76-85B0-4861-AE1D-8E7B7BA6D477}"/>
    <cellStyle name="Percent 2 2 2" xfId="13" xr:uid="{F0B49024-61A0-4887-B370-775A041626E3}"/>
    <cellStyle name="Percent 3" xfId="8" xr:uid="{14351F54-3E94-4CFF-8AB5-B5765C113C81}"/>
    <cellStyle name="Percent 3 2" xfId="11" xr:uid="{9ECBE80D-3CBE-4F65-899C-4016C18B877C}"/>
    <cellStyle name="Percent 4" xfId="20" xr:uid="{78E44AA9-7A2F-450C-8A79-36E1E2C1720A}"/>
  </cellStyles>
  <dxfs count="665">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patternType="solid">
          <fgColor rgb="FFE2EFD9"/>
          <bgColor rgb="FFE2EFD9"/>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bgColor theme="9" tint="0.79998168889431442"/>
        </patternFill>
      </fill>
    </dxf>
    <dxf>
      <fill>
        <patternFill patternType="solid">
          <bgColor theme="9" tint="0.79995117038483843"/>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bgColor theme="9" tint="0.79995117038483843"/>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rgb="FFE2EFDA"/>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patternType="solid">
          <fgColor rgb="FFE2EFD9"/>
          <bgColor rgb="FFE2EFD9"/>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bgColor theme="6"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A912-86C4-48E9-BFE9-5E151C7FEFA4}">
  <sheetPr>
    <tabColor theme="7" tint="0.79998168889431442"/>
  </sheetPr>
  <dimension ref="A1:BF837"/>
  <sheetViews>
    <sheetView tabSelected="1" zoomScale="55" zoomScaleNormal="55" workbookViewId="0">
      <pane ySplit="1" topLeftCell="A2" activePane="bottomLeft" state="frozen"/>
      <selection pane="bottomLeft" activeCell="K1" sqref="K1"/>
    </sheetView>
  </sheetViews>
  <sheetFormatPr defaultColWidth="9" defaultRowHeight="28.5" customHeight="1" x14ac:dyDescent="0.55000000000000004"/>
  <cols>
    <col min="1" max="1" width="12.6640625" style="87" bestFit="1" customWidth="1"/>
    <col min="2" max="2" width="14.88671875" style="87" bestFit="1" customWidth="1"/>
    <col min="3" max="3" width="12" style="87" bestFit="1" customWidth="1"/>
    <col min="4" max="4" width="15.44140625" style="267" bestFit="1" customWidth="1"/>
    <col min="5" max="5" width="21.5546875" style="87" bestFit="1" customWidth="1"/>
    <col min="6" max="6" width="26.21875" style="268" bestFit="1" customWidth="1"/>
    <col min="7" max="7" width="22.88671875" style="269" bestFit="1" customWidth="1"/>
    <col min="8" max="8" width="16.44140625" style="87" bestFit="1" customWidth="1"/>
    <col min="9" max="9" width="14.21875" style="87" bestFit="1" customWidth="1"/>
    <col min="10" max="10" width="18.33203125" style="2002" bestFit="1" customWidth="1"/>
    <col min="11" max="11" width="15.6640625" style="270" bestFit="1" customWidth="1"/>
    <col min="12" max="12" width="25.77734375" style="271" bestFit="1" customWidth="1"/>
    <col min="13" max="13" width="163.44140625" style="87" bestFit="1" customWidth="1"/>
    <col min="14" max="14" width="105.109375" style="272" bestFit="1" customWidth="1"/>
    <col min="15" max="15" width="255.77734375" style="87" bestFit="1" customWidth="1"/>
    <col min="16" max="16" width="15.88671875" style="87" bestFit="1" customWidth="1"/>
    <col min="17" max="17" width="19.88671875" style="273" bestFit="1" customWidth="1"/>
    <col min="18" max="18" width="25" style="87" bestFit="1" customWidth="1"/>
    <col min="19" max="19" width="21.109375" style="87" bestFit="1" customWidth="1"/>
    <col min="20" max="20" width="27.21875" style="87" bestFit="1" customWidth="1"/>
    <col min="21" max="21" width="14.21875" style="87" bestFit="1" customWidth="1"/>
    <col min="22" max="22" width="13.44140625" style="87" bestFit="1" customWidth="1"/>
    <col min="23" max="23" width="49.88671875" style="87" bestFit="1" customWidth="1"/>
    <col min="59" max="16384" width="9" style="87"/>
  </cols>
  <sheetData>
    <row r="1" spans="1:58" s="1975" customFormat="1" ht="22.2" x14ac:dyDescent="0.75">
      <c r="A1" s="1971" t="s">
        <v>0</v>
      </c>
      <c r="B1" s="1971" t="s">
        <v>1</v>
      </c>
      <c r="C1" s="1972" t="s">
        <v>2</v>
      </c>
      <c r="D1" s="1972" t="s">
        <v>3</v>
      </c>
      <c r="E1" s="1971" t="s">
        <v>4</v>
      </c>
      <c r="F1" s="1971" t="s">
        <v>5</v>
      </c>
      <c r="G1" s="1972" t="s">
        <v>6</v>
      </c>
      <c r="H1" s="1971" t="s">
        <v>7</v>
      </c>
      <c r="I1" s="1971" t="s">
        <v>8</v>
      </c>
      <c r="J1" s="1977" t="s">
        <v>9</v>
      </c>
      <c r="K1" s="1973" t="s">
        <v>10</v>
      </c>
      <c r="L1" s="1977" t="s">
        <v>11</v>
      </c>
      <c r="M1" s="1976" t="s">
        <v>12</v>
      </c>
      <c r="N1" s="1976" t="s">
        <v>13</v>
      </c>
      <c r="O1" s="1977" t="s">
        <v>14</v>
      </c>
      <c r="P1" s="1976" t="s">
        <v>15</v>
      </c>
      <c r="Q1" s="1976" t="s">
        <v>16</v>
      </c>
      <c r="R1" s="1976" t="s">
        <v>17</v>
      </c>
      <c r="S1" s="1976" t="s">
        <v>18</v>
      </c>
      <c r="T1" s="1976" t="s">
        <v>19</v>
      </c>
      <c r="U1" s="1976" t="s">
        <v>20</v>
      </c>
      <c r="V1" s="1977" t="s">
        <v>21</v>
      </c>
      <c r="W1" s="1971" t="s">
        <v>22</v>
      </c>
      <c r="X1" s="1974"/>
      <c r="Y1" s="1974"/>
      <c r="Z1" s="1974"/>
      <c r="AA1" s="1974"/>
      <c r="AB1" s="1974"/>
      <c r="AC1" s="1974"/>
      <c r="AD1" s="1974"/>
      <c r="AE1" s="1974"/>
      <c r="AF1" s="1974"/>
      <c r="AG1" s="1974"/>
      <c r="AH1" s="1974"/>
      <c r="AI1" s="1974"/>
      <c r="AJ1" s="1974"/>
      <c r="AK1" s="1974"/>
      <c r="AL1" s="1974"/>
      <c r="AM1" s="1974"/>
      <c r="AN1" s="1974"/>
      <c r="AO1" s="1974"/>
      <c r="AP1" s="1974"/>
      <c r="AQ1" s="1974"/>
      <c r="AR1" s="1974"/>
      <c r="AS1" s="1974"/>
      <c r="AT1" s="1974"/>
      <c r="AU1" s="1974"/>
      <c r="AV1" s="1974"/>
      <c r="AW1" s="1974"/>
      <c r="AX1" s="1974"/>
      <c r="AY1" s="1974"/>
      <c r="AZ1" s="1974"/>
      <c r="BA1" s="1974"/>
      <c r="BB1" s="1974"/>
      <c r="BC1" s="1974"/>
      <c r="BD1" s="1974"/>
      <c r="BE1" s="1974"/>
      <c r="BF1" s="1974"/>
    </row>
    <row r="2" spans="1:58" ht="23.4" x14ac:dyDescent="0.45">
      <c r="A2" s="1">
        <f>ROW()-1</f>
        <v>1</v>
      </c>
      <c r="B2" s="2" t="s">
        <v>23</v>
      </c>
      <c r="C2" s="3" t="s">
        <v>24</v>
      </c>
      <c r="D2" s="4">
        <v>4051</v>
      </c>
      <c r="E2" s="5" t="s">
        <v>25</v>
      </c>
      <c r="F2" s="6" t="s">
        <v>26</v>
      </c>
      <c r="G2" s="7">
        <v>1000</v>
      </c>
      <c r="H2" s="7" t="s">
        <v>27</v>
      </c>
      <c r="I2" s="7" t="s">
        <v>28</v>
      </c>
      <c r="J2" s="1981" t="s">
        <v>29</v>
      </c>
      <c r="K2" s="8" t="s">
        <v>30</v>
      </c>
      <c r="L2" s="9">
        <v>0.4</v>
      </c>
      <c r="M2" s="3" t="s">
        <v>31</v>
      </c>
      <c r="N2" s="625" t="s">
        <v>32</v>
      </c>
      <c r="O2" s="288" t="s">
        <v>33</v>
      </c>
      <c r="P2" s="11">
        <v>0</v>
      </c>
      <c r="Q2" s="12">
        <v>0.1</v>
      </c>
      <c r="R2" s="11"/>
      <c r="S2" s="13">
        <f t="shared" ref="S2:S65" si="0">ROUND(IF(OR(P2="",R2=""),0,IF(AND(P2=0,R2=0),1,IF(U2="+",R2/P2,P2/R2))),2)</f>
        <v>0</v>
      </c>
      <c r="T2" s="7">
        <f t="shared" ref="T2:T65" si="1">IF(AND(S2&gt;=60%,S2&lt;100%),S2*((Q2*L2)),IF(S2=100%,((Q2*L2)*S2)*100%,IF(S2&gt;100%,((L2*Q2)*100%)*100%,0)))*100</f>
        <v>0</v>
      </c>
      <c r="U2" s="13" t="s">
        <v>34</v>
      </c>
      <c r="V2" s="1955">
        <f>SUM(T2:T42)%</f>
        <v>0</v>
      </c>
      <c r="W2" s="7"/>
    </row>
    <row r="3" spans="1:58" ht="23.4" x14ac:dyDescent="0.45">
      <c r="A3" s="1">
        <f>ROW()-1</f>
        <v>2</v>
      </c>
      <c r="B3" s="15" t="s">
        <v>23</v>
      </c>
      <c r="C3" s="16" t="s">
        <v>24</v>
      </c>
      <c r="D3" s="17">
        <v>4051</v>
      </c>
      <c r="E3" s="18" t="s">
        <v>25</v>
      </c>
      <c r="F3" s="19" t="s">
        <v>26</v>
      </c>
      <c r="G3" s="1">
        <v>1000</v>
      </c>
      <c r="H3" s="1" t="s">
        <v>27</v>
      </c>
      <c r="I3" s="1" t="s">
        <v>28</v>
      </c>
      <c r="J3" s="1982" t="s">
        <v>29</v>
      </c>
      <c r="K3" s="20" t="s">
        <v>30</v>
      </c>
      <c r="L3" s="21">
        <v>0.4</v>
      </c>
      <c r="M3" s="16" t="s">
        <v>35</v>
      </c>
      <c r="N3" s="16" t="s">
        <v>36</v>
      </c>
      <c r="O3" s="16"/>
      <c r="P3" s="24">
        <v>1406879.4938896229</v>
      </c>
      <c r="Q3" s="25">
        <v>0.15</v>
      </c>
      <c r="R3" s="24"/>
      <c r="S3" s="26">
        <f t="shared" si="0"/>
        <v>0</v>
      </c>
      <c r="T3" s="1">
        <f t="shared" si="1"/>
        <v>0</v>
      </c>
      <c r="U3" s="26" t="s">
        <v>34</v>
      </c>
      <c r="V3" s="1"/>
      <c r="W3" s="1"/>
    </row>
    <row r="4" spans="1:58" ht="23.4" x14ac:dyDescent="0.45">
      <c r="A4" s="1">
        <f t="shared" ref="A4:A67" si="2">ROW()-1</f>
        <v>3</v>
      </c>
      <c r="B4" s="15" t="s">
        <v>23</v>
      </c>
      <c r="C4" s="16" t="s">
        <v>24</v>
      </c>
      <c r="D4" s="17">
        <v>4051</v>
      </c>
      <c r="E4" s="18" t="s">
        <v>25</v>
      </c>
      <c r="F4" s="19" t="s">
        <v>26</v>
      </c>
      <c r="G4" s="1">
        <v>1000</v>
      </c>
      <c r="H4" s="1" t="s">
        <v>27</v>
      </c>
      <c r="I4" s="1" t="s">
        <v>28</v>
      </c>
      <c r="J4" s="1983" t="s">
        <v>29</v>
      </c>
      <c r="K4" s="20" t="s">
        <v>30</v>
      </c>
      <c r="L4" s="21">
        <v>0.4</v>
      </c>
      <c r="M4" s="16" t="s">
        <v>37</v>
      </c>
      <c r="N4" s="16" t="s">
        <v>38</v>
      </c>
      <c r="O4" s="16"/>
      <c r="P4" s="24">
        <v>48608.249727263406</v>
      </c>
      <c r="Q4" s="25">
        <v>0.05</v>
      </c>
      <c r="R4" s="24"/>
      <c r="S4" s="26">
        <f t="shared" si="0"/>
        <v>0</v>
      </c>
      <c r="T4" s="1">
        <f t="shared" si="1"/>
        <v>0</v>
      </c>
      <c r="U4" s="26" t="s">
        <v>34</v>
      </c>
      <c r="V4" s="1"/>
      <c r="W4" s="1"/>
    </row>
    <row r="5" spans="1:58" ht="23.4" x14ac:dyDescent="0.45">
      <c r="A5" s="1">
        <f t="shared" si="2"/>
        <v>4</v>
      </c>
      <c r="B5" s="15" t="s">
        <v>23</v>
      </c>
      <c r="C5" s="16" t="s">
        <v>24</v>
      </c>
      <c r="D5" s="17">
        <v>4051</v>
      </c>
      <c r="E5" s="18" t="s">
        <v>25</v>
      </c>
      <c r="F5" s="19" t="s">
        <v>26</v>
      </c>
      <c r="G5" s="1">
        <v>1000</v>
      </c>
      <c r="H5" s="1" t="s">
        <v>27</v>
      </c>
      <c r="I5" s="1" t="s">
        <v>28</v>
      </c>
      <c r="J5" s="1983" t="s">
        <v>29</v>
      </c>
      <c r="K5" s="20" t="s">
        <v>30</v>
      </c>
      <c r="L5" s="21">
        <v>0.4</v>
      </c>
      <c r="M5" s="16" t="s">
        <v>39</v>
      </c>
      <c r="N5" s="16" t="s">
        <v>40</v>
      </c>
      <c r="O5" s="16"/>
      <c r="P5" s="24">
        <v>19440000</v>
      </c>
      <c r="Q5" s="25">
        <v>0.1</v>
      </c>
      <c r="R5" s="24"/>
      <c r="S5" s="26">
        <f t="shared" si="0"/>
        <v>0</v>
      </c>
      <c r="T5" s="1">
        <f t="shared" si="1"/>
        <v>0</v>
      </c>
      <c r="U5" s="26" t="s">
        <v>34</v>
      </c>
      <c r="V5" s="1"/>
      <c r="W5" s="1"/>
    </row>
    <row r="6" spans="1:58" ht="23.4" x14ac:dyDescent="0.45">
      <c r="A6" s="1">
        <f t="shared" si="2"/>
        <v>5</v>
      </c>
      <c r="B6" s="15" t="s">
        <v>23</v>
      </c>
      <c r="C6" s="16" t="s">
        <v>24</v>
      </c>
      <c r="D6" s="17">
        <v>4051</v>
      </c>
      <c r="E6" s="18" t="s">
        <v>25</v>
      </c>
      <c r="F6" s="19" t="s">
        <v>26</v>
      </c>
      <c r="G6" s="1">
        <v>1000</v>
      </c>
      <c r="H6" s="1" t="s">
        <v>27</v>
      </c>
      <c r="I6" s="1" t="s">
        <v>28</v>
      </c>
      <c r="J6" s="1983" t="s">
        <v>29</v>
      </c>
      <c r="K6" s="20" t="s">
        <v>30</v>
      </c>
      <c r="L6" s="21">
        <v>0.4</v>
      </c>
      <c r="M6" s="16" t="s">
        <v>41</v>
      </c>
      <c r="N6" s="16" t="s">
        <v>42</v>
      </c>
      <c r="O6" s="16"/>
      <c r="P6" s="24">
        <v>98000</v>
      </c>
      <c r="Q6" s="25">
        <v>0.05</v>
      </c>
      <c r="R6" s="24"/>
      <c r="S6" s="26">
        <f t="shared" si="0"/>
        <v>0</v>
      </c>
      <c r="T6" s="1">
        <f t="shared" si="1"/>
        <v>0</v>
      </c>
      <c r="U6" s="26" t="s">
        <v>34</v>
      </c>
      <c r="V6" s="1"/>
      <c r="W6" s="1"/>
    </row>
    <row r="7" spans="1:58" ht="23.4" x14ac:dyDescent="0.45">
      <c r="A7" s="1">
        <f t="shared" si="2"/>
        <v>6</v>
      </c>
      <c r="B7" s="15" t="s">
        <v>23</v>
      </c>
      <c r="C7" s="16" t="s">
        <v>24</v>
      </c>
      <c r="D7" s="17">
        <v>4051</v>
      </c>
      <c r="E7" s="18" t="s">
        <v>25</v>
      </c>
      <c r="F7" s="19" t="s">
        <v>26</v>
      </c>
      <c r="G7" s="1">
        <v>1000</v>
      </c>
      <c r="H7" s="1" t="s">
        <v>27</v>
      </c>
      <c r="I7" s="1" t="s">
        <v>28</v>
      </c>
      <c r="J7" s="1983" t="s">
        <v>29</v>
      </c>
      <c r="K7" s="20" t="s">
        <v>30</v>
      </c>
      <c r="L7" s="21">
        <v>0.4</v>
      </c>
      <c r="M7" s="16" t="s">
        <v>43</v>
      </c>
      <c r="N7" s="16" t="s">
        <v>44</v>
      </c>
      <c r="O7" s="16"/>
      <c r="P7" s="24">
        <v>52000</v>
      </c>
      <c r="Q7" s="25">
        <v>0.1</v>
      </c>
      <c r="R7" s="24"/>
      <c r="S7" s="26">
        <f t="shared" si="0"/>
        <v>0</v>
      </c>
      <c r="T7" s="1">
        <f t="shared" si="1"/>
        <v>0</v>
      </c>
      <c r="U7" s="26" t="s">
        <v>34</v>
      </c>
      <c r="V7" s="1"/>
      <c r="W7" s="1"/>
    </row>
    <row r="8" spans="1:58" ht="23.4" x14ac:dyDescent="0.45">
      <c r="A8" s="1">
        <f t="shared" si="2"/>
        <v>7</v>
      </c>
      <c r="B8" s="15" t="s">
        <v>23</v>
      </c>
      <c r="C8" s="16" t="s">
        <v>24</v>
      </c>
      <c r="D8" s="17">
        <v>4051</v>
      </c>
      <c r="E8" s="18" t="s">
        <v>25</v>
      </c>
      <c r="F8" s="19" t="s">
        <v>26</v>
      </c>
      <c r="G8" s="1">
        <v>1000</v>
      </c>
      <c r="H8" s="1" t="s">
        <v>27</v>
      </c>
      <c r="I8" s="1" t="s">
        <v>28</v>
      </c>
      <c r="J8" s="1983" t="s">
        <v>29</v>
      </c>
      <c r="K8" s="20" t="s">
        <v>30</v>
      </c>
      <c r="L8" s="21">
        <v>0.4</v>
      </c>
      <c r="M8" s="16" t="s">
        <v>45</v>
      </c>
      <c r="N8" s="16" t="s">
        <v>46</v>
      </c>
      <c r="O8" s="16"/>
      <c r="P8" s="24">
        <v>1582673.167066941</v>
      </c>
      <c r="Q8" s="25">
        <v>0.1</v>
      </c>
      <c r="R8" s="24"/>
      <c r="S8" s="26">
        <f t="shared" si="0"/>
        <v>0</v>
      </c>
      <c r="T8" s="1">
        <f t="shared" si="1"/>
        <v>0</v>
      </c>
      <c r="U8" s="26" t="s">
        <v>34</v>
      </c>
      <c r="V8" s="1"/>
      <c r="W8" s="1"/>
    </row>
    <row r="9" spans="1:58" ht="23.4" x14ac:dyDescent="0.45">
      <c r="A9" s="1">
        <f t="shared" si="2"/>
        <v>8</v>
      </c>
      <c r="B9" s="15" t="s">
        <v>23</v>
      </c>
      <c r="C9" s="16" t="s">
        <v>24</v>
      </c>
      <c r="D9" s="17">
        <v>4051</v>
      </c>
      <c r="E9" s="18" t="s">
        <v>25</v>
      </c>
      <c r="F9" s="19" t="s">
        <v>26</v>
      </c>
      <c r="G9" s="1">
        <v>1000</v>
      </c>
      <c r="H9" s="1" t="s">
        <v>27</v>
      </c>
      <c r="I9" s="1" t="s">
        <v>28</v>
      </c>
      <c r="J9" s="1983" t="s">
        <v>29</v>
      </c>
      <c r="K9" s="20" t="s">
        <v>30</v>
      </c>
      <c r="L9" s="21">
        <v>0.4</v>
      </c>
      <c r="M9" s="16" t="s">
        <v>47</v>
      </c>
      <c r="N9" s="16" t="s">
        <v>48</v>
      </c>
      <c r="O9" s="471"/>
      <c r="P9" s="24">
        <v>52500</v>
      </c>
      <c r="Q9" s="25">
        <v>0.05</v>
      </c>
      <c r="R9" s="24"/>
      <c r="S9" s="26">
        <f t="shared" si="0"/>
        <v>0</v>
      </c>
      <c r="T9" s="1">
        <f t="shared" si="1"/>
        <v>0</v>
      </c>
      <c r="U9" s="26" t="s">
        <v>34</v>
      </c>
      <c r="V9" s="1"/>
      <c r="W9" s="1"/>
    </row>
    <row r="10" spans="1:58" ht="23.4" x14ac:dyDescent="0.45">
      <c r="A10" s="1">
        <f t="shared" si="2"/>
        <v>9</v>
      </c>
      <c r="B10" s="15" t="s">
        <v>23</v>
      </c>
      <c r="C10" s="16" t="s">
        <v>24</v>
      </c>
      <c r="D10" s="17">
        <v>4051</v>
      </c>
      <c r="E10" s="18" t="s">
        <v>25</v>
      </c>
      <c r="F10" s="19" t="s">
        <v>26</v>
      </c>
      <c r="G10" s="1">
        <v>1000</v>
      </c>
      <c r="H10" s="1" t="s">
        <v>27</v>
      </c>
      <c r="I10" s="1" t="s">
        <v>28</v>
      </c>
      <c r="J10" s="1983" t="s">
        <v>29</v>
      </c>
      <c r="K10" s="20" t="s">
        <v>30</v>
      </c>
      <c r="L10" s="21">
        <v>0.4</v>
      </c>
      <c r="M10" s="16" t="s">
        <v>49</v>
      </c>
      <c r="N10" s="16" t="s">
        <v>50</v>
      </c>
      <c r="O10" s="16"/>
      <c r="P10" s="24">
        <v>18000150</v>
      </c>
      <c r="Q10" s="25">
        <v>0.15</v>
      </c>
      <c r="R10" s="24"/>
      <c r="S10" s="26">
        <f t="shared" si="0"/>
        <v>0</v>
      </c>
      <c r="T10" s="1">
        <f t="shared" si="1"/>
        <v>0</v>
      </c>
      <c r="U10" s="26" t="s">
        <v>34</v>
      </c>
      <c r="V10" s="1"/>
      <c r="W10" s="1"/>
    </row>
    <row r="11" spans="1:58" ht="23.4" x14ac:dyDescent="0.45">
      <c r="A11" s="1">
        <f t="shared" si="2"/>
        <v>10</v>
      </c>
      <c r="B11" s="15" t="s">
        <v>23</v>
      </c>
      <c r="C11" s="16" t="s">
        <v>24</v>
      </c>
      <c r="D11" s="17">
        <v>4051</v>
      </c>
      <c r="E11" s="18" t="s">
        <v>25</v>
      </c>
      <c r="F11" s="19" t="s">
        <v>26</v>
      </c>
      <c r="G11" s="1">
        <v>1000</v>
      </c>
      <c r="H11" s="1" t="s">
        <v>27</v>
      </c>
      <c r="I11" s="1" t="s">
        <v>28</v>
      </c>
      <c r="J11" s="1983" t="s">
        <v>29</v>
      </c>
      <c r="K11" s="20" t="s">
        <v>30</v>
      </c>
      <c r="L11" s="21">
        <v>0.4</v>
      </c>
      <c r="M11" s="16" t="s">
        <v>51</v>
      </c>
      <c r="N11" s="471" t="s">
        <v>52</v>
      </c>
      <c r="O11" s="16"/>
      <c r="P11" s="24">
        <v>98000</v>
      </c>
      <c r="Q11" s="25">
        <v>0.05</v>
      </c>
      <c r="R11" s="24"/>
      <c r="S11" s="26">
        <f t="shared" si="0"/>
        <v>0</v>
      </c>
      <c r="T11" s="1">
        <f t="shared" si="1"/>
        <v>0</v>
      </c>
      <c r="U11" s="26" t="s">
        <v>34</v>
      </c>
      <c r="V11" s="1"/>
      <c r="W11" s="1"/>
    </row>
    <row r="12" spans="1:58" ht="23.4" x14ac:dyDescent="0.45">
      <c r="A12" s="1">
        <f t="shared" si="2"/>
        <v>11</v>
      </c>
      <c r="B12" s="15" t="s">
        <v>23</v>
      </c>
      <c r="C12" s="16" t="s">
        <v>24</v>
      </c>
      <c r="D12" s="17">
        <v>4051</v>
      </c>
      <c r="E12" s="18" t="s">
        <v>25</v>
      </c>
      <c r="F12" s="19" t="s">
        <v>26</v>
      </c>
      <c r="G12" s="1">
        <v>1000</v>
      </c>
      <c r="H12" s="1" t="s">
        <v>27</v>
      </c>
      <c r="I12" s="1" t="s">
        <v>28</v>
      </c>
      <c r="J12" s="1983" t="s">
        <v>29</v>
      </c>
      <c r="K12" s="20" t="s">
        <v>30</v>
      </c>
      <c r="L12" s="21">
        <v>0.4</v>
      </c>
      <c r="M12" s="16" t="s">
        <v>53</v>
      </c>
      <c r="N12" s="16" t="s">
        <v>54</v>
      </c>
      <c r="O12" s="16"/>
      <c r="P12" s="28">
        <v>0.21893917720478934</v>
      </c>
      <c r="Q12" s="25">
        <v>0.05</v>
      </c>
      <c r="R12" s="28"/>
      <c r="S12" s="26">
        <f t="shared" si="0"/>
        <v>0</v>
      </c>
      <c r="T12" s="1">
        <f t="shared" si="1"/>
        <v>0</v>
      </c>
      <c r="U12" s="26" t="s">
        <v>34</v>
      </c>
      <c r="V12" s="1"/>
      <c r="W12" s="1"/>
    </row>
    <row r="13" spans="1:58" ht="23.4" x14ac:dyDescent="0.45">
      <c r="A13" s="1">
        <f t="shared" si="2"/>
        <v>12</v>
      </c>
      <c r="B13" s="15" t="s">
        <v>23</v>
      </c>
      <c r="C13" s="16" t="s">
        <v>24</v>
      </c>
      <c r="D13" s="17">
        <v>4051</v>
      </c>
      <c r="E13" s="18" t="s">
        <v>25</v>
      </c>
      <c r="F13" s="19" t="s">
        <v>26</v>
      </c>
      <c r="G13" s="1">
        <v>1000</v>
      </c>
      <c r="H13" s="1" t="s">
        <v>27</v>
      </c>
      <c r="I13" s="1" t="s">
        <v>28</v>
      </c>
      <c r="J13" s="1983" t="s">
        <v>29</v>
      </c>
      <c r="K13" s="20" t="s">
        <v>30</v>
      </c>
      <c r="L13" s="21">
        <v>0.4</v>
      </c>
      <c r="M13" s="16" t="s">
        <v>55</v>
      </c>
      <c r="N13" s="16" t="s">
        <v>56</v>
      </c>
      <c r="O13" s="16"/>
      <c r="P13" s="28">
        <v>0.11663493169620312</v>
      </c>
      <c r="Q13" s="25">
        <v>0.05</v>
      </c>
      <c r="R13" s="28"/>
      <c r="S13" s="26">
        <f t="shared" si="0"/>
        <v>0</v>
      </c>
      <c r="T13" s="1">
        <f t="shared" si="1"/>
        <v>0</v>
      </c>
      <c r="U13" s="26" t="s">
        <v>34</v>
      </c>
      <c r="V13" s="1"/>
      <c r="W13" s="1"/>
    </row>
    <row r="14" spans="1:58" ht="23.4" x14ac:dyDescent="0.45">
      <c r="A14" s="1">
        <f t="shared" si="2"/>
        <v>13</v>
      </c>
      <c r="B14" s="15" t="s">
        <v>23</v>
      </c>
      <c r="C14" s="16" t="s">
        <v>24</v>
      </c>
      <c r="D14" s="17">
        <v>4051</v>
      </c>
      <c r="E14" s="18" t="s">
        <v>25</v>
      </c>
      <c r="F14" s="29" t="s">
        <v>26</v>
      </c>
      <c r="G14" s="30">
        <v>1000</v>
      </c>
      <c r="H14" s="30" t="s">
        <v>27</v>
      </c>
      <c r="I14" s="30" t="s">
        <v>28</v>
      </c>
      <c r="J14" s="1984" t="s">
        <v>57</v>
      </c>
      <c r="K14" s="31" t="s">
        <v>58</v>
      </c>
      <c r="L14" s="32">
        <v>0.2</v>
      </c>
      <c r="M14" s="64" t="s">
        <v>59</v>
      </c>
      <c r="N14" s="184" t="s">
        <v>60</v>
      </c>
      <c r="O14" s="184" t="s">
        <v>61</v>
      </c>
      <c r="P14" s="35">
        <v>0.9</v>
      </c>
      <c r="Q14" s="36">
        <v>0.1</v>
      </c>
      <c r="R14" s="35"/>
      <c r="S14" s="37">
        <f t="shared" si="0"/>
        <v>0</v>
      </c>
      <c r="T14" s="30">
        <f t="shared" si="1"/>
        <v>0</v>
      </c>
      <c r="U14" s="37" t="s">
        <v>34</v>
      </c>
      <c r="V14" s="30"/>
      <c r="W14" s="30"/>
    </row>
    <row r="15" spans="1:58" ht="28.8" x14ac:dyDescent="0.45">
      <c r="A15" s="1">
        <f t="shared" si="2"/>
        <v>14</v>
      </c>
      <c r="B15" s="15" t="s">
        <v>23</v>
      </c>
      <c r="C15" s="16" t="s">
        <v>24</v>
      </c>
      <c r="D15" s="17">
        <v>4051</v>
      </c>
      <c r="E15" s="18" t="s">
        <v>25</v>
      </c>
      <c r="F15" s="29" t="s">
        <v>26</v>
      </c>
      <c r="G15" s="30">
        <v>1000</v>
      </c>
      <c r="H15" s="30" t="s">
        <v>27</v>
      </c>
      <c r="I15" s="30" t="s">
        <v>28</v>
      </c>
      <c r="J15" s="1984" t="s">
        <v>57</v>
      </c>
      <c r="K15" s="31" t="s">
        <v>58</v>
      </c>
      <c r="L15" s="32">
        <v>0.2</v>
      </c>
      <c r="M15" s="184" t="s">
        <v>62</v>
      </c>
      <c r="N15" s="287" t="s">
        <v>63</v>
      </c>
      <c r="O15" s="64" t="s">
        <v>64</v>
      </c>
      <c r="P15" s="35">
        <v>0.9</v>
      </c>
      <c r="Q15" s="36">
        <v>0.06</v>
      </c>
      <c r="R15" s="35"/>
      <c r="S15" s="37">
        <f t="shared" si="0"/>
        <v>0</v>
      </c>
      <c r="T15" s="30">
        <f t="shared" si="1"/>
        <v>0</v>
      </c>
      <c r="U15" s="37" t="s">
        <v>34</v>
      </c>
      <c r="V15" s="30"/>
      <c r="W15" s="30"/>
    </row>
    <row r="16" spans="1:58" ht="23.4" x14ac:dyDescent="0.45">
      <c r="A16" s="1">
        <f t="shared" si="2"/>
        <v>15</v>
      </c>
      <c r="B16" s="15" t="s">
        <v>23</v>
      </c>
      <c r="C16" s="16" t="s">
        <v>24</v>
      </c>
      <c r="D16" s="17">
        <v>4051</v>
      </c>
      <c r="E16" s="18" t="s">
        <v>25</v>
      </c>
      <c r="F16" s="29" t="s">
        <v>26</v>
      </c>
      <c r="G16" s="30">
        <v>1000</v>
      </c>
      <c r="H16" s="30" t="s">
        <v>27</v>
      </c>
      <c r="I16" s="30" t="s">
        <v>28</v>
      </c>
      <c r="J16" s="1984" t="s">
        <v>57</v>
      </c>
      <c r="K16" s="31" t="s">
        <v>58</v>
      </c>
      <c r="L16" s="32">
        <v>0.2</v>
      </c>
      <c r="M16" s="184" t="s">
        <v>65</v>
      </c>
      <c r="N16" s="64" t="s">
        <v>66</v>
      </c>
      <c r="O16" s="64" t="s">
        <v>67</v>
      </c>
      <c r="P16" s="35">
        <v>0.8</v>
      </c>
      <c r="Q16" s="36">
        <v>0.06</v>
      </c>
      <c r="R16" s="35"/>
      <c r="S16" s="37">
        <f t="shared" si="0"/>
        <v>0</v>
      </c>
      <c r="T16" s="30">
        <f t="shared" si="1"/>
        <v>0</v>
      </c>
      <c r="U16" s="37" t="s">
        <v>34</v>
      </c>
      <c r="V16" s="30"/>
      <c r="W16" s="30"/>
    </row>
    <row r="17" spans="1:23" ht="23.4" x14ac:dyDescent="0.45">
      <c r="A17" s="1">
        <f t="shared" si="2"/>
        <v>16</v>
      </c>
      <c r="B17" s="15" t="s">
        <v>23</v>
      </c>
      <c r="C17" s="16" t="s">
        <v>24</v>
      </c>
      <c r="D17" s="17">
        <v>4051</v>
      </c>
      <c r="E17" s="18" t="s">
        <v>25</v>
      </c>
      <c r="F17" s="29" t="s">
        <v>26</v>
      </c>
      <c r="G17" s="30">
        <v>1000</v>
      </c>
      <c r="H17" s="30" t="s">
        <v>27</v>
      </c>
      <c r="I17" s="30" t="s">
        <v>28</v>
      </c>
      <c r="J17" s="1984" t="s">
        <v>57</v>
      </c>
      <c r="K17" s="31" t="s">
        <v>58</v>
      </c>
      <c r="L17" s="32">
        <v>0.2</v>
      </c>
      <c r="M17" s="64" t="s">
        <v>68</v>
      </c>
      <c r="N17" s="64" t="s">
        <v>69</v>
      </c>
      <c r="O17" s="64" t="s">
        <v>70</v>
      </c>
      <c r="P17" s="35">
        <v>0.95</v>
      </c>
      <c r="Q17" s="36">
        <v>0.1</v>
      </c>
      <c r="R17" s="35"/>
      <c r="S17" s="37">
        <f t="shared" si="0"/>
        <v>0</v>
      </c>
      <c r="T17" s="30">
        <f t="shared" si="1"/>
        <v>0</v>
      </c>
      <c r="U17" s="37" t="s">
        <v>34</v>
      </c>
      <c r="V17" s="30"/>
      <c r="W17" s="30"/>
    </row>
    <row r="18" spans="1:23" ht="115.2" x14ac:dyDescent="0.45">
      <c r="A18" s="1">
        <f t="shared" si="2"/>
        <v>17</v>
      </c>
      <c r="B18" s="15" t="s">
        <v>23</v>
      </c>
      <c r="C18" s="16" t="s">
        <v>24</v>
      </c>
      <c r="D18" s="17">
        <v>4051</v>
      </c>
      <c r="E18" s="18" t="s">
        <v>25</v>
      </c>
      <c r="F18" s="29" t="s">
        <v>26</v>
      </c>
      <c r="G18" s="30">
        <v>1000</v>
      </c>
      <c r="H18" s="30" t="s">
        <v>27</v>
      </c>
      <c r="I18" s="30" t="s">
        <v>28</v>
      </c>
      <c r="J18" s="1984" t="s">
        <v>57</v>
      </c>
      <c r="K18" s="31" t="s">
        <v>58</v>
      </c>
      <c r="L18" s="32">
        <v>0.2</v>
      </c>
      <c r="M18" s="64" t="s">
        <v>71</v>
      </c>
      <c r="N18" s="287" t="s">
        <v>72</v>
      </c>
      <c r="O18" s="1963" t="s">
        <v>73</v>
      </c>
      <c r="P18" s="35">
        <v>0.95</v>
      </c>
      <c r="Q18" s="36">
        <v>0.1</v>
      </c>
      <c r="R18" s="35"/>
      <c r="S18" s="37">
        <f t="shared" si="0"/>
        <v>0</v>
      </c>
      <c r="T18" s="30">
        <f t="shared" si="1"/>
        <v>0</v>
      </c>
      <c r="U18" s="37" t="s">
        <v>34</v>
      </c>
      <c r="V18" s="30"/>
      <c r="W18" s="30"/>
    </row>
    <row r="19" spans="1:23" ht="23.4" x14ac:dyDescent="0.45">
      <c r="A19" s="1">
        <f t="shared" si="2"/>
        <v>18</v>
      </c>
      <c r="B19" s="15" t="s">
        <v>23</v>
      </c>
      <c r="C19" s="16" t="s">
        <v>24</v>
      </c>
      <c r="D19" s="17">
        <v>4051</v>
      </c>
      <c r="E19" s="18" t="s">
        <v>25</v>
      </c>
      <c r="F19" s="29" t="s">
        <v>26</v>
      </c>
      <c r="G19" s="30">
        <v>1000</v>
      </c>
      <c r="H19" s="30" t="s">
        <v>27</v>
      </c>
      <c r="I19" s="30" t="s">
        <v>28</v>
      </c>
      <c r="J19" s="1984" t="s">
        <v>57</v>
      </c>
      <c r="K19" s="31" t="s">
        <v>58</v>
      </c>
      <c r="L19" s="32">
        <v>0.2</v>
      </c>
      <c r="M19" s="184" t="s">
        <v>74</v>
      </c>
      <c r="N19" s="64" t="s">
        <v>75</v>
      </c>
      <c r="O19" s="64" t="s">
        <v>76</v>
      </c>
      <c r="P19" s="42">
        <v>90</v>
      </c>
      <c r="Q19" s="36">
        <v>0.05</v>
      </c>
      <c r="R19" s="42"/>
      <c r="S19" s="37">
        <f t="shared" si="0"/>
        <v>0</v>
      </c>
      <c r="T19" s="30">
        <f t="shared" si="1"/>
        <v>0</v>
      </c>
      <c r="U19" s="37" t="s">
        <v>34</v>
      </c>
      <c r="V19" s="30"/>
      <c r="W19" s="30"/>
    </row>
    <row r="20" spans="1:23" ht="28.8" x14ac:dyDescent="0.45">
      <c r="A20" s="1">
        <f t="shared" si="2"/>
        <v>19</v>
      </c>
      <c r="B20" s="15" t="s">
        <v>23</v>
      </c>
      <c r="C20" s="16" t="s">
        <v>24</v>
      </c>
      <c r="D20" s="17">
        <v>4051</v>
      </c>
      <c r="E20" s="18" t="s">
        <v>25</v>
      </c>
      <c r="F20" s="29" t="s">
        <v>26</v>
      </c>
      <c r="G20" s="30">
        <v>1000</v>
      </c>
      <c r="H20" s="30" t="s">
        <v>27</v>
      </c>
      <c r="I20" s="30" t="s">
        <v>28</v>
      </c>
      <c r="J20" s="1984" t="s">
        <v>57</v>
      </c>
      <c r="K20" s="31" t="s">
        <v>58</v>
      </c>
      <c r="L20" s="32">
        <v>0.2</v>
      </c>
      <c r="M20" s="64" t="s">
        <v>77</v>
      </c>
      <c r="N20" s="287" t="s">
        <v>78</v>
      </c>
      <c r="O20" s="64" t="s">
        <v>79</v>
      </c>
      <c r="P20" s="35">
        <v>0.99</v>
      </c>
      <c r="Q20" s="36">
        <v>0.1</v>
      </c>
      <c r="R20" s="35"/>
      <c r="S20" s="37">
        <f t="shared" si="0"/>
        <v>0</v>
      </c>
      <c r="T20" s="30">
        <f t="shared" si="1"/>
        <v>0</v>
      </c>
      <c r="U20" s="37" t="s">
        <v>34</v>
      </c>
      <c r="V20" s="30"/>
      <c r="W20" s="30"/>
    </row>
    <row r="21" spans="1:23" ht="23.4" x14ac:dyDescent="0.45">
      <c r="A21" s="1">
        <f t="shared" si="2"/>
        <v>20</v>
      </c>
      <c r="B21" s="15" t="s">
        <v>23</v>
      </c>
      <c r="C21" s="16" t="s">
        <v>24</v>
      </c>
      <c r="D21" s="17">
        <v>4051</v>
      </c>
      <c r="E21" s="18" t="s">
        <v>25</v>
      </c>
      <c r="F21" s="29" t="s">
        <v>26</v>
      </c>
      <c r="G21" s="30">
        <v>1000</v>
      </c>
      <c r="H21" s="30" t="s">
        <v>27</v>
      </c>
      <c r="I21" s="30" t="s">
        <v>28</v>
      </c>
      <c r="J21" s="1984" t="s">
        <v>57</v>
      </c>
      <c r="K21" s="31" t="s">
        <v>58</v>
      </c>
      <c r="L21" s="32">
        <v>0.2</v>
      </c>
      <c r="M21" s="435" t="s">
        <v>80</v>
      </c>
      <c r="N21" s="435" t="s">
        <v>81</v>
      </c>
      <c r="O21" s="435" t="s">
        <v>82</v>
      </c>
      <c r="P21" s="43">
        <v>0.01</v>
      </c>
      <c r="Q21" s="36">
        <v>0.05</v>
      </c>
      <c r="R21" s="43"/>
      <c r="S21" s="37">
        <f t="shared" si="0"/>
        <v>0</v>
      </c>
      <c r="T21" s="30">
        <f t="shared" si="1"/>
        <v>0</v>
      </c>
      <c r="U21" s="37" t="s">
        <v>83</v>
      </c>
      <c r="V21" s="30"/>
      <c r="W21" s="30"/>
    </row>
    <row r="22" spans="1:23" ht="23.4" x14ac:dyDescent="0.45">
      <c r="A22" s="1">
        <f t="shared" si="2"/>
        <v>21</v>
      </c>
      <c r="B22" s="15" t="s">
        <v>23</v>
      </c>
      <c r="C22" s="16" t="s">
        <v>24</v>
      </c>
      <c r="D22" s="17">
        <v>4051</v>
      </c>
      <c r="E22" s="18" t="s">
        <v>25</v>
      </c>
      <c r="F22" s="29" t="s">
        <v>26</v>
      </c>
      <c r="G22" s="30">
        <v>1000</v>
      </c>
      <c r="H22" s="30" t="s">
        <v>27</v>
      </c>
      <c r="I22" s="30" t="s">
        <v>28</v>
      </c>
      <c r="J22" s="1984" t="s">
        <v>57</v>
      </c>
      <c r="K22" s="31" t="s">
        <v>58</v>
      </c>
      <c r="L22" s="32">
        <v>0.2</v>
      </c>
      <c r="M22" s="64" t="s">
        <v>84</v>
      </c>
      <c r="N22" s="64" t="s">
        <v>85</v>
      </c>
      <c r="O22" s="64" t="s">
        <v>86</v>
      </c>
      <c r="P22" s="35">
        <v>0.03</v>
      </c>
      <c r="Q22" s="36">
        <v>0.03</v>
      </c>
      <c r="R22" s="35"/>
      <c r="S22" s="37">
        <f t="shared" si="0"/>
        <v>0</v>
      </c>
      <c r="T22" s="30">
        <f t="shared" si="1"/>
        <v>0</v>
      </c>
      <c r="U22" s="37" t="s">
        <v>83</v>
      </c>
      <c r="V22" s="30"/>
      <c r="W22" s="30"/>
    </row>
    <row r="23" spans="1:23" ht="23.4" x14ac:dyDescent="0.45">
      <c r="A23" s="1">
        <f t="shared" si="2"/>
        <v>22</v>
      </c>
      <c r="B23" s="15" t="s">
        <v>23</v>
      </c>
      <c r="C23" s="16" t="s">
        <v>24</v>
      </c>
      <c r="D23" s="17">
        <v>4051</v>
      </c>
      <c r="E23" s="18" t="s">
        <v>25</v>
      </c>
      <c r="F23" s="29" t="s">
        <v>26</v>
      </c>
      <c r="G23" s="30">
        <v>1000</v>
      </c>
      <c r="H23" s="30" t="s">
        <v>27</v>
      </c>
      <c r="I23" s="30" t="s">
        <v>28</v>
      </c>
      <c r="J23" s="1984" t="s">
        <v>57</v>
      </c>
      <c r="K23" s="31" t="s">
        <v>58</v>
      </c>
      <c r="L23" s="32">
        <v>0.2</v>
      </c>
      <c r="M23" s="64" t="s">
        <v>87</v>
      </c>
      <c r="N23" s="64" t="s">
        <v>88</v>
      </c>
      <c r="O23" s="64" t="s">
        <v>89</v>
      </c>
      <c r="P23" s="35">
        <v>0.95</v>
      </c>
      <c r="Q23" s="36">
        <v>0.05</v>
      </c>
      <c r="R23" s="35"/>
      <c r="S23" s="37">
        <f t="shared" si="0"/>
        <v>0</v>
      </c>
      <c r="T23" s="30">
        <f t="shared" si="1"/>
        <v>0</v>
      </c>
      <c r="U23" s="37" t="s">
        <v>34</v>
      </c>
      <c r="V23" s="30"/>
      <c r="W23" s="30"/>
    </row>
    <row r="24" spans="1:23" ht="23.4" x14ac:dyDescent="0.45">
      <c r="A24" s="1">
        <f t="shared" si="2"/>
        <v>23</v>
      </c>
      <c r="B24" s="15" t="s">
        <v>23</v>
      </c>
      <c r="C24" s="16" t="s">
        <v>24</v>
      </c>
      <c r="D24" s="17">
        <v>4051</v>
      </c>
      <c r="E24" s="18" t="s">
        <v>25</v>
      </c>
      <c r="F24" s="29" t="s">
        <v>26</v>
      </c>
      <c r="G24" s="30">
        <v>1000</v>
      </c>
      <c r="H24" s="30" t="s">
        <v>27</v>
      </c>
      <c r="I24" s="30" t="s">
        <v>28</v>
      </c>
      <c r="J24" s="1984" t="s">
        <v>57</v>
      </c>
      <c r="K24" s="31" t="s">
        <v>58</v>
      </c>
      <c r="L24" s="32">
        <v>0.2</v>
      </c>
      <c r="M24" s="184" t="s">
        <v>90</v>
      </c>
      <c r="N24" s="64" t="s">
        <v>91</v>
      </c>
      <c r="O24" s="64" t="s">
        <v>92</v>
      </c>
      <c r="P24" s="42">
        <v>2</v>
      </c>
      <c r="Q24" s="36">
        <v>0.02</v>
      </c>
      <c r="R24" s="42"/>
      <c r="S24" s="37">
        <f t="shared" si="0"/>
        <v>0</v>
      </c>
      <c r="T24" s="30">
        <f t="shared" si="1"/>
        <v>0</v>
      </c>
      <c r="U24" s="37" t="s">
        <v>34</v>
      </c>
      <c r="V24" s="30"/>
      <c r="W24" s="30"/>
    </row>
    <row r="25" spans="1:23" ht="23.4" x14ac:dyDescent="0.45">
      <c r="A25" s="1">
        <f t="shared" si="2"/>
        <v>24</v>
      </c>
      <c r="B25" s="15" t="s">
        <v>23</v>
      </c>
      <c r="C25" s="16" t="s">
        <v>24</v>
      </c>
      <c r="D25" s="17">
        <v>4051</v>
      </c>
      <c r="E25" s="18" t="s">
        <v>25</v>
      </c>
      <c r="F25" s="29" t="s">
        <v>26</v>
      </c>
      <c r="G25" s="30">
        <v>1000</v>
      </c>
      <c r="H25" s="30" t="s">
        <v>27</v>
      </c>
      <c r="I25" s="30" t="s">
        <v>28</v>
      </c>
      <c r="J25" s="1984" t="s">
        <v>57</v>
      </c>
      <c r="K25" s="31" t="s">
        <v>58</v>
      </c>
      <c r="L25" s="32">
        <v>0.2</v>
      </c>
      <c r="M25" s="184" t="s">
        <v>93</v>
      </c>
      <c r="N25" s="64" t="s">
        <v>94</v>
      </c>
      <c r="O25" s="64" t="s">
        <v>95</v>
      </c>
      <c r="P25" s="35">
        <v>0.75</v>
      </c>
      <c r="Q25" s="36">
        <v>0.03</v>
      </c>
      <c r="R25" s="35"/>
      <c r="S25" s="37">
        <f t="shared" si="0"/>
        <v>0</v>
      </c>
      <c r="T25" s="30">
        <f t="shared" si="1"/>
        <v>0</v>
      </c>
      <c r="U25" s="37" t="s">
        <v>34</v>
      </c>
      <c r="V25" s="30"/>
      <c r="W25" s="30"/>
    </row>
    <row r="26" spans="1:23" ht="23.4" x14ac:dyDescent="0.45">
      <c r="A26" s="1">
        <f t="shared" si="2"/>
        <v>25</v>
      </c>
      <c r="B26" s="15" t="s">
        <v>23</v>
      </c>
      <c r="C26" s="16" t="s">
        <v>24</v>
      </c>
      <c r="D26" s="17">
        <v>4051</v>
      </c>
      <c r="E26" s="18" t="s">
        <v>25</v>
      </c>
      <c r="F26" s="29" t="s">
        <v>26</v>
      </c>
      <c r="G26" s="30">
        <v>1000</v>
      </c>
      <c r="H26" s="30" t="s">
        <v>27</v>
      </c>
      <c r="I26" s="30" t="s">
        <v>28</v>
      </c>
      <c r="J26" s="1984" t="s">
        <v>57</v>
      </c>
      <c r="K26" s="31" t="s">
        <v>58</v>
      </c>
      <c r="L26" s="32">
        <v>0.2</v>
      </c>
      <c r="M26" s="64" t="s">
        <v>96</v>
      </c>
      <c r="N26" s="64" t="s">
        <v>97</v>
      </c>
      <c r="O26" s="64" t="s">
        <v>98</v>
      </c>
      <c r="P26" s="42">
        <v>1</v>
      </c>
      <c r="Q26" s="36">
        <v>0.05</v>
      </c>
      <c r="R26" s="42"/>
      <c r="S26" s="37">
        <f t="shared" si="0"/>
        <v>0</v>
      </c>
      <c r="T26" s="30">
        <f t="shared" si="1"/>
        <v>0</v>
      </c>
      <c r="U26" s="37" t="s">
        <v>83</v>
      </c>
      <c r="V26" s="30"/>
      <c r="W26" s="30"/>
    </row>
    <row r="27" spans="1:23" ht="23.4" x14ac:dyDescent="0.45">
      <c r="A27" s="1">
        <f t="shared" si="2"/>
        <v>26</v>
      </c>
      <c r="B27" s="15" t="s">
        <v>23</v>
      </c>
      <c r="C27" s="16" t="s">
        <v>24</v>
      </c>
      <c r="D27" s="17">
        <v>4051</v>
      </c>
      <c r="E27" s="18" t="s">
        <v>25</v>
      </c>
      <c r="F27" s="29" t="s">
        <v>26</v>
      </c>
      <c r="G27" s="30">
        <v>1000</v>
      </c>
      <c r="H27" s="30" t="s">
        <v>27</v>
      </c>
      <c r="I27" s="30" t="s">
        <v>28</v>
      </c>
      <c r="J27" s="1984" t="s">
        <v>57</v>
      </c>
      <c r="K27" s="31" t="s">
        <v>58</v>
      </c>
      <c r="L27" s="32">
        <v>0.2</v>
      </c>
      <c r="M27" s="184" t="s">
        <v>99</v>
      </c>
      <c r="N27" s="64" t="s">
        <v>100</v>
      </c>
      <c r="O27" s="64" t="s">
        <v>101</v>
      </c>
      <c r="P27" s="35">
        <v>0.95</v>
      </c>
      <c r="Q27" s="36">
        <v>0.05</v>
      </c>
      <c r="R27" s="35"/>
      <c r="S27" s="37">
        <f t="shared" si="0"/>
        <v>0</v>
      </c>
      <c r="T27" s="30">
        <f t="shared" si="1"/>
        <v>0</v>
      </c>
      <c r="U27" s="37" t="s">
        <v>34</v>
      </c>
      <c r="V27" s="30"/>
      <c r="W27" s="30"/>
    </row>
    <row r="28" spans="1:23" ht="23.4" x14ac:dyDescent="0.45">
      <c r="A28" s="1">
        <f t="shared" si="2"/>
        <v>27</v>
      </c>
      <c r="B28" s="15" t="s">
        <v>23</v>
      </c>
      <c r="C28" s="16" t="s">
        <v>24</v>
      </c>
      <c r="D28" s="17">
        <v>4051</v>
      </c>
      <c r="E28" s="18" t="s">
        <v>25</v>
      </c>
      <c r="F28" s="29" t="s">
        <v>26</v>
      </c>
      <c r="G28" s="30">
        <v>1000</v>
      </c>
      <c r="H28" s="30" t="s">
        <v>27</v>
      </c>
      <c r="I28" s="30" t="s">
        <v>28</v>
      </c>
      <c r="J28" s="1984" t="s">
        <v>57</v>
      </c>
      <c r="K28" s="31" t="s">
        <v>58</v>
      </c>
      <c r="L28" s="32">
        <v>0.2</v>
      </c>
      <c r="M28" s="184" t="s">
        <v>102</v>
      </c>
      <c r="N28" s="64" t="s">
        <v>103</v>
      </c>
      <c r="O28" s="64" t="s">
        <v>104</v>
      </c>
      <c r="P28" s="42">
        <v>1</v>
      </c>
      <c r="Q28" s="36">
        <v>0.05</v>
      </c>
      <c r="R28" s="42"/>
      <c r="S28" s="37">
        <f t="shared" si="0"/>
        <v>0</v>
      </c>
      <c r="T28" s="30">
        <f t="shared" si="1"/>
        <v>0</v>
      </c>
      <c r="U28" s="37" t="s">
        <v>34</v>
      </c>
      <c r="V28" s="30"/>
      <c r="W28" s="30"/>
    </row>
    <row r="29" spans="1:23" ht="23.4" x14ac:dyDescent="0.45">
      <c r="A29" s="1">
        <f t="shared" si="2"/>
        <v>28</v>
      </c>
      <c r="B29" s="15" t="s">
        <v>23</v>
      </c>
      <c r="C29" s="16" t="s">
        <v>24</v>
      </c>
      <c r="D29" s="17">
        <v>4051</v>
      </c>
      <c r="E29" s="18" t="s">
        <v>25</v>
      </c>
      <c r="F29" s="29" t="s">
        <v>26</v>
      </c>
      <c r="G29" s="30">
        <v>1000</v>
      </c>
      <c r="H29" s="30" t="s">
        <v>27</v>
      </c>
      <c r="I29" s="30" t="s">
        <v>28</v>
      </c>
      <c r="J29" s="1984" t="s">
        <v>57</v>
      </c>
      <c r="K29" s="31" t="s">
        <v>58</v>
      </c>
      <c r="L29" s="32">
        <v>0.2</v>
      </c>
      <c r="M29" s="184" t="s">
        <v>105</v>
      </c>
      <c r="N29" s="64" t="s">
        <v>106</v>
      </c>
      <c r="O29" s="64" t="s">
        <v>107</v>
      </c>
      <c r="P29" s="42">
        <v>1</v>
      </c>
      <c r="Q29" s="36">
        <v>0.05</v>
      </c>
      <c r="R29" s="42"/>
      <c r="S29" s="37">
        <f t="shared" si="0"/>
        <v>0</v>
      </c>
      <c r="T29" s="30">
        <f t="shared" si="1"/>
        <v>0</v>
      </c>
      <c r="U29" s="37" t="s">
        <v>34</v>
      </c>
      <c r="V29" s="30"/>
      <c r="W29" s="30"/>
    </row>
    <row r="30" spans="1:23" ht="23.4" x14ac:dyDescent="0.45">
      <c r="A30" s="1">
        <f t="shared" si="2"/>
        <v>29</v>
      </c>
      <c r="B30" s="15" t="s">
        <v>23</v>
      </c>
      <c r="C30" s="16" t="s">
        <v>24</v>
      </c>
      <c r="D30" s="17">
        <v>4051</v>
      </c>
      <c r="E30" s="18" t="s">
        <v>25</v>
      </c>
      <c r="F30" s="29" t="s">
        <v>26</v>
      </c>
      <c r="G30" s="30">
        <v>1000</v>
      </c>
      <c r="H30" s="30" t="s">
        <v>27</v>
      </c>
      <c r="I30" s="30" t="s">
        <v>28</v>
      </c>
      <c r="J30" s="1984" t="s">
        <v>57</v>
      </c>
      <c r="K30" s="31" t="s">
        <v>58</v>
      </c>
      <c r="L30" s="32">
        <v>0.2</v>
      </c>
      <c r="M30" s="290" t="s">
        <v>108</v>
      </c>
      <c r="N30" s="291" t="s">
        <v>109</v>
      </c>
      <c r="O30" s="430"/>
      <c r="P30" s="35">
        <v>0.74</v>
      </c>
      <c r="Q30" s="36">
        <v>0.05</v>
      </c>
      <c r="R30" s="35"/>
      <c r="S30" s="37">
        <f t="shared" si="0"/>
        <v>0</v>
      </c>
      <c r="T30" s="30">
        <f t="shared" si="1"/>
        <v>0</v>
      </c>
      <c r="U30" s="37"/>
      <c r="V30" s="30"/>
      <c r="W30" s="30"/>
    </row>
    <row r="31" spans="1:23" ht="23.4" x14ac:dyDescent="0.45">
      <c r="A31" s="1">
        <f t="shared" si="2"/>
        <v>30</v>
      </c>
      <c r="B31" s="15" t="s">
        <v>23</v>
      </c>
      <c r="C31" s="16" t="s">
        <v>24</v>
      </c>
      <c r="D31" s="17">
        <v>4051</v>
      </c>
      <c r="E31" s="18" t="s">
        <v>25</v>
      </c>
      <c r="F31" s="19" t="s">
        <v>26</v>
      </c>
      <c r="G31" s="1">
        <v>1000</v>
      </c>
      <c r="H31" s="1" t="s">
        <v>27</v>
      </c>
      <c r="I31" s="1" t="s">
        <v>28</v>
      </c>
      <c r="J31" s="1983" t="s">
        <v>110</v>
      </c>
      <c r="K31" s="20" t="s">
        <v>111</v>
      </c>
      <c r="L31" s="45">
        <v>0.4</v>
      </c>
      <c r="M31" s="16" t="s">
        <v>112</v>
      </c>
      <c r="N31" s="182" t="s">
        <v>113</v>
      </c>
      <c r="O31" s="16"/>
      <c r="P31" s="28">
        <v>1</v>
      </c>
      <c r="Q31" s="25">
        <v>0.05</v>
      </c>
      <c r="R31" s="28"/>
      <c r="S31" s="26">
        <f t="shared" si="0"/>
        <v>0</v>
      </c>
      <c r="T31" s="1">
        <f t="shared" si="1"/>
        <v>0</v>
      </c>
      <c r="U31" s="26" t="s">
        <v>34</v>
      </c>
      <c r="V31" s="1"/>
      <c r="W31" s="1"/>
    </row>
    <row r="32" spans="1:23" ht="23.4" x14ac:dyDescent="0.45">
      <c r="A32" s="1">
        <f t="shared" si="2"/>
        <v>31</v>
      </c>
      <c r="B32" s="15" t="s">
        <v>23</v>
      </c>
      <c r="C32" s="16" t="s">
        <v>24</v>
      </c>
      <c r="D32" s="17">
        <v>4051</v>
      </c>
      <c r="E32" s="18" t="s">
        <v>25</v>
      </c>
      <c r="F32" s="19" t="s">
        <v>26</v>
      </c>
      <c r="G32" s="1">
        <v>1000</v>
      </c>
      <c r="H32" s="1" t="s">
        <v>27</v>
      </c>
      <c r="I32" s="1" t="s">
        <v>28</v>
      </c>
      <c r="J32" s="1983" t="s">
        <v>110</v>
      </c>
      <c r="K32" s="20" t="s">
        <v>111</v>
      </c>
      <c r="L32" s="45">
        <v>0.4</v>
      </c>
      <c r="M32" s="16" t="s">
        <v>114</v>
      </c>
      <c r="N32" s="182" t="s">
        <v>115</v>
      </c>
      <c r="O32" s="16"/>
      <c r="P32" s="28">
        <v>1</v>
      </c>
      <c r="Q32" s="25">
        <v>0.05</v>
      </c>
      <c r="R32" s="28"/>
      <c r="S32" s="26">
        <f t="shared" si="0"/>
        <v>0</v>
      </c>
      <c r="T32" s="1">
        <f t="shared" si="1"/>
        <v>0</v>
      </c>
      <c r="U32" s="26" t="s">
        <v>34</v>
      </c>
      <c r="V32" s="1"/>
      <c r="W32" s="1"/>
    </row>
    <row r="33" spans="1:23" ht="23.4" x14ac:dyDescent="0.45">
      <c r="A33" s="1">
        <f t="shared" si="2"/>
        <v>32</v>
      </c>
      <c r="B33" s="15" t="s">
        <v>23</v>
      </c>
      <c r="C33" s="16" t="s">
        <v>24</v>
      </c>
      <c r="D33" s="17">
        <v>4051</v>
      </c>
      <c r="E33" s="18" t="s">
        <v>25</v>
      </c>
      <c r="F33" s="19" t="s">
        <v>26</v>
      </c>
      <c r="G33" s="1">
        <v>1000</v>
      </c>
      <c r="H33" s="1" t="s">
        <v>27</v>
      </c>
      <c r="I33" s="1" t="s">
        <v>28</v>
      </c>
      <c r="J33" s="1983" t="s">
        <v>110</v>
      </c>
      <c r="K33" s="20" t="s">
        <v>111</v>
      </c>
      <c r="L33" s="45">
        <v>0.4</v>
      </c>
      <c r="M33" s="16" t="s">
        <v>116</v>
      </c>
      <c r="N33" s="182" t="s">
        <v>117</v>
      </c>
      <c r="O33" s="16"/>
      <c r="P33" s="28">
        <v>1</v>
      </c>
      <c r="Q33" s="25">
        <v>0.1</v>
      </c>
      <c r="R33" s="28"/>
      <c r="S33" s="26">
        <f t="shared" si="0"/>
        <v>0</v>
      </c>
      <c r="T33" s="1">
        <f t="shared" si="1"/>
        <v>0</v>
      </c>
      <c r="U33" s="26" t="s">
        <v>34</v>
      </c>
      <c r="V33" s="1"/>
      <c r="W33" s="1"/>
    </row>
    <row r="34" spans="1:23" ht="23.4" x14ac:dyDescent="0.45">
      <c r="A34" s="1">
        <f t="shared" si="2"/>
        <v>33</v>
      </c>
      <c r="B34" s="15" t="s">
        <v>23</v>
      </c>
      <c r="C34" s="16" t="s">
        <v>24</v>
      </c>
      <c r="D34" s="17">
        <v>4051</v>
      </c>
      <c r="E34" s="18" t="s">
        <v>25</v>
      </c>
      <c r="F34" s="19" t="s">
        <v>26</v>
      </c>
      <c r="G34" s="1">
        <v>1000</v>
      </c>
      <c r="H34" s="1" t="s">
        <v>27</v>
      </c>
      <c r="I34" s="1" t="s">
        <v>28</v>
      </c>
      <c r="J34" s="1983" t="s">
        <v>110</v>
      </c>
      <c r="K34" s="20" t="s">
        <v>111</v>
      </c>
      <c r="L34" s="45">
        <v>0.4</v>
      </c>
      <c r="M34" s="16" t="s">
        <v>118</v>
      </c>
      <c r="N34" s="182" t="s">
        <v>119</v>
      </c>
      <c r="O34" s="16"/>
      <c r="P34" s="28">
        <v>1</v>
      </c>
      <c r="Q34" s="25">
        <v>0.1</v>
      </c>
      <c r="R34" s="28"/>
      <c r="S34" s="26">
        <f t="shared" si="0"/>
        <v>0</v>
      </c>
      <c r="T34" s="1">
        <f t="shared" si="1"/>
        <v>0</v>
      </c>
      <c r="U34" s="26" t="s">
        <v>34</v>
      </c>
      <c r="V34" s="1"/>
      <c r="W34" s="1"/>
    </row>
    <row r="35" spans="1:23" ht="23.4" x14ac:dyDescent="0.45">
      <c r="A35" s="1">
        <f t="shared" si="2"/>
        <v>34</v>
      </c>
      <c r="B35" s="15" t="s">
        <v>23</v>
      </c>
      <c r="C35" s="16" t="s">
        <v>24</v>
      </c>
      <c r="D35" s="17">
        <v>4051</v>
      </c>
      <c r="E35" s="18" t="s">
        <v>25</v>
      </c>
      <c r="F35" s="19" t="s">
        <v>26</v>
      </c>
      <c r="G35" s="1">
        <v>1000</v>
      </c>
      <c r="H35" s="1" t="s">
        <v>27</v>
      </c>
      <c r="I35" s="1" t="s">
        <v>28</v>
      </c>
      <c r="J35" s="1983" t="s">
        <v>110</v>
      </c>
      <c r="K35" s="20" t="s">
        <v>111</v>
      </c>
      <c r="L35" s="45">
        <v>0.4</v>
      </c>
      <c r="M35" s="16" t="s">
        <v>120</v>
      </c>
      <c r="N35" s="182" t="s">
        <v>121</v>
      </c>
      <c r="O35" s="16"/>
      <c r="P35" s="28">
        <v>1</v>
      </c>
      <c r="Q35" s="25">
        <v>0.1</v>
      </c>
      <c r="R35" s="28"/>
      <c r="S35" s="26">
        <f t="shared" si="0"/>
        <v>0</v>
      </c>
      <c r="T35" s="1">
        <f t="shared" si="1"/>
        <v>0</v>
      </c>
      <c r="U35" s="26" t="s">
        <v>34</v>
      </c>
      <c r="V35" s="1"/>
      <c r="W35" s="1"/>
    </row>
    <row r="36" spans="1:23" ht="23.4" x14ac:dyDescent="0.45">
      <c r="A36" s="1">
        <f t="shared" si="2"/>
        <v>35</v>
      </c>
      <c r="B36" s="15" t="s">
        <v>23</v>
      </c>
      <c r="C36" s="16" t="s">
        <v>24</v>
      </c>
      <c r="D36" s="17">
        <v>4051</v>
      </c>
      <c r="E36" s="18" t="s">
        <v>25</v>
      </c>
      <c r="F36" s="19" t="s">
        <v>26</v>
      </c>
      <c r="G36" s="1">
        <v>1000</v>
      </c>
      <c r="H36" s="1" t="s">
        <v>27</v>
      </c>
      <c r="I36" s="1" t="s">
        <v>28</v>
      </c>
      <c r="J36" s="1983" t="s">
        <v>110</v>
      </c>
      <c r="K36" s="20" t="s">
        <v>111</v>
      </c>
      <c r="L36" s="45">
        <v>0.4</v>
      </c>
      <c r="M36" s="16" t="s">
        <v>122</v>
      </c>
      <c r="N36" s="182" t="s">
        <v>123</v>
      </c>
      <c r="O36" s="16"/>
      <c r="P36" s="28">
        <v>0.5</v>
      </c>
      <c r="Q36" s="25">
        <v>0.1</v>
      </c>
      <c r="R36" s="28"/>
      <c r="S36" s="26">
        <f t="shared" si="0"/>
        <v>0</v>
      </c>
      <c r="T36" s="1">
        <f t="shared" si="1"/>
        <v>0</v>
      </c>
      <c r="U36" s="26" t="s">
        <v>34</v>
      </c>
      <c r="V36" s="1"/>
      <c r="W36" s="1"/>
    </row>
    <row r="37" spans="1:23" ht="23.4" x14ac:dyDescent="0.45">
      <c r="A37" s="1">
        <f t="shared" si="2"/>
        <v>36</v>
      </c>
      <c r="B37" s="15" t="s">
        <v>23</v>
      </c>
      <c r="C37" s="16" t="s">
        <v>24</v>
      </c>
      <c r="D37" s="17">
        <v>4051</v>
      </c>
      <c r="E37" s="18" t="s">
        <v>25</v>
      </c>
      <c r="F37" s="19" t="s">
        <v>26</v>
      </c>
      <c r="G37" s="1">
        <v>1000</v>
      </c>
      <c r="H37" s="1" t="s">
        <v>27</v>
      </c>
      <c r="I37" s="1" t="s">
        <v>28</v>
      </c>
      <c r="J37" s="1983" t="s">
        <v>110</v>
      </c>
      <c r="K37" s="20" t="s">
        <v>111</v>
      </c>
      <c r="L37" s="45">
        <v>0.4</v>
      </c>
      <c r="M37" s="16" t="s">
        <v>124</v>
      </c>
      <c r="N37" s="182" t="s">
        <v>125</v>
      </c>
      <c r="O37" s="16"/>
      <c r="P37" s="28">
        <v>1</v>
      </c>
      <c r="Q37" s="25">
        <v>0.05</v>
      </c>
      <c r="R37" s="28"/>
      <c r="S37" s="26">
        <f t="shared" si="0"/>
        <v>0</v>
      </c>
      <c r="T37" s="1">
        <f t="shared" si="1"/>
        <v>0</v>
      </c>
      <c r="U37" s="26" t="s">
        <v>34</v>
      </c>
      <c r="V37" s="1"/>
      <c r="W37" s="1"/>
    </row>
    <row r="38" spans="1:23" ht="23.4" x14ac:dyDescent="0.45">
      <c r="A38" s="1">
        <f t="shared" si="2"/>
        <v>37</v>
      </c>
      <c r="B38" s="15" t="s">
        <v>23</v>
      </c>
      <c r="C38" s="16" t="s">
        <v>24</v>
      </c>
      <c r="D38" s="17">
        <v>4051</v>
      </c>
      <c r="E38" s="18" t="s">
        <v>25</v>
      </c>
      <c r="F38" s="19" t="s">
        <v>26</v>
      </c>
      <c r="G38" s="1">
        <v>1000</v>
      </c>
      <c r="H38" s="1" t="s">
        <v>27</v>
      </c>
      <c r="I38" s="1" t="s">
        <v>28</v>
      </c>
      <c r="J38" s="1983" t="s">
        <v>110</v>
      </c>
      <c r="K38" s="20" t="s">
        <v>111</v>
      </c>
      <c r="L38" s="45">
        <v>0.4</v>
      </c>
      <c r="M38" s="16" t="s">
        <v>126</v>
      </c>
      <c r="N38" s="182" t="s">
        <v>127</v>
      </c>
      <c r="O38" s="16"/>
      <c r="P38" s="28">
        <v>1</v>
      </c>
      <c r="Q38" s="25">
        <v>0.1</v>
      </c>
      <c r="R38" s="28"/>
      <c r="S38" s="26">
        <f t="shared" si="0"/>
        <v>0</v>
      </c>
      <c r="T38" s="1">
        <f t="shared" si="1"/>
        <v>0</v>
      </c>
      <c r="U38" s="26" t="s">
        <v>34</v>
      </c>
      <c r="V38" s="1"/>
      <c r="W38" s="1"/>
    </row>
    <row r="39" spans="1:23" ht="23.4" x14ac:dyDescent="0.45">
      <c r="A39" s="1">
        <f t="shared" si="2"/>
        <v>38</v>
      </c>
      <c r="B39" s="15" t="s">
        <v>23</v>
      </c>
      <c r="C39" s="16" t="s">
        <v>24</v>
      </c>
      <c r="D39" s="17">
        <v>4051</v>
      </c>
      <c r="E39" s="18" t="s">
        <v>25</v>
      </c>
      <c r="F39" s="19" t="s">
        <v>26</v>
      </c>
      <c r="G39" s="1">
        <v>1000</v>
      </c>
      <c r="H39" s="1" t="s">
        <v>27</v>
      </c>
      <c r="I39" s="1" t="s">
        <v>28</v>
      </c>
      <c r="J39" s="1983" t="s">
        <v>110</v>
      </c>
      <c r="K39" s="20" t="s">
        <v>111</v>
      </c>
      <c r="L39" s="45">
        <v>0.4</v>
      </c>
      <c r="M39" s="16" t="s">
        <v>128</v>
      </c>
      <c r="N39" s="182" t="s">
        <v>129</v>
      </c>
      <c r="O39" s="16" t="s">
        <v>130</v>
      </c>
      <c r="P39" s="46">
        <v>3</v>
      </c>
      <c r="Q39" s="25">
        <v>0.15</v>
      </c>
      <c r="R39" s="46"/>
      <c r="S39" s="26">
        <f t="shared" si="0"/>
        <v>0</v>
      </c>
      <c r="T39" s="1">
        <f t="shared" si="1"/>
        <v>0</v>
      </c>
      <c r="U39" s="26" t="s">
        <v>34</v>
      </c>
      <c r="V39" s="1"/>
      <c r="W39" s="1"/>
    </row>
    <row r="40" spans="1:23" ht="23.4" x14ac:dyDescent="0.45">
      <c r="A40" s="1">
        <f t="shared" si="2"/>
        <v>39</v>
      </c>
      <c r="B40" s="15" t="s">
        <v>23</v>
      </c>
      <c r="C40" s="16" t="s">
        <v>24</v>
      </c>
      <c r="D40" s="17">
        <v>4051</v>
      </c>
      <c r="E40" s="18" t="s">
        <v>25</v>
      </c>
      <c r="F40" s="19" t="s">
        <v>26</v>
      </c>
      <c r="G40" s="1">
        <v>1000</v>
      </c>
      <c r="H40" s="1" t="s">
        <v>27</v>
      </c>
      <c r="I40" s="1" t="s">
        <v>28</v>
      </c>
      <c r="J40" s="1983" t="s">
        <v>110</v>
      </c>
      <c r="K40" s="20" t="s">
        <v>111</v>
      </c>
      <c r="L40" s="45">
        <v>0.4</v>
      </c>
      <c r="M40" s="16" t="s">
        <v>131</v>
      </c>
      <c r="N40" s="16" t="s">
        <v>132</v>
      </c>
      <c r="O40" s="16"/>
      <c r="P40" s="28">
        <v>1</v>
      </c>
      <c r="Q40" s="47">
        <v>0.05</v>
      </c>
      <c r="R40" s="28"/>
      <c r="S40" s="26">
        <f t="shared" si="0"/>
        <v>0</v>
      </c>
      <c r="T40" s="1">
        <f t="shared" si="1"/>
        <v>0</v>
      </c>
      <c r="U40" s="26" t="s">
        <v>34</v>
      </c>
      <c r="V40" s="1"/>
      <c r="W40" s="1"/>
    </row>
    <row r="41" spans="1:23" ht="23.4" x14ac:dyDescent="0.45">
      <c r="A41" s="1">
        <f t="shared" si="2"/>
        <v>40</v>
      </c>
      <c r="B41" s="15" t="s">
        <v>23</v>
      </c>
      <c r="C41" s="16" t="s">
        <v>24</v>
      </c>
      <c r="D41" s="17">
        <v>4051</v>
      </c>
      <c r="E41" s="18" t="s">
        <v>25</v>
      </c>
      <c r="F41" s="19" t="s">
        <v>26</v>
      </c>
      <c r="G41" s="1">
        <v>1000</v>
      </c>
      <c r="H41" s="1" t="s">
        <v>27</v>
      </c>
      <c r="I41" s="1" t="s">
        <v>28</v>
      </c>
      <c r="J41" s="1983" t="s">
        <v>110</v>
      </c>
      <c r="K41" s="20" t="s">
        <v>111</v>
      </c>
      <c r="L41" s="45">
        <v>0.4</v>
      </c>
      <c r="M41" s="16" t="s">
        <v>133</v>
      </c>
      <c r="N41" s="16" t="s">
        <v>134</v>
      </c>
      <c r="O41" s="16"/>
      <c r="P41" s="28">
        <v>1</v>
      </c>
      <c r="Q41" s="47">
        <v>0.1</v>
      </c>
      <c r="R41" s="28"/>
      <c r="S41" s="26">
        <f t="shared" si="0"/>
        <v>0</v>
      </c>
      <c r="T41" s="1">
        <f t="shared" si="1"/>
        <v>0</v>
      </c>
      <c r="U41" s="26" t="s">
        <v>34</v>
      </c>
      <c r="V41" s="1"/>
      <c r="W41" s="1"/>
    </row>
    <row r="42" spans="1:23" ht="23.4" x14ac:dyDescent="0.45">
      <c r="A42" s="1">
        <f t="shared" si="2"/>
        <v>41</v>
      </c>
      <c r="B42" s="15" t="s">
        <v>23</v>
      </c>
      <c r="C42" s="16" t="s">
        <v>24</v>
      </c>
      <c r="D42" s="17">
        <v>4051</v>
      </c>
      <c r="E42" s="18" t="s">
        <v>25</v>
      </c>
      <c r="F42" s="19" t="s">
        <v>26</v>
      </c>
      <c r="G42" s="1">
        <v>1000</v>
      </c>
      <c r="H42" s="1" t="s">
        <v>27</v>
      </c>
      <c r="I42" s="1" t="s">
        <v>28</v>
      </c>
      <c r="J42" s="1983" t="s">
        <v>110</v>
      </c>
      <c r="K42" s="20" t="s">
        <v>111</v>
      </c>
      <c r="L42" s="45">
        <v>0.4</v>
      </c>
      <c r="M42" s="16" t="s">
        <v>135</v>
      </c>
      <c r="N42" s="182" t="s">
        <v>136</v>
      </c>
      <c r="O42" s="16"/>
      <c r="P42" s="28">
        <v>1</v>
      </c>
      <c r="Q42" s="47">
        <v>0.05</v>
      </c>
      <c r="R42" s="28"/>
      <c r="S42" s="26">
        <f t="shared" si="0"/>
        <v>0</v>
      </c>
      <c r="T42" s="1">
        <f t="shared" si="1"/>
        <v>0</v>
      </c>
      <c r="U42" s="26" t="s">
        <v>34</v>
      </c>
      <c r="V42" s="1"/>
      <c r="W42" s="1"/>
    </row>
    <row r="43" spans="1:23" ht="23.4" x14ac:dyDescent="0.45">
      <c r="A43" s="1">
        <f t="shared" si="2"/>
        <v>42</v>
      </c>
      <c r="B43" s="2" t="s">
        <v>23</v>
      </c>
      <c r="C43" s="3" t="s">
        <v>24</v>
      </c>
      <c r="D43" s="4">
        <v>3185</v>
      </c>
      <c r="E43" s="5" t="s">
        <v>137</v>
      </c>
      <c r="F43" s="6" t="s">
        <v>138</v>
      </c>
      <c r="G43" s="7">
        <v>4051</v>
      </c>
      <c r="H43" s="7" t="s">
        <v>25</v>
      </c>
      <c r="I43" s="7" t="s">
        <v>28</v>
      </c>
      <c r="J43" s="1981" t="s">
        <v>29</v>
      </c>
      <c r="K43" s="8" t="s">
        <v>30</v>
      </c>
      <c r="L43" s="9">
        <v>0.4</v>
      </c>
      <c r="M43" s="3" t="s">
        <v>31</v>
      </c>
      <c r="N43" s="3" t="s">
        <v>32</v>
      </c>
      <c r="O43" s="288" t="s">
        <v>33</v>
      </c>
      <c r="P43" s="11">
        <v>0</v>
      </c>
      <c r="Q43" s="12">
        <v>0.1</v>
      </c>
      <c r="R43" s="11"/>
      <c r="S43" s="13">
        <f t="shared" si="0"/>
        <v>0</v>
      </c>
      <c r="T43" s="7">
        <f t="shared" si="1"/>
        <v>0</v>
      </c>
      <c r="U43" s="13" t="s">
        <v>34</v>
      </c>
      <c r="V43" s="1955">
        <f>SUM(T43:T83)%</f>
        <v>0</v>
      </c>
      <c r="W43" s="7"/>
    </row>
    <row r="44" spans="1:23" ht="23.4" x14ac:dyDescent="0.45">
      <c r="A44" s="1">
        <f t="shared" si="2"/>
        <v>43</v>
      </c>
      <c r="B44" s="15" t="s">
        <v>23</v>
      </c>
      <c r="C44" s="16" t="s">
        <v>24</v>
      </c>
      <c r="D44" s="17">
        <v>3185</v>
      </c>
      <c r="E44" s="18" t="s">
        <v>137</v>
      </c>
      <c r="F44" s="19" t="s">
        <v>138</v>
      </c>
      <c r="G44" s="1">
        <v>4051</v>
      </c>
      <c r="H44" s="1" t="s">
        <v>25</v>
      </c>
      <c r="I44" s="1" t="s">
        <v>28</v>
      </c>
      <c r="J44" s="1983" t="s">
        <v>29</v>
      </c>
      <c r="K44" s="20" t="s">
        <v>30</v>
      </c>
      <c r="L44" s="21">
        <v>0.4</v>
      </c>
      <c r="M44" s="16" t="s">
        <v>35</v>
      </c>
      <c r="N44" s="16" t="s">
        <v>36</v>
      </c>
      <c r="O44" s="16"/>
      <c r="P44" s="24">
        <v>1406879.4938896229</v>
      </c>
      <c r="Q44" s="25">
        <v>0.15</v>
      </c>
      <c r="R44" s="24"/>
      <c r="S44" s="26">
        <f t="shared" si="0"/>
        <v>0</v>
      </c>
      <c r="T44" s="1">
        <f t="shared" si="1"/>
        <v>0</v>
      </c>
      <c r="U44" s="26" t="s">
        <v>34</v>
      </c>
      <c r="V44" s="1"/>
      <c r="W44" s="1"/>
    </row>
    <row r="45" spans="1:23" ht="23.4" x14ac:dyDescent="0.45">
      <c r="A45" s="1">
        <f t="shared" si="2"/>
        <v>44</v>
      </c>
      <c r="B45" s="15" t="s">
        <v>23</v>
      </c>
      <c r="C45" s="16" t="s">
        <v>24</v>
      </c>
      <c r="D45" s="17">
        <v>3185</v>
      </c>
      <c r="E45" s="18" t="s">
        <v>137</v>
      </c>
      <c r="F45" s="19" t="s">
        <v>138</v>
      </c>
      <c r="G45" s="1">
        <v>4051</v>
      </c>
      <c r="H45" s="1" t="s">
        <v>25</v>
      </c>
      <c r="I45" s="1" t="s">
        <v>28</v>
      </c>
      <c r="J45" s="1983" t="s">
        <v>29</v>
      </c>
      <c r="K45" s="20" t="s">
        <v>30</v>
      </c>
      <c r="L45" s="21">
        <v>0.4</v>
      </c>
      <c r="M45" s="16" t="s">
        <v>37</v>
      </c>
      <c r="N45" s="16" t="s">
        <v>38</v>
      </c>
      <c r="O45" s="16"/>
      <c r="P45" s="24">
        <v>48608.249727263406</v>
      </c>
      <c r="Q45" s="25">
        <v>0.05</v>
      </c>
      <c r="R45" s="24"/>
      <c r="S45" s="26">
        <f t="shared" si="0"/>
        <v>0</v>
      </c>
      <c r="T45" s="1">
        <f t="shared" si="1"/>
        <v>0</v>
      </c>
      <c r="U45" s="26" t="s">
        <v>34</v>
      </c>
      <c r="V45" s="1"/>
      <c r="W45" s="1"/>
    </row>
    <row r="46" spans="1:23" ht="23.4" x14ac:dyDescent="0.45">
      <c r="A46" s="1">
        <f t="shared" si="2"/>
        <v>45</v>
      </c>
      <c r="B46" s="15" t="s">
        <v>23</v>
      </c>
      <c r="C46" s="16" t="s">
        <v>24</v>
      </c>
      <c r="D46" s="17">
        <v>3185</v>
      </c>
      <c r="E46" s="18" t="s">
        <v>137</v>
      </c>
      <c r="F46" s="19" t="s">
        <v>138</v>
      </c>
      <c r="G46" s="1">
        <v>4051</v>
      </c>
      <c r="H46" s="1" t="s">
        <v>25</v>
      </c>
      <c r="I46" s="1" t="s">
        <v>28</v>
      </c>
      <c r="J46" s="1983" t="s">
        <v>29</v>
      </c>
      <c r="K46" s="20" t="s">
        <v>30</v>
      </c>
      <c r="L46" s="21">
        <v>0.4</v>
      </c>
      <c r="M46" s="16" t="s">
        <v>39</v>
      </c>
      <c r="N46" s="16" t="s">
        <v>40</v>
      </c>
      <c r="O46" s="16"/>
      <c r="P46" s="24">
        <v>19440000</v>
      </c>
      <c r="Q46" s="25">
        <v>0.1</v>
      </c>
      <c r="R46" s="24"/>
      <c r="S46" s="26">
        <f t="shared" si="0"/>
        <v>0</v>
      </c>
      <c r="T46" s="1">
        <f t="shared" si="1"/>
        <v>0</v>
      </c>
      <c r="U46" s="26" t="s">
        <v>34</v>
      </c>
      <c r="V46" s="1"/>
      <c r="W46" s="1"/>
    </row>
    <row r="47" spans="1:23" ht="23.4" x14ac:dyDescent="0.45">
      <c r="A47" s="1">
        <f t="shared" si="2"/>
        <v>46</v>
      </c>
      <c r="B47" s="15" t="s">
        <v>23</v>
      </c>
      <c r="C47" s="16" t="s">
        <v>24</v>
      </c>
      <c r="D47" s="17">
        <v>3185</v>
      </c>
      <c r="E47" s="18" t="s">
        <v>137</v>
      </c>
      <c r="F47" s="19" t="s">
        <v>138</v>
      </c>
      <c r="G47" s="1">
        <v>4051</v>
      </c>
      <c r="H47" s="1" t="s">
        <v>25</v>
      </c>
      <c r="I47" s="1" t="s">
        <v>28</v>
      </c>
      <c r="J47" s="1983" t="s">
        <v>29</v>
      </c>
      <c r="K47" s="20" t="s">
        <v>30</v>
      </c>
      <c r="L47" s="21">
        <v>0.4</v>
      </c>
      <c r="M47" s="16" t="s">
        <v>41</v>
      </c>
      <c r="N47" s="16" t="s">
        <v>42</v>
      </c>
      <c r="O47" s="16"/>
      <c r="P47" s="24">
        <v>98000</v>
      </c>
      <c r="Q47" s="25">
        <v>0.05</v>
      </c>
      <c r="R47" s="24"/>
      <c r="S47" s="26">
        <f t="shared" si="0"/>
        <v>0</v>
      </c>
      <c r="T47" s="1">
        <f t="shared" si="1"/>
        <v>0</v>
      </c>
      <c r="U47" s="26" t="s">
        <v>34</v>
      </c>
      <c r="V47" s="1"/>
      <c r="W47" s="1"/>
    </row>
    <row r="48" spans="1:23" ht="23.4" x14ac:dyDescent="0.45">
      <c r="A48" s="1">
        <f t="shared" si="2"/>
        <v>47</v>
      </c>
      <c r="B48" s="15" t="s">
        <v>23</v>
      </c>
      <c r="C48" s="16" t="s">
        <v>24</v>
      </c>
      <c r="D48" s="17">
        <v>3185</v>
      </c>
      <c r="E48" s="18" t="s">
        <v>137</v>
      </c>
      <c r="F48" s="19" t="s">
        <v>138</v>
      </c>
      <c r="G48" s="1">
        <v>4051</v>
      </c>
      <c r="H48" s="1" t="s">
        <v>25</v>
      </c>
      <c r="I48" s="1" t="s">
        <v>28</v>
      </c>
      <c r="J48" s="1983" t="s">
        <v>29</v>
      </c>
      <c r="K48" s="20" t="s">
        <v>30</v>
      </c>
      <c r="L48" s="21">
        <v>0.4</v>
      </c>
      <c r="M48" s="16" t="s">
        <v>43</v>
      </c>
      <c r="N48" s="16" t="s">
        <v>44</v>
      </c>
      <c r="O48" s="16"/>
      <c r="P48" s="24">
        <v>52000</v>
      </c>
      <c r="Q48" s="25">
        <v>0.1</v>
      </c>
      <c r="R48" s="24"/>
      <c r="S48" s="26">
        <f t="shared" si="0"/>
        <v>0</v>
      </c>
      <c r="T48" s="1">
        <f t="shared" si="1"/>
        <v>0</v>
      </c>
      <c r="U48" s="26" t="s">
        <v>34</v>
      </c>
      <c r="V48" s="1"/>
      <c r="W48" s="1"/>
    </row>
    <row r="49" spans="1:23" ht="23.4" x14ac:dyDescent="0.45">
      <c r="A49" s="1">
        <f t="shared" si="2"/>
        <v>48</v>
      </c>
      <c r="B49" s="15" t="s">
        <v>23</v>
      </c>
      <c r="C49" s="16" t="s">
        <v>24</v>
      </c>
      <c r="D49" s="17">
        <v>3185</v>
      </c>
      <c r="E49" s="18" t="s">
        <v>137</v>
      </c>
      <c r="F49" s="19" t="s">
        <v>138</v>
      </c>
      <c r="G49" s="1">
        <v>4051</v>
      </c>
      <c r="H49" s="1" t="s">
        <v>25</v>
      </c>
      <c r="I49" s="1" t="s">
        <v>28</v>
      </c>
      <c r="J49" s="1983" t="s">
        <v>29</v>
      </c>
      <c r="K49" s="20" t="s">
        <v>30</v>
      </c>
      <c r="L49" s="21">
        <v>0.4</v>
      </c>
      <c r="M49" s="16" t="s">
        <v>45</v>
      </c>
      <c r="N49" s="16" t="s">
        <v>46</v>
      </c>
      <c r="O49" s="16"/>
      <c r="P49" s="24">
        <v>1582673.167066941</v>
      </c>
      <c r="Q49" s="25">
        <v>0.1</v>
      </c>
      <c r="R49" s="24"/>
      <c r="S49" s="26">
        <f t="shared" si="0"/>
        <v>0</v>
      </c>
      <c r="T49" s="1">
        <f t="shared" si="1"/>
        <v>0</v>
      </c>
      <c r="U49" s="26" t="s">
        <v>34</v>
      </c>
      <c r="V49" s="1"/>
      <c r="W49" s="1"/>
    </row>
    <row r="50" spans="1:23" ht="23.4" x14ac:dyDescent="0.45">
      <c r="A50" s="1">
        <f t="shared" si="2"/>
        <v>49</v>
      </c>
      <c r="B50" s="15" t="s">
        <v>23</v>
      </c>
      <c r="C50" s="16" t="s">
        <v>24</v>
      </c>
      <c r="D50" s="17">
        <v>3185</v>
      </c>
      <c r="E50" s="18" t="s">
        <v>137</v>
      </c>
      <c r="F50" s="19" t="s">
        <v>138</v>
      </c>
      <c r="G50" s="1">
        <v>4051</v>
      </c>
      <c r="H50" s="1" t="s">
        <v>25</v>
      </c>
      <c r="I50" s="1" t="s">
        <v>28</v>
      </c>
      <c r="J50" s="1983" t="s">
        <v>29</v>
      </c>
      <c r="K50" s="20" t="s">
        <v>30</v>
      </c>
      <c r="L50" s="21">
        <v>0.4</v>
      </c>
      <c r="M50" s="16" t="s">
        <v>47</v>
      </c>
      <c r="N50" s="16" t="s">
        <v>48</v>
      </c>
      <c r="O50" s="471"/>
      <c r="P50" s="24">
        <v>52500</v>
      </c>
      <c r="Q50" s="25">
        <v>0.05</v>
      </c>
      <c r="R50" s="24"/>
      <c r="S50" s="26">
        <f t="shared" si="0"/>
        <v>0</v>
      </c>
      <c r="T50" s="1">
        <f t="shared" si="1"/>
        <v>0</v>
      </c>
      <c r="U50" s="26" t="s">
        <v>34</v>
      </c>
      <c r="V50" s="1"/>
      <c r="W50" s="1"/>
    </row>
    <row r="51" spans="1:23" ht="23.4" x14ac:dyDescent="0.45">
      <c r="A51" s="1">
        <f t="shared" si="2"/>
        <v>50</v>
      </c>
      <c r="B51" s="15" t="s">
        <v>23</v>
      </c>
      <c r="C51" s="16" t="s">
        <v>24</v>
      </c>
      <c r="D51" s="17">
        <v>3185</v>
      </c>
      <c r="E51" s="18" t="s">
        <v>137</v>
      </c>
      <c r="F51" s="19" t="s">
        <v>138</v>
      </c>
      <c r="G51" s="1">
        <v>4051</v>
      </c>
      <c r="H51" s="1" t="s">
        <v>25</v>
      </c>
      <c r="I51" s="1" t="s">
        <v>28</v>
      </c>
      <c r="J51" s="1983" t="s">
        <v>29</v>
      </c>
      <c r="K51" s="20" t="s">
        <v>30</v>
      </c>
      <c r="L51" s="21">
        <v>0.4</v>
      </c>
      <c r="M51" s="16" t="s">
        <v>49</v>
      </c>
      <c r="N51" s="16" t="s">
        <v>50</v>
      </c>
      <c r="O51" s="16"/>
      <c r="P51" s="24">
        <v>18000150</v>
      </c>
      <c r="Q51" s="25">
        <v>0.15</v>
      </c>
      <c r="R51" s="24"/>
      <c r="S51" s="26">
        <f t="shared" si="0"/>
        <v>0</v>
      </c>
      <c r="T51" s="1">
        <f t="shared" si="1"/>
        <v>0</v>
      </c>
      <c r="U51" s="26" t="s">
        <v>34</v>
      </c>
      <c r="V51" s="1"/>
      <c r="W51" s="1"/>
    </row>
    <row r="52" spans="1:23" ht="23.4" x14ac:dyDescent="0.45">
      <c r="A52" s="1">
        <f t="shared" si="2"/>
        <v>51</v>
      </c>
      <c r="B52" s="15" t="s">
        <v>23</v>
      </c>
      <c r="C52" s="16" t="s">
        <v>24</v>
      </c>
      <c r="D52" s="17">
        <v>3185</v>
      </c>
      <c r="E52" s="18" t="s">
        <v>137</v>
      </c>
      <c r="F52" s="19" t="s">
        <v>138</v>
      </c>
      <c r="G52" s="1">
        <v>4051</v>
      </c>
      <c r="H52" s="1" t="s">
        <v>25</v>
      </c>
      <c r="I52" s="1" t="s">
        <v>28</v>
      </c>
      <c r="J52" s="1983" t="s">
        <v>29</v>
      </c>
      <c r="K52" s="20" t="s">
        <v>30</v>
      </c>
      <c r="L52" s="21">
        <v>0.4</v>
      </c>
      <c r="M52" s="16" t="s">
        <v>51</v>
      </c>
      <c r="N52" s="471" t="s">
        <v>52</v>
      </c>
      <c r="O52" s="16"/>
      <c r="P52" s="24">
        <v>98000</v>
      </c>
      <c r="Q52" s="25">
        <v>0.05</v>
      </c>
      <c r="R52" s="24"/>
      <c r="S52" s="26">
        <f t="shared" si="0"/>
        <v>0</v>
      </c>
      <c r="T52" s="1">
        <f t="shared" si="1"/>
        <v>0</v>
      </c>
      <c r="U52" s="26" t="s">
        <v>34</v>
      </c>
      <c r="V52" s="1"/>
      <c r="W52" s="1"/>
    </row>
    <row r="53" spans="1:23" ht="23.4" x14ac:dyDescent="0.45">
      <c r="A53" s="1">
        <f t="shared" si="2"/>
        <v>52</v>
      </c>
      <c r="B53" s="15" t="s">
        <v>23</v>
      </c>
      <c r="C53" s="16" t="s">
        <v>24</v>
      </c>
      <c r="D53" s="17">
        <v>3185</v>
      </c>
      <c r="E53" s="18" t="s">
        <v>137</v>
      </c>
      <c r="F53" s="19" t="s">
        <v>138</v>
      </c>
      <c r="G53" s="1">
        <v>4051</v>
      </c>
      <c r="H53" s="1" t="s">
        <v>25</v>
      </c>
      <c r="I53" s="1" t="s">
        <v>28</v>
      </c>
      <c r="J53" s="1983" t="s">
        <v>29</v>
      </c>
      <c r="K53" s="20" t="s">
        <v>30</v>
      </c>
      <c r="L53" s="21">
        <v>0.4</v>
      </c>
      <c r="M53" s="16" t="s">
        <v>53</v>
      </c>
      <c r="N53" s="16" t="s">
        <v>54</v>
      </c>
      <c r="O53" s="16"/>
      <c r="P53" s="28">
        <v>0.21893917720478934</v>
      </c>
      <c r="Q53" s="25">
        <v>0.05</v>
      </c>
      <c r="R53" s="28"/>
      <c r="S53" s="26">
        <f t="shared" si="0"/>
        <v>0</v>
      </c>
      <c r="T53" s="1">
        <f t="shared" si="1"/>
        <v>0</v>
      </c>
      <c r="U53" s="26" t="s">
        <v>34</v>
      </c>
      <c r="V53" s="1"/>
      <c r="W53" s="1"/>
    </row>
    <row r="54" spans="1:23" ht="23.4" x14ac:dyDescent="0.45">
      <c r="A54" s="1">
        <f t="shared" si="2"/>
        <v>53</v>
      </c>
      <c r="B54" s="15" t="s">
        <v>23</v>
      </c>
      <c r="C54" s="16" t="s">
        <v>24</v>
      </c>
      <c r="D54" s="17">
        <v>3185</v>
      </c>
      <c r="E54" s="18" t="s">
        <v>137</v>
      </c>
      <c r="F54" s="19" t="s">
        <v>138</v>
      </c>
      <c r="G54" s="1">
        <v>4051</v>
      </c>
      <c r="H54" s="1" t="s">
        <v>25</v>
      </c>
      <c r="I54" s="1" t="s">
        <v>28</v>
      </c>
      <c r="J54" s="1983" t="s">
        <v>29</v>
      </c>
      <c r="K54" s="20" t="s">
        <v>30</v>
      </c>
      <c r="L54" s="21">
        <v>0.4</v>
      </c>
      <c r="M54" s="16" t="s">
        <v>55</v>
      </c>
      <c r="N54" s="16" t="s">
        <v>56</v>
      </c>
      <c r="O54" s="16"/>
      <c r="P54" s="28">
        <v>0.11663493169620312</v>
      </c>
      <c r="Q54" s="25">
        <v>0.05</v>
      </c>
      <c r="R54" s="28"/>
      <c r="S54" s="26">
        <f t="shared" si="0"/>
        <v>0</v>
      </c>
      <c r="T54" s="1">
        <f t="shared" si="1"/>
        <v>0</v>
      </c>
      <c r="U54" s="26" t="s">
        <v>34</v>
      </c>
      <c r="V54" s="1"/>
      <c r="W54" s="1"/>
    </row>
    <row r="55" spans="1:23" ht="23.4" x14ac:dyDescent="0.45">
      <c r="A55" s="1">
        <f t="shared" si="2"/>
        <v>54</v>
      </c>
      <c r="B55" s="15" t="s">
        <v>23</v>
      </c>
      <c r="C55" s="16" t="s">
        <v>24</v>
      </c>
      <c r="D55" s="17">
        <v>3185</v>
      </c>
      <c r="E55" s="18" t="s">
        <v>137</v>
      </c>
      <c r="F55" s="29" t="s">
        <v>138</v>
      </c>
      <c r="G55" s="30">
        <v>4051</v>
      </c>
      <c r="H55" s="30" t="s">
        <v>25</v>
      </c>
      <c r="I55" s="30" t="s">
        <v>28</v>
      </c>
      <c r="J55" s="1984" t="s">
        <v>57</v>
      </c>
      <c r="K55" s="31" t="s">
        <v>58</v>
      </c>
      <c r="L55" s="32">
        <v>0.2</v>
      </c>
      <c r="M55" s="64" t="s">
        <v>59</v>
      </c>
      <c r="N55" s="184" t="s">
        <v>60</v>
      </c>
      <c r="O55" s="184" t="s">
        <v>61</v>
      </c>
      <c r="P55" s="35">
        <v>0.9</v>
      </c>
      <c r="Q55" s="36">
        <v>0.1</v>
      </c>
      <c r="R55" s="35"/>
      <c r="S55" s="37">
        <f t="shared" si="0"/>
        <v>0</v>
      </c>
      <c r="T55" s="30">
        <f t="shared" si="1"/>
        <v>0</v>
      </c>
      <c r="U55" s="37" t="s">
        <v>34</v>
      </c>
      <c r="V55" s="30"/>
      <c r="W55" s="30"/>
    </row>
    <row r="56" spans="1:23" ht="28.8" x14ac:dyDescent="0.45">
      <c r="A56" s="1">
        <f t="shared" si="2"/>
        <v>55</v>
      </c>
      <c r="B56" s="15" t="s">
        <v>23</v>
      </c>
      <c r="C56" s="16" t="s">
        <v>24</v>
      </c>
      <c r="D56" s="17">
        <v>3185</v>
      </c>
      <c r="E56" s="18" t="s">
        <v>137</v>
      </c>
      <c r="F56" s="29" t="s">
        <v>138</v>
      </c>
      <c r="G56" s="30">
        <v>4051</v>
      </c>
      <c r="H56" s="30" t="s">
        <v>25</v>
      </c>
      <c r="I56" s="30" t="s">
        <v>28</v>
      </c>
      <c r="J56" s="1984" t="s">
        <v>57</v>
      </c>
      <c r="K56" s="31" t="s">
        <v>58</v>
      </c>
      <c r="L56" s="32">
        <v>0.2</v>
      </c>
      <c r="M56" s="184" t="s">
        <v>62</v>
      </c>
      <c r="N56" s="287" t="s">
        <v>63</v>
      </c>
      <c r="O56" s="64" t="s">
        <v>64</v>
      </c>
      <c r="P56" s="35">
        <v>0.9</v>
      </c>
      <c r="Q56" s="36">
        <v>0.06</v>
      </c>
      <c r="R56" s="35"/>
      <c r="S56" s="37">
        <f t="shared" si="0"/>
        <v>0</v>
      </c>
      <c r="T56" s="30">
        <f t="shared" si="1"/>
        <v>0</v>
      </c>
      <c r="U56" s="37" t="s">
        <v>34</v>
      </c>
      <c r="V56" s="30"/>
      <c r="W56" s="30"/>
    </row>
    <row r="57" spans="1:23" ht="23.4" x14ac:dyDescent="0.45">
      <c r="A57" s="1">
        <f t="shared" si="2"/>
        <v>56</v>
      </c>
      <c r="B57" s="15" t="s">
        <v>23</v>
      </c>
      <c r="C57" s="16" t="s">
        <v>24</v>
      </c>
      <c r="D57" s="17">
        <v>3185</v>
      </c>
      <c r="E57" s="18" t="s">
        <v>137</v>
      </c>
      <c r="F57" s="29" t="s">
        <v>138</v>
      </c>
      <c r="G57" s="30">
        <v>4051</v>
      </c>
      <c r="H57" s="30" t="s">
        <v>25</v>
      </c>
      <c r="I57" s="30" t="s">
        <v>28</v>
      </c>
      <c r="J57" s="1984" t="s">
        <v>57</v>
      </c>
      <c r="K57" s="31" t="s">
        <v>58</v>
      </c>
      <c r="L57" s="32">
        <v>0.2</v>
      </c>
      <c r="M57" s="184" t="s">
        <v>65</v>
      </c>
      <c r="N57" s="64" t="s">
        <v>66</v>
      </c>
      <c r="O57" s="64" t="s">
        <v>67</v>
      </c>
      <c r="P57" s="35">
        <v>0.8</v>
      </c>
      <c r="Q57" s="36">
        <v>0.06</v>
      </c>
      <c r="R57" s="35"/>
      <c r="S57" s="37">
        <f t="shared" si="0"/>
        <v>0</v>
      </c>
      <c r="T57" s="30">
        <f t="shared" si="1"/>
        <v>0</v>
      </c>
      <c r="U57" s="37" t="s">
        <v>34</v>
      </c>
      <c r="V57" s="30"/>
      <c r="W57" s="30"/>
    </row>
    <row r="58" spans="1:23" ht="23.4" x14ac:dyDescent="0.45">
      <c r="A58" s="1">
        <f t="shared" si="2"/>
        <v>57</v>
      </c>
      <c r="B58" s="15" t="s">
        <v>23</v>
      </c>
      <c r="C58" s="16" t="s">
        <v>24</v>
      </c>
      <c r="D58" s="17">
        <v>3185</v>
      </c>
      <c r="E58" s="18" t="s">
        <v>137</v>
      </c>
      <c r="F58" s="29" t="s">
        <v>138</v>
      </c>
      <c r="G58" s="30">
        <v>4051</v>
      </c>
      <c r="H58" s="30" t="s">
        <v>25</v>
      </c>
      <c r="I58" s="30" t="s">
        <v>28</v>
      </c>
      <c r="J58" s="1984" t="s">
        <v>57</v>
      </c>
      <c r="K58" s="31" t="s">
        <v>58</v>
      </c>
      <c r="L58" s="32">
        <v>0.2</v>
      </c>
      <c r="M58" s="64" t="s">
        <v>68</v>
      </c>
      <c r="N58" s="64" t="s">
        <v>69</v>
      </c>
      <c r="O58" s="64" t="s">
        <v>70</v>
      </c>
      <c r="P58" s="35">
        <v>0.95</v>
      </c>
      <c r="Q58" s="36">
        <v>0.1</v>
      </c>
      <c r="R58" s="35"/>
      <c r="S58" s="37">
        <f t="shared" si="0"/>
        <v>0</v>
      </c>
      <c r="T58" s="30">
        <f t="shared" si="1"/>
        <v>0</v>
      </c>
      <c r="U58" s="37" t="s">
        <v>34</v>
      </c>
      <c r="V58" s="30"/>
      <c r="W58" s="30"/>
    </row>
    <row r="59" spans="1:23" ht="115.2" x14ac:dyDescent="0.45">
      <c r="A59" s="1">
        <f t="shared" si="2"/>
        <v>58</v>
      </c>
      <c r="B59" s="15" t="s">
        <v>23</v>
      </c>
      <c r="C59" s="16" t="s">
        <v>24</v>
      </c>
      <c r="D59" s="17">
        <v>3185</v>
      </c>
      <c r="E59" s="18" t="s">
        <v>137</v>
      </c>
      <c r="F59" s="29" t="s">
        <v>138</v>
      </c>
      <c r="G59" s="30">
        <v>4051</v>
      </c>
      <c r="H59" s="30" t="s">
        <v>25</v>
      </c>
      <c r="I59" s="30" t="s">
        <v>28</v>
      </c>
      <c r="J59" s="1984" t="s">
        <v>57</v>
      </c>
      <c r="K59" s="31" t="s">
        <v>58</v>
      </c>
      <c r="L59" s="32">
        <v>0.2</v>
      </c>
      <c r="M59" s="64" t="s">
        <v>71</v>
      </c>
      <c r="N59" s="287" t="s">
        <v>72</v>
      </c>
      <c r="O59" s="1963" t="s">
        <v>73</v>
      </c>
      <c r="P59" s="35">
        <v>0.95</v>
      </c>
      <c r="Q59" s="36">
        <v>0.1</v>
      </c>
      <c r="R59" s="35"/>
      <c r="S59" s="37">
        <f t="shared" si="0"/>
        <v>0</v>
      </c>
      <c r="T59" s="30">
        <f t="shared" si="1"/>
        <v>0</v>
      </c>
      <c r="U59" s="37" t="s">
        <v>34</v>
      </c>
      <c r="V59" s="30"/>
      <c r="W59" s="30"/>
    </row>
    <row r="60" spans="1:23" ht="23.4" x14ac:dyDescent="0.45">
      <c r="A60" s="1">
        <f t="shared" si="2"/>
        <v>59</v>
      </c>
      <c r="B60" s="15" t="s">
        <v>23</v>
      </c>
      <c r="C60" s="16" t="s">
        <v>24</v>
      </c>
      <c r="D60" s="17">
        <v>3185</v>
      </c>
      <c r="E60" s="18" t="s">
        <v>137</v>
      </c>
      <c r="F60" s="29" t="s">
        <v>138</v>
      </c>
      <c r="G60" s="30">
        <v>4051</v>
      </c>
      <c r="H60" s="30" t="s">
        <v>25</v>
      </c>
      <c r="I60" s="30" t="s">
        <v>28</v>
      </c>
      <c r="J60" s="1984" t="s">
        <v>57</v>
      </c>
      <c r="K60" s="31" t="s">
        <v>58</v>
      </c>
      <c r="L60" s="32">
        <v>0.2</v>
      </c>
      <c r="M60" s="184" t="s">
        <v>74</v>
      </c>
      <c r="N60" s="64" t="s">
        <v>75</v>
      </c>
      <c r="O60" s="64" t="s">
        <v>76</v>
      </c>
      <c r="P60" s="42">
        <v>90</v>
      </c>
      <c r="Q60" s="36">
        <v>0.05</v>
      </c>
      <c r="R60" s="42"/>
      <c r="S60" s="37">
        <f t="shared" si="0"/>
        <v>0</v>
      </c>
      <c r="T60" s="30">
        <f t="shared" si="1"/>
        <v>0</v>
      </c>
      <c r="U60" s="37" t="s">
        <v>34</v>
      </c>
      <c r="V60" s="30"/>
      <c r="W60" s="30"/>
    </row>
    <row r="61" spans="1:23" ht="28.8" x14ac:dyDescent="0.45">
      <c r="A61" s="1">
        <f t="shared" si="2"/>
        <v>60</v>
      </c>
      <c r="B61" s="15" t="s">
        <v>23</v>
      </c>
      <c r="C61" s="16" t="s">
        <v>24</v>
      </c>
      <c r="D61" s="17">
        <v>3185</v>
      </c>
      <c r="E61" s="18" t="s">
        <v>137</v>
      </c>
      <c r="F61" s="29" t="s">
        <v>138</v>
      </c>
      <c r="G61" s="30">
        <v>4051</v>
      </c>
      <c r="H61" s="30" t="s">
        <v>25</v>
      </c>
      <c r="I61" s="30" t="s">
        <v>28</v>
      </c>
      <c r="J61" s="1984" t="s">
        <v>57</v>
      </c>
      <c r="K61" s="31" t="s">
        <v>58</v>
      </c>
      <c r="L61" s="32">
        <v>0.2</v>
      </c>
      <c r="M61" s="64" t="s">
        <v>77</v>
      </c>
      <c r="N61" s="287" t="s">
        <v>78</v>
      </c>
      <c r="O61" s="64" t="s">
        <v>79</v>
      </c>
      <c r="P61" s="35">
        <v>0.99</v>
      </c>
      <c r="Q61" s="36">
        <v>0.1</v>
      </c>
      <c r="R61" s="35"/>
      <c r="S61" s="37">
        <f t="shared" si="0"/>
        <v>0</v>
      </c>
      <c r="T61" s="30">
        <f t="shared" si="1"/>
        <v>0</v>
      </c>
      <c r="U61" s="37" t="s">
        <v>34</v>
      </c>
      <c r="V61" s="30"/>
      <c r="W61" s="30"/>
    </row>
    <row r="62" spans="1:23" ht="23.4" x14ac:dyDescent="0.45">
      <c r="A62" s="1">
        <f t="shared" si="2"/>
        <v>61</v>
      </c>
      <c r="B62" s="15" t="s">
        <v>23</v>
      </c>
      <c r="C62" s="16" t="s">
        <v>24</v>
      </c>
      <c r="D62" s="17">
        <v>3185</v>
      </c>
      <c r="E62" s="18" t="s">
        <v>137</v>
      </c>
      <c r="F62" s="29" t="s">
        <v>138</v>
      </c>
      <c r="G62" s="30">
        <v>4051</v>
      </c>
      <c r="H62" s="30" t="s">
        <v>25</v>
      </c>
      <c r="I62" s="30" t="s">
        <v>28</v>
      </c>
      <c r="J62" s="1984" t="s">
        <v>57</v>
      </c>
      <c r="K62" s="31" t="s">
        <v>58</v>
      </c>
      <c r="L62" s="32">
        <v>0.2</v>
      </c>
      <c r="M62" s="435" t="s">
        <v>80</v>
      </c>
      <c r="N62" s="435" t="s">
        <v>81</v>
      </c>
      <c r="O62" s="435" t="s">
        <v>82</v>
      </c>
      <c r="P62" s="43">
        <v>0.01</v>
      </c>
      <c r="Q62" s="36">
        <v>0.05</v>
      </c>
      <c r="R62" s="43"/>
      <c r="S62" s="37">
        <f t="shared" si="0"/>
        <v>0</v>
      </c>
      <c r="T62" s="30">
        <f t="shared" si="1"/>
        <v>0</v>
      </c>
      <c r="U62" s="37" t="s">
        <v>83</v>
      </c>
      <c r="V62" s="30"/>
      <c r="W62" s="30"/>
    </row>
    <row r="63" spans="1:23" ht="23.4" x14ac:dyDescent="0.45">
      <c r="A63" s="1">
        <f t="shared" si="2"/>
        <v>62</v>
      </c>
      <c r="B63" s="15" t="s">
        <v>23</v>
      </c>
      <c r="C63" s="16" t="s">
        <v>24</v>
      </c>
      <c r="D63" s="17">
        <v>3185</v>
      </c>
      <c r="E63" s="18" t="s">
        <v>137</v>
      </c>
      <c r="F63" s="29" t="s">
        <v>138</v>
      </c>
      <c r="G63" s="30">
        <v>4051</v>
      </c>
      <c r="H63" s="30" t="s">
        <v>25</v>
      </c>
      <c r="I63" s="30" t="s">
        <v>28</v>
      </c>
      <c r="J63" s="1984" t="s">
        <v>57</v>
      </c>
      <c r="K63" s="31" t="s">
        <v>58</v>
      </c>
      <c r="L63" s="32">
        <v>0.2</v>
      </c>
      <c r="M63" s="64" t="s">
        <v>84</v>
      </c>
      <c r="N63" s="64" t="s">
        <v>85</v>
      </c>
      <c r="O63" s="64" t="s">
        <v>86</v>
      </c>
      <c r="P63" s="35">
        <v>0.03</v>
      </c>
      <c r="Q63" s="36">
        <v>0.03</v>
      </c>
      <c r="R63" s="35"/>
      <c r="S63" s="37">
        <f t="shared" si="0"/>
        <v>0</v>
      </c>
      <c r="T63" s="30">
        <f t="shared" si="1"/>
        <v>0</v>
      </c>
      <c r="U63" s="37" t="s">
        <v>83</v>
      </c>
      <c r="V63" s="30"/>
      <c r="W63" s="30"/>
    </row>
    <row r="64" spans="1:23" ht="23.4" x14ac:dyDescent="0.45">
      <c r="A64" s="1">
        <f t="shared" si="2"/>
        <v>63</v>
      </c>
      <c r="B64" s="15" t="s">
        <v>23</v>
      </c>
      <c r="C64" s="16" t="s">
        <v>24</v>
      </c>
      <c r="D64" s="17">
        <v>3185</v>
      </c>
      <c r="E64" s="18" t="s">
        <v>137</v>
      </c>
      <c r="F64" s="29" t="s">
        <v>138</v>
      </c>
      <c r="G64" s="30">
        <v>4051</v>
      </c>
      <c r="H64" s="30" t="s">
        <v>25</v>
      </c>
      <c r="I64" s="30" t="s">
        <v>28</v>
      </c>
      <c r="J64" s="1984" t="s">
        <v>57</v>
      </c>
      <c r="K64" s="31" t="s">
        <v>58</v>
      </c>
      <c r="L64" s="32">
        <v>0.2</v>
      </c>
      <c r="M64" s="64" t="s">
        <v>87</v>
      </c>
      <c r="N64" s="64" t="s">
        <v>88</v>
      </c>
      <c r="O64" s="64" t="s">
        <v>89</v>
      </c>
      <c r="P64" s="35">
        <v>0.95</v>
      </c>
      <c r="Q64" s="36">
        <v>0.05</v>
      </c>
      <c r="R64" s="35"/>
      <c r="S64" s="37">
        <f t="shared" si="0"/>
        <v>0</v>
      </c>
      <c r="T64" s="30">
        <f t="shared" si="1"/>
        <v>0</v>
      </c>
      <c r="U64" s="37" t="s">
        <v>34</v>
      </c>
      <c r="V64" s="30"/>
      <c r="W64" s="30"/>
    </row>
    <row r="65" spans="1:23" ht="23.4" x14ac:dyDescent="0.45">
      <c r="A65" s="1">
        <f t="shared" si="2"/>
        <v>64</v>
      </c>
      <c r="B65" s="15" t="s">
        <v>23</v>
      </c>
      <c r="C65" s="16" t="s">
        <v>24</v>
      </c>
      <c r="D65" s="17">
        <v>3185</v>
      </c>
      <c r="E65" s="18" t="s">
        <v>137</v>
      </c>
      <c r="F65" s="29" t="s">
        <v>138</v>
      </c>
      <c r="G65" s="30">
        <v>4051</v>
      </c>
      <c r="H65" s="30" t="s">
        <v>25</v>
      </c>
      <c r="I65" s="30" t="s">
        <v>28</v>
      </c>
      <c r="J65" s="1984" t="s">
        <v>57</v>
      </c>
      <c r="K65" s="31" t="s">
        <v>58</v>
      </c>
      <c r="L65" s="32">
        <v>0.2</v>
      </c>
      <c r="M65" s="184" t="s">
        <v>90</v>
      </c>
      <c r="N65" s="64" t="s">
        <v>91</v>
      </c>
      <c r="O65" s="64" t="s">
        <v>92</v>
      </c>
      <c r="P65" s="42">
        <v>2</v>
      </c>
      <c r="Q65" s="36">
        <v>0.02</v>
      </c>
      <c r="R65" s="42"/>
      <c r="S65" s="37">
        <f t="shared" si="0"/>
        <v>0</v>
      </c>
      <c r="T65" s="30">
        <f t="shared" si="1"/>
        <v>0</v>
      </c>
      <c r="U65" s="37" t="s">
        <v>34</v>
      </c>
      <c r="V65" s="30"/>
      <c r="W65" s="30"/>
    </row>
    <row r="66" spans="1:23" ht="23.4" x14ac:dyDescent="0.45">
      <c r="A66" s="1">
        <f t="shared" si="2"/>
        <v>65</v>
      </c>
      <c r="B66" s="15" t="s">
        <v>23</v>
      </c>
      <c r="C66" s="16" t="s">
        <v>24</v>
      </c>
      <c r="D66" s="17">
        <v>3185</v>
      </c>
      <c r="E66" s="18" t="s">
        <v>137</v>
      </c>
      <c r="F66" s="29" t="s">
        <v>138</v>
      </c>
      <c r="G66" s="30">
        <v>4051</v>
      </c>
      <c r="H66" s="30" t="s">
        <v>25</v>
      </c>
      <c r="I66" s="30" t="s">
        <v>28</v>
      </c>
      <c r="J66" s="1984" t="s">
        <v>57</v>
      </c>
      <c r="K66" s="31" t="s">
        <v>58</v>
      </c>
      <c r="L66" s="32">
        <v>0.2</v>
      </c>
      <c r="M66" s="184" t="s">
        <v>93</v>
      </c>
      <c r="N66" s="64" t="s">
        <v>94</v>
      </c>
      <c r="O66" s="64" t="s">
        <v>95</v>
      </c>
      <c r="P66" s="35">
        <v>0.75</v>
      </c>
      <c r="Q66" s="36">
        <v>0.03</v>
      </c>
      <c r="R66" s="35"/>
      <c r="S66" s="37">
        <f t="shared" ref="S66:S129" si="3">ROUND(IF(OR(P66="",R66=""),0,IF(AND(P66=0,R66=0),1,IF(U66="+",R66/P66,P66/R66))),2)</f>
        <v>0</v>
      </c>
      <c r="T66" s="30">
        <f t="shared" ref="T66:T129" si="4">IF(AND(S66&gt;=60%,S66&lt;100%),S66*((Q66*L66)),IF(S66=100%,((Q66*L66)*S66)*100%,IF(S66&gt;100%,((L66*Q66)*100%)*100%,0)))*100</f>
        <v>0</v>
      </c>
      <c r="U66" s="37" t="s">
        <v>34</v>
      </c>
      <c r="V66" s="30"/>
      <c r="W66" s="30"/>
    </row>
    <row r="67" spans="1:23" ht="23.4" x14ac:dyDescent="0.45">
      <c r="A67" s="1">
        <f t="shared" si="2"/>
        <v>66</v>
      </c>
      <c r="B67" s="15" t="s">
        <v>23</v>
      </c>
      <c r="C67" s="16" t="s">
        <v>24</v>
      </c>
      <c r="D67" s="17">
        <v>3185</v>
      </c>
      <c r="E67" s="18" t="s">
        <v>137</v>
      </c>
      <c r="F67" s="29" t="s">
        <v>138</v>
      </c>
      <c r="G67" s="30">
        <v>4051</v>
      </c>
      <c r="H67" s="30" t="s">
        <v>25</v>
      </c>
      <c r="I67" s="30" t="s">
        <v>28</v>
      </c>
      <c r="J67" s="1984" t="s">
        <v>57</v>
      </c>
      <c r="K67" s="31" t="s">
        <v>58</v>
      </c>
      <c r="L67" s="32">
        <v>0.2</v>
      </c>
      <c r="M67" s="64" t="s">
        <v>96</v>
      </c>
      <c r="N67" s="64" t="s">
        <v>97</v>
      </c>
      <c r="O67" s="64" t="s">
        <v>98</v>
      </c>
      <c r="P67" s="42">
        <v>1</v>
      </c>
      <c r="Q67" s="36">
        <v>0.05</v>
      </c>
      <c r="R67" s="42"/>
      <c r="S67" s="37">
        <f t="shared" si="3"/>
        <v>0</v>
      </c>
      <c r="T67" s="30">
        <f t="shared" si="4"/>
        <v>0</v>
      </c>
      <c r="U67" s="37" t="s">
        <v>83</v>
      </c>
      <c r="V67" s="30"/>
      <c r="W67" s="30"/>
    </row>
    <row r="68" spans="1:23" ht="23.4" x14ac:dyDescent="0.45">
      <c r="A68" s="1">
        <f t="shared" ref="A68:A131" si="5">ROW()-1</f>
        <v>67</v>
      </c>
      <c r="B68" s="15" t="s">
        <v>23</v>
      </c>
      <c r="C68" s="16" t="s">
        <v>24</v>
      </c>
      <c r="D68" s="17">
        <v>3185</v>
      </c>
      <c r="E68" s="18" t="s">
        <v>137</v>
      </c>
      <c r="F68" s="29" t="s">
        <v>138</v>
      </c>
      <c r="G68" s="30">
        <v>4051</v>
      </c>
      <c r="H68" s="30" t="s">
        <v>25</v>
      </c>
      <c r="I68" s="30" t="s">
        <v>28</v>
      </c>
      <c r="J68" s="1984" t="s">
        <v>57</v>
      </c>
      <c r="K68" s="31" t="s">
        <v>58</v>
      </c>
      <c r="L68" s="32">
        <v>0.2</v>
      </c>
      <c r="M68" s="184" t="s">
        <v>99</v>
      </c>
      <c r="N68" s="64" t="s">
        <v>100</v>
      </c>
      <c r="O68" s="64" t="s">
        <v>101</v>
      </c>
      <c r="P68" s="35">
        <v>0.95</v>
      </c>
      <c r="Q68" s="36">
        <v>0.05</v>
      </c>
      <c r="R68" s="35"/>
      <c r="S68" s="37">
        <f t="shared" si="3"/>
        <v>0</v>
      </c>
      <c r="T68" s="30">
        <f t="shared" si="4"/>
        <v>0</v>
      </c>
      <c r="U68" s="37" t="s">
        <v>34</v>
      </c>
      <c r="V68" s="30"/>
      <c r="W68" s="30"/>
    </row>
    <row r="69" spans="1:23" ht="23.4" x14ac:dyDescent="0.45">
      <c r="A69" s="1">
        <f t="shared" si="5"/>
        <v>68</v>
      </c>
      <c r="B69" s="15" t="s">
        <v>23</v>
      </c>
      <c r="C69" s="16" t="s">
        <v>24</v>
      </c>
      <c r="D69" s="17">
        <v>3185</v>
      </c>
      <c r="E69" s="18" t="s">
        <v>137</v>
      </c>
      <c r="F69" s="29" t="s">
        <v>138</v>
      </c>
      <c r="G69" s="30">
        <v>4051</v>
      </c>
      <c r="H69" s="30" t="s">
        <v>25</v>
      </c>
      <c r="I69" s="30" t="s">
        <v>28</v>
      </c>
      <c r="J69" s="1984" t="s">
        <v>57</v>
      </c>
      <c r="K69" s="31" t="s">
        <v>58</v>
      </c>
      <c r="L69" s="32">
        <v>0.2</v>
      </c>
      <c r="M69" s="184" t="s">
        <v>102</v>
      </c>
      <c r="N69" s="64" t="s">
        <v>103</v>
      </c>
      <c r="O69" s="64" t="s">
        <v>104</v>
      </c>
      <c r="P69" s="42">
        <v>1</v>
      </c>
      <c r="Q69" s="36">
        <v>0.05</v>
      </c>
      <c r="R69" s="42"/>
      <c r="S69" s="37">
        <f t="shared" si="3"/>
        <v>0</v>
      </c>
      <c r="T69" s="30">
        <f t="shared" si="4"/>
        <v>0</v>
      </c>
      <c r="U69" s="37" t="s">
        <v>34</v>
      </c>
      <c r="V69" s="30"/>
      <c r="W69" s="30"/>
    </row>
    <row r="70" spans="1:23" ht="23.4" x14ac:dyDescent="0.45">
      <c r="A70" s="1">
        <f t="shared" si="5"/>
        <v>69</v>
      </c>
      <c r="B70" s="15" t="s">
        <v>23</v>
      </c>
      <c r="C70" s="16" t="s">
        <v>24</v>
      </c>
      <c r="D70" s="17">
        <v>3185</v>
      </c>
      <c r="E70" s="18" t="s">
        <v>137</v>
      </c>
      <c r="F70" s="29" t="s">
        <v>138</v>
      </c>
      <c r="G70" s="30">
        <v>4051</v>
      </c>
      <c r="H70" s="30" t="s">
        <v>25</v>
      </c>
      <c r="I70" s="30" t="s">
        <v>28</v>
      </c>
      <c r="J70" s="1984" t="s">
        <v>57</v>
      </c>
      <c r="K70" s="31" t="s">
        <v>58</v>
      </c>
      <c r="L70" s="32">
        <v>0.2</v>
      </c>
      <c r="M70" s="184" t="s">
        <v>105</v>
      </c>
      <c r="N70" s="64" t="s">
        <v>106</v>
      </c>
      <c r="O70" s="64" t="s">
        <v>107</v>
      </c>
      <c r="P70" s="42">
        <v>1</v>
      </c>
      <c r="Q70" s="36">
        <v>0.05</v>
      </c>
      <c r="R70" s="42"/>
      <c r="S70" s="37">
        <f t="shared" si="3"/>
        <v>0</v>
      </c>
      <c r="T70" s="30">
        <f t="shared" si="4"/>
        <v>0</v>
      </c>
      <c r="U70" s="37" t="s">
        <v>34</v>
      </c>
      <c r="V70" s="30"/>
      <c r="W70" s="30"/>
    </row>
    <row r="71" spans="1:23" ht="23.4" x14ac:dyDescent="0.45">
      <c r="A71" s="1">
        <f t="shared" si="5"/>
        <v>70</v>
      </c>
      <c r="B71" s="15" t="s">
        <v>23</v>
      </c>
      <c r="C71" s="16" t="s">
        <v>24</v>
      </c>
      <c r="D71" s="17">
        <v>3185</v>
      </c>
      <c r="E71" s="18" t="s">
        <v>137</v>
      </c>
      <c r="F71" s="29" t="s">
        <v>138</v>
      </c>
      <c r="G71" s="30">
        <v>4051</v>
      </c>
      <c r="H71" s="30" t="s">
        <v>25</v>
      </c>
      <c r="I71" s="30" t="s">
        <v>28</v>
      </c>
      <c r="J71" s="1984" t="s">
        <v>57</v>
      </c>
      <c r="K71" s="31" t="s">
        <v>58</v>
      </c>
      <c r="L71" s="32">
        <v>0.2</v>
      </c>
      <c r="M71" s="290" t="s">
        <v>108</v>
      </c>
      <c r="N71" s="291" t="s">
        <v>109</v>
      </c>
      <c r="O71" s="430"/>
      <c r="P71" s="35">
        <v>0.74</v>
      </c>
      <c r="Q71" s="36">
        <v>0.05</v>
      </c>
      <c r="R71" s="35"/>
      <c r="S71" s="37">
        <f t="shared" si="3"/>
        <v>0</v>
      </c>
      <c r="T71" s="30">
        <f t="shared" si="4"/>
        <v>0</v>
      </c>
      <c r="U71" s="37"/>
      <c r="V71" s="30"/>
      <c r="W71" s="30"/>
    </row>
    <row r="72" spans="1:23" ht="23.4" x14ac:dyDescent="0.45">
      <c r="A72" s="1">
        <f t="shared" si="5"/>
        <v>71</v>
      </c>
      <c r="B72" s="15" t="s">
        <v>23</v>
      </c>
      <c r="C72" s="16" t="s">
        <v>24</v>
      </c>
      <c r="D72" s="17">
        <v>3185</v>
      </c>
      <c r="E72" s="18" t="s">
        <v>137</v>
      </c>
      <c r="F72" s="19" t="s">
        <v>138</v>
      </c>
      <c r="G72" s="1">
        <v>4051</v>
      </c>
      <c r="H72" s="1" t="s">
        <v>25</v>
      </c>
      <c r="I72" s="1" t="s">
        <v>28</v>
      </c>
      <c r="J72" s="1983" t="s">
        <v>110</v>
      </c>
      <c r="K72" s="20" t="s">
        <v>111</v>
      </c>
      <c r="L72" s="45">
        <v>0.4</v>
      </c>
      <c r="M72" s="16" t="s">
        <v>112</v>
      </c>
      <c r="N72" s="182" t="s">
        <v>113</v>
      </c>
      <c r="O72" s="16"/>
      <c r="P72" s="28">
        <v>1</v>
      </c>
      <c r="Q72" s="25">
        <v>0.05</v>
      </c>
      <c r="R72" s="28"/>
      <c r="S72" s="26">
        <f t="shared" si="3"/>
        <v>0</v>
      </c>
      <c r="T72" s="1">
        <f t="shared" si="4"/>
        <v>0</v>
      </c>
      <c r="U72" s="26" t="s">
        <v>34</v>
      </c>
      <c r="V72" s="1"/>
      <c r="W72" s="1"/>
    </row>
    <row r="73" spans="1:23" ht="23.4" x14ac:dyDescent="0.45">
      <c r="A73" s="1">
        <f t="shared" si="5"/>
        <v>72</v>
      </c>
      <c r="B73" s="15" t="s">
        <v>23</v>
      </c>
      <c r="C73" s="16" t="s">
        <v>24</v>
      </c>
      <c r="D73" s="17">
        <v>3185</v>
      </c>
      <c r="E73" s="18" t="s">
        <v>137</v>
      </c>
      <c r="F73" s="19" t="s">
        <v>138</v>
      </c>
      <c r="G73" s="1">
        <v>4051</v>
      </c>
      <c r="H73" s="1" t="s">
        <v>25</v>
      </c>
      <c r="I73" s="1" t="s">
        <v>28</v>
      </c>
      <c r="J73" s="1983" t="s">
        <v>110</v>
      </c>
      <c r="K73" s="20" t="s">
        <v>111</v>
      </c>
      <c r="L73" s="45">
        <v>0.4</v>
      </c>
      <c r="M73" s="16" t="s">
        <v>114</v>
      </c>
      <c r="N73" s="182" t="s">
        <v>115</v>
      </c>
      <c r="O73" s="16"/>
      <c r="P73" s="28">
        <v>1</v>
      </c>
      <c r="Q73" s="25">
        <v>0.05</v>
      </c>
      <c r="R73" s="28"/>
      <c r="S73" s="26">
        <f t="shared" si="3"/>
        <v>0</v>
      </c>
      <c r="T73" s="1">
        <f t="shared" si="4"/>
        <v>0</v>
      </c>
      <c r="U73" s="26" t="s">
        <v>34</v>
      </c>
      <c r="V73" s="1"/>
      <c r="W73" s="1"/>
    </row>
    <row r="74" spans="1:23" ht="23.4" x14ac:dyDescent="0.45">
      <c r="A74" s="1">
        <f t="shared" si="5"/>
        <v>73</v>
      </c>
      <c r="B74" s="15" t="s">
        <v>23</v>
      </c>
      <c r="C74" s="16" t="s">
        <v>24</v>
      </c>
      <c r="D74" s="17">
        <v>3185</v>
      </c>
      <c r="E74" s="18" t="s">
        <v>137</v>
      </c>
      <c r="F74" s="19" t="s">
        <v>138</v>
      </c>
      <c r="G74" s="1">
        <v>4051</v>
      </c>
      <c r="H74" s="1" t="s">
        <v>25</v>
      </c>
      <c r="I74" s="1" t="s">
        <v>28</v>
      </c>
      <c r="J74" s="1983" t="s">
        <v>110</v>
      </c>
      <c r="K74" s="20" t="s">
        <v>111</v>
      </c>
      <c r="L74" s="45">
        <v>0.4</v>
      </c>
      <c r="M74" s="16" t="s">
        <v>116</v>
      </c>
      <c r="N74" s="182" t="s">
        <v>117</v>
      </c>
      <c r="O74" s="16"/>
      <c r="P74" s="28">
        <v>1</v>
      </c>
      <c r="Q74" s="25">
        <v>0.1</v>
      </c>
      <c r="R74" s="28"/>
      <c r="S74" s="26">
        <f t="shared" si="3"/>
        <v>0</v>
      </c>
      <c r="T74" s="1">
        <f t="shared" si="4"/>
        <v>0</v>
      </c>
      <c r="U74" s="26" t="s">
        <v>34</v>
      </c>
      <c r="V74" s="1"/>
      <c r="W74" s="1"/>
    </row>
    <row r="75" spans="1:23" ht="23.4" x14ac:dyDescent="0.45">
      <c r="A75" s="1">
        <f t="shared" si="5"/>
        <v>74</v>
      </c>
      <c r="B75" s="15" t="s">
        <v>23</v>
      </c>
      <c r="C75" s="16" t="s">
        <v>24</v>
      </c>
      <c r="D75" s="17">
        <v>3185</v>
      </c>
      <c r="E75" s="18" t="s">
        <v>137</v>
      </c>
      <c r="F75" s="19" t="s">
        <v>138</v>
      </c>
      <c r="G75" s="1">
        <v>4051</v>
      </c>
      <c r="H75" s="1" t="s">
        <v>25</v>
      </c>
      <c r="I75" s="1" t="s">
        <v>28</v>
      </c>
      <c r="J75" s="1983" t="s">
        <v>110</v>
      </c>
      <c r="K75" s="20" t="s">
        <v>111</v>
      </c>
      <c r="L75" s="45">
        <v>0.4</v>
      </c>
      <c r="M75" s="16" t="s">
        <v>118</v>
      </c>
      <c r="N75" s="182" t="s">
        <v>119</v>
      </c>
      <c r="O75" s="16"/>
      <c r="P75" s="28">
        <v>1</v>
      </c>
      <c r="Q75" s="25">
        <v>0.1</v>
      </c>
      <c r="R75" s="28"/>
      <c r="S75" s="26">
        <f t="shared" si="3"/>
        <v>0</v>
      </c>
      <c r="T75" s="1">
        <f t="shared" si="4"/>
        <v>0</v>
      </c>
      <c r="U75" s="26" t="s">
        <v>34</v>
      </c>
      <c r="V75" s="1"/>
      <c r="W75" s="1"/>
    </row>
    <row r="76" spans="1:23" ht="23.4" x14ac:dyDescent="0.45">
      <c r="A76" s="1">
        <f t="shared" si="5"/>
        <v>75</v>
      </c>
      <c r="B76" s="15" t="s">
        <v>23</v>
      </c>
      <c r="C76" s="16" t="s">
        <v>24</v>
      </c>
      <c r="D76" s="17">
        <v>3185</v>
      </c>
      <c r="E76" s="18" t="s">
        <v>137</v>
      </c>
      <c r="F76" s="19" t="s">
        <v>138</v>
      </c>
      <c r="G76" s="1">
        <v>4051</v>
      </c>
      <c r="H76" s="1" t="s">
        <v>25</v>
      </c>
      <c r="I76" s="1" t="s">
        <v>28</v>
      </c>
      <c r="J76" s="1983" t="s">
        <v>110</v>
      </c>
      <c r="K76" s="20" t="s">
        <v>111</v>
      </c>
      <c r="L76" s="45">
        <v>0.4</v>
      </c>
      <c r="M76" s="16" t="s">
        <v>120</v>
      </c>
      <c r="N76" s="182" t="s">
        <v>121</v>
      </c>
      <c r="O76" s="16"/>
      <c r="P76" s="28">
        <v>1</v>
      </c>
      <c r="Q76" s="25">
        <v>0.1</v>
      </c>
      <c r="R76" s="28"/>
      <c r="S76" s="26">
        <f t="shared" si="3"/>
        <v>0</v>
      </c>
      <c r="T76" s="1">
        <f t="shared" si="4"/>
        <v>0</v>
      </c>
      <c r="U76" s="26" t="s">
        <v>34</v>
      </c>
      <c r="V76" s="1"/>
      <c r="W76" s="1"/>
    </row>
    <row r="77" spans="1:23" ht="23.4" x14ac:dyDescent="0.45">
      <c r="A77" s="1">
        <f t="shared" si="5"/>
        <v>76</v>
      </c>
      <c r="B77" s="15" t="s">
        <v>23</v>
      </c>
      <c r="C77" s="16" t="s">
        <v>24</v>
      </c>
      <c r="D77" s="17">
        <v>3185</v>
      </c>
      <c r="E77" s="18" t="s">
        <v>137</v>
      </c>
      <c r="F77" s="19" t="s">
        <v>138</v>
      </c>
      <c r="G77" s="1">
        <v>4051</v>
      </c>
      <c r="H77" s="1" t="s">
        <v>25</v>
      </c>
      <c r="I77" s="1" t="s">
        <v>28</v>
      </c>
      <c r="J77" s="1983" t="s">
        <v>110</v>
      </c>
      <c r="K77" s="20" t="s">
        <v>111</v>
      </c>
      <c r="L77" s="45">
        <v>0.4</v>
      </c>
      <c r="M77" s="16" t="s">
        <v>122</v>
      </c>
      <c r="N77" s="182" t="s">
        <v>123</v>
      </c>
      <c r="O77" s="16"/>
      <c r="P77" s="28">
        <v>0.5</v>
      </c>
      <c r="Q77" s="25">
        <v>0.1</v>
      </c>
      <c r="R77" s="28"/>
      <c r="S77" s="26">
        <f t="shared" si="3"/>
        <v>0</v>
      </c>
      <c r="T77" s="1">
        <f t="shared" si="4"/>
        <v>0</v>
      </c>
      <c r="U77" s="26" t="s">
        <v>34</v>
      </c>
      <c r="V77" s="1"/>
      <c r="W77" s="1"/>
    </row>
    <row r="78" spans="1:23" ht="23.4" x14ac:dyDescent="0.45">
      <c r="A78" s="1">
        <f t="shared" si="5"/>
        <v>77</v>
      </c>
      <c r="B78" s="15" t="s">
        <v>23</v>
      </c>
      <c r="C78" s="16" t="s">
        <v>24</v>
      </c>
      <c r="D78" s="17">
        <v>3185</v>
      </c>
      <c r="E78" s="18" t="s">
        <v>137</v>
      </c>
      <c r="F78" s="19" t="s">
        <v>138</v>
      </c>
      <c r="G78" s="1">
        <v>4051</v>
      </c>
      <c r="H78" s="1" t="s">
        <v>25</v>
      </c>
      <c r="I78" s="1" t="s">
        <v>28</v>
      </c>
      <c r="J78" s="1983" t="s">
        <v>110</v>
      </c>
      <c r="K78" s="20" t="s">
        <v>111</v>
      </c>
      <c r="L78" s="45">
        <v>0.4</v>
      </c>
      <c r="M78" s="16" t="s">
        <v>124</v>
      </c>
      <c r="N78" s="182" t="s">
        <v>125</v>
      </c>
      <c r="O78" s="16"/>
      <c r="P78" s="28">
        <v>1</v>
      </c>
      <c r="Q78" s="25">
        <v>0.05</v>
      </c>
      <c r="R78" s="28"/>
      <c r="S78" s="26">
        <f t="shared" si="3"/>
        <v>0</v>
      </c>
      <c r="T78" s="1">
        <f t="shared" si="4"/>
        <v>0</v>
      </c>
      <c r="U78" s="26" t="s">
        <v>34</v>
      </c>
      <c r="V78" s="1"/>
      <c r="W78" s="1"/>
    </row>
    <row r="79" spans="1:23" ht="23.4" x14ac:dyDescent="0.45">
      <c r="A79" s="1">
        <f t="shared" si="5"/>
        <v>78</v>
      </c>
      <c r="B79" s="15" t="s">
        <v>23</v>
      </c>
      <c r="C79" s="16" t="s">
        <v>24</v>
      </c>
      <c r="D79" s="17">
        <v>3185</v>
      </c>
      <c r="E79" s="18" t="s">
        <v>137</v>
      </c>
      <c r="F79" s="19" t="s">
        <v>138</v>
      </c>
      <c r="G79" s="1">
        <v>4051</v>
      </c>
      <c r="H79" s="1" t="s">
        <v>25</v>
      </c>
      <c r="I79" s="1" t="s">
        <v>28</v>
      </c>
      <c r="J79" s="1983" t="s">
        <v>110</v>
      </c>
      <c r="K79" s="20" t="s">
        <v>111</v>
      </c>
      <c r="L79" s="45">
        <v>0.4</v>
      </c>
      <c r="M79" s="16" t="s">
        <v>126</v>
      </c>
      <c r="N79" s="182" t="s">
        <v>127</v>
      </c>
      <c r="O79" s="16"/>
      <c r="P79" s="28">
        <v>1</v>
      </c>
      <c r="Q79" s="25">
        <v>0.1</v>
      </c>
      <c r="R79" s="28"/>
      <c r="S79" s="26">
        <f t="shared" si="3"/>
        <v>0</v>
      </c>
      <c r="T79" s="1">
        <f t="shared" si="4"/>
        <v>0</v>
      </c>
      <c r="U79" s="26" t="s">
        <v>34</v>
      </c>
      <c r="V79" s="1"/>
      <c r="W79" s="1"/>
    </row>
    <row r="80" spans="1:23" ht="23.4" x14ac:dyDescent="0.45">
      <c r="A80" s="1">
        <f t="shared" si="5"/>
        <v>79</v>
      </c>
      <c r="B80" s="15" t="s">
        <v>23</v>
      </c>
      <c r="C80" s="16" t="s">
        <v>24</v>
      </c>
      <c r="D80" s="17">
        <v>3185</v>
      </c>
      <c r="E80" s="18" t="s">
        <v>137</v>
      </c>
      <c r="F80" s="19" t="s">
        <v>138</v>
      </c>
      <c r="G80" s="1">
        <v>4051</v>
      </c>
      <c r="H80" s="1" t="s">
        <v>25</v>
      </c>
      <c r="I80" s="1" t="s">
        <v>28</v>
      </c>
      <c r="J80" s="1983" t="s">
        <v>110</v>
      </c>
      <c r="K80" s="20" t="s">
        <v>111</v>
      </c>
      <c r="L80" s="45">
        <v>0.4</v>
      </c>
      <c r="M80" s="16" t="s">
        <v>128</v>
      </c>
      <c r="N80" s="182" t="s">
        <v>129</v>
      </c>
      <c r="O80" s="16" t="s">
        <v>130</v>
      </c>
      <c r="P80" s="46">
        <v>3</v>
      </c>
      <c r="Q80" s="25">
        <v>0.15</v>
      </c>
      <c r="R80" s="46"/>
      <c r="S80" s="26">
        <f t="shared" si="3"/>
        <v>0</v>
      </c>
      <c r="T80" s="1">
        <f t="shared" si="4"/>
        <v>0</v>
      </c>
      <c r="U80" s="26" t="s">
        <v>34</v>
      </c>
      <c r="V80" s="1"/>
      <c r="W80" s="1"/>
    </row>
    <row r="81" spans="1:23" ht="23.4" x14ac:dyDescent="0.45">
      <c r="A81" s="1">
        <f t="shared" si="5"/>
        <v>80</v>
      </c>
      <c r="B81" s="15" t="s">
        <v>23</v>
      </c>
      <c r="C81" s="16" t="s">
        <v>24</v>
      </c>
      <c r="D81" s="17">
        <v>3185</v>
      </c>
      <c r="E81" s="18" t="s">
        <v>137</v>
      </c>
      <c r="F81" s="19" t="s">
        <v>138</v>
      </c>
      <c r="G81" s="1">
        <v>4051</v>
      </c>
      <c r="H81" s="1" t="s">
        <v>25</v>
      </c>
      <c r="I81" s="1" t="s">
        <v>28</v>
      </c>
      <c r="J81" s="1983" t="s">
        <v>110</v>
      </c>
      <c r="K81" s="20" t="s">
        <v>111</v>
      </c>
      <c r="L81" s="45">
        <v>0.4</v>
      </c>
      <c r="M81" s="16" t="s">
        <v>131</v>
      </c>
      <c r="N81" s="16" t="s">
        <v>132</v>
      </c>
      <c r="O81" s="16"/>
      <c r="P81" s="28">
        <v>1</v>
      </c>
      <c r="Q81" s="47">
        <v>0.05</v>
      </c>
      <c r="R81" s="28"/>
      <c r="S81" s="26">
        <f t="shared" si="3"/>
        <v>0</v>
      </c>
      <c r="T81" s="1">
        <f t="shared" si="4"/>
        <v>0</v>
      </c>
      <c r="U81" s="26" t="s">
        <v>34</v>
      </c>
      <c r="V81" s="1"/>
      <c r="W81" s="1"/>
    </row>
    <row r="82" spans="1:23" ht="23.4" x14ac:dyDescent="0.45">
      <c r="A82" s="1">
        <f t="shared" si="5"/>
        <v>81</v>
      </c>
      <c r="B82" s="15" t="s">
        <v>23</v>
      </c>
      <c r="C82" s="16" t="s">
        <v>24</v>
      </c>
      <c r="D82" s="17">
        <v>3185</v>
      </c>
      <c r="E82" s="18" t="s">
        <v>137</v>
      </c>
      <c r="F82" s="19" t="s">
        <v>138</v>
      </c>
      <c r="G82" s="1">
        <v>4051</v>
      </c>
      <c r="H82" s="1" t="s">
        <v>25</v>
      </c>
      <c r="I82" s="1" t="s">
        <v>28</v>
      </c>
      <c r="J82" s="1983" t="s">
        <v>110</v>
      </c>
      <c r="K82" s="20" t="s">
        <v>111</v>
      </c>
      <c r="L82" s="45">
        <v>0.4</v>
      </c>
      <c r="M82" s="16" t="s">
        <v>133</v>
      </c>
      <c r="N82" s="16" t="s">
        <v>134</v>
      </c>
      <c r="O82" s="16"/>
      <c r="P82" s="28">
        <v>1</v>
      </c>
      <c r="Q82" s="47">
        <v>0.1</v>
      </c>
      <c r="R82" s="28"/>
      <c r="S82" s="26">
        <f t="shared" si="3"/>
        <v>0</v>
      </c>
      <c r="T82" s="1">
        <f t="shared" si="4"/>
        <v>0</v>
      </c>
      <c r="U82" s="26" t="s">
        <v>34</v>
      </c>
      <c r="V82" s="1"/>
      <c r="W82" s="1"/>
    </row>
    <row r="83" spans="1:23" ht="23.4" x14ac:dyDescent="0.45">
      <c r="A83" s="1">
        <f t="shared" si="5"/>
        <v>82</v>
      </c>
      <c r="B83" s="15" t="s">
        <v>23</v>
      </c>
      <c r="C83" s="16" t="s">
        <v>24</v>
      </c>
      <c r="D83" s="17">
        <v>3185</v>
      </c>
      <c r="E83" s="18" t="s">
        <v>137</v>
      </c>
      <c r="F83" s="19" t="s">
        <v>138</v>
      </c>
      <c r="G83" s="1">
        <v>4051</v>
      </c>
      <c r="H83" s="1" t="s">
        <v>25</v>
      </c>
      <c r="I83" s="1" t="s">
        <v>28</v>
      </c>
      <c r="J83" s="1983" t="s">
        <v>110</v>
      </c>
      <c r="K83" s="20" t="s">
        <v>111</v>
      </c>
      <c r="L83" s="45">
        <v>0.4</v>
      </c>
      <c r="M83" s="16" t="s">
        <v>135</v>
      </c>
      <c r="N83" s="182" t="s">
        <v>136</v>
      </c>
      <c r="O83" s="16"/>
      <c r="P83" s="28">
        <v>1</v>
      </c>
      <c r="Q83" s="47">
        <v>0.05</v>
      </c>
      <c r="R83" s="28"/>
      <c r="S83" s="26">
        <f t="shared" si="3"/>
        <v>0</v>
      </c>
      <c r="T83" s="1">
        <f t="shared" si="4"/>
        <v>0</v>
      </c>
      <c r="U83" s="26" t="s">
        <v>34</v>
      </c>
      <c r="V83" s="1"/>
      <c r="W83" s="1"/>
    </row>
    <row r="84" spans="1:23" ht="23.4" x14ac:dyDescent="0.45">
      <c r="A84" s="1">
        <f t="shared" si="5"/>
        <v>83</v>
      </c>
      <c r="B84" s="2" t="s">
        <v>23</v>
      </c>
      <c r="C84" s="2" t="s">
        <v>24</v>
      </c>
      <c r="D84" s="49">
        <v>3410</v>
      </c>
      <c r="E84" s="2" t="s">
        <v>139</v>
      </c>
      <c r="F84" s="50" t="s">
        <v>140</v>
      </c>
      <c r="G84" s="51">
        <v>4051</v>
      </c>
      <c r="H84" s="14" t="s">
        <v>25</v>
      </c>
      <c r="I84" s="14" t="s">
        <v>28</v>
      </c>
      <c r="J84" s="1985" t="s">
        <v>57</v>
      </c>
      <c r="K84" s="52" t="s">
        <v>58</v>
      </c>
      <c r="L84" s="53">
        <v>0.4</v>
      </c>
      <c r="M84" s="91" t="s">
        <v>141</v>
      </c>
      <c r="N84" s="91" t="s">
        <v>142</v>
      </c>
      <c r="O84" s="3" t="s">
        <v>143</v>
      </c>
      <c r="P84" s="55">
        <v>1</v>
      </c>
      <c r="Q84" s="56">
        <v>0.15</v>
      </c>
      <c r="R84" s="55"/>
      <c r="S84" s="14">
        <f t="shared" si="3"/>
        <v>0</v>
      </c>
      <c r="T84" s="51">
        <f t="shared" si="4"/>
        <v>0</v>
      </c>
      <c r="U84" s="14" t="s">
        <v>83</v>
      </c>
      <c r="V84" s="1955">
        <f>SUM(T84:T94)%</f>
        <v>0</v>
      </c>
      <c r="W84" s="14"/>
    </row>
    <row r="85" spans="1:23" ht="23.4" x14ac:dyDescent="0.45">
      <c r="A85" s="1">
        <f t="shared" si="5"/>
        <v>84</v>
      </c>
      <c r="B85" s="57" t="s">
        <v>23</v>
      </c>
      <c r="C85" s="57" t="s">
        <v>24</v>
      </c>
      <c r="D85" s="58">
        <v>3410</v>
      </c>
      <c r="E85" s="59" t="s">
        <v>139</v>
      </c>
      <c r="F85" s="60" t="s">
        <v>140</v>
      </c>
      <c r="G85" s="61">
        <v>4051</v>
      </c>
      <c r="H85" s="62" t="s">
        <v>25</v>
      </c>
      <c r="I85" s="62" t="s">
        <v>28</v>
      </c>
      <c r="J85" s="1985" t="s">
        <v>57</v>
      </c>
      <c r="K85" s="52" t="s">
        <v>58</v>
      </c>
      <c r="L85" s="63">
        <v>0.4</v>
      </c>
      <c r="M85" s="416" t="s">
        <v>144</v>
      </c>
      <c r="N85" s="415" t="s">
        <v>145</v>
      </c>
      <c r="O85" s="417" t="s">
        <v>146</v>
      </c>
      <c r="P85" s="64">
        <v>14</v>
      </c>
      <c r="Q85" s="65">
        <v>0.15</v>
      </c>
      <c r="R85" s="64"/>
      <c r="S85" s="66">
        <f t="shared" si="3"/>
        <v>0</v>
      </c>
      <c r="T85" s="67">
        <f t="shared" si="4"/>
        <v>0</v>
      </c>
      <c r="U85" s="62" t="s">
        <v>83</v>
      </c>
      <c r="V85" s="430"/>
      <c r="W85" s="62"/>
    </row>
    <row r="86" spans="1:23" ht="23.4" x14ac:dyDescent="0.45">
      <c r="A86" s="1">
        <f t="shared" si="5"/>
        <v>85</v>
      </c>
      <c r="B86" s="57" t="s">
        <v>23</v>
      </c>
      <c r="C86" s="57" t="s">
        <v>24</v>
      </c>
      <c r="D86" s="58">
        <v>3410</v>
      </c>
      <c r="E86" s="59" t="s">
        <v>139</v>
      </c>
      <c r="F86" s="60" t="s">
        <v>140</v>
      </c>
      <c r="G86" s="61">
        <v>4051</v>
      </c>
      <c r="H86" s="62" t="s">
        <v>25</v>
      </c>
      <c r="I86" s="62" t="s">
        <v>28</v>
      </c>
      <c r="J86" s="1985" t="s">
        <v>57</v>
      </c>
      <c r="K86" s="52" t="s">
        <v>58</v>
      </c>
      <c r="L86" s="63">
        <v>0.4</v>
      </c>
      <c r="M86" s="416" t="s">
        <v>147</v>
      </c>
      <c r="N86" s="415" t="s">
        <v>148</v>
      </c>
      <c r="O86" s="417" t="s">
        <v>149</v>
      </c>
      <c r="P86" s="64">
        <v>30</v>
      </c>
      <c r="Q86" s="65">
        <v>0.15</v>
      </c>
      <c r="R86" s="64"/>
      <c r="S86" s="66">
        <f t="shared" si="3"/>
        <v>0</v>
      </c>
      <c r="T86" s="67">
        <f t="shared" si="4"/>
        <v>0</v>
      </c>
      <c r="U86" s="62" t="s">
        <v>34</v>
      </c>
      <c r="V86" s="430"/>
      <c r="W86" s="62"/>
    </row>
    <row r="87" spans="1:23" ht="23.4" x14ac:dyDescent="0.45">
      <c r="A87" s="1">
        <f t="shared" si="5"/>
        <v>86</v>
      </c>
      <c r="B87" s="57" t="s">
        <v>23</v>
      </c>
      <c r="C87" s="57" t="s">
        <v>24</v>
      </c>
      <c r="D87" s="58">
        <v>3410</v>
      </c>
      <c r="E87" s="59" t="s">
        <v>139</v>
      </c>
      <c r="F87" s="60" t="s">
        <v>140</v>
      </c>
      <c r="G87" s="61">
        <v>4051</v>
      </c>
      <c r="H87" s="62" t="s">
        <v>25</v>
      </c>
      <c r="I87" s="62" t="s">
        <v>28</v>
      </c>
      <c r="J87" s="1985" t="s">
        <v>57</v>
      </c>
      <c r="K87" s="52" t="s">
        <v>58</v>
      </c>
      <c r="L87" s="63">
        <v>0.4</v>
      </c>
      <c r="M87" s="416" t="s">
        <v>150</v>
      </c>
      <c r="N87" s="415" t="s">
        <v>151</v>
      </c>
      <c r="O87" s="417" t="s">
        <v>152</v>
      </c>
      <c r="P87" s="62">
        <v>0.9</v>
      </c>
      <c r="Q87" s="65">
        <v>0.15</v>
      </c>
      <c r="R87" s="62"/>
      <c r="S87" s="66">
        <f t="shared" si="3"/>
        <v>0</v>
      </c>
      <c r="T87" s="67">
        <f t="shared" si="4"/>
        <v>0</v>
      </c>
      <c r="U87" s="62" t="s">
        <v>34</v>
      </c>
      <c r="V87" s="430"/>
      <c r="W87" s="62"/>
    </row>
    <row r="88" spans="1:23" ht="23.4" x14ac:dyDescent="0.45">
      <c r="A88" s="1">
        <f t="shared" si="5"/>
        <v>87</v>
      </c>
      <c r="B88" s="57" t="s">
        <v>23</v>
      </c>
      <c r="C88" s="57" t="s">
        <v>24</v>
      </c>
      <c r="D88" s="58">
        <v>3410</v>
      </c>
      <c r="E88" s="59" t="s">
        <v>139</v>
      </c>
      <c r="F88" s="60" t="s">
        <v>140</v>
      </c>
      <c r="G88" s="61">
        <v>4051</v>
      </c>
      <c r="H88" s="62" t="s">
        <v>25</v>
      </c>
      <c r="I88" s="62" t="s">
        <v>28</v>
      </c>
      <c r="J88" s="1985" t="s">
        <v>57</v>
      </c>
      <c r="K88" s="52" t="s">
        <v>58</v>
      </c>
      <c r="L88" s="63">
        <v>0.4</v>
      </c>
      <c r="M88" s="416" t="s">
        <v>153</v>
      </c>
      <c r="N88" s="415" t="s">
        <v>154</v>
      </c>
      <c r="O88" s="417" t="s">
        <v>155</v>
      </c>
      <c r="P88" s="64">
        <v>1000</v>
      </c>
      <c r="Q88" s="65">
        <v>0.1</v>
      </c>
      <c r="R88" s="64"/>
      <c r="S88" s="66">
        <f t="shared" si="3"/>
        <v>0</v>
      </c>
      <c r="T88" s="67">
        <f t="shared" si="4"/>
        <v>0</v>
      </c>
      <c r="U88" s="62" t="s">
        <v>34</v>
      </c>
      <c r="V88" s="430"/>
      <c r="W88" s="62"/>
    </row>
    <row r="89" spans="1:23" ht="23.4" x14ac:dyDescent="0.45">
      <c r="A89" s="1">
        <f t="shared" si="5"/>
        <v>88</v>
      </c>
      <c r="B89" s="57" t="s">
        <v>23</v>
      </c>
      <c r="C89" s="57" t="s">
        <v>24</v>
      </c>
      <c r="D89" s="58">
        <v>3410</v>
      </c>
      <c r="E89" s="59" t="s">
        <v>139</v>
      </c>
      <c r="F89" s="60" t="s">
        <v>140</v>
      </c>
      <c r="G89" s="61">
        <v>4051</v>
      </c>
      <c r="H89" s="62" t="s">
        <v>25</v>
      </c>
      <c r="I89" s="62" t="s">
        <v>28</v>
      </c>
      <c r="J89" s="1985" t="s">
        <v>57</v>
      </c>
      <c r="K89" s="52" t="s">
        <v>58</v>
      </c>
      <c r="L89" s="63">
        <v>0.4</v>
      </c>
      <c r="M89" s="416" t="s">
        <v>156</v>
      </c>
      <c r="N89" s="415" t="s">
        <v>157</v>
      </c>
      <c r="O89" s="417" t="s">
        <v>158</v>
      </c>
      <c r="P89" s="62">
        <v>1</v>
      </c>
      <c r="Q89" s="65">
        <v>0.15</v>
      </c>
      <c r="R89" s="62"/>
      <c r="S89" s="66">
        <f t="shared" si="3"/>
        <v>0</v>
      </c>
      <c r="T89" s="67">
        <f t="shared" si="4"/>
        <v>0</v>
      </c>
      <c r="U89" s="62" t="s">
        <v>34</v>
      </c>
      <c r="V89" s="430"/>
      <c r="W89" s="62"/>
    </row>
    <row r="90" spans="1:23" ht="23.4" x14ac:dyDescent="0.45">
      <c r="A90" s="1">
        <f t="shared" si="5"/>
        <v>89</v>
      </c>
      <c r="B90" s="57" t="s">
        <v>23</v>
      </c>
      <c r="C90" s="57" t="s">
        <v>24</v>
      </c>
      <c r="D90" s="58">
        <v>3410</v>
      </c>
      <c r="E90" s="59" t="s">
        <v>139</v>
      </c>
      <c r="F90" s="60" t="s">
        <v>140</v>
      </c>
      <c r="G90" s="61">
        <v>4051</v>
      </c>
      <c r="H90" s="62" t="s">
        <v>25</v>
      </c>
      <c r="I90" s="62" t="s">
        <v>28</v>
      </c>
      <c r="J90" s="1985" t="s">
        <v>57</v>
      </c>
      <c r="K90" s="52" t="s">
        <v>58</v>
      </c>
      <c r="L90" s="63">
        <v>0.4</v>
      </c>
      <c r="M90" s="416" t="s">
        <v>159</v>
      </c>
      <c r="N90" s="415" t="s">
        <v>160</v>
      </c>
      <c r="O90" s="417" t="s">
        <v>161</v>
      </c>
      <c r="P90" s="64">
        <v>30</v>
      </c>
      <c r="Q90" s="65">
        <v>0.15</v>
      </c>
      <c r="R90" s="64"/>
      <c r="S90" s="66">
        <f t="shared" si="3"/>
        <v>0</v>
      </c>
      <c r="T90" s="67">
        <f t="shared" si="4"/>
        <v>0</v>
      </c>
      <c r="U90" s="62" t="s">
        <v>34</v>
      </c>
      <c r="V90" s="430"/>
      <c r="W90" s="62"/>
    </row>
    <row r="91" spans="1:23" ht="23.4" x14ac:dyDescent="0.5">
      <c r="A91" s="1">
        <f t="shared" si="5"/>
        <v>90</v>
      </c>
      <c r="B91" s="15" t="s">
        <v>23</v>
      </c>
      <c r="C91" s="15" t="s">
        <v>24</v>
      </c>
      <c r="D91" s="68">
        <v>3410</v>
      </c>
      <c r="E91" s="15" t="s">
        <v>139</v>
      </c>
      <c r="F91" s="69" t="s">
        <v>140</v>
      </c>
      <c r="G91" s="70">
        <v>4051</v>
      </c>
      <c r="H91" s="71" t="s">
        <v>25</v>
      </c>
      <c r="I91" s="71" t="s">
        <v>28</v>
      </c>
      <c r="J91" s="1986" t="s">
        <v>110</v>
      </c>
      <c r="K91" s="72" t="s">
        <v>111</v>
      </c>
      <c r="L91" s="21">
        <v>0.6</v>
      </c>
      <c r="M91" s="325" t="s">
        <v>162</v>
      </c>
      <c r="N91" s="71" t="s">
        <v>163</v>
      </c>
      <c r="O91" s="71" t="s">
        <v>164</v>
      </c>
      <c r="P91" s="74">
        <v>1</v>
      </c>
      <c r="Q91" s="75">
        <v>0.2</v>
      </c>
      <c r="R91" s="74"/>
      <c r="S91" s="76">
        <f t="shared" si="3"/>
        <v>0</v>
      </c>
      <c r="T91" s="77">
        <f t="shared" si="4"/>
        <v>0</v>
      </c>
      <c r="U91" s="71" t="s">
        <v>34</v>
      </c>
      <c r="V91" s="71"/>
      <c r="W91" s="71"/>
    </row>
    <row r="92" spans="1:23" ht="23.4" x14ac:dyDescent="0.5">
      <c r="A92" s="1">
        <f t="shared" si="5"/>
        <v>91</v>
      </c>
      <c r="B92" s="15" t="s">
        <v>23</v>
      </c>
      <c r="C92" s="15" t="s">
        <v>24</v>
      </c>
      <c r="D92" s="68">
        <v>3410</v>
      </c>
      <c r="E92" s="15" t="s">
        <v>139</v>
      </c>
      <c r="F92" s="69" t="s">
        <v>140</v>
      </c>
      <c r="G92" s="70">
        <v>4051</v>
      </c>
      <c r="H92" s="71" t="s">
        <v>25</v>
      </c>
      <c r="I92" s="71" t="s">
        <v>28</v>
      </c>
      <c r="J92" s="1986" t="s">
        <v>110</v>
      </c>
      <c r="K92" s="72" t="s">
        <v>111</v>
      </c>
      <c r="L92" s="21">
        <v>0.6</v>
      </c>
      <c r="M92" s="325" t="s">
        <v>165</v>
      </c>
      <c r="N92" s="71" t="s">
        <v>166</v>
      </c>
      <c r="O92" s="71"/>
      <c r="P92" s="74">
        <v>1</v>
      </c>
      <c r="Q92" s="75">
        <v>0.2</v>
      </c>
      <c r="R92" s="74"/>
      <c r="S92" s="76">
        <f t="shared" si="3"/>
        <v>0</v>
      </c>
      <c r="T92" s="77">
        <f t="shared" si="4"/>
        <v>0</v>
      </c>
      <c r="U92" s="71" t="s">
        <v>34</v>
      </c>
      <c r="V92" s="71"/>
      <c r="W92" s="71"/>
    </row>
    <row r="93" spans="1:23" ht="23.4" x14ac:dyDescent="0.5">
      <c r="A93" s="1">
        <f t="shared" si="5"/>
        <v>92</v>
      </c>
      <c r="B93" s="15" t="s">
        <v>23</v>
      </c>
      <c r="C93" s="15" t="s">
        <v>24</v>
      </c>
      <c r="D93" s="68">
        <v>3410</v>
      </c>
      <c r="E93" s="15" t="s">
        <v>139</v>
      </c>
      <c r="F93" s="69" t="s">
        <v>140</v>
      </c>
      <c r="G93" s="70">
        <v>4051</v>
      </c>
      <c r="H93" s="71" t="s">
        <v>25</v>
      </c>
      <c r="I93" s="71" t="s">
        <v>28</v>
      </c>
      <c r="J93" s="1986" t="s">
        <v>110</v>
      </c>
      <c r="K93" s="72" t="s">
        <v>111</v>
      </c>
      <c r="L93" s="21">
        <v>0.6</v>
      </c>
      <c r="M93" s="325" t="s">
        <v>167</v>
      </c>
      <c r="N93" s="71" t="s">
        <v>168</v>
      </c>
      <c r="O93" s="71" t="s">
        <v>169</v>
      </c>
      <c r="P93" s="74">
        <v>1</v>
      </c>
      <c r="Q93" s="75">
        <v>0.3</v>
      </c>
      <c r="R93" s="74"/>
      <c r="S93" s="76">
        <f t="shared" si="3"/>
        <v>0</v>
      </c>
      <c r="T93" s="77">
        <f t="shared" si="4"/>
        <v>0</v>
      </c>
      <c r="U93" s="71" t="s">
        <v>34</v>
      </c>
      <c r="V93" s="71"/>
      <c r="W93" s="71"/>
    </row>
    <row r="94" spans="1:23" ht="23.4" x14ac:dyDescent="0.5">
      <c r="A94" s="1">
        <f t="shared" si="5"/>
        <v>93</v>
      </c>
      <c r="B94" s="15" t="s">
        <v>23</v>
      </c>
      <c r="C94" s="15" t="s">
        <v>24</v>
      </c>
      <c r="D94" s="68">
        <v>3410</v>
      </c>
      <c r="E94" s="15" t="s">
        <v>139</v>
      </c>
      <c r="F94" s="69" t="s">
        <v>140</v>
      </c>
      <c r="G94" s="70">
        <v>4051</v>
      </c>
      <c r="H94" s="71" t="s">
        <v>25</v>
      </c>
      <c r="I94" s="71" t="s">
        <v>28</v>
      </c>
      <c r="J94" s="1986" t="s">
        <v>110</v>
      </c>
      <c r="K94" s="72" t="s">
        <v>111</v>
      </c>
      <c r="L94" s="21">
        <v>0.6</v>
      </c>
      <c r="M94" s="325" t="s">
        <v>170</v>
      </c>
      <c r="N94" s="71" t="s">
        <v>171</v>
      </c>
      <c r="O94" s="71" t="s">
        <v>172</v>
      </c>
      <c r="P94" s="74">
        <v>1</v>
      </c>
      <c r="Q94" s="75">
        <v>0.3</v>
      </c>
      <c r="R94" s="74"/>
      <c r="S94" s="76">
        <f t="shared" si="3"/>
        <v>0</v>
      </c>
      <c r="T94" s="77">
        <f t="shared" si="4"/>
        <v>0</v>
      </c>
      <c r="U94" s="71" t="s">
        <v>34</v>
      </c>
      <c r="V94" s="71"/>
      <c r="W94" s="71"/>
    </row>
    <row r="95" spans="1:23" ht="23.4" x14ac:dyDescent="0.45">
      <c r="A95" s="1">
        <f t="shared" si="5"/>
        <v>94</v>
      </c>
      <c r="B95" s="2" t="s">
        <v>23</v>
      </c>
      <c r="C95" s="2" t="s">
        <v>24</v>
      </c>
      <c r="D95" s="49">
        <v>4000</v>
      </c>
      <c r="E95" s="2" t="s">
        <v>173</v>
      </c>
      <c r="F95" s="50" t="s">
        <v>174</v>
      </c>
      <c r="G95" s="51">
        <v>4051</v>
      </c>
      <c r="H95" s="14" t="s">
        <v>25</v>
      </c>
      <c r="I95" s="14" t="s">
        <v>175</v>
      </c>
      <c r="J95" s="1985" t="s">
        <v>57</v>
      </c>
      <c r="K95" s="52" t="s">
        <v>58</v>
      </c>
      <c r="L95" s="53">
        <v>0.8</v>
      </c>
      <c r="M95" s="91" t="s">
        <v>176</v>
      </c>
      <c r="N95" s="91" t="s">
        <v>177</v>
      </c>
      <c r="O95" s="3"/>
      <c r="P95" s="14">
        <v>0.12</v>
      </c>
      <c r="Q95" s="56">
        <v>0.15</v>
      </c>
      <c r="R95" s="14"/>
      <c r="S95" s="14">
        <f t="shared" si="3"/>
        <v>0</v>
      </c>
      <c r="T95" s="51">
        <f t="shared" si="4"/>
        <v>0</v>
      </c>
      <c r="U95" s="14" t="s">
        <v>83</v>
      </c>
      <c r="V95" s="1955">
        <f>SUM(T95:T110)%</f>
        <v>0</v>
      </c>
      <c r="W95" s="14"/>
    </row>
    <row r="96" spans="1:23" ht="23.4" x14ac:dyDescent="0.45">
      <c r="A96" s="1">
        <f t="shared" si="5"/>
        <v>95</v>
      </c>
      <c r="B96" s="57" t="s">
        <v>23</v>
      </c>
      <c r="C96" s="57" t="s">
        <v>24</v>
      </c>
      <c r="D96" s="58">
        <v>4000</v>
      </c>
      <c r="E96" s="59" t="s">
        <v>173</v>
      </c>
      <c r="F96" s="60" t="s">
        <v>174</v>
      </c>
      <c r="G96" s="61">
        <v>4051</v>
      </c>
      <c r="H96" s="62" t="s">
        <v>25</v>
      </c>
      <c r="I96" s="62" t="s">
        <v>175</v>
      </c>
      <c r="J96" s="1985" t="s">
        <v>57</v>
      </c>
      <c r="K96" s="52" t="s">
        <v>58</v>
      </c>
      <c r="L96" s="63">
        <v>0.8</v>
      </c>
      <c r="M96" s="416" t="s">
        <v>176</v>
      </c>
      <c r="N96" s="415" t="s">
        <v>178</v>
      </c>
      <c r="O96" s="417" t="s">
        <v>179</v>
      </c>
      <c r="P96" s="62">
        <v>0.02</v>
      </c>
      <c r="Q96" s="65">
        <v>0.15</v>
      </c>
      <c r="R96" s="62"/>
      <c r="S96" s="66">
        <f t="shared" si="3"/>
        <v>0</v>
      </c>
      <c r="T96" s="67">
        <f t="shared" si="4"/>
        <v>0</v>
      </c>
      <c r="U96" s="62" t="s">
        <v>83</v>
      </c>
      <c r="V96" s="430"/>
      <c r="W96" s="62"/>
    </row>
    <row r="97" spans="1:23" ht="23.4" x14ac:dyDescent="0.45">
      <c r="A97" s="1">
        <f t="shared" si="5"/>
        <v>96</v>
      </c>
      <c r="B97" s="57" t="s">
        <v>23</v>
      </c>
      <c r="C97" s="57" t="s">
        <v>24</v>
      </c>
      <c r="D97" s="58">
        <v>4000</v>
      </c>
      <c r="E97" s="59" t="s">
        <v>173</v>
      </c>
      <c r="F97" s="60" t="s">
        <v>174</v>
      </c>
      <c r="G97" s="61">
        <v>4051</v>
      </c>
      <c r="H97" s="62" t="s">
        <v>25</v>
      </c>
      <c r="I97" s="62" t="s">
        <v>175</v>
      </c>
      <c r="J97" s="1985" t="s">
        <v>57</v>
      </c>
      <c r="K97" s="52" t="s">
        <v>58</v>
      </c>
      <c r="L97" s="63">
        <v>0.8</v>
      </c>
      <c r="M97" s="416" t="s">
        <v>180</v>
      </c>
      <c r="N97" s="415" t="s">
        <v>181</v>
      </c>
      <c r="O97" s="417"/>
      <c r="P97" s="64">
        <v>5</v>
      </c>
      <c r="Q97" s="65">
        <v>0.25</v>
      </c>
      <c r="R97" s="64"/>
      <c r="S97" s="66">
        <f t="shared" si="3"/>
        <v>0</v>
      </c>
      <c r="T97" s="67">
        <f t="shared" si="4"/>
        <v>0</v>
      </c>
      <c r="U97" s="62" t="s">
        <v>34</v>
      </c>
      <c r="V97" s="430"/>
      <c r="W97" s="62"/>
    </row>
    <row r="98" spans="1:23" ht="23.4" x14ac:dyDescent="0.45">
      <c r="A98" s="1">
        <f t="shared" si="5"/>
        <v>97</v>
      </c>
      <c r="B98" s="57" t="s">
        <v>23</v>
      </c>
      <c r="C98" s="57" t="s">
        <v>24</v>
      </c>
      <c r="D98" s="58">
        <v>4000</v>
      </c>
      <c r="E98" s="59" t="s">
        <v>173</v>
      </c>
      <c r="F98" s="60" t="s">
        <v>174</v>
      </c>
      <c r="G98" s="61">
        <v>4051</v>
      </c>
      <c r="H98" s="62" t="s">
        <v>25</v>
      </c>
      <c r="I98" s="62" t="s">
        <v>175</v>
      </c>
      <c r="J98" s="1985" t="s">
        <v>57</v>
      </c>
      <c r="K98" s="52" t="s">
        <v>58</v>
      </c>
      <c r="L98" s="63">
        <v>0.8</v>
      </c>
      <c r="M98" s="416" t="s">
        <v>182</v>
      </c>
      <c r="N98" s="415" t="s">
        <v>183</v>
      </c>
      <c r="O98" s="417" t="s">
        <v>184</v>
      </c>
      <c r="P98" s="64">
        <v>0</v>
      </c>
      <c r="Q98" s="65">
        <v>0</v>
      </c>
      <c r="R98" s="64"/>
      <c r="S98" s="66">
        <f t="shared" si="3"/>
        <v>0</v>
      </c>
      <c r="T98" s="67">
        <f t="shared" si="4"/>
        <v>0</v>
      </c>
      <c r="U98" s="62" t="s">
        <v>34</v>
      </c>
      <c r="V98" s="430"/>
      <c r="W98" s="62"/>
    </row>
    <row r="99" spans="1:23" ht="23.4" x14ac:dyDescent="0.45">
      <c r="A99" s="1">
        <f t="shared" si="5"/>
        <v>98</v>
      </c>
      <c r="B99" s="57" t="s">
        <v>23</v>
      </c>
      <c r="C99" s="57" t="s">
        <v>24</v>
      </c>
      <c r="D99" s="58">
        <v>4000</v>
      </c>
      <c r="E99" s="59" t="s">
        <v>173</v>
      </c>
      <c r="F99" s="60" t="s">
        <v>174</v>
      </c>
      <c r="G99" s="61">
        <v>4051</v>
      </c>
      <c r="H99" s="62" t="s">
        <v>25</v>
      </c>
      <c r="I99" s="62" t="s">
        <v>175</v>
      </c>
      <c r="J99" s="1985" t="s">
        <v>57</v>
      </c>
      <c r="K99" s="52" t="s">
        <v>58</v>
      </c>
      <c r="L99" s="63">
        <v>0.8</v>
      </c>
      <c r="M99" s="416" t="s">
        <v>185</v>
      </c>
      <c r="N99" s="415" t="s">
        <v>186</v>
      </c>
      <c r="O99" s="417" t="s">
        <v>187</v>
      </c>
      <c r="P99" s="62">
        <v>0.01</v>
      </c>
      <c r="Q99" s="65">
        <v>0.1</v>
      </c>
      <c r="R99" s="62"/>
      <c r="S99" s="66">
        <f t="shared" si="3"/>
        <v>0</v>
      </c>
      <c r="T99" s="67">
        <f t="shared" si="4"/>
        <v>0</v>
      </c>
      <c r="U99" s="62" t="s">
        <v>83</v>
      </c>
      <c r="V99" s="430"/>
      <c r="W99" s="62"/>
    </row>
    <row r="100" spans="1:23" ht="23.4" x14ac:dyDescent="0.45">
      <c r="A100" s="1">
        <f t="shared" si="5"/>
        <v>99</v>
      </c>
      <c r="B100" s="57" t="s">
        <v>23</v>
      </c>
      <c r="C100" s="57" t="s">
        <v>24</v>
      </c>
      <c r="D100" s="58">
        <v>4000</v>
      </c>
      <c r="E100" s="59" t="s">
        <v>173</v>
      </c>
      <c r="F100" s="60" t="s">
        <v>174</v>
      </c>
      <c r="G100" s="61">
        <v>4051</v>
      </c>
      <c r="H100" s="62" t="s">
        <v>25</v>
      </c>
      <c r="I100" s="62" t="s">
        <v>175</v>
      </c>
      <c r="J100" s="1985" t="s">
        <v>57</v>
      </c>
      <c r="K100" s="52" t="s">
        <v>58</v>
      </c>
      <c r="L100" s="63">
        <v>0.8</v>
      </c>
      <c r="M100" s="416" t="s">
        <v>188</v>
      </c>
      <c r="N100" s="415" t="s">
        <v>189</v>
      </c>
      <c r="O100" s="417" t="s">
        <v>190</v>
      </c>
      <c r="P100" s="62">
        <v>0.1</v>
      </c>
      <c r="Q100" s="65">
        <v>0.15</v>
      </c>
      <c r="R100" s="62"/>
      <c r="S100" s="66">
        <f t="shared" si="3"/>
        <v>0</v>
      </c>
      <c r="T100" s="67">
        <f t="shared" si="4"/>
        <v>0</v>
      </c>
      <c r="U100" s="62" t="s">
        <v>83</v>
      </c>
      <c r="V100" s="430"/>
      <c r="W100" s="62"/>
    </row>
    <row r="101" spans="1:23" ht="23.4" x14ac:dyDescent="0.45">
      <c r="A101" s="1">
        <f t="shared" si="5"/>
        <v>100</v>
      </c>
      <c r="B101" s="57" t="s">
        <v>23</v>
      </c>
      <c r="C101" s="57" t="s">
        <v>24</v>
      </c>
      <c r="D101" s="58">
        <v>4000</v>
      </c>
      <c r="E101" s="59" t="s">
        <v>173</v>
      </c>
      <c r="F101" s="60" t="s">
        <v>174</v>
      </c>
      <c r="G101" s="61">
        <v>4051</v>
      </c>
      <c r="H101" s="62" t="s">
        <v>25</v>
      </c>
      <c r="I101" s="62" t="s">
        <v>175</v>
      </c>
      <c r="J101" s="1985" t="s">
        <v>57</v>
      </c>
      <c r="K101" s="52" t="s">
        <v>58</v>
      </c>
      <c r="L101" s="63">
        <v>0.8</v>
      </c>
      <c r="M101" s="416" t="s">
        <v>191</v>
      </c>
      <c r="N101" s="415" t="s">
        <v>192</v>
      </c>
      <c r="O101" s="417"/>
      <c r="P101" s="64">
        <v>875</v>
      </c>
      <c r="Q101" s="65">
        <v>0.1</v>
      </c>
      <c r="R101" s="64"/>
      <c r="S101" s="66">
        <f t="shared" si="3"/>
        <v>0</v>
      </c>
      <c r="T101" s="67">
        <f t="shared" si="4"/>
        <v>0</v>
      </c>
      <c r="U101" s="62" t="s">
        <v>34</v>
      </c>
      <c r="V101" s="430"/>
      <c r="W101" s="62"/>
    </row>
    <row r="102" spans="1:23" ht="23.4" x14ac:dyDescent="0.45">
      <c r="A102" s="1">
        <f t="shared" si="5"/>
        <v>101</v>
      </c>
      <c r="B102" s="57" t="s">
        <v>23</v>
      </c>
      <c r="C102" s="57" t="s">
        <v>24</v>
      </c>
      <c r="D102" s="58">
        <v>4000</v>
      </c>
      <c r="E102" s="59" t="s">
        <v>173</v>
      </c>
      <c r="F102" s="60" t="s">
        <v>174</v>
      </c>
      <c r="G102" s="61">
        <v>4051</v>
      </c>
      <c r="H102" s="62" t="s">
        <v>25</v>
      </c>
      <c r="I102" s="62" t="s">
        <v>175</v>
      </c>
      <c r="J102" s="1985" t="s">
        <v>57</v>
      </c>
      <c r="K102" s="52" t="s">
        <v>58</v>
      </c>
      <c r="L102" s="63">
        <v>0.8</v>
      </c>
      <c r="M102" s="416" t="s">
        <v>191</v>
      </c>
      <c r="N102" s="78" t="s">
        <v>193</v>
      </c>
      <c r="O102" s="79"/>
      <c r="P102" s="80">
        <v>50</v>
      </c>
      <c r="Q102" s="81">
        <v>0.1</v>
      </c>
      <c r="R102" s="80"/>
      <c r="S102" s="66">
        <f t="shared" si="3"/>
        <v>0</v>
      </c>
      <c r="T102" s="67">
        <f t="shared" si="4"/>
        <v>0</v>
      </c>
      <c r="U102" s="62" t="s">
        <v>34</v>
      </c>
      <c r="V102" s="430"/>
      <c r="W102" s="62"/>
    </row>
    <row r="103" spans="1:23" ht="23.4" x14ac:dyDescent="0.45">
      <c r="A103" s="1">
        <f t="shared" si="5"/>
        <v>102</v>
      </c>
      <c r="B103" s="57" t="s">
        <v>23</v>
      </c>
      <c r="C103" s="57" t="s">
        <v>24</v>
      </c>
      <c r="D103" s="58">
        <v>4000</v>
      </c>
      <c r="E103" s="59" t="s">
        <v>173</v>
      </c>
      <c r="F103" s="82" t="s">
        <v>174</v>
      </c>
      <c r="G103" s="83">
        <v>4051</v>
      </c>
      <c r="H103" s="84" t="s">
        <v>25</v>
      </c>
      <c r="I103" s="84" t="s">
        <v>175</v>
      </c>
      <c r="J103" s="1987" t="s">
        <v>110</v>
      </c>
      <c r="K103" s="85" t="s">
        <v>111</v>
      </c>
      <c r="L103" s="21">
        <v>0.2</v>
      </c>
      <c r="M103" s="450" t="s">
        <v>194</v>
      </c>
      <c r="N103" s="1964" t="s">
        <v>195</v>
      </c>
      <c r="O103" s="448" t="s">
        <v>196</v>
      </c>
      <c r="P103" s="84">
        <v>1</v>
      </c>
      <c r="Q103" s="86">
        <v>0.05</v>
      </c>
      <c r="R103" s="84"/>
      <c r="S103" s="76">
        <f t="shared" si="3"/>
        <v>0</v>
      </c>
      <c r="T103" s="77">
        <f t="shared" si="4"/>
        <v>0</v>
      </c>
      <c r="U103" s="84" t="s">
        <v>34</v>
      </c>
      <c r="V103" s="71"/>
      <c r="W103" s="84"/>
    </row>
    <row r="104" spans="1:23" ht="23.4" x14ac:dyDescent="0.5">
      <c r="A104" s="1">
        <f t="shared" si="5"/>
        <v>103</v>
      </c>
      <c r="B104" s="15" t="s">
        <v>23</v>
      </c>
      <c r="C104" s="15" t="s">
        <v>24</v>
      </c>
      <c r="D104" s="68">
        <v>4000</v>
      </c>
      <c r="E104" s="15" t="s">
        <v>173</v>
      </c>
      <c r="F104" s="69" t="s">
        <v>174</v>
      </c>
      <c r="G104" s="70">
        <v>4051</v>
      </c>
      <c r="H104" s="71" t="s">
        <v>25</v>
      </c>
      <c r="I104" s="71" t="s">
        <v>175</v>
      </c>
      <c r="J104" s="1986" t="s">
        <v>110</v>
      </c>
      <c r="K104" s="72" t="s">
        <v>111</v>
      </c>
      <c r="L104" s="21">
        <v>0.2</v>
      </c>
      <c r="M104" s="325" t="s">
        <v>197</v>
      </c>
      <c r="N104" s="71" t="s">
        <v>198</v>
      </c>
      <c r="O104" s="71" t="s">
        <v>199</v>
      </c>
      <c r="P104" s="77">
        <v>120</v>
      </c>
      <c r="Q104" s="75">
        <v>0.25</v>
      </c>
      <c r="R104" s="77"/>
      <c r="S104" s="76">
        <f t="shared" si="3"/>
        <v>0</v>
      </c>
      <c r="T104" s="77">
        <f t="shared" si="4"/>
        <v>0</v>
      </c>
      <c r="U104" s="71" t="s">
        <v>34</v>
      </c>
      <c r="V104" s="71"/>
      <c r="W104" s="71"/>
    </row>
    <row r="105" spans="1:23" ht="23.4" x14ac:dyDescent="0.5">
      <c r="A105" s="1">
        <f t="shared" si="5"/>
        <v>104</v>
      </c>
      <c r="B105" s="15" t="s">
        <v>23</v>
      </c>
      <c r="C105" s="15" t="s">
        <v>24</v>
      </c>
      <c r="D105" s="68">
        <v>4000</v>
      </c>
      <c r="E105" s="15" t="s">
        <v>173</v>
      </c>
      <c r="F105" s="69" t="s">
        <v>174</v>
      </c>
      <c r="G105" s="70">
        <v>4051</v>
      </c>
      <c r="H105" s="71" t="s">
        <v>25</v>
      </c>
      <c r="I105" s="71" t="s">
        <v>175</v>
      </c>
      <c r="J105" s="1986" t="s">
        <v>110</v>
      </c>
      <c r="K105" s="72" t="s">
        <v>111</v>
      </c>
      <c r="L105" s="21">
        <v>0.2</v>
      </c>
      <c r="M105" s="325" t="s">
        <v>200</v>
      </c>
      <c r="N105" s="71" t="s">
        <v>201</v>
      </c>
      <c r="O105" s="71" t="s">
        <v>202</v>
      </c>
      <c r="P105" s="77">
        <v>60</v>
      </c>
      <c r="Q105" s="75">
        <v>0.15</v>
      </c>
      <c r="R105" s="77"/>
      <c r="S105" s="76">
        <f t="shared" si="3"/>
        <v>0</v>
      </c>
      <c r="T105" s="77">
        <f t="shared" si="4"/>
        <v>0</v>
      </c>
      <c r="U105" s="71" t="s">
        <v>34</v>
      </c>
      <c r="V105" s="71"/>
      <c r="W105" s="71"/>
    </row>
    <row r="106" spans="1:23" ht="23.4" x14ac:dyDescent="0.5">
      <c r="A106" s="1">
        <f t="shared" si="5"/>
        <v>105</v>
      </c>
      <c r="B106" s="15" t="s">
        <v>23</v>
      </c>
      <c r="C106" s="15" t="s">
        <v>24</v>
      </c>
      <c r="D106" s="68">
        <v>4000</v>
      </c>
      <c r="E106" s="15" t="s">
        <v>173</v>
      </c>
      <c r="F106" s="69" t="s">
        <v>174</v>
      </c>
      <c r="G106" s="70">
        <v>4051</v>
      </c>
      <c r="H106" s="71" t="s">
        <v>25</v>
      </c>
      <c r="I106" s="71" t="s">
        <v>175</v>
      </c>
      <c r="J106" s="1986" t="s">
        <v>110</v>
      </c>
      <c r="K106" s="72" t="s">
        <v>111</v>
      </c>
      <c r="L106" s="21">
        <v>0.2</v>
      </c>
      <c r="M106" s="325" t="s">
        <v>200</v>
      </c>
      <c r="N106" s="71" t="s">
        <v>203</v>
      </c>
      <c r="O106" s="71"/>
      <c r="P106" s="74">
        <v>0.8</v>
      </c>
      <c r="Q106" s="88">
        <v>0.1</v>
      </c>
      <c r="R106" s="74"/>
      <c r="S106" s="76">
        <f t="shared" si="3"/>
        <v>0</v>
      </c>
      <c r="T106" s="77">
        <f t="shared" si="4"/>
        <v>0</v>
      </c>
      <c r="U106" s="71"/>
      <c r="V106" s="71"/>
      <c r="W106" s="71"/>
    </row>
    <row r="107" spans="1:23" ht="23.4" x14ac:dyDescent="0.5">
      <c r="A107" s="1">
        <f t="shared" si="5"/>
        <v>106</v>
      </c>
      <c r="B107" s="15" t="s">
        <v>23</v>
      </c>
      <c r="C107" s="15" t="s">
        <v>24</v>
      </c>
      <c r="D107" s="68">
        <v>4000</v>
      </c>
      <c r="E107" s="15" t="s">
        <v>173</v>
      </c>
      <c r="F107" s="69" t="s">
        <v>174</v>
      </c>
      <c r="G107" s="70">
        <v>4051</v>
      </c>
      <c r="H107" s="71" t="s">
        <v>25</v>
      </c>
      <c r="I107" s="71" t="s">
        <v>175</v>
      </c>
      <c r="J107" s="1986" t="s">
        <v>110</v>
      </c>
      <c r="K107" s="72" t="s">
        <v>111</v>
      </c>
      <c r="L107" s="21">
        <v>0.2</v>
      </c>
      <c r="M107" s="325" t="s">
        <v>204</v>
      </c>
      <c r="N107" s="71" t="s">
        <v>205</v>
      </c>
      <c r="O107" s="71"/>
      <c r="P107" s="77">
        <v>1</v>
      </c>
      <c r="Q107" s="75">
        <v>0.1</v>
      </c>
      <c r="R107" s="77"/>
      <c r="S107" s="76">
        <f t="shared" si="3"/>
        <v>0</v>
      </c>
      <c r="T107" s="77">
        <f t="shared" si="4"/>
        <v>0</v>
      </c>
      <c r="U107" s="71" t="s">
        <v>34</v>
      </c>
      <c r="V107" s="71"/>
      <c r="W107" s="71"/>
    </row>
    <row r="108" spans="1:23" ht="23.4" x14ac:dyDescent="0.5">
      <c r="A108" s="1">
        <f t="shared" si="5"/>
        <v>107</v>
      </c>
      <c r="B108" s="15" t="s">
        <v>23</v>
      </c>
      <c r="C108" s="15" t="s">
        <v>24</v>
      </c>
      <c r="D108" s="68">
        <v>4000</v>
      </c>
      <c r="E108" s="15" t="s">
        <v>173</v>
      </c>
      <c r="F108" s="69" t="s">
        <v>174</v>
      </c>
      <c r="G108" s="70">
        <v>4051</v>
      </c>
      <c r="H108" s="71" t="s">
        <v>25</v>
      </c>
      <c r="I108" s="71" t="s">
        <v>175</v>
      </c>
      <c r="J108" s="1986" t="s">
        <v>110</v>
      </c>
      <c r="K108" s="72" t="s">
        <v>111</v>
      </c>
      <c r="L108" s="21">
        <v>0.2</v>
      </c>
      <c r="M108" s="325" t="s">
        <v>206</v>
      </c>
      <c r="N108" s="71" t="s">
        <v>207</v>
      </c>
      <c r="O108" s="71"/>
      <c r="P108" s="77">
        <v>304</v>
      </c>
      <c r="Q108" s="75">
        <v>0.1</v>
      </c>
      <c r="R108" s="77"/>
      <c r="S108" s="76">
        <f t="shared" si="3"/>
        <v>0</v>
      </c>
      <c r="T108" s="77">
        <f t="shared" si="4"/>
        <v>0</v>
      </c>
      <c r="U108" s="71" t="s">
        <v>34</v>
      </c>
      <c r="V108" s="71"/>
      <c r="W108" s="71"/>
    </row>
    <row r="109" spans="1:23" ht="29.4" x14ac:dyDescent="0.5">
      <c r="A109" s="1">
        <f t="shared" si="5"/>
        <v>108</v>
      </c>
      <c r="B109" s="15" t="s">
        <v>23</v>
      </c>
      <c r="C109" s="15" t="s">
        <v>24</v>
      </c>
      <c r="D109" s="68">
        <v>4000</v>
      </c>
      <c r="E109" s="15" t="s">
        <v>173</v>
      </c>
      <c r="F109" s="69" t="s">
        <v>174</v>
      </c>
      <c r="G109" s="70">
        <v>4051</v>
      </c>
      <c r="H109" s="71" t="s">
        <v>25</v>
      </c>
      <c r="I109" s="71" t="s">
        <v>175</v>
      </c>
      <c r="J109" s="1986" t="s">
        <v>110</v>
      </c>
      <c r="K109" s="72" t="s">
        <v>111</v>
      </c>
      <c r="L109" s="21">
        <v>0.2</v>
      </c>
      <c r="M109" s="325" t="s">
        <v>208</v>
      </c>
      <c r="N109" s="71" t="s">
        <v>209</v>
      </c>
      <c r="O109" s="519" t="s">
        <v>210</v>
      </c>
      <c r="P109" s="77">
        <v>21</v>
      </c>
      <c r="Q109" s="75">
        <v>0.1</v>
      </c>
      <c r="R109" s="77"/>
      <c r="S109" s="76">
        <f t="shared" si="3"/>
        <v>0</v>
      </c>
      <c r="T109" s="77">
        <f t="shared" si="4"/>
        <v>0</v>
      </c>
      <c r="U109" s="71" t="s">
        <v>34</v>
      </c>
      <c r="V109" s="71"/>
      <c r="W109" s="71"/>
    </row>
    <row r="110" spans="1:23" ht="23.4" x14ac:dyDescent="0.5">
      <c r="A110" s="1">
        <f t="shared" si="5"/>
        <v>109</v>
      </c>
      <c r="B110" s="15" t="s">
        <v>23</v>
      </c>
      <c r="C110" s="15" t="s">
        <v>24</v>
      </c>
      <c r="D110" s="68">
        <v>4000</v>
      </c>
      <c r="E110" s="15" t="s">
        <v>173</v>
      </c>
      <c r="F110" s="69" t="s">
        <v>174</v>
      </c>
      <c r="G110" s="70">
        <v>4051</v>
      </c>
      <c r="H110" s="71" t="s">
        <v>25</v>
      </c>
      <c r="I110" s="71" t="s">
        <v>175</v>
      </c>
      <c r="J110" s="1986" t="s">
        <v>110</v>
      </c>
      <c r="K110" s="72" t="s">
        <v>111</v>
      </c>
      <c r="L110" s="21">
        <v>0.2</v>
      </c>
      <c r="M110" s="325" t="s">
        <v>211</v>
      </c>
      <c r="N110" s="71" t="s">
        <v>212</v>
      </c>
      <c r="O110" s="71" t="s">
        <v>213</v>
      </c>
      <c r="P110" s="77">
        <v>10</v>
      </c>
      <c r="Q110" s="75">
        <v>0.15</v>
      </c>
      <c r="R110" s="77"/>
      <c r="S110" s="76">
        <f t="shared" si="3"/>
        <v>0</v>
      </c>
      <c r="T110" s="77">
        <f t="shared" si="4"/>
        <v>0</v>
      </c>
      <c r="U110" s="71" t="s">
        <v>34</v>
      </c>
      <c r="V110" s="71"/>
      <c r="W110" s="71"/>
    </row>
    <row r="111" spans="1:23" ht="23.4" x14ac:dyDescent="0.45">
      <c r="A111" s="1">
        <f t="shared" si="5"/>
        <v>110</v>
      </c>
      <c r="B111" s="2" t="s">
        <v>23</v>
      </c>
      <c r="C111" s="2" t="s">
        <v>24</v>
      </c>
      <c r="D111" s="49">
        <v>3997</v>
      </c>
      <c r="E111" s="2" t="s">
        <v>214</v>
      </c>
      <c r="F111" s="50" t="s">
        <v>215</v>
      </c>
      <c r="G111" s="51">
        <v>4000</v>
      </c>
      <c r="H111" s="14" t="s">
        <v>173</v>
      </c>
      <c r="I111" s="14" t="s">
        <v>175</v>
      </c>
      <c r="J111" s="1988" t="s">
        <v>57</v>
      </c>
      <c r="K111" s="90" t="s">
        <v>58</v>
      </c>
      <c r="L111" s="53">
        <v>0.8</v>
      </c>
      <c r="M111" s="91"/>
      <c r="N111" s="91" t="s">
        <v>216</v>
      </c>
      <c r="O111" s="3" t="s">
        <v>217</v>
      </c>
      <c r="P111" s="91">
        <v>3</v>
      </c>
      <c r="Q111" s="56">
        <v>0.15</v>
      </c>
      <c r="R111" s="91"/>
      <c r="S111" s="14">
        <f t="shared" si="3"/>
        <v>0</v>
      </c>
      <c r="T111" s="51">
        <f t="shared" si="4"/>
        <v>0</v>
      </c>
      <c r="U111" s="14" t="s">
        <v>34</v>
      </c>
      <c r="V111" s="1955">
        <f>SUM(T111:T133)%</f>
        <v>0</v>
      </c>
      <c r="W111" s="14"/>
    </row>
    <row r="112" spans="1:23" ht="23.4" x14ac:dyDescent="0.45">
      <c r="A112" s="1">
        <f t="shared" si="5"/>
        <v>111</v>
      </c>
      <c r="B112" s="57" t="s">
        <v>23</v>
      </c>
      <c r="C112" s="57" t="s">
        <v>24</v>
      </c>
      <c r="D112" s="58">
        <v>3997</v>
      </c>
      <c r="E112" s="59" t="s">
        <v>214</v>
      </c>
      <c r="F112" s="60" t="s">
        <v>215</v>
      </c>
      <c r="G112" s="61">
        <v>4000</v>
      </c>
      <c r="H112" s="62" t="s">
        <v>173</v>
      </c>
      <c r="I112" s="62" t="s">
        <v>175</v>
      </c>
      <c r="J112" s="1986" t="s">
        <v>57</v>
      </c>
      <c r="K112" s="72" t="s">
        <v>58</v>
      </c>
      <c r="L112" s="63">
        <v>0.8</v>
      </c>
      <c r="M112" s="416"/>
      <c r="N112" s="415" t="s">
        <v>218</v>
      </c>
      <c r="O112" s="417" t="s">
        <v>219</v>
      </c>
      <c r="P112" s="64">
        <v>304</v>
      </c>
      <c r="Q112" s="65">
        <v>0.1</v>
      </c>
      <c r="R112" s="64"/>
      <c r="S112" s="66">
        <f t="shared" si="3"/>
        <v>0</v>
      </c>
      <c r="T112" s="67">
        <f t="shared" si="4"/>
        <v>0</v>
      </c>
      <c r="U112" s="62" t="s">
        <v>34</v>
      </c>
      <c r="V112" s="430"/>
      <c r="W112" s="62"/>
    </row>
    <row r="113" spans="1:23" ht="23.4" x14ac:dyDescent="0.45">
      <c r="A113" s="1">
        <f t="shared" si="5"/>
        <v>112</v>
      </c>
      <c r="B113" s="57" t="s">
        <v>23</v>
      </c>
      <c r="C113" s="57" t="s">
        <v>24</v>
      </c>
      <c r="D113" s="58">
        <v>3997</v>
      </c>
      <c r="E113" s="59" t="s">
        <v>214</v>
      </c>
      <c r="F113" s="60" t="s">
        <v>215</v>
      </c>
      <c r="G113" s="61">
        <v>4000</v>
      </c>
      <c r="H113" s="62" t="s">
        <v>173</v>
      </c>
      <c r="I113" s="62" t="s">
        <v>175</v>
      </c>
      <c r="J113" s="1986" t="s">
        <v>57</v>
      </c>
      <c r="K113" s="72" t="s">
        <v>58</v>
      </c>
      <c r="L113" s="63">
        <v>0.8</v>
      </c>
      <c r="M113" s="416"/>
      <c r="N113" s="415" t="s">
        <v>220</v>
      </c>
      <c r="O113" s="417" t="s">
        <v>221</v>
      </c>
      <c r="P113" s="64">
        <v>13</v>
      </c>
      <c r="Q113" s="65">
        <v>7.0000000000000007E-2</v>
      </c>
      <c r="R113" s="64"/>
      <c r="S113" s="66">
        <f t="shared" si="3"/>
        <v>0</v>
      </c>
      <c r="T113" s="67">
        <f t="shared" si="4"/>
        <v>0</v>
      </c>
      <c r="U113" s="62" t="s">
        <v>34</v>
      </c>
      <c r="V113" s="430"/>
      <c r="W113" s="62"/>
    </row>
    <row r="114" spans="1:23" ht="23.4" x14ac:dyDescent="0.45">
      <c r="A114" s="1">
        <f t="shared" si="5"/>
        <v>113</v>
      </c>
      <c r="B114" s="57" t="s">
        <v>23</v>
      </c>
      <c r="C114" s="57" t="s">
        <v>24</v>
      </c>
      <c r="D114" s="58">
        <v>3997</v>
      </c>
      <c r="E114" s="59" t="s">
        <v>214</v>
      </c>
      <c r="F114" s="60" t="s">
        <v>215</v>
      </c>
      <c r="G114" s="61">
        <v>4000</v>
      </c>
      <c r="H114" s="62" t="s">
        <v>173</v>
      </c>
      <c r="I114" s="62" t="s">
        <v>175</v>
      </c>
      <c r="J114" s="1986" t="s">
        <v>57</v>
      </c>
      <c r="K114" s="72" t="s">
        <v>58</v>
      </c>
      <c r="L114" s="63">
        <v>0.8</v>
      </c>
      <c r="M114" s="416"/>
      <c r="N114" s="415" t="s">
        <v>222</v>
      </c>
      <c r="O114" s="417" t="s">
        <v>223</v>
      </c>
      <c r="P114" s="64">
        <v>304</v>
      </c>
      <c r="Q114" s="65">
        <v>0.06</v>
      </c>
      <c r="R114" s="64"/>
      <c r="S114" s="66">
        <f t="shared" si="3"/>
        <v>0</v>
      </c>
      <c r="T114" s="67">
        <f t="shared" si="4"/>
        <v>0</v>
      </c>
      <c r="U114" s="62" t="s">
        <v>34</v>
      </c>
      <c r="V114" s="430"/>
      <c r="W114" s="62"/>
    </row>
    <row r="115" spans="1:23" ht="23.4" x14ac:dyDescent="0.45">
      <c r="A115" s="1">
        <f t="shared" si="5"/>
        <v>114</v>
      </c>
      <c r="B115" s="57" t="s">
        <v>23</v>
      </c>
      <c r="C115" s="57" t="s">
        <v>24</v>
      </c>
      <c r="D115" s="58">
        <v>3997</v>
      </c>
      <c r="E115" s="59" t="s">
        <v>214</v>
      </c>
      <c r="F115" s="60" t="s">
        <v>215</v>
      </c>
      <c r="G115" s="61">
        <v>4000</v>
      </c>
      <c r="H115" s="62" t="s">
        <v>173</v>
      </c>
      <c r="I115" s="62" t="s">
        <v>175</v>
      </c>
      <c r="J115" s="1986" t="s">
        <v>57</v>
      </c>
      <c r="K115" s="72" t="s">
        <v>58</v>
      </c>
      <c r="L115" s="63">
        <v>0.8</v>
      </c>
      <c r="M115" s="416"/>
      <c r="N115" s="415" t="s">
        <v>224</v>
      </c>
      <c r="O115" s="417" t="s">
        <v>225</v>
      </c>
      <c r="P115" s="64">
        <v>304</v>
      </c>
      <c r="Q115" s="65">
        <v>7.0000000000000007E-2</v>
      </c>
      <c r="R115" s="64"/>
      <c r="S115" s="66">
        <f t="shared" si="3"/>
        <v>0</v>
      </c>
      <c r="T115" s="67">
        <f t="shared" si="4"/>
        <v>0</v>
      </c>
      <c r="U115" s="62" t="s">
        <v>34</v>
      </c>
      <c r="V115" s="430"/>
      <c r="W115" s="62"/>
    </row>
    <row r="116" spans="1:23" ht="23.4" x14ac:dyDescent="0.45">
      <c r="A116" s="1">
        <f t="shared" si="5"/>
        <v>115</v>
      </c>
      <c r="B116" s="57" t="s">
        <v>23</v>
      </c>
      <c r="C116" s="57" t="s">
        <v>24</v>
      </c>
      <c r="D116" s="58">
        <v>3997</v>
      </c>
      <c r="E116" s="59" t="s">
        <v>214</v>
      </c>
      <c r="F116" s="60" t="s">
        <v>215</v>
      </c>
      <c r="G116" s="61">
        <v>4000</v>
      </c>
      <c r="H116" s="62" t="s">
        <v>173</v>
      </c>
      <c r="I116" s="62" t="s">
        <v>175</v>
      </c>
      <c r="J116" s="1986" t="s">
        <v>57</v>
      </c>
      <c r="K116" s="72" t="s">
        <v>58</v>
      </c>
      <c r="L116" s="63">
        <v>0.8</v>
      </c>
      <c r="M116" s="416"/>
      <c r="N116" s="415" t="s">
        <v>226</v>
      </c>
      <c r="O116" s="417" t="s">
        <v>227</v>
      </c>
      <c r="P116" s="64">
        <v>84</v>
      </c>
      <c r="Q116" s="65">
        <v>0.04</v>
      </c>
      <c r="R116" s="64"/>
      <c r="S116" s="66">
        <f t="shared" si="3"/>
        <v>0</v>
      </c>
      <c r="T116" s="67">
        <f t="shared" si="4"/>
        <v>0</v>
      </c>
      <c r="U116" s="62" t="s">
        <v>34</v>
      </c>
      <c r="V116" s="430"/>
      <c r="W116" s="62"/>
    </row>
    <row r="117" spans="1:23" ht="23.4" x14ac:dyDescent="0.45">
      <c r="A117" s="1">
        <f t="shared" si="5"/>
        <v>116</v>
      </c>
      <c r="B117" s="57" t="s">
        <v>23</v>
      </c>
      <c r="C117" s="57" t="s">
        <v>24</v>
      </c>
      <c r="D117" s="58">
        <v>3997</v>
      </c>
      <c r="E117" s="59" t="s">
        <v>214</v>
      </c>
      <c r="F117" s="60" t="s">
        <v>215</v>
      </c>
      <c r="G117" s="61">
        <v>4000</v>
      </c>
      <c r="H117" s="62" t="s">
        <v>173</v>
      </c>
      <c r="I117" s="62" t="s">
        <v>175</v>
      </c>
      <c r="J117" s="1986" t="s">
        <v>57</v>
      </c>
      <c r="K117" s="72" t="s">
        <v>58</v>
      </c>
      <c r="L117" s="63">
        <v>0.8</v>
      </c>
      <c r="M117" s="416"/>
      <c r="N117" s="415" t="s">
        <v>228</v>
      </c>
      <c r="O117" s="417" t="s">
        <v>229</v>
      </c>
      <c r="P117" s="64">
        <v>3</v>
      </c>
      <c r="Q117" s="65">
        <v>0.04</v>
      </c>
      <c r="R117" s="64"/>
      <c r="S117" s="66">
        <f t="shared" si="3"/>
        <v>0</v>
      </c>
      <c r="T117" s="67">
        <f t="shared" si="4"/>
        <v>0</v>
      </c>
      <c r="U117" s="62" t="s">
        <v>34</v>
      </c>
      <c r="V117" s="430"/>
      <c r="W117" s="62"/>
    </row>
    <row r="118" spans="1:23" ht="23.4" x14ac:dyDescent="0.45">
      <c r="A118" s="1">
        <f t="shared" si="5"/>
        <v>117</v>
      </c>
      <c r="B118" s="57" t="s">
        <v>23</v>
      </c>
      <c r="C118" s="57" t="s">
        <v>24</v>
      </c>
      <c r="D118" s="58">
        <v>3997</v>
      </c>
      <c r="E118" s="59" t="s">
        <v>214</v>
      </c>
      <c r="F118" s="60" t="s">
        <v>215</v>
      </c>
      <c r="G118" s="61">
        <v>4000</v>
      </c>
      <c r="H118" s="62" t="s">
        <v>173</v>
      </c>
      <c r="I118" s="62" t="s">
        <v>175</v>
      </c>
      <c r="J118" s="1986" t="s">
        <v>57</v>
      </c>
      <c r="K118" s="72" t="s">
        <v>58</v>
      </c>
      <c r="L118" s="63">
        <v>0.8</v>
      </c>
      <c r="M118" s="416"/>
      <c r="N118" s="415" t="s">
        <v>230</v>
      </c>
      <c r="O118" s="417" t="s">
        <v>231</v>
      </c>
      <c r="P118" s="64">
        <v>3</v>
      </c>
      <c r="Q118" s="65">
        <v>0.04</v>
      </c>
      <c r="R118" s="64"/>
      <c r="S118" s="66">
        <f t="shared" si="3"/>
        <v>0</v>
      </c>
      <c r="T118" s="67">
        <f t="shared" si="4"/>
        <v>0</v>
      </c>
      <c r="U118" s="62" t="s">
        <v>34</v>
      </c>
      <c r="V118" s="430"/>
      <c r="W118" s="62"/>
    </row>
    <row r="119" spans="1:23" ht="23.4" x14ac:dyDescent="0.45">
      <c r="A119" s="1">
        <f t="shared" si="5"/>
        <v>118</v>
      </c>
      <c r="B119" s="57" t="s">
        <v>23</v>
      </c>
      <c r="C119" s="57" t="s">
        <v>24</v>
      </c>
      <c r="D119" s="58">
        <v>3997</v>
      </c>
      <c r="E119" s="59" t="s">
        <v>214</v>
      </c>
      <c r="F119" s="60" t="s">
        <v>215</v>
      </c>
      <c r="G119" s="61">
        <v>4000</v>
      </c>
      <c r="H119" s="62" t="s">
        <v>173</v>
      </c>
      <c r="I119" s="62" t="s">
        <v>175</v>
      </c>
      <c r="J119" s="1986" t="s">
        <v>57</v>
      </c>
      <c r="K119" s="72" t="s">
        <v>58</v>
      </c>
      <c r="L119" s="63">
        <v>0.8</v>
      </c>
      <c r="M119" s="416"/>
      <c r="N119" s="415" t="s">
        <v>232</v>
      </c>
      <c r="O119" s="417" t="s">
        <v>233</v>
      </c>
      <c r="P119" s="64">
        <v>3</v>
      </c>
      <c r="Q119" s="65">
        <v>0.06</v>
      </c>
      <c r="R119" s="64"/>
      <c r="S119" s="66">
        <f t="shared" si="3"/>
        <v>0</v>
      </c>
      <c r="T119" s="67">
        <f t="shared" si="4"/>
        <v>0</v>
      </c>
      <c r="U119" s="62" t="s">
        <v>34</v>
      </c>
      <c r="V119" s="430"/>
      <c r="W119" s="62"/>
    </row>
    <row r="120" spans="1:23" ht="23.4" x14ac:dyDescent="0.45">
      <c r="A120" s="1">
        <f t="shared" si="5"/>
        <v>119</v>
      </c>
      <c r="B120" s="57" t="s">
        <v>23</v>
      </c>
      <c r="C120" s="57" t="s">
        <v>24</v>
      </c>
      <c r="D120" s="58">
        <v>3997</v>
      </c>
      <c r="E120" s="59" t="s">
        <v>214</v>
      </c>
      <c r="F120" s="60" t="s">
        <v>215</v>
      </c>
      <c r="G120" s="61">
        <v>4000</v>
      </c>
      <c r="H120" s="62" t="s">
        <v>173</v>
      </c>
      <c r="I120" s="62" t="s">
        <v>175</v>
      </c>
      <c r="J120" s="1986" t="s">
        <v>57</v>
      </c>
      <c r="K120" s="72" t="s">
        <v>58</v>
      </c>
      <c r="L120" s="63">
        <v>0.8</v>
      </c>
      <c r="M120" s="416"/>
      <c r="N120" s="415" t="s">
        <v>234</v>
      </c>
      <c r="O120" s="417" t="s">
        <v>235</v>
      </c>
      <c r="P120" s="64">
        <f>6*3</f>
        <v>18</v>
      </c>
      <c r="Q120" s="65">
        <v>0.06</v>
      </c>
      <c r="R120" s="64"/>
      <c r="S120" s="66">
        <f t="shared" si="3"/>
        <v>0</v>
      </c>
      <c r="T120" s="67">
        <f t="shared" si="4"/>
        <v>0</v>
      </c>
      <c r="U120" s="62" t="s">
        <v>34</v>
      </c>
      <c r="V120" s="430"/>
      <c r="W120" s="62"/>
    </row>
    <row r="121" spans="1:23" ht="23.4" x14ac:dyDescent="0.45">
      <c r="A121" s="1">
        <f t="shared" si="5"/>
        <v>120</v>
      </c>
      <c r="B121" s="57" t="s">
        <v>23</v>
      </c>
      <c r="C121" s="57" t="s">
        <v>24</v>
      </c>
      <c r="D121" s="58">
        <v>3997</v>
      </c>
      <c r="E121" s="59" t="s">
        <v>214</v>
      </c>
      <c r="F121" s="60" t="s">
        <v>215</v>
      </c>
      <c r="G121" s="61">
        <v>4000</v>
      </c>
      <c r="H121" s="62" t="s">
        <v>173</v>
      </c>
      <c r="I121" s="62" t="s">
        <v>175</v>
      </c>
      <c r="J121" s="1986" t="s">
        <v>57</v>
      </c>
      <c r="K121" s="72" t="s">
        <v>58</v>
      </c>
      <c r="L121" s="63">
        <v>0.8</v>
      </c>
      <c r="M121" s="416"/>
      <c r="N121" s="415" t="s">
        <v>236</v>
      </c>
      <c r="O121" s="417" t="s">
        <v>237</v>
      </c>
      <c r="P121" s="64">
        <v>3</v>
      </c>
      <c r="Q121" s="65">
        <v>0.06</v>
      </c>
      <c r="R121" s="64"/>
      <c r="S121" s="66">
        <f t="shared" si="3"/>
        <v>0</v>
      </c>
      <c r="T121" s="67">
        <f t="shared" si="4"/>
        <v>0</v>
      </c>
      <c r="U121" s="62" t="s">
        <v>34</v>
      </c>
      <c r="V121" s="430"/>
      <c r="W121" s="62"/>
    </row>
    <row r="122" spans="1:23" ht="23.4" x14ac:dyDescent="0.45">
      <c r="A122" s="1">
        <f t="shared" si="5"/>
        <v>121</v>
      </c>
      <c r="B122" s="57" t="s">
        <v>23</v>
      </c>
      <c r="C122" s="57" t="s">
        <v>24</v>
      </c>
      <c r="D122" s="58">
        <v>3997</v>
      </c>
      <c r="E122" s="59" t="s">
        <v>214</v>
      </c>
      <c r="F122" s="60" t="s">
        <v>215</v>
      </c>
      <c r="G122" s="61">
        <v>4000</v>
      </c>
      <c r="H122" s="62" t="s">
        <v>173</v>
      </c>
      <c r="I122" s="62" t="s">
        <v>175</v>
      </c>
      <c r="J122" s="1986" t="s">
        <v>57</v>
      </c>
      <c r="K122" s="72" t="s">
        <v>58</v>
      </c>
      <c r="L122" s="63">
        <v>0.8</v>
      </c>
      <c r="M122" s="416"/>
      <c r="N122" s="415" t="s">
        <v>238</v>
      </c>
      <c r="O122" s="417" t="s">
        <v>239</v>
      </c>
      <c r="P122" s="62">
        <v>1</v>
      </c>
      <c r="Q122" s="65">
        <v>0.06</v>
      </c>
      <c r="R122" s="62"/>
      <c r="S122" s="66">
        <f t="shared" si="3"/>
        <v>0</v>
      </c>
      <c r="T122" s="67">
        <f t="shared" si="4"/>
        <v>0</v>
      </c>
      <c r="U122" s="62" t="s">
        <v>34</v>
      </c>
      <c r="V122" s="430"/>
      <c r="W122" s="62"/>
    </row>
    <row r="123" spans="1:23" ht="23.4" x14ac:dyDescent="0.45">
      <c r="A123" s="1">
        <f t="shared" si="5"/>
        <v>122</v>
      </c>
      <c r="B123" s="57" t="s">
        <v>23</v>
      </c>
      <c r="C123" s="57" t="s">
        <v>24</v>
      </c>
      <c r="D123" s="58">
        <v>3997</v>
      </c>
      <c r="E123" s="59" t="s">
        <v>214</v>
      </c>
      <c r="F123" s="60" t="s">
        <v>215</v>
      </c>
      <c r="G123" s="61">
        <v>4000</v>
      </c>
      <c r="H123" s="62" t="s">
        <v>173</v>
      </c>
      <c r="I123" s="62" t="s">
        <v>175</v>
      </c>
      <c r="J123" s="1986" t="s">
        <v>57</v>
      </c>
      <c r="K123" s="72" t="s">
        <v>58</v>
      </c>
      <c r="L123" s="63">
        <v>0.8</v>
      </c>
      <c r="M123" s="416"/>
      <c r="N123" s="415" t="s">
        <v>240</v>
      </c>
      <c r="O123" s="417" t="s">
        <v>241</v>
      </c>
      <c r="P123" s="64">
        <v>3</v>
      </c>
      <c r="Q123" s="65">
        <v>0.08</v>
      </c>
      <c r="R123" s="64"/>
      <c r="S123" s="66">
        <f t="shared" si="3"/>
        <v>0</v>
      </c>
      <c r="T123" s="67">
        <f t="shared" si="4"/>
        <v>0</v>
      </c>
      <c r="U123" s="62" t="s">
        <v>34</v>
      </c>
      <c r="V123" s="430"/>
      <c r="W123" s="62"/>
    </row>
    <row r="124" spans="1:23" ht="23.4" x14ac:dyDescent="0.45">
      <c r="A124" s="1">
        <f t="shared" si="5"/>
        <v>123</v>
      </c>
      <c r="B124" s="57" t="s">
        <v>23</v>
      </c>
      <c r="C124" s="57" t="s">
        <v>24</v>
      </c>
      <c r="D124" s="58">
        <v>3997</v>
      </c>
      <c r="E124" s="59" t="s">
        <v>214</v>
      </c>
      <c r="F124" s="60" t="s">
        <v>215</v>
      </c>
      <c r="G124" s="61">
        <v>4000</v>
      </c>
      <c r="H124" s="62" t="s">
        <v>173</v>
      </c>
      <c r="I124" s="62" t="s">
        <v>175</v>
      </c>
      <c r="J124" s="1986" t="s">
        <v>57</v>
      </c>
      <c r="K124" s="72" t="s">
        <v>58</v>
      </c>
      <c r="L124" s="63">
        <v>0.8</v>
      </c>
      <c r="M124" s="416"/>
      <c r="N124" s="415" t="s">
        <v>242</v>
      </c>
      <c r="O124" s="417" t="s">
        <v>243</v>
      </c>
      <c r="P124" s="64">
        <v>4</v>
      </c>
      <c r="Q124" s="65">
        <v>0.04</v>
      </c>
      <c r="R124" s="64"/>
      <c r="S124" s="66">
        <f t="shared" si="3"/>
        <v>0</v>
      </c>
      <c r="T124" s="67">
        <f t="shared" si="4"/>
        <v>0</v>
      </c>
      <c r="U124" s="62" t="s">
        <v>34</v>
      </c>
      <c r="V124" s="430"/>
      <c r="W124" s="62"/>
    </row>
    <row r="125" spans="1:23" ht="23.4" x14ac:dyDescent="0.45">
      <c r="A125" s="1">
        <f t="shared" si="5"/>
        <v>124</v>
      </c>
      <c r="B125" s="57" t="s">
        <v>23</v>
      </c>
      <c r="C125" s="57" t="s">
        <v>24</v>
      </c>
      <c r="D125" s="58">
        <v>3997</v>
      </c>
      <c r="E125" s="59" t="s">
        <v>214</v>
      </c>
      <c r="F125" s="60" t="s">
        <v>215</v>
      </c>
      <c r="G125" s="61">
        <v>4000</v>
      </c>
      <c r="H125" s="62" t="s">
        <v>173</v>
      </c>
      <c r="I125" s="62" t="s">
        <v>175</v>
      </c>
      <c r="J125" s="1986" t="s">
        <v>57</v>
      </c>
      <c r="K125" s="72" t="s">
        <v>58</v>
      </c>
      <c r="L125" s="63">
        <v>0.8</v>
      </c>
      <c r="M125" s="416"/>
      <c r="N125" s="415" t="s">
        <v>244</v>
      </c>
      <c r="O125" s="417" t="s">
        <v>245</v>
      </c>
      <c r="P125" s="62">
        <v>1</v>
      </c>
      <c r="Q125" s="65">
        <v>0.04</v>
      </c>
      <c r="R125" s="62"/>
      <c r="S125" s="66">
        <f t="shared" si="3"/>
        <v>0</v>
      </c>
      <c r="T125" s="67">
        <f t="shared" si="4"/>
        <v>0</v>
      </c>
      <c r="U125" s="62" t="s">
        <v>34</v>
      </c>
      <c r="V125" s="430"/>
      <c r="W125" s="62"/>
    </row>
    <row r="126" spans="1:23" ht="23.4" x14ac:dyDescent="0.45">
      <c r="A126" s="1">
        <f t="shared" si="5"/>
        <v>125</v>
      </c>
      <c r="B126" s="57" t="s">
        <v>23</v>
      </c>
      <c r="C126" s="57" t="s">
        <v>24</v>
      </c>
      <c r="D126" s="58">
        <v>3997</v>
      </c>
      <c r="E126" s="59" t="s">
        <v>214</v>
      </c>
      <c r="F126" s="60" t="s">
        <v>215</v>
      </c>
      <c r="G126" s="61">
        <v>4000</v>
      </c>
      <c r="H126" s="62" t="s">
        <v>173</v>
      </c>
      <c r="I126" s="62" t="s">
        <v>175</v>
      </c>
      <c r="J126" s="1986" t="s">
        <v>57</v>
      </c>
      <c r="K126" s="72" t="s">
        <v>58</v>
      </c>
      <c r="L126" s="63">
        <v>0.8</v>
      </c>
      <c r="M126" s="416"/>
      <c r="N126" s="415" t="s">
        <v>246</v>
      </c>
      <c r="O126" s="417" t="s">
        <v>247</v>
      </c>
      <c r="P126" s="62">
        <v>1</v>
      </c>
      <c r="Q126" s="65">
        <v>0.03</v>
      </c>
      <c r="R126" s="62"/>
      <c r="S126" s="66">
        <f t="shared" si="3"/>
        <v>0</v>
      </c>
      <c r="T126" s="67">
        <f t="shared" si="4"/>
        <v>0</v>
      </c>
      <c r="U126" s="62" t="s">
        <v>34</v>
      </c>
      <c r="V126" s="430"/>
      <c r="W126" s="62"/>
    </row>
    <row r="127" spans="1:23" ht="23.4" x14ac:dyDescent="0.5">
      <c r="A127" s="1">
        <f t="shared" si="5"/>
        <v>126</v>
      </c>
      <c r="B127" s="15" t="s">
        <v>23</v>
      </c>
      <c r="C127" s="15" t="s">
        <v>24</v>
      </c>
      <c r="D127" s="68">
        <v>3997</v>
      </c>
      <c r="E127" s="15" t="s">
        <v>214</v>
      </c>
      <c r="F127" s="69" t="s">
        <v>215</v>
      </c>
      <c r="G127" s="70">
        <v>4000</v>
      </c>
      <c r="H127" s="71" t="s">
        <v>173</v>
      </c>
      <c r="I127" s="71" t="s">
        <v>175</v>
      </c>
      <c r="J127" s="1986" t="s">
        <v>110</v>
      </c>
      <c r="K127" s="72" t="s">
        <v>111</v>
      </c>
      <c r="L127" s="21">
        <v>0.2</v>
      </c>
      <c r="M127" s="325"/>
      <c r="N127" s="71" t="s">
        <v>248</v>
      </c>
      <c r="O127" s="71" t="s">
        <v>249</v>
      </c>
      <c r="P127" s="77">
        <v>58</v>
      </c>
      <c r="Q127" s="75">
        <v>0.2</v>
      </c>
      <c r="R127" s="77"/>
      <c r="S127" s="76">
        <f t="shared" si="3"/>
        <v>0</v>
      </c>
      <c r="T127" s="77">
        <f t="shared" si="4"/>
        <v>0</v>
      </c>
      <c r="U127" s="71" t="s">
        <v>34</v>
      </c>
      <c r="V127" s="71"/>
      <c r="W127" s="71"/>
    </row>
    <row r="128" spans="1:23" ht="23.4" x14ac:dyDescent="0.5">
      <c r="A128" s="1">
        <f t="shared" si="5"/>
        <v>127</v>
      </c>
      <c r="B128" s="15" t="s">
        <v>23</v>
      </c>
      <c r="C128" s="15" t="s">
        <v>24</v>
      </c>
      <c r="D128" s="68">
        <v>3997</v>
      </c>
      <c r="E128" s="15" t="s">
        <v>214</v>
      </c>
      <c r="F128" s="69" t="s">
        <v>215</v>
      </c>
      <c r="G128" s="70">
        <v>4000</v>
      </c>
      <c r="H128" s="71" t="s">
        <v>173</v>
      </c>
      <c r="I128" s="71" t="s">
        <v>175</v>
      </c>
      <c r="J128" s="1986" t="s">
        <v>110</v>
      </c>
      <c r="K128" s="72" t="s">
        <v>111</v>
      </c>
      <c r="L128" s="21">
        <v>0.2</v>
      </c>
      <c r="M128" s="325"/>
      <c r="N128" s="71" t="s">
        <v>250</v>
      </c>
      <c r="O128" s="71"/>
      <c r="P128" s="74">
        <v>1</v>
      </c>
      <c r="Q128" s="75">
        <v>0.2</v>
      </c>
      <c r="R128" s="74"/>
      <c r="S128" s="76">
        <f t="shared" si="3"/>
        <v>0</v>
      </c>
      <c r="T128" s="77">
        <f t="shared" si="4"/>
        <v>0</v>
      </c>
      <c r="U128" s="71" t="s">
        <v>34</v>
      </c>
      <c r="V128" s="71"/>
      <c r="W128" s="71"/>
    </row>
    <row r="129" spans="1:23" ht="23.4" x14ac:dyDescent="0.5">
      <c r="A129" s="1">
        <f t="shared" si="5"/>
        <v>128</v>
      </c>
      <c r="B129" s="15" t="s">
        <v>23</v>
      </c>
      <c r="C129" s="15" t="s">
        <v>24</v>
      </c>
      <c r="D129" s="68">
        <v>3997</v>
      </c>
      <c r="E129" s="15" t="s">
        <v>214</v>
      </c>
      <c r="F129" s="69" t="s">
        <v>215</v>
      </c>
      <c r="G129" s="70">
        <v>4000</v>
      </c>
      <c r="H129" s="71" t="s">
        <v>173</v>
      </c>
      <c r="I129" s="71" t="s">
        <v>175</v>
      </c>
      <c r="J129" s="1986" t="s">
        <v>110</v>
      </c>
      <c r="K129" s="72" t="s">
        <v>111</v>
      </c>
      <c r="L129" s="21">
        <v>0.2</v>
      </c>
      <c r="M129" s="325"/>
      <c r="N129" s="71" t="s">
        <v>251</v>
      </c>
      <c r="O129" s="71"/>
      <c r="P129" s="74">
        <v>1</v>
      </c>
      <c r="Q129" s="75">
        <v>0.15</v>
      </c>
      <c r="R129" s="74"/>
      <c r="S129" s="76">
        <f t="shared" si="3"/>
        <v>0</v>
      </c>
      <c r="T129" s="77">
        <f t="shared" si="4"/>
        <v>0</v>
      </c>
      <c r="U129" s="71" t="s">
        <v>34</v>
      </c>
      <c r="V129" s="71"/>
      <c r="W129" s="71"/>
    </row>
    <row r="130" spans="1:23" ht="23.4" x14ac:dyDescent="0.5">
      <c r="A130" s="1">
        <f t="shared" si="5"/>
        <v>129</v>
      </c>
      <c r="B130" s="15" t="s">
        <v>23</v>
      </c>
      <c r="C130" s="15" t="s">
        <v>24</v>
      </c>
      <c r="D130" s="68">
        <v>3997</v>
      </c>
      <c r="E130" s="15" t="s">
        <v>214</v>
      </c>
      <c r="F130" s="69" t="s">
        <v>215</v>
      </c>
      <c r="G130" s="70">
        <v>4000</v>
      </c>
      <c r="H130" s="71" t="s">
        <v>173</v>
      </c>
      <c r="I130" s="71" t="s">
        <v>175</v>
      </c>
      <c r="J130" s="1986" t="s">
        <v>110</v>
      </c>
      <c r="K130" s="72" t="s">
        <v>111</v>
      </c>
      <c r="L130" s="21">
        <v>0.2</v>
      </c>
      <c r="M130" s="325"/>
      <c r="N130" s="71" t="s">
        <v>252</v>
      </c>
      <c r="O130" s="71"/>
      <c r="P130" s="74">
        <v>1</v>
      </c>
      <c r="Q130" s="75">
        <v>0.15</v>
      </c>
      <c r="R130" s="74"/>
      <c r="S130" s="76">
        <f t="shared" ref="S130:S193" si="6">ROUND(IF(OR(P130="",R130=""),0,IF(AND(P130=0,R130=0),1,IF(U130="+",R130/P130,P130/R130))),2)</f>
        <v>0</v>
      </c>
      <c r="T130" s="77">
        <f t="shared" ref="T130:T193" si="7">IF(AND(S130&gt;=60%,S130&lt;100%),S130*((Q130*L130)),IF(S130=100%,((Q130*L130)*S130)*100%,IF(S130&gt;100%,((L130*Q130)*100%)*100%,0)))*100</f>
        <v>0</v>
      </c>
      <c r="U130" s="71" t="s">
        <v>34</v>
      </c>
      <c r="V130" s="71"/>
      <c r="W130" s="71"/>
    </row>
    <row r="131" spans="1:23" ht="23.4" x14ac:dyDescent="0.5">
      <c r="A131" s="1">
        <f t="shared" si="5"/>
        <v>130</v>
      </c>
      <c r="B131" s="15" t="s">
        <v>23</v>
      </c>
      <c r="C131" s="15" t="s">
        <v>24</v>
      </c>
      <c r="D131" s="68">
        <v>3997</v>
      </c>
      <c r="E131" s="15" t="s">
        <v>214</v>
      </c>
      <c r="F131" s="69" t="s">
        <v>215</v>
      </c>
      <c r="G131" s="70">
        <v>4000</v>
      </c>
      <c r="H131" s="71" t="s">
        <v>173</v>
      </c>
      <c r="I131" s="71" t="s">
        <v>175</v>
      </c>
      <c r="J131" s="1986" t="s">
        <v>110</v>
      </c>
      <c r="K131" s="72" t="s">
        <v>111</v>
      </c>
      <c r="L131" s="21">
        <v>0.2</v>
      </c>
      <c r="M131" s="325"/>
      <c r="N131" s="71" t="s">
        <v>253</v>
      </c>
      <c r="O131" s="71"/>
      <c r="P131" s="74">
        <v>1</v>
      </c>
      <c r="Q131" s="75">
        <v>0.15</v>
      </c>
      <c r="R131" s="74"/>
      <c r="S131" s="76">
        <f t="shared" si="6"/>
        <v>0</v>
      </c>
      <c r="T131" s="77">
        <f t="shared" si="7"/>
        <v>0</v>
      </c>
      <c r="U131" s="71" t="s">
        <v>34</v>
      </c>
      <c r="V131" s="71"/>
      <c r="W131" s="71"/>
    </row>
    <row r="132" spans="1:23" ht="23.4" x14ac:dyDescent="0.5">
      <c r="A132" s="1">
        <f t="shared" ref="A132:A195" si="8">ROW()-1</f>
        <v>131</v>
      </c>
      <c r="B132" s="15" t="s">
        <v>23</v>
      </c>
      <c r="C132" s="15" t="s">
        <v>24</v>
      </c>
      <c r="D132" s="68">
        <v>3997</v>
      </c>
      <c r="E132" s="15" t="s">
        <v>214</v>
      </c>
      <c r="F132" s="69" t="s">
        <v>215</v>
      </c>
      <c r="G132" s="70">
        <v>4000</v>
      </c>
      <c r="H132" s="71" t="s">
        <v>173</v>
      </c>
      <c r="I132" s="71" t="s">
        <v>175</v>
      </c>
      <c r="J132" s="1986" t="s">
        <v>110</v>
      </c>
      <c r="K132" s="72" t="s">
        <v>111</v>
      </c>
      <c r="L132" s="21">
        <v>0.2</v>
      </c>
      <c r="M132" s="325"/>
      <c r="N132" s="71" t="s">
        <v>254</v>
      </c>
      <c r="O132" s="71"/>
      <c r="P132" s="74">
        <v>1</v>
      </c>
      <c r="Q132" s="75">
        <v>0.1</v>
      </c>
      <c r="R132" s="74"/>
      <c r="S132" s="76">
        <f t="shared" si="6"/>
        <v>0</v>
      </c>
      <c r="T132" s="77">
        <f t="shared" si="7"/>
        <v>0</v>
      </c>
      <c r="U132" s="71" t="s">
        <v>34</v>
      </c>
      <c r="V132" s="71"/>
      <c r="W132" s="71"/>
    </row>
    <row r="133" spans="1:23" ht="23.4" x14ac:dyDescent="0.5">
      <c r="A133" s="1">
        <f t="shared" si="8"/>
        <v>132</v>
      </c>
      <c r="B133" s="15" t="s">
        <v>23</v>
      </c>
      <c r="C133" s="15" t="s">
        <v>24</v>
      </c>
      <c r="D133" s="68">
        <v>3997</v>
      </c>
      <c r="E133" s="15" t="s">
        <v>214</v>
      </c>
      <c r="F133" s="69" t="s">
        <v>215</v>
      </c>
      <c r="G133" s="70">
        <v>4000</v>
      </c>
      <c r="H133" s="71" t="s">
        <v>173</v>
      </c>
      <c r="I133" s="71" t="s">
        <v>175</v>
      </c>
      <c r="J133" s="1986" t="s">
        <v>110</v>
      </c>
      <c r="K133" s="72" t="s">
        <v>111</v>
      </c>
      <c r="L133" s="21">
        <v>0.2</v>
      </c>
      <c r="M133" s="325"/>
      <c r="N133" s="71" t="s">
        <v>255</v>
      </c>
      <c r="O133" s="71"/>
      <c r="P133" s="74">
        <v>1</v>
      </c>
      <c r="Q133" s="75">
        <v>0.05</v>
      </c>
      <c r="R133" s="74"/>
      <c r="S133" s="76">
        <f t="shared" si="6"/>
        <v>0</v>
      </c>
      <c r="T133" s="77">
        <f t="shared" si="7"/>
        <v>0</v>
      </c>
      <c r="U133" s="71" t="s">
        <v>34</v>
      </c>
      <c r="V133" s="71"/>
      <c r="W133" s="71"/>
    </row>
    <row r="134" spans="1:23" ht="23.4" x14ac:dyDescent="0.45">
      <c r="A134" s="1">
        <f t="shared" si="8"/>
        <v>133</v>
      </c>
      <c r="B134" s="2" t="s">
        <v>23</v>
      </c>
      <c r="C134" s="2" t="s">
        <v>24</v>
      </c>
      <c r="D134" s="49">
        <v>4013</v>
      </c>
      <c r="E134" s="2" t="s">
        <v>256</v>
      </c>
      <c r="F134" s="50" t="s">
        <v>257</v>
      </c>
      <c r="G134" s="51">
        <v>4000</v>
      </c>
      <c r="H134" s="14" t="s">
        <v>173</v>
      </c>
      <c r="I134" s="14" t="s">
        <v>175</v>
      </c>
      <c r="J134" s="1988" t="s">
        <v>57</v>
      </c>
      <c r="K134" s="90" t="s">
        <v>58</v>
      </c>
      <c r="L134" s="53">
        <v>0.8</v>
      </c>
      <c r="M134" s="91"/>
      <c r="N134" s="91" t="s">
        <v>258</v>
      </c>
      <c r="O134" s="3" t="s">
        <v>259</v>
      </c>
      <c r="P134" s="14">
        <v>1</v>
      </c>
      <c r="Q134" s="56">
        <v>0.1</v>
      </c>
      <c r="R134" s="14"/>
      <c r="S134" s="14">
        <f t="shared" si="6"/>
        <v>0</v>
      </c>
      <c r="T134" s="51">
        <f t="shared" si="7"/>
        <v>0</v>
      </c>
      <c r="U134" s="14" t="s">
        <v>34</v>
      </c>
      <c r="V134" s="1955">
        <f>SUM(T134:T154)%</f>
        <v>0</v>
      </c>
      <c r="W134" s="14"/>
    </row>
    <row r="135" spans="1:23" ht="23.4" x14ac:dyDescent="0.45">
      <c r="A135" s="1">
        <f t="shared" si="8"/>
        <v>134</v>
      </c>
      <c r="B135" s="59" t="s">
        <v>23</v>
      </c>
      <c r="C135" s="57" t="s">
        <v>24</v>
      </c>
      <c r="D135" s="92">
        <v>4013</v>
      </c>
      <c r="E135" s="59" t="s">
        <v>256</v>
      </c>
      <c r="F135" s="60" t="s">
        <v>257</v>
      </c>
      <c r="G135" s="61">
        <v>4000</v>
      </c>
      <c r="H135" s="62" t="s">
        <v>173</v>
      </c>
      <c r="I135" s="62" t="s">
        <v>175</v>
      </c>
      <c r="J135" s="1986" t="s">
        <v>57</v>
      </c>
      <c r="K135" s="72" t="s">
        <v>58</v>
      </c>
      <c r="L135" s="63">
        <v>0.8</v>
      </c>
      <c r="M135" s="416"/>
      <c r="N135" s="415" t="s">
        <v>260</v>
      </c>
      <c r="O135" s="417" t="s">
        <v>261</v>
      </c>
      <c r="P135" s="62">
        <v>1</v>
      </c>
      <c r="Q135" s="65">
        <v>7.0000000000000007E-2</v>
      </c>
      <c r="R135" s="62"/>
      <c r="S135" s="66">
        <f t="shared" si="6"/>
        <v>0</v>
      </c>
      <c r="T135" s="67">
        <f t="shared" si="7"/>
        <v>0</v>
      </c>
      <c r="U135" s="62" t="s">
        <v>34</v>
      </c>
      <c r="V135" s="430"/>
      <c r="W135" s="62"/>
    </row>
    <row r="136" spans="1:23" ht="23.4" x14ac:dyDescent="0.45">
      <c r="A136" s="1">
        <f t="shared" si="8"/>
        <v>135</v>
      </c>
      <c r="B136" s="59" t="s">
        <v>23</v>
      </c>
      <c r="C136" s="57" t="s">
        <v>24</v>
      </c>
      <c r="D136" s="92">
        <v>4013</v>
      </c>
      <c r="E136" s="59" t="s">
        <v>256</v>
      </c>
      <c r="F136" s="60" t="s">
        <v>257</v>
      </c>
      <c r="G136" s="61">
        <v>4000</v>
      </c>
      <c r="H136" s="62" t="s">
        <v>173</v>
      </c>
      <c r="I136" s="62" t="s">
        <v>175</v>
      </c>
      <c r="J136" s="1986" t="s">
        <v>57</v>
      </c>
      <c r="K136" s="72" t="s">
        <v>58</v>
      </c>
      <c r="L136" s="63">
        <v>0.8</v>
      </c>
      <c r="M136" s="416"/>
      <c r="N136" s="415" t="s">
        <v>262</v>
      </c>
      <c r="O136" s="417" t="s">
        <v>263</v>
      </c>
      <c r="P136" s="62">
        <v>1</v>
      </c>
      <c r="Q136" s="65">
        <v>7.0000000000000007E-2</v>
      </c>
      <c r="R136" s="62"/>
      <c r="S136" s="66">
        <f t="shared" si="6"/>
        <v>0</v>
      </c>
      <c r="T136" s="67">
        <f t="shared" si="7"/>
        <v>0</v>
      </c>
      <c r="U136" s="62" t="s">
        <v>34</v>
      </c>
      <c r="V136" s="430"/>
      <c r="W136" s="62"/>
    </row>
    <row r="137" spans="1:23" ht="23.4" x14ac:dyDescent="0.45">
      <c r="A137" s="1">
        <f t="shared" si="8"/>
        <v>136</v>
      </c>
      <c r="B137" s="59" t="s">
        <v>23</v>
      </c>
      <c r="C137" s="57" t="s">
        <v>24</v>
      </c>
      <c r="D137" s="92">
        <v>4013</v>
      </c>
      <c r="E137" s="59" t="s">
        <v>256</v>
      </c>
      <c r="F137" s="60" t="s">
        <v>257</v>
      </c>
      <c r="G137" s="61">
        <v>4000</v>
      </c>
      <c r="H137" s="62" t="s">
        <v>173</v>
      </c>
      <c r="I137" s="62" t="s">
        <v>175</v>
      </c>
      <c r="J137" s="1986" t="s">
        <v>57</v>
      </c>
      <c r="K137" s="72" t="s">
        <v>58</v>
      </c>
      <c r="L137" s="63">
        <v>0.8</v>
      </c>
      <c r="M137" s="416"/>
      <c r="N137" s="415" t="s">
        <v>264</v>
      </c>
      <c r="O137" s="417" t="s">
        <v>265</v>
      </c>
      <c r="P137" s="62">
        <v>1</v>
      </c>
      <c r="Q137" s="65">
        <v>0.04</v>
      </c>
      <c r="R137" s="62"/>
      <c r="S137" s="66">
        <f t="shared" si="6"/>
        <v>0</v>
      </c>
      <c r="T137" s="67">
        <f t="shared" si="7"/>
        <v>0</v>
      </c>
      <c r="U137" s="62" t="s">
        <v>34</v>
      </c>
      <c r="V137" s="430"/>
      <c r="W137" s="62"/>
    </row>
    <row r="138" spans="1:23" ht="23.4" x14ac:dyDescent="0.45">
      <c r="A138" s="1">
        <f t="shared" si="8"/>
        <v>137</v>
      </c>
      <c r="B138" s="59" t="s">
        <v>23</v>
      </c>
      <c r="C138" s="57" t="s">
        <v>24</v>
      </c>
      <c r="D138" s="92">
        <v>4013</v>
      </c>
      <c r="E138" s="59" t="s">
        <v>256</v>
      </c>
      <c r="F138" s="60" t="s">
        <v>257</v>
      </c>
      <c r="G138" s="61">
        <v>4000</v>
      </c>
      <c r="H138" s="62" t="s">
        <v>173</v>
      </c>
      <c r="I138" s="62" t="s">
        <v>175</v>
      </c>
      <c r="J138" s="1986" t="s">
        <v>57</v>
      </c>
      <c r="K138" s="72" t="s">
        <v>58</v>
      </c>
      <c r="L138" s="63">
        <v>0.8</v>
      </c>
      <c r="M138" s="416"/>
      <c r="N138" s="415" t="s">
        <v>266</v>
      </c>
      <c r="O138" s="417" t="s">
        <v>267</v>
      </c>
      <c r="P138" s="62">
        <v>1</v>
      </c>
      <c r="Q138" s="65">
        <v>0.05</v>
      </c>
      <c r="R138" s="62"/>
      <c r="S138" s="66">
        <f t="shared" si="6"/>
        <v>0</v>
      </c>
      <c r="T138" s="67">
        <f t="shared" si="7"/>
        <v>0</v>
      </c>
      <c r="U138" s="62" t="s">
        <v>34</v>
      </c>
      <c r="V138" s="430"/>
      <c r="W138" s="62"/>
    </row>
    <row r="139" spans="1:23" ht="23.4" x14ac:dyDescent="0.45">
      <c r="A139" s="1">
        <f t="shared" si="8"/>
        <v>138</v>
      </c>
      <c r="B139" s="59" t="s">
        <v>23</v>
      </c>
      <c r="C139" s="57" t="s">
        <v>24</v>
      </c>
      <c r="D139" s="92">
        <v>4013</v>
      </c>
      <c r="E139" s="59" t="s">
        <v>256</v>
      </c>
      <c r="F139" s="60" t="s">
        <v>257</v>
      </c>
      <c r="G139" s="61">
        <v>4000</v>
      </c>
      <c r="H139" s="62" t="s">
        <v>173</v>
      </c>
      <c r="I139" s="62" t="s">
        <v>175</v>
      </c>
      <c r="J139" s="1986" t="s">
        <v>57</v>
      </c>
      <c r="K139" s="72" t="s">
        <v>58</v>
      </c>
      <c r="L139" s="63">
        <v>0.8</v>
      </c>
      <c r="M139" s="416"/>
      <c r="N139" s="415" t="s">
        <v>268</v>
      </c>
      <c r="O139" s="417" t="s">
        <v>269</v>
      </c>
      <c r="P139" s="62">
        <v>1</v>
      </c>
      <c r="Q139" s="65">
        <v>0.08</v>
      </c>
      <c r="R139" s="62"/>
      <c r="S139" s="66">
        <f t="shared" si="6"/>
        <v>0</v>
      </c>
      <c r="T139" s="67">
        <f t="shared" si="7"/>
        <v>0</v>
      </c>
      <c r="U139" s="62" t="s">
        <v>34</v>
      </c>
      <c r="V139" s="430"/>
      <c r="W139" s="62"/>
    </row>
    <row r="140" spans="1:23" ht="23.4" x14ac:dyDescent="0.45">
      <c r="A140" s="1">
        <f t="shared" si="8"/>
        <v>139</v>
      </c>
      <c r="B140" s="59" t="s">
        <v>23</v>
      </c>
      <c r="C140" s="57" t="s">
        <v>24</v>
      </c>
      <c r="D140" s="92">
        <v>4013</v>
      </c>
      <c r="E140" s="59" t="s">
        <v>256</v>
      </c>
      <c r="F140" s="60" t="s">
        <v>257</v>
      </c>
      <c r="G140" s="61">
        <v>4000</v>
      </c>
      <c r="H140" s="62" t="s">
        <v>173</v>
      </c>
      <c r="I140" s="62" t="s">
        <v>175</v>
      </c>
      <c r="J140" s="1986" t="s">
        <v>57</v>
      </c>
      <c r="K140" s="72" t="s">
        <v>58</v>
      </c>
      <c r="L140" s="63">
        <v>0.8</v>
      </c>
      <c r="M140" s="416"/>
      <c r="N140" s="415" t="s">
        <v>270</v>
      </c>
      <c r="O140" s="417" t="s">
        <v>271</v>
      </c>
      <c r="P140" s="64">
        <f>17*3</f>
        <v>51</v>
      </c>
      <c r="Q140" s="65">
        <v>7.0000000000000007E-2</v>
      </c>
      <c r="R140" s="64"/>
      <c r="S140" s="66">
        <f t="shared" si="6"/>
        <v>0</v>
      </c>
      <c r="T140" s="67">
        <f t="shared" si="7"/>
        <v>0</v>
      </c>
      <c r="U140" s="62" t="s">
        <v>34</v>
      </c>
      <c r="V140" s="430"/>
      <c r="W140" s="62"/>
    </row>
    <row r="141" spans="1:23" ht="23.4" x14ac:dyDescent="0.45">
      <c r="A141" s="1">
        <f t="shared" si="8"/>
        <v>140</v>
      </c>
      <c r="B141" s="59" t="s">
        <v>23</v>
      </c>
      <c r="C141" s="57" t="s">
        <v>24</v>
      </c>
      <c r="D141" s="92">
        <v>4013</v>
      </c>
      <c r="E141" s="59" t="s">
        <v>256</v>
      </c>
      <c r="F141" s="60" t="s">
        <v>257</v>
      </c>
      <c r="G141" s="61">
        <v>4000</v>
      </c>
      <c r="H141" s="62" t="s">
        <v>173</v>
      </c>
      <c r="I141" s="62" t="s">
        <v>175</v>
      </c>
      <c r="J141" s="1986" t="s">
        <v>57</v>
      </c>
      <c r="K141" s="72" t="s">
        <v>58</v>
      </c>
      <c r="L141" s="63">
        <v>0.8</v>
      </c>
      <c r="M141" s="416"/>
      <c r="N141" s="415" t="s">
        <v>272</v>
      </c>
      <c r="O141" s="417" t="s">
        <v>273</v>
      </c>
      <c r="P141" s="64">
        <f>17*3</f>
        <v>51</v>
      </c>
      <c r="Q141" s="65">
        <v>7.0000000000000007E-2</v>
      </c>
      <c r="R141" s="64"/>
      <c r="S141" s="66">
        <f t="shared" si="6"/>
        <v>0</v>
      </c>
      <c r="T141" s="67">
        <f t="shared" si="7"/>
        <v>0</v>
      </c>
      <c r="U141" s="62" t="s">
        <v>34</v>
      </c>
      <c r="V141" s="430"/>
      <c r="W141" s="62"/>
    </row>
    <row r="142" spans="1:23" ht="23.4" x14ac:dyDescent="0.45">
      <c r="A142" s="1">
        <f t="shared" si="8"/>
        <v>141</v>
      </c>
      <c r="B142" s="59" t="s">
        <v>23</v>
      </c>
      <c r="C142" s="57" t="s">
        <v>24</v>
      </c>
      <c r="D142" s="92">
        <v>4013</v>
      </c>
      <c r="E142" s="59" t="s">
        <v>256</v>
      </c>
      <c r="F142" s="60" t="s">
        <v>257</v>
      </c>
      <c r="G142" s="61">
        <v>4000</v>
      </c>
      <c r="H142" s="62" t="s">
        <v>173</v>
      </c>
      <c r="I142" s="62" t="s">
        <v>175</v>
      </c>
      <c r="J142" s="1986" t="s">
        <v>57</v>
      </c>
      <c r="K142" s="72" t="s">
        <v>58</v>
      </c>
      <c r="L142" s="63">
        <v>0.8</v>
      </c>
      <c r="M142" s="416"/>
      <c r="N142" s="415" t="s">
        <v>274</v>
      </c>
      <c r="O142" s="417" t="s">
        <v>275</v>
      </c>
      <c r="P142" s="64">
        <f>17*3</f>
        <v>51</v>
      </c>
      <c r="Q142" s="65">
        <v>7.0000000000000007E-2</v>
      </c>
      <c r="R142" s="64"/>
      <c r="S142" s="66">
        <f t="shared" si="6"/>
        <v>0</v>
      </c>
      <c r="T142" s="67">
        <f t="shared" si="7"/>
        <v>0</v>
      </c>
      <c r="U142" s="62" t="s">
        <v>34</v>
      </c>
      <c r="V142" s="430"/>
      <c r="W142" s="62"/>
    </row>
    <row r="143" spans="1:23" ht="23.4" x14ac:dyDescent="0.45">
      <c r="A143" s="1">
        <f t="shared" si="8"/>
        <v>142</v>
      </c>
      <c r="B143" s="59" t="s">
        <v>23</v>
      </c>
      <c r="C143" s="57" t="s">
        <v>24</v>
      </c>
      <c r="D143" s="92">
        <v>4013</v>
      </c>
      <c r="E143" s="59" t="s">
        <v>256</v>
      </c>
      <c r="F143" s="60" t="s">
        <v>257</v>
      </c>
      <c r="G143" s="61">
        <v>4000</v>
      </c>
      <c r="H143" s="62" t="s">
        <v>173</v>
      </c>
      <c r="I143" s="62" t="s">
        <v>175</v>
      </c>
      <c r="J143" s="1986" t="s">
        <v>57</v>
      </c>
      <c r="K143" s="72" t="s">
        <v>58</v>
      </c>
      <c r="L143" s="63">
        <v>0.8</v>
      </c>
      <c r="M143" s="416"/>
      <c r="N143" s="415" t="s">
        <v>276</v>
      </c>
      <c r="O143" s="417" t="s">
        <v>277</v>
      </c>
      <c r="P143" s="62">
        <v>1</v>
      </c>
      <c r="Q143" s="65">
        <v>0.05</v>
      </c>
      <c r="R143" s="62"/>
      <c r="S143" s="66">
        <f t="shared" si="6"/>
        <v>0</v>
      </c>
      <c r="T143" s="67">
        <f t="shared" si="7"/>
        <v>0</v>
      </c>
      <c r="U143" s="62" t="s">
        <v>34</v>
      </c>
      <c r="V143" s="430"/>
      <c r="W143" s="62"/>
    </row>
    <row r="144" spans="1:23" ht="23.4" x14ac:dyDescent="0.45">
      <c r="A144" s="1">
        <f t="shared" si="8"/>
        <v>143</v>
      </c>
      <c r="B144" s="59" t="s">
        <v>23</v>
      </c>
      <c r="C144" s="57" t="s">
        <v>24</v>
      </c>
      <c r="D144" s="92">
        <v>4013</v>
      </c>
      <c r="E144" s="59" t="s">
        <v>256</v>
      </c>
      <c r="F144" s="60" t="s">
        <v>257</v>
      </c>
      <c r="G144" s="61">
        <v>4000</v>
      </c>
      <c r="H144" s="62" t="s">
        <v>173</v>
      </c>
      <c r="I144" s="62" t="s">
        <v>175</v>
      </c>
      <c r="J144" s="1986" t="s">
        <v>57</v>
      </c>
      <c r="K144" s="72" t="s">
        <v>58</v>
      </c>
      <c r="L144" s="63">
        <v>0.8</v>
      </c>
      <c r="M144" s="416"/>
      <c r="N144" s="415" t="s">
        <v>278</v>
      </c>
      <c r="O144" s="417" t="s">
        <v>279</v>
      </c>
      <c r="P144" s="62">
        <v>1</v>
      </c>
      <c r="Q144" s="65">
        <v>0.05</v>
      </c>
      <c r="R144" s="62"/>
      <c r="S144" s="66">
        <f t="shared" si="6"/>
        <v>0</v>
      </c>
      <c r="T144" s="67">
        <f t="shared" si="7"/>
        <v>0</v>
      </c>
      <c r="U144" s="62" t="s">
        <v>34</v>
      </c>
      <c r="V144" s="430"/>
      <c r="W144" s="62"/>
    </row>
    <row r="145" spans="1:23" ht="23.4" x14ac:dyDescent="0.45">
      <c r="A145" s="1">
        <f t="shared" si="8"/>
        <v>144</v>
      </c>
      <c r="B145" s="59" t="s">
        <v>23</v>
      </c>
      <c r="C145" s="57" t="s">
        <v>24</v>
      </c>
      <c r="D145" s="92">
        <v>4013</v>
      </c>
      <c r="E145" s="59" t="s">
        <v>256</v>
      </c>
      <c r="F145" s="60" t="s">
        <v>257</v>
      </c>
      <c r="G145" s="61">
        <v>4000</v>
      </c>
      <c r="H145" s="62" t="s">
        <v>173</v>
      </c>
      <c r="I145" s="62" t="s">
        <v>175</v>
      </c>
      <c r="J145" s="1986" t="s">
        <v>57</v>
      </c>
      <c r="K145" s="72" t="s">
        <v>58</v>
      </c>
      <c r="L145" s="63">
        <v>0.8</v>
      </c>
      <c r="M145" s="416"/>
      <c r="N145" s="415" t="s">
        <v>280</v>
      </c>
      <c r="O145" s="417" t="s">
        <v>281</v>
      </c>
      <c r="P145" s="62">
        <v>1</v>
      </c>
      <c r="Q145" s="65">
        <v>0.05</v>
      </c>
      <c r="R145" s="62"/>
      <c r="S145" s="66">
        <f t="shared" si="6"/>
        <v>0</v>
      </c>
      <c r="T145" s="67">
        <f t="shared" si="7"/>
        <v>0</v>
      </c>
      <c r="U145" s="62" t="s">
        <v>34</v>
      </c>
      <c r="V145" s="430"/>
      <c r="W145" s="62"/>
    </row>
    <row r="146" spans="1:23" ht="23.4" x14ac:dyDescent="0.45">
      <c r="A146" s="1">
        <f t="shared" si="8"/>
        <v>145</v>
      </c>
      <c r="B146" s="59" t="s">
        <v>23</v>
      </c>
      <c r="C146" s="57" t="s">
        <v>24</v>
      </c>
      <c r="D146" s="92">
        <v>4013</v>
      </c>
      <c r="E146" s="59" t="s">
        <v>256</v>
      </c>
      <c r="F146" s="60" t="s">
        <v>257</v>
      </c>
      <c r="G146" s="61">
        <v>4000</v>
      </c>
      <c r="H146" s="62" t="s">
        <v>173</v>
      </c>
      <c r="I146" s="62" t="s">
        <v>175</v>
      </c>
      <c r="J146" s="1986" t="s">
        <v>57</v>
      </c>
      <c r="K146" s="72" t="s">
        <v>58</v>
      </c>
      <c r="L146" s="63">
        <v>0.8</v>
      </c>
      <c r="M146" s="416"/>
      <c r="N146" s="415" t="s">
        <v>282</v>
      </c>
      <c r="O146" s="430" t="s">
        <v>283</v>
      </c>
      <c r="P146" s="64">
        <v>100</v>
      </c>
      <c r="Q146" s="65">
        <v>0.05</v>
      </c>
      <c r="R146" s="64"/>
      <c r="S146" s="66">
        <f t="shared" si="6"/>
        <v>0</v>
      </c>
      <c r="T146" s="67">
        <f t="shared" si="7"/>
        <v>0</v>
      </c>
      <c r="U146" s="62" t="s">
        <v>34</v>
      </c>
      <c r="V146" s="430"/>
      <c r="W146" s="62"/>
    </row>
    <row r="147" spans="1:23" ht="23.4" x14ac:dyDescent="0.45">
      <c r="A147" s="1">
        <f t="shared" si="8"/>
        <v>146</v>
      </c>
      <c r="B147" s="59" t="s">
        <v>23</v>
      </c>
      <c r="C147" s="57" t="s">
        <v>24</v>
      </c>
      <c r="D147" s="92">
        <v>4013</v>
      </c>
      <c r="E147" s="59" t="s">
        <v>256</v>
      </c>
      <c r="F147" s="60" t="s">
        <v>257</v>
      </c>
      <c r="G147" s="61">
        <v>4000</v>
      </c>
      <c r="H147" s="62" t="s">
        <v>173</v>
      </c>
      <c r="I147" s="62" t="s">
        <v>175</v>
      </c>
      <c r="J147" s="1986" t="s">
        <v>57</v>
      </c>
      <c r="K147" s="72" t="s">
        <v>58</v>
      </c>
      <c r="L147" s="63">
        <v>0.8</v>
      </c>
      <c r="M147" s="416"/>
      <c r="N147" s="415" t="s">
        <v>284</v>
      </c>
      <c r="O147" s="417" t="s">
        <v>285</v>
      </c>
      <c r="P147" s="62">
        <v>1</v>
      </c>
      <c r="Q147" s="65">
        <v>0.08</v>
      </c>
      <c r="R147" s="62"/>
      <c r="S147" s="66">
        <f t="shared" si="6"/>
        <v>0</v>
      </c>
      <c r="T147" s="67">
        <f t="shared" si="7"/>
        <v>0</v>
      </c>
      <c r="U147" s="62" t="s">
        <v>34</v>
      </c>
      <c r="V147" s="430"/>
      <c r="W147" s="62"/>
    </row>
    <row r="148" spans="1:23" ht="23.4" x14ac:dyDescent="0.45">
      <c r="A148" s="1">
        <f t="shared" si="8"/>
        <v>147</v>
      </c>
      <c r="B148" s="59" t="s">
        <v>23</v>
      </c>
      <c r="C148" s="57" t="s">
        <v>24</v>
      </c>
      <c r="D148" s="92">
        <v>4013</v>
      </c>
      <c r="E148" s="59" t="s">
        <v>256</v>
      </c>
      <c r="F148" s="60" t="s">
        <v>257</v>
      </c>
      <c r="G148" s="61">
        <v>4000</v>
      </c>
      <c r="H148" s="62" t="s">
        <v>173</v>
      </c>
      <c r="I148" s="62" t="s">
        <v>175</v>
      </c>
      <c r="J148" s="1986" t="s">
        <v>57</v>
      </c>
      <c r="K148" s="72" t="s">
        <v>58</v>
      </c>
      <c r="L148" s="63">
        <v>0.8</v>
      </c>
      <c r="M148" s="416"/>
      <c r="N148" s="415" t="s">
        <v>286</v>
      </c>
      <c r="O148" s="417"/>
      <c r="P148" s="62">
        <v>1</v>
      </c>
      <c r="Q148" s="65">
        <v>0.06</v>
      </c>
      <c r="R148" s="62"/>
      <c r="S148" s="66">
        <f t="shared" si="6"/>
        <v>0</v>
      </c>
      <c r="T148" s="67">
        <f t="shared" si="7"/>
        <v>0</v>
      </c>
      <c r="U148" s="62" t="s">
        <v>34</v>
      </c>
      <c r="V148" s="430"/>
      <c r="W148" s="62"/>
    </row>
    <row r="149" spans="1:23" ht="23.4" x14ac:dyDescent="0.45">
      <c r="A149" s="1">
        <f t="shared" si="8"/>
        <v>148</v>
      </c>
      <c r="B149" s="59" t="s">
        <v>23</v>
      </c>
      <c r="C149" s="57" t="s">
        <v>24</v>
      </c>
      <c r="D149" s="92">
        <v>4013</v>
      </c>
      <c r="E149" s="59" t="s">
        <v>256</v>
      </c>
      <c r="F149" s="60" t="s">
        <v>257</v>
      </c>
      <c r="G149" s="61">
        <v>4000</v>
      </c>
      <c r="H149" s="62" t="s">
        <v>173</v>
      </c>
      <c r="I149" s="62" t="s">
        <v>175</v>
      </c>
      <c r="J149" s="1986" t="s">
        <v>57</v>
      </c>
      <c r="K149" s="72" t="s">
        <v>58</v>
      </c>
      <c r="L149" s="63">
        <v>0.8</v>
      </c>
      <c r="M149" s="416"/>
      <c r="N149" s="415" t="s">
        <v>287</v>
      </c>
      <c r="O149" s="417" t="s">
        <v>288</v>
      </c>
      <c r="P149" s="62">
        <v>1</v>
      </c>
      <c r="Q149" s="65">
        <v>0.04</v>
      </c>
      <c r="R149" s="62"/>
      <c r="S149" s="66">
        <f t="shared" si="6"/>
        <v>0</v>
      </c>
      <c r="T149" s="67">
        <f t="shared" si="7"/>
        <v>0</v>
      </c>
      <c r="U149" s="62" t="s">
        <v>34</v>
      </c>
      <c r="V149" s="430"/>
      <c r="W149" s="62"/>
    </row>
    <row r="150" spans="1:23" ht="23.4" x14ac:dyDescent="0.5">
      <c r="A150" s="1">
        <f t="shared" si="8"/>
        <v>149</v>
      </c>
      <c r="B150" s="59" t="s">
        <v>23</v>
      </c>
      <c r="C150" s="57" t="s">
        <v>24</v>
      </c>
      <c r="D150" s="92">
        <v>4013</v>
      </c>
      <c r="E150" s="59" t="s">
        <v>256</v>
      </c>
      <c r="F150" s="69" t="s">
        <v>257</v>
      </c>
      <c r="G150" s="70">
        <v>4000</v>
      </c>
      <c r="H150" s="71" t="s">
        <v>173</v>
      </c>
      <c r="I150" s="71" t="s">
        <v>175</v>
      </c>
      <c r="J150" s="1986" t="s">
        <v>110</v>
      </c>
      <c r="K150" s="72" t="s">
        <v>111</v>
      </c>
      <c r="L150" s="21">
        <v>0.2</v>
      </c>
      <c r="M150" s="325"/>
      <c r="N150" s="71" t="s">
        <v>251</v>
      </c>
      <c r="O150" s="71"/>
      <c r="P150" s="74">
        <v>1</v>
      </c>
      <c r="Q150" s="75">
        <v>0.25</v>
      </c>
      <c r="R150" s="74"/>
      <c r="S150" s="76">
        <f t="shared" si="6"/>
        <v>0</v>
      </c>
      <c r="T150" s="77">
        <f t="shared" si="7"/>
        <v>0</v>
      </c>
      <c r="U150" s="71" t="s">
        <v>34</v>
      </c>
      <c r="V150" s="71"/>
      <c r="W150" s="71"/>
    </row>
    <row r="151" spans="1:23" ht="23.4" x14ac:dyDescent="0.5">
      <c r="A151" s="1">
        <f t="shared" si="8"/>
        <v>150</v>
      </c>
      <c r="B151" s="59" t="s">
        <v>23</v>
      </c>
      <c r="C151" s="57" t="s">
        <v>24</v>
      </c>
      <c r="D151" s="92">
        <v>4013</v>
      </c>
      <c r="E151" s="59" t="s">
        <v>256</v>
      </c>
      <c r="F151" s="69" t="s">
        <v>257</v>
      </c>
      <c r="G151" s="70">
        <v>4000</v>
      </c>
      <c r="H151" s="71" t="s">
        <v>173</v>
      </c>
      <c r="I151" s="71" t="s">
        <v>175</v>
      </c>
      <c r="J151" s="1986" t="s">
        <v>110</v>
      </c>
      <c r="K151" s="72" t="s">
        <v>111</v>
      </c>
      <c r="L151" s="21">
        <v>0.2</v>
      </c>
      <c r="M151" s="325"/>
      <c r="N151" s="71" t="s">
        <v>252</v>
      </c>
      <c r="O151" s="71"/>
      <c r="P151" s="74">
        <v>1</v>
      </c>
      <c r="Q151" s="75">
        <v>0.25</v>
      </c>
      <c r="R151" s="74"/>
      <c r="S151" s="76">
        <f t="shared" si="6"/>
        <v>0</v>
      </c>
      <c r="T151" s="77">
        <f t="shared" si="7"/>
        <v>0</v>
      </c>
      <c r="U151" s="71" t="s">
        <v>34</v>
      </c>
      <c r="V151" s="71"/>
      <c r="W151" s="71"/>
    </row>
    <row r="152" spans="1:23" ht="23.4" x14ac:dyDescent="0.5">
      <c r="A152" s="1">
        <f t="shared" si="8"/>
        <v>151</v>
      </c>
      <c r="B152" s="59" t="s">
        <v>23</v>
      </c>
      <c r="C152" s="57" t="s">
        <v>24</v>
      </c>
      <c r="D152" s="92">
        <v>4013</v>
      </c>
      <c r="E152" s="59" t="s">
        <v>256</v>
      </c>
      <c r="F152" s="69" t="s">
        <v>257</v>
      </c>
      <c r="G152" s="70">
        <v>4000</v>
      </c>
      <c r="H152" s="71" t="s">
        <v>173</v>
      </c>
      <c r="I152" s="71" t="s">
        <v>175</v>
      </c>
      <c r="J152" s="1986" t="s">
        <v>110</v>
      </c>
      <c r="K152" s="72" t="s">
        <v>111</v>
      </c>
      <c r="L152" s="21">
        <v>0.2</v>
      </c>
      <c r="M152" s="325"/>
      <c r="N152" s="71" t="s">
        <v>253</v>
      </c>
      <c r="O152" s="71"/>
      <c r="P152" s="74">
        <v>1</v>
      </c>
      <c r="Q152" s="75">
        <v>0.2</v>
      </c>
      <c r="R152" s="74"/>
      <c r="S152" s="76">
        <f t="shared" si="6"/>
        <v>0</v>
      </c>
      <c r="T152" s="77">
        <f t="shared" si="7"/>
        <v>0</v>
      </c>
      <c r="U152" s="71" t="s">
        <v>34</v>
      </c>
      <c r="V152" s="71"/>
      <c r="W152" s="71"/>
    </row>
    <row r="153" spans="1:23" ht="23.4" x14ac:dyDescent="0.5">
      <c r="A153" s="1">
        <f t="shared" si="8"/>
        <v>152</v>
      </c>
      <c r="B153" s="59" t="s">
        <v>23</v>
      </c>
      <c r="C153" s="57" t="s">
        <v>24</v>
      </c>
      <c r="D153" s="92">
        <v>4013</v>
      </c>
      <c r="E153" s="59" t="s">
        <v>256</v>
      </c>
      <c r="F153" s="69" t="s">
        <v>257</v>
      </c>
      <c r="G153" s="70">
        <v>4000</v>
      </c>
      <c r="H153" s="71" t="s">
        <v>173</v>
      </c>
      <c r="I153" s="71" t="s">
        <v>175</v>
      </c>
      <c r="J153" s="1986" t="s">
        <v>110</v>
      </c>
      <c r="K153" s="72" t="s">
        <v>111</v>
      </c>
      <c r="L153" s="21">
        <v>0.2</v>
      </c>
      <c r="M153" s="325"/>
      <c r="N153" s="71" t="s">
        <v>254</v>
      </c>
      <c r="O153" s="71"/>
      <c r="P153" s="74">
        <v>1</v>
      </c>
      <c r="Q153" s="75">
        <v>0.15</v>
      </c>
      <c r="R153" s="74"/>
      <c r="S153" s="76">
        <f t="shared" si="6"/>
        <v>0</v>
      </c>
      <c r="T153" s="77">
        <f t="shared" si="7"/>
        <v>0</v>
      </c>
      <c r="U153" s="71" t="s">
        <v>34</v>
      </c>
      <c r="V153" s="71"/>
      <c r="W153" s="71"/>
    </row>
    <row r="154" spans="1:23" ht="23.4" x14ac:dyDescent="0.5">
      <c r="A154" s="1">
        <f t="shared" si="8"/>
        <v>153</v>
      </c>
      <c r="B154" s="59" t="s">
        <v>23</v>
      </c>
      <c r="C154" s="57" t="s">
        <v>24</v>
      </c>
      <c r="D154" s="92">
        <v>4013</v>
      </c>
      <c r="E154" s="59" t="s">
        <v>256</v>
      </c>
      <c r="F154" s="69" t="s">
        <v>257</v>
      </c>
      <c r="G154" s="70">
        <v>4000</v>
      </c>
      <c r="H154" s="71" t="s">
        <v>173</v>
      </c>
      <c r="I154" s="71" t="s">
        <v>175</v>
      </c>
      <c r="J154" s="1986" t="s">
        <v>110</v>
      </c>
      <c r="K154" s="72" t="s">
        <v>111</v>
      </c>
      <c r="L154" s="21">
        <v>0.2</v>
      </c>
      <c r="M154" s="325"/>
      <c r="N154" s="71" t="s">
        <v>255</v>
      </c>
      <c r="O154" s="71"/>
      <c r="P154" s="74">
        <v>1</v>
      </c>
      <c r="Q154" s="75">
        <v>0.15</v>
      </c>
      <c r="R154" s="74"/>
      <c r="S154" s="76">
        <f t="shared" si="6"/>
        <v>0</v>
      </c>
      <c r="T154" s="77">
        <f t="shared" si="7"/>
        <v>0</v>
      </c>
      <c r="U154" s="71" t="s">
        <v>34</v>
      </c>
      <c r="V154" s="71"/>
      <c r="W154" s="71"/>
    </row>
    <row r="155" spans="1:23" ht="23.4" x14ac:dyDescent="0.45">
      <c r="A155" s="1">
        <f t="shared" si="8"/>
        <v>154</v>
      </c>
      <c r="B155" s="2" t="s">
        <v>23</v>
      </c>
      <c r="C155" s="2" t="s">
        <v>24</v>
      </c>
      <c r="D155" s="49">
        <v>3609</v>
      </c>
      <c r="E155" s="2" t="s">
        <v>289</v>
      </c>
      <c r="F155" s="93" t="s">
        <v>290</v>
      </c>
      <c r="G155" s="94">
        <v>4000</v>
      </c>
      <c r="H155" s="95" t="s">
        <v>173</v>
      </c>
      <c r="I155" s="95" t="s">
        <v>175</v>
      </c>
      <c r="J155" s="1989" t="s">
        <v>57</v>
      </c>
      <c r="K155" s="96" t="s">
        <v>58</v>
      </c>
      <c r="L155" s="9">
        <v>0.8</v>
      </c>
      <c r="M155" s="3"/>
      <c r="N155" s="473" t="s">
        <v>291</v>
      </c>
      <c r="O155" s="473" t="s">
        <v>292</v>
      </c>
      <c r="P155" s="97">
        <v>1</v>
      </c>
      <c r="Q155" s="98">
        <v>0.1</v>
      </c>
      <c r="R155" s="97"/>
      <c r="S155" s="14">
        <f t="shared" si="6"/>
        <v>0</v>
      </c>
      <c r="T155" s="51">
        <f t="shared" si="7"/>
        <v>0</v>
      </c>
      <c r="U155" s="95" t="s">
        <v>34</v>
      </c>
      <c r="V155" s="1956">
        <f>SUM(T155:T171)%</f>
        <v>0</v>
      </c>
      <c r="W155" s="95"/>
    </row>
    <row r="156" spans="1:23" ht="23.4" x14ac:dyDescent="0.45">
      <c r="A156" s="1">
        <f t="shared" si="8"/>
        <v>155</v>
      </c>
      <c r="B156" s="59" t="s">
        <v>23</v>
      </c>
      <c r="C156" s="57" t="s">
        <v>24</v>
      </c>
      <c r="D156" s="92">
        <v>3609</v>
      </c>
      <c r="E156" s="59" t="s">
        <v>289</v>
      </c>
      <c r="F156" s="60" t="s">
        <v>290</v>
      </c>
      <c r="G156" s="61">
        <v>4000</v>
      </c>
      <c r="H156" s="62" t="s">
        <v>173</v>
      </c>
      <c r="I156" s="62" t="s">
        <v>175</v>
      </c>
      <c r="J156" s="1986" t="s">
        <v>57</v>
      </c>
      <c r="K156" s="72" t="s">
        <v>58</v>
      </c>
      <c r="L156" s="63">
        <v>0.8</v>
      </c>
      <c r="M156" s="416"/>
      <c r="N156" s="415" t="s">
        <v>293</v>
      </c>
      <c r="O156" s="430" t="s">
        <v>294</v>
      </c>
      <c r="P156" s="62">
        <v>1</v>
      </c>
      <c r="Q156" s="65">
        <v>7.0000000000000007E-2</v>
      </c>
      <c r="R156" s="62"/>
      <c r="S156" s="66">
        <f t="shared" si="6"/>
        <v>0</v>
      </c>
      <c r="T156" s="67">
        <f t="shared" si="7"/>
        <v>0</v>
      </c>
      <c r="U156" s="62" t="s">
        <v>34</v>
      </c>
      <c r="V156" s="430"/>
      <c r="W156" s="62"/>
    </row>
    <row r="157" spans="1:23" ht="23.4" x14ac:dyDescent="0.45">
      <c r="A157" s="1">
        <f t="shared" si="8"/>
        <v>156</v>
      </c>
      <c r="B157" s="59" t="s">
        <v>23</v>
      </c>
      <c r="C157" s="57" t="s">
        <v>24</v>
      </c>
      <c r="D157" s="92">
        <v>3609</v>
      </c>
      <c r="E157" s="59" t="s">
        <v>289</v>
      </c>
      <c r="F157" s="60" t="s">
        <v>290</v>
      </c>
      <c r="G157" s="61">
        <v>4000</v>
      </c>
      <c r="H157" s="62" t="s">
        <v>173</v>
      </c>
      <c r="I157" s="62" t="s">
        <v>175</v>
      </c>
      <c r="J157" s="1986" t="s">
        <v>57</v>
      </c>
      <c r="K157" s="72" t="s">
        <v>58</v>
      </c>
      <c r="L157" s="63">
        <v>0.8</v>
      </c>
      <c r="M157" s="416"/>
      <c r="N157" s="415" t="s">
        <v>295</v>
      </c>
      <c r="O157" s="430" t="s">
        <v>296</v>
      </c>
      <c r="P157" s="62">
        <v>1</v>
      </c>
      <c r="Q157" s="65">
        <v>7.0000000000000007E-2</v>
      </c>
      <c r="R157" s="62"/>
      <c r="S157" s="66">
        <f t="shared" si="6"/>
        <v>0</v>
      </c>
      <c r="T157" s="67">
        <f t="shared" si="7"/>
        <v>0</v>
      </c>
      <c r="U157" s="62" t="s">
        <v>34</v>
      </c>
      <c r="V157" s="430"/>
      <c r="W157" s="62"/>
    </row>
    <row r="158" spans="1:23" ht="23.4" x14ac:dyDescent="0.45">
      <c r="A158" s="1">
        <f t="shared" si="8"/>
        <v>157</v>
      </c>
      <c r="B158" s="59" t="s">
        <v>23</v>
      </c>
      <c r="C158" s="57" t="s">
        <v>24</v>
      </c>
      <c r="D158" s="92">
        <v>3609</v>
      </c>
      <c r="E158" s="59" t="s">
        <v>289</v>
      </c>
      <c r="F158" s="60" t="s">
        <v>290</v>
      </c>
      <c r="G158" s="61">
        <v>4000</v>
      </c>
      <c r="H158" s="62" t="s">
        <v>173</v>
      </c>
      <c r="I158" s="62" t="s">
        <v>175</v>
      </c>
      <c r="J158" s="1986" t="s">
        <v>57</v>
      </c>
      <c r="K158" s="72" t="s">
        <v>58</v>
      </c>
      <c r="L158" s="63">
        <v>0.8</v>
      </c>
      <c r="M158" s="416"/>
      <c r="N158" s="415" t="s">
        <v>297</v>
      </c>
      <c r="O158" s="430" t="s">
        <v>298</v>
      </c>
      <c r="P158" s="64">
        <v>39</v>
      </c>
      <c r="Q158" s="65">
        <v>7.0000000000000007E-2</v>
      </c>
      <c r="R158" s="64"/>
      <c r="S158" s="66">
        <f t="shared" si="6"/>
        <v>0</v>
      </c>
      <c r="T158" s="67">
        <f t="shared" si="7"/>
        <v>0</v>
      </c>
      <c r="U158" s="62" t="s">
        <v>34</v>
      </c>
      <c r="V158" s="430"/>
      <c r="W158" s="62"/>
    </row>
    <row r="159" spans="1:23" ht="23.4" x14ac:dyDescent="0.45">
      <c r="A159" s="1">
        <f t="shared" si="8"/>
        <v>158</v>
      </c>
      <c r="B159" s="59" t="s">
        <v>23</v>
      </c>
      <c r="C159" s="57" t="s">
        <v>24</v>
      </c>
      <c r="D159" s="92">
        <v>3609</v>
      </c>
      <c r="E159" s="59" t="s">
        <v>289</v>
      </c>
      <c r="F159" s="60" t="s">
        <v>290</v>
      </c>
      <c r="G159" s="61">
        <v>4000</v>
      </c>
      <c r="H159" s="62" t="s">
        <v>173</v>
      </c>
      <c r="I159" s="62" t="s">
        <v>175</v>
      </c>
      <c r="J159" s="1986" t="s">
        <v>57</v>
      </c>
      <c r="K159" s="72" t="s">
        <v>58</v>
      </c>
      <c r="L159" s="63">
        <v>0.8</v>
      </c>
      <c r="M159" s="416"/>
      <c r="N159" s="415" t="s">
        <v>299</v>
      </c>
      <c r="O159" s="417" t="s">
        <v>300</v>
      </c>
      <c r="P159" s="62">
        <v>1</v>
      </c>
      <c r="Q159" s="65">
        <v>0.15</v>
      </c>
      <c r="R159" s="62"/>
      <c r="S159" s="66">
        <f t="shared" si="6"/>
        <v>0</v>
      </c>
      <c r="T159" s="67">
        <f t="shared" si="7"/>
        <v>0</v>
      </c>
      <c r="U159" s="62" t="s">
        <v>34</v>
      </c>
      <c r="V159" s="430"/>
      <c r="W159" s="62"/>
    </row>
    <row r="160" spans="1:23" ht="23.4" x14ac:dyDescent="0.45">
      <c r="A160" s="1">
        <f t="shared" si="8"/>
        <v>159</v>
      </c>
      <c r="B160" s="59" t="s">
        <v>23</v>
      </c>
      <c r="C160" s="57" t="s">
        <v>24</v>
      </c>
      <c r="D160" s="92">
        <v>3609</v>
      </c>
      <c r="E160" s="59" t="s">
        <v>289</v>
      </c>
      <c r="F160" s="60" t="s">
        <v>290</v>
      </c>
      <c r="G160" s="61">
        <v>4000</v>
      </c>
      <c r="H160" s="62" t="s">
        <v>173</v>
      </c>
      <c r="I160" s="62" t="s">
        <v>175</v>
      </c>
      <c r="J160" s="1986" t="s">
        <v>57</v>
      </c>
      <c r="K160" s="72" t="s">
        <v>58</v>
      </c>
      <c r="L160" s="63">
        <v>0.8</v>
      </c>
      <c r="M160" s="416"/>
      <c r="N160" s="415" t="s">
        <v>301</v>
      </c>
      <c r="O160" s="417" t="s">
        <v>302</v>
      </c>
      <c r="P160" s="62">
        <v>1</v>
      </c>
      <c r="Q160" s="65">
        <v>0.1</v>
      </c>
      <c r="R160" s="62"/>
      <c r="S160" s="66">
        <f t="shared" si="6"/>
        <v>0</v>
      </c>
      <c r="T160" s="67">
        <f t="shared" si="7"/>
        <v>0</v>
      </c>
      <c r="U160" s="62" t="s">
        <v>34</v>
      </c>
      <c r="V160" s="430"/>
      <c r="W160" s="62"/>
    </row>
    <row r="161" spans="1:23" ht="23.4" x14ac:dyDescent="0.45">
      <c r="A161" s="1">
        <f t="shared" si="8"/>
        <v>160</v>
      </c>
      <c r="B161" s="59" t="s">
        <v>23</v>
      </c>
      <c r="C161" s="57" t="s">
        <v>24</v>
      </c>
      <c r="D161" s="92">
        <v>3609</v>
      </c>
      <c r="E161" s="59" t="s">
        <v>289</v>
      </c>
      <c r="F161" s="60" t="s">
        <v>290</v>
      </c>
      <c r="G161" s="61">
        <v>4000</v>
      </c>
      <c r="H161" s="62" t="s">
        <v>173</v>
      </c>
      <c r="I161" s="62" t="s">
        <v>175</v>
      </c>
      <c r="J161" s="1986" t="s">
        <v>57</v>
      </c>
      <c r="K161" s="72" t="s">
        <v>58</v>
      </c>
      <c r="L161" s="63">
        <v>0.8</v>
      </c>
      <c r="M161" s="416"/>
      <c r="N161" s="415" t="s">
        <v>303</v>
      </c>
      <c r="O161" s="417" t="s">
        <v>302</v>
      </c>
      <c r="P161" s="62">
        <v>1</v>
      </c>
      <c r="Q161" s="65">
        <v>7.0000000000000007E-2</v>
      </c>
      <c r="R161" s="62"/>
      <c r="S161" s="66">
        <f t="shared" si="6"/>
        <v>0</v>
      </c>
      <c r="T161" s="67">
        <f t="shared" si="7"/>
        <v>0</v>
      </c>
      <c r="U161" s="62" t="s">
        <v>34</v>
      </c>
      <c r="V161" s="430"/>
      <c r="W161" s="62"/>
    </row>
    <row r="162" spans="1:23" ht="23.4" x14ac:dyDescent="0.45">
      <c r="A162" s="1">
        <f t="shared" si="8"/>
        <v>161</v>
      </c>
      <c r="B162" s="59" t="s">
        <v>23</v>
      </c>
      <c r="C162" s="57" t="s">
        <v>24</v>
      </c>
      <c r="D162" s="92">
        <v>3609</v>
      </c>
      <c r="E162" s="59" t="s">
        <v>289</v>
      </c>
      <c r="F162" s="60" t="s">
        <v>290</v>
      </c>
      <c r="G162" s="61">
        <v>4000</v>
      </c>
      <c r="H162" s="62" t="s">
        <v>173</v>
      </c>
      <c r="I162" s="62" t="s">
        <v>175</v>
      </c>
      <c r="J162" s="1986" t="s">
        <v>57</v>
      </c>
      <c r="K162" s="72" t="s">
        <v>58</v>
      </c>
      <c r="L162" s="63">
        <v>0.8</v>
      </c>
      <c r="M162" s="416"/>
      <c r="N162" s="415" t="s">
        <v>304</v>
      </c>
      <c r="O162" s="417" t="s">
        <v>305</v>
      </c>
      <c r="P162" s="62">
        <v>1</v>
      </c>
      <c r="Q162" s="65">
        <v>7.0000000000000007E-2</v>
      </c>
      <c r="R162" s="62"/>
      <c r="S162" s="66">
        <f t="shared" si="6"/>
        <v>0</v>
      </c>
      <c r="T162" s="67">
        <f t="shared" si="7"/>
        <v>0</v>
      </c>
      <c r="U162" s="62" t="s">
        <v>34</v>
      </c>
      <c r="V162" s="430"/>
      <c r="W162" s="62"/>
    </row>
    <row r="163" spans="1:23" ht="23.4" x14ac:dyDescent="0.45">
      <c r="A163" s="1">
        <f t="shared" si="8"/>
        <v>162</v>
      </c>
      <c r="B163" s="59" t="s">
        <v>23</v>
      </c>
      <c r="C163" s="57" t="s">
        <v>24</v>
      </c>
      <c r="D163" s="92">
        <v>3609</v>
      </c>
      <c r="E163" s="59" t="s">
        <v>289</v>
      </c>
      <c r="F163" s="60" t="s">
        <v>290</v>
      </c>
      <c r="G163" s="61">
        <v>4000</v>
      </c>
      <c r="H163" s="62" t="s">
        <v>173</v>
      </c>
      <c r="I163" s="62" t="s">
        <v>175</v>
      </c>
      <c r="J163" s="1986" t="s">
        <v>57</v>
      </c>
      <c r="K163" s="72" t="s">
        <v>58</v>
      </c>
      <c r="L163" s="63">
        <v>0.8</v>
      </c>
      <c r="M163" s="416"/>
      <c r="N163" s="415" t="s">
        <v>306</v>
      </c>
      <c r="O163" s="417" t="s">
        <v>307</v>
      </c>
      <c r="P163" s="62">
        <v>1</v>
      </c>
      <c r="Q163" s="65">
        <v>7.0000000000000007E-2</v>
      </c>
      <c r="R163" s="62"/>
      <c r="S163" s="66">
        <f t="shared" si="6"/>
        <v>0</v>
      </c>
      <c r="T163" s="67">
        <f t="shared" si="7"/>
        <v>0</v>
      </c>
      <c r="U163" s="62" t="s">
        <v>34</v>
      </c>
      <c r="V163" s="430"/>
      <c r="W163" s="62"/>
    </row>
    <row r="164" spans="1:23" ht="23.4" x14ac:dyDescent="0.45">
      <c r="A164" s="1">
        <f t="shared" si="8"/>
        <v>163</v>
      </c>
      <c r="B164" s="59" t="s">
        <v>23</v>
      </c>
      <c r="C164" s="57" t="s">
        <v>24</v>
      </c>
      <c r="D164" s="92">
        <v>3609</v>
      </c>
      <c r="E164" s="59" t="s">
        <v>289</v>
      </c>
      <c r="F164" s="60" t="s">
        <v>290</v>
      </c>
      <c r="G164" s="61">
        <v>4000</v>
      </c>
      <c r="H164" s="62" t="s">
        <v>173</v>
      </c>
      <c r="I164" s="62" t="s">
        <v>175</v>
      </c>
      <c r="J164" s="1986" t="s">
        <v>57</v>
      </c>
      <c r="K164" s="72" t="s">
        <v>58</v>
      </c>
      <c r="L164" s="63">
        <v>0.8</v>
      </c>
      <c r="M164" s="416"/>
      <c r="N164" s="415" t="s">
        <v>308</v>
      </c>
      <c r="O164" s="417" t="s">
        <v>309</v>
      </c>
      <c r="P164" s="62">
        <v>1</v>
      </c>
      <c r="Q164" s="65">
        <v>7.0000000000000007E-2</v>
      </c>
      <c r="R164" s="62"/>
      <c r="S164" s="66">
        <f t="shared" si="6"/>
        <v>0</v>
      </c>
      <c r="T164" s="67">
        <f t="shared" si="7"/>
        <v>0</v>
      </c>
      <c r="U164" s="62" t="s">
        <v>34</v>
      </c>
      <c r="V164" s="430"/>
      <c r="W164" s="62"/>
    </row>
    <row r="165" spans="1:23" ht="23.4" x14ac:dyDescent="0.45">
      <c r="A165" s="1">
        <f t="shared" si="8"/>
        <v>164</v>
      </c>
      <c r="B165" s="59" t="s">
        <v>23</v>
      </c>
      <c r="C165" s="57" t="s">
        <v>24</v>
      </c>
      <c r="D165" s="92">
        <v>3609</v>
      </c>
      <c r="E165" s="59" t="s">
        <v>289</v>
      </c>
      <c r="F165" s="60" t="s">
        <v>290</v>
      </c>
      <c r="G165" s="61">
        <v>4000</v>
      </c>
      <c r="H165" s="62" t="s">
        <v>173</v>
      </c>
      <c r="I165" s="62" t="s">
        <v>175</v>
      </c>
      <c r="J165" s="1986" t="s">
        <v>57</v>
      </c>
      <c r="K165" s="72" t="s">
        <v>58</v>
      </c>
      <c r="L165" s="63">
        <v>0.8</v>
      </c>
      <c r="M165" s="416"/>
      <c r="N165" s="415" t="s">
        <v>310</v>
      </c>
      <c r="O165" s="417"/>
      <c r="P165" s="64">
        <v>3</v>
      </c>
      <c r="Q165" s="65">
        <v>0.08</v>
      </c>
      <c r="R165" s="64"/>
      <c r="S165" s="66">
        <f t="shared" si="6"/>
        <v>0</v>
      </c>
      <c r="T165" s="67">
        <f t="shared" si="7"/>
        <v>0</v>
      </c>
      <c r="U165" s="62" t="s">
        <v>34</v>
      </c>
      <c r="V165" s="430"/>
      <c r="W165" s="62"/>
    </row>
    <row r="166" spans="1:23" ht="23.4" x14ac:dyDescent="0.45">
      <c r="A166" s="1">
        <f t="shared" si="8"/>
        <v>165</v>
      </c>
      <c r="B166" s="59" t="s">
        <v>23</v>
      </c>
      <c r="C166" s="57" t="s">
        <v>24</v>
      </c>
      <c r="D166" s="92">
        <v>3609</v>
      </c>
      <c r="E166" s="59" t="s">
        <v>289</v>
      </c>
      <c r="F166" s="60" t="s">
        <v>290</v>
      </c>
      <c r="G166" s="61">
        <v>4000</v>
      </c>
      <c r="H166" s="62" t="s">
        <v>173</v>
      </c>
      <c r="I166" s="62" t="s">
        <v>175</v>
      </c>
      <c r="J166" s="1986" t="s">
        <v>57</v>
      </c>
      <c r="K166" s="72" t="s">
        <v>58</v>
      </c>
      <c r="L166" s="63">
        <v>0.8</v>
      </c>
      <c r="M166" s="416"/>
      <c r="N166" s="415" t="s">
        <v>311</v>
      </c>
      <c r="O166" s="417"/>
      <c r="P166" s="64">
        <v>3</v>
      </c>
      <c r="Q166" s="65">
        <v>0.08</v>
      </c>
      <c r="R166" s="64"/>
      <c r="S166" s="66">
        <f t="shared" si="6"/>
        <v>0</v>
      </c>
      <c r="T166" s="67">
        <f t="shared" si="7"/>
        <v>0</v>
      </c>
      <c r="U166" s="62" t="s">
        <v>34</v>
      </c>
      <c r="V166" s="430"/>
      <c r="W166" s="62"/>
    </row>
    <row r="167" spans="1:23" ht="23.4" x14ac:dyDescent="0.5">
      <c r="A167" s="1">
        <f t="shared" si="8"/>
        <v>166</v>
      </c>
      <c r="B167" s="59" t="s">
        <v>23</v>
      </c>
      <c r="C167" s="57" t="s">
        <v>24</v>
      </c>
      <c r="D167" s="92">
        <v>3609</v>
      </c>
      <c r="E167" s="59" t="s">
        <v>289</v>
      </c>
      <c r="F167" s="69" t="s">
        <v>290</v>
      </c>
      <c r="G167" s="70">
        <v>4000</v>
      </c>
      <c r="H167" s="71" t="s">
        <v>173</v>
      </c>
      <c r="I167" s="71" t="s">
        <v>175</v>
      </c>
      <c r="J167" s="1986" t="s">
        <v>110</v>
      </c>
      <c r="K167" s="72" t="s">
        <v>111</v>
      </c>
      <c r="L167" s="21">
        <v>0.2</v>
      </c>
      <c r="M167" s="325"/>
      <c r="N167" s="71" t="s">
        <v>251</v>
      </c>
      <c r="O167" s="71"/>
      <c r="P167" s="74">
        <v>1</v>
      </c>
      <c r="Q167" s="75">
        <v>0.25</v>
      </c>
      <c r="R167" s="74"/>
      <c r="S167" s="76">
        <f t="shared" si="6"/>
        <v>0</v>
      </c>
      <c r="T167" s="77">
        <f t="shared" si="7"/>
        <v>0</v>
      </c>
      <c r="U167" s="71" t="s">
        <v>34</v>
      </c>
      <c r="V167" s="71"/>
      <c r="W167" s="71"/>
    </row>
    <row r="168" spans="1:23" ht="23.4" x14ac:dyDescent="0.5">
      <c r="A168" s="1">
        <f t="shared" si="8"/>
        <v>167</v>
      </c>
      <c r="B168" s="59" t="s">
        <v>23</v>
      </c>
      <c r="C168" s="57" t="s">
        <v>24</v>
      </c>
      <c r="D168" s="92">
        <v>3609</v>
      </c>
      <c r="E168" s="59" t="s">
        <v>289</v>
      </c>
      <c r="F168" s="69" t="s">
        <v>290</v>
      </c>
      <c r="G168" s="70">
        <v>4000</v>
      </c>
      <c r="H168" s="71" t="s">
        <v>173</v>
      </c>
      <c r="I168" s="71" t="s">
        <v>175</v>
      </c>
      <c r="J168" s="1986" t="s">
        <v>110</v>
      </c>
      <c r="K168" s="72" t="s">
        <v>111</v>
      </c>
      <c r="L168" s="21">
        <v>0.2</v>
      </c>
      <c r="M168" s="325"/>
      <c r="N168" s="71" t="s">
        <v>252</v>
      </c>
      <c r="O168" s="71"/>
      <c r="P168" s="74">
        <v>1</v>
      </c>
      <c r="Q168" s="75">
        <v>0.25</v>
      </c>
      <c r="R168" s="74"/>
      <c r="S168" s="76">
        <f t="shared" si="6"/>
        <v>0</v>
      </c>
      <c r="T168" s="77">
        <f t="shared" si="7"/>
        <v>0</v>
      </c>
      <c r="U168" s="71" t="s">
        <v>34</v>
      </c>
      <c r="V168" s="71"/>
      <c r="W168" s="71"/>
    </row>
    <row r="169" spans="1:23" ht="23.4" x14ac:dyDescent="0.5">
      <c r="A169" s="1">
        <f t="shared" si="8"/>
        <v>168</v>
      </c>
      <c r="B169" s="59" t="s">
        <v>23</v>
      </c>
      <c r="C169" s="57" t="s">
        <v>24</v>
      </c>
      <c r="D169" s="92">
        <v>3609</v>
      </c>
      <c r="E169" s="59" t="s">
        <v>289</v>
      </c>
      <c r="F169" s="69" t="s">
        <v>290</v>
      </c>
      <c r="G169" s="70">
        <v>4000</v>
      </c>
      <c r="H169" s="71" t="s">
        <v>173</v>
      </c>
      <c r="I169" s="71" t="s">
        <v>175</v>
      </c>
      <c r="J169" s="1986" t="s">
        <v>110</v>
      </c>
      <c r="K169" s="72" t="s">
        <v>111</v>
      </c>
      <c r="L169" s="21">
        <v>0.2</v>
      </c>
      <c r="M169" s="325"/>
      <c r="N169" s="71" t="s">
        <v>253</v>
      </c>
      <c r="O169" s="71"/>
      <c r="P169" s="74">
        <v>1</v>
      </c>
      <c r="Q169" s="75">
        <v>0.2</v>
      </c>
      <c r="R169" s="74"/>
      <c r="S169" s="76">
        <f t="shared" si="6"/>
        <v>0</v>
      </c>
      <c r="T169" s="77">
        <f t="shared" si="7"/>
        <v>0</v>
      </c>
      <c r="U169" s="71" t="s">
        <v>34</v>
      </c>
      <c r="V169" s="71"/>
      <c r="W169" s="71"/>
    </row>
    <row r="170" spans="1:23" ht="23.4" x14ac:dyDescent="0.5">
      <c r="A170" s="1">
        <f t="shared" si="8"/>
        <v>169</v>
      </c>
      <c r="B170" s="59" t="s">
        <v>23</v>
      </c>
      <c r="C170" s="57" t="s">
        <v>24</v>
      </c>
      <c r="D170" s="92">
        <v>3609</v>
      </c>
      <c r="E170" s="59" t="s">
        <v>289</v>
      </c>
      <c r="F170" s="69" t="s">
        <v>290</v>
      </c>
      <c r="G170" s="70">
        <v>4000</v>
      </c>
      <c r="H170" s="71" t="s">
        <v>173</v>
      </c>
      <c r="I170" s="71" t="s">
        <v>175</v>
      </c>
      <c r="J170" s="1986" t="s">
        <v>110</v>
      </c>
      <c r="K170" s="72" t="s">
        <v>111</v>
      </c>
      <c r="L170" s="21">
        <v>0.2</v>
      </c>
      <c r="M170" s="325"/>
      <c r="N170" s="71" t="s">
        <v>254</v>
      </c>
      <c r="O170" s="71"/>
      <c r="P170" s="74">
        <v>1</v>
      </c>
      <c r="Q170" s="75">
        <v>0.15</v>
      </c>
      <c r="R170" s="74"/>
      <c r="S170" s="76">
        <f t="shared" si="6"/>
        <v>0</v>
      </c>
      <c r="T170" s="77">
        <f t="shared" si="7"/>
        <v>0</v>
      </c>
      <c r="U170" s="71" t="s">
        <v>34</v>
      </c>
      <c r="V170" s="71"/>
      <c r="W170" s="71"/>
    </row>
    <row r="171" spans="1:23" ht="23.4" x14ac:dyDescent="0.5">
      <c r="A171" s="1">
        <f t="shared" si="8"/>
        <v>170</v>
      </c>
      <c r="B171" s="59" t="s">
        <v>23</v>
      </c>
      <c r="C171" s="57" t="s">
        <v>24</v>
      </c>
      <c r="D171" s="92">
        <v>3609</v>
      </c>
      <c r="E171" s="59" t="s">
        <v>289</v>
      </c>
      <c r="F171" s="69" t="s">
        <v>290</v>
      </c>
      <c r="G171" s="70">
        <v>4000</v>
      </c>
      <c r="H171" s="71" t="s">
        <v>173</v>
      </c>
      <c r="I171" s="71" t="s">
        <v>175</v>
      </c>
      <c r="J171" s="1986" t="s">
        <v>110</v>
      </c>
      <c r="K171" s="72" t="s">
        <v>111</v>
      </c>
      <c r="L171" s="21">
        <v>0.2</v>
      </c>
      <c r="M171" s="325"/>
      <c r="N171" s="71" t="s">
        <v>255</v>
      </c>
      <c r="O171" s="71"/>
      <c r="P171" s="74">
        <v>1</v>
      </c>
      <c r="Q171" s="75">
        <v>0.15</v>
      </c>
      <c r="R171" s="74"/>
      <c r="S171" s="76">
        <f t="shared" si="6"/>
        <v>0</v>
      </c>
      <c r="T171" s="77">
        <f t="shared" si="7"/>
        <v>0</v>
      </c>
      <c r="U171" s="71" t="s">
        <v>34</v>
      </c>
      <c r="V171" s="71"/>
      <c r="W171" s="71"/>
    </row>
    <row r="172" spans="1:23" ht="23.4" x14ac:dyDescent="0.45">
      <c r="A172" s="1">
        <f t="shared" si="8"/>
        <v>171</v>
      </c>
      <c r="B172" s="2" t="s">
        <v>23</v>
      </c>
      <c r="C172" s="2" t="s">
        <v>24</v>
      </c>
      <c r="D172" s="49">
        <v>3713</v>
      </c>
      <c r="E172" s="2" t="s">
        <v>312</v>
      </c>
      <c r="F172" s="50" t="s">
        <v>313</v>
      </c>
      <c r="G172" s="51">
        <v>4000</v>
      </c>
      <c r="H172" s="14" t="s">
        <v>173</v>
      </c>
      <c r="I172" s="14" t="s">
        <v>175</v>
      </c>
      <c r="J172" s="1988" t="s">
        <v>57</v>
      </c>
      <c r="K172" s="90" t="s">
        <v>58</v>
      </c>
      <c r="L172" s="53">
        <v>0.8</v>
      </c>
      <c r="M172" s="91"/>
      <c r="N172" s="91" t="s">
        <v>314</v>
      </c>
      <c r="O172" s="3" t="s">
        <v>315</v>
      </c>
      <c r="P172" s="91">
        <f>330+304+304</f>
        <v>938</v>
      </c>
      <c r="Q172" s="56">
        <v>0.15</v>
      </c>
      <c r="R172" s="91"/>
      <c r="S172" s="14">
        <f t="shared" si="6"/>
        <v>0</v>
      </c>
      <c r="T172" s="51">
        <f t="shared" si="7"/>
        <v>0</v>
      </c>
      <c r="U172" s="14" t="s">
        <v>34</v>
      </c>
      <c r="V172" s="1955">
        <f>SUM(T172:T187)%</f>
        <v>0</v>
      </c>
      <c r="W172" s="14"/>
    </row>
    <row r="173" spans="1:23" ht="23.4" x14ac:dyDescent="0.45">
      <c r="A173" s="1">
        <f t="shared" si="8"/>
        <v>172</v>
      </c>
      <c r="B173" s="59" t="s">
        <v>23</v>
      </c>
      <c r="C173" s="57" t="s">
        <v>24</v>
      </c>
      <c r="D173" s="92">
        <v>3713</v>
      </c>
      <c r="E173" s="59" t="s">
        <v>312</v>
      </c>
      <c r="F173" s="60" t="s">
        <v>313</v>
      </c>
      <c r="G173" s="61">
        <v>4000</v>
      </c>
      <c r="H173" s="62" t="s">
        <v>173</v>
      </c>
      <c r="I173" s="62" t="s">
        <v>175</v>
      </c>
      <c r="J173" s="1986" t="s">
        <v>57</v>
      </c>
      <c r="K173" s="72" t="s">
        <v>58</v>
      </c>
      <c r="L173" s="63">
        <v>0.8</v>
      </c>
      <c r="M173" s="416"/>
      <c r="N173" s="415" t="s">
        <v>316</v>
      </c>
      <c r="O173" s="417" t="s">
        <v>317</v>
      </c>
      <c r="P173" s="62">
        <v>1</v>
      </c>
      <c r="Q173" s="65">
        <v>0.13</v>
      </c>
      <c r="R173" s="62"/>
      <c r="S173" s="66">
        <f t="shared" si="6"/>
        <v>0</v>
      </c>
      <c r="T173" s="67">
        <f t="shared" si="7"/>
        <v>0</v>
      </c>
      <c r="U173" s="62" t="s">
        <v>34</v>
      </c>
      <c r="V173" s="430"/>
      <c r="W173" s="62"/>
    </row>
    <row r="174" spans="1:23" ht="23.4" x14ac:dyDescent="0.45">
      <c r="A174" s="1">
        <f t="shared" si="8"/>
        <v>173</v>
      </c>
      <c r="B174" s="59" t="s">
        <v>23</v>
      </c>
      <c r="C174" s="57" t="s">
        <v>24</v>
      </c>
      <c r="D174" s="92">
        <v>3713</v>
      </c>
      <c r="E174" s="59" t="s">
        <v>312</v>
      </c>
      <c r="F174" s="60" t="s">
        <v>313</v>
      </c>
      <c r="G174" s="61">
        <v>4000</v>
      </c>
      <c r="H174" s="62" t="s">
        <v>173</v>
      </c>
      <c r="I174" s="62" t="s">
        <v>175</v>
      </c>
      <c r="J174" s="1986" t="s">
        <v>57</v>
      </c>
      <c r="K174" s="72" t="s">
        <v>58</v>
      </c>
      <c r="L174" s="63">
        <v>0.8</v>
      </c>
      <c r="M174" s="416"/>
      <c r="N174" s="415" t="s">
        <v>318</v>
      </c>
      <c r="O174" s="417" t="s">
        <v>319</v>
      </c>
      <c r="P174" s="64">
        <f>25+5</f>
        <v>30</v>
      </c>
      <c r="Q174" s="65">
        <v>0.13</v>
      </c>
      <c r="R174" s="64"/>
      <c r="S174" s="66">
        <f t="shared" si="6"/>
        <v>0</v>
      </c>
      <c r="T174" s="67">
        <f t="shared" si="7"/>
        <v>0</v>
      </c>
      <c r="U174" s="62" t="s">
        <v>34</v>
      </c>
      <c r="V174" s="430"/>
      <c r="W174" s="62"/>
    </row>
    <row r="175" spans="1:23" ht="23.4" x14ac:dyDescent="0.45">
      <c r="A175" s="1">
        <f t="shared" si="8"/>
        <v>174</v>
      </c>
      <c r="B175" s="59" t="s">
        <v>23</v>
      </c>
      <c r="C175" s="57" t="s">
        <v>24</v>
      </c>
      <c r="D175" s="92">
        <v>3713</v>
      </c>
      <c r="E175" s="59" t="s">
        <v>312</v>
      </c>
      <c r="F175" s="60" t="s">
        <v>313</v>
      </c>
      <c r="G175" s="61">
        <v>4000</v>
      </c>
      <c r="H175" s="62" t="s">
        <v>173</v>
      </c>
      <c r="I175" s="62" t="s">
        <v>175</v>
      </c>
      <c r="J175" s="1986" t="s">
        <v>57</v>
      </c>
      <c r="K175" s="72" t="s">
        <v>58</v>
      </c>
      <c r="L175" s="63">
        <v>0.8</v>
      </c>
      <c r="M175" s="416"/>
      <c r="N175" s="415" t="s">
        <v>320</v>
      </c>
      <c r="O175" s="417"/>
      <c r="P175" s="62">
        <v>1</v>
      </c>
      <c r="Q175" s="65">
        <v>0.13</v>
      </c>
      <c r="R175" s="62"/>
      <c r="S175" s="66">
        <f t="shared" si="6"/>
        <v>0</v>
      </c>
      <c r="T175" s="67">
        <f t="shared" si="7"/>
        <v>0</v>
      </c>
      <c r="U175" s="62" t="s">
        <v>34</v>
      </c>
      <c r="V175" s="430"/>
      <c r="W175" s="62"/>
    </row>
    <row r="176" spans="1:23" ht="23.4" x14ac:dyDescent="0.45">
      <c r="A176" s="1">
        <f t="shared" si="8"/>
        <v>175</v>
      </c>
      <c r="B176" s="59" t="s">
        <v>23</v>
      </c>
      <c r="C176" s="57" t="s">
        <v>24</v>
      </c>
      <c r="D176" s="92">
        <v>3713</v>
      </c>
      <c r="E176" s="59" t="s">
        <v>312</v>
      </c>
      <c r="F176" s="60" t="s">
        <v>313</v>
      </c>
      <c r="G176" s="61">
        <v>4000</v>
      </c>
      <c r="H176" s="62" t="s">
        <v>173</v>
      </c>
      <c r="I176" s="62" t="s">
        <v>175</v>
      </c>
      <c r="J176" s="1986" t="s">
        <v>57</v>
      </c>
      <c r="K176" s="72" t="s">
        <v>58</v>
      </c>
      <c r="L176" s="63">
        <v>0.8</v>
      </c>
      <c r="M176" s="416"/>
      <c r="N176" s="415" t="s">
        <v>321</v>
      </c>
      <c r="O176" s="417" t="s">
        <v>317</v>
      </c>
      <c r="P176" s="62">
        <v>1</v>
      </c>
      <c r="Q176" s="65">
        <v>0.13</v>
      </c>
      <c r="R176" s="62"/>
      <c r="S176" s="66">
        <f t="shared" si="6"/>
        <v>0</v>
      </c>
      <c r="T176" s="67">
        <f t="shared" si="7"/>
        <v>0</v>
      </c>
      <c r="U176" s="62" t="s">
        <v>34</v>
      </c>
      <c r="V176" s="430"/>
      <c r="W176" s="62"/>
    </row>
    <row r="177" spans="1:23" ht="23.4" x14ac:dyDescent="0.45">
      <c r="A177" s="1">
        <f t="shared" si="8"/>
        <v>176</v>
      </c>
      <c r="B177" s="59" t="s">
        <v>23</v>
      </c>
      <c r="C177" s="57" t="s">
        <v>24</v>
      </c>
      <c r="D177" s="92">
        <v>3713</v>
      </c>
      <c r="E177" s="59" t="s">
        <v>312</v>
      </c>
      <c r="F177" s="60" t="s">
        <v>313</v>
      </c>
      <c r="G177" s="61">
        <v>4000</v>
      </c>
      <c r="H177" s="62" t="s">
        <v>173</v>
      </c>
      <c r="I177" s="62" t="s">
        <v>175</v>
      </c>
      <c r="J177" s="1986" t="s">
        <v>57</v>
      </c>
      <c r="K177" s="72" t="s">
        <v>58</v>
      </c>
      <c r="L177" s="63">
        <v>0.8</v>
      </c>
      <c r="M177" s="416"/>
      <c r="N177" s="415" t="s">
        <v>322</v>
      </c>
      <c r="O177" s="417" t="s">
        <v>317</v>
      </c>
      <c r="P177" s="62">
        <v>1</v>
      </c>
      <c r="Q177" s="65">
        <v>0.08</v>
      </c>
      <c r="R177" s="62"/>
      <c r="S177" s="66">
        <f t="shared" si="6"/>
        <v>0</v>
      </c>
      <c r="T177" s="67">
        <f t="shared" si="7"/>
        <v>0</v>
      </c>
      <c r="U177" s="62" t="s">
        <v>34</v>
      </c>
      <c r="V177" s="430"/>
      <c r="W177" s="62"/>
    </row>
    <row r="178" spans="1:23" ht="23.4" x14ac:dyDescent="0.45">
      <c r="A178" s="1">
        <f t="shared" si="8"/>
        <v>177</v>
      </c>
      <c r="B178" s="59" t="s">
        <v>23</v>
      </c>
      <c r="C178" s="57" t="s">
        <v>24</v>
      </c>
      <c r="D178" s="92">
        <v>3713</v>
      </c>
      <c r="E178" s="59" t="s">
        <v>312</v>
      </c>
      <c r="F178" s="60" t="s">
        <v>313</v>
      </c>
      <c r="G178" s="61">
        <v>4000</v>
      </c>
      <c r="H178" s="62" t="s">
        <v>173</v>
      </c>
      <c r="I178" s="62" t="s">
        <v>175</v>
      </c>
      <c r="J178" s="1986" t="s">
        <v>57</v>
      </c>
      <c r="K178" s="72" t="s">
        <v>58</v>
      </c>
      <c r="L178" s="63">
        <v>0.8</v>
      </c>
      <c r="M178" s="416"/>
      <c r="N178" s="415" t="s">
        <v>323</v>
      </c>
      <c r="O178" s="417"/>
      <c r="P178" s="62">
        <v>1</v>
      </c>
      <c r="Q178" s="65">
        <v>0.05</v>
      </c>
      <c r="R178" s="62"/>
      <c r="S178" s="66">
        <f t="shared" si="6"/>
        <v>0</v>
      </c>
      <c r="T178" s="67">
        <f t="shared" si="7"/>
        <v>0</v>
      </c>
      <c r="U178" s="62" t="s">
        <v>34</v>
      </c>
      <c r="V178" s="430"/>
      <c r="W178" s="62"/>
    </row>
    <row r="179" spans="1:23" ht="23.4" x14ac:dyDescent="0.45">
      <c r="A179" s="1">
        <f t="shared" si="8"/>
        <v>178</v>
      </c>
      <c r="B179" s="59" t="s">
        <v>23</v>
      </c>
      <c r="C179" s="57" t="s">
        <v>24</v>
      </c>
      <c r="D179" s="92">
        <v>3713</v>
      </c>
      <c r="E179" s="59" t="s">
        <v>312</v>
      </c>
      <c r="F179" s="60" t="s">
        <v>313</v>
      </c>
      <c r="G179" s="61">
        <v>4000</v>
      </c>
      <c r="H179" s="62" t="s">
        <v>173</v>
      </c>
      <c r="I179" s="62" t="s">
        <v>175</v>
      </c>
      <c r="J179" s="1986" t="s">
        <v>57</v>
      </c>
      <c r="K179" s="72" t="s">
        <v>58</v>
      </c>
      <c r="L179" s="63">
        <v>0.8</v>
      </c>
      <c r="M179" s="416"/>
      <c r="N179" s="415" t="s">
        <v>324</v>
      </c>
      <c r="O179" s="417"/>
      <c r="P179" s="64">
        <v>3</v>
      </c>
      <c r="Q179" s="65">
        <v>0.05</v>
      </c>
      <c r="R179" s="64"/>
      <c r="S179" s="66">
        <f t="shared" si="6"/>
        <v>0</v>
      </c>
      <c r="T179" s="67">
        <f t="shared" si="7"/>
        <v>0</v>
      </c>
      <c r="U179" s="62" t="s">
        <v>34</v>
      </c>
      <c r="V179" s="430"/>
      <c r="W179" s="62"/>
    </row>
    <row r="180" spans="1:23" ht="23.4" x14ac:dyDescent="0.45">
      <c r="A180" s="1">
        <f t="shared" si="8"/>
        <v>179</v>
      </c>
      <c r="B180" s="59" t="s">
        <v>23</v>
      </c>
      <c r="C180" s="57" t="s">
        <v>24</v>
      </c>
      <c r="D180" s="92">
        <v>3713</v>
      </c>
      <c r="E180" s="59" t="s">
        <v>312</v>
      </c>
      <c r="F180" s="60" t="s">
        <v>313</v>
      </c>
      <c r="G180" s="61">
        <v>4000</v>
      </c>
      <c r="H180" s="62" t="s">
        <v>173</v>
      </c>
      <c r="I180" s="62" t="s">
        <v>175</v>
      </c>
      <c r="J180" s="1986" t="s">
        <v>57</v>
      </c>
      <c r="K180" s="72" t="s">
        <v>58</v>
      </c>
      <c r="L180" s="63">
        <v>0.8</v>
      </c>
      <c r="M180" s="416"/>
      <c r="N180" s="415" t="s">
        <v>325</v>
      </c>
      <c r="O180" s="417"/>
      <c r="P180" s="62">
        <v>1</v>
      </c>
      <c r="Q180" s="65">
        <v>0.05</v>
      </c>
      <c r="R180" s="62"/>
      <c r="S180" s="66">
        <f t="shared" si="6"/>
        <v>0</v>
      </c>
      <c r="T180" s="67">
        <f t="shared" si="7"/>
        <v>0</v>
      </c>
      <c r="U180" s="62" t="s">
        <v>34</v>
      </c>
      <c r="V180" s="430"/>
      <c r="W180" s="62"/>
    </row>
    <row r="181" spans="1:23" ht="23.4" x14ac:dyDescent="0.45">
      <c r="A181" s="1">
        <f t="shared" si="8"/>
        <v>180</v>
      </c>
      <c r="B181" s="59" t="s">
        <v>23</v>
      </c>
      <c r="C181" s="57" t="s">
        <v>24</v>
      </c>
      <c r="D181" s="92">
        <v>3713</v>
      </c>
      <c r="E181" s="59" t="s">
        <v>312</v>
      </c>
      <c r="F181" s="60" t="s">
        <v>313</v>
      </c>
      <c r="G181" s="61">
        <v>4000</v>
      </c>
      <c r="H181" s="62" t="s">
        <v>173</v>
      </c>
      <c r="I181" s="62" t="s">
        <v>175</v>
      </c>
      <c r="J181" s="1986" t="s">
        <v>57</v>
      </c>
      <c r="K181" s="72" t="s">
        <v>58</v>
      </c>
      <c r="L181" s="63">
        <v>0.8</v>
      </c>
      <c r="M181" s="416"/>
      <c r="N181" s="415" t="s">
        <v>326</v>
      </c>
      <c r="O181" s="417"/>
      <c r="P181" s="64">
        <v>3</v>
      </c>
      <c r="Q181" s="65">
        <v>0.05</v>
      </c>
      <c r="R181" s="64"/>
      <c r="S181" s="66">
        <f t="shared" si="6"/>
        <v>0</v>
      </c>
      <c r="T181" s="67">
        <f t="shared" si="7"/>
        <v>0</v>
      </c>
      <c r="U181" s="62" t="s">
        <v>34</v>
      </c>
      <c r="V181" s="430"/>
      <c r="W181" s="62"/>
    </row>
    <row r="182" spans="1:23" ht="23.4" x14ac:dyDescent="0.45">
      <c r="A182" s="1">
        <f t="shared" si="8"/>
        <v>181</v>
      </c>
      <c r="B182" s="59" t="s">
        <v>23</v>
      </c>
      <c r="C182" s="57" t="s">
        <v>24</v>
      </c>
      <c r="D182" s="92">
        <v>3713</v>
      </c>
      <c r="E182" s="59" t="s">
        <v>312</v>
      </c>
      <c r="F182" s="60" t="s">
        <v>313</v>
      </c>
      <c r="G182" s="61">
        <v>4000</v>
      </c>
      <c r="H182" s="62" t="s">
        <v>173</v>
      </c>
      <c r="I182" s="62" t="s">
        <v>175</v>
      </c>
      <c r="J182" s="1986" t="s">
        <v>57</v>
      </c>
      <c r="K182" s="72" t="s">
        <v>58</v>
      </c>
      <c r="L182" s="63">
        <v>0.8</v>
      </c>
      <c r="M182" s="416"/>
      <c r="N182" s="415" t="s">
        <v>327</v>
      </c>
      <c r="O182" s="430" t="s">
        <v>328</v>
      </c>
      <c r="P182" s="62">
        <v>1</v>
      </c>
      <c r="Q182" s="65">
        <v>0.05</v>
      </c>
      <c r="R182" s="62"/>
      <c r="S182" s="66">
        <f t="shared" si="6"/>
        <v>0</v>
      </c>
      <c r="T182" s="67">
        <f t="shared" si="7"/>
        <v>0</v>
      </c>
      <c r="U182" s="62" t="s">
        <v>34</v>
      </c>
      <c r="V182" s="430"/>
      <c r="W182" s="62"/>
    </row>
    <row r="183" spans="1:23" ht="23.4" x14ac:dyDescent="0.5">
      <c r="A183" s="1">
        <f t="shared" si="8"/>
        <v>182</v>
      </c>
      <c r="B183" s="59" t="s">
        <v>23</v>
      </c>
      <c r="C183" s="57" t="s">
        <v>24</v>
      </c>
      <c r="D183" s="92">
        <v>3713</v>
      </c>
      <c r="E183" s="59" t="s">
        <v>312</v>
      </c>
      <c r="F183" s="69" t="s">
        <v>313</v>
      </c>
      <c r="G183" s="70">
        <v>4000</v>
      </c>
      <c r="H183" s="71" t="s">
        <v>173</v>
      </c>
      <c r="I183" s="71" t="s">
        <v>175</v>
      </c>
      <c r="J183" s="1986" t="s">
        <v>110</v>
      </c>
      <c r="K183" s="72" t="s">
        <v>111</v>
      </c>
      <c r="L183" s="21">
        <v>0.2</v>
      </c>
      <c r="M183" s="325"/>
      <c r="N183" s="71" t="s">
        <v>251</v>
      </c>
      <c r="O183" s="71"/>
      <c r="P183" s="74">
        <v>1</v>
      </c>
      <c r="Q183" s="75">
        <v>0.25</v>
      </c>
      <c r="R183" s="74"/>
      <c r="S183" s="76">
        <f t="shared" si="6"/>
        <v>0</v>
      </c>
      <c r="T183" s="77">
        <f t="shared" si="7"/>
        <v>0</v>
      </c>
      <c r="U183" s="71" t="s">
        <v>34</v>
      </c>
      <c r="V183" s="71"/>
      <c r="W183" s="71"/>
    </row>
    <row r="184" spans="1:23" ht="23.4" x14ac:dyDescent="0.5">
      <c r="A184" s="1">
        <f t="shared" si="8"/>
        <v>183</v>
      </c>
      <c r="B184" s="59" t="s">
        <v>23</v>
      </c>
      <c r="C184" s="57" t="s">
        <v>24</v>
      </c>
      <c r="D184" s="92">
        <v>3713</v>
      </c>
      <c r="E184" s="59" t="s">
        <v>312</v>
      </c>
      <c r="F184" s="69" t="s">
        <v>313</v>
      </c>
      <c r="G184" s="70">
        <v>4000</v>
      </c>
      <c r="H184" s="71" t="s">
        <v>173</v>
      </c>
      <c r="I184" s="71" t="s">
        <v>175</v>
      </c>
      <c r="J184" s="1986" t="s">
        <v>110</v>
      </c>
      <c r="K184" s="72" t="s">
        <v>111</v>
      </c>
      <c r="L184" s="21">
        <v>0.2</v>
      </c>
      <c r="M184" s="325"/>
      <c r="N184" s="71" t="s">
        <v>252</v>
      </c>
      <c r="O184" s="71"/>
      <c r="P184" s="74">
        <v>1</v>
      </c>
      <c r="Q184" s="75">
        <v>0.25</v>
      </c>
      <c r="R184" s="74"/>
      <c r="S184" s="76">
        <f t="shared" si="6"/>
        <v>0</v>
      </c>
      <c r="T184" s="77">
        <f t="shared" si="7"/>
        <v>0</v>
      </c>
      <c r="U184" s="71" t="s">
        <v>34</v>
      </c>
      <c r="V184" s="71"/>
      <c r="W184" s="71"/>
    </row>
    <row r="185" spans="1:23" ht="23.4" x14ac:dyDescent="0.5">
      <c r="A185" s="1">
        <f t="shared" si="8"/>
        <v>184</v>
      </c>
      <c r="B185" s="59" t="s">
        <v>23</v>
      </c>
      <c r="C185" s="57" t="s">
        <v>24</v>
      </c>
      <c r="D185" s="92">
        <v>3713</v>
      </c>
      <c r="E185" s="59" t="s">
        <v>312</v>
      </c>
      <c r="F185" s="69" t="s">
        <v>313</v>
      </c>
      <c r="G185" s="70">
        <v>4000</v>
      </c>
      <c r="H185" s="71" t="s">
        <v>173</v>
      </c>
      <c r="I185" s="71" t="s">
        <v>175</v>
      </c>
      <c r="J185" s="1986" t="s">
        <v>110</v>
      </c>
      <c r="K185" s="72" t="s">
        <v>111</v>
      </c>
      <c r="L185" s="21">
        <v>0.2</v>
      </c>
      <c r="M185" s="325"/>
      <c r="N185" s="71" t="s">
        <v>253</v>
      </c>
      <c r="O185" s="71"/>
      <c r="P185" s="74">
        <v>1</v>
      </c>
      <c r="Q185" s="75">
        <v>0.2</v>
      </c>
      <c r="R185" s="74"/>
      <c r="S185" s="76">
        <f t="shared" si="6"/>
        <v>0</v>
      </c>
      <c r="T185" s="77">
        <f t="shared" si="7"/>
        <v>0</v>
      </c>
      <c r="U185" s="71" t="s">
        <v>34</v>
      </c>
      <c r="V185" s="71"/>
      <c r="W185" s="71"/>
    </row>
    <row r="186" spans="1:23" ht="23.4" x14ac:dyDescent="0.5">
      <c r="A186" s="1">
        <f t="shared" si="8"/>
        <v>185</v>
      </c>
      <c r="B186" s="59" t="s">
        <v>23</v>
      </c>
      <c r="C186" s="57" t="s">
        <v>24</v>
      </c>
      <c r="D186" s="92">
        <v>3713</v>
      </c>
      <c r="E186" s="59" t="s">
        <v>312</v>
      </c>
      <c r="F186" s="69" t="s">
        <v>313</v>
      </c>
      <c r="G186" s="70">
        <v>4000</v>
      </c>
      <c r="H186" s="71" t="s">
        <v>173</v>
      </c>
      <c r="I186" s="71" t="s">
        <v>175</v>
      </c>
      <c r="J186" s="1986" t="s">
        <v>110</v>
      </c>
      <c r="K186" s="72" t="s">
        <v>111</v>
      </c>
      <c r="L186" s="21">
        <v>0.2</v>
      </c>
      <c r="M186" s="325"/>
      <c r="N186" s="71" t="s">
        <v>254</v>
      </c>
      <c r="O186" s="71"/>
      <c r="P186" s="74">
        <v>1</v>
      </c>
      <c r="Q186" s="75">
        <v>0.15</v>
      </c>
      <c r="R186" s="74"/>
      <c r="S186" s="76">
        <f t="shared" si="6"/>
        <v>0</v>
      </c>
      <c r="T186" s="77">
        <f t="shared" si="7"/>
        <v>0</v>
      </c>
      <c r="U186" s="71" t="s">
        <v>34</v>
      </c>
      <c r="V186" s="71"/>
      <c r="W186" s="71"/>
    </row>
    <row r="187" spans="1:23" ht="23.4" x14ac:dyDescent="0.5">
      <c r="A187" s="1">
        <f t="shared" si="8"/>
        <v>186</v>
      </c>
      <c r="B187" s="59" t="s">
        <v>23</v>
      </c>
      <c r="C187" s="57" t="s">
        <v>24</v>
      </c>
      <c r="D187" s="92">
        <v>3713</v>
      </c>
      <c r="E187" s="59" t="s">
        <v>312</v>
      </c>
      <c r="F187" s="69" t="s">
        <v>313</v>
      </c>
      <c r="G187" s="70">
        <v>4000</v>
      </c>
      <c r="H187" s="71" t="s">
        <v>173</v>
      </c>
      <c r="I187" s="71" t="s">
        <v>175</v>
      </c>
      <c r="J187" s="1986" t="s">
        <v>110</v>
      </c>
      <c r="K187" s="72" t="s">
        <v>111</v>
      </c>
      <c r="L187" s="21">
        <v>0.2</v>
      </c>
      <c r="M187" s="325"/>
      <c r="N187" s="71" t="s">
        <v>255</v>
      </c>
      <c r="O187" s="71"/>
      <c r="P187" s="74">
        <v>1</v>
      </c>
      <c r="Q187" s="75">
        <v>0.15</v>
      </c>
      <c r="R187" s="74"/>
      <c r="S187" s="76">
        <f t="shared" si="6"/>
        <v>0</v>
      </c>
      <c r="T187" s="77">
        <f t="shared" si="7"/>
        <v>0</v>
      </c>
      <c r="U187" s="71" t="s">
        <v>34</v>
      </c>
      <c r="V187" s="71"/>
      <c r="W187" s="71"/>
    </row>
    <row r="188" spans="1:23" ht="23.4" x14ac:dyDescent="0.45">
      <c r="A188" s="1">
        <f t="shared" si="8"/>
        <v>187</v>
      </c>
      <c r="B188" s="99" t="s">
        <v>23</v>
      </c>
      <c r="C188" s="2" t="s">
        <v>24</v>
      </c>
      <c r="D188" s="100">
        <v>3430</v>
      </c>
      <c r="E188" s="99" t="s">
        <v>329</v>
      </c>
      <c r="F188" s="101" t="s">
        <v>330</v>
      </c>
      <c r="G188" s="102">
        <v>4000</v>
      </c>
      <c r="H188" s="103" t="s">
        <v>173</v>
      </c>
      <c r="I188" s="103" t="s">
        <v>175</v>
      </c>
      <c r="J188" s="1988" t="s">
        <v>57</v>
      </c>
      <c r="K188" s="90" t="s">
        <v>58</v>
      </c>
      <c r="L188" s="104">
        <v>0.8</v>
      </c>
      <c r="M188" s="1965"/>
      <c r="N188" s="1965" t="s">
        <v>331</v>
      </c>
      <c r="O188" s="1965" t="s">
        <v>332</v>
      </c>
      <c r="P188" s="105">
        <v>1</v>
      </c>
      <c r="Q188" s="106">
        <v>0.2</v>
      </c>
      <c r="R188" s="105"/>
      <c r="S188" s="14">
        <f t="shared" si="6"/>
        <v>0</v>
      </c>
      <c r="T188" s="51">
        <f t="shared" si="7"/>
        <v>0</v>
      </c>
      <c r="U188" s="103" t="s">
        <v>34</v>
      </c>
      <c r="V188" s="1955">
        <f>SUM(T188:T202)%</f>
        <v>0</v>
      </c>
      <c r="W188" s="103"/>
    </row>
    <row r="189" spans="1:23" ht="23.4" x14ac:dyDescent="0.45">
      <c r="A189" s="1">
        <f t="shared" si="8"/>
        <v>188</v>
      </c>
      <c r="B189" s="59" t="s">
        <v>23</v>
      </c>
      <c r="C189" s="57" t="s">
        <v>24</v>
      </c>
      <c r="D189" s="92">
        <v>3430</v>
      </c>
      <c r="E189" s="59" t="s">
        <v>329</v>
      </c>
      <c r="F189" s="60" t="s">
        <v>330</v>
      </c>
      <c r="G189" s="61">
        <v>4000</v>
      </c>
      <c r="H189" s="62" t="s">
        <v>173</v>
      </c>
      <c r="I189" s="62" t="s">
        <v>175</v>
      </c>
      <c r="J189" s="1986" t="s">
        <v>57</v>
      </c>
      <c r="K189" s="72" t="s">
        <v>58</v>
      </c>
      <c r="L189" s="63">
        <v>0.8</v>
      </c>
      <c r="M189" s="1966"/>
      <c r="N189" s="1966" t="s">
        <v>333</v>
      </c>
      <c r="O189" s="1966" t="s">
        <v>334</v>
      </c>
      <c r="P189" s="107">
        <v>1</v>
      </c>
      <c r="Q189" s="108">
        <v>0.15</v>
      </c>
      <c r="R189" s="107"/>
      <c r="S189" s="66">
        <f t="shared" si="6"/>
        <v>0</v>
      </c>
      <c r="T189" s="67">
        <f t="shared" si="7"/>
        <v>0</v>
      </c>
      <c r="U189" s="62" t="s">
        <v>34</v>
      </c>
      <c r="V189" s="430"/>
      <c r="W189" s="62"/>
    </row>
    <row r="190" spans="1:23" ht="23.4" x14ac:dyDescent="0.45">
      <c r="A190" s="1">
        <f t="shared" si="8"/>
        <v>189</v>
      </c>
      <c r="B190" s="59" t="s">
        <v>23</v>
      </c>
      <c r="C190" s="57" t="s">
        <v>24</v>
      </c>
      <c r="D190" s="92">
        <v>3430</v>
      </c>
      <c r="E190" s="59" t="s">
        <v>329</v>
      </c>
      <c r="F190" s="60" t="s">
        <v>330</v>
      </c>
      <c r="G190" s="61">
        <v>4000</v>
      </c>
      <c r="H190" s="62" t="s">
        <v>173</v>
      </c>
      <c r="I190" s="62" t="s">
        <v>175</v>
      </c>
      <c r="J190" s="1986" t="s">
        <v>57</v>
      </c>
      <c r="K190" s="72" t="s">
        <v>58</v>
      </c>
      <c r="L190" s="63">
        <v>0.8</v>
      </c>
      <c r="M190" s="1966"/>
      <c r="N190" s="1966" t="s">
        <v>335</v>
      </c>
      <c r="O190" s="1966" t="s">
        <v>336</v>
      </c>
      <c r="P190" s="107">
        <v>1</v>
      </c>
      <c r="Q190" s="108">
        <v>0.05</v>
      </c>
      <c r="R190" s="107"/>
      <c r="S190" s="66">
        <f t="shared" si="6"/>
        <v>0</v>
      </c>
      <c r="T190" s="67">
        <f t="shared" si="7"/>
        <v>0</v>
      </c>
      <c r="U190" s="62" t="s">
        <v>34</v>
      </c>
      <c r="V190" s="430"/>
      <c r="W190" s="62"/>
    </row>
    <row r="191" spans="1:23" ht="23.4" x14ac:dyDescent="0.45">
      <c r="A191" s="1">
        <f t="shared" si="8"/>
        <v>190</v>
      </c>
      <c r="B191" s="59" t="s">
        <v>23</v>
      </c>
      <c r="C191" s="57" t="s">
        <v>24</v>
      </c>
      <c r="D191" s="92">
        <v>3430</v>
      </c>
      <c r="E191" s="59" t="s">
        <v>329</v>
      </c>
      <c r="F191" s="60" t="s">
        <v>330</v>
      </c>
      <c r="G191" s="61">
        <v>4000</v>
      </c>
      <c r="H191" s="62" t="s">
        <v>173</v>
      </c>
      <c r="I191" s="62" t="s">
        <v>175</v>
      </c>
      <c r="J191" s="1986" t="s">
        <v>57</v>
      </c>
      <c r="K191" s="72" t="s">
        <v>58</v>
      </c>
      <c r="L191" s="63">
        <v>0.8</v>
      </c>
      <c r="M191" s="1966"/>
      <c r="N191" s="1966" t="s">
        <v>337</v>
      </c>
      <c r="O191" s="1966" t="s">
        <v>336</v>
      </c>
      <c r="P191" s="107">
        <v>1</v>
      </c>
      <c r="Q191" s="108">
        <v>0.15</v>
      </c>
      <c r="R191" s="107"/>
      <c r="S191" s="66">
        <f t="shared" si="6"/>
        <v>0</v>
      </c>
      <c r="T191" s="67">
        <f t="shared" si="7"/>
        <v>0</v>
      </c>
      <c r="U191" s="62" t="s">
        <v>34</v>
      </c>
      <c r="V191" s="430"/>
      <c r="W191" s="62"/>
    </row>
    <row r="192" spans="1:23" ht="23.4" x14ac:dyDescent="0.45">
      <c r="A192" s="1">
        <f t="shared" si="8"/>
        <v>191</v>
      </c>
      <c r="B192" s="59" t="s">
        <v>23</v>
      </c>
      <c r="C192" s="57" t="s">
        <v>24</v>
      </c>
      <c r="D192" s="92">
        <v>3430</v>
      </c>
      <c r="E192" s="59" t="s">
        <v>329</v>
      </c>
      <c r="F192" s="60" t="s">
        <v>330</v>
      </c>
      <c r="G192" s="61">
        <v>4000</v>
      </c>
      <c r="H192" s="62" t="s">
        <v>173</v>
      </c>
      <c r="I192" s="62" t="s">
        <v>175</v>
      </c>
      <c r="J192" s="1986" t="s">
        <v>57</v>
      </c>
      <c r="K192" s="72" t="s">
        <v>58</v>
      </c>
      <c r="L192" s="63">
        <v>0.8</v>
      </c>
      <c r="M192" s="1966"/>
      <c r="N192" s="1966" t="s">
        <v>338</v>
      </c>
      <c r="O192" s="1966" t="s">
        <v>336</v>
      </c>
      <c r="P192" s="107">
        <v>1</v>
      </c>
      <c r="Q192" s="108">
        <v>0.1</v>
      </c>
      <c r="R192" s="107"/>
      <c r="S192" s="66">
        <f t="shared" si="6"/>
        <v>0</v>
      </c>
      <c r="T192" s="67">
        <f t="shared" si="7"/>
        <v>0</v>
      </c>
      <c r="U192" s="62" t="s">
        <v>34</v>
      </c>
      <c r="V192" s="430"/>
      <c r="W192" s="62"/>
    </row>
    <row r="193" spans="1:23" ht="23.4" x14ac:dyDescent="0.45">
      <c r="A193" s="1">
        <f t="shared" si="8"/>
        <v>192</v>
      </c>
      <c r="B193" s="59" t="s">
        <v>23</v>
      </c>
      <c r="C193" s="57" t="s">
        <v>24</v>
      </c>
      <c r="D193" s="92">
        <v>3430</v>
      </c>
      <c r="E193" s="59" t="s">
        <v>329</v>
      </c>
      <c r="F193" s="60" t="s">
        <v>330</v>
      </c>
      <c r="G193" s="61">
        <v>4000</v>
      </c>
      <c r="H193" s="62" t="s">
        <v>173</v>
      </c>
      <c r="I193" s="62" t="s">
        <v>175</v>
      </c>
      <c r="J193" s="1986" t="s">
        <v>57</v>
      </c>
      <c r="K193" s="72" t="s">
        <v>58</v>
      </c>
      <c r="L193" s="63">
        <v>0.8</v>
      </c>
      <c r="M193" s="1966"/>
      <c r="N193" s="1966" t="s">
        <v>339</v>
      </c>
      <c r="O193" s="1966" t="s">
        <v>336</v>
      </c>
      <c r="P193" s="107">
        <v>1</v>
      </c>
      <c r="Q193" s="108">
        <v>0.1</v>
      </c>
      <c r="R193" s="107"/>
      <c r="S193" s="66">
        <f t="shared" si="6"/>
        <v>0</v>
      </c>
      <c r="T193" s="67">
        <f t="shared" si="7"/>
        <v>0</v>
      </c>
      <c r="U193" s="62" t="s">
        <v>34</v>
      </c>
      <c r="V193" s="430"/>
      <c r="W193" s="62"/>
    </row>
    <row r="194" spans="1:23" ht="23.4" x14ac:dyDescent="0.45">
      <c r="A194" s="1">
        <f t="shared" si="8"/>
        <v>193</v>
      </c>
      <c r="B194" s="59" t="s">
        <v>23</v>
      </c>
      <c r="C194" s="57" t="s">
        <v>24</v>
      </c>
      <c r="D194" s="92">
        <v>3430</v>
      </c>
      <c r="E194" s="59" t="s">
        <v>329</v>
      </c>
      <c r="F194" s="60" t="s">
        <v>330</v>
      </c>
      <c r="G194" s="61">
        <v>4000</v>
      </c>
      <c r="H194" s="62" t="s">
        <v>173</v>
      </c>
      <c r="I194" s="62" t="s">
        <v>175</v>
      </c>
      <c r="J194" s="1986" t="s">
        <v>57</v>
      </c>
      <c r="K194" s="72" t="s">
        <v>58</v>
      </c>
      <c r="L194" s="63">
        <v>0.8</v>
      </c>
      <c r="M194" s="1966"/>
      <c r="N194" s="1966" t="s">
        <v>340</v>
      </c>
      <c r="O194" s="1966" t="s">
        <v>336</v>
      </c>
      <c r="P194" s="107">
        <v>1</v>
      </c>
      <c r="Q194" s="108">
        <v>0.1</v>
      </c>
      <c r="R194" s="107"/>
      <c r="S194" s="66">
        <f t="shared" ref="S194:S257" si="9">ROUND(IF(OR(P194="",R194=""),0,IF(AND(P194=0,R194=0),1,IF(U194="+",R194/P194,P194/R194))),2)</f>
        <v>0</v>
      </c>
      <c r="T194" s="67">
        <f t="shared" ref="T194:T257" si="10">IF(AND(S194&gt;=60%,S194&lt;100%),S194*((Q194*L194)),IF(S194=100%,((Q194*L194)*S194)*100%,IF(S194&gt;100%,((L194*Q194)*100%)*100%,0)))*100</f>
        <v>0</v>
      </c>
      <c r="U194" s="62" t="s">
        <v>34</v>
      </c>
      <c r="V194" s="430"/>
      <c r="W194" s="62"/>
    </row>
    <row r="195" spans="1:23" ht="23.4" x14ac:dyDescent="0.45">
      <c r="A195" s="1">
        <f t="shared" si="8"/>
        <v>194</v>
      </c>
      <c r="B195" s="59" t="s">
        <v>23</v>
      </c>
      <c r="C195" s="57" t="s">
        <v>24</v>
      </c>
      <c r="D195" s="92">
        <v>3430</v>
      </c>
      <c r="E195" s="59" t="s">
        <v>329</v>
      </c>
      <c r="F195" s="60" t="s">
        <v>330</v>
      </c>
      <c r="G195" s="61">
        <v>4000</v>
      </c>
      <c r="H195" s="62" t="s">
        <v>173</v>
      </c>
      <c r="I195" s="62" t="s">
        <v>175</v>
      </c>
      <c r="J195" s="1986" t="s">
        <v>57</v>
      </c>
      <c r="K195" s="72" t="s">
        <v>58</v>
      </c>
      <c r="L195" s="63">
        <v>0.8</v>
      </c>
      <c r="M195" s="1966"/>
      <c r="N195" s="1966" t="s">
        <v>341</v>
      </c>
      <c r="O195" s="1966" t="s">
        <v>342</v>
      </c>
      <c r="P195" s="64">
        <v>90</v>
      </c>
      <c r="Q195" s="108">
        <v>0.15</v>
      </c>
      <c r="R195" s="64"/>
      <c r="S195" s="66">
        <f t="shared" si="9"/>
        <v>0</v>
      </c>
      <c r="T195" s="67">
        <f t="shared" si="10"/>
        <v>0</v>
      </c>
      <c r="U195" s="62" t="s">
        <v>34</v>
      </c>
      <c r="V195" s="430"/>
      <c r="W195" s="62"/>
    </row>
    <row r="196" spans="1:23" ht="23.4" x14ac:dyDescent="0.45">
      <c r="A196" s="1">
        <f t="shared" ref="A196:A259" si="11">ROW()-1</f>
        <v>195</v>
      </c>
      <c r="B196" s="59" t="s">
        <v>23</v>
      </c>
      <c r="C196" s="57" t="s">
        <v>24</v>
      </c>
      <c r="D196" s="92">
        <v>3430</v>
      </c>
      <c r="E196" s="59" t="s">
        <v>329</v>
      </c>
      <c r="F196" s="82" t="s">
        <v>330</v>
      </c>
      <c r="G196" s="83">
        <v>4000</v>
      </c>
      <c r="H196" s="84" t="s">
        <v>173</v>
      </c>
      <c r="I196" s="84" t="s">
        <v>175</v>
      </c>
      <c r="J196" s="1986" t="s">
        <v>110</v>
      </c>
      <c r="K196" s="72" t="s">
        <v>111</v>
      </c>
      <c r="L196" s="109">
        <v>0.2</v>
      </c>
      <c r="M196" s="1967"/>
      <c r="N196" s="1968" t="s">
        <v>343</v>
      </c>
      <c r="O196" s="1968"/>
      <c r="P196" s="110">
        <v>1</v>
      </c>
      <c r="Q196" s="111">
        <v>0.3</v>
      </c>
      <c r="R196" s="110"/>
      <c r="S196" s="76">
        <f t="shared" si="9"/>
        <v>0</v>
      </c>
      <c r="T196" s="77">
        <f t="shared" si="10"/>
        <v>0</v>
      </c>
      <c r="U196" s="84" t="s">
        <v>34</v>
      </c>
      <c r="V196" s="71"/>
      <c r="W196" s="84"/>
    </row>
    <row r="197" spans="1:23" ht="23.4" x14ac:dyDescent="0.5">
      <c r="A197" s="1">
        <f t="shared" si="11"/>
        <v>196</v>
      </c>
      <c r="B197" s="59" t="s">
        <v>23</v>
      </c>
      <c r="C197" s="57" t="s">
        <v>24</v>
      </c>
      <c r="D197" s="92">
        <v>3430</v>
      </c>
      <c r="E197" s="59" t="s">
        <v>329</v>
      </c>
      <c r="F197" s="69" t="s">
        <v>330</v>
      </c>
      <c r="G197" s="70">
        <v>4000</v>
      </c>
      <c r="H197" s="71" t="s">
        <v>173</v>
      </c>
      <c r="I197" s="71" t="s">
        <v>175</v>
      </c>
      <c r="J197" s="1986" t="s">
        <v>110</v>
      </c>
      <c r="K197" s="72" t="s">
        <v>111</v>
      </c>
      <c r="L197" s="21">
        <v>0.2</v>
      </c>
      <c r="M197" s="325"/>
      <c r="N197" s="71" t="s">
        <v>251</v>
      </c>
      <c r="O197" s="71"/>
      <c r="P197" s="74">
        <v>1</v>
      </c>
      <c r="Q197" s="75">
        <v>0.14000000000000001</v>
      </c>
      <c r="R197" s="74"/>
      <c r="S197" s="76">
        <f t="shared" si="9"/>
        <v>0</v>
      </c>
      <c r="T197" s="77">
        <f t="shared" si="10"/>
        <v>0</v>
      </c>
      <c r="U197" s="71" t="s">
        <v>34</v>
      </c>
      <c r="V197" s="71"/>
      <c r="W197" s="71"/>
    </row>
    <row r="198" spans="1:23" ht="23.4" x14ac:dyDescent="0.5">
      <c r="A198" s="1">
        <f t="shared" si="11"/>
        <v>197</v>
      </c>
      <c r="B198" s="59" t="s">
        <v>23</v>
      </c>
      <c r="C198" s="57" t="s">
        <v>24</v>
      </c>
      <c r="D198" s="92">
        <v>3430</v>
      </c>
      <c r="E198" s="59" t="s">
        <v>329</v>
      </c>
      <c r="F198" s="69" t="s">
        <v>330</v>
      </c>
      <c r="G198" s="70">
        <v>4000</v>
      </c>
      <c r="H198" s="71" t="s">
        <v>173</v>
      </c>
      <c r="I198" s="71" t="s">
        <v>175</v>
      </c>
      <c r="J198" s="1986" t="s">
        <v>110</v>
      </c>
      <c r="K198" s="72" t="s">
        <v>111</v>
      </c>
      <c r="L198" s="21">
        <v>0.2</v>
      </c>
      <c r="M198" s="325"/>
      <c r="N198" s="71" t="s">
        <v>252</v>
      </c>
      <c r="O198" s="71"/>
      <c r="P198" s="74">
        <v>1</v>
      </c>
      <c r="Q198" s="75">
        <v>0.14000000000000001</v>
      </c>
      <c r="R198" s="74"/>
      <c r="S198" s="76">
        <f t="shared" si="9"/>
        <v>0</v>
      </c>
      <c r="T198" s="77">
        <f t="shared" si="10"/>
        <v>0</v>
      </c>
      <c r="U198" s="71" t="s">
        <v>34</v>
      </c>
      <c r="V198" s="71"/>
      <c r="W198" s="71"/>
    </row>
    <row r="199" spans="1:23" ht="23.4" x14ac:dyDescent="0.5">
      <c r="A199" s="1">
        <f t="shared" si="11"/>
        <v>198</v>
      </c>
      <c r="B199" s="59" t="s">
        <v>23</v>
      </c>
      <c r="C199" s="57" t="s">
        <v>24</v>
      </c>
      <c r="D199" s="92">
        <v>3430</v>
      </c>
      <c r="E199" s="59" t="s">
        <v>329</v>
      </c>
      <c r="F199" s="69" t="s">
        <v>330</v>
      </c>
      <c r="G199" s="70">
        <v>4000</v>
      </c>
      <c r="H199" s="71" t="s">
        <v>173</v>
      </c>
      <c r="I199" s="71" t="s">
        <v>175</v>
      </c>
      <c r="J199" s="1986" t="s">
        <v>110</v>
      </c>
      <c r="K199" s="72" t="s">
        <v>111</v>
      </c>
      <c r="L199" s="21">
        <v>0.2</v>
      </c>
      <c r="M199" s="325"/>
      <c r="N199" s="71" t="s">
        <v>253</v>
      </c>
      <c r="O199" s="71"/>
      <c r="P199" s="74">
        <v>1</v>
      </c>
      <c r="Q199" s="75">
        <v>0.14000000000000001</v>
      </c>
      <c r="R199" s="74"/>
      <c r="S199" s="76">
        <f t="shared" si="9"/>
        <v>0</v>
      </c>
      <c r="T199" s="77">
        <f t="shared" si="10"/>
        <v>0</v>
      </c>
      <c r="U199" s="71" t="s">
        <v>34</v>
      </c>
      <c r="V199" s="71"/>
      <c r="W199" s="71"/>
    </row>
    <row r="200" spans="1:23" ht="23.4" x14ac:dyDescent="0.5">
      <c r="A200" s="1">
        <f t="shared" si="11"/>
        <v>199</v>
      </c>
      <c r="B200" s="59" t="s">
        <v>23</v>
      </c>
      <c r="C200" s="57" t="s">
        <v>24</v>
      </c>
      <c r="D200" s="92">
        <v>3430</v>
      </c>
      <c r="E200" s="59" t="s">
        <v>329</v>
      </c>
      <c r="F200" s="69" t="s">
        <v>330</v>
      </c>
      <c r="G200" s="70">
        <v>4000</v>
      </c>
      <c r="H200" s="71" t="s">
        <v>173</v>
      </c>
      <c r="I200" s="71" t="s">
        <v>175</v>
      </c>
      <c r="J200" s="1986" t="s">
        <v>110</v>
      </c>
      <c r="K200" s="72" t="s">
        <v>111</v>
      </c>
      <c r="L200" s="21">
        <v>0.2</v>
      </c>
      <c r="M200" s="325"/>
      <c r="N200" s="71" t="s">
        <v>254</v>
      </c>
      <c r="O200" s="71"/>
      <c r="P200" s="74">
        <v>1</v>
      </c>
      <c r="Q200" s="75">
        <v>0.1</v>
      </c>
      <c r="R200" s="74"/>
      <c r="S200" s="76">
        <f t="shared" si="9"/>
        <v>0</v>
      </c>
      <c r="T200" s="77">
        <f t="shared" si="10"/>
        <v>0</v>
      </c>
      <c r="U200" s="71" t="s">
        <v>34</v>
      </c>
      <c r="V200" s="71"/>
      <c r="W200" s="71"/>
    </row>
    <row r="201" spans="1:23" ht="23.4" x14ac:dyDescent="0.5">
      <c r="A201" s="1">
        <f t="shared" si="11"/>
        <v>200</v>
      </c>
      <c r="B201" s="59" t="s">
        <v>23</v>
      </c>
      <c r="C201" s="57" t="s">
        <v>24</v>
      </c>
      <c r="D201" s="92">
        <v>3430</v>
      </c>
      <c r="E201" s="59" t="s">
        <v>329</v>
      </c>
      <c r="F201" s="69" t="s">
        <v>330</v>
      </c>
      <c r="G201" s="70">
        <v>4000</v>
      </c>
      <c r="H201" s="71" t="s">
        <v>173</v>
      </c>
      <c r="I201" s="71" t="s">
        <v>175</v>
      </c>
      <c r="J201" s="1986" t="s">
        <v>110</v>
      </c>
      <c r="K201" s="72" t="s">
        <v>111</v>
      </c>
      <c r="L201" s="21">
        <v>0.2</v>
      </c>
      <c r="M201" s="325"/>
      <c r="N201" s="71" t="s">
        <v>255</v>
      </c>
      <c r="O201" s="71"/>
      <c r="P201" s="74">
        <v>1</v>
      </c>
      <c r="Q201" s="75">
        <v>0.1</v>
      </c>
      <c r="R201" s="74"/>
      <c r="S201" s="76">
        <f t="shared" si="9"/>
        <v>0</v>
      </c>
      <c r="T201" s="77">
        <f t="shared" si="10"/>
        <v>0</v>
      </c>
      <c r="U201" s="71" t="s">
        <v>34</v>
      </c>
      <c r="V201" s="71"/>
      <c r="W201" s="71"/>
    </row>
    <row r="202" spans="1:23" ht="23.4" x14ac:dyDescent="0.5">
      <c r="A202" s="1">
        <f t="shared" si="11"/>
        <v>201</v>
      </c>
      <c r="B202" s="59" t="s">
        <v>23</v>
      </c>
      <c r="C202" s="57" t="s">
        <v>24</v>
      </c>
      <c r="D202" s="92">
        <v>3430</v>
      </c>
      <c r="E202" s="59" t="s">
        <v>329</v>
      </c>
      <c r="F202" s="69" t="s">
        <v>330</v>
      </c>
      <c r="G202" s="70">
        <v>4000</v>
      </c>
      <c r="H202" s="71" t="s">
        <v>173</v>
      </c>
      <c r="I202" s="71" t="s">
        <v>175</v>
      </c>
      <c r="J202" s="1986" t="s">
        <v>110</v>
      </c>
      <c r="K202" s="72" t="s">
        <v>111</v>
      </c>
      <c r="L202" s="21">
        <v>0.2</v>
      </c>
      <c r="M202" s="325"/>
      <c r="N202" s="71" t="s">
        <v>344</v>
      </c>
      <c r="O202" s="71"/>
      <c r="P202" s="74">
        <v>1</v>
      </c>
      <c r="Q202" s="75">
        <v>0.08</v>
      </c>
      <c r="R202" s="74"/>
      <c r="S202" s="76">
        <f t="shared" si="9"/>
        <v>0</v>
      </c>
      <c r="T202" s="77">
        <f t="shared" si="10"/>
        <v>0</v>
      </c>
      <c r="U202" s="71" t="s">
        <v>34</v>
      </c>
      <c r="V202" s="71"/>
      <c r="W202" s="71"/>
    </row>
    <row r="203" spans="1:23" ht="23.4" x14ac:dyDescent="0.45">
      <c r="A203" s="1">
        <f t="shared" si="11"/>
        <v>202</v>
      </c>
      <c r="B203" s="2" t="s">
        <v>23</v>
      </c>
      <c r="C203" s="2" t="s">
        <v>24</v>
      </c>
      <c r="D203" s="49">
        <v>3949</v>
      </c>
      <c r="E203" s="2" t="s">
        <v>345</v>
      </c>
      <c r="F203" s="93" t="s">
        <v>346</v>
      </c>
      <c r="G203" s="94">
        <v>4051</v>
      </c>
      <c r="H203" s="95" t="s">
        <v>25</v>
      </c>
      <c r="I203" s="95" t="s">
        <v>28</v>
      </c>
      <c r="J203" s="1989" t="s">
        <v>57</v>
      </c>
      <c r="K203" s="96" t="s">
        <v>58</v>
      </c>
      <c r="L203" s="9">
        <v>1</v>
      </c>
      <c r="M203" s="3" t="s">
        <v>347</v>
      </c>
      <c r="N203" s="473" t="s">
        <v>348</v>
      </c>
      <c r="O203" s="473"/>
      <c r="P203" s="112">
        <v>1</v>
      </c>
      <c r="Q203" s="98">
        <v>0.2</v>
      </c>
      <c r="R203" s="112"/>
      <c r="S203" s="14">
        <f t="shared" si="9"/>
        <v>0</v>
      </c>
      <c r="T203" s="51">
        <f t="shared" si="10"/>
        <v>0</v>
      </c>
      <c r="U203" s="95" t="s">
        <v>34</v>
      </c>
      <c r="V203" s="1956">
        <f>SUM(T203:T216)%</f>
        <v>0</v>
      </c>
      <c r="W203" s="95"/>
    </row>
    <row r="204" spans="1:23" ht="23.4" x14ac:dyDescent="0.45">
      <c r="A204" s="1">
        <f t="shared" si="11"/>
        <v>203</v>
      </c>
      <c r="B204" s="113" t="s">
        <v>23</v>
      </c>
      <c r="C204" s="15" t="s">
        <v>24</v>
      </c>
      <c r="D204" s="114">
        <v>3949</v>
      </c>
      <c r="E204" s="113" t="s">
        <v>345</v>
      </c>
      <c r="F204" s="60" t="s">
        <v>346</v>
      </c>
      <c r="G204" s="61">
        <v>4051</v>
      </c>
      <c r="H204" s="62" t="s">
        <v>25</v>
      </c>
      <c r="I204" s="62" t="s">
        <v>28</v>
      </c>
      <c r="J204" s="1990" t="s">
        <v>57</v>
      </c>
      <c r="K204" s="115" t="s">
        <v>58</v>
      </c>
      <c r="L204" s="63">
        <v>1</v>
      </c>
      <c r="M204" s="415" t="s">
        <v>349</v>
      </c>
      <c r="N204" s="416" t="s">
        <v>350</v>
      </c>
      <c r="O204" s="417"/>
      <c r="P204" s="61">
        <v>1</v>
      </c>
      <c r="Q204" s="65">
        <v>0.1</v>
      </c>
      <c r="R204" s="61"/>
      <c r="S204" s="66">
        <f t="shared" si="9"/>
        <v>0</v>
      </c>
      <c r="T204" s="67">
        <f t="shared" si="10"/>
        <v>0</v>
      </c>
      <c r="U204" s="62" t="s">
        <v>34</v>
      </c>
      <c r="V204" s="116"/>
      <c r="W204" s="62"/>
    </row>
    <row r="205" spans="1:23" ht="23.4" x14ac:dyDescent="0.45">
      <c r="A205" s="1">
        <f t="shared" si="11"/>
        <v>204</v>
      </c>
      <c r="B205" s="113" t="s">
        <v>23</v>
      </c>
      <c r="C205" s="15" t="s">
        <v>24</v>
      </c>
      <c r="D205" s="114">
        <v>3949</v>
      </c>
      <c r="E205" s="113" t="s">
        <v>345</v>
      </c>
      <c r="F205" s="60" t="s">
        <v>346</v>
      </c>
      <c r="G205" s="61">
        <v>4051</v>
      </c>
      <c r="H205" s="62" t="s">
        <v>25</v>
      </c>
      <c r="I205" s="62" t="s">
        <v>28</v>
      </c>
      <c r="J205" s="1990" t="s">
        <v>57</v>
      </c>
      <c r="K205" s="115" t="s">
        <v>58</v>
      </c>
      <c r="L205" s="63">
        <v>1</v>
      </c>
      <c r="M205" s="415" t="s">
        <v>351</v>
      </c>
      <c r="N205" s="416" t="s">
        <v>352</v>
      </c>
      <c r="O205" s="417"/>
      <c r="P205" s="61">
        <v>1</v>
      </c>
      <c r="Q205" s="65">
        <v>0.1</v>
      </c>
      <c r="R205" s="61"/>
      <c r="S205" s="66">
        <f t="shared" si="9"/>
        <v>0</v>
      </c>
      <c r="T205" s="67">
        <f t="shared" si="10"/>
        <v>0</v>
      </c>
      <c r="U205" s="62" t="s">
        <v>34</v>
      </c>
      <c r="V205" s="116"/>
      <c r="W205" s="62"/>
    </row>
    <row r="206" spans="1:23" ht="23.4" x14ac:dyDescent="0.45">
      <c r="A206" s="1">
        <f t="shared" si="11"/>
        <v>205</v>
      </c>
      <c r="B206" s="113" t="s">
        <v>23</v>
      </c>
      <c r="C206" s="15" t="s">
        <v>24</v>
      </c>
      <c r="D206" s="114">
        <v>3949</v>
      </c>
      <c r="E206" s="113" t="s">
        <v>345</v>
      </c>
      <c r="F206" s="60" t="s">
        <v>346</v>
      </c>
      <c r="G206" s="61">
        <v>4051</v>
      </c>
      <c r="H206" s="62" t="s">
        <v>25</v>
      </c>
      <c r="I206" s="62" t="s">
        <v>28</v>
      </c>
      <c r="J206" s="1990" t="s">
        <v>57</v>
      </c>
      <c r="K206" s="115" t="s">
        <v>58</v>
      </c>
      <c r="L206" s="63">
        <v>1</v>
      </c>
      <c r="M206" s="415" t="s">
        <v>353</v>
      </c>
      <c r="N206" s="416" t="s">
        <v>354</v>
      </c>
      <c r="O206" s="417"/>
      <c r="P206" s="61">
        <v>1</v>
      </c>
      <c r="Q206" s="65">
        <v>0.05</v>
      </c>
      <c r="R206" s="61"/>
      <c r="S206" s="66">
        <f t="shared" si="9"/>
        <v>0</v>
      </c>
      <c r="T206" s="67">
        <f t="shared" si="10"/>
        <v>0</v>
      </c>
      <c r="U206" s="62" t="s">
        <v>34</v>
      </c>
      <c r="V206" s="116"/>
      <c r="W206" s="62"/>
    </row>
    <row r="207" spans="1:23" ht="23.4" x14ac:dyDescent="0.45">
      <c r="A207" s="1">
        <f t="shared" si="11"/>
        <v>206</v>
      </c>
      <c r="B207" s="113" t="s">
        <v>23</v>
      </c>
      <c r="C207" s="15" t="s">
        <v>24</v>
      </c>
      <c r="D207" s="114">
        <v>3949</v>
      </c>
      <c r="E207" s="113" t="s">
        <v>345</v>
      </c>
      <c r="F207" s="60" t="s">
        <v>346</v>
      </c>
      <c r="G207" s="61">
        <v>4051</v>
      </c>
      <c r="H207" s="62" t="s">
        <v>25</v>
      </c>
      <c r="I207" s="62" t="s">
        <v>28</v>
      </c>
      <c r="J207" s="1990" t="s">
        <v>57</v>
      </c>
      <c r="K207" s="115" t="s">
        <v>58</v>
      </c>
      <c r="L207" s="63">
        <v>1</v>
      </c>
      <c r="M207" s="415" t="s">
        <v>355</v>
      </c>
      <c r="N207" s="416" t="s">
        <v>356</v>
      </c>
      <c r="O207" s="417"/>
      <c r="P207" s="61">
        <v>9</v>
      </c>
      <c r="Q207" s="65">
        <v>0.05</v>
      </c>
      <c r="R207" s="61"/>
      <c r="S207" s="66">
        <f t="shared" si="9"/>
        <v>0</v>
      </c>
      <c r="T207" s="67">
        <f t="shared" si="10"/>
        <v>0</v>
      </c>
      <c r="U207" s="62" t="s">
        <v>34</v>
      </c>
      <c r="V207" s="116"/>
      <c r="W207" s="62"/>
    </row>
    <row r="208" spans="1:23" ht="23.4" x14ac:dyDescent="0.45">
      <c r="A208" s="1">
        <f t="shared" si="11"/>
        <v>207</v>
      </c>
      <c r="B208" s="113" t="s">
        <v>23</v>
      </c>
      <c r="C208" s="15" t="s">
        <v>24</v>
      </c>
      <c r="D208" s="114">
        <v>3949</v>
      </c>
      <c r="E208" s="113" t="s">
        <v>345</v>
      </c>
      <c r="F208" s="60" t="s">
        <v>346</v>
      </c>
      <c r="G208" s="61">
        <v>4051</v>
      </c>
      <c r="H208" s="62" t="s">
        <v>25</v>
      </c>
      <c r="I208" s="62" t="s">
        <v>28</v>
      </c>
      <c r="J208" s="1990" t="s">
        <v>57</v>
      </c>
      <c r="K208" s="115" t="s">
        <v>58</v>
      </c>
      <c r="L208" s="63">
        <v>1</v>
      </c>
      <c r="M208" s="415" t="s">
        <v>357</v>
      </c>
      <c r="N208" s="416" t="s">
        <v>358</v>
      </c>
      <c r="O208" s="417"/>
      <c r="P208" s="61">
        <v>0</v>
      </c>
      <c r="Q208" s="65">
        <v>0.05</v>
      </c>
      <c r="R208" s="61"/>
      <c r="S208" s="66">
        <f t="shared" si="9"/>
        <v>0</v>
      </c>
      <c r="T208" s="67">
        <f t="shared" si="10"/>
        <v>0</v>
      </c>
      <c r="U208" s="62" t="s">
        <v>83</v>
      </c>
      <c r="V208" s="116"/>
      <c r="W208" s="62"/>
    </row>
    <row r="209" spans="1:23" ht="23.4" x14ac:dyDescent="0.45">
      <c r="A209" s="1">
        <f t="shared" si="11"/>
        <v>208</v>
      </c>
      <c r="B209" s="113" t="s">
        <v>23</v>
      </c>
      <c r="C209" s="15" t="s">
        <v>24</v>
      </c>
      <c r="D209" s="114">
        <v>3949</v>
      </c>
      <c r="E209" s="113" t="s">
        <v>345</v>
      </c>
      <c r="F209" s="60" t="s">
        <v>346</v>
      </c>
      <c r="G209" s="61">
        <v>4051</v>
      </c>
      <c r="H209" s="62" t="s">
        <v>25</v>
      </c>
      <c r="I209" s="62" t="s">
        <v>28</v>
      </c>
      <c r="J209" s="1990" t="s">
        <v>57</v>
      </c>
      <c r="K209" s="115" t="s">
        <v>58</v>
      </c>
      <c r="L209" s="63">
        <v>1</v>
      </c>
      <c r="M209" s="415" t="s">
        <v>359</v>
      </c>
      <c r="N209" s="416" t="s">
        <v>360</v>
      </c>
      <c r="O209" s="417" t="s">
        <v>361</v>
      </c>
      <c r="P209" s="61">
        <v>9</v>
      </c>
      <c r="Q209" s="65">
        <v>0.05</v>
      </c>
      <c r="R209" s="61"/>
      <c r="S209" s="66">
        <f t="shared" si="9"/>
        <v>0</v>
      </c>
      <c r="T209" s="67">
        <f t="shared" si="10"/>
        <v>0</v>
      </c>
      <c r="U209" s="62" t="s">
        <v>34</v>
      </c>
      <c r="V209" s="116"/>
      <c r="W209" s="62"/>
    </row>
    <row r="210" spans="1:23" ht="23.4" x14ac:dyDescent="0.45">
      <c r="A210" s="1">
        <f t="shared" si="11"/>
        <v>209</v>
      </c>
      <c r="B210" s="113" t="s">
        <v>23</v>
      </c>
      <c r="C210" s="15" t="s">
        <v>24</v>
      </c>
      <c r="D210" s="114">
        <v>3949</v>
      </c>
      <c r="E210" s="113" t="s">
        <v>345</v>
      </c>
      <c r="F210" s="60" t="s">
        <v>346</v>
      </c>
      <c r="G210" s="61">
        <v>4051</v>
      </c>
      <c r="H210" s="62" t="s">
        <v>25</v>
      </c>
      <c r="I210" s="62" t="s">
        <v>28</v>
      </c>
      <c r="J210" s="1990" t="s">
        <v>57</v>
      </c>
      <c r="K210" s="115" t="s">
        <v>58</v>
      </c>
      <c r="L210" s="63">
        <v>1</v>
      </c>
      <c r="M210" s="415" t="s">
        <v>362</v>
      </c>
      <c r="N210" s="416" t="s">
        <v>363</v>
      </c>
      <c r="O210" s="417"/>
      <c r="P210" s="61">
        <v>1</v>
      </c>
      <c r="Q210" s="65">
        <v>0.05</v>
      </c>
      <c r="R210" s="61"/>
      <c r="S210" s="66">
        <f t="shared" si="9"/>
        <v>0</v>
      </c>
      <c r="T210" s="67">
        <f t="shared" si="10"/>
        <v>0</v>
      </c>
      <c r="U210" s="62" t="s">
        <v>34</v>
      </c>
      <c r="V210" s="116"/>
      <c r="W210" s="62"/>
    </row>
    <row r="211" spans="1:23" ht="23.4" x14ac:dyDescent="0.45">
      <c r="A211" s="1">
        <f t="shared" si="11"/>
        <v>210</v>
      </c>
      <c r="B211" s="113" t="s">
        <v>23</v>
      </c>
      <c r="C211" s="15" t="s">
        <v>24</v>
      </c>
      <c r="D211" s="114">
        <v>3949</v>
      </c>
      <c r="E211" s="113" t="s">
        <v>345</v>
      </c>
      <c r="F211" s="60" t="s">
        <v>346</v>
      </c>
      <c r="G211" s="61">
        <v>4051</v>
      </c>
      <c r="H211" s="62" t="s">
        <v>25</v>
      </c>
      <c r="I211" s="62" t="s">
        <v>28</v>
      </c>
      <c r="J211" s="1990" t="s">
        <v>57</v>
      </c>
      <c r="K211" s="115" t="s">
        <v>58</v>
      </c>
      <c r="L211" s="63">
        <v>1</v>
      </c>
      <c r="M211" s="415" t="s">
        <v>364</v>
      </c>
      <c r="N211" s="416" t="s">
        <v>365</v>
      </c>
      <c r="O211" s="417" t="s">
        <v>366</v>
      </c>
      <c r="P211" s="61">
        <v>180</v>
      </c>
      <c r="Q211" s="65">
        <v>0.1</v>
      </c>
      <c r="R211" s="61"/>
      <c r="S211" s="66">
        <f t="shared" si="9"/>
        <v>0</v>
      </c>
      <c r="T211" s="67">
        <f t="shared" si="10"/>
        <v>0</v>
      </c>
      <c r="U211" s="62" t="s">
        <v>34</v>
      </c>
      <c r="V211" s="116"/>
      <c r="W211" s="62"/>
    </row>
    <row r="212" spans="1:23" ht="23.4" x14ac:dyDescent="0.45">
      <c r="A212" s="1">
        <f t="shared" si="11"/>
        <v>211</v>
      </c>
      <c r="B212" s="113" t="s">
        <v>23</v>
      </c>
      <c r="C212" s="15" t="s">
        <v>24</v>
      </c>
      <c r="D212" s="114">
        <v>3949</v>
      </c>
      <c r="E212" s="113" t="s">
        <v>345</v>
      </c>
      <c r="F212" s="60" t="s">
        <v>346</v>
      </c>
      <c r="G212" s="61">
        <v>4051</v>
      </c>
      <c r="H212" s="62" t="s">
        <v>25</v>
      </c>
      <c r="I212" s="62" t="s">
        <v>28</v>
      </c>
      <c r="J212" s="1990" t="s">
        <v>57</v>
      </c>
      <c r="K212" s="115" t="s">
        <v>58</v>
      </c>
      <c r="L212" s="63">
        <v>1</v>
      </c>
      <c r="M212" s="415" t="s">
        <v>367</v>
      </c>
      <c r="N212" s="416" t="s">
        <v>368</v>
      </c>
      <c r="O212" s="417"/>
      <c r="P212" s="61">
        <v>9</v>
      </c>
      <c r="Q212" s="65">
        <v>0.05</v>
      </c>
      <c r="R212" s="61"/>
      <c r="S212" s="66">
        <f t="shared" si="9"/>
        <v>0</v>
      </c>
      <c r="T212" s="67">
        <f t="shared" si="10"/>
        <v>0</v>
      </c>
      <c r="U212" s="62" t="s">
        <v>34</v>
      </c>
      <c r="V212" s="116"/>
      <c r="W212" s="62"/>
    </row>
    <row r="213" spans="1:23" ht="23.4" x14ac:dyDescent="0.45">
      <c r="A213" s="1">
        <f t="shared" si="11"/>
        <v>212</v>
      </c>
      <c r="B213" s="113" t="s">
        <v>23</v>
      </c>
      <c r="C213" s="15" t="s">
        <v>24</v>
      </c>
      <c r="D213" s="114">
        <v>3949</v>
      </c>
      <c r="E213" s="113" t="s">
        <v>345</v>
      </c>
      <c r="F213" s="60" t="s">
        <v>346</v>
      </c>
      <c r="G213" s="61">
        <v>4051</v>
      </c>
      <c r="H213" s="62" t="s">
        <v>25</v>
      </c>
      <c r="I213" s="62" t="s">
        <v>28</v>
      </c>
      <c r="J213" s="1990" t="s">
        <v>57</v>
      </c>
      <c r="K213" s="115" t="s">
        <v>58</v>
      </c>
      <c r="L213" s="63">
        <v>1</v>
      </c>
      <c r="M213" s="415" t="s">
        <v>369</v>
      </c>
      <c r="N213" s="416" t="s">
        <v>370</v>
      </c>
      <c r="O213" s="417"/>
      <c r="P213" s="61">
        <v>1</v>
      </c>
      <c r="Q213" s="65">
        <v>0.05</v>
      </c>
      <c r="R213" s="61"/>
      <c r="S213" s="66">
        <f t="shared" si="9"/>
        <v>0</v>
      </c>
      <c r="T213" s="67">
        <f t="shared" si="10"/>
        <v>0</v>
      </c>
      <c r="U213" s="62" t="s">
        <v>34</v>
      </c>
      <c r="V213" s="116"/>
      <c r="W213" s="62"/>
    </row>
    <row r="214" spans="1:23" ht="23.4" x14ac:dyDescent="0.45">
      <c r="A214" s="1">
        <f t="shared" si="11"/>
        <v>213</v>
      </c>
      <c r="B214" s="113" t="s">
        <v>23</v>
      </c>
      <c r="C214" s="15" t="s">
        <v>24</v>
      </c>
      <c r="D214" s="114">
        <v>3949</v>
      </c>
      <c r="E214" s="113" t="s">
        <v>345</v>
      </c>
      <c r="F214" s="60" t="s">
        <v>346</v>
      </c>
      <c r="G214" s="61">
        <v>4051</v>
      </c>
      <c r="H214" s="62" t="s">
        <v>25</v>
      </c>
      <c r="I214" s="62" t="s">
        <v>28</v>
      </c>
      <c r="J214" s="1990" t="s">
        <v>57</v>
      </c>
      <c r="K214" s="115" t="s">
        <v>58</v>
      </c>
      <c r="L214" s="63">
        <v>1</v>
      </c>
      <c r="M214" s="415" t="s">
        <v>371</v>
      </c>
      <c r="N214" s="416" t="s">
        <v>372</v>
      </c>
      <c r="O214" s="417"/>
      <c r="P214" s="61">
        <v>1</v>
      </c>
      <c r="Q214" s="65">
        <v>0.05</v>
      </c>
      <c r="R214" s="61"/>
      <c r="S214" s="66">
        <f t="shared" si="9"/>
        <v>0</v>
      </c>
      <c r="T214" s="67">
        <f t="shared" si="10"/>
        <v>0</v>
      </c>
      <c r="U214" s="62" t="s">
        <v>34</v>
      </c>
      <c r="V214" s="116"/>
      <c r="W214" s="62"/>
    </row>
    <row r="215" spans="1:23" ht="23.4" x14ac:dyDescent="0.45">
      <c r="A215" s="1">
        <f t="shared" si="11"/>
        <v>214</v>
      </c>
      <c r="B215" s="113" t="s">
        <v>23</v>
      </c>
      <c r="C215" s="15" t="s">
        <v>24</v>
      </c>
      <c r="D215" s="114">
        <v>3949</v>
      </c>
      <c r="E215" s="113" t="s">
        <v>345</v>
      </c>
      <c r="F215" s="60" t="s">
        <v>346</v>
      </c>
      <c r="G215" s="61">
        <v>4051</v>
      </c>
      <c r="H215" s="62" t="s">
        <v>25</v>
      </c>
      <c r="I215" s="62" t="s">
        <v>28</v>
      </c>
      <c r="J215" s="1991" t="s">
        <v>57</v>
      </c>
      <c r="K215" s="117" t="s">
        <v>58</v>
      </c>
      <c r="L215" s="63">
        <v>1</v>
      </c>
      <c r="M215" s="415" t="s">
        <v>373</v>
      </c>
      <c r="N215" s="416" t="s">
        <v>374</v>
      </c>
      <c r="O215" s="417" t="s">
        <v>375</v>
      </c>
      <c r="P215" s="61">
        <v>4</v>
      </c>
      <c r="Q215" s="65">
        <v>0.05</v>
      </c>
      <c r="R215" s="61"/>
      <c r="S215" s="66">
        <f t="shared" si="9"/>
        <v>0</v>
      </c>
      <c r="T215" s="67">
        <f t="shared" si="10"/>
        <v>0</v>
      </c>
      <c r="U215" s="62" t="s">
        <v>34</v>
      </c>
      <c r="V215" s="116"/>
      <c r="W215" s="62"/>
    </row>
    <row r="216" spans="1:23" ht="23.4" x14ac:dyDescent="0.45">
      <c r="A216" s="1">
        <f t="shared" si="11"/>
        <v>215</v>
      </c>
      <c r="B216" s="113" t="s">
        <v>23</v>
      </c>
      <c r="C216" s="15" t="s">
        <v>24</v>
      </c>
      <c r="D216" s="114">
        <v>3949</v>
      </c>
      <c r="E216" s="113" t="s">
        <v>345</v>
      </c>
      <c r="F216" s="60" t="s">
        <v>346</v>
      </c>
      <c r="G216" s="61">
        <v>4051</v>
      </c>
      <c r="H216" s="62" t="s">
        <v>25</v>
      </c>
      <c r="I216" s="62" t="s">
        <v>28</v>
      </c>
      <c r="J216" s="1991" t="s">
        <v>57</v>
      </c>
      <c r="K216" s="117" t="s">
        <v>58</v>
      </c>
      <c r="L216" s="63">
        <v>1</v>
      </c>
      <c r="M216" s="415" t="s">
        <v>376</v>
      </c>
      <c r="N216" s="416" t="s">
        <v>377</v>
      </c>
      <c r="O216" s="417"/>
      <c r="P216" s="61">
        <v>1</v>
      </c>
      <c r="Q216" s="65">
        <v>0.05</v>
      </c>
      <c r="R216" s="61"/>
      <c r="S216" s="66">
        <f t="shared" si="9"/>
        <v>0</v>
      </c>
      <c r="T216" s="67">
        <f t="shared" si="10"/>
        <v>0</v>
      </c>
      <c r="U216" s="62" t="s">
        <v>34</v>
      </c>
      <c r="V216" s="116"/>
      <c r="W216" s="62"/>
    </row>
    <row r="217" spans="1:23" ht="23.4" x14ac:dyDescent="0.45">
      <c r="A217" s="1">
        <f t="shared" si="11"/>
        <v>216</v>
      </c>
      <c r="B217" s="2" t="s">
        <v>23</v>
      </c>
      <c r="C217" s="2" t="s">
        <v>24</v>
      </c>
      <c r="D217" s="49">
        <v>3033</v>
      </c>
      <c r="E217" s="2" t="s">
        <v>378</v>
      </c>
      <c r="F217" s="93" t="s">
        <v>379</v>
      </c>
      <c r="G217" s="94">
        <v>3949</v>
      </c>
      <c r="H217" s="95" t="s">
        <v>345</v>
      </c>
      <c r="I217" s="95" t="s">
        <v>28</v>
      </c>
      <c r="J217" s="1989" t="s">
        <v>57</v>
      </c>
      <c r="K217" s="96" t="s">
        <v>58</v>
      </c>
      <c r="L217" s="9">
        <v>1</v>
      </c>
      <c r="M217" s="3" t="s">
        <v>347</v>
      </c>
      <c r="N217" s="473" t="s">
        <v>348</v>
      </c>
      <c r="O217" s="473"/>
      <c r="P217" s="112">
        <v>1</v>
      </c>
      <c r="Q217" s="98">
        <v>0.11</v>
      </c>
      <c r="R217" s="112"/>
      <c r="S217" s="14">
        <f t="shared" si="9"/>
        <v>0</v>
      </c>
      <c r="T217" s="51">
        <f t="shared" si="10"/>
        <v>0</v>
      </c>
      <c r="U217" s="95" t="s">
        <v>34</v>
      </c>
      <c r="V217" s="1956">
        <f>SUM(T217:T231)%</f>
        <v>0</v>
      </c>
      <c r="W217" s="95"/>
    </row>
    <row r="218" spans="1:23" ht="23.4" x14ac:dyDescent="0.45">
      <c r="A218" s="1">
        <f t="shared" si="11"/>
        <v>217</v>
      </c>
      <c r="B218" s="113" t="s">
        <v>23</v>
      </c>
      <c r="C218" s="15" t="s">
        <v>24</v>
      </c>
      <c r="D218" s="114">
        <v>3033</v>
      </c>
      <c r="E218" s="113" t="s">
        <v>378</v>
      </c>
      <c r="F218" s="60" t="s">
        <v>379</v>
      </c>
      <c r="G218" s="61">
        <v>3949</v>
      </c>
      <c r="H218" s="62" t="s">
        <v>345</v>
      </c>
      <c r="I218" s="62" t="s">
        <v>28</v>
      </c>
      <c r="J218" s="1990" t="s">
        <v>57</v>
      </c>
      <c r="K218" s="115" t="s">
        <v>58</v>
      </c>
      <c r="L218" s="63">
        <v>1</v>
      </c>
      <c r="M218" s="415" t="s">
        <v>381</v>
      </c>
      <c r="N218" s="416" t="s">
        <v>382</v>
      </c>
      <c r="O218" s="417" t="s">
        <v>383</v>
      </c>
      <c r="P218" s="61">
        <f>3*20*6</f>
        <v>360</v>
      </c>
      <c r="Q218" s="65">
        <v>0.1</v>
      </c>
      <c r="R218" s="61"/>
      <c r="S218" s="66">
        <f t="shared" si="9"/>
        <v>0</v>
      </c>
      <c r="T218" s="67">
        <f t="shared" si="10"/>
        <v>0</v>
      </c>
      <c r="U218" s="62" t="s">
        <v>34</v>
      </c>
      <c r="V218" s="116"/>
      <c r="W218" s="62"/>
    </row>
    <row r="219" spans="1:23" ht="23.4" x14ac:dyDescent="0.45">
      <c r="A219" s="1">
        <f t="shared" si="11"/>
        <v>218</v>
      </c>
      <c r="B219" s="113" t="s">
        <v>23</v>
      </c>
      <c r="C219" s="15" t="s">
        <v>24</v>
      </c>
      <c r="D219" s="114">
        <v>3033</v>
      </c>
      <c r="E219" s="113" t="s">
        <v>378</v>
      </c>
      <c r="F219" s="60" t="s">
        <v>379</v>
      </c>
      <c r="G219" s="61">
        <v>3949</v>
      </c>
      <c r="H219" s="62" t="s">
        <v>345</v>
      </c>
      <c r="I219" s="62" t="s">
        <v>28</v>
      </c>
      <c r="J219" s="1990" t="s">
        <v>57</v>
      </c>
      <c r="K219" s="115" t="s">
        <v>58</v>
      </c>
      <c r="L219" s="63">
        <v>1</v>
      </c>
      <c r="M219" s="415" t="s">
        <v>349</v>
      </c>
      <c r="N219" s="416" t="s">
        <v>350</v>
      </c>
      <c r="O219" s="417"/>
      <c r="P219" s="61">
        <v>1</v>
      </c>
      <c r="Q219" s="65">
        <v>0.1</v>
      </c>
      <c r="R219" s="61"/>
      <c r="S219" s="66">
        <f t="shared" si="9"/>
        <v>0</v>
      </c>
      <c r="T219" s="67">
        <f t="shared" si="10"/>
        <v>0</v>
      </c>
      <c r="U219" s="62" t="s">
        <v>34</v>
      </c>
      <c r="V219" s="116"/>
      <c r="W219" s="62"/>
    </row>
    <row r="220" spans="1:23" ht="23.4" x14ac:dyDescent="0.45">
      <c r="A220" s="1">
        <f t="shared" si="11"/>
        <v>219</v>
      </c>
      <c r="B220" s="113" t="s">
        <v>23</v>
      </c>
      <c r="C220" s="15" t="s">
        <v>24</v>
      </c>
      <c r="D220" s="114">
        <v>3033</v>
      </c>
      <c r="E220" s="113" t="s">
        <v>378</v>
      </c>
      <c r="F220" s="60" t="s">
        <v>379</v>
      </c>
      <c r="G220" s="61">
        <v>3949</v>
      </c>
      <c r="H220" s="62" t="s">
        <v>345</v>
      </c>
      <c r="I220" s="62" t="s">
        <v>28</v>
      </c>
      <c r="J220" s="1990" t="s">
        <v>57</v>
      </c>
      <c r="K220" s="115" t="s">
        <v>58</v>
      </c>
      <c r="L220" s="63">
        <v>1</v>
      </c>
      <c r="M220" s="415" t="s">
        <v>384</v>
      </c>
      <c r="N220" s="416" t="s">
        <v>385</v>
      </c>
      <c r="O220" s="417"/>
      <c r="P220" s="61">
        <v>3</v>
      </c>
      <c r="Q220" s="65">
        <v>0.05</v>
      </c>
      <c r="R220" s="61"/>
      <c r="S220" s="66">
        <f t="shared" si="9"/>
        <v>0</v>
      </c>
      <c r="T220" s="67">
        <f t="shared" si="10"/>
        <v>0</v>
      </c>
      <c r="U220" s="62" t="s">
        <v>34</v>
      </c>
      <c r="V220" s="116"/>
      <c r="W220" s="62"/>
    </row>
    <row r="221" spans="1:23" ht="23.4" x14ac:dyDescent="0.45">
      <c r="A221" s="1">
        <f t="shared" si="11"/>
        <v>220</v>
      </c>
      <c r="B221" s="113" t="s">
        <v>23</v>
      </c>
      <c r="C221" s="15" t="s">
        <v>24</v>
      </c>
      <c r="D221" s="114">
        <v>3033</v>
      </c>
      <c r="E221" s="113" t="s">
        <v>378</v>
      </c>
      <c r="F221" s="60" t="s">
        <v>379</v>
      </c>
      <c r="G221" s="61">
        <v>3949</v>
      </c>
      <c r="H221" s="62" t="s">
        <v>345</v>
      </c>
      <c r="I221" s="62" t="s">
        <v>28</v>
      </c>
      <c r="J221" s="1990" t="s">
        <v>57</v>
      </c>
      <c r="K221" s="115" t="s">
        <v>58</v>
      </c>
      <c r="L221" s="63">
        <v>1</v>
      </c>
      <c r="M221" s="415" t="s">
        <v>357</v>
      </c>
      <c r="N221" s="416" t="s">
        <v>386</v>
      </c>
      <c r="O221" s="417"/>
      <c r="P221" s="61">
        <v>0</v>
      </c>
      <c r="Q221" s="65">
        <v>0.05</v>
      </c>
      <c r="R221" s="61"/>
      <c r="S221" s="66">
        <f t="shared" si="9"/>
        <v>0</v>
      </c>
      <c r="T221" s="67">
        <f t="shared" si="10"/>
        <v>0</v>
      </c>
      <c r="U221" s="62" t="s">
        <v>34</v>
      </c>
      <c r="V221" s="116"/>
      <c r="W221" s="62"/>
    </row>
    <row r="222" spans="1:23" ht="23.4" x14ac:dyDescent="0.45">
      <c r="A222" s="1">
        <f t="shared" si="11"/>
        <v>221</v>
      </c>
      <c r="B222" s="113" t="s">
        <v>23</v>
      </c>
      <c r="C222" s="15" t="s">
        <v>24</v>
      </c>
      <c r="D222" s="114">
        <v>3033</v>
      </c>
      <c r="E222" s="113" t="s">
        <v>378</v>
      </c>
      <c r="F222" s="60" t="s">
        <v>379</v>
      </c>
      <c r="G222" s="61">
        <v>3949</v>
      </c>
      <c r="H222" s="62" t="s">
        <v>345</v>
      </c>
      <c r="I222" s="62" t="s">
        <v>28</v>
      </c>
      <c r="J222" s="1990" t="s">
        <v>57</v>
      </c>
      <c r="K222" s="115" t="s">
        <v>58</v>
      </c>
      <c r="L222" s="63">
        <v>1</v>
      </c>
      <c r="M222" s="415" t="s">
        <v>387</v>
      </c>
      <c r="N222" s="416" t="s">
        <v>388</v>
      </c>
      <c r="O222" s="417" t="s">
        <v>389</v>
      </c>
      <c r="P222" s="61">
        <v>60</v>
      </c>
      <c r="Q222" s="65">
        <v>0.08</v>
      </c>
      <c r="R222" s="61"/>
      <c r="S222" s="66">
        <f t="shared" si="9"/>
        <v>0</v>
      </c>
      <c r="T222" s="67">
        <f t="shared" si="10"/>
        <v>0</v>
      </c>
      <c r="U222" s="62" t="s">
        <v>34</v>
      </c>
      <c r="V222" s="116"/>
      <c r="W222" s="62"/>
    </row>
    <row r="223" spans="1:23" ht="23.4" x14ac:dyDescent="0.45">
      <c r="A223" s="1">
        <f t="shared" si="11"/>
        <v>222</v>
      </c>
      <c r="B223" s="113" t="s">
        <v>23</v>
      </c>
      <c r="C223" s="15" t="s">
        <v>24</v>
      </c>
      <c r="D223" s="114">
        <v>3033</v>
      </c>
      <c r="E223" s="113" t="s">
        <v>378</v>
      </c>
      <c r="F223" s="60" t="s">
        <v>379</v>
      </c>
      <c r="G223" s="61">
        <v>3949</v>
      </c>
      <c r="H223" s="62" t="s">
        <v>345</v>
      </c>
      <c r="I223" s="62" t="s">
        <v>28</v>
      </c>
      <c r="J223" s="1990" t="s">
        <v>57</v>
      </c>
      <c r="K223" s="115" t="s">
        <v>58</v>
      </c>
      <c r="L223" s="63">
        <v>1</v>
      </c>
      <c r="M223" s="415" t="s">
        <v>390</v>
      </c>
      <c r="N223" s="416" t="s">
        <v>391</v>
      </c>
      <c r="O223" s="417"/>
      <c r="P223" s="61">
        <v>3</v>
      </c>
      <c r="Q223" s="65">
        <v>0.05</v>
      </c>
      <c r="R223" s="61"/>
      <c r="S223" s="66">
        <f t="shared" si="9"/>
        <v>0</v>
      </c>
      <c r="T223" s="67">
        <f t="shared" si="10"/>
        <v>0</v>
      </c>
      <c r="U223" s="62" t="s">
        <v>34</v>
      </c>
      <c r="V223" s="116"/>
      <c r="W223" s="62"/>
    </row>
    <row r="224" spans="1:23" ht="23.4" x14ac:dyDescent="0.45">
      <c r="A224" s="1">
        <f t="shared" si="11"/>
        <v>223</v>
      </c>
      <c r="B224" s="113" t="s">
        <v>23</v>
      </c>
      <c r="C224" s="15" t="s">
        <v>24</v>
      </c>
      <c r="D224" s="114">
        <v>3033</v>
      </c>
      <c r="E224" s="113" t="s">
        <v>378</v>
      </c>
      <c r="F224" s="60" t="s">
        <v>379</v>
      </c>
      <c r="G224" s="61">
        <v>3949</v>
      </c>
      <c r="H224" s="62" t="s">
        <v>345</v>
      </c>
      <c r="I224" s="62" t="s">
        <v>28</v>
      </c>
      <c r="J224" s="1990" t="s">
        <v>57</v>
      </c>
      <c r="K224" s="115" t="s">
        <v>58</v>
      </c>
      <c r="L224" s="63">
        <v>1</v>
      </c>
      <c r="M224" s="415" t="s">
        <v>392</v>
      </c>
      <c r="N224" s="416" t="s">
        <v>393</v>
      </c>
      <c r="O224" s="417"/>
      <c r="P224" s="61">
        <v>60</v>
      </c>
      <c r="Q224" s="65">
        <v>0.05</v>
      </c>
      <c r="R224" s="61"/>
      <c r="S224" s="66">
        <f t="shared" si="9"/>
        <v>0</v>
      </c>
      <c r="T224" s="67">
        <f t="shared" si="10"/>
        <v>0</v>
      </c>
      <c r="U224" s="62" t="s">
        <v>34</v>
      </c>
      <c r="V224" s="116"/>
      <c r="W224" s="62"/>
    </row>
    <row r="225" spans="1:23" ht="23.4" x14ac:dyDescent="0.45">
      <c r="A225" s="1">
        <f t="shared" si="11"/>
        <v>224</v>
      </c>
      <c r="B225" s="113" t="s">
        <v>23</v>
      </c>
      <c r="C225" s="15" t="s">
        <v>24</v>
      </c>
      <c r="D225" s="114">
        <v>3033</v>
      </c>
      <c r="E225" s="113" t="s">
        <v>378</v>
      </c>
      <c r="F225" s="60" t="s">
        <v>379</v>
      </c>
      <c r="G225" s="61">
        <v>3949</v>
      </c>
      <c r="H225" s="62" t="s">
        <v>345</v>
      </c>
      <c r="I225" s="62" t="s">
        <v>28</v>
      </c>
      <c r="J225" s="1990" t="s">
        <v>57</v>
      </c>
      <c r="K225" s="115" t="s">
        <v>58</v>
      </c>
      <c r="L225" s="63">
        <v>1</v>
      </c>
      <c r="M225" s="415" t="s">
        <v>364</v>
      </c>
      <c r="N225" s="416" t="s">
        <v>365</v>
      </c>
      <c r="O225" s="417" t="s">
        <v>394</v>
      </c>
      <c r="P225" s="61">
        <v>60</v>
      </c>
      <c r="Q225" s="65">
        <v>0.08</v>
      </c>
      <c r="R225" s="61"/>
      <c r="S225" s="66">
        <f t="shared" si="9"/>
        <v>0</v>
      </c>
      <c r="T225" s="67">
        <f t="shared" si="10"/>
        <v>0</v>
      </c>
      <c r="U225" s="62" t="s">
        <v>34</v>
      </c>
      <c r="V225" s="116"/>
      <c r="W225" s="62"/>
    </row>
    <row r="226" spans="1:23" ht="23.4" x14ac:dyDescent="0.45">
      <c r="A226" s="1">
        <f t="shared" si="11"/>
        <v>225</v>
      </c>
      <c r="B226" s="113" t="s">
        <v>23</v>
      </c>
      <c r="C226" s="15" t="s">
        <v>24</v>
      </c>
      <c r="D226" s="114">
        <v>3033</v>
      </c>
      <c r="E226" s="113" t="s">
        <v>378</v>
      </c>
      <c r="F226" s="60" t="s">
        <v>379</v>
      </c>
      <c r="G226" s="61">
        <v>3949</v>
      </c>
      <c r="H226" s="62" t="s">
        <v>345</v>
      </c>
      <c r="I226" s="62" t="s">
        <v>28</v>
      </c>
      <c r="J226" s="1990" t="s">
        <v>57</v>
      </c>
      <c r="K226" s="115" t="s">
        <v>58</v>
      </c>
      <c r="L226" s="63">
        <v>1</v>
      </c>
      <c r="M226" s="415" t="s">
        <v>369</v>
      </c>
      <c r="N226" s="416" t="s">
        <v>370</v>
      </c>
      <c r="O226" s="417"/>
      <c r="P226" s="61">
        <v>1</v>
      </c>
      <c r="Q226" s="65">
        <v>0.05</v>
      </c>
      <c r="R226" s="61"/>
      <c r="S226" s="66">
        <f t="shared" si="9"/>
        <v>0</v>
      </c>
      <c r="T226" s="67">
        <f t="shared" si="10"/>
        <v>0</v>
      </c>
      <c r="U226" s="62" t="s">
        <v>34</v>
      </c>
      <c r="V226" s="116"/>
      <c r="W226" s="62"/>
    </row>
    <row r="227" spans="1:23" ht="23.4" x14ac:dyDescent="0.45">
      <c r="A227" s="1">
        <f t="shared" si="11"/>
        <v>226</v>
      </c>
      <c r="B227" s="113" t="s">
        <v>23</v>
      </c>
      <c r="C227" s="15" t="s">
        <v>24</v>
      </c>
      <c r="D227" s="114">
        <v>3033</v>
      </c>
      <c r="E227" s="113" t="s">
        <v>378</v>
      </c>
      <c r="F227" s="60" t="s">
        <v>379</v>
      </c>
      <c r="G227" s="61">
        <v>3949</v>
      </c>
      <c r="H227" s="62" t="s">
        <v>345</v>
      </c>
      <c r="I227" s="62" t="s">
        <v>28</v>
      </c>
      <c r="J227" s="1990" t="s">
        <v>57</v>
      </c>
      <c r="K227" s="115" t="s">
        <v>58</v>
      </c>
      <c r="L227" s="63">
        <v>1</v>
      </c>
      <c r="M227" s="415" t="s">
        <v>371</v>
      </c>
      <c r="N227" s="416" t="s">
        <v>372</v>
      </c>
      <c r="O227" s="417"/>
      <c r="P227" s="61">
        <v>1</v>
      </c>
      <c r="Q227" s="65">
        <v>0.05</v>
      </c>
      <c r="R227" s="61"/>
      <c r="S227" s="66">
        <f t="shared" si="9"/>
        <v>0</v>
      </c>
      <c r="T227" s="67">
        <f t="shared" si="10"/>
        <v>0</v>
      </c>
      <c r="U227" s="62" t="s">
        <v>34</v>
      </c>
      <c r="V227" s="116"/>
      <c r="W227" s="62"/>
    </row>
    <row r="228" spans="1:23" ht="23.4" x14ac:dyDescent="0.45">
      <c r="A228" s="1">
        <f t="shared" si="11"/>
        <v>227</v>
      </c>
      <c r="B228" s="113" t="s">
        <v>23</v>
      </c>
      <c r="C228" s="15" t="s">
        <v>24</v>
      </c>
      <c r="D228" s="114">
        <v>3033</v>
      </c>
      <c r="E228" s="113" t="s">
        <v>378</v>
      </c>
      <c r="F228" s="60" t="s">
        <v>379</v>
      </c>
      <c r="G228" s="61">
        <v>3949</v>
      </c>
      <c r="H228" s="62" t="s">
        <v>345</v>
      </c>
      <c r="I228" s="62" t="s">
        <v>28</v>
      </c>
      <c r="J228" s="1990" t="s">
        <v>57</v>
      </c>
      <c r="K228" s="115" t="s">
        <v>58</v>
      </c>
      <c r="L228" s="63">
        <v>1</v>
      </c>
      <c r="M228" s="415" t="s">
        <v>373</v>
      </c>
      <c r="N228" s="416" t="s">
        <v>395</v>
      </c>
      <c r="O228" s="417"/>
      <c r="P228" s="61">
        <v>1</v>
      </c>
      <c r="Q228" s="65">
        <v>0.05</v>
      </c>
      <c r="R228" s="61"/>
      <c r="S228" s="66">
        <f t="shared" si="9"/>
        <v>0</v>
      </c>
      <c r="T228" s="67">
        <f t="shared" si="10"/>
        <v>0</v>
      </c>
      <c r="U228" s="62" t="s">
        <v>34</v>
      </c>
      <c r="V228" s="116"/>
      <c r="W228" s="62"/>
    </row>
    <row r="229" spans="1:23" ht="23.4" x14ac:dyDescent="0.45">
      <c r="A229" s="1">
        <f t="shared" si="11"/>
        <v>228</v>
      </c>
      <c r="B229" s="113" t="s">
        <v>23</v>
      </c>
      <c r="C229" s="15" t="s">
        <v>24</v>
      </c>
      <c r="D229" s="114">
        <v>3033</v>
      </c>
      <c r="E229" s="113" t="s">
        <v>378</v>
      </c>
      <c r="F229" s="60" t="s">
        <v>379</v>
      </c>
      <c r="G229" s="61">
        <v>3949</v>
      </c>
      <c r="H229" s="62" t="s">
        <v>345</v>
      </c>
      <c r="I229" s="62" t="s">
        <v>28</v>
      </c>
      <c r="J229" s="1990" t="s">
        <v>57</v>
      </c>
      <c r="K229" s="115" t="s">
        <v>58</v>
      </c>
      <c r="L229" s="63">
        <v>1</v>
      </c>
      <c r="M229" s="415" t="s">
        <v>373</v>
      </c>
      <c r="N229" s="416" t="s">
        <v>374</v>
      </c>
      <c r="O229" s="417" t="s">
        <v>375</v>
      </c>
      <c r="P229" s="61">
        <v>4</v>
      </c>
      <c r="Q229" s="65">
        <v>0.05</v>
      </c>
      <c r="R229" s="61"/>
      <c r="S229" s="66">
        <f t="shared" si="9"/>
        <v>0</v>
      </c>
      <c r="T229" s="67">
        <f t="shared" si="10"/>
        <v>0</v>
      </c>
      <c r="U229" s="62" t="s">
        <v>34</v>
      </c>
      <c r="V229" s="116"/>
      <c r="W229" s="62"/>
    </row>
    <row r="230" spans="1:23" ht="23.4" x14ac:dyDescent="0.45">
      <c r="A230" s="1">
        <f t="shared" si="11"/>
        <v>229</v>
      </c>
      <c r="B230" s="113" t="s">
        <v>23</v>
      </c>
      <c r="C230" s="15" t="s">
        <v>24</v>
      </c>
      <c r="D230" s="114">
        <v>3033</v>
      </c>
      <c r="E230" s="113" t="s">
        <v>378</v>
      </c>
      <c r="F230" s="60" t="s">
        <v>379</v>
      </c>
      <c r="G230" s="61">
        <v>3949</v>
      </c>
      <c r="H230" s="62" t="s">
        <v>345</v>
      </c>
      <c r="I230" s="62" t="s">
        <v>28</v>
      </c>
      <c r="J230" s="1990" t="s">
        <v>57</v>
      </c>
      <c r="K230" s="115" t="s">
        <v>58</v>
      </c>
      <c r="L230" s="63">
        <v>1</v>
      </c>
      <c r="M230" s="415" t="s">
        <v>376</v>
      </c>
      <c r="N230" s="416" t="s">
        <v>377</v>
      </c>
      <c r="O230" s="417"/>
      <c r="P230" s="61">
        <v>1</v>
      </c>
      <c r="Q230" s="65">
        <v>0.05</v>
      </c>
      <c r="R230" s="61"/>
      <c r="S230" s="66">
        <f t="shared" si="9"/>
        <v>0</v>
      </c>
      <c r="T230" s="67">
        <f t="shared" si="10"/>
        <v>0</v>
      </c>
      <c r="U230" s="62" t="s">
        <v>34</v>
      </c>
      <c r="V230" s="116"/>
      <c r="W230" s="62"/>
    </row>
    <row r="231" spans="1:23" ht="23.4" x14ac:dyDescent="0.45">
      <c r="A231" s="1">
        <f t="shared" si="11"/>
        <v>230</v>
      </c>
      <c r="B231" s="113" t="s">
        <v>23</v>
      </c>
      <c r="C231" s="15" t="s">
        <v>24</v>
      </c>
      <c r="D231" s="114">
        <v>3033</v>
      </c>
      <c r="E231" s="113" t="s">
        <v>378</v>
      </c>
      <c r="F231" s="60" t="s">
        <v>379</v>
      </c>
      <c r="G231" s="61">
        <v>3949</v>
      </c>
      <c r="H231" s="62" t="s">
        <v>345</v>
      </c>
      <c r="I231" s="62" t="s">
        <v>28</v>
      </c>
      <c r="J231" s="1990" t="s">
        <v>57</v>
      </c>
      <c r="K231" s="115" t="s">
        <v>58</v>
      </c>
      <c r="L231" s="63">
        <v>1</v>
      </c>
      <c r="M231" s="415" t="s">
        <v>396</v>
      </c>
      <c r="N231" s="416" t="s">
        <v>397</v>
      </c>
      <c r="O231" s="417"/>
      <c r="P231" s="61">
        <v>1</v>
      </c>
      <c r="Q231" s="65">
        <v>0.08</v>
      </c>
      <c r="R231" s="61"/>
      <c r="S231" s="66">
        <f t="shared" si="9"/>
        <v>0</v>
      </c>
      <c r="T231" s="67">
        <f t="shared" si="10"/>
        <v>0</v>
      </c>
      <c r="U231" s="62" t="s">
        <v>34</v>
      </c>
      <c r="V231" s="116"/>
      <c r="W231" s="62"/>
    </row>
    <row r="232" spans="1:23" ht="23.4" x14ac:dyDescent="0.45">
      <c r="A232" s="1">
        <f t="shared" si="11"/>
        <v>231</v>
      </c>
      <c r="B232" s="2" t="s">
        <v>23</v>
      </c>
      <c r="C232" s="2" t="s">
        <v>24</v>
      </c>
      <c r="D232" s="49">
        <v>3622</v>
      </c>
      <c r="E232" s="2" t="s">
        <v>398</v>
      </c>
      <c r="F232" s="93" t="s">
        <v>379</v>
      </c>
      <c r="G232" s="94">
        <v>3949</v>
      </c>
      <c r="H232" s="95" t="s">
        <v>345</v>
      </c>
      <c r="I232" s="95" t="s">
        <v>28</v>
      </c>
      <c r="J232" s="1989" t="s">
        <v>57</v>
      </c>
      <c r="K232" s="96" t="s">
        <v>58</v>
      </c>
      <c r="L232" s="9">
        <v>1</v>
      </c>
      <c r="M232" s="3" t="s">
        <v>347</v>
      </c>
      <c r="N232" s="473" t="s">
        <v>348</v>
      </c>
      <c r="O232" s="473"/>
      <c r="P232" s="112">
        <v>1</v>
      </c>
      <c r="Q232" s="98">
        <v>0.11</v>
      </c>
      <c r="R232" s="112"/>
      <c r="S232" s="14">
        <f t="shared" si="9"/>
        <v>0</v>
      </c>
      <c r="T232" s="51">
        <f t="shared" si="10"/>
        <v>0</v>
      </c>
      <c r="U232" s="95" t="s">
        <v>34</v>
      </c>
      <c r="V232" s="1956">
        <f>SUM(T232:T246)%</f>
        <v>0</v>
      </c>
      <c r="W232" s="95"/>
    </row>
    <row r="233" spans="1:23" ht="23.4" x14ac:dyDescent="0.45">
      <c r="A233" s="1">
        <f t="shared" si="11"/>
        <v>232</v>
      </c>
      <c r="B233" s="113" t="s">
        <v>23</v>
      </c>
      <c r="C233" s="15" t="s">
        <v>24</v>
      </c>
      <c r="D233" s="114">
        <v>3622</v>
      </c>
      <c r="E233" s="113" t="s">
        <v>398</v>
      </c>
      <c r="F233" s="60" t="s">
        <v>379</v>
      </c>
      <c r="G233" s="61">
        <v>3949</v>
      </c>
      <c r="H233" s="62" t="s">
        <v>345</v>
      </c>
      <c r="I233" s="62" t="s">
        <v>28</v>
      </c>
      <c r="J233" s="1990" t="s">
        <v>57</v>
      </c>
      <c r="K233" s="115" t="s">
        <v>58</v>
      </c>
      <c r="L233" s="63">
        <v>1</v>
      </c>
      <c r="M233" s="415" t="s">
        <v>381</v>
      </c>
      <c r="N233" s="416" t="s">
        <v>382</v>
      </c>
      <c r="O233" s="417" t="s">
        <v>383</v>
      </c>
      <c r="P233" s="61">
        <f>3*20*6</f>
        <v>360</v>
      </c>
      <c r="Q233" s="65">
        <v>0.1</v>
      </c>
      <c r="R233" s="61"/>
      <c r="S233" s="66">
        <f t="shared" si="9"/>
        <v>0</v>
      </c>
      <c r="T233" s="67">
        <f t="shared" si="10"/>
        <v>0</v>
      </c>
      <c r="U233" s="62" t="s">
        <v>34</v>
      </c>
      <c r="V233" s="116"/>
      <c r="W233" s="62"/>
    </row>
    <row r="234" spans="1:23" ht="23.4" x14ac:dyDescent="0.45">
      <c r="A234" s="1">
        <f t="shared" si="11"/>
        <v>233</v>
      </c>
      <c r="B234" s="113" t="s">
        <v>23</v>
      </c>
      <c r="C234" s="15" t="s">
        <v>24</v>
      </c>
      <c r="D234" s="114">
        <v>3622</v>
      </c>
      <c r="E234" s="113" t="s">
        <v>398</v>
      </c>
      <c r="F234" s="60" t="s">
        <v>379</v>
      </c>
      <c r="G234" s="61">
        <v>3949</v>
      </c>
      <c r="H234" s="62" t="s">
        <v>345</v>
      </c>
      <c r="I234" s="62" t="s">
        <v>28</v>
      </c>
      <c r="J234" s="1990" t="s">
        <v>57</v>
      </c>
      <c r="K234" s="115" t="s">
        <v>58</v>
      </c>
      <c r="L234" s="63">
        <v>1</v>
      </c>
      <c r="M234" s="415" t="s">
        <v>349</v>
      </c>
      <c r="N234" s="416" t="s">
        <v>350</v>
      </c>
      <c r="O234" s="417"/>
      <c r="P234" s="61">
        <v>1</v>
      </c>
      <c r="Q234" s="65">
        <v>0.1</v>
      </c>
      <c r="R234" s="61"/>
      <c r="S234" s="66">
        <f t="shared" si="9"/>
        <v>0</v>
      </c>
      <c r="T234" s="67">
        <f t="shared" si="10"/>
        <v>0</v>
      </c>
      <c r="U234" s="62" t="s">
        <v>34</v>
      </c>
      <c r="V234" s="116"/>
      <c r="W234" s="62"/>
    </row>
    <row r="235" spans="1:23" ht="23.4" x14ac:dyDescent="0.45">
      <c r="A235" s="1">
        <f t="shared" si="11"/>
        <v>234</v>
      </c>
      <c r="B235" s="113" t="s">
        <v>23</v>
      </c>
      <c r="C235" s="15" t="s">
        <v>24</v>
      </c>
      <c r="D235" s="114">
        <v>3622</v>
      </c>
      <c r="E235" s="113" t="s">
        <v>398</v>
      </c>
      <c r="F235" s="60" t="s">
        <v>379</v>
      </c>
      <c r="G235" s="61">
        <v>3949</v>
      </c>
      <c r="H235" s="62" t="s">
        <v>345</v>
      </c>
      <c r="I235" s="62" t="s">
        <v>28</v>
      </c>
      <c r="J235" s="1990" t="s">
        <v>57</v>
      </c>
      <c r="K235" s="115" t="s">
        <v>58</v>
      </c>
      <c r="L235" s="63">
        <v>1</v>
      </c>
      <c r="M235" s="415" t="s">
        <v>384</v>
      </c>
      <c r="N235" s="416" t="s">
        <v>385</v>
      </c>
      <c r="O235" s="417"/>
      <c r="P235" s="61">
        <v>3</v>
      </c>
      <c r="Q235" s="65">
        <v>0.05</v>
      </c>
      <c r="R235" s="61"/>
      <c r="S235" s="66">
        <f t="shared" si="9"/>
        <v>0</v>
      </c>
      <c r="T235" s="67">
        <f t="shared" si="10"/>
        <v>0</v>
      </c>
      <c r="U235" s="62" t="s">
        <v>34</v>
      </c>
      <c r="V235" s="116"/>
      <c r="W235" s="62"/>
    </row>
    <row r="236" spans="1:23" ht="23.4" x14ac:dyDescent="0.45">
      <c r="A236" s="1">
        <f t="shared" si="11"/>
        <v>235</v>
      </c>
      <c r="B236" s="113" t="s">
        <v>23</v>
      </c>
      <c r="C236" s="15" t="s">
        <v>24</v>
      </c>
      <c r="D236" s="114">
        <v>3622</v>
      </c>
      <c r="E236" s="113" t="s">
        <v>398</v>
      </c>
      <c r="F236" s="60" t="s">
        <v>379</v>
      </c>
      <c r="G236" s="61">
        <v>3949</v>
      </c>
      <c r="H236" s="62" t="s">
        <v>345</v>
      </c>
      <c r="I236" s="62" t="s">
        <v>28</v>
      </c>
      <c r="J236" s="1990" t="s">
        <v>57</v>
      </c>
      <c r="K236" s="115" t="s">
        <v>58</v>
      </c>
      <c r="L236" s="63">
        <v>1</v>
      </c>
      <c r="M236" s="415" t="s">
        <v>357</v>
      </c>
      <c r="N236" s="416" t="s">
        <v>386</v>
      </c>
      <c r="O236" s="417"/>
      <c r="P236" s="61">
        <v>0</v>
      </c>
      <c r="Q236" s="65">
        <v>0.05</v>
      </c>
      <c r="R236" s="61"/>
      <c r="S236" s="66">
        <f t="shared" si="9"/>
        <v>0</v>
      </c>
      <c r="T236" s="67">
        <f t="shared" si="10"/>
        <v>0</v>
      </c>
      <c r="U236" s="62" t="s">
        <v>34</v>
      </c>
      <c r="V236" s="116"/>
      <c r="W236" s="62"/>
    </row>
    <row r="237" spans="1:23" ht="23.4" x14ac:dyDescent="0.45">
      <c r="A237" s="1">
        <f t="shared" si="11"/>
        <v>236</v>
      </c>
      <c r="B237" s="113" t="s">
        <v>23</v>
      </c>
      <c r="C237" s="15" t="s">
        <v>24</v>
      </c>
      <c r="D237" s="114">
        <v>3622</v>
      </c>
      <c r="E237" s="113" t="s">
        <v>398</v>
      </c>
      <c r="F237" s="60" t="s">
        <v>379</v>
      </c>
      <c r="G237" s="61">
        <v>3949</v>
      </c>
      <c r="H237" s="62" t="s">
        <v>345</v>
      </c>
      <c r="I237" s="62" t="s">
        <v>28</v>
      </c>
      <c r="J237" s="1990" t="s">
        <v>57</v>
      </c>
      <c r="K237" s="115" t="s">
        <v>58</v>
      </c>
      <c r="L237" s="63">
        <v>1</v>
      </c>
      <c r="M237" s="415" t="s">
        <v>387</v>
      </c>
      <c r="N237" s="416" t="s">
        <v>388</v>
      </c>
      <c r="O237" s="417" t="s">
        <v>389</v>
      </c>
      <c r="P237" s="61">
        <v>60</v>
      </c>
      <c r="Q237" s="65">
        <v>0.08</v>
      </c>
      <c r="R237" s="61"/>
      <c r="S237" s="66">
        <f t="shared" si="9"/>
        <v>0</v>
      </c>
      <c r="T237" s="67">
        <f t="shared" si="10"/>
        <v>0</v>
      </c>
      <c r="U237" s="62" t="s">
        <v>34</v>
      </c>
      <c r="V237" s="116"/>
      <c r="W237" s="62"/>
    </row>
    <row r="238" spans="1:23" ht="23.4" x14ac:dyDescent="0.45">
      <c r="A238" s="1">
        <f t="shared" si="11"/>
        <v>237</v>
      </c>
      <c r="B238" s="113" t="s">
        <v>23</v>
      </c>
      <c r="C238" s="15" t="s">
        <v>24</v>
      </c>
      <c r="D238" s="114">
        <v>3622</v>
      </c>
      <c r="E238" s="113" t="s">
        <v>398</v>
      </c>
      <c r="F238" s="60" t="s">
        <v>379</v>
      </c>
      <c r="G238" s="61">
        <v>3949</v>
      </c>
      <c r="H238" s="62" t="s">
        <v>345</v>
      </c>
      <c r="I238" s="62" t="s">
        <v>28</v>
      </c>
      <c r="J238" s="1990" t="s">
        <v>57</v>
      </c>
      <c r="K238" s="115" t="s">
        <v>58</v>
      </c>
      <c r="L238" s="63">
        <v>1</v>
      </c>
      <c r="M238" s="415" t="s">
        <v>390</v>
      </c>
      <c r="N238" s="416" t="s">
        <v>391</v>
      </c>
      <c r="O238" s="417"/>
      <c r="P238" s="61">
        <v>3</v>
      </c>
      <c r="Q238" s="65">
        <v>0.05</v>
      </c>
      <c r="R238" s="61"/>
      <c r="S238" s="66">
        <f t="shared" si="9"/>
        <v>0</v>
      </c>
      <c r="T238" s="67">
        <f t="shared" si="10"/>
        <v>0</v>
      </c>
      <c r="U238" s="62" t="s">
        <v>34</v>
      </c>
      <c r="V238" s="116"/>
      <c r="W238" s="62"/>
    </row>
    <row r="239" spans="1:23" ht="23.4" x14ac:dyDescent="0.45">
      <c r="A239" s="1">
        <f t="shared" si="11"/>
        <v>238</v>
      </c>
      <c r="B239" s="113" t="s">
        <v>23</v>
      </c>
      <c r="C239" s="15" t="s">
        <v>24</v>
      </c>
      <c r="D239" s="114">
        <v>3622</v>
      </c>
      <c r="E239" s="113" t="s">
        <v>398</v>
      </c>
      <c r="F239" s="60" t="s">
        <v>379</v>
      </c>
      <c r="G239" s="61">
        <v>3949</v>
      </c>
      <c r="H239" s="62" t="s">
        <v>345</v>
      </c>
      <c r="I239" s="62" t="s">
        <v>28</v>
      </c>
      <c r="J239" s="1990" t="s">
        <v>57</v>
      </c>
      <c r="K239" s="115" t="s">
        <v>58</v>
      </c>
      <c r="L239" s="63">
        <v>1</v>
      </c>
      <c r="M239" s="415" t="s">
        <v>392</v>
      </c>
      <c r="N239" s="416" t="s">
        <v>393</v>
      </c>
      <c r="O239" s="417"/>
      <c r="P239" s="61">
        <v>60</v>
      </c>
      <c r="Q239" s="65">
        <v>0.05</v>
      </c>
      <c r="R239" s="61"/>
      <c r="S239" s="66">
        <f t="shared" si="9"/>
        <v>0</v>
      </c>
      <c r="T239" s="67">
        <f t="shared" si="10"/>
        <v>0</v>
      </c>
      <c r="U239" s="62" t="s">
        <v>34</v>
      </c>
      <c r="V239" s="116"/>
      <c r="W239" s="62"/>
    </row>
    <row r="240" spans="1:23" ht="23.4" x14ac:dyDescent="0.45">
      <c r="A240" s="1">
        <f t="shared" si="11"/>
        <v>239</v>
      </c>
      <c r="B240" s="113" t="s">
        <v>23</v>
      </c>
      <c r="C240" s="15" t="s">
        <v>24</v>
      </c>
      <c r="D240" s="114">
        <v>3622</v>
      </c>
      <c r="E240" s="113" t="s">
        <v>398</v>
      </c>
      <c r="F240" s="60" t="s">
        <v>379</v>
      </c>
      <c r="G240" s="61">
        <v>3949</v>
      </c>
      <c r="H240" s="62" t="s">
        <v>345</v>
      </c>
      <c r="I240" s="62" t="s">
        <v>28</v>
      </c>
      <c r="J240" s="1990" t="s">
        <v>57</v>
      </c>
      <c r="K240" s="115" t="s">
        <v>58</v>
      </c>
      <c r="L240" s="63">
        <v>1</v>
      </c>
      <c r="M240" s="415" t="s">
        <v>364</v>
      </c>
      <c r="N240" s="416" t="s">
        <v>365</v>
      </c>
      <c r="O240" s="417" t="s">
        <v>394</v>
      </c>
      <c r="P240" s="61">
        <v>60</v>
      </c>
      <c r="Q240" s="65">
        <v>0.08</v>
      </c>
      <c r="R240" s="61"/>
      <c r="S240" s="66">
        <f t="shared" si="9"/>
        <v>0</v>
      </c>
      <c r="T240" s="67">
        <f t="shared" si="10"/>
        <v>0</v>
      </c>
      <c r="U240" s="62" t="s">
        <v>34</v>
      </c>
      <c r="V240" s="116"/>
      <c r="W240" s="62"/>
    </row>
    <row r="241" spans="1:23" ht="23.4" x14ac:dyDescent="0.45">
      <c r="A241" s="1">
        <f t="shared" si="11"/>
        <v>240</v>
      </c>
      <c r="B241" s="113" t="s">
        <v>23</v>
      </c>
      <c r="C241" s="15" t="s">
        <v>24</v>
      </c>
      <c r="D241" s="114">
        <v>3622</v>
      </c>
      <c r="E241" s="113" t="s">
        <v>398</v>
      </c>
      <c r="F241" s="60" t="s">
        <v>379</v>
      </c>
      <c r="G241" s="61">
        <v>3949</v>
      </c>
      <c r="H241" s="62" t="s">
        <v>345</v>
      </c>
      <c r="I241" s="62" t="s">
        <v>28</v>
      </c>
      <c r="J241" s="1990" t="s">
        <v>57</v>
      </c>
      <c r="K241" s="115" t="s">
        <v>58</v>
      </c>
      <c r="L241" s="63">
        <v>1</v>
      </c>
      <c r="M241" s="415" t="s">
        <v>369</v>
      </c>
      <c r="N241" s="416" t="s">
        <v>370</v>
      </c>
      <c r="O241" s="417"/>
      <c r="P241" s="61">
        <v>1</v>
      </c>
      <c r="Q241" s="65">
        <v>0.05</v>
      </c>
      <c r="R241" s="61"/>
      <c r="S241" s="66">
        <f t="shared" si="9"/>
        <v>0</v>
      </c>
      <c r="T241" s="67">
        <f t="shared" si="10"/>
        <v>0</v>
      </c>
      <c r="U241" s="62" t="s">
        <v>34</v>
      </c>
      <c r="V241" s="116"/>
      <c r="W241" s="62"/>
    </row>
    <row r="242" spans="1:23" ht="23.4" x14ac:dyDescent="0.45">
      <c r="A242" s="1">
        <f t="shared" si="11"/>
        <v>241</v>
      </c>
      <c r="B242" s="113" t="s">
        <v>23</v>
      </c>
      <c r="C242" s="15" t="s">
        <v>24</v>
      </c>
      <c r="D242" s="114">
        <v>3622</v>
      </c>
      <c r="E242" s="113" t="s">
        <v>398</v>
      </c>
      <c r="F242" s="60" t="s">
        <v>379</v>
      </c>
      <c r="G242" s="61">
        <v>3949</v>
      </c>
      <c r="H242" s="62" t="s">
        <v>345</v>
      </c>
      <c r="I242" s="62" t="s">
        <v>28</v>
      </c>
      <c r="J242" s="1990" t="s">
        <v>57</v>
      </c>
      <c r="K242" s="115" t="s">
        <v>58</v>
      </c>
      <c r="L242" s="63">
        <v>1</v>
      </c>
      <c r="M242" s="415" t="s">
        <v>371</v>
      </c>
      <c r="N242" s="416" t="s">
        <v>372</v>
      </c>
      <c r="O242" s="417"/>
      <c r="P242" s="61">
        <v>1</v>
      </c>
      <c r="Q242" s="65">
        <v>0.05</v>
      </c>
      <c r="R242" s="61"/>
      <c r="S242" s="66">
        <f t="shared" si="9"/>
        <v>0</v>
      </c>
      <c r="T242" s="67">
        <f t="shared" si="10"/>
        <v>0</v>
      </c>
      <c r="U242" s="62" t="s">
        <v>34</v>
      </c>
      <c r="V242" s="116"/>
      <c r="W242" s="62"/>
    </row>
    <row r="243" spans="1:23" ht="23.4" x14ac:dyDescent="0.45">
      <c r="A243" s="1">
        <f t="shared" si="11"/>
        <v>242</v>
      </c>
      <c r="B243" s="113" t="s">
        <v>23</v>
      </c>
      <c r="C243" s="15" t="s">
        <v>24</v>
      </c>
      <c r="D243" s="114">
        <v>3622</v>
      </c>
      <c r="E243" s="113" t="s">
        <v>398</v>
      </c>
      <c r="F243" s="60" t="s">
        <v>379</v>
      </c>
      <c r="G243" s="61">
        <v>3949</v>
      </c>
      <c r="H243" s="62" t="s">
        <v>345</v>
      </c>
      <c r="I243" s="62" t="s">
        <v>28</v>
      </c>
      <c r="J243" s="1990" t="s">
        <v>57</v>
      </c>
      <c r="K243" s="115" t="s">
        <v>58</v>
      </c>
      <c r="L243" s="63">
        <v>1</v>
      </c>
      <c r="M243" s="415" t="s">
        <v>373</v>
      </c>
      <c r="N243" s="416" t="s">
        <v>395</v>
      </c>
      <c r="O243" s="417"/>
      <c r="P243" s="61">
        <v>1</v>
      </c>
      <c r="Q243" s="65">
        <v>0.05</v>
      </c>
      <c r="R243" s="61"/>
      <c r="S243" s="66">
        <f t="shared" si="9"/>
        <v>0</v>
      </c>
      <c r="T243" s="67">
        <f t="shared" si="10"/>
        <v>0</v>
      </c>
      <c r="U243" s="62" t="s">
        <v>34</v>
      </c>
      <c r="V243" s="116"/>
      <c r="W243" s="62"/>
    </row>
    <row r="244" spans="1:23" ht="23.4" x14ac:dyDescent="0.45">
      <c r="A244" s="1">
        <f t="shared" si="11"/>
        <v>243</v>
      </c>
      <c r="B244" s="113" t="s">
        <v>23</v>
      </c>
      <c r="C244" s="15" t="s">
        <v>24</v>
      </c>
      <c r="D244" s="114">
        <v>3622</v>
      </c>
      <c r="E244" s="113" t="s">
        <v>398</v>
      </c>
      <c r="F244" s="60" t="s">
        <v>379</v>
      </c>
      <c r="G244" s="61">
        <v>3949</v>
      </c>
      <c r="H244" s="62" t="s">
        <v>345</v>
      </c>
      <c r="I244" s="62" t="s">
        <v>28</v>
      </c>
      <c r="J244" s="1990" t="s">
        <v>57</v>
      </c>
      <c r="K244" s="115" t="s">
        <v>58</v>
      </c>
      <c r="L244" s="63">
        <v>1</v>
      </c>
      <c r="M244" s="415" t="s">
        <v>373</v>
      </c>
      <c r="N244" s="416" t="s">
        <v>374</v>
      </c>
      <c r="O244" s="417" t="s">
        <v>375</v>
      </c>
      <c r="P244" s="61">
        <v>4</v>
      </c>
      <c r="Q244" s="65">
        <v>0.05</v>
      </c>
      <c r="R244" s="61"/>
      <c r="S244" s="66">
        <f t="shared" si="9"/>
        <v>0</v>
      </c>
      <c r="T244" s="67">
        <f t="shared" si="10"/>
        <v>0</v>
      </c>
      <c r="U244" s="62" t="s">
        <v>34</v>
      </c>
      <c r="V244" s="116"/>
      <c r="W244" s="62"/>
    </row>
    <row r="245" spans="1:23" ht="23.4" x14ac:dyDescent="0.45">
      <c r="A245" s="1">
        <f t="shared" si="11"/>
        <v>244</v>
      </c>
      <c r="B245" s="113" t="s">
        <v>23</v>
      </c>
      <c r="C245" s="15" t="s">
        <v>24</v>
      </c>
      <c r="D245" s="114">
        <v>3622</v>
      </c>
      <c r="E245" s="113" t="s">
        <v>398</v>
      </c>
      <c r="F245" s="60" t="s">
        <v>379</v>
      </c>
      <c r="G245" s="61">
        <v>3949</v>
      </c>
      <c r="H245" s="62" t="s">
        <v>345</v>
      </c>
      <c r="I245" s="62" t="s">
        <v>28</v>
      </c>
      <c r="J245" s="1990" t="s">
        <v>57</v>
      </c>
      <c r="K245" s="115" t="s">
        <v>58</v>
      </c>
      <c r="L245" s="63">
        <v>1</v>
      </c>
      <c r="M245" s="415" t="s">
        <v>376</v>
      </c>
      <c r="N245" s="416" t="s">
        <v>377</v>
      </c>
      <c r="O245" s="417"/>
      <c r="P245" s="61">
        <v>1</v>
      </c>
      <c r="Q245" s="65">
        <v>0.05</v>
      </c>
      <c r="R245" s="61"/>
      <c r="S245" s="66">
        <f t="shared" si="9"/>
        <v>0</v>
      </c>
      <c r="T245" s="67">
        <f t="shared" si="10"/>
        <v>0</v>
      </c>
      <c r="U245" s="62" t="s">
        <v>34</v>
      </c>
      <c r="V245" s="116"/>
      <c r="W245" s="62"/>
    </row>
    <row r="246" spans="1:23" ht="23.4" x14ac:dyDescent="0.45">
      <c r="A246" s="1">
        <f t="shared" si="11"/>
        <v>245</v>
      </c>
      <c r="B246" s="113" t="s">
        <v>23</v>
      </c>
      <c r="C246" s="15" t="s">
        <v>24</v>
      </c>
      <c r="D246" s="114">
        <v>3622</v>
      </c>
      <c r="E246" s="113" t="s">
        <v>398</v>
      </c>
      <c r="F246" s="60" t="s">
        <v>379</v>
      </c>
      <c r="G246" s="61">
        <v>3949</v>
      </c>
      <c r="H246" s="62" t="s">
        <v>345</v>
      </c>
      <c r="I246" s="62" t="s">
        <v>28</v>
      </c>
      <c r="J246" s="1990" t="s">
        <v>57</v>
      </c>
      <c r="K246" s="115" t="s">
        <v>58</v>
      </c>
      <c r="L246" s="63">
        <v>1</v>
      </c>
      <c r="M246" s="415" t="s">
        <v>396</v>
      </c>
      <c r="N246" s="416" t="s">
        <v>397</v>
      </c>
      <c r="O246" s="417"/>
      <c r="P246" s="61">
        <v>1</v>
      </c>
      <c r="Q246" s="65">
        <v>0.08</v>
      </c>
      <c r="R246" s="61"/>
      <c r="S246" s="66">
        <f t="shared" si="9"/>
        <v>0</v>
      </c>
      <c r="T246" s="67">
        <f t="shared" si="10"/>
        <v>0</v>
      </c>
      <c r="U246" s="62" t="s">
        <v>34</v>
      </c>
      <c r="V246" s="116"/>
      <c r="W246" s="62"/>
    </row>
    <row r="247" spans="1:23" ht="23.4" x14ac:dyDescent="0.45">
      <c r="A247" s="1">
        <f t="shared" si="11"/>
        <v>246</v>
      </c>
      <c r="B247" s="2" t="s">
        <v>23</v>
      </c>
      <c r="C247" s="2" t="s">
        <v>24</v>
      </c>
      <c r="D247" s="49">
        <v>3854</v>
      </c>
      <c r="E247" s="2" t="s">
        <v>399</v>
      </c>
      <c r="F247" s="93" t="s">
        <v>379</v>
      </c>
      <c r="G247" s="94">
        <v>3949</v>
      </c>
      <c r="H247" s="95" t="s">
        <v>345</v>
      </c>
      <c r="I247" s="95" t="s">
        <v>28</v>
      </c>
      <c r="J247" s="1989" t="s">
        <v>57</v>
      </c>
      <c r="K247" s="96" t="s">
        <v>58</v>
      </c>
      <c r="L247" s="9">
        <v>1</v>
      </c>
      <c r="M247" s="3" t="s">
        <v>347</v>
      </c>
      <c r="N247" s="473" t="s">
        <v>348</v>
      </c>
      <c r="O247" s="473"/>
      <c r="P247" s="112">
        <v>1</v>
      </c>
      <c r="Q247" s="98">
        <v>0.11</v>
      </c>
      <c r="R247" s="112"/>
      <c r="S247" s="14">
        <f t="shared" si="9"/>
        <v>0</v>
      </c>
      <c r="T247" s="51">
        <f t="shared" si="10"/>
        <v>0</v>
      </c>
      <c r="U247" s="95" t="s">
        <v>34</v>
      </c>
      <c r="V247" s="1956">
        <f>SUM(T247:T261)%</f>
        <v>0</v>
      </c>
      <c r="W247" s="95"/>
    </row>
    <row r="248" spans="1:23" ht="23.4" x14ac:dyDescent="0.45">
      <c r="A248" s="1">
        <f t="shared" si="11"/>
        <v>247</v>
      </c>
      <c r="B248" s="113" t="s">
        <v>23</v>
      </c>
      <c r="C248" s="15" t="s">
        <v>24</v>
      </c>
      <c r="D248" s="114">
        <v>3854</v>
      </c>
      <c r="E248" s="113" t="s">
        <v>399</v>
      </c>
      <c r="F248" s="60" t="s">
        <v>379</v>
      </c>
      <c r="G248" s="61">
        <v>3949</v>
      </c>
      <c r="H248" s="62" t="s">
        <v>345</v>
      </c>
      <c r="I248" s="62" t="s">
        <v>28</v>
      </c>
      <c r="J248" s="1984" t="s">
        <v>57</v>
      </c>
      <c r="K248" s="31" t="s">
        <v>58</v>
      </c>
      <c r="L248" s="63">
        <v>1</v>
      </c>
      <c r="M248" s="415" t="s">
        <v>381</v>
      </c>
      <c r="N248" s="416" t="s">
        <v>382</v>
      </c>
      <c r="O248" s="417" t="s">
        <v>383</v>
      </c>
      <c r="P248" s="61">
        <f>3*20*6</f>
        <v>360</v>
      </c>
      <c r="Q248" s="65">
        <v>0.1</v>
      </c>
      <c r="R248" s="61"/>
      <c r="S248" s="66">
        <f t="shared" si="9"/>
        <v>0</v>
      </c>
      <c r="T248" s="67">
        <f t="shared" si="10"/>
        <v>0</v>
      </c>
      <c r="U248" s="62" t="s">
        <v>34</v>
      </c>
      <c r="V248" s="116"/>
      <c r="W248" s="62"/>
    </row>
    <row r="249" spans="1:23" ht="23.4" x14ac:dyDescent="0.45">
      <c r="A249" s="1">
        <f t="shared" si="11"/>
        <v>248</v>
      </c>
      <c r="B249" s="113" t="s">
        <v>23</v>
      </c>
      <c r="C249" s="15" t="s">
        <v>24</v>
      </c>
      <c r="D249" s="114">
        <v>3854</v>
      </c>
      <c r="E249" s="113" t="s">
        <v>399</v>
      </c>
      <c r="F249" s="60" t="s">
        <v>379</v>
      </c>
      <c r="G249" s="61">
        <v>3949</v>
      </c>
      <c r="H249" s="62" t="s">
        <v>345</v>
      </c>
      <c r="I249" s="62" t="s">
        <v>28</v>
      </c>
      <c r="J249" s="1984" t="s">
        <v>57</v>
      </c>
      <c r="K249" s="31" t="s">
        <v>58</v>
      </c>
      <c r="L249" s="63">
        <v>1</v>
      </c>
      <c r="M249" s="415" t="s">
        <v>349</v>
      </c>
      <c r="N249" s="416" t="s">
        <v>350</v>
      </c>
      <c r="O249" s="417"/>
      <c r="P249" s="61">
        <v>1</v>
      </c>
      <c r="Q249" s="65">
        <v>0.1</v>
      </c>
      <c r="R249" s="61"/>
      <c r="S249" s="66">
        <f t="shared" si="9"/>
        <v>0</v>
      </c>
      <c r="T249" s="67">
        <f t="shared" si="10"/>
        <v>0</v>
      </c>
      <c r="U249" s="62" t="s">
        <v>34</v>
      </c>
      <c r="V249" s="116"/>
      <c r="W249" s="62"/>
    </row>
    <row r="250" spans="1:23" ht="23.4" x14ac:dyDescent="0.45">
      <c r="A250" s="1">
        <f t="shared" si="11"/>
        <v>249</v>
      </c>
      <c r="B250" s="113" t="s">
        <v>23</v>
      </c>
      <c r="C250" s="15" t="s">
        <v>24</v>
      </c>
      <c r="D250" s="114">
        <v>3854</v>
      </c>
      <c r="E250" s="113" t="s">
        <v>399</v>
      </c>
      <c r="F250" s="60" t="s">
        <v>379</v>
      </c>
      <c r="G250" s="61">
        <v>3949</v>
      </c>
      <c r="H250" s="62" t="s">
        <v>345</v>
      </c>
      <c r="I250" s="62" t="s">
        <v>28</v>
      </c>
      <c r="J250" s="1984" t="s">
        <v>57</v>
      </c>
      <c r="K250" s="31" t="s">
        <v>58</v>
      </c>
      <c r="L250" s="63">
        <v>1</v>
      </c>
      <c r="M250" s="415" t="s">
        <v>384</v>
      </c>
      <c r="N250" s="416" t="s">
        <v>385</v>
      </c>
      <c r="O250" s="417"/>
      <c r="P250" s="61">
        <v>3</v>
      </c>
      <c r="Q250" s="65">
        <v>0.05</v>
      </c>
      <c r="R250" s="61"/>
      <c r="S250" s="66">
        <f t="shared" si="9"/>
        <v>0</v>
      </c>
      <c r="T250" s="67">
        <f t="shared" si="10"/>
        <v>0</v>
      </c>
      <c r="U250" s="62" t="s">
        <v>34</v>
      </c>
      <c r="V250" s="116"/>
      <c r="W250" s="62"/>
    </row>
    <row r="251" spans="1:23" ht="23.4" x14ac:dyDescent="0.45">
      <c r="A251" s="1">
        <f t="shared" si="11"/>
        <v>250</v>
      </c>
      <c r="B251" s="113" t="s">
        <v>23</v>
      </c>
      <c r="C251" s="15" t="s">
        <v>24</v>
      </c>
      <c r="D251" s="114">
        <v>3854</v>
      </c>
      <c r="E251" s="113" t="s">
        <v>399</v>
      </c>
      <c r="F251" s="60" t="s">
        <v>379</v>
      </c>
      <c r="G251" s="61">
        <v>3949</v>
      </c>
      <c r="H251" s="62" t="s">
        <v>345</v>
      </c>
      <c r="I251" s="62" t="s">
        <v>28</v>
      </c>
      <c r="J251" s="1984" t="s">
        <v>57</v>
      </c>
      <c r="K251" s="31" t="s">
        <v>58</v>
      </c>
      <c r="L251" s="63">
        <v>1</v>
      </c>
      <c r="M251" s="415" t="s">
        <v>357</v>
      </c>
      <c r="N251" s="416" t="s">
        <v>386</v>
      </c>
      <c r="O251" s="417"/>
      <c r="P251" s="61">
        <v>0</v>
      </c>
      <c r="Q251" s="65">
        <v>0.05</v>
      </c>
      <c r="R251" s="61"/>
      <c r="S251" s="66">
        <f t="shared" si="9"/>
        <v>0</v>
      </c>
      <c r="T251" s="67">
        <f t="shared" si="10"/>
        <v>0</v>
      </c>
      <c r="U251" s="62" t="s">
        <v>34</v>
      </c>
      <c r="V251" s="116"/>
      <c r="W251" s="62"/>
    </row>
    <row r="252" spans="1:23" ht="23.4" x14ac:dyDescent="0.45">
      <c r="A252" s="1">
        <f t="shared" si="11"/>
        <v>251</v>
      </c>
      <c r="B252" s="113" t="s">
        <v>23</v>
      </c>
      <c r="C252" s="15" t="s">
        <v>24</v>
      </c>
      <c r="D252" s="114">
        <v>3854</v>
      </c>
      <c r="E252" s="113" t="s">
        <v>399</v>
      </c>
      <c r="F252" s="60" t="s">
        <v>379</v>
      </c>
      <c r="G252" s="61">
        <v>3949</v>
      </c>
      <c r="H252" s="62" t="s">
        <v>345</v>
      </c>
      <c r="I252" s="62" t="s">
        <v>28</v>
      </c>
      <c r="J252" s="1984" t="s">
        <v>57</v>
      </c>
      <c r="K252" s="31" t="s">
        <v>58</v>
      </c>
      <c r="L252" s="63">
        <v>1</v>
      </c>
      <c r="M252" s="415" t="s">
        <v>387</v>
      </c>
      <c r="N252" s="416" t="s">
        <v>388</v>
      </c>
      <c r="O252" s="417" t="s">
        <v>389</v>
      </c>
      <c r="P252" s="61">
        <v>60</v>
      </c>
      <c r="Q252" s="65">
        <v>0.08</v>
      </c>
      <c r="R252" s="61"/>
      <c r="S252" s="66">
        <f t="shared" si="9"/>
        <v>0</v>
      </c>
      <c r="T252" s="67">
        <f t="shared" si="10"/>
        <v>0</v>
      </c>
      <c r="U252" s="62" t="s">
        <v>34</v>
      </c>
      <c r="V252" s="116"/>
      <c r="W252" s="62"/>
    </row>
    <row r="253" spans="1:23" ht="23.4" x14ac:dyDescent="0.45">
      <c r="A253" s="1">
        <f t="shared" si="11"/>
        <v>252</v>
      </c>
      <c r="B253" s="113" t="s">
        <v>23</v>
      </c>
      <c r="C253" s="15" t="s">
        <v>24</v>
      </c>
      <c r="D253" s="114">
        <v>3854</v>
      </c>
      <c r="E253" s="113" t="s">
        <v>399</v>
      </c>
      <c r="F253" s="60" t="s">
        <v>379</v>
      </c>
      <c r="G253" s="61">
        <v>3949</v>
      </c>
      <c r="H253" s="62" t="s">
        <v>345</v>
      </c>
      <c r="I253" s="62" t="s">
        <v>28</v>
      </c>
      <c r="J253" s="1984" t="s">
        <v>57</v>
      </c>
      <c r="K253" s="31" t="s">
        <v>58</v>
      </c>
      <c r="L253" s="63">
        <v>1</v>
      </c>
      <c r="M253" s="415" t="s">
        <v>390</v>
      </c>
      <c r="N253" s="416" t="s">
        <v>391</v>
      </c>
      <c r="O253" s="417"/>
      <c r="P253" s="61">
        <v>3</v>
      </c>
      <c r="Q253" s="65">
        <v>0.05</v>
      </c>
      <c r="R253" s="61"/>
      <c r="S253" s="66">
        <f t="shared" si="9"/>
        <v>0</v>
      </c>
      <c r="T253" s="67">
        <f t="shared" si="10"/>
        <v>0</v>
      </c>
      <c r="U253" s="62" t="s">
        <v>34</v>
      </c>
      <c r="V253" s="116"/>
      <c r="W253" s="62"/>
    </row>
    <row r="254" spans="1:23" ht="23.4" x14ac:dyDescent="0.45">
      <c r="A254" s="1">
        <f t="shared" si="11"/>
        <v>253</v>
      </c>
      <c r="B254" s="113" t="s">
        <v>23</v>
      </c>
      <c r="C254" s="15" t="s">
        <v>24</v>
      </c>
      <c r="D254" s="114">
        <v>3854</v>
      </c>
      <c r="E254" s="113" t="s">
        <v>399</v>
      </c>
      <c r="F254" s="60" t="s">
        <v>379</v>
      </c>
      <c r="G254" s="61">
        <v>3949</v>
      </c>
      <c r="H254" s="62" t="s">
        <v>345</v>
      </c>
      <c r="I254" s="62" t="s">
        <v>28</v>
      </c>
      <c r="J254" s="1984" t="s">
        <v>57</v>
      </c>
      <c r="K254" s="31" t="s">
        <v>58</v>
      </c>
      <c r="L254" s="63">
        <v>1</v>
      </c>
      <c r="M254" s="415" t="s">
        <v>392</v>
      </c>
      <c r="N254" s="416" t="s">
        <v>393</v>
      </c>
      <c r="O254" s="417"/>
      <c r="P254" s="61">
        <v>60</v>
      </c>
      <c r="Q254" s="65">
        <v>0.05</v>
      </c>
      <c r="R254" s="61"/>
      <c r="S254" s="66">
        <f t="shared" si="9"/>
        <v>0</v>
      </c>
      <c r="T254" s="67">
        <f t="shared" si="10"/>
        <v>0</v>
      </c>
      <c r="U254" s="62" t="s">
        <v>34</v>
      </c>
      <c r="V254" s="116"/>
      <c r="W254" s="62"/>
    </row>
    <row r="255" spans="1:23" ht="23.4" x14ac:dyDescent="0.45">
      <c r="A255" s="1">
        <f t="shared" si="11"/>
        <v>254</v>
      </c>
      <c r="B255" s="113" t="s">
        <v>23</v>
      </c>
      <c r="C255" s="15" t="s">
        <v>24</v>
      </c>
      <c r="D255" s="114">
        <v>3854</v>
      </c>
      <c r="E255" s="113" t="s">
        <v>399</v>
      </c>
      <c r="F255" s="60" t="s">
        <v>379</v>
      </c>
      <c r="G255" s="61">
        <v>3949</v>
      </c>
      <c r="H255" s="62" t="s">
        <v>345</v>
      </c>
      <c r="I255" s="62" t="s">
        <v>28</v>
      </c>
      <c r="J255" s="1984" t="s">
        <v>57</v>
      </c>
      <c r="K255" s="31" t="s">
        <v>58</v>
      </c>
      <c r="L255" s="63">
        <v>1</v>
      </c>
      <c r="M255" s="415" t="s">
        <v>364</v>
      </c>
      <c r="N255" s="416" t="s">
        <v>365</v>
      </c>
      <c r="O255" s="417" t="s">
        <v>394</v>
      </c>
      <c r="P255" s="61">
        <v>60</v>
      </c>
      <c r="Q255" s="65">
        <v>0.08</v>
      </c>
      <c r="R255" s="61"/>
      <c r="S255" s="66">
        <f t="shared" si="9"/>
        <v>0</v>
      </c>
      <c r="T255" s="67">
        <f t="shared" si="10"/>
        <v>0</v>
      </c>
      <c r="U255" s="62" t="s">
        <v>34</v>
      </c>
      <c r="V255" s="116"/>
      <c r="W255" s="62"/>
    </row>
    <row r="256" spans="1:23" ht="23.4" x14ac:dyDescent="0.45">
      <c r="A256" s="1">
        <f t="shared" si="11"/>
        <v>255</v>
      </c>
      <c r="B256" s="113" t="s">
        <v>23</v>
      </c>
      <c r="C256" s="15" t="s">
        <v>24</v>
      </c>
      <c r="D256" s="114">
        <v>3854</v>
      </c>
      <c r="E256" s="113" t="s">
        <v>399</v>
      </c>
      <c r="F256" s="60" t="s">
        <v>379</v>
      </c>
      <c r="G256" s="61">
        <v>3949</v>
      </c>
      <c r="H256" s="62" t="s">
        <v>345</v>
      </c>
      <c r="I256" s="62" t="s">
        <v>28</v>
      </c>
      <c r="J256" s="1984" t="s">
        <v>57</v>
      </c>
      <c r="K256" s="31" t="s">
        <v>58</v>
      </c>
      <c r="L256" s="63">
        <v>1</v>
      </c>
      <c r="M256" s="415" t="s">
        <v>369</v>
      </c>
      <c r="N256" s="416" t="s">
        <v>370</v>
      </c>
      <c r="O256" s="417"/>
      <c r="P256" s="61">
        <v>1</v>
      </c>
      <c r="Q256" s="65">
        <v>0.05</v>
      </c>
      <c r="R256" s="61"/>
      <c r="S256" s="66">
        <f t="shared" si="9"/>
        <v>0</v>
      </c>
      <c r="T256" s="67">
        <f t="shared" si="10"/>
        <v>0</v>
      </c>
      <c r="U256" s="62" t="s">
        <v>34</v>
      </c>
      <c r="V256" s="116"/>
      <c r="W256" s="62"/>
    </row>
    <row r="257" spans="1:58" ht="23.4" x14ac:dyDescent="0.45">
      <c r="A257" s="1">
        <f t="shared" si="11"/>
        <v>256</v>
      </c>
      <c r="B257" s="113" t="s">
        <v>23</v>
      </c>
      <c r="C257" s="15" t="s">
        <v>24</v>
      </c>
      <c r="D257" s="114">
        <v>3854</v>
      </c>
      <c r="E257" s="113" t="s">
        <v>399</v>
      </c>
      <c r="F257" s="60" t="s">
        <v>379</v>
      </c>
      <c r="G257" s="61">
        <v>3949</v>
      </c>
      <c r="H257" s="62" t="s">
        <v>345</v>
      </c>
      <c r="I257" s="62" t="s">
        <v>28</v>
      </c>
      <c r="J257" s="1984" t="s">
        <v>57</v>
      </c>
      <c r="K257" s="31" t="s">
        <v>58</v>
      </c>
      <c r="L257" s="63">
        <v>1</v>
      </c>
      <c r="M257" s="415" t="s">
        <v>371</v>
      </c>
      <c r="N257" s="416" t="s">
        <v>372</v>
      </c>
      <c r="O257" s="417"/>
      <c r="P257" s="61">
        <v>1</v>
      </c>
      <c r="Q257" s="65">
        <v>0.05</v>
      </c>
      <c r="R257" s="61"/>
      <c r="S257" s="66">
        <f t="shared" si="9"/>
        <v>0</v>
      </c>
      <c r="T257" s="67">
        <f t="shared" si="10"/>
        <v>0</v>
      </c>
      <c r="U257" s="62" t="s">
        <v>34</v>
      </c>
      <c r="V257" s="116"/>
      <c r="W257" s="62"/>
    </row>
    <row r="258" spans="1:58" ht="23.4" x14ac:dyDescent="0.45">
      <c r="A258" s="1">
        <f t="shared" si="11"/>
        <v>257</v>
      </c>
      <c r="B258" s="113" t="s">
        <v>23</v>
      </c>
      <c r="C258" s="15" t="s">
        <v>24</v>
      </c>
      <c r="D258" s="114">
        <v>3854</v>
      </c>
      <c r="E258" s="113" t="s">
        <v>399</v>
      </c>
      <c r="F258" s="60" t="s">
        <v>379</v>
      </c>
      <c r="G258" s="61">
        <v>3949</v>
      </c>
      <c r="H258" s="62" t="s">
        <v>345</v>
      </c>
      <c r="I258" s="62" t="s">
        <v>28</v>
      </c>
      <c r="J258" s="1984" t="s">
        <v>57</v>
      </c>
      <c r="K258" s="31" t="s">
        <v>58</v>
      </c>
      <c r="L258" s="63">
        <v>1</v>
      </c>
      <c r="M258" s="415" t="s">
        <v>373</v>
      </c>
      <c r="N258" s="416" t="s">
        <v>395</v>
      </c>
      <c r="O258" s="417"/>
      <c r="P258" s="61">
        <v>1</v>
      </c>
      <c r="Q258" s="65">
        <v>0.05</v>
      </c>
      <c r="R258" s="61"/>
      <c r="S258" s="66">
        <f t="shared" ref="S258:S321" si="12">ROUND(IF(OR(P258="",R258=""),0,IF(AND(P258=0,R258=0),1,IF(U258="+",R258/P258,P258/R258))),2)</f>
        <v>0</v>
      </c>
      <c r="T258" s="67">
        <f t="shared" ref="T258:T321" si="13">IF(AND(S258&gt;=60%,S258&lt;100%),S258*((Q258*L258)),IF(S258=100%,((Q258*L258)*S258)*100%,IF(S258&gt;100%,((L258*Q258)*100%)*100%,0)))*100</f>
        <v>0</v>
      </c>
      <c r="U258" s="62" t="s">
        <v>34</v>
      </c>
      <c r="V258" s="116"/>
      <c r="W258" s="62"/>
    </row>
    <row r="259" spans="1:58" ht="23.4" x14ac:dyDescent="0.45">
      <c r="A259" s="1">
        <f t="shared" si="11"/>
        <v>258</v>
      </c>
      <c r="B259" s="113" t="s">
        <v>23</v>
      </c>
      <c r="C259" s="15" t="s">
        <v>24</v>
      </c>
      <c r="D259" s="114">
        <v>3854</v>
      </c>
      <c r="E259" s="113" t="s">
        <v>399</v>
      </c>
      <c r="F259" s="60" t="s">
        <v>379</v>
      </c>
      <c r="G259" s="61">
        <v>3949</v>
      </c>
      <c r="H259" s="62" t="s">
        <v>345</v>
      </c>
      <c r="I259" s="62" t="s">
        <v>28</v>
      </c>
      <c r="J259" s="1984" t="s">
        <v>57</v>
      </c>
      <c r="K259" s="31" t="s">
        <v>58</v>
      </c>
      <c r="L259" s="63">
        <v>1</v>
      </c>
      <c r="M259" s="415" t="s">
        <v>373</v>
      </c>
      <c r="N259" s="416" t="s">
        <v>374</v>
      </c>
      <c r="O259" s="417" t="s">
        <v>375</v>
      </c>
      <c r="P259" s="61">
        <v>4</v>
      </c>
      <c r="Q259" s="65">
        <v>0.05</v>
      </c>
      <c r="R259" s="61"/>
      <c r="S259" s="66">
        <f t="shared" si="12"/>
        <v>0</v>
      </c>
      <c r="T259" s="67">
        <f t="shared" si="13"/>
        <v>0</v>
      </c>
      <c r="U259" s="62" t="s">
        <v>34</v>
      </c>
      <c r="V259" s="116"/>
      <c r="W259" s="62"/>
    </row>
    <row r="260" spans="1:58" ht="23.4" x14ac:dyDescent="0.45">
      <c r="A260" s="1">
        <f t="shared" ref="A260:A323" si="14">ROW()-1</f>
        <v>259</v>
      </c>
      <c r="B260" s="113" t="s">
        <v>23</v>
      </c>
      <c r="C260" s="15" t="s">
        <v>24</v>
      </c>
      <c r="D260" s="114">
        <v>3854</v>
      </c>
      <c r="E260" s="113" t="s">
        <v>399</v>
      </c>
      <c r="F260" s="60" t="s">
        <v>379</v>
      </c>
      <c r="G260" s="61">
        <v>3949</v>
      </c>
      <c r="H260" s="62" t="s">
        <v>345</v>
      </c>
      <c r="I260" s="62" t="s">
        <v>28</v>
      </c>
      <c r="J260" s="1984" t="s">
        <v>57</v>
      </c>
      <c r="K260" s="31" t="s">
        <v>58</v>
      </c>
      <c r="L260" s="63">
        <v>1</v>
      </c>
      <c r="M260" s="415" t="s">
        <v>376</v>
      </c>
      <c r="N260" s="416" t="s">
        <v>377</v>
      </c>
      <c r="O260" s="417"/>
      <c r="P260" s="61">
        <v>1</v>
      </c>
      <c r="Q260" s="65">
        <v>0.05</v>
      </c>
      <c r="R260" s="61"/>
      <c r="S260" s="66">
        <f t="shared" si="12"/>
        <v>0</v>
      </c>
      <c r="T260" s="67">
        <f t="shared" si="13"/>
        <v>0</v>
      </c>
      <c r="U260" s="62" t="s">
        <v>34</v>
      </c>
      <c r="V260" s="116"/>
      <c r="W260" s="62"/>
    </row>
    <row r="261" spans="1:58" ht="23.4" x14ac:dyDescent="0.45">
      <c r="A261" s="1">
        <f t="shared" si="14"/>
        <v>260</v>
      </c>
      <c r="B261" s="113" t="s">
        <v>23</v>
      </c>
      <c r="C261" s="15" t="s">
        <v>24</v>
      </c>
      <c r="D261" s="114">
        <v>3854</v>
      </c>
      <c r="E261" s="113" t="s">
        <v>399</v>
      </c>
      <c r="F261" s="60" t="s">
        <v>379</v>
      </c>
      <c r="G261" s="61">
        <v>3949</v>
      </c>
      <c r="H261" s="62" t="s">
        <v>345</v>
      </c>
      <c r="I261" s="62" t="s">
        <v>28</v>
      </c>
      <c r="J261" s="1984" t="s">
        <v>57</v>
      </c>
      <c r="K261" s="31" t="s">
        <v>58</v>
      </c>
      <c r="L261" s="63">
        <v>1</v>
      </c>
      <c r="M261" s="415" t="s">
        <v>396</v>
      </c>
      <c r="N261" s="416" t="s">
        <v>397</v>
      </c>
      <c r="O261" s="417"/>
      <c r="P261" s="61">
        <v>1</v>
      </c>
      <c r="Q261" s="65">
        <v>0.08</v>
      </c>
      <c r="R261" s="61"/>
      <c r="S261" s="66">
        <f t="shared" si="12"/>
        <v>0</v>
      </c>
      <c r="T261" s="67">
        <f t="shared" si="13"/>
        <v>0</v>
      </c>
      <c r="U261" s="62" t="s">
        <v>34</v>
      </c>
      <c r="V261" s="116"/>
      <c r="W261" s="62"/>
    </row>
    <row r="262" spans="1:58" ht="23.4" x14ac:dyDescent="0.45">
      <c r="A262" s="1">
        <f t="shared" si="14"/>
        <v>261</v>
      </c>
      <c r="B262" s="2" t="s">
        <v>23</v>
      </c>
      <c r="C262" s="2" t="s">
        <v>24</v>
      </c>
      <c r="D262" s="49">
        <v>3305</v>
      </c>
      <c r="E262" s="2" t="s">
        <v>400</v>
      </c>
      <c r="F262" s="118" t="s">
        <v>401</v>
      </c>
      <c r="G262" s="119">
        <v>4051</v>
      </c>
      <c r="H262" s="120" t="s">
        <v>25</v>
      </c>
      <c r="I262" s="120" t="s">
        <v>402</v>
      </c>
      <c r="J262" s="1981" t="s">
        <v>57</v>
      </c>
      <c r="K262" s="8" t="s">
        <v>58</v>
      </c>
      <c r="L262" s="53">
        <v>0.6</v>
      </c>
      <c r="M262" s="280" t="s">
        <v>403</v>
      </c>
      <c r="N262" s="3" t="s">
        <v>404</v>
      </c>
      <c r="O262" s="3"/>
      <c r="P262" s="13">
        <v>1</v>
      </c>
      <c r="Q262" s="122">
        <v>0.16</v>
      </c>
      <c r="R262" s="13"/>
      <c r="S262" s="120">
        <f t="shared" si="12"/>
        <v>0</v>
      </c>
      <c r="T262" s="119">
        <f t="shared" si="13"/>
        <v>0</v>
      </c>
      <c r="U262" s="120" t="s">
        <v>34</v>
      </c>
      <c r="V262" s="1957">
        <f>SUM(T262:T279)%</f>
        <v>0</v>
      </c>
      <c r="W262" s="120"/>
    </row>
    <row r="263" spans="1:58" ht="23.4" x14ac:dyDescent="0.45">
      <c r="A263" s="1">
        <f t="shared" si="14"/>
        <v>262</v>
      </c>
      <c r="B263" s="57" t="s">
        <v>23</v>
      </c>
      <c r="C263" s="57" t="s">
        <v>24</v>
      </c>
      <c r="D263" s="58">
        <v>3305</v>
      </c>
      <c r="E263" s="57" t="s">
        <v>400</v>
      </c>
      <c r="F263" s="123" t="s">
        <v>401</v>
      </c>
      <c r="G263" s="42">
        <v>4051</v>
      </c>
      <c r="H263" s="35" t="s">
        <v>25</v>
      </c>
      <c r="I263" s="35" t="s">
        <v>402</v>
      </c>
      <c r="J263" s="1992" t="s">
        <v>57</v>
      </c>
      <c r="K263" s="124" t="s">
        <v>58</v>
      </c>
      <c r="L263" s="125">
        <v>0.6</v>
      </c>
      <c r="M263" s="184" t="s">
        <v>405</v>
      </c>
      <c r="N263" s="184" t="s">
        <v>406</v>
      </c>
      <c r="O263" s="184"/>
      <c r="P263" s="37">
        <v>1</v>
      </c>
      <c r="Q263" s="126">
        <v>0.04</v>
      </c>
      <c r="R263" s="37"/>
      <c r="S263" s="35">
        <f t="shared" si="12"/>
        <v>0</v>
      </c>
      <c r="T263" s="42">
        <f t="shared" si="13"/>
        <v>0</v>
      </c>
      <c r="U263" s="35" t="s">
        <v>34</v>
      </c>
      <c r="V263" s="35"/>
      <c r="W263" s="35"/>
    </row>
    <row r="264" spans="1:58" ht="23.4" x14ac:dyDescent="0.45">
      <c r="A264" s="1">
        <f t="shared" si="14"/>
        <v>263</v>
      </c>
      <c r="B264" s="57" t="s">
        <v>23</v>
      </c>
      <c r="C264" s="57" t="s">
        <v>24</v>
      </c>
      <c r="D264" s="58">
        <v>3305</v>
      </c>
      <c r="E264" s="57" t="s">
        <v>400</v>
      </c>
      <c r="F264" s="123" t="s">
        <v>401</v>
      </c>
      <c r="G264" s="42">
        <v>4051</v>
      </c>
      <c r="H264" s="35" t="s">
        <v>25</v>
      </c>
      <c r="I264" s="35" t="s">
        <v>402</v>
      </c>
      <c r="J264" s="1992" t="s">
        <v>57</v>
      </c>
      <c r="K264" s="124" t="s">
        <v>58</v>
      </c>
      <c r="L264" s="125">
        <v>0.6</v>
      </c>
      <c r="M264" s="184" t="s">
        <v>407</v>
      </c>
      <c r="N264" s="184" t="s">
        <v>408</v>
      </c>
      <c r="O264" s="184"/>
      <c r="P264" s="127">
        <v>0.98</v>
      </c>
      <c r="Q264" s="128">
        <v>0.1</v>
      </c>
      <c r="R264" s="127"/>
      <c r="S264" s="35">
        <f t="shared" si="12"/>
        <v>0</v>
      </c>
      <c r="T264" s="42">
        <f t="shared" si="13"/>
        <v>0</v>
      </c>
      <c r="U264" s="35" t="s">
        <v>83</v>
      </c>
      <c r="V264" s="35"/>
      <c r="W264" s="35"/>
    </row>
    <row r="265" spans="1:58" ht="23.4" x14ac:dyDescent="0.45">
      <c r="A265" s="1">
        <f t="shared" si="14"/>
        <v>264</v>
      </c>
      <c r="B265" s="57" t="s">
        <v>23</v>
      </c>
      <c r="C265" s="57" t="s">
        <v>24</v>
      </c>
      <c r="D265" s="58">
        <v>3305</v>
      </c>
      <c r="E265" s="57" t="s">
        <v>400</v>
      </c>
      <c r="F265" s="123" t="s">
        <v>401</v>
      </c>
      <c r="G265" s="42">
        <v>4051</v>
      </c>
      <c r="H265" s="35" t="s">
        <v>25</v>
      </c>
      <c r="I265" s="35" t="s">
        <v>402</v>
      </c>
      <c r="J265" s="1992" t="s">
        <v>57</v>
      </c>
      <c r="K265" s="124" t="s">
        <v>58</v>
      </c>
      <c r="L265" s="125">
        <v>0.6</v>
      </c>
      <c r="M265" s="184" t="s">
        <v>409</v>
      </c>
      <c r="N265" s="184" t="s">
        <v>410</v>
      </c>
      <c r="O265" s="184"/>
      <c r="P265" s="127">
        <v>1</v>
      </c>
      <c r="Q265" s="128">
        <v>0.1</v>
      </c>
      <c r="R265" s="127"/>
      <c r="S265" s="35">
        <f t="shared" si="12"/>
        <v>0</v>
      </c>
      <c r="T265" s="42">
        <f t="shared" si="13"/>
        <v>0</v>
      </c>
      <c r="U265" s="35" t="s">
        <v>83</v>
      </c>
      <c r="V265" s="35"/>
      <c r="W265" s="35"/>
    </row>
    <row r="266" spans="1:58" ht="23.4" x14ac:dyDescent="0.45">
      <c r="A266" s="1">
        <f t="shared" si="14"/>
        <v>265</v>
      </c>
      <c r="B266" s="57" t="s">
        <v>23</v>
      </c>
      <c r="C266" s="57" t="s">
        <v>24</v>
      </c>
      <c r="D266" s="58">
        <v>3305</v>
      </c>
      <c r="E266" s="57" t="s">
        <v>400</v>
      </c>
      <c r="F266" s="123" t="s">
        <v>401</v>
      </c>
      <c r="G266" s="42">
        <v>4051</v>
      </c>
      <c r="H266" s="35" t="s">
        <v>25</v>
      </c>
      <c r="I266" s="35" t="s">
        <v>402</v>
      </c>
      <c r="J266" s="1992" t="s">
        <v>57</v>
      </c>
      <c r="K266" s="124" t="s">
        <v>58</v>
      </c>
      <c r="L266" s="125">
        <v>0.6</v>
      </c>
      <c r="M266" s="184" t="s">
        <v>411</v>
      </c>
      <c r="N266" s="184" t="s">
        <v>412</v>
      </c>
      <c r="O266" s="184"/>
      <c r="P266" s="127">
        <v>0.85</v>
      </c>
      <c r="Q266" s="128">
        <v>0.1</v>
      </c>
      <c r="R266" s="127"/>
      <c r="S266" s="35">
        <f t="shared" si="12"/>
        <v>0</v>
      </c>
      <c r="T266" s="42">
        <f t="shared" si="13"/>
        <v>0</v>
      </c>
      <c r="U266" s="35" t="s">
        <v>34</v>
      </c>
      <c r="V266" s="35"/>
      <c r="W266" s="35"/>
    </row>
    <row r="267" spans="1:58" ht="23.4" x14ac:dyDescent="0.45">
      <c r="A267" s="1">
        <f t="shared" si="14"/>
        <v>266</v>
      </c>
      <c r="B267" s="57" t="s">
        <v>23</v>
      </c>
      <c r="C267" s="57" t="s">
        <v>24</v>
      </c>
      <c r="D267" s="58">
        <v>3305</v>
      </c>
      <c r="E267" s="57" t="s">
        <v>400</v>
      </c>
      <c r="F267" s="123" t="s">
        <v>401</v>
      </c>
      <c r="G267" s="42">
        <v>4051</v>
      </c>
      <c r="H267" s="35" t="s">
        <v>25</v>
      </c>
      <c r="I267" s="35" t="s">
        <v>402</v>
      </c>
      <c r="J267" s="1992" t="s">
        <v>57</v>
      </c>
      <c r="K267" s="124" t="s">
        <v>58</v>
      </c>
      <c r="L267" s="125">
        <v>0.6</v>
      </c>
      <c r="M267" s="184" t="s">
        <v>413</v>
      </c>
      <c r="N267" s="184" t="s">
        <v>414</v>
      </c>
      <c r="O267" s="184"/>
      <c r="P267" s="129">
        <v>0.99199999999999999</v>
      </c>
      <c r="Q267" s="128">
        <v>0.1</v>
      </c>
      <c r="R267" s="129"/>
      <c r="S267" s="35">
        <f t="shared" si="12"/>
        <v>0</v>
      </c>
      <c r="T267" s="42">
        <f t="shared" si="13"/>
        <v>0</v>
      </c>
      <c r="U267" s="35" t="s">
        <v>34</v>
      </c>
      <c r="V267" s="35"/>
      <c r="W267" s="35"/>
    </row>
    <row r="268" spans="1:58" ht="23.4" x14ac:dyDescent="0.45">
      <c r="A268" s="1">
        <f t="shared" si="14"/>
        <v>267</v>
      </c>
      <c r="B268" s="57" t="s">
        <v>23</v>
      </c>
      <c r="C268" s="57" t="s">
        <v>24</v>
      </c>
      <c r="D268" s="58">
        <v>3305</v>
      </c>
      <c r="E268" s="57" t="s">
        <v>400</v>
      </c>
      <c r="F268" s="130" t="s">
        <v>401</v>
      </c>
      <c r="G268" s="67">
        <v>4051</v>
      </c>
      <c r="H268" s="66" t="s">
        <v>25</v>
      </c>
      <c r="I268" s="66" t="s">
        <v>402</v>
      </c>
      <c r="J268" s="1992" t="s">
        <v>57</v>
      </c>
      <c r="K268" s="124" t="s">
        <v>58</v>
      </c>
      <c r="L268" s="125">
        <v>0.6</v>
      </c>
      <c r="M268" s="435" t="s">
        <v>80</v>
      </c>
      <c r="N268" s="435" t="s">
        <v>81</v>
      </c>
      <c r="O268" s="435" t="s">
        <v>82</v>
      </c>
      <c r="P268" s="43">
        <v>0.01</v>
      </c>
      <c r="Q268" s="128">
        <v>0.1</v>
      </c>
      <c r="R268" s="43"/>
      <c r="S268" s="66">
        <f t="shared" si="12"/>
        <v>0</v>
      </c>
      <c r="T268" s="67">
        <f t="shared" si="13"/>
        <v>0</v>
      </c>
      <c r="U268" s="66" t="s">
        <v>83</v>
      </c>
      <c r="V268" s="66"/>
      <c r="W268" s="66"/>
    </row>
    <row r="269" spans="1:58" ht="23.4" x14ac:dyDescent="0.45">
      <c r="A269" s="1">
        <f t="shared" si="14"/>
        <v>268</v>
      </c>
      <c r="B269" s="57" t="s">
        <v>23</v>
      </c>
      <c r="C269" s="57" t="s">
        <v>24</v>
      </c>
      <c r="D269" s="58">
        <v>3305</v>
      </c>
      <c r="E269" s="57" t="s">
        <v>400</v>
      </c>
      <c r="F269" s="130" t="s">
        <v>401</v>
      </c>
      <c r="G269" s="67">
        <v>4051</v>
      </c>
      <c r="H269" s="66" t="s">
        <v>25</v>
      </c>
      <c r="I269" s="66" t="s">
        <v>402</v>
      </c>
      <c r="J269" s="1992" t="s">
        <v>57</v>
      </c>
      <c r="K269" s="124" t="s">
        <v>58</v>
      </c>
      <c r="L269" s="125">
        <v>0.6</v>
      </c>
      <c r="M269" s="184" t="s">
        <v>415</v>
      </c>
      <c r="N269" s="184" t="s">
        <v>416</v>
      </c>
      <c r="O269" s="184"/>
      <c r="P269" s="127">
        <v>1</v>
      </c>
      <c r="Q269" s="128">
        <v>0.05</v>
      </c>
      <c r="R269" s="127"/>
      <c r="S269" s="35">
        <f t="shared" si="12"/>
        <v>0</v>
      </c>
      <c r="T269" s="42">
        <f t="shared" si="13"/>
        <v>0</v>
      </c>
      <c r="U269" s="66" t="s">
        <v>83</v>
      </c>
      <c r="V269" s="66"/>
      <c r="W269" s="66"/>
    </row>
    <row r="270" spans="1:58" s="131" customFormat="1" ht="23.4" x14ac:dyDescent="0.45">
      <c r="A270" s="1">
        <f t="shared" si="14"/>
        <v>269</v>
      </c>
      <c r="B270" s="57" t="s">
        <v>23</v>
      </c>
      <c r="C270" s="57" t="s">
        <v>24</v>
      </c>
      <c r="D270" s="58">
        <v>3305</v>
      </c>
      <c r="E270" s="57" t="s">
        <v>400</v>
      </c>
      <c r="F270" s="130" t="s">
        <v>401</v>
      </c>
      <c r="G270" s="67">
        <v>4051</v>
      </c>
      <c r="H270" s="66" t="s">
        <v>25</v>
      </c>
      <c r="I270" s="66" t="s">
        <v>402</v>
      </c>
      <c r="J270" s="1992" t="s">
        <v>57</v>
      </c>
      <c r="K270" s="124" t="s">
        <v>58</v>
      </c>
      <c r="L270" s="125">
        <v>0.6</v>
      </c>
      <c r="M270" s="184" t="s">
        <v>417</v>
      </c>
      <c r="N270" s="184" t="s">
        <v>418</v>
      </c>
      <c r="O270" s="184"/>
      <c r="P270" s="127">
        <v>1</v>
      </c>
      <c r="Q270" s="128">
        <v>0.05</v>
      </c>
      <c r="R270" s="127"/>
      <c r="S270" s="66">
        <f t="shared" si="12"/>
        <v>0</v>
      </c>
      <c r="T270" s="67">
        <f t="shared" si="13"/>
        <v>0</v>
      </c>
      <c r="U270" s="66" t="s">
        <v>34</v>
      </c>
      <c r="V270" s="66"/>
      <c r="W270" s="66"/>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row>
    <row r="271" spans="1:58" ht="23.4" x14ac:dyDescent="0.45">
      <c r="A271" s="1">
        <f t="shared" si="14"/>
        <v>270</v>
      </c>
      <c r="B271" s="57" t="s">
        <v>23</v>
      </c>
      <c r="C271" s="57" t="s">
        <v>24</v>
      </c>
      <c r="D271" s="58">
        <v>3305</v>
      </c>
      <c r="E271" s="57" t="s">
        <v>400</v>
      </c>
      <c r="F271" s="130" t="s">
        <v>401</v>
      </c>
      <c r="G271" s="67">
        <v>4051</v>
      </c>
      <c r="H271" s="66" t="s">
        <v>25</v>
      </c>
      <c r="I271" s="66" t="s">
        <v>402</v>
      </c>
      <c r="J271" s="1992" t="s">
        <v>57</v>
      </c>
      <c r="K271" s="124" t="s">
        <v>58</v>
      </c>
      <c r="L271" s="125">
        <v>0.6</v>
      </c>
      <c r="M271" s="184" t="s">
        <v>419</v>
      </c>
      <c r="N271" s="184" t="s">
        <v>420</v>
      </c>
      <c r="O271" s="184"/>
      <c r="P271" s="127">
        <v>1</v>
      </c>
      <c r="Q271" s="128">
        <v>0.05</v>
      </c>
      <c r="R271" s="127"/>
      <c r="S271" s="35">
        <f t="shared" si="12"/>
        <v>0</v>
      </c>
      <c r="T271" s="42">
        <f t="shared" si="13"/>
        <v>0</v>
      </c>
      <c r="U271" s="66" t="s">
        <v>34</v>
      </c>
      <c r="V271" s="66"/>
      <c r="W271" s="66"/>
    </row>
    <row r="272" spans="1:58" ht="23.4" x14ac:dyDescent="0.45">
      <c r="A272" s="1">
        <f t="shared" si="14"/>
        <v>271</v>
      </c>
      <c r="B272" s="57" t="s">
        <v>23</v>
      </c>
      <c r="C272" s="57" t="s">
        <v>24</v>
      </c>
      <c r="D272" s="58">
        <v>3305</v>
      </c>
      <c r="E272" s="57" t="s">
        <v>400</v>
      </c>
      <c r="F272" s="130" t="s">
        <v>401</v>
      </c>
      <c r="G272" s="67">
        <v>4051</v>
      </c>
      <c r="H272" s="66" t="s">
        <v>25</v>
      </c>
      <c r="I272" s="66" t="s">
        <v>402</v>
      </c>
      <c r="J272" s="1992" t="s">
        <v>57</v>
      </c>
      <c r="K272" s="124" t="s">
        <v>58</v>
      </c>
      <c r="L272" s="125">
        <v>0.6</v>
      </c>
      <c r="M272" s="184" t="s">
        <v>421</v>
      </c>
      <c r="N272" s="184" t="s">
        <v>195</v>
      </c>
      <c r="O272" s="184" t="s">
        <v>196</v>
      </c>
      <c r="P272" s="127">
        <v>1</v>
      </c>
      <c r="Q272" s="128">
        <v>0.05</v>
      </c>
      <c r="R272" s="127"/>
      <c r="S272" s="35">
        <f t="shared" si="12"/>
        <v>0</v>
      </c>
      <c r="T272" s="42">
        <f t="shared" si="13"/>
        <v>0</v>
      </c>
      <c r="U272" s="66" t="s">
        <v>34</v>
      </c>
      <c r="V272" s="66"/>
      <c r="W272" s="66"/>
    </row>
    <row r="273" spans="1:23" ht="23.4" x14ac:dyDescent="0.45">
      <c r="A273" s="1">
        <f t="shared" si="14"/>
        <v>272</v>
      </c>
      <c r="B273" s="57" t="s">
        <v>23</v>
      </c>
      <c r="C273" s="57" t="s">
        <v>24</v>
      </c>
      <c r="D273" s="58">
        <v>3305</v>
      </c>
      <c r="E273" s="57" t="s">
        <v>400</v>
      </c>
      <c r="F273" s="130" t="s">
        <v>401</v>
      </c>
      <c r="G273" s="67">
        <v>4051</v>
      </c>
      <c r="H273" s="66" t="s">
        <v>25</v>
      </c>
      <c r="I273" s="66" t="s">
        <v>402</v>
      </c>
      <c r="J273" s="1992" t="s">
        <v>57</v>
      </c>
      <c r="K273" s="124" t="s">
        <v>58</v>
      </c>
      <c r="L273" s="125">
        <v>0.6</v>
      </c>
      <c r="M273" s="184" t="s">
        <v>96</v>
      </c>
      <c r="N273" s="184" t="s">
        <v>422</v>
      </c>
      <c r="O273" s="184"/>
      <c r="P273" s="127">
        <v>1</v>
      </c>
      <c r="Q273" s="128">
        <v>0.05</v>
      </c>
      <c r="R273" s="127"/>
      <c r="S273" s="35">
        <f t="shared" si="12"/>
        <v>0</v>
      </c>
      <c r="T273" s="42">
        <f t="shared" si="13"/>
        <v>0</v>
      </c>
      <c r="U273" s="66" t="s">
        <v>34</v>
      </c>
      <c r="V273" s="35"/>
      <c r="W273" s="66"/>
    </row>
    <row r="274" spans="1:23" ht="23.4" x14ac:dyDescent="0.45">
      <c r="A274" s="1">
        <f t="shared" si="14"/>
        <v>273</v>
      </c>
      <c r="B274" s="57" t="s">
        <v>23</v>
      </c>
      <c r="C274" s="57" t="s">
        <v>24</v>
      </c>
      <c r="D274" s="58">
        <v>3305</v>
      </c>
      <c r="E274" s="57" t="s">
        <v>400</v>
      </c>
      <c r="F274" s="123" t="s">
        <v>401</v>
      </c>
      <c r="G274" s="42">
        <v>4051</v>
      </c>
      <c r="H274" s="35" t="s">
        <v>25</v>
      </c>
      <c r="I274" s="35" t="s">
        <v>402</v>
      </c>
      <c r="J274" s="1992" t="s">
        <v>57</v>
      </c>
      <c r="K274" s="124" t="s">
        <v>58</v>
      </c>
      <c r="L274" s="125">
        <v>0.6</v>
      </c>
      <c r="M274" s="184" t="s">
        <v>423</v>
      </c>
      <c r="N274" s="184" t="s">
        <v>424</v>
      </c>
      <c r="O274" s="184"/>
      <c r="P274" s="127">
        <v>1</v>
      </c>
      <c r="Q274" s="128">
        <v>0.05</v>
      </c>
      <c r="R274" s="127"/>
      <c r="S274" s="35">
        <f t="shared" si="12"/>
        <v>0</v>
      </c>
      <c r="T274" s="42">
        <f t="shared" si="13"/>
        <v>0</v>
      </c>
      <c r="U274" s="35" t="s">
        <v>34</v>
      </c>
      <c r="V274" s="35"/>
      <c r="W274" s="35"/>
    </row>
    <row r="275" spans="1:23" ht="23.4" x14ac:dyDescent="0.45">
      <c r="A275" s="1">
        <f t="shared" si="14"/>
        <v>274</v>
      </c>
      <c r="B275" s="57" t="s">
        <v>23</v>
      </c>
      <c r="C275" s="57" t="s">
        <v>24</v>
      </c>
      <c r="D275" s="58">
        <v>3305</v>
      </c>
      <c r="E275" s="57" t="s">
        <v>400</v>
      </c>
      <c r="F275" s="132" t="s">
        <v>401</v>
      </c>
      <c r="G275" s="133">
        <v>4051</v>
      </c>
      <c r="H275" s="134" t="s">
        <v>25</v>
      </c>
      <c r="I275" s="134" t="s">
        <v>402</v>
      </c>
      <c r="J275" s="1993" t="s">
        <v>110</v>
      </c>
      <c r="K275" s="135" t="s">
        <v>111</v>
      </c>
      <c r="L275" s="109">
        <v>0.4</v>
      </c>
      <c r="M275" s="334" t="s">
        <v>425</v>
      </c>
      <c r="N275" s="334" t="s">
        <v>426</v>
      </c>
      <c r="O275" s="334"/>
      <c r="P275" s="138">
        <v>1</v>
      </c>
      <c r="Q275" s="139">
        <v>0.2</v>
      </c>
      <c r="R275" s="138"/>
      <c r="S275" s="134">
        <f t="shared" si="12"/>
        <v>0</v>
      </c>
      <c r="T275" s="133">
        <f t="shared" si="13"/>
        <v>0</v>
      </c>
      <c r="U275" s="134" t="s">
        <v>34</v>
      </c>
      <c r="V275" s="134"/>
      <c r="W275" s="134"/>
    </row>
    <row r="276" spans="1:23" ht="23.4" x14ac:dyDescent="0.45">
      <c r="A276" s="1">
        <f t="shared" si="14"/>
        <v>275</v>
      </c>
      <c r="B276" s="57" t="s">
        <v>23</v>
      </c>
      <c r="C276" s="57" t="s">
        <v>24</v>
      </c>
      <c r="D276" s="58">
        <v>3305</v>
      </c>
      <c r="E276" s="57" t="s">
        <v>400</v>
      </c>
      <c r="F276" s="132" t="s">
        <v>401</v>
      </c>
      <c r="G276" s="133">
        <v>4051</v>
      </c>
      <c r="H276" s="134" t="s">
        <v>25</v>
      </c>
      <c r="I276" s="134" t="s">
        <v>402</v>
      </c>
      <c r="J276" s="1993" t="s">
        <v>110</v>
      </c>
      <c r="K276" s="135" t="s">
        <v>111</v>
      </c>
      <c r="L276" s="109">
        <v>0.4</v>
      </c>
      <c r="M276" s="334" t="s">
        <v>427</v>
      </c>
      <c r="N276" s="334" t="s">
        <v>428</v>
      </c>
      <c r="O276" s="334"/>
      <c r="P276" s="138">
        <v>1</v>
      </c>
      <c r="Q276" s="139">
        <v>0.2</v>
      </c>
      <c r="R276" s="138"/>
      <c r="S276" s="134">
        <f t="shared" si="12"/>
        <v>0</v>
      </c>
      <c r="T276" s="133">
        <f t="shared" si="13"/>
        <v>0</v>
      </c>
      <c r="U276" s="134" t="s">
        <v>34</v>
      </c>
      <c r="V276" s="134"/>
      <c r="W276" s="134"/>
    </row>
    <row r="277" spans="1:23" ht="23.4" x14ac:dyDescent="0.45">
      <c r="A277" s="1">
        <f t="shared" si="14"/>
        <v>276</v>
      </c>
      <c r="B277" s="57" t="s">
        <v>23</v>
      </c>
      <c r="C277" s="57" t="s">
        <v>24</v>
      </c>
      <c r="D277" s="58">
        <v>3305</v>
      </c>
      <c r="E277" s="57" t="s">
        <v>400</v>
      </c>
      <c r="F277" s="132" t="s">
        <v>401</v>
      </c>
      <c r="G277" s="133">
        <v>4051</v>
      </c>
      <c r="H277" s="134" t="s">
        <v>25</v>
      </c>
      <c r="I277" s="134" t="s">
        <v>402</v>
      </c>
      <c r="J277" s="1993" t="s">
        <v>110</v>
      </c>
      <c r="K277" s="135" t="s">
        <v>111</v>
      </c>
      <c r="L277" s="109">
        <v>0.4</v>
      </c>
      <c r="M277" s="334" t="s">
        <v>429</v>
      </c>
      <c r="N277" s="334" t="s">
        <v>430</v>
      </c>
      <c r="O277" s="334"/>
      <c r="P277" s="138">
        <v>1</v>
      </c>
      <c r="Q277" s="139">
        <v>0.2</v>
      </c>
      <c r="R277" s="138"/>
      <c r="S277" s="134">
        <f t="shared" si="12"/>
        <v>0</v>
      </c>
      <c r="T277" s="133">
        <f t="shared" si="13"/>
        <v>0</v>
      </c>
      <c r="U277" s="134" t="s">
        <v>34</v>
      </c>
      <c r="V277" s="134"/>
      <c r="W277" s="134"/>
    </row>
    <row r="278" spans="1:23" ht="23.4" x14ac:dyDescent="0.45">
      <c r="A278" s="1">
        <f t="shared" si="14"/>
        <v>277</v>
      </c>
      <c r="B278" s="57" t="s">
        <v>23</v>
      </c>
      <c r="C278" s="57" t="s">
        <v>24</v>
      </c>
      <c r="D278" s="58">
        <v>3305</v>
      </c>
      <c r="E278" s="57" t="s">
        <v>400</v>
      </c>
      <c r="F278" s="132" t="s">
        <v>401</v>
      </c>
      <c r="G278" s="133">
        <v>4051</v>
      </c>
      <c r="H278" s="134" t="s">
        <v>25</v>
      </c>
      <c r="I278" s="134" t="s">
        <v>402</v>
      </c>
      <c r="J278" s="1993" t="s">
        <v>110</v>
      </c>
      <c r="K278" s="135" t="s">
        <v>111</v>
      </c>
      <c r="L278" s="109">
        <v>0.4</v>
      </c>
      <c r="M278" s="334" t="s">
        <v>431</v>
      </c>
      <c r="N278" s="334" t="s">
        <v>432</v>
      </c>
      <c r="O278" s="334"/>
      <c r="P278" s="138">
        <v>1</v>
      </c>
      <c r="Q278" s="139">
        <v>0.2</v>
      </c>
      <c r="R278" s="138"/>
      <c r="S278" s="134">
        <f t="shared" si="12"/>
        <v>0</v>
      </c>
      <c r="T278" s="133">
        <f t="shared" si="13"/>
        <v>0</v>
      </c>
      <c r="U278" s="134" t="s">
        <v>34</v>
      </c>
      <c r="V278" s="134"/>
      <c r="W278" s="134"/>
    </row>
    <row r="279" spans="1:23" ht="23.4" x14ac:dyDescent="0.45">
      <c r="A279" s="1">
        <f t="shared" si="14"/>
        <v>278</v>
      </c>
      <c r="B279" s="57" t="s">
        <v>23</v>
      </c>
      <c r="C279" s="57" t="s">
        <v>24</v>
      </c>
      <c r="D279" s="58">
        <v>3305</v>
      </c>
      <c r="E279" s="57" t="s">
        <v>400</v>
      </c>
      <c r="F279" s="132" t="s">
        <v>401</v>
      </c>
      <c r="G279" s="133">
        <v>4051</v>
      </c>
      <c r="H279" s="134" t="s">
        <v>25</v>
      </c>
      <c r="I279" s="134" t="s">
        <v>402</v>
      </c>
      <c r="J279" s="1993" t="s">
        <v>110</v>
      </c>
      <c r="K279" s="135" t="s">
        <v>111</v>
      </c>
      <c r="L279" s="109">
        <v>0.4</v>
      </c>
      <c r="M279" s="334" t="s">
        <v>433</v>
      </c>
      <c r="N279" s="334" t="s">
        <v>434</v>
      </c>
      <c r="O279" s="334"/>
      <c r="P279" s="138">
        <v>1</v>
      </c>
      <c r="Q279" s="139">
        <v>0.2</v>
      </c>
      <c r="R279" s="138"/>
      <c r="S279" s="134">
        <f t="shared" si="12"/>
        <v>0</v>
      </c>
      <c r="T279" s="133">
        <f t="shared" si="13"/>
        <v>0</v>
      </c>
      <c r="U279" s="134" t="s">
        <v>34</v>
      </c>
      <c r="V279" s="134"/>
      <c r="W279" s="134"/>
    </row>
    <row r="280" spans="1:23" ht="23.4" x14ac:dyDescent="0.45">
      <c r="A280" s="1">
        <f t="shared" si="14"/>
        <v>279</v>
      </c>
      <c r="B280" s="2" t="s">
        <v>23</v>
      </c>
      <c r="C280" s="2" t="s">
        <v>24</v>
      </c>
      <c r="D280" s="49">
        <v>3098</v>
      </c>
      <c r="E280" s="2" t="s">
        <v>435</v>
      </c>
      <c r="F280" s="118" t="s">
        <v>436</v>
      </c>
      <c r="G280" s="119">
        <v>3305</v>
      </c>
      <c r="H280" s="120" t="s">
        <v>400</v>
      </c>
      <c r="I280" s="120" t="s">
        <v>402</v>
      </c>
      <c r="J280" s="1981" t="s">
        <v>57</v>
      </c>
      <c r="K280" s="8" t="s">
        <v>58</v>
      </c>
      <c r="L280" s="53">
        <v>0.6</v>
      </c>
      <c r="M280" s="3" t="s">
        <v>437</v>
      </c>
      <c r="N280" s="3" t="s">
        <v>438</v>
      </c>
      <c r="O280" s="3"/>
      <c r="P280" s="13">
        <v>1</v>
      </c>
      <c r="Q280" s="122">
        <v>0.2</v>
      </c>
      <c r="R280" s="13"/>
      <c r="S280" s="120">
        <f t="shared" si="12"/>
        <v>0</v>
      </c>
      <c r="T280" s="119">
        <f t="shared" si="13"/>
        <v>0</v>
      </c>
      <c r="U280" s="120" t="s">
        <v>34</v>
      </c>
      <c r="V280" s="1957">
        <f>SUM(T280:T295)%</f>
        <v>0</v>
      </c>
      <c r="W280" s="43" t="s">
        <v>439</v>
      </c>
    </row>
    <row r="281" spans="1:23" ht="23.4" x14ac:dyDescent="0.45">
      <c r="A281" s="1">
        <f t="shared" si="14"/>
        <v>280</v>
      </c>
      <c r="B281" s="57" t="s">
        <v>23</v>
      </c>
      <c r="C281" s="57" t="s">
        <v>24</v>
      </c>
      <c r="D281" s="58">
        <v>3098</v>
      </c>
      <c r="E281" s="57" t="s">
        <v>435</v>
      </c>
      <c r="F281" s="130" t="s">
        <v>436</v>
      </c>
      <c r="G281" s="67">
        <v>3305</v>
      </c>
      <c r="H281" s="66" t="s">
        <v>400</v>
      </c>
      <c r="I281" s="66" t="s">
        <v>402</v>
      </c>
      <c r="J281" s="1992" t="s">
        <v>57</v>
      </c>
      <c r="K281" s="124" t="s">
        <v>58</v>
      </c>
      <c r="L281" s="125">
        <v>0.6</v>
      </c>
      <c r="M281" s="184" t="s">
        <v>440</v>
      </c>
      <c r="N281" s="184" t="s">
        <v>441</v>
      </c>
      <c r="O281" s="184"/>
      <c r="P281" s="129">
        <v>0.995</v>
      </c>
      <c r="Q281" s="140">
        <v>0.15</v>
      </c>
      <c r="R281" s="129"/>
      <c r="S281" s="66">
        <f t="shared" si="12"/>
        <v>0</v>
      </c>
      <c r="T281" s="67">
        <f t="shared" si="13"/>
        <v>0</v>
      </c>
      <c r="U281" s="66" t="s">
        <v>34</v>
      </c>
      <c r="V281" s="66"/>
      <c r="W281" s="66"/>
    </row>
    <row r="282" spans="1:23" ht="23.4" x14ac:dyDescent="0.45">
      <c r="A282" s="1">
        <f t="shared" si="14"/>
        <v>281</v>
      </c>
      <c r="B282" s="57" t="s">
        <v>23</v>
      </c>
      <c r="C282" s="57" t="s">
        <v>24</v>
      </c>
      <c r="D282" s="58">
        <v>3098</v>
      </c>
      <c r="E282" s="57" t="s">
        <v>435</v>
      </c>
      <c r="F282" s="130" t="s">
        <v>436</v>
      </c>
      <c r="G282" s="67">
        <v>3305</v>
      </c>
      <c r="H282" s="66" t="s">
        <v>400</v>
      </c>
      <c r="I282" s="66" t="s">
        <v>402</v>
      </c>
      <c r="J282" s="1992" t="s">
        <v>57</v>
      </c>
      <c r="K282" s="124" t="s">
        <v>58</v>
      </c>
      <c r="L282" s="125">
        <v>0.6</v>
      </c>
      <c r="M282" s="184" t="s">
        <v>442</v>
      </c>
      <c r="N282" s="184" t="s">
        <v>443</v>
      </c>
      <c r="O282" s="184"/>
      <c r="P282" s="127">
        <v>1</v>
      </c>
      <c r="Q282" s="140">
        <v>0.05</v>
      </c>
      <c r="R282" s="127"/>
      <c r="S282" s="66">
        <f t="shared" si="12"/>
        <v>0</v>
      </c>
      <c r="T282" s="67">
        <f t="shared" si="13"/>
        <v>0</v>
      </c>
      <c r="U282" s="66" t="s">
        <v>34</v>
      </c>
      <c r="V282" s="66"/>
      <c r="W282" s="66"/>
    </row>
    <row r="283" spans="1:23" ht="23.4" x14ac:dyDescent="0.45">
      <c r="A283" s="1">
        <f t="shared" si="14"/>
        <v>282</v>
      </c>
      <c r="B283" s="57" t="s">
        <v>23</v>
      </c>
      <c r="C283" s="57" t="s">
        <v>24</v>
      </c>
      <c r="D283" s="58">
        <v>3098</v>
      </c>
      <c r="E283" s="57" t="s">
        <v>435</v>
      </c>
      <c r="F283" s="130" t="s">
        <v>436</v>
      </c>
      <c r="G283" s="67">
        <v>3305</v>
      </c>
      <c r="H283" s="66" t="s">
        <v>400</v>
      </c>
      <c r="I283" s="66" t="s">
        <v>402</v>
      </c>
      <c r="J283" s="1992" t="s">
        <v>57</v>
      </c>
      <c r="K283" s="124" t="s">
        <v>58</v>
      </c>
      <c r="L283" s="125">
        <v>0.6</v>
      </c>
      <c r="M283" s="435" t="s">
        <v>80</v>
      </c>
      <c r="N283" s="435" t="s">
        <v>81</v>
      </c>
      <c r="O283" s="435" t="s">
        <v>82</v>
      </c>
      <c r="P283" s="43">
        <v>0.01</v>
      </c>
      <c r="Q283" s="140">
        <v>0.1</v>
      </c>
      <c r="R283" s="43"/>
      <c r="S283" s="66">
        <f t="shared" si="12"/>
        <v>0</v>
      </c>
      <c r="T283" s="67">
        <f t="shared" si="13"/>
        <v>0</v>
      </c>
      <c r="U283" s="66" t="s">
        <v>83</v>
      </c>
      <c r="V283" s="66"/>
      <c r="W283" s="66"/>
    </row>
    <row r="284" spans="1:23" ht="23.4" x14ac:dyDescent="0.45">
      <c r="A284" s="1">
        <f t="shared" si="14"/>
        <v>283</v>
      </c>
      <c r="B284" s="57" t="s">
        <v>23</v>
      </c>
      <c r="C284" s="57" t="s">
        <v>24</v>
      </c>
      <c r="D284" s="58">
        <v>3098</v>
      </c>
      <c r="E284" s="57" t="s">
        <v>435</v>
      </c>
      <c r="F284" s="130" t="s">
        <v>436</v>
      </c>
      <c r="G284" s="67">
        <v>3305</v>
      </c>
      <c r="H284" s="66" t="s">
        <v>400</v>
      </c>
      <c r="I284" s="66" t="s">
        <v>402</v>
      </c>
      <c r="J284" s="1992" t="s">
        <v>57</v>
      </c>
      <c r="K284" s="124" t="s">
        <v>58</v>
      </c>
      <c r="L284" s="125">
        <v>0.6</v>
      </c>
      <c r="M284" s="184" t="s">
        <v>444</v>
      </c>
      <c r="N284" s="184" t="s">
        <v>445</v>
      </c>
      <c r="O284" s="184"/>
      <c r="P284" s="127">
        <v>1</v>
      </c>
      <c r="Q284" s="140">
        <v>0.05</v>
      </c>
      <c r="R284" s="127"/>
      <c r="S284" s="66">
        <f t="shared" si="12"/>
        <v>0</v>
      </c>
      <c r="T284" s="67">
        <f t="shared" si="13"/>
        <v>0</v>
      </c>
      <c r="U284" s="66" t="s">
        <v>34</v>
      </c>
      <c r="V284" s="66"/>
      <c r="W284" s="66"/>
    </row>
    <row r="285" spans="1:23" ht="23.4" x14ac:dyDescent="0.45">
      <c r="A285" s="1">
        <f t="shared" si="14"/>
        <v>284</v>
      </c>
      <c r="B285" s="57" t="s">
        <v>23</v>
      </c>
      <c r="C285" s="57" t="s">
        <v>24</v>
      </c>
      <c r="D285" s="58">
        <v>3098</v>
      </c>
      <c r="E285" s="57" t="s">
        <v>435</v>
      </c>
      <c r="F285" s="130" t="s">
        <v>436</v>
      </c>
      <c r="G285" s="67">
        <v>3305</v>
      </c>
      <c r="H285" s="66" t="s">
        <v>400</v>
      </c>
      <c r="I285" s="66" t="s">
        <v>402</v>
      </c>
      <c r="J285" s="1992" t="s">
        <v>57</v>
      </c>
      <c r="K285" s="124" t="s">
        <v>58</v>
      </c>
      <c r="L285" s="125">
        <v>0.6</v>
      </c>
      <c r="M285" s="184" t="s">
        <v>415</v>
      </c>
      <c r="N285" s="184" t="s">
        <v>416</v>
      </c>
      <c r="O285" s="184"/>
      <c r="P285" s="127">
        <v>1</v>
      </c>
      <c r="Q285" s="140">
        <v>0.05</v>
      </c>
      <c r="R285" s="127"/>
      <c r="S285" s="35">
        <f t="shared" si="12"/>
        <v>0</v>
      </c>
      <c r="T285" s="42">
        <f t="shared" si="13"/>
        <v>0</v>
      </c>
      <c r="U285" s="66" t="s">
        <v>83</v>
      </c>
      <c r="V285" s="66"/>
      <c r="W285" s="66"/>
    </row>
    <row r="286" spans="1:23" ht="23.4" x14ac:dyDescent="0.45">
      <c r="A286" s="1">
        <f t="shared" si="14"/>
        <v>285</v>
      </c>
      <c r="B286" s="57" t="s">
        <v>23</v>
      </c>
      <c r="C286" s="57" t="s">
        <v>24</v>
      </c>
      <c r="D286" s="58">
        <v>3098</v>
      </c>
      <c r="E286" s="57" t="s">
        <v>435</v>
      </c>
      <c r="F286" s="130" t="s">
        <v>436</v>
      </c>
      <c r="G286" s="67">
        <v>3305</v>
      </c>
      <c r="H286" s="66" t="s">
        <v>400</v>
      </c>
      <c r="I286" s="66" t="s">
        <v>402</v>
      </c>
      <c r="J286" s="1992" t="s">
        <v>57</v>
      </c>
      <c r="K286" s="124" t="s">
        <v>58</v>
      </c>
      <c r="L286" s="125">
        <v>0.6</v>
      </c>
      <c r="M286" s="184" t="s">
        <v>411</v>
      </c>
      <c r="N286" s="184" t="s">
        <v>412</v>
      </c>
      <c r="O286" s="184"/>
      <c r="P286" s="127">
        <v>0.85</v>
      </c>
      <c r="Q286" s="140">
        <v>0.1</v>
      </c>
      <c r="R286" s="127"/>
      <c r="S286" s="66">
        <f t="shared" si="12"/>
        <v>0</v>
      </c>
      <c r="T286" s="67">
        <f t="shared" si="13"/>
        <v>0</v>
      </c>
      <c r="U286" s="66" t="s">
        <v>34</v>
      </c>
      <c r="V286" s="66"/>
      <c r="W286" s="66"/>
    </row>
    <row r="287" spans="1:23" ht="23.4" x14ac:dyDescent="0.45">
      <c r="A287" s="1">
        <f t="shared" si="14"/>
        <v>286</v>
      </c>
      <c r="B287" s="57" t="s">
        <v>23</v>
      </c>
      <c r="C287" s="57" t="s">
        <v>24</v>
      </c>
      <c r="D287" s="58">
        <v>3098</v>
      </c>
      <c r="E287" s="57" t="s">
        <v>435</v>
      </c>
      <c r="F287" s="130" t="s">
        <v>436</v>
      </c>
      <c r="G287" s="67">
        <v>3305</v>
      </c>
      <c r="H287" s="66" t="s">
        <v>400</v>
      </c>
      <c r="I287" s="66" t="s">
        <v>402</v>
      </c>
      <c r="J287" s="1992" t="s">
        <v>57</v>
      </c>
      <c r="K287" s="124" t="s">
        <v>58</v>
      </c>
      <c r="L287" s="125">
        <v>0.6</v>
      </c>
      <c r="M287" s="184" t="s">
        <v>419</v>
      </c>
      <c r="N287" s="184" t="s">
        <v>420</v>
      </c>
      <c r="O287" s="184"/>
      <c r="P287" s="127">
        <v>1</v>
      </c>
      <c r="Q287" s="140">
        <v>0.15</v>
      </c>
      <c r="R287" s="127"/>
      <c r="S287" s="66">
        <f t="shared" si="12"/>
        <v>0</v>
      </c>
      <c r="T287" s="67">
        <f t="shared" si="13"/>
        <v>0</v>
      </c>
      <c r="U287" s="66" t="s">
        <v>34</v>
      </c>
      <c r="V287" s="66"/>
      <c r="W287" s="66"/>
    </row>
    <row r="288" spans="1:23" ht="23.4" x14ac:dyDescent="0.45">
      <c r="A288" s="1">
        <f t="shared" si="14"/>
        <v>287</v>
      </c>
      <c r="B288" s="57" t="s">
        <v>23</v>
      </c>
      <c r="C288" s="57" t="s">
        <v>24</v>
      </c>
      <c r="D288" s="58">
        <v>3098</v>
      </c>
      <c r="E288" s="57" t="s">
        <v>435</v>
      </c>
      <c r="F288" s="130" t="s">
        <v>436</v>
      </c>
      <c r="G288" s="67">
        <v>3305</v>
      </c>
      <c r="H288" s="66" t="s">
        <v>400</v>
      </c>
      <c r="I288" s="66" t="s">
        <v>402</v>
      </c>
      <c r="J288" s="1992" t="s">
        <v>57</v>
      </c>
      <c r="K288" s="124" t="s">
        <v>58</v>
      </c>
      <c r="L288" s="125">
        <v>0.6</v>
      </c>
      <c r="M288" s="184" t="s">
        <v>417</v>
      </c>
      <c r="N288" s="184" t="s">
        <v>418</v>
      </c>
      <c r="O288" s="184"/>
      <c r="P288" s="127">
        <v>1</v>
      </c>
      <c r="Q288" s="140">
        <v>0.05</v>
      </c>
      <c r="R288" s="127"/>
      <c r="S288" s="66">
        <f t="shared" si="12"/>
        <v>0</v>
      </c>
      <c r="T288" s="67">
        <f t="shared" si="13"/>
        <v>0</v>
      </c>
      <c r="U288" s="66" t="s">
        <v>34</v>
      </c>
      <c r="V288" s="66"/>
      <c r="W288" s="66"/>
    </row>
    <row r="289" spans="1:23" ht="23.4" x14ac:dyDescent="0.45">
      <c r="A289" s="1">
        <f t="shared" si="14"/>
        <v>288</v>
      </c>
      <c r="B289" s="57" t="s">
        <v>23</v>
      </c>
      <c r="C289" s="57" t="s">
        <v>24</v>
      </c>
      <c r="D289" s="58">
        <v>3098</v>
      </c>
      <c r="E289" s="57" t="s">
        <v>435</v>
      </c>
      <c r="F289" s="130" t="s">
        <v>436</v>
      </c>
      <c r="G289" s="67">
        <v>3305</v>
      </c>
      <c r="H289" s="66" t="s">
        <v>400</v>
      </c>
      <c r="I289" s="66" t="s">
        <v>402</v>
      </c>
      <c r="J289" s="1992" t="s">
        <v>57</v>
      </c>
      <c r="K289" s="124" t="s">
        <v>58</v>
      </c>
      <c r="L289" s="125">
        <v>0.6</v>
      </c>
      <c r="M289" s="184" t="s">
        <v>96</v>
      </c>
      <c r="N289" s="184" t="s">
        <v>422</v>
      </c>
      <c r="O289" s="184"/>
      <c r="P289" s="127">
        <v>1</v>
      </c>
      <c r="Q289" s="140">
        <v>0.05</v>
      </c>
      <c r="R289" s="127"/>
      <c r="S289" s="66">
        <f t="shared" si="12"/>
        <v>0</v>
      </c>
      <c r="T289" s="67">
        <f t="shared" si="13"/>
        <v>0</v>
      </c>
      <c r="U289" s="66" t="s">
        <v>34</v>
      </c>
      <c r="V289" s="66"/>
      <c r="W289" s="66"/>
    </row>
    <row r="290" spans="1:23" ht="23.4" x14ac:dyDescent="0.45">
      <c r="A290" s="1">
        <f t="shared" si="14"/>
        <v>289</v>
      </c>
      <c r="B290" s="57" t="s">
        <v>23</v>
      </c>
      <c r="C290" s="57" t="s">
        <v>24</v>
      </c>
      <c r="D290" s="58">
        <v>3098</v>
      </c>
      <c r="E290" s="57" t="s">
        <v>435</v>
      </c>
      <c r="F290" s="130" t="s">
        <v>436</v>
      </c>
      <c r="G290" s="67">
        <v>3305</v>
      </c>
      <c r="H290" s="66" t="s">
        <v>400</v>
      </c>
      <c r="I290" s="66" t="s">
        <v>402</v>
      </c>
      <c r="J290" s="1992" t="s">
        <v>57</v>
      </c>
      <c r="K290" s="124" t="s">
        <v>58</v>
      </c>
      <c r="L290" s="125">
        <v>0.6</v>
      </c>
      <c r="M290" s="184" t="s">
        <v>423</v>
      </c>
      <c r="N290" s="184" t="s">
        <v>424</v>
      </c>
      <c r="O290" s="184"/>
      <c r="P290" s="127">
        <v>1</v>
      </c>
      <c r="Q290" s="140">
        <v>0.05</v>
      </c>
      <c r="R290" s="127"/>
      <c r="S290" s="66">
        <f t="shared" si="12"/>
        <v>0</v>
      </c>
      <c r="T290" s="67">
        <f t="shared" si="13"/>
        <v>0</v>
      </c>
      <c r="U290" s="66" t="s">
        <v>34</v>
      </c>
      <c r="V290" s="66"/>
      <c r="W290" s="66"/>
    </row>
    <row r="291" spans="1:23" ht="23.4" x14ac:dyDescent="0.45">
      <c r="A291" s="1">
        <f t="shared" si="14"/>
        <v>290</v>
      </c>
      <c r="B291" s="57" t="s">
        <v>23</v>
      </c>
      <c r="C291" s="57" t="s">
        <v>24</v>
      </c>
      <c r="D291" s="58">
        <v>3098</v>
      </c>
      <c r="E291" s="57" t="s">
        <v>435</v>
      </c>
      <c r="F291" s="141" t="s">
        <v>436</v>
      </c>
      <c r="G291" s="142">
        <v>3305</v>
      </c>
      <c r="H291" s="143" t="s">
        <v>400</v>
      </c>
      <c r="I291" s="143" t="s">
        <v>402</v>
      </c>
      <c r="J291" s="1993" t="s">
        <v>110</v>
      </c>
      <c r="K291" s="135" t="s">
        <v>111</v>
      </c>
      <c r="L291" s="109">
        <v>0.4</v>
      </c>
      <c r="M291" s="334" t="s">
        <v>425</v>
      </c>
      <c r="N291" s="334" t="s">
        <v>426</v>
      </c>
      <c r="O291" s="334"/>
      <c r="P291" s="138">
        <v>1</v>
      </c>
      <c r="Q291" s="144">
        <v>0.2</v>
      </c>
      <c r="R291" s="138"/>
      <c r="S291" s="143">
        <f t="shared" si="12"/>
        <v>0</v>
      </c>
      <c r="T291" s="142">
        <f t="shared" si="13"/>
        <v>0</v>
      </c>
      <c r="U291" s="143" t="s">
        <v>34</v>
      </c>
      <c r="V291" s="143"/>
      <c r="W291" s="143"/>
    </row>
    <row r="292" spans="1:23" ht="23.4" x14ac:dyDescent="0.45">
      <c r="A292" s="1">
        <f t="shared" si="14"/>
        <v>291</v>
      </c>
      <c r="B292" s="57" t="s">
        <v>23</v>
      </c>
      <c r="C292" s="57" t="s">
        <v>24</v>
      </c>
      <c r="D292" s="58">
        <v>3098</v>
      </c>
      <c r="E292" s="57" t="s">
        <v>435</v>
      </c>
      <c r="F292" s="141" t="s">
        <v>436</v>
      </c>
      <c r="G292" s="142">
        <v>3305</v>
      </c>
      <c r="H292" s="143" t="s">
        <v>400</v>
      </c>
      <c r="I292" s="143" t="s">
        <v>402</v>
      </c>
      <c r="J292" s="1993" t="s">
        <v>110</v>
      </c>
      <c r="K292" s="135" t="s">
        <v>111</v>
      </c>
      <c r="L292" s="109">
        <v>0.4</v>
      </c>
      <c r="M292" s="334" t="s">
        <v>446</v>
      </c>
      <c r="N292" s="334" t="s">
        <v>447</v>
      </c>
      <c r="O292" s="334"/>
      <c r="P292" s="138">
        <v>1</v>
      </c>
      <c r="Q292" s="144">
        <v>0.3</v>
      </c>
      <c r="R292" s="138"/>
      <c r="S292" s="143">
        <f t="shared" si="12"/>
        <v>0</v>
      </c>
      <c r="T292" s="142">
        <f t="shared" si="13"/>
        <v>0</v>
      </c>
      <c r="U292" s="143" t="s">
        <v>34</v>
      </c>
      <c r="V292" s="143"/>
      <c r="W292" s="143"/>
    </row>
    <row r="293" spans="1:23" ht="23.4" x14ac:dyDescent="0.45">
      <c r="A293" s="1">
        <f t="shared" si="14"/>
        <v>292</v>
      </c>
      <c r="B293" s="57" t="s">
        <v>23</v>
      </c>
      <c r="C293" s="57" t="s">
        <v>24</v>
      </c>
      <c r="D293" s="58">
        <v>3098</v>
      </c>
      <c r="E293" s="57" t="s">
        <v>435</v>
      </c>
      <c r="F293" s="141" t="s">
        <v>436</v>
      </c>
      <c r="G293" s="142">
        <v>3305</v>
      </c>
      <c r="H293" s="143" t="s">
        <v>400</v>
      </c>
      <c r="I293" s="143" t="s">
        <v>402</v>
      </c>
      <c r="J293" s="1993" t="s">
        <v>110</v>
      </c>
      <c r="K293" s="135" t="s">
        <v>111</v>
      </c>
      <c r="L293" s="109">
        <v>0.4</v>
      </c>
      <c r="M293" s="334" t="s">
        <v>429</v>
      </c>
      <c r="N293" s="334" t="s">
        <v>430</v>
      </c>
      <c r="O293" s="334"/>
      <c r="P293" s="138">
        <v>1</v>
      </c>
      <c r="Q293" s="144">
        <v>0.2</v>
      </c>
      <c r="R293" s="138"/>
      <c r="S293" s="143">
        <f t="shared" si="12"/>
        <v>0</v>
      </c>
      <c r="T293" s="142">
        <f t="shared" si="13"/>
        <v>0</v>
      </c>
      <c r="U293" s="143" t="s">
        <v>34</v>
      </c>
      <c r="V293" s="143"/>
      <c r="W293" s="143"/>
    </row>
    <row r="294" spans="1:23" ht="23.4" x14ac:dyDescent="0.45">
      <c r="A294" s="1">
        <f t="shared" si="14"/>
        <v>293</v>
      </c>
      <c r="B294" s="57" t="s">
        <v>23</v>
      </c>
      <c r="C294" s="57" t="s">
        <v>24</v>
      </c>
      <c r="D294" s="58">
        <v>3098</v>
      </c>
      <c r="E294" s="57" t="s">
        <v>435</v>
      </c>
      <c r="F294" s="141" t="s">
        <v>436</v>
      </c>
      <c r="G294" s="142">
        <v>3305</v>
      </c>
      <c r="H294" s="143" t="s">
        <v>400</v>
      </c>
      <c r="I294" s="143" t="s">
        <v>402</v>
      </c>
      <c r="J294" s="1993" t="s">
        <v>110</v>
      </c>
      <c r="K294" s="135" t="s">
        <v>111</v>
      </c>
      <c r="L294" s="109">
        <v>0.4</v>
      </c>
      <c r="M294" s="334" t="s">
        <v>431</v>
      </c>
      <c r="N294" s="334" t="s">
        <v>432</v>
      </c>
      <c r="O294" s="334"/>
      <c r="P294" s="138">
        <v>1</v>
      </c>
      <c r="Q294" s="144">
        <v>0.15</v>
      </c>
      <c r="R294" s="138"/>
      <c r="S294" s="143">
        <f t="shared" si="12"/>
        <v>0</v>
      </c>
      <c r="T294" s="142">
        <f t="shared" si="13"/>
        <v>0</v>
      </c>
      <c r="U294" s="143" t="s">
        <v>34</v>
      </c>
      <c r="V294" s="143"/>
      <c r="W294" s="143"/>
    </row>
    <row r="295" spans="1:23" ht="23.4" x14ac:dyDescent="0.45">
      <c r="A295" s="1">
        <f t="shared" si="14"/>
        <v>294</v>
      </c>
      <c r="B295" s="57" t="s">
        <v>23</v>
      </c>
      <c r="C295" s="57" t="s">
        <v>24</v>
      </c>
      <c r="D295" s="58">
        <v>3098</v>
      </c>
      <c r="E295" s="57" t="s">
        <v>435</v>
      </c>
      <c r="F295" s="141" t="s">
        <v>436</v>
      </c>
      <c r="G295" s="142">
        <v>3305</v>
      </c>
      <c r="H295" s="143" t="s">
        <v>400</v>
      </c>
      <c r="I295" s="143" t="s">
        <v>402</v>
      </c>
      <c r="J295" s="1993" t="s">
        <v>110</v>
      </c>
      <c r="K295" s="135" t="s">
        <v>111</v>
      </c>
      <c r="L295" s="109">
        <v>0.4</v>
      </c>
      <c r="M295" s="334" t="s">
        <v>433</v>
      </c>
      <c r="N295" s="334" t="s">
        <v>434</v>
      </c>
      <c r="O295" s="334"/>
      <c r="P295" s="138">
        <v>1</v>
      </c>
      <c r="Q295" s="144">
        <v>0.15</v>
      </c>
      <c r="R295" s="138"/>
      <c r="S295" s="143">
        <f t="shared" si="12"/>
        <v>0</v>
      </c>
      <c r="T295" s="142">
        <f t="shared" si="13"/>
        <v>0</v>
      </c>
      <c r="U295" s="143" t="s">
        <v>34</v>
      </c>
      <c r="V295" s="143"/>
      <c r="W295" s="143"/>
    </row>
    <row r="296" spans="1:23" ht="23.4" x14ac:dyDescent="0.45">
      <c r="A296" s="1">
        <f t="shared" si="14"/>
        <v>295</v>
      </c>
      <c r="B296" s="2" t="s">
        <v>23</v>
      </c>
      <c r="C296" s="2" t="s">
        <v>24</v>
      </c>
      <c r="D296" s="49">
        <v>5465</v>
      </c>
      <c r="E296" s="2" t="s">
        <v>448</v>
      </c>
      <c r="F296" s="118" t="s">
        <v>449</v>
      </c>
      <c r="G296" s="119">
        <v>3305</v>
      </c>
      <c r="H296" s="120" t="s">
        <v>400</v>
      </c>
      <c r="I296" s="120" t="s">
        <v>402</v>
      </c>
      <c r="J296" s="1981" t="s">
        <v>57</v>
      </c>
      <c r="K296" s="8" t="s">
        <v>58</v>
      </c>
      <c r="L296" s="53">
        <v>0.6</v>
      </c>
      <c r="M296" s="3" t="s">
        <v>450</v>
      </c>
      <c r="N296" s="3" t="s">
        <v>451</v>
      </c>
      <c r="O296" s="3" t="s">
        <v>452</v>
      </c>
      <c r="P296" s="13">
        <v>0.99</v>
      </c>
      <c r="Q296" s="122">
        <v>0.2</v>
      </c>
      <c r="R296" s="13"/>
      <c r="S296" s="120">
        <f t="shared" si="12"/>
        <v>0</v>
      </c>
      <c r="T296" s="119">
        <f t="shared" si="13"/>
        <v>0</v>
      </c>
      <c r="U296" s="120" t="s">
        <v>34</v>
      </c>
      <c r="V296" s="1957">
        <f>SUM(T296:T311)%</f>
        <v>0</v>
      </c>
      <c r="W296" s="120"/>
    </row>
    <row r="297" spans="1:23" ht="23.4" x14ac:dyDescent="0.45">
      <c r="A297" s="1">
        <f t="shared" si="14"/>
        <v>296</v>
      </c>
      <c r="B297" s="57" t="s">
        <v>23</v>
      </c>
      <c r="C297" s="57" t="s">
        <v>24</v>
      </c>
      <c r="D297" s="58">
        <v>5465</v>
      </c>
      <c r="E297" s="57" t="s">
        <v>448</v>
      </c>
      <c r="F297" s="130" t="s">
        <v>449</v>
      </c>
      <c r="G297" s="67">
        <v>3305</v>
      </c>
      <c r="H297" s="66" t="s">
        <v>400</v>
      </c>
      <c r="I297" s="66" t="s">
        <v>402</v>
      </c>
      <c r="J297" s="1992" t="s">
        <v>57</v>
      </c>
      <c r="K297" s="124" t="s">
        <v>58</v>
      </c>
      <c r="L297" s="125">
        <v>0.6</v>
      </c>
      <c r="M297" s="184" t="s">
        <v>413</v>
      </c>
      <c r="N297" s="184" t="s">
        <v>414</v>
      </c>
      <c r="O297" s="184" t="s">
        <v>453</v>
      </c>
      <c r="P297" s="129">
        <v>0.99199999999999999</v>
      </c>
      <c r="Q297" s="140">
        <v>0.15</v>
      </c>
      <c r="R297" s="129"/>
      <c r="S297" s="66">
        <f t="shared" si="12"/>
        <v>0</v>
      </c>
      <c r="T297" s="67">
        <f t="shared" si="13"/>
        <v>0</v>
      </c>
      <c r="U297" s="66" t="s">
        <v>34</v>
      </c>
      <c r="V297" s="66"/>
      <c r="W297" s="66"/>
    </row>
    <row r="298" spans="1:23" ht="23.4" x14ac:dyDescent="0.45">
      <c r="A298" s="1">
        <f t="shared" si="14"/>
        <v>297</v>
      </c>
      <c r="B298" s="57" t="s">
        <v>23</v>
      </c>
      <c r="C298" s="57" t="s">
        <v>24</v>
      </c>
      <c r="D298" s="58">
        <v>5465</v>
      </c>
      <c r="E298" s="57" t="s">
        <v>448</v>
      </c>
      <c r="F298" s="130" t="s">
        <v>449</v>
      </c>
      <c r="G298" s="67">
        <v>3305</v>
      </c>
      <c r="H298" s="66" t="s">
        <v>400</v>
      </c>
      <c r="I298" s="66" t="s">
        <v>402</v>
      </c>
      <c r="J298" s="1992" t="s">
        <v>57</v>
      </c>
      <c r="K298" s="124" t="s">
        <v>58</v>
      </c>
      <c r="L298" s="125">
        <v>0.6</v>
      </c>
      <c r="M298" s="184" t="s">
        <v>442</v>
      </c>
      <c r="N298" s="184" t="s">
        <v>443</v>
      </c>
      <c r="O298" s="184" t="s">
        <v>454</v>
      </c>
      <c r="P298" s="127">
        <v>1</v>
      </c>
      <c r="Q298" s="140">
        <v>0.1</v>
      </c>
      <c r="R298" s="127"/>
      <c r="S298" s="66">
        <f t="shared" si="12"/>
        <v>0</v>
      </c>
      <c r="T298" s="67">
        <f t="shared" si="13"/>
        <v>0</v>
      </c>
      <c r="U298" s="66" t="s">
        <v>34</v>
      </c>
      <c r="V298" s="66"/>
      <c r="W298" s="66"/>
    </row>
    <row r="299" spans="1:23" ht="23.4" x14ac:dyDescent="0.45">
      <c r="A299" s="1">
        <f t="shared" si="14"/>
        <v>298</v>
      </c>
      <c r="B299" s="57" t="s">
        <v>23</v>
      </c>
      <c r="C299" s="57" t="s">
        <v>24</v>
      </c>
      <c r="D299" s="58">
        <v>5465</v>
      </c>
      <c r="E299" s="57" t="s">
        <v>448</v>
      </c>
      <c r="F299" s="130" t="s">
        <v>449</v>
      </c>
      <c r="G299" s="67">
        <v>3305</v>
      </c>
      <c r="H299" s="66" t="s">
        <v>400</v>
      </c>
      <c r="I299" s="66" t="s">
        <v>402</v>
      </c>
      <c r="J299" s="1992" t="s">
        <v>57</v>
      </c>
      <c r="K299" s="124" t="s">
        <v>58</v>
      </c>
      <c r="L299" s="125">
        <v>0.6</v>
      </c>
      <c r="M299" s="435" t="s">
        <v>80</v>
      </c>
      <c r="N299" s="435" t="s">
        <v>81</v>
      </c>
      <c r="O299" s="435" t="s">
        <v>82</v>
      </c>
      <c r="P299" s="43">
        <v>0.01</v>
      </c>
      <c r="Q299" s="140">
        <v>0.05</v>
      </c>
      <c r="R299" s="43"/>
      <c r="S299" s="66">
        <f t="shared" si="12"/>
        <v>0</v>
      </c>
      <c r="T299" s="67">
        <f t="shared" si="13"/>
        <v>0</v>
      </c>
      <c r="U299" s="66" t="s">
        <v>83</v>
      </c>
      <c r="V299" s="66"/>
      <c r="W299" s="66"/>
    </row>
    <row r="300" spans="1:23" ht="23.4" x14ac:dyDescent="0.45">
      <c r="A300" s="1">
        <f t="shared" si="14"/>
        <v>299</v>
      </c>
      <c r="B300" s="57" t="s">
        <v>23</v>
      </c>
      <c r="C300" s="57" t="s">
        <v>24</v>
      </c>
      <c r="D300" s="58">
        <v>5465</v>
      </c>
      <c r="E300" s="57" t="s">
        <v>448</v>
      </c>
      <c r="F300" s="130" t="s">
        <v>449</v>
      </c>
      <c r="G300" s="67">
        <v>3305</v>
      </c>
      <c r="H300" s="66" t="s">
        <v>400</v>
      </c>
      <c r="I300" s="66" t="s">
        <v>402</v>
      </c>
      <c r="J300" s="1992" t="s">
        <v>57</v>
      </c>
      <c r="K300" s="124" t="s">
        <v>58</v>
      </c>
      <c r="L300" s="125">
        <v>0.6</v>
      </c>
      <c r="M300" s="184" t="s">
        <v>455</v>
      </c>
      <c r="N300" s="184" t="s">
        <v>445</v>
      </c>
      <c r="O300" s="184" t="s">
        <v>456</v>
      </c>
      <c r="P300" s="127">
        <v>1</v>
      </c>
      <c r="Q300" s="140">
        <v>0.05</v>
      </c>
      <c r="R300" s="127"/>
      <c r="S300" s="66">
        <f t="shared" si="12"/>
        <v>0</v>
      </c>
      <c r="T300" s="67">
        <f t="shared" si="13"/>
        <v>0</v>
      </c>
      <c r="U300" s="66" t="s">
        <v>34</v>
      </c>
      <c r="V300" s="66"/>
      <c r="W300" s="66"/>
    </row>
    <row r="301" spans="1:23" ht="23.4" x14ac:dyDescent="0.45">
      <c r="A301" s="1">
        <f t="shared" si="14"/>
        <v>300</v>
      </c>
      <c r="B301" s="57" t="s">
        <v>23</v>
      </c>
      <c r="C301" s="57" t="s">
        <v>24</v>
      </c>
      <c r="D301" s="58">
        <v>5465</v>
      </c>
      <c r="E301" s="57" t="s">
        <v>448</v>
      </c>
      <c r="F301" s="130" t="s">
        <v>449</v>
      </c>
      <c r="G301" s="67">
        <v>3305</v>
      </c>
      <c r="H301" s="66" t="s">
        <v>400</v>
      </c>
      <c r="I301" s="66" t="s">
        <v>402</v>
      </c>
      <c r="J301" s="1992" t="s">
        <v>57</v>
      </c>
      <c r="K301" s="124" t="s">
        <v>58</v>
      </c>
      <c r="L301" s="125">
        <v>0.6</v>
      </c>
      <c r="M301" s="184" t="s">
        <v>415</v>
      </c>
      <c r="N301" s="184" t="s">
        <v>416</v>
      </c>
      <c r="O301" s="184" t="s">
        <v>457</v>
      </c>
      <c r="P301" s="127">
        <v>1</v>
      </c>
      <c r="Q301" s="140">
        <v>0.05</v>
      </c>
      <c r="R301" s="127"/>
      <c r="S301" s="35">
        <f t="shared" si="12"/>
        <v>0</v>
      </c>
      <c r="T301" s="42">
        <f t="shared" si="13"/>
        <v>0</v>
      </c>
      <c r="U301" s="66" t="s">
        <v>83</v>
      </c>
      <c r="V301" s="66"/>
      <c r="W301" s="66"/>
    </row>
    <row r="302" spans="1:23" ht="23.4" x14ac:dyDescent="0.45">
      <c r="A302" s="1">
        <f t="shared" si="14"/>
        <v>301</v>
      </c>
      <c r="B302" s="57" t="s">
        <v>23</v>
      </c>
      <c r="C302" s="57" t="s">
        <v>24</v>
      </c>
      <c r="D302" s="58">
        <v>5465</v>
      </c>
      <c r="E302" s="57" t="s">
        <v>448</v>
      </c>
      <c r="F302" s="130" t="s">
        <v>449</v>
      </c>
      <c r="G302" s="67">
        <v>3305</v>
      </c>
      <c r="H302" s="66" t="s">
        <v>400</v>
      </c>
      <c r="I302" s="66" t="s">
        <v>402</v>
      </c>
      <c r="J302" s="1992" t="s">
        <v>57</v>
      </c>
      <c r="K302" s="124" t="s">
        <v>58</v>
      </c>
      <c r="L302" s="125">
        <v>0.6</v>
      </c>
      <c r="M302" s="184" t="s">
        <v>411</v>
      </c>
      <c r="N302" s="184" t="s">
        <v>412</v>
      </c>
      <c r="O302" s="184" t="s">
        <v>458</v>
      </c>
      <c r="P302" s="127">
        <v>0.85</v>
      </c>
      <c r="Q302" s="140">
        <v>0.1</v>
      </c>
      <c r="R302" s="127"/>
      <c r="S302" s="66">
        <f t="shared" si="12"/>
        <v>0</v>
      </c>
      <c r="T302" s="67">
        <f t="shared" si="13"/>
        <v>0</v>
      </c>
      <c r="U302" s="66" t="s">
        <v>34</v>
      </c>
      <c r="V302" s="66"/>
      <c r="W302" s="66"/>
    </row>
    <row r="303" spans="1:23" ht="23.4" x14ac:dyDescent="0.45">
      <c r="A303" s="1">
        <f t="shared" si="14"/>
        <v>302</v>
      </c>
      <c r="B303" s="57" t="s">
        <v>23</v>
      </c>
      <c r="C303" s="57" t="s">
        <v>24</v>
      </c>
      <c r="D303" s="58">
        <v>5465</v>
      </c>
      <c r="E303" s="57" t="s">
        <v>448</v>
      </c>
      <c r="F303" s="130" t="s">
        <v>449</v>
      </c>
      <c r="G303" s="67">
        <v>3305</v>
      </c>
      <c r="H303" s="66" t="s">
        <v>400</v>
      </c>
      <c r="I303" s="66" t="s">
        <v>402</v>
      </c>
      <c r="J303" s="1992" t="s">
        <v>57</v>
      </c>
      <c r="K303" s="124" t="s">
        <v>58</v>
      </c>
      <c r="L303" s="125">
        <v>0.6</v>
      </c>
      <c r="M303" s="184" t="s">
        <v>419</v>
      </c>
      <c r="N303" s="184" t="s">
        <v>420</v>
      </c>
      <c r="O303" s="184" t="s">
        <v>459</v>
      </c>
      <c r="P303" s="127">
        <v>1</v>
      </c>
      <c r="Q303" s="140">
        <v>0.15</v>
      </c>
      <c r="R303" s="127"/>
      <c r="S303" s="66">
        <f t="shared" si="12"/>
        <v>0</v>
      </c>
      <c r="T303" s="67">
        <f t="shared" si="13"/>
        <v>0</v>
      </c>
      <c r="U303" s="66" t="s">
        <v>34</v>
      </c>
      <c r="V303" s="66"/>
      <c r="W303" s="66"/>
    </row>
    <row r="304" spans="1:23" ht="23.4" x14ac:dyDescent="0.45">
      <c r="A304" s="1">
        <f t="shared" si="14"/>
        <v>303</v>
      </c>
      <c r="B304" s="57" t="s">
        <v>23</v>
      </c>
      <c r="C304" s="57" t="s">
        <v>24</v>
      </c>
      <c r="D304" s="58">
        <v>5465</v>
      </c>
      <c r="E304" s="57" t="s">
        <v>448</v>
      </c>
      <c r="F304" s="130" t="s">
        <v>449</v>
      </c>
      <c r="G304" s="67">
        <v>3305</v>
      </c>
      <c r="H304" s="66" t="s">
        <v>400</v>
      </c>
      <c r="I304" s="66" t="s">
        <v>402</v>
      </c>
      <c r="J304" s="1992" t="s">
        <v>57</v>
      </c>
      <c r="K304" s="124" t="s">
        <v>58</v>
      </c>
      <c r="L304" s="125">
        <v>0.6</v>
      </c>
      <c r="M304" s="184" t="s">
        <v>96</v>
      </c>
      <c r="N304" s="184" t="s">
        <v>422</v>
      </c>
      <c r="O304" s="184" t="s">
        <v>460</v>
      </c>
      <c r="P304" s="127">
        <v>1</v>
      </c>
      <c r="Q304" s="140">
        <v>0.05</v>
      </c>
      <c r="R304" s="127"/>
      <c r="S304" s="66">
        <f t="shared" si="12"/>
        <v>0</v>
      </c>
      <c r="T304" s="67">
        <f t="shared" si="13"/>
        <v>0</v>
      </c>
      <c r="U304" s="66" t="s">
        <v>34</v>
      </c>
      <c r="V304" s="66"/>
      <c r="W304" s="66"/>
    </row>
    <row r="305" spans="1:23" ht="23.4" x14ac:dyDescent="0.45">
      <c r="A305" s="1">
        <f t="shared" si="14"/>
        <v>304</v>
      </c>
      <c r="B305" s="57" t="s">
        <v>23</v>
      </c>
      <c r="C305" s="57" t="s">
        <v>24</v>
      </c>
      <c r="D305" s="58">
        <v>5465</v>
      </c>
      <c r="E305" s="57" t="s">
        <v>448</v>
      </c>
      <c r="F305" s="130" t="s">
        <v>449</v>
      </c>
      <c r="G305" s="67">
        <v>3305</v>
      </c>
      <c r="H305" s="66" t="s">
        <v>400</v>
      </c>
      <c r="I305" s="66" t="s">
        <v>402</v>
      </c>
      <c r="J305" s="1992" t="s">
        <v>57</v>
      </c>
      <c r="K305" s="124" t="s">
        <v>58</v>
      </c>
      <c r="L305" s="125">
        <v>0.6</v>
      </c>
      <c r="M305" s="184" t="s">
        <v>423</v>
      </c>
      <c r="N305" s="184" t="s">
        <v>424</v>
      </c>
      <c r="O305" s="184" t="s">
        <v>461</v>
      </c>
      <c r="P305" s="127">
        <v>1</v>
      </c>
      <c r="Q305" s="140">
        <v>0.05</v>
      </c>
      <c r="R305" s="127"/>
      <c r="S305" s="66">
        <f t="shared" si="12"/>
        <v>0</v>
      </c>
      <c r="T305" s="67">
        <f t="shared" si="13"/>
        <v>0</v>
      </c>
      <c r="U305" s="66" t="s">
        <v>34</v>
      </c>
      <c r="V305" s="66"/>
      <c r="W305" s="66"/>
    </row>
    <row r="306" spans="1:23" ht="23.4" x14ac:dyDescent="0.45">
      <c r="A306" s="1">
        <f t="shared" si="14"/>
        <v>305</v>
      </c>
      <c r="B306" s="57" t="s">
        <v>23</v>
      </c>
      <c r="C306" s="57" t="s">
        <v>24</v>
      </c>
      <c r="D306" s="58">
        <v>5465</v>
      </c>
      <c r="E306" s="57" t="s">
        <v>448</v>
      </c>
      <c r="F306" s="130" t="s">
        <v>449</v>
      </c>
      <c r="G306" s="67">
        <v>3305</v>
      </c>
      <c r="H306" s="66" t="s">
        <v>400</v>
      </c>
      <c r="I306" s="66" t="s">
        <v>402</v>
      </c>
      <c r="J306" s="1992" t="s">
        <v>57</v>
      </c>
      <c r="K306" s="124" t="s">
        <v>58</v>
      </c>
      <c r="L306" s="125">
        <v>0.6</v>
      </c>
      <c r="M306" s="184" t="s">
        <v>417</v>
      </c>
      <c r="N306" s="184" t="s">
        <v>418</v>
      </c>
      <c r="O306" s="184" t="s">
        <v>462</v>
      </c>
      <c r="P306" s="127">
        <v>1</v>
      </c>
      <c r="Q306" s="140">
        <v>0.05</v>
      </c>
      <c r="R306" s="127"/>
      <c r="S306" s="66">
        <f t="shared" si="12"/>
        <v>0</v>
      </c>
      <c r="T306" s="67">
        <f t="shared" si="13"/>
        <v>0</v>
      </c>
      <c r="U306" s="66" t="s">
        <v>34</v>
      </c>
      <c r="V306" s="66"/>
      <c r="W306" s="66"/>
    </row>
    <row r="307" spans="1:23" ht="23.4" x14ac:dyDescent="0.45">
      <c r="A307" s="1">
        <f t="shared" si="14"/>
        <v>306</v>
      </c>
      <c r="B307" s="57" t="s">
        <v>23</v>
      </c>
      <c r="C307" s="57" t="s">
        <v>24</v>
      </c>
      <c r="D307" s="58">
        <v>5465</v>
      </c>
      <c r="E307" s="57" t="s">
        <v>448</v>
      </c>
      <c r="F307" s="141" t="s">
        <v>449</v>
      </c>
      <c r="G307" s="142">
        <v>3305</v>
      </c>
      <c r="H307" s="143" t="s">
        <v>400</v>
      </c>
      <c r="I307" s="143" t="s">
        <v>402</v>
      </c>
      <c r="J307" s="1993" t="s">
        <v>110</v>
      </c>
      <c r="K307" s="135" t="s">
        <v>111</v>
      </c>
      <c r="L307" s="109">
        <v>0.4</v>
      </c>
      <c r="M307" s="334" t="s">
        <v>425</v>
      </c>
      <c r="N307" s="334" t="s">
        <v>426</v>
      </c>
      <c r="O307" s="334" t="s">
        <v>463</v>
      </c>
      <c r="P307" s="138">
        <v>1</v>
      </c>
      <c r="Q307" s="144">
        <v>0.2</v>
      </c>
      <c r="R307" s="138"/>
      <c r="S307" s="143">
        <f t="shared" si="12"/>
        <v>0</v>
      </c>
      <c r="T307" s="142">
        <f t="shared" si="13"/>
        <v>0</v>
      </c>
      <c r="U307" s="143" t="s">
        <v>34</v>
      </c>
      <c r="V307" s="143"/>
      <c r="W307" s="143"/>
    </row>
    <row r="308" spans="1:23" ht="23.4" x14ac:dyDescent="0.45">
      <c r="A308" s="1">
        <f t="shared" si="14"/>
        <v>307</v>
      </c>
      <c r="B308" s="57" t="s">
        <v>23</v>
      </c>
      <c r="C308" s="57" t="s">
        <v>24</v>
      </c>
      <c r="D308" s="58">
        <v>5465</v>
      </c>
      <c r="E308" s="57" t="s">
        <v>448</v>
      </c>
      <c r="F308" s="141" t="s">
        <v>449</v>
      </c>
      <c r="G308" s="142">
        <v>3305</v>
      </c>
      <c r="H308" s="143" t="s">
        <v>400</v>
      </c>
      <c r="I308" s="143" t="s">
        <v>402</v>
      </c>
      <c r="J308" s="1993" t="s">
        <v>110</v>
      </c>
      <c r="K308" s="135" t="s">
        <v>111</v>
      </c>
      <c r="L308" s="109">
        <v>0.4</v>
      </c>
      <c r="M308" s="334" t="s">
        <v>464</v>
      </c>
      <c r="N308" s="334" t="s">
        <v>465</v>
      </c>
      <c r="O308" s="334" t="s">
        <v>466</v>
      </c>
      <c r="P308" s="138">
        <v>1</v>
      </c>
      <c r="Q308" s="144">
        <v>0.2</v>
      </c>
      <c r="R308" s="138"/>
      <c r="S308" s="143">
        <f t="shared" si="12"/>
        <v>0</v>
      </c>
      <c r="T308" s="142">
        <f t="shared" si="13"/>
        <v>0</v>
      </c>
      <c r="U308" s="143" t="s">
        <v>34</v>
      </c>
      <c r="V308" s="143"/>
      <c r="W308" s="143"/>
    </row>
    <row r="309" spans="1:23" ht="23.4" x14ac:dyDescent="0.45">
      <c r="A309" s="1">
        <f t="shared" si="14"/>
        <v>308</v>
      </c>
      <c r="B309" s="57" t="s">
        <v>23</v>
      </c>
      <c r="C309" s="57" t="s">
        <v>24</v>
      </c>
      <c r="D309" s="58">
        <v>5465</v>
      </c>
      <c r="E309" s="57" t="s">
        <v>448</v>
      </c>
      <c r="F309" s="141" t="s">
        <v>449</v>
      </c>
      <c r="G309" s="142">
        <v>3305</v>
      </c>
      <c r="H309" s="143" t="s">
        <v>400</v>
      </c>
      <c r="I309" s="143" t="s">
        <v>402</v>
      </c>
      <c r="J309" s="1993" t="s">
        <v>110</v>
      </c>
      <c r="K309" s="135" t="s">
        <v>111</v>
      </c>
      <c r="L309" s="109">
        <v>0.4</v>
      </c>
      <c r="M309" s="334" t="s">
        <v>429</v>
      </c>
      <c r="N309" s="334" t="s">
        <v>430</v>
      </c>
      <c r="O309" s="334" t="s">
        <v>467</v>
      </c>
      <c r="P309" s="138">
        <v>1</v>
      </c>
      <c r="Q309" s="144">
        <v>0.2</v>
      </c>
      <c r="R309" s="138"/>
      <c r="S309" s="143">
        <f t="shared" si="12"/>
        <v>0</v>
      </c>
      <c r="T309" s="142">
        <f t="shared" si="13"/>
        <v>0</v>
      </c>
      <c r="U309" s="143" t="s">
        <v>34</v>
      </c>
      <c r="V309" s="143"/>
      <c r="W309" s="143"/>
    </row>
    <row r="310" spans="1:23" ht="23.4" x14ac:dyDescent="0.45">
      <c r="A310" s="1">
        <f t="shared" si="14"/>
        <v>309</v>
      </c>
      <c r="B310" s="57" t="s">
        <v>23</v>
      </c>
      <c r="C310" s="57" t="s">
        <v>24</v>
      </c>
      <c r="D310" s="58">
        <v>5465</v>
      </c>
      <c r="E310" s="57" t="s">
        <v>448</v>
      </c>
      <c r="F310" s="141" t="s">
        <v>449</v>
      </c>
      <c r="G310" s="142">
        <v>3305</v>
      </c>
      <c r="H310" s="143" t="s">
        <v>400</v>
      </c>
      <c r="I310" s="143" t="s">
        <v>402</v>
      </c>
      <c r="J310" s="1993" t="s">
        <v>110</v>
      </c>
      <c r="K310" s="135" t="s">
        <v>111</v>
      </c>
      <c r="L310" s="109">
        <v>0.4</v>
      </c>
      <c r="M310" s="334" t="s">
        <v>431</v>
      </c>
      <c r="N310" s="334" t="s">
        <v>432</v>
      </c>
      <c r="O310" s="334" t="s">
        <v>468</v>
      </c>
      <c r="P310" s="138">
        <v>1</v>
      </c>
      <c r="Q310" s="144">
        <v>0.2</v>
      </c>
      <c r="R310" s="138"/>
      <c r="S310" s="143">
        <f t="shared" si="12"/>
        <v>0</v>
      </c>
      <c r="T310" s="142">
        <f t="shared" si="13"/>
        <v>0</v>
      </c>
      <c r="U310" s="143" t="s">
        <v>34</v>
      </c>
      <c r="V310" s="143"/>
      <c r="W310" s="143"/>
    </row>
    <row r="311" spans="1:23" ht="23.4" x14ac:dyDescent="0.45">
      <c r="A311" s="1">
        <f t="shared" si="14"/>
        <v>310</v>
      </c>
      <c r="B311" s="57" t="s">
        <v>23</v>
      </c>
      <c r="C311" s="57" t="s">
        <v>24</v>
      </c>
      <c r="D311" s="58">
        <v>5465</v>
      </c>
      <c r="E311" s="57" t="s">
        <v>448</v>
      </c>
      <c r="F311" s="141" t="s">
        <v>449</v>
      </c>
      <c r="G311" s="142">
        <v>3305</v>
      </c>
      <c r="H311" s="143" t="s">
        <v>400</v>
      </c>
      <c r="I311" s="143" t="s">
        <v>402</v>
      </c>
      <c r="J311" s="1993" t="s">
        <v>110</v>
      </c>
      <c r="K311" s="135" t="s">
        <v>111</v>
      </c>
      <c r="L311" s="109">
        <v>0.4</v>
      </c>
      <c r="M311" s="334" t="s">
        <v>433</v>
      </c>
      <c r="N311" s="334" t="s">
        <v>434</v>
      </c>
      <c r="O311" s="334" t="s">
        <v>469</v>
      </c>
      <c r="P311" s="138">
        <v>1</v>
      </c>
      <c r="Q311" s="144">
        <v>0.2</v>
      </c>
      <c r="R311" s="138"/>
      <c r="S311" s="143">
        <f t="shared" si="12"/>
        <v>0</v>
      </c>
      <c r="T311" s="142">
        <f t="shared" si="13"/>
        <v>0</v>
      </c>
      <c r="U311" s="143" t="s">
        <v>34</v>
      </c>
      <c r="V311" s="143"/>
      <c r="W311" s="143"/>
    </row>
    <row r="312" spans="1:23" ht="23.4" x14ac:dyDescent="0.45">
      <c r="A312" s="1">
        <f t="shared" si="14"/>
        <v>311</v>
      </c>
      <c r="B312" s="2" t="s">
        <v>23</v>
      </c>
      <c r="C312" s="2" t="s">
        <v>24</v>
      </c>
      <c r="D312" s="49">
        <v>3322</v>
      </c>
      <c r="E312" s="2" t="s">
        <v>470</v>
      </c>
      <c r="F312" s="118" t="s">
        <v>471</v>
      </c>
      <c r="G312" s="119">
        <v>3305</v>
      </c>
      <c r="H312" s="120" t="s">
        <v>400</v>
      </c>
      <c r="I312" s="120" t="s">
        <v>402</v>
      </c>
      <c r="J312" s="1981" t="s">
        <v>57</v>
      </c>
      <c r="K312" s="8" t="s">
        <v>58</v>
      </c>
      <c r="L312" s="53">
        <v>0.6</v>
      </c>
      <c r="M312" s="3" t="s">
        <v>472</v>
      </c>
      <c r="N312" s="3" t="s">
        <v>473</v>
      </c>
      <c r="O312" s="3" t="s">
        <v>474</v>
      </c>
      <c r="P312" s="13">
        <v>0.99</v>
      </c>
      <c r="Q312" s="122">
        <v>0.2</v>
      </c>
      <c r="R312" s="13"/>
      <c r="S312" s="120">
        <f t="shared" si="12"/>
        <v>0</v>
      </c>
      <c r="T312" s="119">
        <f t="shared" si="13"/>
        <v>0</v>
      </c>
      <c r="U312" s="120" t="s">
        <v>34</v>
      </c>
      <c r="V312" s="1957">
        <f>SUM(T312:T326)%</f>
        <v>0</v>
      </c>
      <c r="W312" s="120"/>
    </row>
    <row r="313" spans="1:23" ht="23.4" x14ac:dyDescent="0.45">
      <c r="A313" s="1">
        <f t="shared" si="14"/>
        <v>312</v>
      </c>
      <c r="B313" s="57" t="s">
        <v>23</v>
      </c>
      <c r="C313" s="57" t="s">
        <v>24</v>
      </c>
      <c r="D313" s="58">
        <v>3322</v>
      </c>
      <c r="E313" s="57" t="s">
        <v>470</v>
      </c>
      <c r="F313" s="130" t="s">
        <v>471</v>
      </c>
      <c r="G313" s="67">
        <v>3305</v>
      </c>
      <c r="H313" s="66" t="s">
        <v>400</v>
      </c>
      <c r="I313" s="66" t="s">
        <v>402</v>
      </c>
      <c r="J313" s="1992" t="s">
        <v>57</v>
      </c>
      <c r="K313" s="124" t="s">
        <v>58</v>
      </c>
      <c r="L313" s="125">
        <v>0.6</v>
      </c>
      <c r="M313" s="184" t="s">
        <v>444</v>
      </c>
      <c r="N313" s="184" t="s">
        <v>445</v>
      </c>
      <c r="O313" s="184" t="s">
        <v>456</v>
      </c>
      <c r="P313" s="127">
        <v>1</v>
      </c>
      <c r="Q313" s="140">
        <v>0.1</v>
      </c>
      <c r="R313" s="127"/>
      <c r="S313" s="66">
        <f t="shared" si="12"/>
        <v>0</v>
      </c>
      <c r="T313" s="67">
        <f t="shared" si="13"/>
        <v>0</v>
      </c>
      <c r="U313" s="66" t="s">
        <v>34</v>
      </c>
      <c r="V313" s="66"/>
      <c r="W313" s="66"/>
    </row>
    <row r="314" spans="1:23" ht="23.4" x14ac:dyDescent="0.45">
      <c r="A314" s="1">
        <f t="shared" si="14"/>
        <v>313</v>
      </c>
      <c r="B314" s="57" t="s">
        <v>23</v>
      </c>
      <c r="C314" s="57" t="s">
        <v>24</v>
      </c>
      <c r="D314" s="58">
        <v>3322</v>
      </c>
      <c r="E314" s="57" t="s">
        <v>470</v>
      </c>
      <c r="F314" s="130" t="s">
        <v>471</v>
      </c>
      <c r="G314" s="67">
        <v>3305</v>
      </c>
      <c r="H314" s="66" t="s">
        <v>400</v>
      </c>
      <c r="I314" s="66" t="s">
        <v>402</v>
      </c>
      <c r="J314" s="1992" t="s">
        <v>57</v>
      </c>
      <c r="K314" s="124" t="s">
        <v>58</v>
      </c>
      <c r="L314" s="125">
        <v>0.6</v>
      </c>
      <c r="M314" s="184" t="s">
        <v>475</v>
      </c>
      <c r="N314" s="184" t="s">
        <v>476</v>
      </c>
      <c r="O314" s="184" t="s">
        <v>453</v>
      </c>
      <c r="P314" s="129">
        <v>0.99199999999999999</v>
      </c>
      <c r="Q314" s="140">
        <v>0.1</v>
      </c>
      <c r="R314" s="129"/>
      <c r="S314" s="66">
        <f t="shared" si="12"/>
        <v>0</v>
      </c>
      <c r="T314" s="67">
        <f t="shared" si="13"/>
        <v>0</v>
      </c>
      <c r="U314" s="66" t="s">
        <v>34</v>
      </c>
      <c r="V314" s="66"/>
      <c r="W314" s="66"/>
    </row>
    <row r="315" spans="1:23" ht="23.4" x14ac:dyDescent="0.45">
      <c r="A315" s="1">
        <f t="shared" si="14"/>
        <v>314</v>
      </c>
      <c r="B315" s="57" t="s">
        <v>23</v>
      </c>
      <c r="C315" s="57" t="s">
        <v>24</v>
      </c>
      <c r="D315" s="58">
        <v>3322</v>
      </c>
      <c r="E315" s="57" t="s">
        <v>470</v>
      </c>
      <c r="F315" s="130" t="s">
        <v>471</v>
      </c>
      <c r="G315" s="67">
        <v>3305</v>
      </c>
      <c r="H315" s="66" t="s">
        <v>400</v>
      </c>
      <c r="I315" s="66" t="s">
        <v>402</v>
      </c>
      <c r="J315" s="1992" t="s">
        <v>57</v>
      </c>
      <c r="K315" s="124" t="s">
        <v>58</v>
      </c>
      <c r="L315" s="125">
        <v>0.6</v>
      </c>
      <c r="M315" s="184" t="s">
        <v>442</v>
      </c>
      <c r="N315" s="184" t="s">
        <v>443</v>
      </c>
      <c r="O315" s="184" t="s">
        <v>454</v>
      </c>
      <c r="P315" s="127">
        <v>1</v>
      </c>
      <c r="Q315" s="140">
        <v>0.1</v>
      </c>
      <c r="R315" s="127"/>
      <c r="S315" s="66">
        <f t="shared" si="12"/>
        <v>0</v>
      </c>
      <c r="T315" s="67">
        <f t="shared" si="13"/>
        <v>0</v>
      </c>
      <c r="U315" s="66" t="s">
        <v>34</v>
      </c>
      <c r="V315" s="66"/>
      <c r="W315" s="66"/>
    </row>
    <row r="316" spans="1:23" ht="23.4" x14ac:dyDescent="0.45">
      <c r="A316" s="1">
        <f t="shared" si="14"/>
        <v>315</v>
      </c>
      <c r="B316" s="57" t="s">
        <v>23</v>
      </c>
      <c r="C316" s="57" t="s">
        <v>24</v>
      </c>
      <c r="D316" s="58">
        <v>3322</v>
      </c>
      <c r="E316" s="57" t="s">
        <v>470</v>
      </c>
      <c r="F316" s="130" t="s">
        <v>471</v>
      </c>
      <c r="G316" s="67">
        <v>3305</v>
      </c>
      <c r="H316" s="66" t="s">
        <v>400</v>
      </c>
      <c r="I316" s="66" t="s">
        <v>402</v>
      </c>
      <c r="J316" s="1992" t="s">
        <v>57</v>
      </c>
      <c r="K316" s="124" t="s">
        <v>58</v>
      </c>
      <c r="L316" s="125">
        <v>0.6</v>
      </c>
      <c r="M316" s="184" t="s">
        <v>411</v>
      </c>
      <c r="N316" s="184" t="s">
        <v>412</v>
      </c>
      <c r="O316" s="184" t="s">
        <v>458</v>
      </c>
      <c r="P316" s="127">
        <v>0.85</v>
      </c>
      <c r="Q316" s="140">
        <v>0.15</v>
      </c>
      <c r="R316" s="127"/>
      <c r="S316" s="66">
        <f t="shared" si="12"/>
        <v>0</v>
      </c>
      <c r="T316" s="67">
        <f t="shared" si="13"/>
        <v>0</v>
      </c>
      <c r="U316" s="66" t="s">
        <v>34</v>
      </c>
      <c r="V316" s="66"/>
      <c r="W316" s="66"/>
    </row>
    <row r="317" spans="1:23" ht="23.4" x14ac:dyDescent="0.45">
      <c r="A317" s="1">
        <f t="shared" si="14"/>
        <v>316</v>
      </c>
      <c r="B317" s="57" t="s">
        <v>23</v>
      </c>
      <c r="C317" s="57" t="s">
        <v>24</v>
      </c>
      <c r="D317" s="58">
        <v>3322</v>
      </c>
      <c r="E317" s="57" t="s">
        <v>470</v>
      </c>
      <c r="F317" s="130" t="s">
        <v>471</v>
      </c>
      <c r="G317" s="67">
        <v>3305</v>
      </c>
      <c r="H317" s="66" t="s">
        <v>400</v>
      </c>
      <c r="I317" s="66" t="s">
        <v>402</v>
      </c>
      <c r="J317" s="1992" t="s">
        <v>57</v>
      </c>
      <c r="K317" s="124" t="s">
        <v>58</v>
      </c>
      <c r="L317" s="125">
        <v>0.6</v>
      </c>
      <c r="M317" s="184" t="s">
        <v>415</v>
      </c>
      <c r="N317" s="184" t="s">
        <v>416</v>
      </c>
      <c r="O317" s="184" t="s">
        <v>457</v>
      </c>
      <c r="P317" s="127">
        <v>1</v>
      </c>
      <c r="Q317" s="140">
        <v>0.05</v>
      </c>
      <c r="R317" s="127"/>
      <c r="S317" s="35">
        <f t="shared" si="12"/>
        <v>0</v>
      </c>
      <c r="T317" s="42">
        <f t="shared" si="13"/>
        <v>0</v>
      </c>
      <c r="U317" s="66" t="s">
        <v>83</v>
      </c>
      <c r="V317" s="66"/>
      <c r="W317" s="66"/>
    </row>
    <row r="318" spans="1:23" ht="23.4" x14ac:dyDescent="0.45">
      <c r="A318" s="1">
        <f t="shared" si="14"/>
        <v>317</v>
      </c>
      <c r="B318" s="57" t="s">
        <v>23</v>
      </c>
      <c r="C318" s="57" t="s">
        <v>24</v>
      </c>
      <c r="D318" s="58">
        <v>3322</v>
      </c>
      <c r="E318" s="57" t="s">
        <v>470</v>
      </c>
      <c r="F318" s="130" t="s">
        <v>471</v>
      </c>
      <c r="G318" s="67">
        <v>3305</v>
      </c>
      <c r="H318" s="66" t="s">
        <v>400</v>
      </c>
      <c r="I318" s="66" t="s">
        <v>402</v>
      </c>
      <c r="J318" s="1992" t="s">
        <v>57</v>
      </c>
      <c r="K318" s="124" t="s">
        <v>58</v>
      </c>
      <c r="L318" s="125">
        <v>0.6</v>
      </c>
      <c r="M318" s="184" t="s">
        <v>96</v>
      </c>
      <c r="N318" s="184" t="s">
        <v>422</v>
      </c>
      <c r="O318" s="184" t="s">
        <v>460</v>
      </c>
      <c r="P318" s="127">
        <v>1</v>
      </c>
      <c r="Q318" s="140">
        <v>0.05</v>
      </c>
      <c r="R318" s="127"/>
      <c r="S318" s="66">
        <f t="shared" si="12"/>
        <v>0</v>
      </c>
      <c r="T318" s="67">
        <f t="shared" si="13"/>
        <v>0</v>
      </c>
      <c r="U318" s="66" t="s">
        <v>34</v>
      </c>
      <c r="V318" s="66"/>
      <c r="W318" s="66"/>
    </row>
    <row r="319" spans="1:23" ht="23.4" x14ac:dyDescent="0.45">
      <c r="A319" s="1">
        <f t="shared" si="14"/>
        <v>318</v>
      </c>
      <c r="B319" s="57" t="s">
        <v>23</v>
      </c>
      <c r="C319" s="57" t="s">
        <v>24</v>
      </c>
      <c r="D319" s="58">
        <v>3322</v>
      </c>
      <c r="E319" s="57" t="s">
        <v>470</v>
      </c>
      <c r="F319" s="130" t="s">
        <v>471</v>
      </c>
      <c r="G319" s="67">
        <v>3305</v>
      </c>
      <c r="H319" s="66" t="s">
        <v>400</v>
      </c>
      <c r="I319" s="66" t="s">
        <v>402</v>
      </c>
      <c r="J319" s="1992" t="s">
        <v>57</v>
      </c>
      <c r="K319" s="124" t="s">
        <v>58</v>
      </c>
      <c r="L319" s="125">
        <v>0.6</v>
      </c>
      <c r="M319" s="184" t="s">
        <v>419</v>
      </c>
      <c r="N319" s="184" t="s">
        <v>420</v>
      </c>
      <c r="O319" s="184" t="s">
        <v>459</v>
      </c>
      <c r="P319" s="127">
        <v>1</v>
      </c>
      <c r="Q319" s="140">
        <v>0.15</v>
      </c>
      <c r="R319" s="127"/>
      <c r="S319" s="66">
        <f t="shared" si="12"/>
        <v>0</v>
      </c>
      <c r="T319" s="67">
        <f t="shared" si="13"/>
        <v>0</v>
      </c>
      <c r="U319" s="66" t="s">
        <v>34</v>
      </c>
      <c r="V319" s="66"/>
      <c r="W319" s="66"/>
    </row>
    <row r="320" spans="1:23" ht="23.4" x14ac:dyDescent="0.45">
      <c r="A320" s="1">
        <f t="shared" si="14"/>
        <v>319</v>
      </c>
      <c r="B320" s="57" t="s">
        <v>23</v>
      </c>
      <c r="C320" s="57" t="s">
        <v>24</v>
      </c>
      <c r="D320" s="58">
        <v>3322</v>
      </c>
      <c r="E320" s="57" t="s">
        <v>470</v>
      </c>
      <c r="F320" s="130" t="s">
        <v>471</v>
      </c>
      <c r="G320" s="67">
        <v>3305</v>
      </c>
      <c r="H320" s="66" t="s">
        <v>400</v>
      </c>
      <c r="I320" s="66" t="s">
        <v>402</v>
      </c>
      <c r="J320" s="1992" t="s">
        <v>57</v>
      </c>
      <c r="K320" s="124" t="s">
        <v>58</v>
      </c>
      <c r="L320" s="125">
        <v>0.6</v>
      </c>
      <c r="M320" s="184" t="s">
        <v>423</v>
      </c>
      <c r="N320" s="184" t="s">
        <v>424</v>
      </c>
      <c r="O320" s="184" t="s">
        <v>461</v>
      </c>
      <c r="P320" s="127">
        <v>1</v>
      </c>
      <c r="Q320" s="140">
        <v>0.05</v>
      </c>
      <c r="R320" s="127"/>
      <c r="S320" s="66">
        <f t="shared" si="12"/>
        <v>0</v>
      </c>
      <c r="T320" s="67">
        <f t="shared" si="13"/>
        <v>0</v>
      </c>
      <c r="U320" s="66" t="s">
        <v>34</v>
      </c>
      <c r="V320" s="66"/>
      <c r="W320" s="66"/>
    </row>
    <row r="321" spans="1:23" ht="23.4" x14ac:dyDescent="0.45">
      <c r="A321" s="1">
        <f t="shared" si="14"/>
        <v>320</v>
      </c>
      <c r="B321" s="57" t="s">
        <v>23</v>
      </c>
      <c r="C321" s="57" t="s">
        <v>24</v>
      </c>
      <c r="D321" s="58">
        <v>3322</v>
      </c>
      <c r="E321" s="57" t="s">
        <v>470</v>
      </c>
      <c r="F321" s="130" t="s">
        <v>471</v>
      </c>
      <c r="G321" s="67">
        <v>3305</v>
      </c>
      <c r="H321" s="66" t="s">
        <v>400</v>
      </c>
      <c r="I321" s="66" t="s">
        <v>402</v>
      </c>
      <c r="J321" s="1992" t="s">
        <v>57</v>
      </c>
      <c r="K321" s="124" t="s">
        <v>58</v>
      </c>
      <c r="L321" s="125">
        <v>0.6</v>
      </c>
      <c r="M321" s="184" t="s">
        <v>417</v>
      </c>
      <c r="N321" s="184" t="s">
        <v>418</v>
      </c>
      <c r="O321" s="184" t="s">
        <v>462</v>
      </c>
      <c r="P321" s="127">
        <v>1</v>
      </c>
      <c r="Q321" s="140">
        <v>0.05</v>
      </c>
      <c r="R321" s="127"/>
      <c r="S321" s="66">
        <f t="shared" si="12"/>
        <v>0</v>
      </c>
      <c r="T321" s="67">
        <f t="shared" si="13"/>
        <v>0</v>
      </c>
      <c r="U321" s="66" t="s">
        <v>34</v>
      </c>
      <c r="V321" s="66"/>
      <c r="W321" s="66"/>
    </row>
    <row r="322" spans="1:23" ht="23.4" x14ac:dyDescent="0.45">
      <c r="A322" s="1">
        <f t="shared" si="14"/>
        <v>321</v>
      </c>
      <c r="B322" s="57" t="s">
        <v>23</v>
      </c>
      <c r="C322" s="57" t="s">
        <v>24</v>
      </c>
      <c r="D322" s="58">
        <v>3322</v>
      </c>
      <c r="E322" s="57" t="s">
        <v>470</v>
      </c>
      <c r="F322" s="141" t="s">
        <v>471</v>
      </c>
      <c r="G322" s="142">
        <v>3305</v>
      </c>
      <c r="H322" s="143" t="s">
        <v>400</v>
      </c>
      <c r="I322" s="143" t="s">
        <v>402</v>
      </c>
      <c r="J322" s="1993" t="s">
        <v>110</v>
      </c>
      <c r="K322" s="135" t="s">
        <v>111</v>
      </c>
      <c r="L322" s="109">
        <v>0.4</v>
      </c>
      <c r="M322" s="334" t="s">
        <v>425</v>
      </c>
      <c r="N322" s="334" t="s">
        <v>426</v>
      </c>
      <c r="O322" s="334" t="s">
        <v>463</v>
      </c>
      <c r="P322" s="138">
        <v>1</v>
      </c>
      <c r="Q322" s="144">
        <v>0.2</v>
      </c>
      <c r="R322" s="138"/>
      <c r="S322" s="143">
        <f t="shared" ref="S322:S385" si="15">ROUND(IF(OR(P322="",R322=""),0,IF(AND(P322=0,R322=0),1,IF(U322="+",R322/P322,P322/R322))),2)</f>
        <v>0</v>
      </c>
      <c r="T322" s="142">
        <f t="shared" ref="T322:T385" si="16">IF(AND(S322&gt;=60%,S322&lt;100%),S322*((Q322*L322)),IF(S322=100%,((Q322*L322)*S322)*100%,IF(S322&gt;100%,((L322*Q322)*100%)*100%,0)))*100</f>
        <v>0</v>
      </c>
      <c r="U322" s="143" t="s">
        <v>34</v>
      </c>
      <c r="V322" s="143"/>
      <c r="W322" s="143"/>
    </row>
    <row r="323" spans="1:23" ht="23.4" x14ac:dyDescent="0.45">
      <c r="A323" s="1">
        <f t="shared" si="14"/>
        <v>322</v>
      </c>
      <c r="B323" s="57" t="s">
        <v>23</v>
      </c>
      <c r="C323" s="57" t="s">
        <v>24</v>
      </c>
      <c r="D323" s="58">
        <v>3322</v>
      </c>
      <c r="E323" s="57" t="s">
        <v>470</v>
      </c>
      <c r="F323" s="141" t="s">
        <v>471</v>
      </c>
      <c r="G323" s="142">
        <v>3305</v>
      </c>
      <c r="H323" s="143" t="s">
        <v>400</v>
      </c>
      <c r="I323" s="143" t="s">
        <v>402</v>
      </c>
      <c r="J323" s="1993" t="s">
        <v>110</v>
      </c>
      <c r="K323" s="135" t="s">
        <v>111</v>
      </c>
      <c r="L323" s="109">
        <v>0.4</v>
      </c>
      <c r="M323" s="334" t="s">
        <v>477</v>
      </c>
      <c r="N323" s="334" t="s">
        <v>478</v>
      </c>
      <c r="O323" s="334" t="s">
        <v>479</v>
      </c>
      <c r="P323" s="138">
        <v>1</v>
      </c>
      <c r="Q323" s="144">
        <v>0.2</v>
      </c>
      <c r="R323" s="138"/>
      <c r="S323" s="143">
        <f t="shared" si="15"/>
        <v>0</v>
      </c>
      <c r="T323" s="142">
        <f t="shared" si="16"/>
        <v>0</v>
      </c>
      <c r="U323" s="143" t="s">
        <v>34</v>
      </c>
      <c r="V323" s="143"/>
      <c r="W323" s="143"/>
    </row>
    <row r="324" spans="1:23" ht="23.4" x14ac:dyDescent="0.45">
      <c r="A324" s="1">
        <f t="shared" ref="A324:A387" si="17">ROW()-1</f>
        <v>323</v>
      </c>
      <c r="B324" s="57" t="s">
        <v>23</v>
      </c>
      <c r="C324" s="57" t="s">
        <v>24</v>
      </c>
      <c r="D324" s="58">
        <v>3322</v>
      </c>
      <c r="E324" s="57" t="s">
        <v>470</v>
      </c>
      <c r="F324" s="141" t="s">
        <v>471</v>
      </c>
      <c r="G324" s="142">
        <v>3305</v>
      </c>
      <c r="H324" s="143" t="s">
        <v>400</v>
      </c>
      <c r="I324" s="143" t="s">
        <v>402</v>
      </c>
      <c r="J324" s="1993" t="s">
        <v>110</v>
      </c>
      <c r="K324" s="135" t="s">
        <v>111</v>
      </c>
      <c r="L324" s="109">
        <v>0.4</v>
      </c>
      <c r="M324" s="334" t="s">
        <v>480</v>
      </c>
      <c r="N324" s="334" t="s">
        <v>481</v>
      </c>
      <c r="O324" s="334" t="s">
        <v>467</v>
      </c>
      <c r="P324" s="138">
        <v>1</v>
      </c>
      <c r="Q324" s="144">
        <v>0.2</v>
      </c>
      <c r="R324" s="138"/>
      <c r="S324" s="143">
        <f t="shared" si="15"/>
        <v>0</v>
      </c>
      <c r="T324" s="142">
        <f t="shared" si="16"/>
        <v>0</v>
      </c>
      <c r="U324" s="143" t="s">
        <v>34</v>
      </c>
      <c r="V324" s="143"/>
      <c r="W324" s="143"/>
    </row>
    <row r="325" spans="1:23" ht="23.4" x14ac:dyDescent="0.45">
      <c r="A325" s="1">
        <f t="shared" si="17"/>
        <v>324</v>
      </c>
      <c r="B325" s="57" t="s">
        <v>23</v>
      </c>
      <c r="C325" s="57" t="s">
        <v>24</v>
      </c>
      <c r="D325" s="58">
        <v>3322</v>
      </c>
      <c r="E325" s="57" t="s">
        <v>470</v>
      </c>
      <c r="F325" s="141" t="s">
        <v>471</v>
      </c>
      <c r="G325" s="142">
        <v>3305</v>
      </c>
      <c r="H325" s="143" t="s">
        <v>400</v>
      </c>
      <c r="I325" s="143" t="s">
        <v>402</v>
      </c>
      <c r="J325" s="1993" t="s">
        <v>110</v>
      </c>
      <c r="K325" s="135" t="s">
        <v>111</v>
      </c>
      <c r="L325" s="109">
        <v>0.4</v>
      </c>
      <c r="M325" s="334" t="s">
        <v>431</v>
      </c>
      <c r="N325" s="334" t="s">
        <v>432</v>
      </c>
      <c r="O325" s="334" t="s">
        <v>468</v>
      </c>
      <c r="P325" s="138">
        <v>1</v>
      </c>
      <c r="Q325" s="144">
        <v>0.2</v>
      </c>
      <c r="R325" s="138"/>
      <c r="S325" s="143">
        <f t="shared" si="15"/>
        <v>0</v>
      </c>
      <c r="T325" s="142">
        <f t="shared" si="16"/>
        <v>0</v>
      </c>
      <c r="U325" s="143" t="s">
        <v>34</v>
      </c>
      <c r="V325" s="143"/>
      <c r="W325" s="143"/>
    </row>
    <row r="326" spans="1:23" ht="23.4" x14ac:dyDescent="0.45">
      <c r="A326" s="1">
        <f t="shared" si="17"/>
        <v>325</v>
      </c>
      <c r="B326" s="57" t="s">
        <v>23</v>
      </c>
      <c r="C326" s="57" t="s">
        <v>24</v>
      </c>
      <c r="D326" s="58">
        <v>3322</v>
      </c>
      <c r="E326" s="57" t="s">
        <v>470</v>
      </c>
      <c r="F326" s="141" t="s">
        <v>471</v>
      </c>
      <c r="G326" s="142">
        <v>3305</v>
      </c>
      <c r="H326" s="143" t="s">
        <v>400</v>
      </c>
      <c r="I326" s="143" t="s">
        <v>402</v>
      </c>
      <c r="J326" s="1993" t="s">
        <v>110</v>
      </c>
      <c r="K326" s="135" t="s">
        <v>111</v>
      </c>
      <c r="L326" s="109">
        <v>0.4</v>
      </c>
      <c r="M326" s="334" t="s">
        <v>482</v>
      </c>
      <c r="N326" s="334" t="s">
        <v>483</v>
      </c>
      <c r="O326" s="334" t="s">
        <v>469</v>
      </c>
      <c r="P326" s="138">
        <v>1</v>
      </c>
      <c r="Q326" s="144">
        <v>0.2</v>
      </c>
      <c r="R326" s="138"/>
      <c r="S326" s="143">
        <f t="shared" si="15"/>
        <v>0</v>
      </c>
      <c r="T326" s="142">
        <f t="shared" si="16"/>
        <v>0</v>
      </c>
      <c r="U326" s="143" t="s">
        <v>34</v>
      </c>
      <c r="V326" s="143"/>
      <c r="W326" s="143"/>
    </row>
    <row r="327" spans="1:23" ht="23.4" x14ac:dyDescent="0.45">
      <c r="A327" s="1">
        <f t="shared" si="17"/>
        <v>326</v>
      </c>
      <c r="B327" s="2" t="s">
        <v>23</v>
      </c>
      <c r="C327" s="2" t="s">
        <v>24</v>
      </c>
      <c r="D327" s="49">
        <v>3155</v>
      </c>
      <c r="E327" s="2" t="s">
        <v>484</v>
      </c>
      <c r="F327" s="118" t="s">
        <v>485</v>
      </c>
      <c r="G327" s="119">
        <v>3305</v>
      </c>
      <c r="H327" s="120" t="s">
        <v>400</v>
      </c>
      <c r="I327" s="120" t="s">
        <v>402</v>
      </c>
      <c r="J327" s="1981" t="s">
        <v>57</v>
      </c>
      <c r="K327" s="8" t="s">
        <v>58</v>
      </c>
      <c r="L327" s="53">
        <v>0.6</v>
      </c>
      <c r="M327" s="3" t="s">
        <v>486</v>
      </c>
      <c r="N327" s="3" t="s">
        <v>487</v>
      </c>
      <c r="O327" s="3" t="s">
        <v>452</v>
      </c>
      <c r="P327" s="13">
        <v>0.99</v>
      </c>
      <c r="Q327" s="122">
        <v>0.2</v>
      </c>
      <c r="R327" s="13"/>
      <c r="S327" s="120">
        <f t="shared" si="15"/>
        <v>0</v>
      </c>
      <c r="T327" s="119">
        <f t="shared" si="16"/>
        <v>0</v>
      </c>
      <c r="U327" s="120" t="s">
        <v>34</v>
      </c>
      <c r="V327" s="1957">
        <f>SUM(T327:T343)%</f>
        <v>0</v>
      </c>
      <c r="W327" s="120"/>
    </row>
    <row r="328" spans="1:23" ht="23.4" x14ac:dyDescent="0.45">
      <c r="A328" s="1">
        <f t="shared" si="17"/>
        <v>327</v>
      </c>
      <c r="B328" s="57" t="s">
        <v>23</v>
      </c>
      <c r="C328" s="57" t="s">
        <v>24</v>
      </c>
      <c r="D328" s="58">
        <v>3155</v>
      </c>
      <c r="E328" s="57" t="s">
        <v>484</v>
      </c>
      <c r="F328" s="130" t="s">
        <v>485</v>
      </c>
      <c r="G328" s="67">
        <v>3305</v>
      </c>
      <c r="H328" s="66" t="s">
        <v>400</v>
      </c>
      <c r="I328" s="66" t="s">
        <v>402</v>
      </c>
      <c r="J328" s="1992" t="s">
        <v>57</v>
      </c>
      <c r="K328" s="124" t="s">
        <v>58</v>
      </c>
      <c r="L328" s="125">
        <v>0.6</v>
      </c>
      <c r="M328" s="184" t="s">
        <v>488</v>
      </c>
      <c r="N328" s="184" t="s">
        <v>489</v>
      </c>
      <c r="O328" s="184" t="s">
        <v>453</v>
      </c>
      <c r="P328" s="127">
        <v>0.99350000000000005</v>
      </c>
      <c r="Q328" s="140">
        <v>0.1</v>
      </c>
      <c r="R328" s="127"/>
      <c r="S328" s="66">
        <f t="shared" si="15"/>
        <v>0</v>
      </c>
      <c r="T328" s="67">
        <f t="shared" si="16"/>
        <v>0</v>
      </c>
      <c r="U328" s="66" t="s">
        <v>34</v>
      </c>
      <c r="V328" s="66"/>
      <c r="W328" s="66"/>
    </row>
    <row r="329" spans="1:23" ht="23.4" x14ac:dyDescent="0.45">
      <c r="A329" s="1">
        <f t="shared" si="17"/>
        <v>328</v>
      </c>
      <c r="B329" s="57" t="s">
        <v>23</v>
      </c>
      <c r="C329" s="57" t="s">
        <v>24</v>
      </c>
      <c r="D329" s="58">
        <v>3155</v>
      </c>
      <c r="E329" s="57" t="s">
        <v>484</v>
      </c>
      <c r="F329" s="130" t="s">
        <v>485</v>
      </c>
      <c r="G329" s="67">
        <v>3305</v>
      </c>
      <c r="H329" s="66" t="s">
        <v>400</v>
      </c>
      <c r="I329" s="66" t="s">
        <v>402</v>
      </c>
      <c r="J329" s="1992" t="s">
        <v>57</v>
      </c>
      <c r="K329" s="124" t="s">
        <v>58</v>
      </c>
      <c r="L329" s="125">
        <v>0.6</v>
      </c>
      <c r="M329" s="435" t="s">
        <v>80</v>
      </c>
      <c r="N329" s="435" t="s">
        <v>81</v>
      </c>
      <c r="O329" s="435" t="s">
        <v>82</v>
      </c>
      <c r="P329" s="43">
        <v>0.01</v>
      </c>
      <c r="Q329" s="140">
        <v>0.1</v>
      </c>
      <c r="R329" s="43"/>
      <c r="S329" s="66">
        <f t="shared" si="15"/>
        <v>0</v>
      </c>
      <c r="T329" s="67">
        <f t="shared" si="16"/>
        <v>0</v>
      </c>
      <c r="U329" s="66" t="s">
        <v>83</v>
      </c>
      <c r="V329" s="66"/>
      <c r="W329" s="66"/>
    </row>
    <row r="330" spans="1:23" ht="23.4" x14ac:dyDescent="0.45">
      <c r="A330" s="1">
        <f t="shared" si="17"/>
        <v>329</v>
      </c>
      <c r="B330" s="57" t="s">
        <v>23</v>
      </c>
      <c r="C330" s="57" t="s">
        <v>24</v>
      </c>
      <c r="D330" s="58">
        <v>3155</v>
      </c>
      <c r="E330" s="57" t="s">
        <v>484</v>
      </c>
      <c r="F330" s="130" t="s">
        <v>485</v>
      </c>
      <c r="G330" s="67">
        <v>3305</v>
      </c>
      <c r="H330" s="66" t="s">
        <v>400</v>
      </c>
      <c r="I330" s="66" t="s">
        <v>402</v>
      </c>
      <c r="J330" s="1992" t="s">
        <v>57</v>
      </c>
      <c r="K330" s="124" t="s">
        <v>58</v>
      </c>
      <c r="L330" s="125">
        <v>0.6</v>
      </c>
      <c r="M330" s="184" t="s">
        <v>442</v>
      </c>
      <c r="N330" s="184" t="s">
        <v>443</v>
      </c>
      <c r="O330" s="184" t="s">
        <v>454</v>
      </c>
      <c r="P330" s="127">
        <v>1</v>
      </c>
      <c r="Q330" s="140">
        <v>0.1</v>
      </c>
      <c r="R330" s="127"/>
      <c r="S330" s="66">
        <f t="shared" si="15"/>
        <v>0</v>
      </c>
      <c r="T330" s="67">
        <f t="shared" si="16"/>
        <v>0</v>
      </c>
      <c r="U330" s="66" t="s">
        <v>34</v>
      </c>
      <c r="V330" s="66"/>
      <c r="W330" s="66"/>
    </row>
    <row r="331" spans="1:23" ht="23.4" x14ac:dyDescent="0.45">
      <c r="A331" s="1">
        <f t="shared" si="17"/>
        <v>330</v>
      </c>
      <c r="B331" s="57" t="s">
        <v>23</v>
      </c>
      <c r="C331" s="57" t="s">
        <v>24</v>
      </c>
      <c r="D331" s="58">
        <v>3155</v>
      </c>
      <c r="E331" s="57" t="s">
        <v>484</v>
      </c>
      <c r="F331" s="130" t="s">
        <v>485</v>
      </c>
      <c r="G331" s="67">
        <v>3305</v>
      </c>
      <c r="H331" s="66" t="s">
        <v>400</v>
      </c>
      <c r="I331" s="66" t="s">
        <v>402</v>
      </c>
      <c r="J331" s="1992" t="s">
        <v>57</v>
      </c>
      <c r="K331" s="124" t="s">
        <v>58</v>
      </c>
      <c r="L331" s="125">
        <v>0.6</v>
      </c>
      <c r="M331" s="184" t="s">
        <v>444</v>
      </c>
      <c r="N331" s="184" t="s">
        <v>445</v>
      </c>
      <c r="O331" s="184" t="s">
        <v>456</v>
      </c>
      <c r="P331" s="127">
        <v>1</v>
      </c>
      <c r="Q331" s="140">
        <v>0.05</v>
      </c>
      <c r="R331" s="127"/>
      <c r="S331" s="66">
        <f t="shared" si="15"/>
        <v>0</v>
      </c>
      <c r="T331" s="67">
        <f t="shared" si="16"/>
        <v>0</v>
      </c>
      <c r="U331" s="66" t="s">
        <v>34</v>
      </c>
      <c r="V331" s="66"/>
      <c r="W331" s="66"/>
    </row>
    <row r="332" spans="1:23" ht="23.4" x14ac:dyDescent="0.45">
      <c r="A332" s="1">
        <f t="shared" si="17"/>
        <v>331</v>
      </c>
      <c r="B332" s="57" t="s">
        <v>23</v>
      </c>
      <c r="C332" s="57" t="s">
        <v>24</v>
      </c>
      <c r="D332" s="58">
        <v>3155</v>
      </c>
      <c r="E332" s="57" t="s">
        <v>484</v>
      </c>
      <c r="F332" s="130" t="s">
        <v>485</v>
      </c>
      <c r="G332" s="67">
        <v>3305</v>
      </c>
      <c r="H332" s="66" t="s">
        <v>400</v>
      </c>
      <c r="I332" s="66" t="s">
        <v>402</v>
      </c>
      <c r="J332" s="1992" t="s">
        <v>57</v>
      </c>
      <c r="K332" s="124" t="s">
        <v>58</v>
      </c>
      <c r="L332" s="125">
        <v>0.6</v>
      </c>
      <c r="M332" s="184" t="s">
        <v>415</v>
      </c>
      <c r="N332" s="184" t="s">
        <v>416</v>
      </c>
      <c r="O332" s="184" t="s">
        <v>457</v>
      </c>
      <c r="P332" s="127">
        <v>1</v>
      </c>
      <c r="Q332" s="140">
        <v>0.05</v>
      </c>
      <c r="R332" s="127"/>
      <c r="S332" s="35">
        <f t="shared" si="15"/>
        <v>0</v>
      </c>
      <c r="T332" s="42">
        <f t="shared" si="16"/>
        <v>0</v>
      </c>
      <c r="U332" s="66" t="s">
        <v>83</v>
      </c>
      <c r="V332" s="66"/>
      <c r="W332" s="66"/>
    </row>
    <row r="333" spans="1:23" ht="23.4" x14ac:dyDescent="0.45">
      <c r="A333" s="1">
        <f t="shared" si="17"/>
        <v>332</v>
      </c>
      <c r="B333" s="57" t="s">
        <v>23</v>
      </c>
      <c r="C333" s="57" t="s">
        <v>24</v>
      </c>
      <c r="D333" s="58">
        <v>3155</v>
      </c>
      <c r="E333" s="57" t="s">
        <v>484</v>
      </c>
      <c r="F333" s="130" t="s">
        <v>485</v>
      </c>
      <c r="G333" s="67">
        <v>3305</v>
      </c>
      <c r="H333" s="66" t="s">
        <v>400</v>
      </c>
      <c r="I333" s="66" t="s">
        <v>402</v>
      </c>
      <c r="J333" s="1992" t="s">
        <v>57</v>
      </c>
      <c r="K333" s="124" t="s">
        <v>58</v>
      </c>
      <c r="L333" s="125">
        <v>0.6</v>
      </c>
      <c r="M333" s="184" t="s">
        <v>411</v>
      </c>
      <c r="N333" s="184" t="s">
        <v>412</v>
      </c>
      <c r="O333" s="184" t="s">
        <v>458</v>
      </c>
      <c r="P333" s="127">
        <v>0.85</v>
      </c>
      <c r="Q333" s="140">
        <v>0.1</v>
      </c>
      <c r="R333" s="127"/>
      <c r="S333" s="66">
        <f t="shared" si="15"/>
        <v>0</v>
      </c>
      <c r="T333" s="67">
        <f t="shared" si="16"/>
        <v>0</v>
      </c>
      <c r="U333" s="66" t="s">
        <v>34</v>
      </c>
      <c r="V333" s="66"/>
      <c r="W333" s="66"/>
    </row>
    <row r="334" spans="1:23" ht="23.4" x14ac:dyDescent="0.45">
      <c r="A334" s="1">
        <f t="shared" si="17"/>
        <v>333</v>
      </c>
      <c r="B334" s="57" t="s">
        <v>23</v>
      </c>
      <c r="C334" s="57" t="s">
        <v>24</v>
      </c>
      <c r="D334" s="58">
        <v>3155</v>
      </c>
      <c r="E334" s="57" t="s">
        <v>484</v>
      </c>
      <c r="F334" s="130" t="s">
        <v>485</v>
      </c>
      <c r="G334" s="67">
        <v>3305</v>
      </c>
      <c r="H334" s="66" t="s">
        <v>400</v>
      </c>
      <c r="I334" s="66" t="s">
        <v>402</v>
      </c>
      <c r="J334" s="1992" t="s">
        <v>57</v>
      </c>
      <c r="K334" s="124" t="s">
        <v>58</v>
      </c>
      <c r="L334" s="125">
        <v>0.6</v>
      </c>
      <c r="M334" s="184" t="s">
        <v>419</v>
      </c>
      <c r="N334" s="184" t="s">
        <v>420</v>
      </c>
      <c r="O334" s="184" t="s">
        <v>463</v>
      </c>
      <c r="P334" s="127">
        <v>1</v>
      </c>
      <c r="Q334" s="140">
        <v>0.15</v>
      </c>
      <c r="R334" s="127"/>
      <c r="S334" s="66">
        <f t="shared" si="15"/>
        <v>0</v>
      </c>
      <c r="T334" s="67">
        <f t="shared" si="16"/>
        <v>0</v>
      </c>
      <c r="U334" s="66" t="s">
        <v>34</v>
      </c>
      <c r="V334" s="66"/>
      <c r="W334" s="66"/>
    </row>
    <row r="335" spans="1:23" ht="23.4" x14ac:dyDescent="0.45">
      <c r="A335" s="1">
        <f t="shared" si="17"/>
        <v>334</v>
      </c>
      <c r="B335" s="57" t="s">
        <v>23</v>
      </c>
      <c r="C335" s="57" t="s">
        <v>24</v>
      </c>
      <c r="D335" s="58">
        <v>3155</v>
      </c>
      <c r="E335" s="57" t="s">
        <v>484</v>
      </c>
      <c r="F335" s="130" t="s">
        <v>485</v>
      </c>
      <c r="G335" s="67">
        <v>3305</v>
      </c>
      <c r="H335" s="66" t="s">
        <v>400</v>
      </c>
      <c r="I335" s="66" t="s">
        <v>402</v>
      </c>
      <c r="J335" s="1992" t="s">
        <v>57</v>
      </c>
      <c r="K335" s="124" t="s">
        <v>58</v>
      </c>
      <c r="L335" s="125">
        <v>0.6</v>
      </c>
      <c r="M335" s="184" t="s">
        <v>96</v>
      </c>
      <c r="N335" s="184" t="s">
        <v>422</v>
      </c>
      <c r="O335" s="184" t="s">
        <v>460</v>
      </c>
      <c r="P335" s="127">
        <v>1</v>
      </c>
      <c r="Q335" s="140">
        <v>0.05</v>
      </c>
      <c r="R335" s="127"/>
      <c r="S335" s="66">
        <f t="shared" si="15"/>
        <v>0</v>
      </c>
      <c r="T335" s="67">
        <f t="shared" si="16"/>
        <v>0</v>
      </c>
      <c r="U335" s="66" t="s">
        <v>34</v>
      </c>
      <c r="V335" s="66"/>
      <c r="W335" s="66"/>
    </row>
    <row r="336" spans="1:23" ht="23.4" x14ac:dyDescent="0.45">
      <c r="A336" s="1">
        <f t="shared" si="17"/>
        <v>335</v>
      </c>
      <c r="B336" s="57" t="s">
        <v>23</v>
      </c>
      <c r="C336" s="57" t="s">
        <v>24</v>
      </c>
      <c r="D336" s="58">
        <v>3155</v>
      </c>
      <c r="E336" s="57" t="s">
        <v>484</v>
      </c>
      <c r="F336" s="130" t="s">
        <v>485</v>
      </c>
      <c r="G336" s="67">
        <v>3305</v>
      </c>
      <c r="H336" s="66" t="s">
        <v>400</v>
      </c>
      <c r="I336" s="66" t="s">
        <v>402</v>
      </c>
      <c r="J336" s="1992" t="s">
        <v>57</v>
      </c>
      <c r="K336" s="124" t="s">
        <v>58</v>
      </c>
      <c r="L336" s="125">
        <v>0.6</v>
      </c>
      <c r="M336" s="184" t="s">
        <v>423</v>
      </c>
      <c r="N336" s="184" t="s">
        <v>424</v>
      </c>
      <c r="O336" s="184" t="s">
        <v>461</v>
      </c>
      <c r="P336" s="127">
        <v>1</v>
      </c>
      <c r="Q336" s="140">
        <v>0.05</v>
      </c>
      <c r="R336" s="127"/>
      <c r="S336" s="66">
        <f t="shared" si="15"/>
        <v>0</v>
      </c>
      <c r="T336" s="67">
        <f t="shared" si="16"/>
        <v>0</v>
      </c>
      <c r="U336" s="66" t="s">
        <v>34</v>
      </c>
      <c r="V336" s="66"/>
      <c r="W336" s="66"/>
    </row>
    <row r="337" spans="1:58" s="131" customFormat="1" ht="23.4" x14ac:dyDescent="0.45">
      <c r="A337" s="1">
        <f t="shared" si="17"/>
        <v>336</v>
      </c>
      <c r="B337" s="57" t="s">
        <v>23</v>
      </c>
      <c r="C337" s="57" t="s">
        <v>24</v>
      </c>
      <c r="D337" s="58">
        <v>3155</v>
      </c>
      <c r="E337" s="57" t="s">
        <v>484</v>
      </c>
      <c r="F337" s="130" t="s">
        <v>485</v>
      </c>
      <c r="G337" s="67">
        <v>3305</v>
      </c>
      <c r="H337" s="66" t="s">
        <v>400</v>
      </c>
      <c r="I337" s="66" t="s">
        <v>402</v>
      </c>
      <c r="J337" s="1992" t="s">
        <v>57</v>
      </c>
      <c r="K337" s="124" t="s">
        <v>58</v>
      </c>
      <c r="L337" s="125">
        <v>0.6</v>
      </c>
      <c r="M337" s="184" t="s">
        <v>417</v>
      </c>
      <c r="N337" s="184" t="s">
        <v>418</v>
      </c>
      <c r="O337" s="184" t="s">
        <v>462</v>
      </c>
      <c r="P337" s="127">
        <v>1</v>
      </c>
      <c r="Q337" s="140">
        <v>0.05</v>
      </c>
      <c r="R337" s="127"/>
      <c r="S337" s="66">
        <f t="shared" si="15"/>
        <v>0</v>
      </c>
      <c r="T337" s="67">
        <f t="shared" si="16"/>
        <v>0</v>
      </c>
      <c r="U337" s="66" t="s">
        <v>34</v>
      </c>
      <c r="V337" s="66"/>
      <c r="W337" s="66"/>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row>
    <row r="338" spans="1:58" ht="23.4" x14ac:dyDescent="0.45">
      <c r="A338" s="1">
        <f t="shared" si="17"/>
        <v>337</v>
      </c>
      <c r="B338" s="57" t="s">
        <v>23</v>
      </c>
      <c r="C338" s="57" t="s">
        <v>24</v>
      </c>
      <c r="D338" s="58">
        <v>3155</v>
      </c>
      <c r="E338" s="57" t="s">
        <v>484</v>
      </c>
      <c r="F338" s="141" t="s">
        <v>485</v>
      </c>
      <c r="G338" s="142">
        <v>3305</v>
      </c>
      <c r="H338" s="143" t="s">
        <v>400</v>
      </c>
      <c r="I338" s="143" t="s">
        <v>402</v>
      </c>
      <c r="J338" s="1993" t="s">
        <v>110</v>
      </c>
      <c r="K338" s="135" t="s">
        <v>111</v>
      </c>
      <c r="L338" s="109">
        <v>0.4</v>
      </c>
      <c r="M338" s="334" t="s">
        <v>425</v>
      </c>
      <c r="N338" s="334" t="s">
        <v>426</v>
      </c>
      <c r="O338" s="334" t="s">
        <v>463</v>
      </c>
      <c r="P338" s="138">
        <v>1</v>
      </c>
      <c r="Q338" s="144">
        <v>0.2</v>
      </c>
      <c r="R338" s="138"/>
      <c r="S338" s="143">
        <f t="shared" si="15"/>
        <v>0</v>
      </c>
      <c r="T338" s="142">
        <f t="shared" si="16"/>
        <v>0</v>
      </c>
      <c r="U338" s="143" t="s">
        <v>34</v>
      </c>
      <c r="V338" s="143"/>
      <c r="W338" s="143"/>
    </row>
    <row r="339" spans="1:58" ht="23.4" x14ac:dyDescent="0.45">
      <c r="A339" s="1">
        <f t="shared" si="17"/>
        <v>338</v>
      </c>
      <c r="B339" s="57" t="s">
        <v>23</v>
      </c>
      <c r="C339" s="57" t="s">
        <v>24</v>
      </c>
      <c r="D339" s="58">
        <v>3155</v>
      </c>
      <c r="E339" s="57" t="s">
        <v>484</v>
      </c>
      <c r="F339" s="141" t="s">
        <v>485</v>
      </c>
      <c r="G339" s="142">
        <v>3305</v>
      </c>
      <c r="H339" s="143" t="s">
        <v>400</v>
      </c>
      <c r="I339" s="143" t="s">
        <v>402</v>
      </c>
      <c r="J339" s="1993" t="s">
        <v>110</v>
      </c>
      <c r="K339" s="135" t="s">
        <v>111</v>
      </c>
      <c r="L339" s="109">
        <v>0.4</v>
      </c>
      <c r="M339" s="334" t="s">
        <v>429</v>
      </c>
      <c r="N339" s="334" t="s">
        <v>430</v>
      </c>
      <c r="O339" s="334" t="s">
        <v>467</v>
      </c>
      <c r="P339" s="138">
        <v>1</v>
      </c>
      <c r="Q339" s="144">
        <v>0.15</v>
      </c>
      <c r="R339" s="138"/>
      <c r="S339" s="143">
        <f t="shared" si="15"/>
        <v>0</v>
      </c>
      <c r="T339" s="142">
        <f t="shared" si="16"/>
        <v>0</v>
      </c>
      <c r="U339" s="143" t="s">
        <v>34</v>
      </c>
      <c r="V339" s="143"/>
      <c r="W339" s="143"/>
    </row>
    <row r="340" spans="1:58" ht="23.4" x14ac:dyDescent="0.45">
      <c r="A340" s="1">
        <f t="shared" si="17"/>
        <v>339</v>
      </c>
      <c r="B340" s="57" t="s">
        <v>23</v>
      </c>
      <c r="C340" s="57" t="s">
        <v>24</v>
      </c>
      <c r="D340" s="58">
        <v>3155</v>
      </c>
      <c r="E340" s="57" t="s">
        <v>484</v>
      </c>
      <c r="F340" s="141" t="s">
        <v>485</v>
      </c>
      <c r="G340" s="142">
        <v>3305</v>
      </c>
      <c r="H340" s="143" t="s">
        <v>400</v>
      </c>
      <c r="I340" s="143" t="s">
        <v>402</v>
      </c>
      <c r="J340" s="1993" t="s">
        <v>110</v>
      </c>
      <c r="K340" s="135" t="s">
        <v>111</v>
      </c>
      <c r="L340" s="109">
        <v>0.4</v>
      </c>
      <c r="M340" s="334" t="s">
        <v>431</v>
      </c>
      <c r="N340" s="334" t="s">
        <v>432</v>
      </c>
      <c r="O340" s="334" t="s">
        <v>468</v>
      </c>
      <c r="P340" s="138">
        <v>1</v>
      </c>
      <c r="Q340" s="144">
        <v>0.2</v>
      </c>
      <c r="R340" s="138"/>
      <c r="S340" s="143">
        <f t="shared" si="15"/>
        <v>0</v>
      </c>
      <c r="T340" s="142">
        <f t="shared" si="16"/>
        <v>0</v>
      </c>
      <c r="U340" s="143" t="s">
        <v>34</v>
      </c>
      <c r="V340" s="143"/>
      <c r="W340" s="143"/>
    </row>
    <row r="341" spans="1:58" ht="23.4" x14ac:dyDescent="0.45">
      <c r="A341" s="1">
        <f t="shared" si="17"/>
        <v>340</v>
      </c>
      <c r="B341" s="57" t="s">
        <v>23</v>
      </c>
      <c r="C341" s="57" t="s">
        <v>24</v>
      </c>
      <c r="D341" s="58">
        <v>3155</v>
      </c>
      <c r="E341" s="57" t="s">
        <v>484</v>
      </c>
      <c r="F341" s="141" t="s">
        <v>485</v>
      </c>
      <c r="G341" s="142">
        <v>3305</v>
      </c>
      <c r="H341" s="143" t="s">
        <v>400</v>
      </c>
      <c r="I341" s="143" t="s">
        <v>402</v>
      </c>
      <c r="J341" s="1993" t="s">
        <v>110</v>
      </c>
      <c r="K341" s="135" t="s">
        <v>111</v>
      </c>
      <c r="L341" s="109">
        <v>0.4</v>
      </c>
      <c r="M341" s="334" t="s">
        <v>490</v>
      </c>
      <c r="N341" s="334" t="s">
        <v>491</v>
      </c>
      <c r="O341" s="334" t="s">
        <v>463</v>
      </c>
      <c r="P341" s="138">
        <v>1</v>
      </c>
      <c r="Q341" s="144">
        <v>0.15</v>
      </c>
      <c r="R341" s="138"/>
      <c r="S341" s="143">
        <f t="shared" si="15"/>
        <v>0</v>
      </c>
      <c r="T341" s="142">
        <f t="shared" si="16"/>
        <v>0</v>
      </c>
      <c r="U341" s="143" t="s">
        <v>34</v>
      </c>
      <c r="V341" s="143"/>
      <c r="W341" s="143"/>
    </row>
    <row r="342" spans="1:58" ht="23.4" x14ac:dyDescent="0.45">
      <c r="A342" s="1">
        <f t="shared" si="17"/>
        <v>341</v>
      </c>
      <c r="B342" s="57" t="s">
        <v>23</v>
      </c>
      <c r="C342" s="57" t="s">
        <v>24</v>
      </c>
      <c r="D342" s="58">
        <v>3155</v>
      </c>
      <c r="E342" s="57" t="s">
        <v>484</v>
      </c>
      <c r="F342" s="141" t="s">
        <v>485</v>
      </c>
      <c r="G342" s="142">
        <v>3305</v>
      </c>
      <c r="H342" s="143" t="s">
        <v>400</v>
      </c>
      <c r="I342" s="143" t="s">
        <v>402</v>
      </c>
      <c r="J342" s="1993" t="s">
        <v>110</v>
      </c>
      <c r="K342" s="135" t="s">
        <v>111</v>
      </c>
      <c r="L342" s="109">
        <v>0.4</v>
      </c>
      <c r="M342" s="334" t="s">
        <v>427</v>
      </c>
      <c r="N342" s="334" t="s">
        <v>428</v>
      </c>
      <c r="O342" s="334" t="s">
        <v>468</v>
      </c>
      <c r="P342" s="138">
        <v>1</v>
      </c>
      <c r="Q342" s="144">
        <v>0.2</v>
      </c>
      <c r="R342" s="138"/>
      <c r="S342" s="143">
        <f t="shared" si="15"/>
        <v>0</v>
      </c>
      <c r="T342" s="142">
        <f t="shared" si="16"/>
        <v>0</v>
      </c>
      <c r="U342" s="143" t="s">
        <v>34</v>
      </c>
      <c r="V342" s="143"/>
      <c r="W342" s="143"/>
    </row>
    <row r="343" spans="1:58" ht="23.4" x14ac:dyDescent="0.45">
      <c r="A343" s="1">
        <f t="shared" si="17"/>
        <v>342</v>
      </c>
      <c r="B343" s="57" t="s">
        <v>23</v>
      </c>
      <c r="C343" s="57" t="s">
        <v>24</v>
      </c>
      <c r="D343" s="58">
        <v>3155</v>
      </c>
      <c r="E343" s="57" t="s">
        <v>484</v>
      </c>
      <c r="F343" s="141" t="s">
        <v>485</v>
      </c>
      <c r="G343" s="142">
        <v>3305</v>
      </c>
      <c r="H343" s="143" t="s">
        <v>400</v>
      </c>
      <c r="I343" s="143" t="s">
        <v>402</v>
      </c>
      <c r="J343" s="1993" t="s">
        <v>110</v>
      </c>
      <c r="K343" s="135" t="s">
        <v>111</v>
      </c>
      <c r="L343" s="109">
        <v>0.4</v>
      </c>
      <c r="M343" s="334" t="s">
        <v>433</v>
      </c>
      <c r="N343" s="334" t="s">
        <v>434</v>
      </c>
      <c r="O343" s="334" t="s">
        <v>469</v>
      </c>
      <c r="P343" s="138">
        <v>1</v>
      </c>
      <c r="Q343" s="144">
        <v>0.1</v>
      </c>
      <c r="R343" s="138"/>
      <c r="S343" s="143">
        <f t="shared" si="15"/>
        <v>0</v>
      </c>
      <c r="T343" s="142">
        <f t="shared" si="16"/>
        <v>0</v>
      </c>
      <c r="U343" s="143" t="s">
        <v>34</v>
      </c>
      <c r="V343" s="143"/>
      <c r="W343" s="143"/>
    </row>
    <row r="344" spans="1:58" ht="23.4" x14ac:dyDescent="0.45">
      <c r="A344" s="1">
        <f t="shared" si="17"/>
        <v>343</v>
      </c>
      <c r="B344" s="2" t="s">
        <v>23</v>
      </c>
      <c r="C344" s="2" t="s">
        <v>24</v>
      </c>
      <c r="D344" s="49">
        <v>3332</v>
      </c>
      <c r="E344" s="2" t="s">
        <v>492</v>
      </c>
      <c r="F344" s="118" t="s">
        <v>493</v>
      </c>
      <c r="G344" s="119">
        <v>3305</v>
      </c>
      <c r="H344" s="120" t="s">
        <v>400</v>
      </c>
      <c r="I344" s="120" t="s">
        <v>402</v>
      </c>
      <c r="J344" s="1981" t="s">
        <v>57</v>
      </c>
      <c r="K344" s="8" t="s">
        <v>58</v>
      </c>
      <c r="L344" s="53">
        <v>0.6</v>
      </c>
      <c r="M344" s="3" t="s">
        <v>405</v>
      </c>
      <c r="N344" s="3" t="s">
        <v>404</v>
      </c>
      <c r="O344" s="3" t="s">
        <v>452</v>
      </c>
      <c r="P344" s="13">
        <v>0.99</v>
      </c>
      <c r="Q344" s="122">
        <v>0.2</v>
      </c>
      <c r="R344" s="13"/>
      <c r="S344" s="120">
        <f t="shared" si="15"/>
        <v>0</v>
      </c>
      <c r="T344" s="119">
        <f t="shared" si="16"/>
        <v>0</v>
      </c>
      <c r="U344" s="120" t="s">
        <v>34</v>
      </c>
      <c r="V344" s="1957">
        <f>SUM(T344:T358)%</f>
        <v>0</v>
      </c>
      <c r="W344" s="120"/>
    </row>
    <row r="345" spans="1:58" ht="23.4" x14ac:dyDescent="0.45">
      <c r="A345" s="1">
        <f t="shared" si="17"/>
        <v>344</v>
      </c>
      <c r="B345" s="57" t="s">
        <v>23</v>
      </c>
      <c r="C345" s="57" t="s">
        <v>24</v>
      </c>
      <c r="D345" s="58">
        <v>3332</v>
      </c>
      <c r="E345" s="57" t="s">
        <v>492</v>
      </c>
      <c r="F345" s="130" t="s">
        <v>493</v>
      </c>
      <c r="G345" s="67">
        <v>3305</v>
      </c>
      <c r="H345" s="66" t="s">
        <v>400</v>
      </c>
      <c r="I345" s="66" t="s">
        <v>402</v>
      </c>
      <c r="J345" s="1992" t="s">
        <v>57</v>
      </c>
      <c r="K345" s="124" t="s">
        <v>58</v>
      </c>
      <c r="L345" s="125">
        <v>0.6</v>
      </c>
      <c r="M345" s="184" t="s">
        <v>494</v>
      </c>
      <c r="N345" s="184" t="s">
        <v>495</v>
      </c>
      <c r="O345" s="184" t="s">
        <v>496</v>
      </c>
      <c r="P345" s="127">
        <v>1</v>
      </c>
      <c r="Q345" s="140">
        <v>0.1</v>
      </c>
      <c r="R345" s="127"/>
      <c r="S345" s="66">
        <f t="shared" si="15"/>
        <v>0</v>
      </c>
      <c r="T345" s="67">
        <f t="shared" si="16"/>
        <v>0</v>
      </c>
      <c r="U345" s="66" t="s">
        <v>34</v>
      </c>
      <c r="V345" s="66"/>
      <c r="W345" s="66"/>
    </row>
    <row r="346" spans="1:58" ht="23.4" x14ac:dyDescent="0.45">
      <c r="A346" s="1">
        <f t="shared" si="17"/>
        <v>345</v>
      </c>
      <c r="B346" s="57" t="s">
        <v>23</v>
      </c>
      <c r="C346" s="57" t="s">
        <v>24</v>
      </c>
      <c r="D346" s="58">
        <v>3332</v>
      </c>
      <c r="E346" s="57" t="s">
        <v>492</v>
      </c>
      <c r="F346" s="130" t="s">
        <v>493</v>
      </c>
      <c r="G346" s="67">
        <v>3305</v>
      </c>
      <c r="H346" s="66" t="s">
        <v>400</v>
      </c>
      <c r="I346" s="66" t="s">
        <v>402</v>
      </c>
      <c r="J346" s="1992" t="s">
        <v>57</v>
      </c>
      <c r="K346" s="124" t="s">
        <v>58</v>
      </c>
      <c r="L346" s="125">
        <v>0.6</v>
      </c>
      <c r="M346" s="184" t="s">
        <v>444</v>
      </c>
      <c r="N346" s="184" t="s">
        <v>445</v>
      </c>
      <c r="O346" s="184" t="s">
        <v>456</v>
      </c>
      <c r="P346" s="127">
        <v>1</v>
      </c>
      <c r="Q346" s="140">
        <v>0.1</v>
      </c>
      <c r="R346" s="127"/>
      <c r="S346" s="66">
        <f t="shared" si="15"/>
        <v>0</v>
      </c>
      <c r="T346" s="67">
        <f t="shared" si="16"/>
        <v>0</v>
      </c>
      <c r="U346" s="66" t="s">
        <v>34</v>
      </c>
      <c r="V346" s="66"/>
      <c r="W346" s="66"/>
    </row>
    <row r="347" spans="1:58" ht="23.4" x14ac:dyDescent="0.45">
      <c r="A347" s="1">
        <f t="shared" si="17"/>
        <v>346</v>
      </c>
      <c r="B347" s="57" t="s">
        <v>23</v>
      </c>
      <c r="C347" s="57" t="s">
        <v>24</v>
      </c>
      <c r="D347" s="58">
        <v>3332</v>
      </c>
      <c r="E347" s="57" t="s">
        <v>492</v>
      </c>
      <c r="F347" s="130" t="s">
        <v>493</v>
      </c>
      <c r="G347" s="67">
        <v>3305</v>
      </c>
      <c r="H347" s="66" t="s">
        <v>400</v>
      </c>
      <c r="I347" s="66" t="s">
        <v>402</v>
      </c>
      <c r="J347" s="1992" t="s">
        <v>57</v>
      </c>
      <c r="K347" s="124" t="s">
        <v>58</v>
      </c>
      <c r="L347" s="125">
        <v>0.6</v>
      </c>
      <c r="M347" s="184" t="s">
        <v>497</v>
      </c>
      <c r="N347" s="184" t="s">
        <v>498</v>
      </c>
      <c r="O347" s="184" t="s">
        <v>499</v>
      </c>
      <c r="P347" s="127">
        <v>1</v>
      </c>
      <c r="Q347" s="140">
        <v>0.1</v>
      </c>
      <c r="R347" s="127"/>
      <c r="S347" s="66">
        <f t="shared" si="15"/>
        <v>0</v>
      </c>
      <c r="T347" s="67">
        <f t="shared" si="16"/>
        <v>0</v>
      </c>
      <c r="U347" s="66" t="s">
        <v>34</v>
      </c>
      <c r="V347" s="66"/>
      <c r="W347" s="66"/>
    </row>
    <row r="348" spans="1:58" s="131" customFormat="1" ht="23.4" x14ac:dyDescent="0.45">
      <c r="A348" s="1">
        <f t="shared" si="17"/>
        <v>347</v>
      </c>
      <c r="B348" s="57" t="s">
        <v>23</v>
      </c>
      <c r="C348" s="57" t="s">
        <v>24</v>
      </c>
      <c r="D348" s="58">
        <v>3332</v>
      </c>
      <c r="E348" s="57" t="s">
        <v>492</v>
      </c>
      <c r="F348" s="130" t="s">
        <v>493</v>
      </c>
      <c r="G348" s="67">
        <v>3305</v>
      </c>
      <c r="H348" s="66" t="s">
        <v>400</v>
      </c>
      <c r="I348" s="66" t="s">
        <v>402</v>
      </c>
      <c r="J348" s="1992" t="s">
        <v>57</v>
      </c>
      <c r="K348" s="124" t="s">
        <v>58</v>
      </c>
      <c r="L348" s="125">
        <v>0.6</v>
      </c>
      <c r="M348" s="184" t="s">
        <v>417</v>
      </c>
      <c r="N348" s="184" t="s">
        <v>418</v>
      </c>
      <c r="O348" s="184" t="s">
        <v>462</v>
      </c>
      <c r="P348" s="127">
        <v>1</v>
      </c>
      <c r="Q348" s="140">
        <v>0.1</v>
      </c>
      <c r="R348" s="127"/>
      <c r="S348" s="66">
        <f t="shared" si="15"/>
        <v>0</v>
      </c>
      <c r="T348" s="67">
        <f t="shared" si="16"/>
        <v>0</v>
      </c>
      <c r="U348" s="66" t="s">
        <v>34</v>
      </c>
      <c r="V348" s="66"/>
      <c r="W348" s="66"/>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row>
    <row r="349" spans="1:58" ht="23.4" x14ac:dyDescent="0.45">
      <c r="A349" s="1">
        <f t="shared" si="17"/>
        <v>348</v>
      </c>
      <c r="B349" s="57" t="s">
        <v>23</v>
      </c>
      <c r="C349" s="57" t="s">
        <v>24</v>
      </c>
      <c r="D349" s="58">
        <v>3332</v>
      </c>
      <c r="E349" s="57" t="s">
        <v>492</v>
      </c>
      <c r="F349" s="130" t="s">
        <v>493</v>
      </c>
      <c r="G349" s="67">
        <v>3305</v>
      </c>
      <c r="H349" s="66" t="s">
        <v>400</v>
      </c>
      <c r="I349" s="66" t="s">
        <v>402</v>
      </c>
      <c r="J349" s="1992" t="s">
        <v>57</v>
      </c>
      <c r="K349" s="124" t="s">
        <v>58</v>
      </c>
      <c r="L349" s="125">
        <v>0.6</v>
      </c>
      <c r="M349" s="184" t="s">
        <v>415</v>
      </c>
      <c r="N349" s="184" t="s">
        <v>416</v>
      </c>
      <c r="O349" s="184" t="s">
        <v>457</v>
      </c>
      <c r="P349" s="127">
        <v>1</v>
      </c>
      <c r="Q349" s="140">
        <v>0.1</v>
      </c>
      <c r="R349" s="127"/>
      <c r="S349" s="35">
        <f t="shared" si="15"/>
        <v>0</v>
      </c>
      <c r="T349" s="42">
        <f t="shared" si="16"/>
        <v>0</v>
      </c>
      <c r="U349" s="66" t="s">
        <v>83</v>
      </c>
      <c r="V349" s="66"/>
      <c r="W349" s="66"/>
    </row>
    <row r="350" spans="1:58" ht="23.4" x14ac:dyDescent="0.45">
      <c r="A350" s="1">
        <f t="shared" si="17"/>
        <v>349</v>
      </c>
      <c r="B350" s="57" t="s">
        <v>23</v>
      </c>
      <c r="C350" s="57" t="s">
        <v>24</v>
      </c>
      <c r="D350" s="58">
        <v>3332</v>
      </c>
      <c r="E350" s="57" t="s">
        <v>492</v>
      </c>
      <c r="F350" s="130" t="s">
        <v>493</v>
      </c>
      <c r="G350" s="67">
        <v>3305</v>
      </c>
      <c r="H350" s="66" t="s">
        <v>400</v>
      </c>
      <c r="I350" s="66" t="s">
        <v>402</v>
      </c>
      <c r="J350" s="1992" t="s">
        <v>57</v>
      </c>
      <c r="K350" s="124" t="s">
        <v>58</v>
      </c>
      <c r="L350" s="125">
        <v>0.6</v>
      </c>
      <c r="M350" s="184" t="s">
        <v>419</v>
      </c>
      <c r="N350" s="184" t="s">
        <v>420</v>
      </c>
      <c r="O350" s="184" t="s">
        <v>459</v>
      </c>
      <c r="P350" s="127">
        <v>1</v>
      </c>
      <c r="Q350" s="140">
        <v>0.15</v>
      </c>
      <c r="R350" s="127"/>
      <c r="S350" s="35">
        <f t="shared" si="15"/>
        <v>0</v>
      </c>
      <c r="T350" s="42">
        <f t="shared" si="16"/>
        <v>0</v>
      </c>
      <c r="U350" s="66" t="s">
        <v>34</v>
      </c>
      <c r="V350" s="66"/>
      <c r="W350" s="66"/>
    </row>
    <row r="351" spans="1:58" ht="23.4" x14ac:dyDescent="0.45">
      <c r="A351" s="1">
        <f t="shared" si="17"/>
        <v>350</v>
      </c>
      <c r="B351" s="57" t="s">
        <v>23</v>
      </c>
      <c r="C351" s="57" t="s">
        <v>24</v>
      </c>
      <c r="D351" s="58">
        <v>3332</v>
      </c>
      <c r="E351" s="57" t="s">
        <v>492</v>
      </c>
      <c r="F351" s="130" t="s">
        <v>493</v>
      </c>
      <c r="G351" s="67">
        <v>3305</v>
      </c>
      <c r="H351" s="66" t="s">
        <v>400</v>
      </c>
      <c r="I351" s="66" t="s">
        <v>402</v>
      </c>
      <c r="J351" s="1992" t="s">
        <v>57</v>
      </c>
      <c r="K351" s="124" t="s">
        <v>58</v>
      </c>
      <c r="L351" s="125">
        <v>0.6</v>
      </c>
      <c r="M351" s="184" t="s">
        <v>96</v>
      </c>
      <c r="N351" s="184" t="s">
        <v>422</v>
      </c>
      <c r="O351" s="184" t="s">
        <v>460</v>
      </c>
      <c r="P351" s="127">
        <v>1</v>
      </c>
      <c r="Q351" s="140">
        <v>0.05</v>
      </c>
      <c r="R351" s="127"/>
      <c r="S351" s="66">
        <f t="shared" si="15"/>
        <v>0</v>
      </c>
      <c r="T351" s="67">
        <f t="shared" si="16"/>
        <v>0</v>
      </c>
      <c r="U351" s="66" t="s">
        <v>34</v>
      </c>
      <c r="V351" s="66"/>
      <c r="W351" s="66"/>
    </row>
    <row r="352" spans="1:58" ht="23.4" x14ac:dyDescent="0.45">
      <c r="A352" s="1">
        <f t="shared" si="17"/>
        <v>351</v>
      </c>
      <c r="B352" s="57" t="s">
        <v>23</v>
      </c>
      <c r="C352" s="57" t="s">
        <v>24</v>
      </c>
      <c r="D352" s="58">
        <v>3332</v>
      </c>
      <c r="E352" s="57" t="s">
        <v>492</v>
      </c>
      <c r="F352" s="130" t="s">
        <v>493</v>
      </c>
      <c r="G352" s="67">
        <v>3305</v>
      </c>
      <c r="H352" s="66" t="s">
        <v>400</v>
      </c>
      <c r="I352" s="66" t="s">
        <v>402</v>
      </c>
      <c r="J352" s="1992" t="s">
        <v>57</v>
      </c>
      <c r="K352" s="124" t="s">
        <v>58</v>
      </c>
      <c r="L352" s="125">
        <v>0.6</v>
      </c>
      <c r="M352" s="184" t="s">
        <v>423</v>
      </c>
      <c r="N352" s="184" t="s">
        <v>424</v>
      </c>
      <c r="O352" s="184" t="s">
        <v>461</v>
      </c>
      <c r="P352" s="127">
        <v>1</v>
      </c>
      <c r="Q352" s="140">
        <v>0.05</v>
      </c>
      <c r="R352" s="127"/>
      <c r="S352" s="66">
        <f t="shared" si="15"/>
        <v>0</v>
      </c>
      <c r="T352" s="67">
        <f t="shared" si="16"/>
        <v>0</v>
      </c>
      <c r="U352" s="66" t="s">
        <v>34</v>
      </c>
      <c r="V352" s="66"/>
      <c r="W352" s="66"/>
    </row>
    <row r="353" spans="1:58" ht="23.4" x14ac:dyDescent="0.45">
      <c r="A353" s="1">
        <f t="shared" si="17"/>
        <v>352</v>
      </c>
      <c r="B353" s="57" t="s">
        <v>23</v>
      </c>
      <c r="C353" s="57" t="s">
        <v>24</v>
      </c>
      <c r="D353" s="58">
        <v>3332</v>
      </c>
      <c r="E353" s="57" t="s">
        <v>492</v>
      </c>
      <c r="F353" s="130" t="s">
        <v>493</v>
      </c>
      <c r="G353" s="67">
        <v>3305</v>
      </c>
      <c r="H353" s="66" t="s">
        <v>400</v>
      </c>
      <c r="I353" s="66" t="s">
        <v>402</v>
      </c>
      <c r="J353" s="1992" t="s">
        <v>57</v>
      </c>
      <c r="K353" s="124" t="s">
        <v>58</v>
      </c>
      <c r="L353" s="125">
        <v>0.6</v>
      </c>
      <c r="M353" s="435" t="s">
        <v>80</v>
      </c>
      <c r="N353" s="435" t="s">
        <v>81</v>
      </c>
      <c r="O353" s="435" t="s">
        <v>82</v>
      </c>
      <c r="P353" s="43">
        <v>0.01</v>
      </c>
      <c r="Q353" s="140">
        <v>0.05</v>
      </c>
      <c r="R353" s="43"/>
      <c r="S353" s="66">
        <f t="shared" si="15"/>
        <v>0</v>
      </c>
      <c r="T353" s="67">
        <f t="shared" si="16"/>
        <v>0</v>
      </c>
      <c r="U353" s="66" t="s">
        <v>83</v>
      </c>
      <c r="V353" s="66"/>
      <c r="W353" s="66"/>
    </row>
    <row r="354" spans="1:58" ht="23.4" x14ac:dyDescent="0.45">
      <c r="A354" s="1">
        <f t="shared" si="17"/>
        <v>353</v>
      </c>
      <c r="B354" s="57" t="s">
        <v>23</v>
      </c>
      <c r="C354" s="57" t="s">
        <v>24</v>
      </c>
      <c r="D354" s="58">
        <v>3332</v>
      </c>
      <c r="E354" s="57" t="s">
        <v>492</v>
      </c>
      <c r="F354" s="141" t="s">
        <v>493</v>
      </c>
      <c r="G354" s="142">
        <v>3305</v>
      </c>
      <c r="H354" s="143" t="s">
        <v>400</v>
      </c>
      <c r="I354" s="143" t="s">
        <v>402</v>
      </c>
      <c r="J354" s="1993" t="s">
        <v>110</v>
      </c>
      <c r="K354" s="135" t="s">
        <v>111</v>
      </c>
      <c r="L354" s="109">
        <v>0.4</v>
      </c>
      <c r="M354" s="334" t="s">
        <v>425</v>
      </c>
      <c r="N354" s="334" t="s">
        <v>426</v>
      </c>
      <c r="O354" s="334" t="s">
        <v>463</v>
      </c>
      <c r="P354" s="138">
        <v>1</v>
      </c>
      <c r="Q354" s="144">
        <v>0.25</v>
      </c>
      <c r="R354" s="138"/>
      <c r="S354" s="143">
        <f t="shared" si="15"/>
        <v>0</v>
      </c>
      <c r="T354" s="142">
        <f t="shared" si="16"/>
        <v>0</v>
      </c>
      <c r="U354" s="143" t="s">
        <v>34</v>
      </c>
      <c r="V354" s="143"/>
      <c r="W354" s="143"/>
    </row>
    <row r="355" spans="1:58" ht="23.4" x14ac:dyDescent="0.45">
      <c r="A355" s="1">
        <f t="shared" si="17"/>
        <v>354</v>
      </c>
      <c r="B355" s="57" t="s">
        <v>23</v>
      </c>
      <c r="C355" s="57" t="s">
        <v>24</v>
      </c>
      <c r="D355" s="58">
        <v>3332</v>
      </c>
      <c r="E355" s="57" t="s">
        <v>492</v>
      </c>
      <c r="F355" s="141" t="s">
        <v>493</v>
      </c>
      <c r="G355" s="142">
        <v>3305</v>
      </c>
      <c r="H355" s="143" t="s">
        <v>400</v>
      </c>
      <c r="I355" s="143" t="s">
        <v>402</v>
      </c>
      <c r="J355" s="1993" t="s">
        <v>110</v>
      </c>
      <c r="K355" s="135" t="s">
        <v>111</v>
      </c>
      <c r="L355" s="109">
        <v>0.4</v>
      </c>
      <c r="M355" s="334" t="s">
        <v>500</v>
      </c>
      <c r="N355" s="334" t="s">
        <v>501</v>
      </c>
      <c r="O355" s="334" t="s">
        <v>502</v>
      </c>
      <c r="P355" s="138">
        <v>1</v>
      </c>
      <c r="Q355" s="144">
        <v>0.2</v>
      </c>
      <c r="R355" s="138"/>
      <c r="S355" s="143">
        <f t="shared" si="15"/>
        <v>0</v>
      </c>
      <c r="T355" s="142">
        <f t="shared" si="16"/>
        <v>0</v>
      </c>
      <c r="U355" s="143" t="s">
        <v>34</v>
      </c>
      <c r="V355" s="143"/>
      <c r="W355" s="143"/>
    </row>
    <row r="356" spans="1:58" ht="23.4" x14ac:dyDescent="0.45">
      <c r="A356" s="1">
        <f t="shared" si="17"/>
        <v>355</v>
      </c>
      <c r="B356" s="57" t="s">
        <v>23</v>
      </c>
      <c r="C356" s="57" t="s">
        <v>24</v>
      </c>
      <c r="D356" s="58">
        <v>3332</v>
      </c>
      <c r="E356" s="57" t="s">
        <v>492</v>
      </c>
      <c r="F356" s="141" t="s">
        <v>493</v>
      </c>
      <c r="G356" s="142">
        <v>3305</v>
      </c>
      <c r="H356" s="143" t="s">
        <v>400</v>
      </c>
      <c r="I356" s="143" t="s">
        <v>402</v>
      </c>
      <c r="J356" s="1993" t="s">
        <v>110</v>
      </c>
      <c r="K356" s="135" t="s">
        <v>111</v>
      </c>
      <c r="L356" s="109">
        <v>0.4</v>
      </c>
      <c r="M356" s="334" t="s">
        <v>503</v>
      </c>
      <c r="N356" s="334" t="s">
        <v>430</v>
      </c>
      <c r="O356" s="334" t="s">
        <v>467</v>
      </c>
      <c r="P356" s="138">
        <v>1</v>
      </c>
      <c r="Q356" s="144">
        <v>0.2</v>
      </c>
      <c r="R356" s="138"/>
      <c r="S356" s="143">
        <f t="shared" si="15"/>
        <v>0</v>
      </c>
      <c r="T356" s="142">
        <f t="shared" si="16"/>
        <v>0</v>
      </c>
      <c r="U356" s="143" t="s">
        <v>34</v>
      </c>
      <c r="V356" s="143"/>
      <c r="W356" s="143"/>
    </row>
    <row r="357" spans="1:58" ht="23.4" x14ac:dyDescent="0.45">
      <c r="A357" s="1">
        <f t="shared" si="17"/>
        <v>356</v>
      </c>
      <c r="B357" s="57" t="s">
        <v>23</v>
      </c>
      <c r="C357" s="57" t="s">
        <v>24</v>
      </c>
      <c r="D357" s="58">
        <v>3332</v>
      </c>
      <c r="E357" s="57" t="s">
        <v>492</v>
      </c>
      <c r="F357" s="141" t="s">
        <v>493</v>
      </c>
      <c r="G357" s="142">
        <v>3305</v>
      </c>
      <c r="H357" s="143" t="s">
        <v>400</v>
      </c>
      <c r="I357" s="143" t="s">
        <v>402</v>
      </c>
      <c r="J357" s="1993" t="s">
        <v>110</v>
      </c>
      <c r="K357" s="135" t="s">
        <v>111</v>
      </c>
      <c r="L357" s="109">
        <v>0.4</v>
      </c>
      <c r="M357" s="334" t="s">
        <v>431</v>
      </c>
      <c r="N357" s="334" t="s">
        <v>432</v>
      </c>
      <c r="O357" s="334" t="s">
        <v>468</v>
      </c>
      <c r="P357" s="138">
        <v>1</v>
      </c>
      <c r="Q357" s="144">
        <v>0.2</v>
      </c>
      <c r="R357" s="138"/>
      <c r="S357" s="143">
        <f t="shared" si="15"/>
        <v>0</v>
      </c>
      <c r="T357" s="142">
        <f t="shared" si="16"/>
        <v>0</v>
      </c>
      <c r="U357" s="143" t="s">
        <v>34</v>
      </c>
      <c r="V357" s="143"/>
      <c r="W357" s="143"/>
    </row>
    <row r="358" spans="1:58" ht="23.4" x14ac:dyDescent="0.45">
      <c r="A358" s="1">
        <f t="shared" si="17"/>
        <v>357</v>
      </c>
      <c r="B358" s="57" t="s">
        <v>23</v>
      </c>
      <c r="C358" s="57" t="s">
        <v>24</v>
      </c>
      <c r="D358" s="58">
        <v>3332</v>
      </c>
      <c r="E358" s="57" t="s">
        <v>492</v>
      </c>
      <c r="F358" s="141" t="s">
        <v>493</v>
      </c>
      <c r="G358" s="142">
        <v>3305</v>
      </c>
      <c r="H358" s="143" t="s">
        <v>400</v>
      </c>
      <c r="I358" s="143" t="s">
        <v>402</v>
      </c>
      <c r="J358" s="1993" t="s">
        <v>110</v>
      </c>
      <c r="K358" s="135" t="s">
        <v>111</v>
      </c>
      <c r="L358" s="109">
        <v>0.4</v>
      </c>
      <c r="M358" s="334" t="s">
        <v>433</v>
      </c>
      <c r="N358" s="334" t="s">
        <v>434</v>
      </c>
      <c r="O358" s="334" t="s">
        <v>469</v>
      </c>
      <c r="P358" s="138">
        <v>1</v>
      </c>
      <c r="Q358" s="144">
        <v>0.15</v>
      </c>
      <c r="R358" s="138"/>
      <c r="S358" s="143">
        <f t="shared" si="15"/>
        <v>0</v>
      </c>
      <c r="T358" s="142">
        <f t="shared" si="16"/>
        <v>0</v>
      </c>
      <c r="U358" s="143" t="s">
        <v>34</v>
      </c>
      <c r="V358" s="143"/>
      <c r="W358" s="143"/>
    </row>
    <row r="359" spans="1:58" ht="23.4" x14ac:dyDescent="0.45">
      <c r="A359" s="1">
        <f t="shared" si="17"/>
        <v>358</v>
      </c>
      <c r="B359" s="2" t="s">
        <v>23</v>
      </c>
      <c r="C359" s="2" t="s">
        <v>24</v>
      </c>
      <c r="D359" s="49">
        <v>3179</v>
      </c>
      <c r="E359" s="2" t="s">
        <v>504</v>
      </c>
      <c r="F359" s="118" t="s">
        <v>505</v>
      </c>
      <c r="G359" s="119">
        <v>3305</v>
      </c>
      <c r="H359" s="120" t="s">
        <v>400</v>
      </c>
      <c r="I359" s="120" t="s">
        <v>402</v>
      </c>
      <c r="J359" s="1981" t="s">
        <v>57</v>
      </c>
      <c r="K359" s="8" t="s">
        <v>58</v>
      </c>
      <c r="L359" s="53">
        <v>0.6</v>
      </c>
      <c r="M359" s="3" t="s">
        <v>506</v>
      </c>
      <c r="N359" s="3" t="s">
        <v>507</v>
      </c>
      <c r="O359" s="3" t="s">
        <v>508</v>
      </c>
      <c r="P359" s="13">
        <v>0.99</v>
      </c>
      <c r="Q359" s="122">
        <v>0.2</v>
      </c>
      <c r="R359" s="13"/>
      <c r="S359" s="120">
        <f t="shared" si="15"/>
        <v>0</v>
      </c>
      <c r="T359" s="119">
        <f t="shared" si="16"/>
        <v>0</v>
      </c>
      <c r="U359" s="120" t="s">
        <v>34</v>
      </c>
      <c r="V359" s="1957">
        <f>SUM(T359:T372)%</f>
        <v>0</v>
      </c>
      <c r="W359" s="120"/>
    </row>
    <row r="360" spans="1:58" ht="23.4" x14ac:dyDescent="0.45">
      <c r="A360" s="1">
        <f t="shared" si="17"/>
        <v>359</v>
      </c>
      <c r="B360" s="57" t="s">
        <v>23</v>
      </c>
      <c r="C360" s="57" t="s">
        <v>24</v>
      </c>
      <c r="D360" s="58">
        <v>3179</v>
      </c>
      <c r="E360" s="57" t="s">
        <v>504</v>
      </c>
      <c r="F360" s="130" t="s">
        <v>505</v>
      </c>
      <c r="G360" s="67">
        <v>3305</v>
      </c>
      <c r="H360" s="66" t="s">
        <v>400</v>
      </c>
      <c r="I360" s="66" t="s">
        <v>402</v>
      </c>
      <c r="J360" s="1992" t="s">
        <v>57</v>
      </c>
      <c r="K360" s="124" t="s">
        <v>58</v>
      </c>
      <c r="L360" s="125">
        <v>0.6</v>
      </c>
      <c r="M360" s="184" t="s">
        <v>509</v>
      </c>
      <c r="N360" s="184" t="s">
        <v>510</v>
      </c>
      <c r="O360" s="184" t="s">
        <v>508</v>
      </c>
      <c r="P360" s="127">
        <v>1</v>
      </c>
      <c r="Q360" s="140">
        <v>0.15</v>
      </c>
      <c r="R360" s="127"/>
      <c r="S360" s="66">
        <f t="shared" si="15"/>
        <v>0</v>
      </c>
      <c r="T360" s="67">
        <f t="shared" si="16"/>
        <v>0</v>
      </c>
      <c r="U360" s="66" t="s">
        <v>34</v>
      </c>
      <c r="V360" s="66"/>
      <c r="W360" s="66"/>
    </row>
    <row r="361" spans="1:58" ht="23.4" x14ac:dyDescent="0.45">
      <c r="A361" s="1">
        <f t="shared" si="17"/>
        <v>360</v>
      </c>
      <c r="B361" s="57" t="s">
        <v>23</v>
      </c>
      <c r="C361" s="57" t="s">
        <v>24</v>
      </c>
      <c r="D361" s="58">
        <v>3179</v>
      </c>
      <c r="E361" s="57" t="s">
        <v>504</v>
      </c>
      <c r="F361" s="130" t="s">
        <v>505</v>
      </c>
      <c r="G361" s="67">
        <v>3305</v>
      </c>
      <c r="H361" s="66" t="s">
        <v>400</v>
      </c>
      <c r="I361" s="66" t="s">
        <v>402</v>
      </c>
      <c r="J361" s="1992" t="s">
        <v>57</v>
      </c>
      <c r="K361" s="124" t="s">
        <v>58</v>
      </c>
      <c r="L361" s="125">
        <v>0.6</v>
      </c>
      <c r="M361" s="184" t="s">
        <v>444</v>
      </c>
      <c r="N361" s="184" t="s">
        <v>445</v>
      </c>
      <c r="O361" s="184" t="s">
        <v>456</v>
      </c>
      <c r="P361" s="127">
        <v>1</v>
      </c>
      <c r="Q361" s="140">
        <v>0.05</v>
      </c>
      <c r="R361" s="127"/>
      <c r="S361" s="66">
        <f t="shared" si="15"/>
        <v>0</v>
      </c>
      <c r="T361" s="67">
        <f t="shared" si="16"/>
        <v>0</v>
      </c>
      <c r="U361" s="66" t="s">
        <v>34</v>
      </c>
      <c r="V361" s="66"/>
      <c r="W361" s="66"/>
    </row>
    <row r="362" spans="1:58" ht="23.4" x14ac:dyDescent="0.45">
      <c r="A362" s="1">
        <f t="shared" si="17"/>
        <v>361</v>
      </c>
      <c r="B362" s="57" t="s">
        <v>23</v>
      </c>
      <c r="C362" s="57" t="s">
        <v>24</v>
      </c>
      <c r="D362" s="58">
        <v>3179</v>
      </c>
      <c r="E362" s="57" t="s">
        <v>504</v>
      </c>
      <c r="F362" s="130" t="s">
        <v>505</v>
      </c>
      <c r="G362" s="67">
        <v>3305</v>
      </c>
      <c r="H362" s="66" t="s">
        <v>400</v>
      </c>
      <c r="I362" s="66" t="s">
        <v>402</v>
      </c>
      <c r="J362" s="1992" t="s">
        <v>57</v>
      </c>
      <c r="K362" s="124" t="s">
        <v>58</v>
      </c>
      <c r="L362" s="125">
        <v>0.6</v>
      </c>
      <c r="M362" s="184" t="s">
        <v>497</v>
      </c>
      <c r="N362" s="184" t="s">
        <v>498</v>
      </c>
      <c r="O362" s="184" t="s">
        <v>499</v>
      </c>
      <c r="P362" s="127">
        <v>1</v>
      </c>
      <c r="Q362" s="140">
        <v>0.1</v>
      </c>
      <c r="R362" s="127"/>
      <c r="S362" s="66">
        <f t="shared" si="15"/>
        <v>0</v>
      </c>
      <c r="T362" s="67">
        <f t="shared" si="16"/>
        <v>0</v>
      </c>
      <c r="U362" s="66" t="s">
        <v>34</v>
      </c>
      <c r="V362" s="66"/>
      <c r="W362" s="66"/>
    </row>
    <row r="363" spans="1:58" s="131" customFormat="1" ht="23.4" x14ac:dyDescent="0.45">
      <c r="A363" s="1">
        <f t="shared" si="17"/>
        <v>362</v>
      </c>
      <c r="B363" s="57" t="s">
        <v>23</v>
      </c>
      <c r="C363" s="57" t="s">
        <v>24</v>
      </c>
      <c r="D363" s="58">
        <v>3179</v>
      </c>
      <c r="E363" s="57" t="s">
        <v>504</v>
      </c>
      <c r="F363" s="130" t="s">
        <v>505</v>
      </c>
      <c r="G363" s="67">
        <v>3305</v>
      </c>
      <c r="H363" s="66" t="s">
        <v>400</v>
      </c>
      <c r="I363" s="66" t="s">
        <v>402</v>
      </c>
      <c r="J363" s="1992" t="s">
        <v>57</v>
      </c>
      <c r="K363" s="124" t="s">
        <v>58</v>
      </c>
      <c r="L363" s="125">
        <v>0.6</v>
      </c>
      <c r="M363" s="184" t="s">
        <v>417</v>
      </c>
      <c r="N363" s="184" t="s">
        <v>418</v>
      </c>
      <c r="O363" s="184" t="s">
        <v>462</v>
      </c>
      <c r="P363" s="127">
        <v>1</v>
      </c>
      <c r="Q363" s="140">
        <v>0.05</v>
      </c>
      <c r="R363" s="127"/>
      <c r="S363" s="66">
        <f t="shared" si="15"/>
        <v>0</v>
      </c>
      <c r="T363" s="67">
        <f t="shared" si="16"/>
        <v>0</v>
      </c>
      <c r="U363" s="66" t="s">
        <v>34</v>
      </c>
      <c r="V363" s="66"/>
      <c r="W363" s="66"/>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row>
    <row r="364" spans="1:58" ht="23.4" x14ac:dyDescent="0.45">
      <c r="A364" s="1">
        <f t="shared" si="17"/>
        <v>363</v>
      </c>
      <c r="B364" s="57" t="s">
        <v>23</v>
      </c>
      <c r="C364" s="57" t="s">
        <v>24</v>
      </c>
      <c r="D364" s="58">
        <v>3179</v>
      </c>
      <c r="E364" s="57" t="s">
        <v>504</v>
      </c>
      <c r="F364" s="130" t="s">
        <v>505</v>
      </c>
      <c r="G364" s="67">
        <v>3305</v>
      </c>
      <c r="H364" s="66" t="s">
        <v>400</v>
      </c>
      <c r="I364" s="66" t="s">
        <v>402</v>
      </c>
      <c r="J364" s="1992" t="s">
        <v>57</v>
      </c>
      <c r="K364" s="124" t="s">
        <v>58</v>
      </c>
      <c r="L364" s="125">
        <v>0.6</v>
      </c>
      <c r="M364" s="184" t="s">
        <v>415</v>
      </c>
      <c r="N364" s="184" t="s">
        <v>416</v>
      </c>
      <c r="O364" s="184" t="s">
        <v>457</v>
      </c>
      <c r="P364" s="127">
        <v>1</v>
      </c>
      <c r="Q364" s="140">
        <v>0.1</v>
      </c>
      <c r="R364" s="127"/>
      <c r="S364" s="35">
        <f t="shared" si="15"/>
        <v>0</v>
      </c>
      <c r="T364" s="42">
        <f t="shared" si="16"/>
        <v>0</v>
      </c>
      <c r="U364" s="66" t="s">
        <v>83</v>
      </c>
      <c r="V364" s="66"/>
      <c r="W364" s="66"/>
    </row>
    <row r="365" spans="1:58" ht="23.4" x14ac:dyDescent="0.45">
      <c r="A365" s="1">
        <f t="shared" si="17"/>
        <v>364</v>
      </c>
      <c r="B365" s="57" t="s">
        <v>23</v>
      </c>
      <c r="C365" s="57" t="s">
        <v>24</v>
      </c>
      <c r="D365" s="58">
        <v>3179</v>
      </c>
      <c r="E365" s="57" t="s">
        <v>504</v>
      </c>
      <c r="F365" s="130" t="s">
        <v>505</v>
      </c>
      <c r="G365" s="67">
        <v>3305</v>
      </c>
      <c r="H365" s="66" t="s">
        <v>400</v>
      </c>
      <c r="I365" s="66" t="s">
        <v>402</v>
      </c>
      <c r="J365" s="1992" t="s">
        <v>57</v>
      </c>
      <c r="K365" s="124" t="s">
        <v>58</v>
      </c>
      <c r="L365" s="125">
        <v>0.6</v>
      </c>
      <c r="M365" s="184" t="s">
        <v>419</v>
      </c>
      <c r="N365" s="184" t="s">
        <v>420</v>
      </c>
      <c r="O365" s="184" t="s">
        <v>459</v>
      </c>
      <c r="P365" s="127">
        <v>1</v>
      </c>
      <c r="Q365" s="140">
        <v>0.15</v>
      </c>
      <c r="R365" s="127"/>
      <c r="S365" s="35">
        <f t="shared" si="15"/>
        <v>0</v>
      </c>
      <c r="T365" s="42">
        <f t="shared" si="16"/>
        <v>0</v>
      </c>
      <c r="U365" s="66" t="s">
        <v>34</v>
      </c>
      <c r="V365" s="66"/>
      <c r="W365" s="66"/>
    </row>
    <row r="366" spans="1:58" ht="23.4" x14ac:dyDescent="0.45">
      <c r="A366" s="1">
        <f t="shared" si="17"/>
        <v>365</v>
      </c>
      <c r="B366" s="57" t="s">
        <v>23</v>
      </c>
      <c r="C366" s="57" t="s">
        <v>24</v>
      </c>
      <c r="D366" s="58">
        <v>3179</v>
      </c>
      <c r="E366" s="57" t="s">
        <v>504</v>
      </c>
      <c r="F366" s="130" t="s">
        <v>505</v>
      </c>
      <c r="G366" s="67">
        <v>3305</v>
      </c>
      <c r="H366" s="66" t="s">
        <v>400</v>
      </c>
      <c r="I366" s="66" t="s">
        <v>402</v>
      </c>
      <c r="J366" s="1992" t="s">
        <v>57</v>
      </c>
      <c r="K366" s="124" t="s">
        <v>58</v>
      </c>
      <c r="L366" s="125">
        <v>0.6</v>
      </c>
      <c r="M366" s="184" t="s">
        <v>96</v>
      </c>
      <c r="N366" s="184" t="s">
        <v>422</v>
      </c>
      <c r="O366" s="184" t="s">
        <v>460</v>
      </c>
      <c r="P366" s="127">
        <v>1</v>
      </c>
      <c r="Q366" s="140">
        <v>0.05</v>
      </c>
      <c r="R366" s="127"/>
      <c r="S366" s="66">
        <f t="shared" si="15"/>
        <v>0</v>
      </c>
      <c r="T366" s="67">
        <f t="shared" si="16"/>
        <v>0</v>
      </c>
      <c r="U366" s="66" t="s">
        <v>34</v>
      </c>
      <c r="V366" s="66"/>
      <c r="W366" s="66"/>
    </row>
    <row r="367" spans="1:58" ht="23.4" x14ac:dyDescent="0.45">
      <c r="A367" s="1">
        <f t="shared" si="17"/>
        <v>366</v>
      </c>
      <c r="B367" s="57" t="s">
        <v>23</v>
      </c>
      <c r="C367" s="57" t="s">
        <v>24</v>
      </c>
      <c r="D367" s="58">
        <v>3179</v>
      </c>
      <c r="E367" s="57" t="s">
        <v>504</v>
      </c>
      <c r="F367" s="130" t="s">
        <v>505</v>
      </c>
      <c r="G367" s="67">
        <v>3305</v>
      </c>
      <c r="H367" s="66" t="s">
        <v>400</v>
      </c>
      <c r="I367" s="66" t="s">
        <v>402</v>
      </c>
      <c r="J367" s="1992" t="s">
        <v>57</v>
      </c>
      <c r="K367" s="124" t="s">
        <v>58</v>
      </c>
      <c r="L367" s="125">
        <v>0.6</v>
      </c>
      <c r="M367" s="184" t="s">
        <v>423</v>
      </c>
      <c r="N367" s="184" t="s">
        <v>424</v>
      </c>
      <c r="O367" s="184" t="s">
        <v>461</v>
      </c>
      <c r="P367" s="127">
        <v>1</v>
      </c>
      <c r="Q367" s="140">
        <v>0.05</v>
      </c>
      <c r="R367" s="127"/>
      <c r="S367" s="66">
        <f t="shared" si="15"/>
        <v>0</v>
      </c>
      <c r="T367" s="67">
        <f t="shared" si="16"/>
        <v>0</v>
      </c>
      <c r="U367" s="66" t="s">
        <v>34</v>
      </c>
      <c r="V367" s="66"/>
      <c r="W367" s="66"/>
    </row>
    <row r="368" spans="1:58" ht="23.4" x14ac:dyDescent="0.45">
      <c r="A368" s="1">
        <f t="shared" si="17"/>
        <v>367</v>
      </c>
      <c r="B368" s="57" t="s">
        <v>23</v>
      </c>
      <c r="C368" s="57" t="s">
        <v>24</v>
      </c>
      <c r="D368" s="58">
        <v>3179</v>
      </c>
      <c r="E368" s="57" t="s">
        <v>504</v>
      </c>
      <c r="F368" s="130" t="s">
        <v>505</v>
      </c>
      <c r="G368" s="67">
        <v>3305</v>
      </c>
      <c r="H368" s="66" t="s">
        <v>400</v>
      </c>
      <c r="I368" s="66" t="s">
        <v>402</v>
      </c>
      <c r="J368" s="1992" t="s">
        <v>57</v>
      </c>
      <c r="K368" s="124" t="s">
        <v>58</v>
      </c>
      <c r="L368" s="125">
        <v>0.6</v>
      </c>
      <c r="M368" s="184" t="s">
        <v>511</v>
      </c>
      <c r="N368" s="184" t="s">
        <v>512</v>
      </c>
      <c r="O368" s="184" t="s">
        <v>508</v>
      </c>
      <c r="P368" s="127">
        <v>0.998</v>
      </c>
      <c r="Q368" s="140">
        <v>0.1</v>
      </c>
      <c r="R368" s="127"/>
      <c r="S368" s="66">
        <f t="shared" si="15"/>
        <v>0</v>
      </c>
      <c r="T368" s="67">
        <f t="shared" si="16"/>
        <v>0</v>
      </c>
      <c r="U368" s="66" t="s">
        <v>34</v>
      </c>
      <c r="V368" s="66"/>
      <c r="W368" s="66"/>
    </row>
    <row r="369" spans="1:23" ht="23.4" x14ac:dyDescent="0.45">
      <c r="A369" s="1">
        <f t="shared" si="17"/>
        <v>368</v>
      </c>
      <c r="B369" s="57" t="s">
        <v>23</v>
      </c>
      <c r="C369" s="57" t="s">
        <v>24</v>
      </c>
      <c r="D369" s="58">
        <v>3179</v>
      </c>
      <c r="E369" s="57" t="s">
        <v>504</v>
      </c>
      <c r="F369" s="141" t="s">
        <v>505</v>
      </c>
      <c r="G369" s="142">
        <v>3305</v>
      </c>
      <c r="H369" s="143" t="s">
        <v>400</v>
      </c>
      <c r="I369" s="143" t="s">
        <v>402</v>
      </c>
      <c r="J369" s="1993" t="s">
        <v>110</v>
      </c>
      <c r="K369" s="135" t="s">
        <v>111</v>
      </c>
      <c r="L369" s="109">
        <v>0.4</v>
      </c>
      <c r="M369" s="334" t="s">
        <v>425</v>
      </c>
      <c r="N369" s="334" t="s">
        <v>426</v>
      </c>
      <c r="O369" s="334" t="s">
        <v>463</v>
      </c>
      <c r="P369" s="138">
        <v>1</v>
      </c>
      <c r="Q369" s="144">
        <v>0.4</v>
      </c>
      <c r="R369" s="138"/>
      <c r="S369" s="143">
        <f t="shared" si="15"/>
        <v>0</v>
      </c>
      <c r="T369" s="142">
        <f t="shared" si="16"/>
        <v>0</v>
      </c>
      <c r="U369" s="143" t="s">
        <v>34</v>
      </c>
      <c r="V369" s="143"/>
      <c r="W369" s="143"/>
    </row>
    <row r="370" spans="1:23" ht="23.4" x14ac:dyDescent="0.45">
      <c r="A370" s="1">
        <f t="shared" si="17"/>
        <v>369</v>
      </c>
      <c r="B370" s="57" t="s">
        <v>23</v>
      </c>
      <c r="C370" s="57" t="s">
        <v>24</v>
      </c>
      <c r="D370" s="58">
        <v>3179</v>
      </c>
      <c r="E370" s="57" t="s">
        <v>504</v>
      </c>
      <c r="F370" s="141" t="s">
        <v>505</v>
      </c>
      <c r="G370" s="142">
        <v>3305</v>
      </c>
      <c r="H370" s="143" t="s">
        <v>400</v>
      </c>
      <c r="I370" s="143" t="s">
        <v>402</v>
      </c>
      <c r="J370" s="1993" t="s">
        <v>110</v>
      </c>
      <c r="K370" s="135" t="s">
        <v>111</v>
      </c>
      <c r="L370" s="109">
        <v>0.4</v>
      </c>
      <c r="M370" s="334" t="s">
        <v>503</v>
      </c>
      <c r="N370" s="334" t="s">
        <v>430</v>
      </c>
      <c r="O370" s="334" t="s">
        <v>467</v>
      </c>
      <c r="P370" s="138">
        <v>1</v>
      </c>
      <c r="Q370" s="144">
        <v>0.2</v>
      </c>
      <c r="R370" s="138"/>
      <c r="S370" s="143">
        <f t="shared" si="15"/>
        <v>0</v>
      </c>
      <c r="T370" s="142">
        <f t="shared" si="16"/>
        <v>0</v>
      </c>
      <c r="U370" s="143" t="s">
        <v>34</v>
      </c>
      <c r="V370" s="143"/>
      <c r="W370" s="143"/>
    </row>
    <row r="371" spans="1:23" ht="23.4" x14ac:dyDescent="0.45">
      <c r="A371" s="1">
        <f t="shared" si="17"/>
        <v>370</v>
      </c>
      <c r="B371" s="57" t="s">
        <v>23</v>
      </c>
      <c r="C371" s="57" t="s">
        <v>24</v>
      </c>
      <c r="D371" s="58">
        <v>3179</v>
      </c>
      <c r="E371" s="57" t="s">
        <v>504</v>
      </c>
      <c r="F371" s="141" t="s">
        <v>505</v>
      </c>
      <c r="G371" s="142">
        <v>3305</v>
      </c>
      <c r="H371" s="143" t="s">
        <v>400</v>
      </c>
      <c r="I371" s="143" t="s">
        <v>402</v>
      </c>
      <c r="J371" s="1993" t="s">
        <v>110</v>
      </c>
      <c r="K371" s="135" t="s">
        <v>111</v>
      </c>
      <c r="L371" s="109">
        <v>0.4</v>
      </c>
      <c r="M371" s="334" t="s">
        <v>431</v>
      </c>
      <c r="N371" s="334" t="s">
        <v>432</v>
      </c>
      <c r="O371" s="334" t="s">
        <v>468</v>
      </c>
      <c r="P371" s="138">
        <v>1</v>
      </c>
      <c r="Q371" s="144">
        <v>0.2</v>
      </c>
      <c r="R371" s="138"/>
      <c r="S371" s="143">
        <f t="shared" si="15"/>
        <v>0</v>
      </c>
      <c r="T371" s="142">
        <f t="shared" si="16"/>
        <v>0</v>
      </c>
      <c r="U371" s="143" t="s">
        <v>34</v>
      </c>
      <c r="V371" s="143"/>
      <c r="W371" s="143"/>
    </row>
    <row r="372" spans="1:23" ht="23.4" x14ac:dyDescent="0.45">
      <c r="A372" s="1">
        <f t="shared" si="17"/>
        <v>371</v>
      </c>
      <c r="B372" s="57" t="s">
        <v>23</v>
      </c>
      <c r="C372" s="57" t="s">
        <v>24</v>
      </c>
      <c r="D372" s="58">
        <v>3179</v>
      </c>
      <c r="E372" s="57" t="s">
        <v>504</v>
      </c>
      <c r="F372" s="141" t="s">
        <v>505</v>
      </c>
      <c r="G372" s="142">
        <v>3305</v>
      </c>
      <c r="H372" s="143" t="s">
        <v>400</v>
      </c>
      <c r="I372" s="143" t="s">
        <v>402</v>
      </c>
      <c r="J372" s="1993" t="s">
        <v>110</v>
      </c>
      <c r="K372" s="135" t="s">
        <v>111</v>
      </c>
      <c r="L372" s="109">
        <v>0.4</v>
      </c>
      <c r="M372" s="334" t="s">
        <v>433</v>
      </c>
      <c r="N372" s="334" t="s">
        <v>434</v>
      </c>
      <c r="O372" s="334" t="s">
        <v>469</v>
      </c>
      <c r="P372" s="138">
        <v>1</v>
      </c>
      <c r="Q372" s="144">
        <v>0.2</v>
      </c>
      <c r="R372" s="138"/>
      <c r="S372" s="143">
        <f t="shared" si="15"/>
        <v>0</v>
      </c>
      <c r="T372" s="142">
        <f t="shared" si="16"/>
        <v>0</v>
      </c>
      <c r="U372" s="143" t="s">
        <v>34</v>
      </c>
      <c r="V372" s="143"/>
      <c r="W372" s="143"/>
    </row>
    <row r="373" spans="1:23" ht="23.4" x14ac:dyDescent="0.45">
      <c r="A373" s="1">
        <f t="shared" si="17"/>
        <v>372</v>
      </c>
      <c r="B373" s="2" t="s">
        <v>23</v>
      </c>
      <c r="C373" s="2" t="s">
        <v>24</v>
      </c>
      <c r="D373" s="49">
        <v>3486</v>
      </c>
      <c r="E373" s="2" t="s">
        <v>513</v>
      </c>
      <c r="F373" s="50" t="s">
        <v>514</v>
      </c>
      <c r="G373" s="51">
        <v>4051</v>
      </c>
      <c r="H373" s="14" t="s">
        <v>25</v>
      </c>
      <c r="I373" s="14" t="s">
        <v>515</v>
      </c>
      <c r="J373" s="1981" t="s">
        <v>57</v>
      </c>
      <c r="K373" s="8" t="s">
        <v>58</v>
      </c>
      <c r="L373" s="53">
        <v>0.6</v>
      </c>
      <c r="M373" s="435" t="s">
        <v>80</v>
      </c>
      <c r="N373" s="435" t="s">
        <v>81</v>
      </c>
      <c r="O373" s="435" t="s">
        <v>82</v>
      </c>
      <c r="P373" s="43">
        <v>0.01</v>
      </c>
      <c r="Q373" s="56">
        <v>0.2</v>
      </c>
      <c r="R373" s="43"/>
      <c r="S373" s="14">
        <f t="shared" si="15"/>
        <v>0</v>
      </c>
      <c r="T373" s="51">
        <f t="shared" si="16"/>
        <v>0</v>
      </c>
      <c r="U373" s="14" t="s">
        <v>83</v>
      </c>
      <c r="V373" s="1955">
        <f>SUM(T373:T386)%</f>
        <v>0</v>
      </c>
      <c r="W373" s="14"/>
    </row>
    <row r="374" spans="1:23" ht="23.4" x14ac:dyDescent="0.45">
      <c r="A374" s="1">
        <f t="shared" si="17"/>
        <v>373</v>
      </c>
      <c r="B374" s="57" t="s">
        <v>23</v>
      </c>
      <c r="C374" s="57" t="s">
        <v>24</v>
      </c>
      <c r="D374" s="58">
        <v>3486</v>
      </c>
      <c r="E374" s="59" t="s">
        <v>513</v>
      </c>
      <c r="F374" s="60" t="s">
        <v>514</v>
      </c>
      <c r="G374" s="61">
        <v>4051</v>
      </c>
      <c r="H374" s="62" t="s">
        <v>25</v>
      </c>
      <c r="I374" s="62" t="s">
        <v>515</v>
      </c>
      <c r="J374" s="1985" t="s">
        <v>57</v>
      </c>
      <c r="K374" s="52" t="s">
        <v>58</v>
      </c>
      <c r="L374" s="63">
        <v>0.6</v>
      </c>
      <c r="M374" s="416" t="s">
        <v>516</v>
      </c>
      <c r="N374" s="415" t="s">
        <v>517</v>
      </c>
      <c r="O374" s="417">
        <v>1</v>
      </c>
      <c r="P374" s="62">
        <v>1</v>
      </c>
      <c r="Q374" s="65">
        <v>0.1</v>
      </c>
      <c r="R374" s="62"/>
      <c r="S374" s="66">
        <f t="shared" si="15"/>
        <v>0</v>
      </c>
      <c r="T374" s="67">
        <f t="shared" si="16"/>
        <v>0</v>
      </c>
      <c r="U374" s="62" t="s">
        <v>34</v>
      </c>
      <c r="V374" s="430"/>
      <c r="W374" s="62"/>
    </row>
    <row r="375" spans="1:23" ht="23.4" x14ac:dyDescent="0.45">
      <c r="A375" s="1">
        <f t="shared" si="17"/>
        <v>374</v>
      </c>
      <c r="B375" s="57" t="s">
        <v>23</v>
      </c>
      <c r="C375" s="57" t="s">
        <v>24</v>
      </c>
      <c r="D375" s="58">
        <v>3486</v>
      </c>
      <c r="E375" s="59" t="s">
        <v>513</v>
      </c>
      <c r="F375" s="60" t="s">
        <v>514</v>
      </c>
      <c r="G375" s="61">
        <v>4051</v>
      </c>
      <c r="H375" s="62" t="s">
        <v>25</v>
      </c>
      <c r="I375" s="62" t="s">
        <v>515</v>
      </c>
      <c r="J375" s="1985" t="s">
        <v>57</v>
      </c>
      <c r="K375" s="52" t="s">
        <v>58</v>
      </c>
      <c r="L375" s="63">
        <v>0.6</v>
      </c>
      <c r="M375" s="416" t="s">
        <v>518</v>
      </c>
      <c r="N375" s="415" t="s">
        <v>519</v>
      </c>
      <c r="O375" s="417" t="s">
        <v>520</v>
      </c>
      <c r="P375" s="62">
        <v>1</v>
      </c>
      <c r="Q375" s="65">
        <v>0.1</v>
      </c>
      <c r="R375" s="62"/>
      <c r="S375" s="66">
        <f t="shared" si="15"/>
        <v>0</v>
      </c>
      <c r="T375" s="67">
        <f t="shared" si="16"/>
        <v>0</v>
      </c>
      <c r="U375" s="62" t="s">
        <v>34</v>
      </c>
      <c r="V375" s="430"/>
      <c r="W375" s="62"/>
    </row>
    <row r="376" spans="1:23" ht="28.8" x14ac:dyDescent="0.45">
      <c r="A376" s="1">
        <f t="shared" si="17"/>
        <v>375</v>
      </c>
      <c r="B376" s="57" t="s">
        <v>23</v>
      </c>
      <c r="C376" s="57" t="s">
        <v>24</v>
      </c>
      <c r="D376" s="58">
        <v>3486</v>
      </c>
      <c r="E376" s="59" t="s">
        <v>513</v>
      </c>
      <c r="F376" s="60" t="s">
        <v>514</v>
      </c>
      <c r="G376" s="61">
        <v>4051</v>
      </c>
      <c r="H376" s="62" t="s">
        <v>25</v>
      </c>
      <c r="I376" s="62" t="s">
        <v>515</v>
      </c>
      <c r="J376" s="1985" t="s">
        <v>57</v>
      </c>
      <c r="K376" s="52" t="s">
        <v>58</v>
      </c>
      <c r="L376" s="63">
        <v>0.6</v>
      </c>
      <c r="M376" s="416" t="s">
        <v>521</v>
      </c>
      <c r="N376" s="415" t="s">
        <v>522</v>
      </c>
      <c r="O376" s="1969" t="s">
        <v>523</v>
      </c>
      <c r="P376" s="62">
        <v>1</v>
      </c>
      <c r="Q376" s="65">
        <v>0.1</v>
      </c>
      <c r="R376" s="62"/>
      <c r="S376" s="66">
        <f t="shared" si="15"/>
        <v>0</v>
      </c>
      <c r="T376" s="67">
        <f t="shared" si="16"/>
        <v>0</v>
      </c>
      <c r="U376" s="62" t="s">
        <v>34</v>
      </c>
      <c r="V376" s="430"/>
      <c r="W376" s="62"/>
    </row>
    <row r="377" spans="1:23" ht="23.4" x14ac:dyDescent="0.45">
      <c r="A377" s="1">
        <f t="shared" si="17"/>
        <v>376</v>
      </c>
      <c r="B377" s="57" t="s">
        <v>23</v>
      </c>
      <c r="C377" s="57" t="s">
        <v>24</v>
      </c>
      <c r="D377" s="58">
        <v>3486</v>
      </c>
      <c r="E377" s="59" t="s">
        <v>513</v>
      </c>
      <c r="F377" s="60" t="s">
        <v>514</v>
      </c>
      <c r="G377" s="61">
        <v>4051</v>
      </c>
      <c r="H377" s="62" t="s">
        <v>25</v>
      </c>
      <c r="I377" s="62" t="s">
        <v>515</v>
      </c>
      <c r="J377" s="1985" t="s">
        <v>57</v>
      </c>
      <c r="K377" s="52" t="s">
        <v>58</v>
      </c>
      <c r="L377" s="63">
        <v>0.6</v>
      </c>
      <c r="M377" s="416" t="s">
        <v>415</v>
      </c>
      <c r="N377" s="415" t="s">
        <v>524</v>
      </c>
      <c r="O377" s="417"/>
      <c r="P377" s="62">
        <v>1</v>
      </c>
      <c r="Q377" s="65">
        <v>0.1</v>
      </c>
      <c r="R377" s="62"/>
      <c r="S377" s="66">
        <f t="shared" si="15"/>
        <v>0</v>
      </c>
      <c r="T377" s="67">
        <f t="shared" si="16"/>
        <v>0</v>
      </c>
      <c r="U377" s="62" t="s">
        <v>34</v>
      </c>
      <c r="V377" s="430"/>
      <c r="W377" s="62"/>
    </row>
    <row r="378" spans="1:23" ht="23.4" x14ac:dyDescent="0.45">
      <c r="A378" s="1">
        <f t="shared" si="17"/>
        <v>377</v>
      </c>
      <c r="B378" s="57" t="s">
        <v>23</v>
      </c>
      <c r="C378" s="57" t="s">
        <v>24</v>
      </c>
      <c r="D378" s="58">
        <v>3486</v>
      </c>
      <c r="E378" s="59" t="s">
        <v>513</v>
      </c>
      <c r="F378" s="60" t="s">
        <v>514</v>
      </c>
      <c r="G378" s="61">
        <v>4051</v>
      </c>
      <c r="H378" s="62" t="s">
        <v>25</v>
      </c>
      <c r="I378" s="62" t="s">
        <v>515</v>
      </c>
      <c r="J378" s="1985" t="s">
        <v>57</v>
      </c>
      <c r="K378" s="52" t="s">
        <v>58</v>
      </c>
      <c r="L378" s="63">
        <v>0.6</v>
      </c>
      <c r="M378" s="416" t="s">
        <v>525</v>
      </c>
      <c r="N378" s="415" t="s">
        <v>526</v>
      </c>
      <c r="O378" s="417" t="s">
        <v>527</v>
      </c>
      <c r="P378" s="62">
        <v>1</v>
      </c>
      <c r="Q378" s="65">
        <v>0.1</v>
      </c>
      <c r="R378" s="62"/>
      <c r="S378" s="66">
        <f t="shared" si="15"/>
        <v>0</v>
      </c>
      <c r="T378" s="67">
        <f t="shared" si="16"/>
        <v>0</v>
      </c>
      <c r="U378" s="62" t="s">
        <v>34</v>
      </c>
      <c r="V378" s="430"/>
      <c r="W378" s="62"/>
    </row>
    <row r="379" spans="1:23" ht="23.4" x14ac:dyDescent="0.45">
      <c r="A379" s="1">
        <f t="shared" si="17"/>
        <v>378</v>
      </c>
      <c r="B379" s="57" t="s">
        <v>23</v>
      </c>
      <c r="C379" s="57" t="s">
        <v>24</v>
      </c>
      <c r="D379" s="58">
        <v>3486</v>
      </c>
      <c r="E379" s="59" t="s">
        <v>513</v>
      </c>
      <c r="F379" s="60" t="s">
        <v>514</v>
      </c>
      <c r="G379" s="61">
        <v>4051</v>
      </c>
      <c r="H379" s="62" t="s">
        <v>25</v>
      </c>
      <c r="I379" s="62" t="s">
        <v>515</v>
      </c>
      <c r="J379" s="1985" t="s">
        <v>57</v>
      </c>
      <c r="K379" s="52" t="s">
        <v>58</v>
      </c>
      <c r="L379" s="63">
        <v>0.6</v>
      </c>
      <c r="M379" s="416" t="s">
        <v>194</v>
      </c>
      <c r="N379" s="415" t="s">
        <v>195</v>
      </c>
      <c r="O379" s="417" t="s">
        <v>196</v>
      </c>
      <c r="P379" s="62">
        <v>1</v>
      </c>
      <c r="Q379" s="65">
        <v>0.1</v>
      </c>
      <c r="R379" s="62"/>
      <c r="S379" s="66">
        <f t="shared" si="15"/>
        <v>0</v>
      </c>
      <c r="T379" s="67">
        <f t="shared" si="16"/>
        <v>0</v>
      </c>
      <c r="U379" s="62" t="s">
        <v>34</v>
      </c>
      <c r="V379" s="430"/>
      <c r="W379" s="62"/>
    </row>
    <row r="380" spans="1:23" ht="23.4" x14ac:dyDescent="0.45">
      <c r="A380" s="1">
        <f t="shared" si="17"/>
        <v>379</v>
      </c>
      <c r="B380" s="57" t="s">
        <v>23</v>
      </c>
      <c r="C380" s="57" t="s">
        <v>24</v>
      </c>
      <c r="D380" s="58">
        <v>3486</v>
      </c>
      <c r="E380" s="59" t="s">
        <v>513</v>
      </c>
      <c r="F380" s="60" t="s">
        <v>514</v>
      </c>
      <c r="G380" s="61">
        <v>4051</v>
      </c>
      <c r="H380" s="62" t="s">
        <v>25</v>
      </c>
      <c r="I380" s="62" t="s">
        <v>515</v>
      </c>
      <c r="J380" s="1985" t="s">
        <v>57</v>
      </c>
      <c r="K380" s="52" t="s">
        <v>58</v>
      </c>
      <c r="L380" s="63">
        <v>0.6</v>
      </c>
      <c r="M380" s="416" t="s">
        <v>96</v>
      </c>
      <c r="N380" s="415" t="s">
        <v>528</v>
      </c>
      <c r="O380" s="417">
        <v>0</v>
      </c>
      <c r="P380" s="62">
        <v>1</v>
      </c>
      <c r="Q380" s="65">
        <v>0.1</v>
      </c>
      <c r="R380" s="62"/>
      <c r="S380" s="66">
        <f t="shared" si="15"/>
        <v>0</v>
      </c>
      <c r="T380" s="67">
        <f t="shared" si="16"/>
        <v>0</v>
      </c>
      <c r="U380" s="62" t="s">
        <v>34</v>
      </c>
      <c r="V380" s="430"/>
      <c r="W380" s="62"/>
    </row>
    <row r="381" spans="1:23" ht="23.4" x14ac:dyDescent="0.45">
      <c r="A381" s="1">
        <f t="shared" si="17"/>
        <v>380</v>
      </c>
      <c r="B381" s="57" t="s">
        <v>23</v>
      </c>
      <c r="C381" s="57" t="s">
        <v>24</v>
      </c>
      <c r="D381" s="58">
        <v>3486</v>
      </c>
      <c r="E381" s="59" t="s">
        <v>513</v>
      </c>
      <c r="F381" s="60" t="s">
        <v>514</v>
      </c>
      <c r="G381" s="61">
        <v>4051</v>
      </c>
      <c r="H381" s="62" t="s">
        <v>25</v>
      </c>
      <c r="I381" s="62" t="s">
        <v>515</v>
      </c>
      <c r="J381" s="1985" t="s">
        <v>57</v>
      </c>
      <c r="K381" s="52" t="s">
        <v>58</v>
      </c>
      <c r="L381" s="63">
        <v>0.6</v>
      </c>
      <c r="M381" s="416" t="s">
        <v>423</v>
      </c>
      <c r="N381" s="415" t="s">
        <v>529</v>
      </c>
      <c r="O381" s="417" t="s">
        <v>530</v>
      </c>
      <c r="P381" s="62">
        <v>1</v>
      </c>
      <c r="Q381" s="65">
        <v>0.1</v>
      </c>
      <c r="R381" s="62"/>
      <c r="S381" s="66">
        <f t="shared" si="15"/>
        <v>0</v>
      </c>
      <c r="T381" s="67">
        <f t="shared" si="16"/>
        <v>0</v>
      </c>
      <c r="U381" s="62" t="s">
        <v>34</v>
      </c>
      <c r="V381" s="430"/>
      <c r="W381" s="62"/>
    </row>
    <row r="382" spans="1:23" ht="23.4" x14ac:dyDescent="0.5">
      <c r="A382" s="1">
        <f t="shared" si="17"/>
        <v>381</v>
      </c>
      <c r="B382" s="15" t="s">
        <v>23</v>
      </c>
      <c r="C382" s="15" t="s">
        <v>24</v>
      </c>
      <c r="D382" s="68">
        <v>3486</v>
      </c>
      <c r="E382" s="15" t="s">
        <v>513</v>
      </c>
      <c r="F382" s="69" t="s">
        <v>514</v>
      </c>
      <c r="G382" s="70">
        <v>4051</v>
      </c>
      <c r="H382" s="71" t="s">
        <v>25</v>
      </c>
      <c r="I382" s="71" t="s">
        <v>515</v>
      </c>
      <c r="J382" s="1983" t="s">
        <v>110</v>
      </c>
      <c r="K382" s="20" t="s">
        <v>111</v>
      </c>
      <c r="L382" s="21">
        <v>0.4</v>
      </c>
      <c r="M382" s="325" t="s">
        <v>531</v>
      </c>
      <c r="N382" s="71" t="s">
        <v>532</v>
      </c>
      <c r="O382" s="71" t="s">
        <v>533</v>
      </c>
      <c r="P382" s="74">
        <v>1</v>
      </c>
      <c r="Q382" s="75">
        <v>0.2</v>
      </c>
      <c r="R382" s="74"/>
      <c r="S382" s="76">
        <f t="shared" si="15"/>
        <v>0</v>
      </c>
      <c r="T382" s="77">
        <f t="shared" si="16"/>
        <v>0</v>
      </c>
      <c r="U382" s="71" t="s">
        <v>34</v>
      </c>
      <c r="V382" s="71"/>
      <c r="W382" s="71"/>
    </row>
    <row r="383" spans="1:23" ht="23.4" x14ac:dyDescent="0.5">
      <c r="A383" s="1">
        <f t="shared" si="17"/>
        <v>382</v>
      </c>
      <c r="B383" s="15" t="s">
        <v>23</v>
      </c>
      <c r="C383" s="15" t="s">
        <v>24</v>
      </c>
      <c r="D383" s="68">
        <v>3486</v>
      </c>
      <c r="E383" s="15" t="s">
        <v>513</v>
      </c>
      <c r="F383" s="69" t="s">
        <v>514</v>
      </c>
      <c r="G383" s="70">
        <v>4051</v>
      </c>
      <c r="H383" s="71" t="s">
        <v>25</v>
      </c>
      <c r="I383" s="71" t="s">
        <v>515</v>
      </c>
      <c r="J383" s="1983" t="s">
        <v>110</v>
      </c>
      <c r="K383" s="20" t="s">
        <v>111</v>
      </c>
      <c r="L383" s="21">
        <v>0.4</v>
      </c>
      <c r="M383" s="325" t="s">
        <v>534</v>
      </c>
      <c r="N383" s="71" t="s">
        <v>535</v>
      </c>
      <c r="O383" s="71" t="s">
        <v>536</v>
      </c>
      <c r="P383" s="74">
        <v>1</v>
      </c>
      <c r="Q383" s="75">
        <v>0.2</v>
      </c>
      <c r="R383" s="74"/>
      <c r="S383" s="76">
        <f t="shared" si="15"/>
        <v>0</v>
      </c>
      <c r="T383" s="77">
        <f t="shared" si="16"/>
        <v>0</v>
      </c>
      <c r="U383" s="71" t="s">
        <v>34</v>
      </c>
      <c r="V383" s="71"/>
      <c r="W383" s="71"/>
    </row>
    <row r="384" spans="1:23" ht="23.4" x14ac:dyDescent="0.5">
      <c r="A384" s="1">
        <f t="shared" si="17"/>
        <v>383</v>
      </c>
      <c r="B384" s="15" t="s">
        <v>23</v>
      </c>
      <c r="C384" s="15" t="s">
        <v>24</v>
      </c>
      <c r="D384" s="68">
        <v>3486</v>
      </c>
      <c r="E384" s="15" t="s">
        <v>513</v>
      </c>
      <c r="F384" s="69" t="s">
        <v>514</v>
      </c>
      <c r="G384" s="70">
        <v>4051</v>
      </c>
      <c r="H384" s="71" t="s">
        <v>25</v>
      </c>
      <c r="I384" s="71" t="s">
        <v>515</v>
      </c>
      <c r="J384" s="1983" t="s">
        <v>110</v>
      </c>
      <c r="K384" s="20" t="s">
        <v>111</v>
      </c>
      <c r="L384" s="21">
        <v>0.4</v>
      </c>
      <c r="M384" s="325" t="s">
        <v>537</v>
      </c>
      <c r="N384" s="71" t="s">
        <v>538</v>
      </c>
      <c r="O384" s="71" t="s">
        <v>536</v>
      </c>
      <c r="P384" s="74">
        <v>1</v>
      </c>
      <c r="Q384" s="75">
        <v>0.2</v>
      </c>
      <c r="R384" s="74"/>
      <c r="S384" s="76">
        <f t="shared" si="15"/>
        <v>0</v>
      </c>
      <c r="T384" s="77">
        <f t="shared" si="16"/>
        <v>0</v>
      </c>
      <c r="U384" s="71" t="s">
        <v>34</v>
      </c>
      <c r="V384" s="71"/>
      <c r="W384" s="71"/>
    </row>
    <row r="385" spans="1:23" ht="23.4" x14ac:dyDescent="0.5">
      <c r="A385" s="1">
        <f t="shared" si="17"/>
        <v>384</v>
      </c>
      <c r="B385" s="15" t="s">
        <v>23</v>
      </c>
      <c r="C385" s="15" t="s">
        <v>24</v>
      </c>
      <c r="D385" s="68">
        <v>3486</v>
      </c>
      <c r="E385" s="15" t="s">
        <v>513</v>
      </c>
      <c r="F385" s="69" t="s">
        <v>514</v>
      </c>
      <c r="G385" s="70">
        <v>4051</v>
      </c>
      <c r="H385" s="71" t="s">
        <v>25</v>
      </c>
      <c r="I385" s="71" t="s">
        <v>515</v>
      </c>
      <c r="J385" s="1983" t="s">
        <v>110</v>
      </c>
      <c r="K385" s="20" t="s">
        <v>111</v>
      </c>
      <c r="L385" s="21">
        <v>0.4</v>
      </c>
      <c r="M385" s="325" t="s">
        <v>539</v>
      </c>
      <c r="N385" s="71" t="s">
        <v>540</v>
      </c>
      <c r="O385" s="71" t="s">
        <v>536</v>
      </c>
      <c r="P385" s="74">
        <v>1</v>
      </c>
      <c r="Q385" s="75">
        <v>0.2</v>
      </c>
      <c r="R385" s="74"/>
      <c r="S385" s="76">
        <f t="shared" si="15"/>
        <v>0</v>
      </c>
      <c r="T385" s="77">
        <f t="shared" si="16"/>
        <v>0</v>
      </c>
      <c r="U385" s="71" t="s">
        <v>34</v>
      </c>
      <c r="V385" s="71"/>
      <c r="W385" s="71"/>
    </row>
    <row r="386" spans="1:23" ht="23.4" x14ac:dyDescent="0.5">
      <c r="A386" s="1">
        <f t="shared" si="17"/>
        <v>385</v>
      </c>
      <c r="B386" s="15" t="s">
        <v>23</v>
      </c>
      <c r="C386" s="15" t="s">
        <v>24</v>
      </c>
      <c r="D386" s="68">
        <v>3486</v>
      </c>
      <c r="E386" s="15" t="s">
        <v>513</v>
      </c>
      <c r="F386" s="69" t="s">
        <v>514</v>
      </c>
      <c r="G386" s="70">
        <v>4051</v>
      </c>
      <c r="H386" s="71" t="s">
        <v>25</v>
      </c>
      <c r="I386" s="71" t="s">
        <v>515</v>
      </c>
      <c r="J386" s="1983" t="s">
        <v>110</v>
      </c>
      <c r="K386" s="20" t="s">
        <v>111</v>
      </c>
      <c r="L386" s="21">
        <v>0.4</v>
      </c>
      <c r="M386" s="325" t="s">
        <v>541</v>
      </c>
      <c r="N386" s="71" t="s">
        <v>542</v>
      </c>
      <c r="O386" s="71" t="s">
        <v>536</v>
      </c>
      <c r="P386" s="74">
        <v>1</v>
      </c>
      <c r="Q386" s="75">
        <v>0.2</v>
      </c>
      <c r="R386" s="74"/>
      <c r="S386" s="76">
        <f t="shared" ref="S386:S449" si="18">ROUND(IF(OR(P386="",R386=""),0,IF(AND(P386=0,R386=0),1,IF(U386="+",R386/P386,P386/R386))),2)</f>
        <v>0</v>
      </c>
      <c r="T386" s="77">
        <f t="shared" ref="T386:T449" si="19">IF(AND(S386&gt;=60%,S386&lt;100%),S386*((Q386*L386)),IF(S386=100%,((Q386*L386)*S386)*100%,IF(S386&gt;100%,((L386*Q386)*100%)*100%,0)))*100</f>
        <v>0</v>
      </c>
      <c r="U386" s="71" t="s">
        <v>34</v>
      </c>
      <c r="V386" s="71"/>
      <c r="W386" s="71"/>
    </row>
    <row r="387" spans="1:23" ht="23.4" x14ac:dyDescent="0.45">
      <c r="A387" s="1">
        <f t="shared" si="17"/>
        <v>386</v>
      </c>
      <c r="B387" s="2" t="s">
        <v>23</v>
      </c>
      <c r="C387" s="2" t="s">
        <v>24</v>
      </c>
      <c r="D387" s="49">
        <v>3627</v>
      </c>
      <c r="E387" s="2" t="s">
        <v>543</v>
      </c>
      <c r="F387" s="50" t="s">
        <v>544</v>
      </c>
      <c r="G387" s="51">
        <v>3486</v>
      </c>
      <c r="H387" s="14" t="s">
        <v>513</v>
      </c>
      <c r="I387" s="14" t="s">
        <v>515</v>
      </c>
      <c r="J387" s="1981" t="s">
        <v>57</v>
      </c>
      <c r="K387" s="8" t="s">
        <v>58</v>
      </c>
      <c r="L387" s="53">
        <v>0.6</v>
      </c>
      <c r="M387" s="435" t="s">
        <v>80</v>
      </c>
      <c r="N387" s="435" t="s">
        <v>81</v>
      </c>
      <c r="O387" s="435" t="s">
        <v>82</v>
      </c>
      <c r="P387" s="43">
        <v>0.01</v>
      </c>
      <c r="Q387" s="56">
        <v>0.2</v>
      </c>
      <c r="R387" s="43"/>
      <c r="S387" s="14">
        <f t="shared" si="18"/>
        <v>0</v>
      </c>
      <c r="T387" s="51">
        <f t="shared" si="19"/>
        <v>0</v>
      </c>
      <c r="U387" s="14" t="s">
        <v>83</v>
      </c>
      <c r="V387" s="1955">
        <f>SUM(T387:T397)%</f>
        <v>0</v>
      </c>
      <c r="W387" s="14"/>
    </row>
    <row r="388" spans="1:23" ht="23.4" x14ac:dyDescent="0.45">
      <c r="A388" s="1">
        <f t="shared" ref="A388:A451" si="20">ROW()-1</f>
        <v>387</v>
      </c>
      <c r="B388" s="57" t="s">
        <v>23</v>
      </c>
      <c r="C388" s="57" t="s">
        <v>24</v>
      </c>
      <c r="D388" s="58">
        <v>3627</v>
      </c>
      <c r="E388" s="59" t="s">
        <v>543</v>
      </c>
      <c r="F388" s="60" t="s">
        <v>544</v>
      </c>
      <c r="G388" s="61">
        <v>3486</v>
      </c>
      <c r="H388" s="62" t="s">
        <v>513</v>
      </c>
      <c r="I388" s="62" t="s">
        <v>515</v>
      </c>
      <c r="J388" s="1985" t="s">
        <v>57</v>
      </c>
      <c r="K388" s="52" t="s">
        <v>58</v>
      </c>
      <c r="L388" s="63">
        <v>0.6</v>
      </c>
      <c r="M388" s="416" t="s">
        <v>545</v>
      </c>
      <c r="N388" s="415" t="s">
        <v>546</v>
      </c>
      <c r="O388" s="417" t="s">
        <v>547</v>
      </c>
      <c r="P388" s="62">
        <v>0.95</v>
      </c>
      <c r="Q388" s="65">
        <v>0.15</v>
      </c>
      <c r="R388" s="62"/>
      <c r="S388" s="66">
        <f t="shared" si="18"/>
        <v>0</v>
      </c>
      <c r="T388" s="67">
        <f t="shared" si="19"/>
        <v>0</v>
      </c>
      <c r="U388" s="62" t="s">
        <v>34</v>
      </c>
      <c r="V388" s="430"/>
      <c r="W388" s="62"/>
    </row>
    <row r="389" spans="1:23" ht="23.4" x14ac:dyDescent="0.45">
      <c r="A389" s="1">
        <f t="shared" si="20"/>
        <v>388</v>
      </c>
      <c r="B389" s="57" t="s">
        <v>23</v>
      </c>
      <c r="C389" s="57" t="s">
        <v>24</v>
      </c>
      <c r="D389" s="58">
        <v>3627</v>
      </c>
      <c r="E389" s="59" t="s">
        <v>543</v>
      </c>
      <c r="F389" s="60" t="s">
        <v>544</v>
      </c>
      <c r="G389" s="61">
        <v>3486</v>
      </c>
      <c r="H389" s="62" t="s">
        <v>513</v>
      </c>
      <c r="I389" s="62" t="s">
        <v>515</v>
      </c>
      <c r="J389" s="1985" t="s">
        <v>57</v>
      </c>
      <c r="K389" s="52" t="s">
        <v>58</v>
      </c>
      <c r="L389" s="63">
        <v>0.6</v>
      </c>
      <c r="M389" s="416" t="s">
        <v>548</v>
      </c>
      <c r="N389" s="415" t="s">
        <v>549</v>
      </c>
      <c r="O389" s="417" t="s">
        <v>547</v>
      </c>
      <c r="P389" s="62">
        <v>1</v>
      </c>
      <c r="Q389" s="65">
        <v>0.2</v>
      </c>
      <c r="R389" s="62"/>
      <c r="S389" s="66">
        <f t="shared" si="18"/>
        <v>0</v>
      </c>
      <c r="T389" s="67">
        <f t="shared" si="19"/>
        <v>0</v>
      </c>
      <c r="U389" s="62" t="s">
        <v>34</v>
      </c>
      <c r="V389" s="430"/>
      <c r="W389" s="62"/>
    </row>
    <row r="390" spans="1:23" ht="23.4" x14ac:dyDescent="0.45">
      <c r="A390" s="1">
        <f t="shared" si="20"/>
        <v>389</v>
      </c>
      <c r="B390" s="57" t="s">
        <v>23</v>
      </c>
      <c r="C390" s="57" t="s">
        <v>24</v>
      </c>
      <c r="D390" s="58">
        <v>3627</v>
      </c>
      <c r="E390" s="59" t="s">
        <v>543</v>
      </c>
      <c r="F390" s="60" t="s">
        <v>544</v>
      </c>
      <c r="G390" s="61">
        <v>3486</v>
      </c>
      <c r="H390" s="62" t="s">
        <v>513</v>
      </c>
      <c r="I390" s="62" t="s">
        <v>515</v>
      </c>
      <c r="J390" s="1985" t="s">
        <v>57</v>
      </c>
      <c r="K390" s="52" t="s">
        <v>58</v>
      </c>
      <c r="L390" s="63">
        <v>0.6</v>
      </c>
      <c r="M390" s="416" t="s">
        <v>550</v>
      </c>
      <c r="N390" s="415" t="s">
        <v>551</v>
      </c>
      <c r="O390" s="417" t="s">
        <v>547</v>
      </c>
      <c r="P390" s="62">
        <v>1</v>
      </c>
      <c r="Q390" s="65">
        <v>0.15</v>
      </c>
      <c r="R390" s="62"/>
      <c r="S390" s="66">
        <f t="shared" si="18"/>
        <v>0</v>
      </c>
      <c r="T390" s="67">
        <f t="shared" si="19"/>
        <v>0</v>
      </c>
      <c r="U390" s="62" t="s">
        <v>34</v>
      </c>
      <c r="V390" s="430"/>
      <c r="W390" s="62"/>
    </row>
    <row r="391" spans="1:23" ht="23.4" x14ac:dyDescent="0.45">
      <c r="A391" s="1">
        <f t="shared" si="20"/>
        <v>390</v>
      </c>
      <c r="B391" s="57" t="s">
        <v>23</v>
      </c>
      <c r="C391" s="57" t="s">
        <v>24</v>
      </c>
      <c r="D391" s="58">
        <v>3627</v>
      </c>
      <c r="E391" s="59" t="s">
        <v>543</v>
      </c>
      <c r="F391" s="60" t="s">
        <v>544</v>
      </c>
      <c r="G391" s="61">
        <v>3486</v>
      </c>
      <c r="H391" s="62" t="s">
        <v>513</v>
      </c>
      <c r="I391" s="62" t="s">
        <v>515</v>
      </c>
      <c r="J391" s="1985" t="s">
        <v>57</v>
      </c>
      <c r="K391" s="52" t="s">
        <v>58</v>
      </c>
      <c r="L391" s="63">
        <v>0.6</v>
      </c>
      <c r="M391" s="416" t="s">
        <v>552</v>
      </c>
      <c r="N391" s="415" t="s">
        <v>553</v>
      </c>
      <c r="O391" s="417" t="s">
        <v>554</v>
      </c>
      <c r="P391" s="62">
        <v>0.9</v>
      </c>
      <c r="Q391" s="65">
        <v>0.1</v>
      </c>
      <c r="R391" s="62"/>
      <c r="S391" s="66">
        <f t="shared" si="18"/>
        <v>0</v>
      </c>
      <c r="T391" s="67">
        <f t="shared" si="19"/>
        <v>0</v>
      </c>
      <c r="U391" s="62" t="s">
        <v>34</v>
      </c>
      <c r="V391" s="430"/>
      <c r="W391" s="62"/>
    </row>
    <row r="392" spans="1:23" ht="23.4" x14ac:dyDescent="0.45">
      <c r="A392" s="1">
        <f t="shared" si="20"/>
        <v>391</v>
      </c>
      <c r="B392" s="57" t="s">
        <v>23</v>
      </c>
      <c r="C392" s="57" t="s">
        <v>24</v>
      </c>
      <c r="D392" s="58">
        <v>3627</v>
      </c>
      <c r="E392" s="59" t="s">
        <v>543</v>
      </c>
      <c r="F392" s="60" t="s">
        <v>544</v>
      </c>
      <c r="G392" s="61">
        <v>3486</v>
      </c>
      <c r="H392" s="62" t="s">
        <v>513</v>
      </c>
      <c r="I392" s="62" t="s">
        <v>515</v>
      </c>
      <c r="J392" s="1985" t="s">
        <v>57</v>
      </c>
      <c r="K392" s="52" t="s">
        <v>58</v>
      </c>
      <c r="L392" s="63">
        <v>0.6</v>
      </c>
      <c r="M392" s="416" t="s">
        <v>96</v>
      </c>
      <c r="N392" s="415" t="s">
        <v>528</v>
      </c>
      <c r="O392" s="417">
        <v>0</v>
      </c>
      <c r="P392" s="62">
        <v>1</v>
      </c>
      <c r="Q392" s="65">
        <v>0.1</v>
      </c>
      <c r="R392" s="62"/>
      <c r="S392" s="66">
        <f t="shared" si="18"/>
        <v>0</v>
      </c>
      <c r="T392" s="67">
        <f t="shared" si="19"/>
        <v>0</v>
      </c>
      <c r="U392" s="62" t="s">
        <v>34</v>
      </c>
      <c r="V392" s="430"/>
      <c r="W392" s="62"/>
    </row>
    <row r="393" spans="1:23" ht="23.4" x14ac:dyDescent="0.45">
      <c r="A393" s="1">
        <f t="shared" si="20"/>
        <v>392</v>
      </c>
      <c r="B393" s="57" t="s">
        <v>23</v>
      </c>
      <c r="C393" s="57" t="s">
        <v>24</v>
      </c>
      <c r="D393" s="58">
        <v>3627</v>
      </c>
      <c r="E393" s="59" t="s">
        <v>543</v>
      </c>
      <c r="F393" s="60" t="s">
        <v>544</v>
      </c>
      <c r="G393" s="61">
        <v>3486</v>
      </c>
      <c r="H393" s="62" t="s">
        <v>513</v>
      </c>
      <c r="I393" s="62" t="s">
        <v>515</v>
      </c>
      <c r="J393" s="1985" t="s">
        <v>57</v>
      </c>
      <c r="K393" s="52" t="s">
        <v>58</v>
      </c>
      <c r="L393" s="63">
        <v>0.6</v>
      </c>
      <c r="M393" s="416" t="s">
        <v>423</v>
      </c>
      <c r="N393" s="415" t="s">
        <v>529</v>
      </c>
      <c r="O393" s="417" t="s">
        <v>530</v>
      </c>
      <c r="P393" s="62">
        <v>1</v>
      </c>
      <c r="Q393" s="65">
        <v>0.1</v>
      </c>
      <c r="R393" s="62"/>
      <c r="S393" s="66">
        <f t="shared" si="18"/>
        <v>0</v>
      </c>
      <c r="T393" s="67">
        <f t="shared" si="19"/>
        <v>0</v>
      </c>
      <c r="U393" s="62" t="s">
        <v>34</v>
      </c>
      <c r="V393" s="430"/>
      <c r="W393" s="62"/>
    </row>
    <row r="394" spans="1:23" ht="23.4" x14ac:dyDescent="0.5">
      <c r="A394" s="1">
        <f t="shared" si="20"/>
        <v>393</v>
      </c>
      <c r="B394" s="15" t="s">
        <v>23</v>
      </c>
      <c r="C394" s="15" t="s">
        <v>24</v>
      </c>
      <c r="D394" s="68">
        <v>3627</v>
      </c>
      <c r="E394" s="15" t="s">
        <v>543</v>
      </c>
      <c r="F394" s="69" t="s">
        <v>544</v>
      </c>
      <c r="G394" s="70">
        <v>3486</v>
      </c>
      <c r="H394" s="71" t="s">
        <v>513</v>
      </c>
      <c r="I394" s="71" t="s">
        <v>515</v>
      </c>
      <c r="J394" s="1983" t="s">
        <v>110</v>
      </c>
      <c r="K394" s="20" t="s">
        <v>111</v>
      </c>
      <c r="L394" s="21">
        <v>0.4</v>
      </c>
      <c r="M394" s="325" t="s">
        <v>419</v>
      </c>
      <c r="N394" s="71" t="s">
        <v>555</v>
      </c>
      <c r="O394" s="71" t="s">
        <v>556</v>
      </c>
      <c r="P394" s="74">
        <v>1</v>
      </c>
      <c r="Q394" s="75">
        <v>0.25</v>
      </c>
      <c r="R394" s="74"/>
      <c r="S394" s="76">
        <f t="shared" si="18"/>
        <v>0</v>
      </c>
      <c r="T394" s="77">
        <f t="shared" si="19"/>
        <v>0</v>
      </c>
      <c r="U394" s="71" t="s">
        <v>34</v>
      </c>
      <c r="V394" s="71"/>
      <c r="W394" s="71"/>
    </row>
    <row r="395" spans="1:23" ht="23.4" x14ac:dyDescent="0.5">
      <c r="A395" s="1">
        <f t="shared" si="20"/>
        <v>394</v>
      </c>
      <c r="B395" s="15" t="s">
        <v>23</v>
      </c>
      <c r="C395" s="15" t="s">
        <v>24</v>
      </c>
      <c r="D395" s="68">
        <v>3627</v>
      </c>
      <c r="E395" s="15" t="s">
        <v>543</v>
      </c>
      <c r="F395" s="69" t="s">
        <v>544</v>
      </c>
      <c r="G395" s="70">
        <v>3486</v>
      </c>
      <c r="H395" s="71" t="s">
        <v>513</v>
      </c>
      <c r="I395" s="71" t="s">
        <v>515</v>
      </c>
      <c r="J395" s="1983" t="s">
        <v>110</v>
      </c>
      <c r="K395" s="20" t="s">
        <v>111</v>
      </c>
      <c r="L395" s="21">
        <v>0.4</v>
      </c>
      <c r="M395" s="325" t="s">
        <v>557</v>
      </c>
      <c r="N395" s="71" t="s">
        <v>558</v>
      </c>
      <c r="O395" s="71" t="s">
        <v>559</v>
      </c>
      <c r="P395" s="74">
        <v>1</v>
      </c>
      <c r="Q395" s="75">
        <v>0.25</v>
      </c>
      <c r="R395" s="74"/>
      <c r="S395" s="76">
        <f t="shared" si="18"/>
        <v>0</v>
      </c>
      <c r="T395" s="77">
        <f t="shared" si="19"/>
        <v>0</v>
      </c>
      <c r="U395" s="71" t="s">
        <v>34</v>
      </c>
      <c r="V395" s="71"/>
      <c r="W395" s="71"/>
    </row>
    <row r="396" spans="1:23" ht="23.4" x14ac:dyDescent="0.5">
      <c r="A396" s="1">
        <f t="shared" si="20"/>
        <v>395</v>
      </c>
      <c r="B396" s="15" t="s">
        <v>23</v>
      </c>
      <c r="C396" s="15" t="s">
        <v>24</v>
      </c>
      <c r="D396" s="68">
        <v>3627</v>
      </c>
      <c r="E396" s="15" t="s">
        <v>543</v>
      </c>
      <c r="F396" s="69" t="s">
        <v>544</v>
      </c>
      <c r="G396" s="70">
        <v>3486</v>
      </c>
      <c r="H396" s="71" t="s">
        <v>513</v>
      </c>
      <c r="I396" s="71" t="s">
        <v>515</v>
      </c>
      <c r="J396" s="1983" t="s">
        <v>110</v>
      </c>
      <c r="K396" s="20" t="s">
        <v>111</v>
      </c>
      <c r="L396" s="21">
        <v>0.4</v>
      </c>
      <c r="M396" s="325" t="s">
        <v>560</v>
      </c>
      <c r="N396" s="71" t="s">
        <v>561</v>
      </c>
      <c r="O396" s="71" t="s">
        <v>562</v>
      </c>
      <c r="P396" s="74">
        <v>1</v>
      </c>
      <c r="Q396" s="75">
        <v>0.25</v>
      </c>
      <c r="R396" s="74"/>
      <c r="S396" s="76">
        <f t="shared" si="18"/>
        <v>0</v>
      </c>
      <c r="T396" s="77">
        <f t="shared" si="19"/>
        <v>0</v>
      </c>
      <c r="U396" s="71" t="s">
        <v>34</v>
      </c>
      <c r="V396" s="71"/>
      <c r="W396" s="71"/>
    </row>
    <row r="397" spans="1:23" ht="23.4" x14ac:dyDescent="0.5">
      <c r="A397" s="1">
        <f t="shared" si="20"/>
        <v>396</v>
      </c>
      <c r="B397" s="15" t="s">
        <v>23</v>
      </c>
      <c r="C397" s="15" t="s">
        <v>24</v>
      </c>
      <c r="D397" s="68">
        <v>3627</v>
      </c>
      <c r="E397" s="15" t="s">
        <v>543</v>
      </c>
      <c r="F397" s="69" t="s">
        <v>544</v>
      </c>
      <c r="G397" s="70">
        <v>3486</v>
      </c>
      <c r="H397" s="71" t="s">
        <v>513</v>
      </c>
      <c r="I397" s="71" t="s">
        <v>515</v>
      </c>
      <c r="J397" s="1983" t="s">
        <v>110</v>
      </c>
      <c r="K397" s="20" t="s">
        <v>111</v>
      </c>
      <c r="L397" s="21">
        <v>0.4</v>
      </c>
      <c r="M397" s="325" t="s">
        <v>563</v>
      </c>
      <c r="N397" s="71" t="s">
        <v>564</v>
      </c>
      <c r="O397" s="71" t="s">
        <v>527</v>
      </c>
      <c r="P397" s="74">
        <v>1</v>
      </c>
      <c r="Q397" s="75">
        <v>0.25</v>
      </c>
      <c r="R397" s="74"/>
      <c r="S397" s="76">
        <f t="shared" si="18"/>
        <v>0</v>
      </c>
      <c r="T397" s="77">
        <f t="shared" si="19"/>
        <v>0</v>
      </c>
      <c r="U397" s="71" t="s">
        <v>34</v>
      </c>
      <c r="V397" s="71"/>
      <c r="W397" s="71"/>
    </row>
    <row r="398" spans="1:23" ht="23.4" x14ac:dyDescent="0.45">
      <c r="A398" s="1">
        <f t="shared" si="20"/>
        <v>397</v>
      </c>
      <c r="B398" s="2" t="s">
        <v>23</v>
      </c>
      <c r="C398" s="2" t="s">
        <v>24</v>
      </c>
      <c r="D398" s="49">
        <v>3178</v>
      </c>
      <c r="E398" s="2" t="s">
        <v>565</v>
      </c>
      <c r="F398" s="50" t="s">
        <v>566</v>
      </c>
      <c r="G398" s="51">
        <v>3486</v>
      </c>
      <c r="H398" s="14" t="s">
        <v>513</v>
      </c>
      <c r="I398" s="14" t="s">
        <v>515</v>
      </c>
      <c r="J398" s="1981" t="s">
        <v>57</v>
      </c>
      <c r="K398" s="8" t="s">
        <v>58</v>
      </c>
      <c r="L398" s="53">
        <v>0.6</v>
      </c>
      <c r="M398" s="435" t="s">
        <v>80</v>
      </c>
      <c r="N398" s="435" t="s">
        <v>81</v>
      </c>
      <c r="O398" s="435" t="s">
        <v>82</v>
      </c>
      <c r="P398" s="43">
        <v>0.01</v>
      </c>
      <c r="Q398" s="56">
        <v>0.25</v>
      </c>
      <c r="R398" s="43"/>
      <c r="S398" s="14">
        <f t="shared" si="18"/>
        <v>0</v>
      </c>
      <c r="T398" s="51">
        <f t="shared" si="19"/>
        <v>0</v>
      </c>
      <c r="U398" s="14" t="s">
        <v>83</v>
      </c>
      <c r="V398" s="1955">
        <f>SUM(T398:T407)%</f>
        <v>0</v>
      </c>
      <c r="W398" s="14"/>
    </row>
    <row r="399" spans="1:23" ht="23.4" x14ac:dyDescent="0.45">
      <c r="A399" s="1">
        <f t="shared" si="20"/>
        <v>398</v>
      </c>
      <c r="B399" s="57" t="s">
        <v>23</v>
      </c>
      <c r="C399" s="57" t="s">
        <v>24</v>
      </c>
      <c r="D399" s="58">
        <v>3178</v>
      </c>
      <c r="E399" s="59" t="s">
        <v>565</v>
      </c>
      <c r="F399" s="60" t="s">
        <v>566</v>
      </c>
      <c r="G399" s="61">
        <v>3486</v>
      </c>
      <c r="H399" s="62" t="s">
        <v>513</v>
      </c>
      <c r="I399" s="62" t="s">
        <v>515</v>
      </c>
      <c r="J399" s="1985" t="s">
        <v>57</v>
      </c>
      <c r="K399" s="52" t="s">
        <v>58</v>
      </c>
      <c r="L399" s="63">
        <v>0.6</v>
      </c>
      <c r="M399" s="416" t="s">
        <v>545</v>
      </c>
      <c r="N399" s="415" t="s">
        <v>546</v>
      </c>
      <c r="O399" s="417" t="s">
        <v>547</v>
      </c>
      <c r="P399" s="62">
        <v>0.95</v>
      </c>
      <c r="Q399" s="65">
        <v>0.2</v>
      </c>
      <c r="R399" s="62"/>
      <c r="S399" s="66">
        <f t="shared" si="18"/>
        <v>0</v>
      </c>
      <c r="T399" s="67">
        <f t="shared" si="19"/>
        <v>0</v>
      </c>
      <c r="U399" s="62" t="s">
        <v>34</v>
      </c>
      <c r="V399" s="430"/>
      <c r="W399" s="62"/>
    </row>
    <row r="400" spans="1:23" ht="23.4" x14ac:dyDescent="0.45">
      <c r="A400" s="1">
        <f t="shared" si="20"/>
        <v>399</v>
      </c>
      <c r="B400" s="57" t="s">
        <v>23</v>
      </c>
      <c r="C400" s="57" t="s">
        <v>24</v>
      </c>
      <c r="D400" s="58">
        <v>3178</v>
      </c>
      <c r="E400" s="59" t="s">
        <v>565</v>
      </c>
      <c r="F400" s="60" t="s">
        <v>566</v>
      </c>
      <c r="G400" s="61">
        <v>3486</v>
      </c>
      <c r="H400" s="62" t="s">
        <v>513</v>
      </c>
      <c r="I400" s="62" t="s">
        <v>515</v>
      </c>
      <c r="J400" s="1985" t="s">
        <v>57</v>
      </c>
      <c r="K400" s="52" t="s">
        <v>58</v>
      </c>
      <c r="L400" s="63">
        <v>0.6</v>
      </c>
      <c r="M400" s="416" t="s">
        <v>548</v>
      </c>
      <c r="N400" s="415" t="s">
        <v>549</v>
      </c>
      <c r="O400" s="417" t="s">
        <v>547</v>
      </c>
      <c r="P400" s="62">
        <v>0.9</v>
      </c>
      <c r="Q400" s="65">
        <v>0.2</v>
      </c>
      <c r="R400" s="62"/>
      <c r="S400" s="66">
        <f t="shared" si="18"/>
        <v>0</v>
      </c>
      <c r="T400" s="67">
        <f t="shared" si="19"/>
        <v>0</v>
      </c>
      <c r="U400" s="62" t="s">
        <v>34</v>
      </c>
      <c r="V400" s="430"/>
      <c r="W400" s="62"/>
    </row>
    <row r="401" spans="1:23" ht="23.4" x14ac:dyDescent="0.45">
      <c r="A401" s="1">
        <f t="shared" si="20"/>
        <v>400</v>
      </c>
      <c r="B401" s="57" t="s">
        <v>23</v>
      </c>
      <c r="C401" s="57" t="s">
        <v>24</v>
      </c>
      <c r="D401" s="58">
        <v>3178</v>
      </c>
      <c r="E401" s="59" t="s">
        <v>565</v>
      </c>
      <c r="F401" s="60" t="s">
        <v>566</v>
      </c>
      <c r="G401" s="61">
        <v>3486</v>
      </c>
      <c r="H401" s="62" t="s">
        <v>513</v>
      </c>
      <c r="I401" s="62" t="s">
        <v>515</v>
      </c>
      <c r="J401" s="1985" t="s">
        <v>57</v>
      </c>
      <c r="K401" s="52" t="s">
        <v>58</v>
      </c>
      <c r="L401" s="63">
        <v>0.6</v>
      </c>
      <c r="M401" s="416" t="s">
        <v>550</v>
      </c>
      <c r="N401" s="415" t="s">
        <v>567</v>
      </c>
      <c r="O401" s="417" t="s">
        <v>547</v>
      </c>
      <c r="P401" s="62">
        <v>0.9</v>
      </c>
      <c r="Q401" s="65">
        <v>0.15</v>
      </c>
      <c r="R401" s="62"/>
      <c r="S401" s="66">
        <f t="shared" si="18"/>
        <v>0</v>
      </c>
      <c r="T401" s="67">
        <f t="shared" si="19"/>
        <v>0</v>
      </c>
      <c r="U401" s="62" t="s">
        <v>34</v>
      </c>
      <c r="V401" s="430"/>
      <c r="W401" s="62"/>
    </row>
    <row r="402" spans="1:23" ht="23.4" x14ac:dyDescent="0.45">
      <c r="A402" s="1">
        <f t="shared" si="20"/>
        <v>401</v>
      </c>
      <c r="B402" s="57" t="s">
        <v>23</v>
      </c>
      <c r="C402" s="57" t="s">
        <v>24</v>
      </c>
      <c r="D402" s="58">
        <v>3178</v>
      </c>
      <c r="E402" s="59" t="s">
        <v>565</v>
      </c>
      <c r="F402" s="60" t="s">
        <v>566</v>
      </c>
      <c r="G402" s="61">
        <v>3486</v>
      </c>
      <c r="H402" s="62" t="s">
        <v>513</v>
      </c>
      <c r="I402" s="62" t="s">
        <v>515</v>
      </c>
      <c r="J402" s="1985" t="s">
        <v>57</v>
      </c>
      <c r="K402" s="52" t="s">
        <v>58</v>
      </c>
      <c r="L402" s="63">
        <v>0.6</v>
      </c>
      <c r="M402" s="416" t="s">
        <v>96</v>
      </c>
      <c r="N402" s="415" t="s">
        <v>528</v>
      </c>
      <c r="O402" s="417">
        <v>0</v>
      </c>
      <c r="P402" s="62">
        <v>1</v>
      </c>
      <c r="Q402" s="65">
        <v>0.1</v>
      </c>
      <c r="R402" s="62"/>
      <c r="S402" s="66">
        <f t="shared" si="18"/>
        <v>0</v>
      </c>
      <c r="T402" s="67">
        <f t="shared" si="19"/>
        <v>0</v>
      </c>
      <c r="U402" s="62" t="s">
        <v>34</v>
      </c>
      <c r="V402" s="430"/>
      <c r="W402" s="62"/>
    </row>
    <row r="403" spans="1:23" ht="23.4" x14ac:dyDescent="0.45">
      <c r="A403" s="1">
        <f t="shared" si="20"/>
        <v>402</v>
      </c>
      <c r="B403" s="57" t="s">
        <v>23</v>
      </c>
      <c r="C403" s="57" t="s">
        <v>24</v>
      </c>
      <c r="D403" s="58">
        <v>3178</v>
      </c>
      <c r="E403" s="59" t="s">
        <v>565</v>
      </c>
      <c r="F403" s="60" t="s">
        <v>566</v>
      </c>
      <c r="G403" s="61">
        <v>3486</v>
      </c>
      <c r="H403" s="62" t="s">
        <v>513</v>
      </c>
      <c r="I403" s="62" t="s">
        <v>515</v>
      </c>
      <c r="J403" s="1985" t="s">
        <v>57</v>
      </c>
      <c r="K403" s="52" t="s">
        <v>58</v>
      </c>
      <c r="L403" s="63">
        <v>0.6</v>
      </c>
      <c r="M403" s="416" t="s">
        <v>423</v>
      </c>
      <c r="N403" s="415" t="s">
        <v>529</v>
      </c>
      <c r="O403" s="417" t="s">
        <v>530</v>
      </c>
      <c r="P403" s="62">
        <v>1</v>
      </c>
      <c r="Q403" s="65">
        <v>0.1</v>
      </c>
      <c r="R403" s="62"/>
      <c r="S403" s="66">
        <f t="shared" si="18"/>
        <v>0</v>
      </c>
      <c r="T403" s="67">
        <f t="shared" si="19"/>
        <v>0</v>
      </c>
      <c r="U403" s="62" t="s">
        <v>34</v>
      </c>
      <c r="V403" s="430"/>
      <c r="W403" s="62"/>
    </row>
    <row r="404" spans="1:23" ht="23.4" x14ac:dyDescent="0.5">
      <c r="A404" s="1">
        <f t="shared" si="20"/>
        <v>403</v>
      </c>
      <c r="B404" s="15" t="s">
        <v>23</v>
      </c>
      <c r="C404" s="15" t="s">
        <v>24</v>
      </c>
      <c r="D404" s="68">
        <v>3178</v>
      </c>
      <c r="E404" s="15" t="s">
        <v>565</v>
      </c>
      <c r="F404" s="69" t="s">
        <v>566</v>
      </c>
      <c r="G404" s="70">
        <v>3486</v>
      </c>
      <c r="H404" s="71" t="s">
        <v>513</v>
      </c>
      <c r="I404" s="71" t="s">
        <v>515</v>
      </c>
      <c r="J404" s="1983" t="s">
        <v>110</v>
      </c>
      <c r="K404" s="20" t="s">
        <v>111</v>
      </c>
      <c r="L404" s="21">
        <v>0.4</v>
      </c>
      <c r="M404" s="325" t="s">
        <v>419</v>
      </c>
      <c r="N404" s="71" t="s">
        <v>555</v>
      </c>
      <c r="O404" s="71" t="s">
        <v>556</v>
      </c>
      <c r="P404" s="74">
        <v>1</v>
      </c>
      <c r="Q404" s="75">
        <v>0.25</v>
      </c>
      <c r="R404" s="74"/>
      <c r="S404" s="76">
        <f t="shared" si="18"/>
        <v>0</v>
      </c>
      <c r="T404" s="77">
        <f t="shared" si="19"/>
        <v>0</v>
      </c>
      <c r="U404" s="71" t="s">
        <v>34</v>
      </c>
      <c r="V404" s="71"/>
      <c r="W404" s="71"/>
    </row>
    <row r="405" spans="1:23" ht="23.4" x14ac:dyDescent="0.5">
      <c r="A405" s="1">
        <f t="shared" si="20"/>
        <v>404</v>
      </c>
      <c r="B405" s="15" t="s">
        <v>23</v>
      </c>
      <c r="C405" s="15" t="s">
        <v>24</v>
      </c>
      <c r="D405" s="68">
        <v>3178</v>
      </c>
      <c r="E405" s="15" t="s">
        <v>565</v>
      </c>
      <c r="F405" s="69" t="s">
        <v>566</v>
      </c>
      <c r="G405" s="70">
        <v>3486</v>
      </c>
      <c r="H405" s="71" t="s">
        <v>513</v>
      </c>
      <c r="I405" s="71" t="s">
        <v>515</v>
      </c>
      <c r="J405" s="1983" t="s">
        <v>110</v>
      </c>
      <c r="K405" s="20" t="s">
        <v>111</v>
      </c>
      <c r="L405" s="21">
        <v>0.4</v>
      </c>
      <c r="M405" s="325" t="s">
        <v>557</v>
      </c>
      <c r="N405" s="71" t="s">
        <v>558</v>
      </c>
      <c r="O405" s="71" t="s">
        <v>559</v>
      </c>
      <c r="P405" s="74">
        <v>1</v>
      </c>
      <c r="Q405" s="75">
        <v>0.25</v>
      </c>
      <c r="R405" s="74"/>
      <c r="S405" s="76">
        <f t="shared" si="18"/>
        <v>0</v>
      </c>
      <c r="T405" s="77">
        <f t="shared" si="19"/>
        <v>0</v>
      </c>
      <c r="U405" s="71" t="s">
        <v>34</v>
      </c>
      <c r="V405" s="71"/>
      <c r="W405" s="71"/>
    </row>
    <row r="406" spans="1:23" ht="23.4" x14ac:dyDescent="0.5">
      <c r="A406" s="1">
        <f t="shared" si="20"/>
        <v>405</v>
      </c>
      <c r="B406" s="15" t="s">
        <v>23</v>
      </c>
      <c r="C406" s="15" t="s">
        <v>24</v>
      </c>
      <c r="D406" s="68">
        <v>3178</v>
      </c>
      <c r="E406" s="15" t="s">
        <v>565</v>
      </c>
      <c r="F406" s="69" t="s">
        <v>566</v>
      </c>
      <c r="G406" s="70">
        <v>3486</v>
      </c>
      <c r="H406" s="71" t="s">
        <v>513</v>
      </c>
      <c r="I406" s="71" t="s">
        <v>515</v>
      </c>
      <c r="J406" s="1983" t="s">
        <v>110</v>
      </c>
      <c r="K406" s="20" t="s">
        <v>111</v>
      </c>
      <c r="L406" s="21">
        <v>0.4</v>
      </c>
      <c r="M406" s="325" t="s">
        <v>560</v>
      </c>
      <c r="N406" s="71" t="s">
        <v>561</v>
      </c>
      <c r="O406" s="71" t="s">
        <v>562</v>
      </c>
      <c r="P406" s="74">
        <v>1</v>
      </c>
      <c r="Q406" s="75">
        <v>0.25</v>
      </c>
      <c r="R406" s="74"/>
      <c r="S406" s="76">
        <f t="shared" si="18"/>
        <v>0</v>
      </c>
      <c r="T406" s="77">
        <f t="shared" si="19"/>
        <v>0</v>
      </c>
      <c r="U406" s="71" t="s">
        <v>34</v>
      </c>
      <c r="V406" s="71"/>
      <c r="W406" s="71"/>
    </row>
    <row r="407" spans="1:23" ht="23.4" x14ac:dyDescent="0.5">
      <c r="A407" s="1">
        <f t="shared" si="20"/>
        <v>406</v>
      </c>
      <c r="B407" s="15" t="s">
        <v>23</v>
      </c>
      <c r="C407" s="15" t="s">
        <v>24</v>
      </c>
      <c r="D407" s="68">
        <v>3178</v>
      </c>
      <c r="E407" s="15" t="s">
        <v>565</v>
      </c>
      <c r="F407" s="69" t="s">
        <v>566</v>
      </c>
      <c r="G407" s="70">
        <v>3486</v>
      </c>
      <c r="H407" s="71" t="s">
        <v>513</v>
      </c>
      <c r="I407" s="71" t="s">
        <v>515</v>
      </c>
      <c r="J407" s="1983" t="s">
        <v>110</v>
      </c>
      <c r="K407" s="20" t="s">
        <v>111</v>
      </c>
      <c r="L407" s="21">
        <v>0.4</v>
      </c>
      <c r="M407" s="325" t="s">
        <v>563</v>
      </c>
      <c r="N407" s="71" t="s">
        <v>564</v>
      </c>
      <c r="O407" s="71" t="s">
        <v>527</v>
      </c>
      <c r="P407" s="74">
        <v>1</v>
      </c>
      <c r="Q407" s="75">
        <v>0.25</v>
      </c>
      <c r="R407" s="74"/>
      <c r="S407" s="76">
        <f t="shared" si="18"/>
        <v>0</v>
      </c>
      <c r="T407" s="77">
        <f t="shared" si="19"/>
        <v>0</v>
      </c>
      <c r="U407" s="71" t="s">
        <v>34</v>
      </c>
      <c r="V407" s="71"/>
      <c r="W407" s="71"/>
    </row>
    <row r="408" spans="1:23" ht="23.4" x14ac:dyDescent="0.45">
      <c r="A408" s="1">
        <f t="shared" si="20"/>
        <v>407</v>
      </c>
      <c r="B408" s="2" t="s">
        <v>23</v>
      </c>
      <c r="C408" s="2" t="s">
        <v>24</v>
      </c>
      <c r="D408" s="49">
        <v>3494</v>
      </c>
      <c r="E408" s="2" t="s">
        <v>568</v>
      </c>
      <c r="F408" s="50" t="s">
        <v>569</v>
      </c>
      <c r="G408" s="51">
        <v>4051</v>
      </c>
      <c r="H408" s="14" t="s">
        <v>25</v>
      </c>
      <c r="I408" s="14" t="s">
        <v>570</v>
      </c>
      <c r="J408" s="1981" t="s">
        <v>57</v>
      </c>
      <c r="K408" s="8" t="s">
        <v>58</v>
      </c>
      <c r="L408" s="53">
        <v>0.6</v>
      </c>
      <c r="M408" s="91" t="s">
        <v>108</v>
      </c>
      <c r="N408" s="91" t="s">
        <v>571</v>
      </c>
      <c r="O408" s="3" t="s">
        <v>572</v>
      </c>
      <c r="P408" s="14">
        <v>0.85</v>
      </c>
      <c r="Q408" s="56">
        <v>0.15</v>
      </c>
      <c r="R408" s="14"/>
      <c r="S408" s="14">
        <f t="shared" si="18"/>
        <v>0</v>
      </c>
      <c r="T408" s="51">
        <f t="shared" si="19"/>
        <v>0</v>
      </c>
      <c r="U408" s="14" t="s">
        <v>34</v>
      </c>
      <c r="V408" s="1955">
        <f>SUM(T408:T422)%</f>
        <v>0</v>
      </c>
      <c r="W408" s="14"/>
    </row>
    <row r="409" spans="1:23" ht="23.4" x14ac:dyDescent="0.45">
      <c r="A409" s="1">
        <f t="shared" si="20"/>
        <v>408</v>
      </c>
      <c r="B409" s="57" t="s">
        <v>23</v>
      </c>
      <c r="C409" s="57" t="s">
        <v>24</v>
      </c>
      <c r="D409" s="58">
        <v>3494</v>
      </c>
      <c r="E409" s="59" t="s">
        <v>568</v>
      </c>
      <c r="F409" s="60" t="s">
        <v>569</v>
      </c>
      <c r="G409" s="61">
        <v>4051</v>
      </c>
      <c r="H409" s="62" t="s">
        <v>25</v>
      </c>
      <c r="I409" s="62" t="s">
        <v>570</v>
      </c>
      <c r="J409" s="1985" t="s">
        <v>57</v>
      </c>
      <c r="K409" s="52" t="s">
        <v>58</v>
      </c>
      <c r="L409" s="63">
        <v>0.6</v>
      </c>
      <c r="M409" s="416" t="s">
        <v>573</v>
      </c>
      <c r="N409" s="415" t="s">
        <v>574</v>
      </c>
      <c r="O409" s="417" t="s">
        <v>575</v>
      </c>
      <c r="P409" s="62">
        <v>1</v>
      </c>
      <c r="Q409" s="65">
        <v>0.15</v>
      </c>
      <c r="R409" s="62"/>
      <c r="S409" s="66">
        <f t="shared" si="18"/>
        <v>0</v>
      </c>
      <c r="T409" s="67">
        <f t="shared" si="19"/>
        <v>0</v>
      </c>
      <c r="U409" s="62" t="s">
        <v>34</v>
      </c>
      <c r="V409" s="430"/>
      <c r="W409" s="62"/>
    </row>
    <row r="410" spans="1:23" ht="23.4" x14ac:dyDescent="0.45">
      <c r="A410" s="1">
        <f t="shared" si="20"/>
        <v>409</v>
      </c>
      <c r="B410" s="57" t="s">
        <v>23</v>
      </c>
      <c r="C410" s="57" t="s">
        <v>24</v>
      </c>
      <c r="D410" s="58">
        <v>3494</v>
      </c>
      <c r="E410" s="59" t="s">
        <v>568</v>
      </c>
      <c r="F410" s="60" t="s">
        <v>569</v>
      </c>
      <c r="G410" s="61">
        <v>4051</v>
      </c>
      <c r="H410" s="62" t="s">
        <v>25</v>
      </c>
      <c r="I410" s="62" t="s">
        <v>570</v>
      </c>
      <c r="J410" s="1985" t="s">
        <v>57</v>
      </c>
      <c r="K410" s="52" t="s">
        <v>58</v>
      </c>
      <c r="L410" s="63">
        <v>0.6</v>
      </c>
      <c r="M410" s="416" t="s">
        <v>576</v>
      </c>
      <c r="N410" s="415" t="s">
        <v>577</v>
      </c>
      <c r="O410" s="417" t="s">
        <v>578</v>
      </c>
      <c r="P410" s="62">
        <v>1</v>
      </c>
      <c r="Q410" s="65">
        <v>0.15</v>
      </c>
      <c r="R410" s="62"/>
      <c r="S410" s="66">
        <f t="shared" si="18"/>
        <v>0</v>
      </c>
      <c r="T410" s="67">
        <f t="shared" si="19"/>
        <v>0</v>
      </c>
      <c r="U410" s="62" t="s">
        <v>83</v>
      </c>
      <c r="V410" s="430"/>
      <c r="W410" s="62"/>
    </row>
    <row r="411" spans="1:23" ht="23.4" x14ac:dyDescent="0.45">
      <c r="A411" s="1">
        <f t="shared" si="20"/>
        <v>410</v>
      </c>
      <c r="B411" s="57" t="s">
        <v>23</v>
      </c>
      <c r="C411" s="57" t="s">
        <v>24</v>
      </c>
      <c r="D411" s="58">
        <v>3494</v>
      </c>
      <c r="E411" s="59" t="s">
        <v>568</v>
      </c>
      <c r="F411" s="60" t="s">
        <v>569</v>
      </c>
      <c r="G411" s="61">
        <v>4051</v>
      </c>
      <c r="H411" s="62" t="s">
        <v>25</v>
      </c>
      <c r="I411" s="62" t="s">
        <v>570</v>
      </c>
      <c r="J411" s="1985" t="s">
        <v>57</v>
      </c>
      <c r="K411" s="52" t="s">
        <v>58</v>
      </c>
      <c r="L411" s="63">
        <v>0.6</v>
      </c>
      <c r="M411" s="416" t="s">
        <v>96</v>
      </c>
      <c r="N411" s="415" t="s">
        <v>579</v>
      </c>
      <c r="O411" s="417" t="s">
        <v>580</v>
      </c>
      <c r="P411" s="62">
        <v>1</v>
      </c>
      <c r="Q411" s="65">
        <v>0.1</v>
      </c>
      <c r="R411" s="62"/>
      <c r="S411" s="66">
        <f t="shared" si="18"/>
        <v>0</v>
      </c>
      <c r="T411" s="67">
        <f t="shared" si="19"/>
        <v>0</v>
      </c>
      <c r="U411" s="62" t="s">
        <v>34</v>
      </c>
      <c r="V411" s="430"/>
      <c r="W411" s="62"/>
    </row>
    <row r="412" spans="1:23" ht="23.4" x14ac:dyDescent="0.45">
      <c r="A412" s="1">
        <f t="shared" si="20"/>
        <v>411</v>
      </c>
      <c r="B412" s="57" t="s">
        <v>23</v>
      </c>
      <c r="C412" s="57" t="s">
        <v>24</v>
      </c>
      <c r="D412" s="58">
        <v>3494</v>
      </c>
      <c r="E412" s="59" t="s">
        <v>568</v>
      </c>
      <c r="F412" s="60" t="s">
        <v>569</v>
      </c>
      <c r="G412" s="61">
        <v>4051</v>
      </c>
      <c r="H412" s="62" t="s">
        <v>25</v>
      </c>
      <c r="I412" s="62" t="s">
        <v>570</v>
      </c>
      <c r="J412" s="1985" t="s">
        <v>57</v>
      </c>
      <c r="K412" s="52" t="s">
        <v>58</v>
      </c>
      <c r="L412" s="63">
        <v>0.6</v>
      </c>
      <c r="M412" s="416" t="s">
        <v>581</v>
      </c>
      <c r="N412" s="415" t="s">
        <v>582</v>
      </c>
      <c r="O412" s="417" t="s">
        <v>583</v>
      </c>
      <c r="P412" s="62">
        <v>1</v>
      </c>
      <c r="Q412" s="65">
        <v>0.05</v>
      </c>
      <c r="R412" s="62"/>
      <c r="S412" s="66">
        <f t="shared" si="18"/>
        <v>0</v>
      </c>
      <c r="T412" s="67">
        <f t="shared" si="19"/>
        <v>0</v>
      </c>
      <c r="U412" s="62" t="s">
        <v>83</v>
      </c>
      <c r="V412" s="430"/>
      <c r="W412" s="62"/>
    </row>
    <row r="413" spans="1:23" ht="23.4" x14ac:dyDescent="0.45">
      <c r="A413" s="1">
        <f t="shared" si="20"/>
        <v>412</v>
      </c>
      <c r="B413" s="57" t="s">
        <v>23</v>
      </c>
      <c r="C413" s="57" t="s">
        <v>24</v>
      </c>
      <c r="D413" s="58">
        <v>3494</v>
      </c>
      <c r="E413" s="59" t="s">
        <v>568</v>
      </c>
      <c r="F413" s="60" t="s">
        <v>569</v>
      </c>
      <c r="G413" s="61">
        <v>4051</v>
      </c>
      <c r="H413" s="62" t="s">
        <v>25</v>
      </c>
      <c r="I413" s="62" t="s">
        <v>570</v>
      </c>
      <c r="J413" s="1985" t="s">
        <v>57</v>
      </c>
      <c r="K413" s="52" t="s">
        <v>58</v>
      </c>
      <c r="L413" s="63">
        <v>0.6</v>
      </c>
      <c r="M413" s="416" t="s">
        <v>584</v>
      </c>
      <c r="N413" s="415" t="s">
        <v>585</v>
      </c>
      <c r="O413" s="417" t="s">
        <v>462</v>
      </c>
      <c r="P413" s="62">
        <v>1</v>
      </c>
      <c r="Q413" s="65">
        <v>0.05</v>
      </c>
      <c r="R413" s="62"/>
      <c r="S413" s="66">
        <f t="shared" si="18"/>
        <v>0</v>
      </c>
      <c r="T413" s="67">
        <f t="shared" si="19"/>
        <v>0</v>
      </c>
      <c r="U413" s="62" t="s">
        <v>34</v>
      </c>
      <c r="V413" s="430"/>
      <c r="W413" s="62"/>
    </row>
    <row r="414" spans="1:23" ht="23.4" x14ac:dyDescent="0.45">
      <c r="A414" s="1">
        <f t="shared" si="20"/>
        <v>413</v>
      </c>
      <c r="B414" s="57" t="s">
        <v>23</v>
      </c>
      <c r="C414" s="57" t="s">
        <v>24</v>
      </c>
      <c r="D414" s="58">
        <v>3494</v>
      </c>
      <c r="E414" s="59" t="s">
        <v>568</v>
      </c>
      <c r="F414" s="60" t="s">
        <v>569</v>
      </c>
      <c r="G414" s="61">
        <v>4051</v>
      </c>
      <c r="H414" s="62" t="s">
        <v>25</v>
      </c>
      <c r="I414" s="62" t="s">
        <v>570</v>
      </c>
      <c r="J414" s="1985" t="s">
        <v>57</v>
      </c>
      <c r="K414" s="52" t="s">
        <v>58</v>
      </c>
      <c r="L414" s="63">
        <v>0.6</v>
      </c>
      <c r="M414" s="416" t="s">
        <v>423</v>
      </c>
      <c r="N414" s="415" t="s">
        <v>586</v>
      </c>
      <c r="O414" s="417" t="s">
        <v>587</v>
      </c>
      <c r="P414" s="62">
        <v>1</v>
      </c>
      <c r="Q414" s="65">
        <v>0.05</v>
      </c>
      <c r="R414" s="62"/>
      <c r="S414" s="66">
        <f t="shared" si="18"/>
        <v>0</v>
      </c>
      <c r="T414" s="67">
        <f t="shared" si="19"/>
        <v>0</v>
      </c>
      <c r="U414" s="62" t="s">
        <v>34</v>
      </c>
      <c r="V414" s="430"/>
      <c r="W414" s="62"/>
    </row>
    <row r="415" spans="1:23" ht="23.4" x14ac:dyDescent="0.45">
      <c r="A415" s="1">
        <f t="shared" si="20"/>
        <v>414</v>
      </c>
      <c r="B415" s="57" t="s">
        <v>23</v>
      </c>
      <c r="C415" s="57" t="s">
        <v>24</v>
      </c>
      <c r="D415" s="58">
        <v>3494</v>
      </c>
      <c r="E415" s="59" t="s">
        <v>568</v>
      </c>
      <c r="F415" s="60" t="s">
        <v>569</v>
      </c>
      <c r="G415" s="61">
        <v>4051</v>
      </c>
      <c r="H415" s="62" t="s">
        <v>25</v>
      </c>
      <c r="I415" s="62" t="s">
        <v>570</v>
      </c>
      <c r="J415" s="1985" t="s">
        <v>57</v>
      </c>
      <c r="K415" s="52" t="s">
        <v>58</v>
      </c>
      <c r="L415" s="63">
        <v>0.6</v>
      </c>
      <c r="M415" s="416" t="s">
        <v>415</v>
      </c>
      <c r="N415" s="415" t="s">
        <v>88</v>
      </c>
      <c r="O415" s="417" t="s">
        <v>588</v>
      </c>
      <c r="P415" s="62">
        <v>1</v>
      </c>
      <c r="Q415" s="65">
        <v>0.1</v>
      </c>
      <c r="R415" s="62"/>
      <c r="S415" s="66">
        <f t="shared" si="18"/>
        <v>0</v>
      </c>
      <c r="T415" s="67">
        <f t="shared" si="19"/>
        <v>0</v>
      </c>
      <c r="U415" s="62" t="s">
        <v>83</v>
      </c>
      <c r="V415" s="430"/>
      <c r="W415" s="62"/>
    </row>
    <row r="416" spans="1:23" ht="23.4" x14ac:dyDescent="0.45">
      <c r="A416" s="1">
        <f t="shared" si="20"/>
        <v>415</v>
      </c>
      <c r="B416" s="57" t="s">
        <v>23</v>
      </c>
      <c r="C416" s="57" t="s">
        <v>24</v>
      </c>
      <c r="D416" s="58">
        <v>3494</v>
      </c>
      <c r="E416" s="59" t="s">
        <v>568</v>
      </c>
      <c r="F416" s="60" t="s">
        <v>569</v>
      </c>
      <c r="G416" s="61">
        <v>4051</v>
      </c>
      <c r="H416" s="62" t="s">
        <v>25</v>
      </c>
      <c r="I416" s="62" t="s">
        <v>570</v>
      </c>
      <c r="J416" s="1985" t="s">
        <v>57</v>
      </c>
      <c r="K416" s="52" t="s">
        <v>58</v>
      </c>
      <c r="L416" s="63">
        <v>0.6</v>
      </c>
      <c r="M416" s="416" t="s">
        <v>589</v>
      </c>
      <c r="N416" s="415" t="s">
        <v>590</v>
      </c>
      <c r="O416" s="417" t="s">
        <v>591</v>
      </c>
      <c r="P416" s="62">
        <v>1</v>
      </c>
      <c r="Q416" s="65">
        <v>0.05</v>
      </c>
      <c r="R416" s="62"/>
      <c r="S416" s="66">
        <f t="shared" si="18"/>
        <v>0</v>
      </c>
      <c r="T416" s="67">
        <f t="shared" si="19"/>
        <v>0</v>
      </c>
      <c r="U416" s="62" t="s">
        <v>34</v>
      </c>
      <c r="V416" s="430"/>
      <c r="W416" s="62"/>
    </row>
    <row r="417" spans="1:23" ht="23.4" x14ac:dyDescent="0.45">
      <c r="A417" s="1">
        <f t="shared" si="20"/>
        <v>416</v>
      </c>
      <c r="B417" s="57" t="s">
        <v>23</v>
      </c>
      <c r="C417" s="57" t="s">
        <v>24</v>
      </c>
      <c r="D417" s="58">
        <v>3494</v>
      </c>
      <c r="E417" s="59" t="s">
        <v>568</v>
      </c>
      <c r="F417" s="60" t="s">
        <v>569</v>
      </c>
      <c r="G417" s="61">
        <v>4051</v>
      </c>
      <c r="H417" s="62" t="s">
        <v>25</v>
      </c>
      <c r="I417" s="62" t="s">
        <v>570</v>
      </c>
      <c r="J417" s="1985" t="s">
        <v>57</v>
      </c>
      <c r="K417" s="52" t="s">
        <v>58</v>
      </c>
      <c r="L417" s="63">
        <v>0.6</v>
      </c>
      <c r="M417" s="416" t="s">
        <v>592</v>
      </c>
      <c r="N417" s="415" t="s">
        <v>593</v>
      </c>
      <c r="O417" s="417" t="s">
        <v>594</v>
      </c>
      <c r="P417" s="62">
        <v>1</v>
      </c>
      <c r="Q417" s="65">
        <v>0.05</v>
      </c>
      <c r="R417" s="62"/>
      <c r="S417" s="66">
        <f t="shared" si="18"/>
        <v>0</v>
      </c>
      <c r="T417" s="67">
        <f t="shared" si="19"/>
        <v>0</v>
      </c>
      <c r="U417" s="62" t="s">
        <v>34</v>
      </c>
      <c r="V417" s="430"/>
      <c r="W417" s="62"/>
    </row>
    <row r="418" spans="1:23" ht="23.4" x14ac:dyDescent="0.45">
      <c r="A418" s="1">
        <f t="shared" si="20"/>
        <v>417</v>
      </c>
      <c r="B418" s="57" t="s">
        <v>23</v>
      </c>
      <c r="C418" s="57" t="s">
        <v>24</v>
      </c>
      <c r="D418" s="58">
        <v>3494</v>
      </c>
      <c r="E418" s="59" t="s">
        <v>568</v>
      </c>
      <c r="F418" s="60" t="s">
        <v>569</v>
      </c>
      <c r="G418" s="61">
        <v>4051</v>
      </c>
      <c r="H418" s="62" t="s">
        <v>25</v>
      </c>
      <c r="I418" s="62" t="s">
        <v>570</v>
      </c>
      <c r="J418" s="1985" t="s">
        <v>57</v>
      </c>
      <c r="K418" s="52" t="s">
        <v>58</v>
      </c>
      <c r="L418" s="63">
        <v>0.6</v>
      </c>
      <c r="M418" s="416" t="s">
        <v>595</v>
      </c>
      <c r="N418" s="415" t="s">
        <v>596</v>
      </c>
      <c r="O418" s="417" t="s">
        <v>597</v>
      </c>
      <c r="P418" s="62">
        <v>0.05</v>
      </c>
      <c r="Q418" s="65">
        <v>0.1</v>
      </c>
      <c r="R418" s="62"/>
      <c r="S418" s="66">
        <f t="shared" si="18"/>
        <v>0</v>
      </c>
      <c r="T418" s="67">
        <f t="shared" si="19"/>
        <v>0</v>
      </c>
      <c r="U418" s="62" t="s">
        <v>83</v>
      </c>
      <c r="V418" s="430"/>
      <c r="W418" s="62"/>
    </row>
    <row r="419" spans="1:23" ht="23.4" x14ac:dyDescent="0.5">
      <c r="A419" s="1">
        <f t="shared" si="20"/>
        <v>418</v>
      </c>
      <c r="B419" s="15" t="s">
        <v>23</v>
      </c>
      <c r="C419" s="15" t="s">
        <v>24</v>
      </c>
      <c r="D419" s="68">
        <v>3494</v>
      </c>
      <c r="E419" s="15" t="s">
        <v>568</v>
      </c>
      <c r="F419" s="69" t="s">
        <v>569</v>
      </c>
      <c r="G419" s="70">
        <v>4051</v>
      </c>
      <c r="H419" s="71" t="s">
        <v>25</v>
      </c>
      <c r="I419" s="71" t="s">
        <v>570</v>
      </c>
      <c r="J419" s="1983" t="s">
        <v>110</v>
      </c>
      <c r="K419" s="20" t="s">
        <v>111</v>
      </c>
      <c r="L419" s="21">
        <v>0.4</v>
      </c>
      <c r="M419" s="325" t="s">
        <v>112</v>
      </c>
      <c r="N419" s="71" t="s">
        <v>113</v>
      </c>
      <c r="O419" s="71" t="s">
        <v>598</v>
      </c>
      <c r="P419" s="74">
        <v>1</v>
      </c>
      <c r="Q419" s="75">
        <v>0.25</v>
      </c>
      <c r="R419" s="74"/>
      <c r="S419" s="76">
        <f t="shared" si="18"/>
        <v>0</v>
      </c>
      <c r="T419" s="77">
        <f t="shared" si="19"/>
        <v>0</v>
      </c>
      <c r="U419" s="71" t="s">
        <v>34</v>
      </c>
      <c r="V419" s="71"/>
      <c r="W419" s="71"/>
    </row>
    <row r="420" spans="1:23" ht="23.4" x14ac:dyDescent="0.5">
      <c r="A420" s="1">
        <f t="shared" si="20"/>
        <v>419</v>
      </c>
      <c r="B420" s="15" t="s">
        <v>23</v>
      </c>
      <c r="C420" s="15" t="s">
        <v>24</v>
      </c>
      <c r="D420" s="68">
        <v>3494</v>
      </c>
      <c r="E420" s="15" t="s">
        <v>568</v>
      </c>
      <c r="F420" s="69" t="s">
        <v>569</v>
      </c>
      <c r="G420" s="70">
        <v>4051</v>
      </c>
      <c r="H420" s="71" t="s">
        <v>25</v>
      </c>
      <c r="I420" s="71" t="s">
        <v>570</v>
      </c>
      <c r="J420" s="1983" t="s">
        <v>110</v>
      </c>
      <c r="K420" s="20" t="s">
        <v>111</v>
      </c>
      <c r="L420" s="21">
        <v>0.4</v>
      </c>
      <c r="M420" s="325" t="s">
        <v>599</v>
      </c>
      <c r="N420" s="71" t="s">
        <v>600</v>
      </c>
      <c r="O420" s="71" t="s">
        <v>598</v>
      </c>
      <c r="P420" s="74">
        <v>1</v>
      </c>
      <c r="Q420" s="75">
        <v>0.25</v>
      </c>
      <c r="R420" s="74"/>
      <c r="S420" s="76">
        <f t="shared" si="18"/>
        <v>0</v>
      </c>
      <c r="T420" s="77">
        <f t="shared" si="19"/>
        <v>0</v>
      </c>
      <c r="U420" s="71" t="s">
        <v>34</v>
      </c>
      <c r="V420" s="71"/>
      <c r="W420" s="71"/>
    </row>
    <row r="421" spans="1:23" ht="23.4" x14ac:dyDescent="0.5">
      <c r="A421" s="1">
        <f t="shared" si="20"/>
        <v>420</v>
      </c>
      <c r="B421" s="15" t="s">
        <v>23</v>
      </c>
      <c r="C421" s="15" t="s">
        <v>24</v>
      </c>
      <c r="D421" s="68">
        <v>3494</v>
      </c>
      <c r="E421" s="15" t="s">
        <v>568</v>
      </c>
      <c r="F421" s="69" t="s">
        <v>569</v>
      </c>
      <c r="G421" s="70">
        <v>4051</v>
      </c>
      <c r="H421" s="71" t="s">
        <v>25</v>
      </c>
      <c r="I421" s="71" t="s">
        <v>570</v>
      </c>
      <c r="J421" s="1983" t="s">
        <v>110</v>
      </c>
      <c r="K421" s="20" t="s">
        <v>111</v>
      </c>
      <c r="L421" s="21">
        <v>0.4</v>
      </c>
      <c r="M421" s="325" t="s">
        <v>601</v>
      </c>
      <c r="N421" s="71" t="s">
        <v>602</v>
      </c>
      <c r="O421" s="71" t="s">
        <v>598</v>
      </c>
      <c r="P421" s="74">
        <v>1</v>
      </c>
      <c r="Q421" s="75">
        <v>0.25</v>
      </c>
      <c r="R421" s="74"/>
      <c r="S421" s="76">
        <f t="shared" si="18"/>
        <v>0</v>
      </c>
      <c r="T421" s="77">
        <f t="shared" si="19"/>
        <v>0</v>
      </c>
      <c r="U421" s="71" t="s">
        <v>34</v>
      </c>
      <c r="V421" s="71"/>
      <c r="W421" s="71"/>
    </row>
    <row r="422" spans="1:23" ht="23.4" x14ac:dyDescent="0.5">
      <c r="A422" s="1">
        <f t="shared" si="20"/>
        <v>421</v>
      </c>
      <c r="B422" s="15" t="s">
        <v>23</v>
      </c>
      <c r="C422" s="15" t="s">
        <v>24</v>
      </c>
      <c r="D422" s="68">
        <v>3494</v>
      </c>
      <c r="E422" s="15" t="s">
        <v>568</v>
      </c>
      <c r="F422" s="69" t="s">
        <v>569</v>
      </c>
      <c r="G422" s="70">
        <v>4051</v>
      </c>
      <c r="H422" s="71" t="s">
        <v>25</v>
      </c>
      <c r="I422" s="71" t="s">
        <v>570</v>
      </c>
      <c r="J422" s="1983" t="s">
        <v>110</v>
      </c>
      <c r="K422" s="20" t="s">
        <v>111</v>
      </c>
      <c r="L422" s="21">
        <v>0.4</v>
      </c>
      <c r="M422" s="325" t="s">
        <v>603</v>
      </c>
      <c r="N422" s="71" t="s">
        <v>117</v>
      </c>
      <c r="O422" s="71" t="s">
        <v>598</v>
      </c>
      <c r="P422" s="74">
        <v>1</v>
      </c>
      <c r="Q422" s="75">
        <v>0.25</v>
      </c>
      <c r="R422" s="74"/>
      <c r="S422" s="76">
        <f t="shared" si="18"/>
        <v>0</v>
      </c>
      <c r="T422" s="77">
        <f t="shared" si="19"/>
        <v>0</v>
      </c>
      <c r="U422" s="71" t="s">
        <v>34</v>
      </c>
      <c r="V422" s="71"/>
      <c r="W422" s="71"/>
    </row>
    <row r="423" spans="1:23" ht="23.4" x14ac:dyDescent="0.45">
      <c r="A423" s="1">
        <f t="shared" si="20"/>
        <v>422</v>
      </c>
      <c r="B423" s="2" t="s">
        <v>23</v>
      </c>
      <c r="C423" s="2" t="s">
        <v>24</v>
      </c>
      <c r="D423" s="49">
        <v>3531</v>
      </c>
      <c r="E423" s="2" t="s">
        <v>604</v>
      </c>
      <c r="F423" s="50" t="s">
        <v>605</v>
      </c>
      <c r="G423" s="51">
        <v>3494</v>
      </c>
      <c r="H423" s="14" t="s">
        <v>568</v>
      </c>
      <c r="I423" s="14" t="s">
        <v>570</v>
      </c>
      <c r="J423" s="1981" t="s">
        <v>57</v>
      </c>
      <c r="K423" s="8" t="s">
        <v>58</v>
      </c>
      <c r="L423" s="53">
        <v>0.6</v>
      </c>
      <c r="M423" s="91" t="s">
        <v>606</v>
      </c>
      <c r="N423" s="91" t="s">
        <v>607</v>
      </c>
      <c r="O423" s="3" t="s">
        <v>608</v>
      </c>
      <c r="P423" s="14">
        <v>1</v>
      </c>
      <c r="Q423" s="56">
        <v>0.2</v>
      </c>
      <c r="R423" s="14"/>
      <c r="S423" s="14">
        <f t="shared" si="18"/>
        <v>0</v>
      </c>
      <c r="T423" s="51">
        <f t="shared" si="19"/>
        <v>0</v>
      </c>
      <c r="U423" s="14" t="s">
        <v>34</v>
      </c>
      <c r="V423" s="1955">
        <f>SUM(T423:T437)%</f>
        <v>0</v>
      </c>
      <c r="W423" s="14"/>
    </row>
    <row r="424" spans="1:23" ht="23.4" x14ac:dyDescent="0.45">
      <c r="A424" s="1">
        <f t="shared" si="20"/>
        <v>423</v>
      </c>
      <c r="B424" s="57" t="s">
        <v>23</v>
      </c>
      <c r="C424" s="57" t="s">
        <v>24</v>
      </c>
      <c r="D424" s="58">
        <v>3531</v>
      </c>
      <c r="E424" s="59" t="s">
        <v>604</v>
      </c>
      <c r="F424" s="60" t="s">
        <v>605</v>
      </c>
      <c r="G424" s="61">
        <v>3494</v>
      </c>
      <c r="H424" s="62" t="s">
        <v>568</v>
      </c>
      <c r="I424" s="62" t="s">
        <v>570</v>
      </c>
      <c r="J424" s="1985" t="s">
        <v>57</v>
      </c>
      <c r="K424" s="52" t="s">
        <v>58</v>
      </c>
      <c r="L424" s="63">
        <v>0.6</v>
      </c>
      <c r="M424" s="416" t="s">
        <v>609</v>
      </c>
      <c r="N424" s="415" t="s">
        <v>610</v>
      </c>
      <c r="O424" s="417" t="s">
        <v>611</v>
      </c>
      <c r="P424" s="62">
        <v>1</v>
      </c>
      <c r="Q424" s="65">
        <v>0.25</v>
      </c>
      <c r="R424" s="62"/>
      <c r="S424" s="66">
        <f t="shared" si="18"/>
        <v>0</v>
      </c>
      <c r="T424" s="67">
        <f t="shared" si="19"/>
        <v>0</v>
      </c>
      <c r="U424" s="62" t="s">
        <v>34</v>
      </c>
      <c r="V424" s="430"/>
      <c r="W424" s="62"/>
    </row>
    <row r="425" spans="1:23" ht="23.4" x14ac:dyDescent="0.45">
      <c r="A425" s="1">
        <f t="shared" si="20"/>
        <v>424</v>
      </c>
      <c r="B425" s="57" t="s">
        <v>23</v>
      </c>
      <c r="C425" s="57" t="s">
        <v>24</v>
      </c>
      <c r="D425" s="58">
        <v>3531</v>
      </c>
      <c r="E425" s="59" t="s">
        <v>604</v>
      </c>
      <c r="F425" s="60" t="s">
        <v>605</v>
      </c>
      <c r="G425" s="61">
        <v>3494</v>
      </c>
      <c r="H425" s="62" t="s">
        <v>568</v>
      </c>
      <c r="I425" s="62" t="s">
        <v>570</v>
      </c>
      <c r="J425" s="1985" t="s">
        <v>57</v>
      </c>
      <c r="K425" s="52" t="s">
        <v>58</v>
      </c>
      <c r="L425" s="63">
        <v>0.6</v>
      </c>
      <c r="M425" s="416" t="s">
        <v>612</v>
      </c>
      <c r="N425" s="415" t="s">
        <v>613</v>
      </c>
      <c r="O425" s="417" t="s">
        <v>614</v>
      </c>
      <c r="P425" s="62">
        <v>1</v>
      </c>
      <c r="Q425" s="65">
        <v>0.05</v>
      </c>
      <c r="R425" s="62"/>
      <c r="S425" s="66">
        <f t="shared" si="18"/>
        <v>0</v>
      </c>
      <c r="T425" s="67">
        <f t="shared" si="19"/>
        <v>0</v>
      </c>
      <c r="U425" s="62" t="s">
        <v>34</v>
      </c>
      <c r="V425" s="430"/>
      <c r="W425" s="62"/>
    </row>
    <row r="426" spans="1:23" ht="23.4" x14ac:dyDescent="0.45">
      <c r="A426" s="1">
        <f t="shared" si="20"/>
        <v>425</v>
      </c>
      <c r="B426" s="57" t="s">
        <v>23</v>
      </c>
      <c r="C426" s="57" t="s">
        <v>24</v>
      </c>
      <c r="D426" s="58">
        <v>3531</v>
      </c>
      <c r="E426" s="59" t="s">
        <v>604</v>
      </c>
      <c r="F426" s="60" t="s">
        <v>605</v>
      </c>
      <c r="G426" s="61">
        <v>3494</v>
      </c>
      <c r="H426" s="62" t="s">
        <v>568</v>
      </c>
      <c r="I426" s="62" t="s">
        <v>570</v>
      </c>
      <c r="J426" s="1985" t="s">
        <v>57</v>
      </c>
      <c r="K426" s="52" t="s">
        <v>58</v>
      </c>
      <c r="L426" s="63">
        <v>0.6</v>
      </c>
      <c r="M426" s="416" t="s">
        <v>615</v>
      </c>
      <c r="N426" s="415" t="s">
        <v>616</v>
      </c>
      <c r="O426" s="417" t="s">
        <v>617</v>
      </c>
      <c r="P426" s="62">
        <v>1</v>
      </c>
      <c r="Q426" s="65">
        <v>0.05</v>
      </c>
      <c r="R426" s="62"/>
      <c r="S426" s="66">
        <f t="shared" si="18"/>
        <v>0</v>
      </c>
      <c r="T426" s="67">
        <f t="shared" si="19"/>
        <v>0</v>
      </c>
      <c r="U426" s="62" t="s">
        <v>34</v>
      </c>
      <c r="V426" s="430"/>
      <c r="W426" s="62"/>
    </row>
    <row r="427" spans="1:23" ht="23.4" x14ac:dyDescent="0.45">
      <c r="A427" s="1">
        <f t="shared" si="20"/>
        <v>426</v>
      </c>
      <c r="B427" s="57" t="s">
        <v>23</v>
      </c>
      <c r="C427" s="57" t="s">
        <v>24</v>
      </c>
      <c r="D427" s="58">
        <v>3531</v>
      </c>
      <c r="E427" s="59" t="s">
        <v>604</v>
      </c>
      <c r="F427" s="60" t="s">
        <v>605</v>
      </c>
      <c r="G427" s="61">
        <v>3494</v>
      </c>
      <c r="H427" s="62" t="s">
        <v>568</v>
      </c>
      <c r="I427" s="62" t="s">
        <v>570</v>
      </c>
      <c r="J427" s="1985" t="s">
        <v>57</v>
      </c>
      <c r="K427" s="52" t="s">
        <v>58</v>
      </c>
      <c r="L427" s="63">
        <v>0.6</v>
      </c>
      <c r="M427" s="416" t="s">
        <v>618</v>
      </c>
      <c r="N427" s="415" t="s">
        <v>619</v>
      </c>
      <c r="O427" s="417" t="s">
        <v>620</v>
      </c>
      <c r="P427" s="62">
        <v>1</v>
      </c>
      <c r="Q427" s="65">
        <v>0.05</v>
      </c>
      <c r="R427" s="62"/>
      <c r="S427" s="66">
        <f t="shared" si="18"/>
        <v>0</v>
      </c>
      <c r="T427" s="67">
        <f t="shared" si="19"/>
        <v>0</v>
      </c>
      <c r="U427" s="62" t="s">
        <v>34</v>
      </c>
      <c r="V427" s="430"/>
      <c r="W427" s="62"/>
    </row>
    <row r="428" spans="1:23" ht="23.4" x14ac:dyDescent="0.45">
      <c r="A428" s="1">
        <f t="shared" si="20"/>
        <v>427</v>
      </c>
      <c r="B428" s="57" t="s">
        <v>23</v>
      </c>
      <c r="C428" s="57" t="s">
        <v>24</v>
      </c>
      <c r="D428" s="58">
        <v>3531</v>
      </c>
      <c r="E428" s="59" t="s">
        <v>604</v>
      </c>
      <c r="F428" s="60" t="s">
        <v>605</v>
      </c>
      <c r="G428" s="61">
        <v>3494</v>
      </c>
      <c r="H428" s="62" t="s">
        <v>568</v>
      </c>
      <c r="I428" s="62" t="s">
        <v>570</v>
      </c>
      <c r="J428" s="1985" t="s">
        <v>57</v>
      </c>
      <c r="K428" s="52" t="s">
        <v>58</v>
      </c>
      <c r="L428" s="63">
        <v>0.6</v>
      </c>
      <c r="M428" s="416" t="s">
        <v>621</v>
      </c>
      <c r="N428" s="415" t="s">
        <v>622</v>
      </c>
      <c r="O428" s="417" t="s">
        <v>623</v>
      </c>
      <c r="P428" s="62">
        <v>1</v>
      </c>
      <c r="Q428" s="65">
        <v>0.05</v>
      </c>
      <c r="R428" s="62"/>
      <c r="S428" s="66">
        <f t="shared" si="18"/>
        <v>0</v>
      </c>
      <c r="T428" s="67">
        <f t="shared" si="19"/>
        <v>0</v>
      </c>
      <c r="U428" s="62" t="s">
        <v>34</v>
      </c>
      <c r="V428" s="430"/>
      <c r="W428" s="62"/>
    </row>
    <row r="429" spans="1:23" ht="23.4" x14ac:dyDescent="0.45">
      <c r="A429" s="1">
        <f t="shared" si="20"/>
        <v>428</v>
      </c>
      <c r="B429" s="57" t="s">
        <v>23</v>
      </c>
      <c r="C429" s="57" t="s">
        <v>24</v>
      </c>
      <c r="D429" s="58">
        <v>3531</v>
      </c>
      <c r="E429" s="59" t="s">
        <v>604</v>
      </c>
      <c r="F429" s="60" t="s">
        <v>605</v>
      </c>
      <c r="G429" s="61">
        <v>3494</v>
      </c>
      <c r="H429" s="62" t="s">
        <v>568</v>
      </c>
      <c r="I429" s="62" t="s">
        <v>570</v>
      </c>
      <c r="J429" s="1985" t="s">
        <v>57</v>
      </c>
      <c r="K429" s="52" t="s">
        <v>58</v>
      </c>
      <c r="L429" s="63">
        <v>0.6</v>
      </c>
      <c r="M429" s="416" t="s">
        <v>576</v>
      </c>
      <c r="N429" s="415" t="s">
        <v>577</v>
      </c>
      <c r="O429" s="417" t="s">
        <v>578</v>
      </c>
      <c r="P429" s="62">
        <v>1</v>
      </c>
      <c r="Q429" s="65">
        <v>0.05</v>
      </c>
      <c r="R429" s="62"/>
      <c r="S429" s="66">
        <f t="shared" si="18"/>
        <v>0</v>
      </c>
      <c r="T429" s="67">
        <f t="shared" si="19"/>
        <v>0</v>
      </c>
      <c r="U429" s="62" t="s">
        <v>83</v>
      </c>
      <c r="V429" s="430"/>
      <c r="W429" s="62"/>
    </row>
    <row r="430" spans="1:23" ht="23.4" x14ac:dyDescent="0.45">
      <c r="A430" s="1">
        <f t="shared" si="20"/>
        <v>429</v>
      </c>
      <c r="B430" s="57" t="s">
        <v>23</v>
      </c>
      <c r="C430" s="57" t="s">
        <v>24</v>
      </c>
      <c r="D430" s="58">
        <v>3531</v>
      </c>
      <c r="E430" s="59" t="s">
        <v>604</v>
      </c>
      <c r="F430" s="60" t="s">
        <v>605</v>
      </c>
      <c r="G430" s="61">
        <v>3494</v>
      </c>
      <c r="H430" s="62" t="s">
        <v>568</v>
      </c>
      <c r="I430" s="62" t="s">
        <v>570</v>
      </c>
      <c r="J430" s="1985" t="s">
        <v>57</v>
      </c>
      <c r="K430" s="52" t="s">
        <v>58</v>
      </c>
      <c r="L430" s="63">
        <v>0.6</v>
      </c>
      <c r="M430" s="416" t="s">
        <v>581</v>
      </c>
      <c r="N430" s="415" t="s">
        <v>582</v>
      </c>
      <c r="O430" s="417" t="s">
        <v>583</v>
      </c>
      <c r="P430" s="62">
        <v>1</v>
      </c>
      <c r="Q430" s="65">
        <v>0.05</v>
      </c>
      <c r="R430" s="62"/>
      <c r="S430" s="66">
        <f t="shared" si="18"/>
        <v>0</v>
      </c>
      <c r="T430" s="67">
        <f t="shared" si="19"/>
        <v>0</v>
      </c>
      <c r="U430" s="62" t="s">
        <v>83</v>
      </c>
      <c r="V430" s="430"/>
      <c r="W430" s="62"/>
    </row>
    <row r="431" spans="1:23" ht="23.4" x14ac:dyDescent="0.45">
      <c r="A431" s="1">
        <f t="shared" si="20"/>
        <v>430</v>
      </c>
      <c r="B431" s="57" t="s">
        <v>23</v>
      </c>
      <c r="C431" s="57" t="s">
        <v>24</v>
      </c>
      <c r="D431" s="58">
        <v>3531</v>
      </c>
      <c r="E431" s="59" t="s">
        <v>604</v>
      </c>
      <c r="F431" s="60" t="s">
        <v>605</v>
      </c>
      <c r="G431" s="61">
        <v>3494</v>
      </c>
      <c r="H431" s="62" t="s">
        <v>568</v>
      </c>
      <c r="I431" s="62" t="s">
        <v>570</v>
      </c>
      <c r="J431" s="1985" t="s">
        <v>57</v>
      </c>
      <c r="K431" s="52" t="s">
        <v>58</v>
      </c>
      <c r="L431" s="63">
        <v>0.6</v>
      </c>
      <c r="M431" s="416" t="s">
        <v>584</v>
      </c>
      <c r="N431" s="415" t="s">
        <v>585</v>
      </c>
      <c r="O431" s="417" t="s">
        <v>462</v>
      </c>
      <c r="P431" s="62">
        <v>1</v>
      </c>
      <c r="Q431" s="65">
        <v>0.05</v>
      </c>
      <c r="R431" s="62"/>
      <c r="S431" s="66">
        <f t="shared" si="18"/>
        <v>0</v>
      </c>
      <c r="T431" s="67">
        <f t="shared" si="19"/>
        <v>0</v>
      </c>
      <c r="U431" s="62" t="s">
        <v>34</v>
      </c>
      <c r="V431" s="430"/>
      <c r="W431" s="62"/>
    </row>
    <row r="432" spans="1:23" ht="23.4" x14ac:dyDescent="0.45">
      <c r="A432" s="1">
        <f t="shared" si="20"/>
        <v>431</v>
      </c>
      <c r="B432" s="57" t="s">
        <v>23</v>
      </c>
      <c r="C432" s="57" t="s">
        <v>24</v>
      </c>
      <c r="D432" s="58">
        <v>3531</v>
      </c>
      <c r="E432" s="59" t="s">
        <v>604</v>
      </c>
      <c r="F432" s="60" t="s">
        <v>605</v>
      </c>
      <c r="G432" s="61">
        <v>3494</v>
      </c>
      <c r="H432" s="62" t="s">
        <v>568</v>
      </c>
      <c r="I432" s="62" t="s">
        <v>570</v>
      </c>
      <c r="J432" s="1985" t="s">
        <v>57</v>
      </c>
      <c r="K432" s="52" t="s">
        <v>58</v>
      </c>
      <c r="L432" s="63">
        <v>0.6</v>
      </c>
      <c r="M432" s="416" t="s">
        <v>423</v>
      </c>
      <c r="N432" s="415" t="s">
        <v>586</v>
      </c>
      <c r="O432" s="417" t="s">
        <v>587</v>
      </c>
      <c r="P432" s="62">
        <v>1</v>
      </c>
      <c r="Q432" s="65">
        <v>0.05</v>
      </c>
      <c r="R432" s="62"/>
      <c r="S432" s="66">
        <f t="shared" si="18"/>
        <v>0</v>
      </c>
      <c r="T432" s="67">
        <f t="shared" si="19"/>
        <v>0</v>
      </c>
      <c r="U432" s="62" t="s">
        <v>34</v>
      </c>
      <c r="V432" s="430"/>
      <c r="W432" s="62"/>
    </row>
    <row r="433" spans="1:23" ht="23.4" x14ac:dyDescent="0.45">
      <c r="A433" s="1">
        <f t="shared" si="20"/>
        <v>432</v>
      </c>
      <c r="B433" s="57" t="s">
        <v>23</v>
      </c>
      <c r="C433" s="57" t="s">
        <v>24</v>
      </c>
      <c r="D433" s="58">
        <v>3531</v>
      </c>
      <c r="E433" s="59" t="s">
        <v>604</v>
      </c>
      <c r="F433" s="60" t="s">
        <v>605</v>
      </c>
      <c r="G433" s="61">
        <v>3494</v>
      </c>
      <c r="H433" s="62" t="s">
        <v>568</v>
      </c>
      <c r="I433" s="62" t="s">
        <v>570</v>
      </c>
      <c r="J433" s="1985" t="s">
        <v>57</v>
      </c>
      <c r="K433" s="52" t="s">
        <v>58</v>
      </c>
      <c r="L433" s="63">
        <v>0.6</v>
      </c>
      <c r="M433" s="416" t="s">
        <v>96</v>
      </c>
      <c r="N433" s="415" t="s">
        <v>579</v>
      </c>
      <c r="O433" s="417" t="s">
        <v>580</v>
      </c>
      <c r="P433" s="62">
        <v>1</v>
      </c>
      <c r="Q433" s="65">
        <v>0.05</v>
      </c>
      <c r="R433" s="62"/>
      <c r="S433" s="66">
        <f t="shared" si="18"/>
        <v>0</v>
      </c>
      <c r="T433" s="67">
        <f t="shared" si="19"/>
        <v>0</v>
      </c>
      <c r="U433" s="62" t="s">
        <v>34</v>
      </c>
      <c r="V433" s="430"/>
      <c r="W433" s="62"/>
    </row>
    <row r="434" spans="1:23" ht="23.4" x14ac:dyDescent="0.45">
      <c r="A434" s="1">
        <f t="shared" si="20"/>
        <v>433</v>
      </c>
      <c r="B434" s="57" t="s">
        <v>23</v>
      </c>
      <c r="C434" s="57" t="s">
        <v>24</v>
      </c>
      <c r="D434" s="58">
        <v>3531</v>
      </c>
      <c r="E434" s="59" t="s">
        <v>604</v>
      </c>
      <c r="F434" s="60" t="s">
        <v>605</v>
      </c>
      <c r="G434" s="61">
        <v>3494</v>
      </c>
      <c r="H434" s="62" t="s">
        <v>568</v>
      </c>
      <c r="I434" s="62" t="s">
        <v>570</v>
      </c>
      <c r="J434" s="1985" t="s">
        <v>57</v>
      </c>
      <c r="K434" s="52" t="s">
        <v>58</v>
      </c>
      <c r="L434" s="63">
        <v>0.6</v>
      </c>
      <c r="M434" s="416" t="s">
        <v>624</v>
      </c>
      <c r="N434" s="415" t="s">
        <v>625</v>
      </c>
      <c r="O434" s="417" t="s">
        <v>597</v>
      </c>
      <c r="P434" s="62">
        <v>0.05</v>
      </c>
      <c r="Q434" s="65">
        <v>0.05</v>
      </c>
      <c r="R434" s="62"/>
      <c r="S434" s="66">
        <f t="shared" si="18"/>
        <v>0</v>
      </c>
      <c r="T434" s="67">
        <f t="shared" si="19"/>
        <v>0</v>
      </c>
      <c r="U434" s="62" t="s">
        <v>83</v>
      </c>
      <c r="V434" s="430"/>
      <c r="W434" s="62"/>
    </row>
    <row r="435" spans="1:23" ht="23.4" x14ac:dyDescent="0.45">
      <c r="A435" s="1">
        <f t="shared" si="20"/>
        <v>434</v>
      </c>
      <c r="B435" s="57" t="s">
        <v>23</v>
      </c>
      <c r="C435" s="57" t="s">
        <v>24</v>
      </c>
      <c r="D435" s="58">
        <v>3531</v>
      </c>
      <c r="E435" s="59" t="s">
        <v>604</v>
      </c>
      <c r="F435" s="60" t="s">
        <v>605</v>
      </c>
      <c r="G435" s="61">
        <v>3494</v>
      </c>
      <c r="H435" s="62" t="s">
        <v>568</v>
      </c>
      <c r="I435" s="62" t="s">
        <v>570</v>
      </c>
      <c r="J435" s="1985" t="s">
        <v>57</v>
      </c>
      <c r="K435" s="52" t="s">
        <v>58</v>
      </c>
      <c r="L435" s="63">
        <v>0.6</v>
      </c>
      <c r="M435" s="416" t="s">
        <v>589</v>
      </c>
      <c r="N435" s="415" t="s">
        <v>590</v>
      </c>
      <c r="O435" s="417" t="s">
        <v>591</v>
      </c>
      <c r="P435" s="62">
        <v>1</v>
      </c>
      <c r="Q435" s="65">
        <v>0.05</v>
      </c>
      <c r="R435" s="62"/>
      <c r="S435" s="66">
        <f t="shared" si="18"/>
        <v>0</v>
      </c>
      <c r="T435" s="67">
        <f t="shared" si="19"/>
        <v>0</v>
      </c>
      <c r="U435" s="62" t="s">
        <v>34</v>
      </c>
      <c r="V435" s="430"/>
      <c r="W435" s="62"/>
    </row>
    <row r="436" spans="1:23" ht="23.4" x14ac:dyDescent="0.5">
      <c r="A436" s="1">
        <f t="shared" si="20"/>
        <v>435</v>
      </c>
      <c r="B436" s="15" t="s">
        <v>23</v>
      </c>
      <c r="C436" s="15" t="s">
        <v>24</v>
      </c>
      <c r="D436" s="68">
        <v>3531</v>
      </c>
      <c r="E436" s="15" t="s">
        <v>604</v>
      </c>
      <c r="F436" s="69" t="s">
        <v>605</v>
      </c>
      <c r="G436" s="70">
        <v>3494</v>
      </c>
      <c r="H436" s="71" t="s">
        <v>568</v>
      </c>
      <c r="I436" s="71" t="s">
        <v>570</v>
      </c>
      <c r="J436" s="1983" t="s">
        <v>110</v>
      </c>
      <c r="K436" s="20" t="s">
        <v>111</v>
      </c>
      <c r="L436" s="21">
        <v>0.4</v>
      </c>
      <c r="M436" s="325" t="s">
        <v>599</v>
      </c>
      <c r="N436" s="71" t="s">
        <v>626</v>
      </c>
      <c r="O436" s="71" t="s">
        <v>598</v>
      </c>
      <c r="P436" s="74">
        <v>1</v>
      </c>
      <c r="Q436" s="75">
        <v>0.5</v>
      </c>
      <c r="R436" s="74"/>
      <c r="S436" s="76">
        <f t="shared" si="18"/>
        <v>0</v>
      </c>
      <c r="T436" s="77">
        <f t="shared" si="19"/>
        <v>0</v>
      </c>
      <c r="U436" s="71" t="s">
        <v>34</v>
      </c>
      <c r="V436" s="71"/>
      <c r="W436" s="71"/>
    </row>
    <row r="437" spans="1:23" ht="23.4" x14ac:dyDescent="0.5">
      <c r="A437" s="1">
        <f t="shared" si="20"/>
        <v>436</v>
      </c>
      <c r="B437" s="15" t="s">
        <v>23</v>
      </c>
      <c r="C437" s="15" t="s">
        <v>24</v>
      </c>
      <c r="D437" s="68">
        <v>3531</v>
      </c>
      <c r="E437" s="15" t="s">
        <v>604</v>
      </c>
      <c r="F437" s="69" t="s">
        <v>605</v>
      </c>
      <c r="G437" s="70">
        <v>3494</v>
      </c>
      <c r="H437" s="71" t="s">
        <v>568</v>
      </c>
      <c r="I437" s="71" t="s">
        <v>570</v>
      </c>
      <c r="J437" s="1983" t="s">
        <v>110</v>
      </c>
      <c r="K437" s="20" t="s">
        <v>111</v>
      </c>
      <c r="L437" s="21">
        <v>0.4</v>
      </c>
      <c r="M437" s="325" t="s">
        <v>627</v>
      </c>
      <c r="N437" s="71" t="s">
        <v>628</v>
      </c>
      <c r="O437" s="71" t="s">
        <v>598</v>
      </c>
      <c r="P437" s="74">
        <v>1</v>
      </c>
      <c r="Q437" s="75">
        <v>0.5</v>
      </c>
      <c r="R437" s="74"/>
      <c r="S437" s="76">
        <f t="shared" si="18"/>
        <v>0</v>
      </c>
      <c r="T437" s="77">
        <f t="shared" si="19"/>
        <v>0</v>
      </c>
      <c r="U437" s="71" t="s">
        <v>34</v>
      </c>
      <c r="V437" s="71"/>
      <c r="W437" s="71"/>
    </row>
    <row r="438" spans="1:23" ht="23.4" x14ac:dyDescent="0.45">
      <c r="A438" s="1">
        <f t="shared" si="20"/>
        <v>437</v>
      </c>
      <c r="B438" s="2" t="s">
        <v>23</v>
      </c>
      <c r="C438" s="2" t="s">
        <v>24</v>
      </c>
      <c r="D438" s="49">
        <v>3259</v>
      </c>
      <c r="E438" s="2" t="s">
        <v>629</v>
      </c>
      <c r="F438" s="50" t="s">
        <v>630</v>
      </c>
      <c r="G438" s="51">
        <v>3494</v>
      </c>
      <c r="H438" s="14" t="s">
        <v>568</v>
      </c>
      <c r="I438" s="14" t="s">
        <v>570</v>
      </c>
      <c r="J438" s="1981" t="s">
        <v>57</v>
      </c>
      <c r="K438" s="8" t="s">
        <v>58</v>
      </c>
      <c r="L438" s="53">
        <v>0.6</v>
      </c>
      <c r="M438" s="91" t="s">
        <v>606</v>
      </c>
      <c r="N438" s="91" t="s">
        <v>607</v>
      </c>
      <c r="O438" s="3" t="s">
        <v>608</v>
      </c>
      <c r="P438" s="14">
        <v>1</v>
      </c>
      <c r="Q438" s="56">
        <v>0.2</v>
      </c>
      <c r="R438" s="14"/>
      <c r="S438" s="14">
        <f t="shared" si="18"/>
        <v>0</v>
      </c>
      <c r="T438" s="51">
        <f t="shared" si="19"/>
        <v>0</v>
      </c>
      <c r="U438" s="14" t="s">
        <v>34</v>
      </c>
      <c r="V438" s="1955">
        <f>SUM(T438:T452)%</f>
        <v>0</v>
      </c>
      <c r="W438" s="14"/>
    </row>
    <row r="439" spans="1:23" ht="23.4" x14ac:dyDescent="0.45">
      <c r="A439" s="1">
        <f t="shared" si="20"/>
        <v>438</v>
      </c>
      <c r="B439" s="57" t="s">
        <v>23</v>
      </c>
      <c r="C439" s="57" t="s">
        <v>24</v>
      </c>
      <c r="D439" s="58">
        <v>3259</v>
      </c>
      <c r="E439" s="59" t="s">
        <v>629</v>
      </c>
      <c r="F439" s="60" t="s">
        <v>630</v>
      </c>
      <c r="G439" s="61">
        <v>3494</v>
      </c>
      <c r="H439" s="62" t="s">
        <v>568</v>
      </c>
      <c r="I439" s="62" t="s">
        <v>570</v>
      </c>
      <c r="J439" s="1985" t="s">
        <v>57</v>
      </c>
      <c r="K439" s="52" t="s">
        <v>58</v>
      </c>
      <c r="L439" s="63">
        <v>0.6</v>
      </c>
      <c r="M439" s="416" t="s">
        <v>609</v>
      </c>
      <c r="N439" s="415" t="s">
        <v>610</v>
      </c>
      <c r="O439" s="417" t="s">
        <v>611</v>
      </c>
      <c r="P439" s="62">
        <v>1</v>
      </c>
      <c r="Q439" s="65">
        <v>0.25</v>
      </c>
      <c r="R439" s="62"/>
      <c r="S439" s="66">
        <f t="shared" si="18"/>
        <v>0</v>
      </c>
      <c r="T439" s="67">
        <f t="shared" si="19"/>
        <v>0</v>
      </c>
      <c r="U439" s="62" t="s">
        <v>34</v>
      </c>
      <c r="V439" s="430"/>
      <c r="W439" s="62"/>
    </row>
    <row r="440" spans="1:23" ht="23.4" x14ac:dyDescent="0.45">
      <c r="A440" s="1">
        <f t="shared" si="20"/>
        <v>439</v>
      </c>
      <c r="B440" s="57" t="s">
        <v>23</v>
      </c>
      <c r="C440" s="57" t="s">
        <v>24</v>
      </c>
      <c r="D440" s="58">
        <v>3259</v>
      </c>
      <c r="E440" s="59" t="s">
        <v>629</v>
      </c>
      <c r="F440" s="60" t="s">
        <v>630</v>
      </c>
      <c r="G440" s="61">
        <v>3494</v>
      </c>
      <c r="H440" s="62" t="s">
        <v>568</v>
      </c>
      <c r="I440" s="62" t="s">
        <v>570</v>
      </c>
      <c r="J440" s="1985" t="s">
        <v>57</v>
      </c>
      <c r="K440" s="52" t="s">
        <v>58</v>
      </c>
      <c r="L440" s="63">
        <v>0.6</v>
      </c>
      <c r="M440" s="416" t="s">
        <v>612</v>
      </c>
      <c r="N440" s="415" t="s">
        <v>613</v>
      </c>
      <c r="O440" s="417" t="s">
        <v>614</v>
      </c>
      <c r="P440" s="62">
        <v>1</v>
      </c>
      <c r="Q440" s="65">
        <v>0.05</v>
      </c>
      <c r="R440" s="62"/>
      <c r="S440" s="66">
        <f t="shared" si="18"/>
        <v>0</v>
      </c>
      <c r="T440" s="67">
        <f t="shared" si="19"/>
        <v>0</v>
      </c>
      <c r="U440" s="62" t="s">
        <v>34</v>
      </c>
      <c r="V440" s="430"/>
      <c r="W440" s="62"/>
    </row>
    <row r="441" spans="1:23" ht="23.4" x14ac:dyDescent="0.45">
      <c r="A441" s="1">
        <f t="shared" si="20"/>
        <v>440</v>
      </c>
      <c r="B441" s="57" t="s">
        <v>23</v>
      </c>
      <c r="C441" s="57" t="s">
        <v>24</v>
      </c>
      <c r="D441" s="58">
        <v>3259</v>
      </c>
      <c r="E441" s="59" t="s">
        <v>629</v>
      </c>
      <c r="F441" s="60" t="s">
        <v>630</v>
      </c>
      <c r="G441" s="61">
        <v>3494</v>
      </c>
      <c r="H441" s="62" t="s">
        <v>568</v>
      </c>
      <c r="I441" s="62" t="s">
        <v>570</v>
      </c>
      <c r="J441" s="1985" t="s">
        <v>57</v>
      </c>
      <c r="K441" s="52" t="s">
        <v>58</v>
      </c>
      <c r="L441" s="63">
        <v>0.6</v>
      </c>
      <c r="M441" s="416" t="s">
        <v>615</v>
      </c>
      <c r="N441" s="415" t="s">
        <v>616</v>
      </c>
      <c r="O441" s="417" t="s">
        <v>617</v>
      </c>
      <c r="P441" s="62">
        <v>1</v>
      </c>
      <c r="Q441" s="65">
        <v>0.05</v>
      </c>
      <c r="R441" s="62"/>
      <c r="S441" s="66">
        <f t="shared" si="18"/>
        <v>0</v>
      </c>
      <c r="T441" s="67">
        <f t="shared" si="19"/>
        <v>0</v>
      </c>
      <c r="U441" s="62" t="s">
        <v>34</v>
      </c>
      <c r="V441" s="430"/>
      <c r="W441" s="62"/>
    </row>
    <row r="442" spans="1:23" ht="23.4" x14ac:dyDescent="0.45">
      <c r="A442" s="1">
        <f t="shared" si="20"/>
        <v>441</v>
      </c>
      <c r="B442" s="57" t="s">
        <v>23</v>
      </c>
      <c r="C442" s="57" t="s">
        <v>24</v>
      </c>
      <c r="D442" s="58">
        <v>3259</v>
      </c>
      <c r="E442" s="59" t="s">
        <v>629</v>
      </c>
      <c r="F442" s="60" t="s">
        <v>630</v>
      </c>
      <c r="G442" s="61">
        <v>3494</v>
      </c>
      <c r="H442" s="62" t="s">
        <v>568</v>
      </c>
      <c r="I442" s="62" t="s">
        <v>570</v>
      </c>
      <c r="J442" s="1985" t="s">
        <v>57</v>
      </c>
      <c r="K442" s="52" t="s">
        <v>58</v>
      </c>
      <c r="L442" s="63">
        <v>0.6</v>
      </c>
      <c r="M442" s="416" t="s">
        <v>618</v>
      </c>
      <c r="N442" s="415" t="s">
        <v>619</v>
      </c>
      <c r="O442" s="417" t="s">
        <v>620</v>
      </c>
      <c r="P442" s="62">
        <v>1</v>
      </c>
      <c r="Q442" s="65">
        <v>0.05</v>
      </c>
      <c r="R442" s="62"/>
      <c r="S442" s="66">
        <f t="shared" si="18"/>
        <v>0</v>
      </c>
      <c r="T442" s="67">
        <f t="shared" si="19"/>
        <v>0</v>
      </c>
      <c r="U442" s="62" t="s">
        <v>34</v>
      </c>
      <c r="V442" s="430"/>
      <c r="W442" s="62"/>
    </row>
    <row r="443" spans="1:23" ht="23.4" x14ac:dyDescent="0.45">
      <c r="A443" s="1">
        <f t="shared" si="20"/>
        <v>442</v>
      </c>
      <c r="B443" s="57" t="s">
        <v>23</v>
      </c>
      <c r="C443" s="57" t="s">
        <v>24</v>
      </c>
      <c r="D443" s="58">
        <v>3259</v>
      </c>
      <c r="E443" s="59" t="s">
        <v>629</v>
      </c>
      <c r="F443" s="60" t="s">
        <v>630</v>
      </c>
      <c r="G443" s="61">
        <v>3494</v>
      </c>
      <c r="H443" s="62" t="s">
        <v>568</v>
      </c>
      <c r="I443" s="62" t="s">
        <v>570</v>
      </c>
      <c r="J443" s="1985" t="s">
        <v>57</v>
      </c>
      <c r="K443" s="52" t="s">
        <v>58</v>
      </c>
      <c r="L443" s="63">
        <v>0.6</v>
      </c>
      <c r="M443" s="416" t="s">
        <v>621</v>
      </c>
      <c r="N443" s="415" t="s">
        <v>622</v>
      </c>
      <c r="O443" s="417" t="s">
        <v>623</v>
      </c>
      <c r="P443" s="62">
        <v>1</v>
      </c>
      <c r="Q443" s="65">
        <v>0.05</v>
      </c>
      <c r="R443" s="62"/>
      <c r="S443" s="66">
        <f t="shared" si="18"/>
        <v>0</v>
      </c>
      <c r="T443" s="67">
        <f t="shared" si="19"/>
        <v>0</v>
      </c>
      <c r="U443" s="62" t="s">
        <v>34</v>
      </c>
      <c r="V443" s="430"/>
      <c r="W443" s="62"/>
    </row>
    <row r="444" spans="1:23" ht="23.4" x14ac:dyDescent="0.45">
      <c r="A444" s="1">
        <f t="shared" si="20"/>
        <v>443</v>
      </c>
      <c r="B444" s="57" t="s">
        <v>23</v>
      </c>
      <c r="C444" s="57" t="s">
        <v>24</v>
      </c>
      <c r="D444" s="58">
        <v>3259</v>
      </c>
      <c r="E444" s="59" t="s">
        <v>629</v>
      </c>
      <c r="F444" s="60" t="s">
        <v>630</v>
      </c>
      <c r="G444" s="61">
        <v>3494</v>
      </c>
      <c r="H444" s="62" t="s">
        <v>568</v>
      </c>
      <c r="I444" s="62" t="s">
        <v>570</v>
      </c>
      <c r="J444" s="1985" t="s">
        <v>57</v>
      </c>
      <c r="K444" s="52" t="s">
        <v>58</v>
      </c>
      <c r="L444" s="63">
        <v>0.6</v>
      </c>
      <c r="M444" s="416" t="s">
        <v>576</v>
      </c>
      <c r="N444" s="415" t="s">
        <v>577</v>
      </c>
      <c r="O444" s="417" t="s">
        <v>578</v>
      </c>
      <c r="P444" s="62">
        <v>1</v>
      </c>
      <c r="Q444" s="65">
        <v>0.05</v>
      </c>
      <c r="R444" s="62"/>
      <c r="S444" s="66">
        <f t="shared" si="18"/>
        <v>0</v>
      </c>
      <c r="T444" s="67">
        <f t="shared" si="19"/>
        <v>0</v>
      </c>
      <c r="U444" s="62" t="s">
        <v>83</v>
      </c>
      <c r="V444" s="430"/>
      <c r="W444" s="62"/>
    </row>
    <row r="445" spans="1:23" ht="23.4" x14ac:dyDescent="0.45">
      <c r="A445" s="1">
        <f t="shared" si="20"/>
        <v>444</v>
      </c>
      <c r="B445" s="57" t="s">
        <v>23</v>
      </c>
      <c r="C445" s="57" t="s">
        <v>24</v>
      </c>
      <c r="D445" s="58">
        <v>3259</v>
      </c>
      <c r="E445" s="59" t="s">
        <v>629</v>
      </c>
      <c r="F445" s="60" t="s">
        <v>630</v>
      </c>
      <c r="G445" s="61">
        <v>3494</v>
      </c>
      <c r="H445" s="62" t="s">
        <v>568</v>
      </c>
      <c r="I445" s="62" t="s">
        <v>570</v>
      </c>
      <c r="J445" s="1985" t="s">
        <v>57</v>
      </c>
      <c r="K445" s="52" t="s">
        <v>58</v>
      </c>
      <c r="L445" s="63">
        <v>0.6</v>
      </c>
      <c r="M445" s="416" t="s">
        <v>581</v>
      </c>
      <c r="N445" s="415" t="s">
        <v>582</v>
      </c>
      <c r="O445" s="417" t="s">
        <v>583</v>
      </c>
      <c r="P445" s="62">
        <v>1</v>
      </c>
      <c r="Q445" s="65">
        <v>0.05</v>
      </c>
      <c r="R445" s="62"/>
      <c r="S445" s="66">
        <f t="shared" si="18"/>
        <v>0</v>
      </c>
      <c r="T445" s="67">
        <f t="shared" si="19"/>
        <v>0</v>
      </c>
      <c r="U445" s="62" t="s">
        <v>83</v>
      </c>
      <c r="V445" s="430"/>
      <c r="W445" s="62"/>
    </row>
    <row r="446" spans="1:23" ht="23.4" x14ac:dyDescent="0.45">
      <c r="A446" s="1">
        <f t="shared" si="20"/>
        <v>445</v>
      </c>
      <c r="B446" s="57" t="s">
        <v>23</v>
      </c>
      <c r="C446" s="57" t="s">
        <v>24</v>
      </c>
      <c r="D446" s="58">
        <v>3259</v>
      </c>
      <c r="E446" s="59" t="s">
        <v>629</v>
      </c>
      <c r="F446" s="60" t="s">
        <v>630</v>
      </c>
      <c r="G446" s="61">
        <v>3494</v>
      </c>
      <c r="H446" s="62" t="s">
        <v>568</v>
      </c>
      <c r="I446" s="62" t="s">
        <v>570</v>
      </c>
      <c r="J446" s="1985" t="s">
        <v>57</v>
      </c>
      <c r="K446" s="52" t="s">
        <v>58</v>
      </c>
      <c r="L446" s="63">
        <v>0.6</v>
      </c>
      <c r="M446" s="416" t="s">
        <v>584</v>
      </c>
      <c r="N446" s="415" t="s">
        <v>585</v>
      </c>
      <c r="O446" s="417" t="s">
        <v>462</v>
      </c>
      <c r="P446" s="62">
        <v>1</v>
      </c>
      <c r="Q446" s="65">
        <v>0.05</v>
      </c>
      <c r="R446" s="62"/>
      <c r="S446" s="66">
        <f t="shared" si="18"/>
        <v>0</v>
      </c>
      <c r="T446" s="67">
        <f t="shared" si="19"/>
        <v>0</v>
      </c>
      <c r="U446" s="62" t="s">
        <v>34</v>
      </c>
      <c r="V446" s="430"/>
      <c r="W446" s="62"/>
    </row>
    <row r="447" spans="1:23" ht="23.4" x14ac:dyDescent="0.45">
      <c r="A447" s="1">
        <f t="shared" si="20"/>
        <v>446</v>
      </c>
      <c r="B447" s="57" t="s">
        <v>23</v>
      </c>
      <c r="C447" s="57" t="s">
        <v>24</v>
      </c>
      <c r="D447" s="58">
        <v>3259</v>
      </c>
      <c r="E447" s="59" t="s">
        <v>629</v>
      </c>
      <c r="F447" s="60" t="s">
        <v>630</v>
      </c>
      <c r="G447" s="61">
        <v>3494</v>
      </c>
      <c r="H447" s="62" t="s">
        <v>568</v>
      </c>
      <c r="I447" s="62" t="s">
        <v>570</v>
      </c>
      <c r="J447" s="1985" t="s">
        <v>57</v>
      </c>
      <c r="K447" s="52" t="s">
        <v>58</v>
      </c>
      <c r="L447" s="63">
        <v>0.6</v>
      </c>
      <c r="M447" s="416" t="s">
        <v>423</v>
      </c>
      <c r="N447" s="415" t="s">
        <v>586</v>
      </c>
      <c r="O447" s="417" t="s">
        <v>587</v>
      </c>
      <c r="P447" s="62">
        <v>1</v>
      </c>
      <c r="Q447" s="65">
        <v>0.05</v>
      </c>
      <c r="R447" s="62"/>
      <c r="S447" s="66">
        <f t="shared" si="18"/>
        <v>0</v>
      </c>
      <c r="T447" s="67">
        <f t="shared" si="19"/>
        <v>0</v>
      </c>
      <c r="U447" s="62" t="s">
        <v>34</v>
      </c>
      <c r="V447" s="430"/>
      <c r="W447" s="62"/>
    </row>
    <row r="448" spans="1:23" ht="23.4" x14ac:dyDescent="0.45">
      <c r="A448" s="1">
        <f t="shared" si="20"/>
        <v>447</v>
      </c>
      <c r="B448" s="57" t="s">
        <v>23</v>
      </c>
      <c r="C448" s="57" t="s">
        <v>24</v>
      </c>
      <c r="D448" s="58">
        <v>3259</v>
      </c>
      <c r="E448" s="59" t="s">
        <v>629</v>
      </c>
      <c r="F448" s="60" t="s">
        <v>630</v>
      </c>
      <c r="G448" s="61">
        <v>3494</v>
      </c>
      <c r="H448" s="62" t="s">
        <v>568</v>
      </c>
      <c r="I448" s="62" t="s">
        <v>570</v>
      </c>
      <c r="J448" s="1985" t="s">
        <v>57</v>
      </c>
      <c r="K448" s="52" t="s">
        <v>58</v>
      </c>
      <c r="L448" s="63">
        <v>0.6</v>
      </c>
      <c r="M448" s="416" t="s">
        <v>96</v>
      </c>
      <c r="N448" s="415" t="s">
        <v>579</v>
      </c>
      <c r="O448" s="417" t="s">
        <v>580</v>
      </c>
      <c r="P448" s="62">
        <v>1</v>
      </c>
      <c r="Q448" s="65">
        <v>0.05</v>
      </c>
      <c r="R448" s="62"/>
      <c r="S448" s="66">
        <f t="shared" si="18"/>
        <v>0</v>
      </c>
      <c r="T448" s="67">
        <f t="shared" si="19"/>
        <v>0</v>
      </c>
      <c r="U448" s="62" t="s">
        <v>34</v>
      </c>
      <c r="V448" s="430"/>
      <c r="W448" s="62"/>
    </row>
    <row r="449" spans="1:23" ht="23.4" x14ac:dyDescent="0.45">
      <c r="A449" s="1">
        <f t="shared" si="20"/>
        <v>448</v>
      </c>
      <c r="B449" s="57" t="s">
        <v>23</v>
      </c>
      <c r="C449" s="57" t="s">
        <v>24</v>
      </c>
      <c r="D449" s="58">
        <v>3259</v>
      </c>
      <c r="E449" s="59" t="s">
        <v>629</v>
      </c>
      <c r="F449" s="60" t="s">
        <v>630</v>
      </c>
      <c r="G449" s="61">
        <v>3494</v>
      </c>
      <c r="H449" s="62" t="s">
        <v>568</v>
      </c>
      <c r="I449" s="62" t="s">
        <v>570</v>
      </c>
      <c r="J449" s="1985" t="s">
        <v>57</v>
      </c>
      <c r="K449" s="52" t="s">
        <v>58</v>
      </c>
      <c r="L449" s="63">
        <v>0.6</v>
      </c>
      <c r="M449" s="416" t="s">
        <v>624</v>
      </c>
      <c r="N449" s="415" t="s">
        <v>625</v>
      </c>
      <c r="O449" s="417" t="s">
        <v>597</v>
      </c>
      <c r="P449" s="62">
        <v>0.05</v>
      </c>
      <c r="Q449" s="65">
        <v>0.05</v>
      </c>
      <c r="R449" s="62"/>
      <c r="S449" s="66">
        <f t="shared" si="18"/>
        <v>0</v>
      </c>
      <c r="T449" s="67">
        <f t="shared" si="19"/>
        <v>0</v>
      </c>
      <c r="U449" s="62" t="s">
        <v>83</v>
      </c>
      <c r="V449" s="430"/>
      <c r="W449" s="62"/>
    </row>
    <row r="450" spans="1:23" ht="23.4" x14ac:dyDescent="0.45">
      <c r="A450" s="1">
        <f t="shared" si="20"/>
        <v>449</v>
      </c>
      <c r="B450" s="57" t="s">
        <v>23</v>
      </c>
      <c r="C450" s="57" t="s">
        <v>24</v>
      </c>
      <c r="D450" s="58">
        <v>3259</v>
      </c>
      <c r="E450" s="59" t="s">
        <v>629</v>
      </c>
      <c r="F450" s="60" t="s">
        <v>630</v>
      </c>
      <c r="G450" s="61">
        <v>3494</v>
      </c>
      <c r="H450" s="62" t="s">
        <v>568</v>
      </c>
      <c r="I450" s="62" t="s">
        <v>570</v>
      </c>
      <c r="J450" s="1985" t="s">
        <v>57</v>
      </c>
      <c r="K450" s="52" t="s">
        <v>58</v>
      </c>
      <c r="L450" s="63">
        <v>0.6</v>
      </c>
      <c r="M450" s="416" t="s">
        <v>589</v>
      </c>
      <c r="N450" s="415" t="s">
        <v>590</v>
      </c>
      <c r="O450" s="417" t="s">
        <v>591</v>
      </c>
      <c r="P450" s="62">
        <v>1</v>
      </c>
      <c r="Q450" s="65">
        <v>0.05</v>
      </c>
      <c r="R450" s="62"/>
      <c r="S450" s="66">
        <f t="shared" ref="S450:S513" si="21">ROUND(IF(OR(P450="",R450=""),0,IF(AND(P450=0,R450=0),1,IF(U450="+",R450/P450,P450/R450))),2)</f>
        <v>0</v>
      </c>
      <c r="T450" s="67">
        <f t="shared" ref="T450:T513" si="22">IF(AND(S450&gt;=60%,S450&lt;100%),S450*((Q450*L450)),IF(S450=100%,((Q450*L450)*S450)*100%,IF(S450&gt;100%,((L450*Q450)*100%)*100%,0)))*100</f>
        <v>0</v>
      </c>
      <c r="U450" s="62" t="s">
        <v>34</v>
      </c>
      <c r="V450" s="430"/>
      <c r="W450" s="62"/>
    </row>
    <row r="451" spans="1:23" ht="23.4" x14ac:dyDescent="0.5">
      <c r="A451" s="1">
        <f t="shared" si="20"/>
        <v>450</v>
      </c>
      <c r="B451" s="15" t="s">
        <v>23</v>
      </c>
      <c r="C451" s="15" t="s">
        <v>24</v>
      </c>
      <c r="D451" s="68">
        <v>3259</v>
      </c>
      <c r="E451" s="15" t="s">
        <v>629</v>
      </c>
      <c r="F451" s="69" t="s">
        <v>630</v>
      </c>
      <c r="G451" s="70">
        <v>3494</v>
      </c>
      <c r="H451" s="71" t="s">
        <v>568</v>
      </c>
      <c r="I451" s="71" t="s">
        <v>570</v>
      </c>
      <c r="J451" s="1983" t="s">
        <v>110</v>
      </c>
      <c r="K451" s="20" t="s">
        <v>111</v>
      </c>
      <c r="L451" s="21">
        <v>0.4</v>
      </c>
      <c r="M451" s="325" t="s">
        <v>599</v>
      </c>
      <c r="N451" s="71" t="s">
        <v>631</v>
      </c>
      <c r="O451" s="71" t="s">
        <v>598</v>
      </c>
      <c r="P451" s="74">
        <v>1</v>
      </c>
      <c r="Q451" s="75">
        <v>0.5</v>
      </c>
      <c r="R451" s="74"/>
      <c r="S451" s="76">
        <f t="shared" si="21"/>
        <v>0</v>
      </c>
      <c r="T451" s="77">
        <f t="shared" si="22"/>
        <v>0</v>
      </c>
      <c r="U451" s="71" t="s">
        <v>34</v>
      </c>
      <c r="V451" s="71"/>
      <c r="W451" s="71"/>
    </row>
    <row r="452" spans="1:23" ht="23.4" x14ac:dyDescent="0.5">
      <c r="A452" s="1">
        <f t="shared" ref="A452:A515" si="23">ROW()-1</f>
        <v>451</v>
      </c>
      <c r="B452" s="15" t="s">
        <v>23</v>
      </c>
      <c r="C452" s="15" t="s">
        <v>24</v>
      </c>
      <c r="D452" s="68">
        <v>3259</v>
      </c>
      <c r="E452" s="15" t="s">
        <v>629</v>
      </c>
      <c r="F452" s="69" t="s">
        <v>630</v>
      </c>
      <c r="G452" s="70">
        <v>3494</v>
      </c>
      <c r="H452" s="71" t="s">
        <v>568</v>
      </c>
      <c r="I452" s="71" t="s">
        <v>570</v>
      </c>
      <c r="J452" s="1983" t="s">
        <v>110</v>
      </c>
      <c r="K452" s="20" t="s">
        <v>111</v>
      </c>
      <c r="L452" s="21">
        <v>0.4</v>
      </c>
      <c r="M452" s="325" t="s">
        <v>627</v>
      </c>
      <c r="N452" s="71" t="s">
        <v>628</v>
      </c>
      <c r="O452" s="71" t="s">
        <v>598</v>
      </c>
      <c r="P452" s="74">
        <v>1</v>
      </c>
      <c r="Q452" s="75">
        <v>0.5</v>
      </c>
      <c r="R452" s="74"/>
      <c r="S452" s="76">
        <f t="shared" si="21"/>
        <v>0</v>
      </c>
      <c r="T452" s="77">
        <f t="shared" si="22"/>
        <v>0</v>
      </c>
      <c r="U452" s="71" t="s">
        <v>34</v>
      </c>
      <c r="V452" s="71"/>
      <c r="W452" s="71"/>
    </row>
    <row r="453" spans="1:23" ht="23.4" x14ac:dyDescent="0.45">
      <c r="A453" s="1">
        <f t="shared" si="23"/>
        <v>452</v>
      </c>
      <c r="B453" s="2" t="s">
        <v>23</v>
      </c>
      <c r="C453" s="2" t="s">
        <v>24</v>
      </c>
      <c r="D453" s="49">
        <v>3468</v>
      </c>
      <c r="E453" s="2" t="s">
        <v>632</v>
      </c>
      <c r="F453" s="50" t="s">
        <v>633</v>
      </c>
      <c r="G453" s="51">
        <v>3494</v>
      </c>
      <c r="H453" s="14" t="s">
        <v>568</v>
      </c>
      <c r="I453" s="14" t="s">
        <v>570</v>
      </c>
      <c r="J453" s="1981" t="s">
        <v>57</v>
      </c>
      <c r="K453" s="8" t="s">
        <v>58</v>
      </c>
      <c r="L453" s="53">
        <v>0.5</v>
      </c>
      <c r="M453" s="91" t="s">
        <v>606</v>
      </c>
      <c r="N453" s="91" t="s">
        <v>607</v>
      </c>
      <c r="O453" s="3" t="s">
        <v>608</v>
      </c>
      <c r="P453" s="14">
        <v>1</v>
      </c>
      <c r="Q453" s="56">
        <v>0.25</v>
      </c>
      <c r="R453" s="14"/>
      <c r="S453" s="14">
        <f t="shared" si="21"/>
        <v>0</v>
      </c>
      <c r="T453" s="51">
        <f t="shared" si="22"/>
        <v>0</v>
      </c>
      <c r="U453" s="14" t="s">
        <v>34</v>
      </c>
      <c r="V453" s="1955">
        <f>SUM(T453:T467)%</f>
        <v>0</v>
      </c>
      <c r="W453" s="14"/>
    </row>
    <row r="454" spans="1:23" ht="23.4" x14ac:dyDescent="0.45">
      <c r="A454" s="1">
        <f t="shared" si="23"/>
        <v>453</v>
      </c>
      <c r="B454" s="57" t="s">
        <v>23</v>
      </c>
      <c r="C454" s="57" t="s">
        <v>24</v>
      </c>
      <c r="D454" s="58">
        <v>3468</v>
      </c>
      <c r="E454" s="59" t="s">
        <v>632</v>
      </c>
      <c r="F454" s="60" t="s">
        <v>633</v>
      </c>
      <c r="G454" s="61">
        <v>3494</v>
      </c>
      <c r="H454" s="62" t="s">
        <v>568</v>
      </c>
      <c r="I454" s="62" t="s">
        <v>570</v>
      </c>
      <c r="J454" s="1985" t="s">
        <v>57</v>
      </c>
      <c r="K454" s="52" t="s">
        <v>58</v>
      </c>
      <c r="L454" s="63">
        <v>0.5</v>
      </c>
      <c r="M454" s="416" t="s">
        <v>609</v>
      </c>
      <c r="N454" s="415" t="s">
        <v>610</v>
      </c>
      <c r="O454" s="417" t="s">
        <v>611</v>
      </c>
      <c r="P454" s="62">
        <v>1</v>
      </c>
      <c r="Q454" s="65">
        <v>0.25</v>
      </c>
      <c r="R454" s="62"/>
      <c r="S454" s="66">
        <f t="shared" si="21"/>
        <v>0</v>
      </c>
      <c r="T454" s="67">
        <f t="shared" si="22"/>
        <v>0</v>
      </c>
      <c r="U454" s="62" t="s">
        <v>34</v>
      </c>
      <c r="V454" s="430"/>
      <c r="W454" s="62"/>
    </row>
    <row r="455" spans="1:23" ht="23.4" x14ac:dyDescent="0.45">
      <c r="A455" s="1">
        <f t="shared" si="23"/>
        <v>454</v>
      </c>
      <c r="B455" s="57" t="s">
        <v>23</v>
      </c>
      <c r="C455" s="57" t="s">
        <v>24</v>
      </c>
      <c r="D455" s="58">
        <v>3468</v>
      </c>
      <c r="E455" s="59" t="s">
        <v>632</v>
      </c>
      <c r="F455" s="60" t="s">
        <v>633</v>
      </c>
      <c r="G455" s="61">
        <v>3494</v>
      </c>
      <c r="H455" s="62" t="s">
        <v>568</v>
      </c>
      <c r="I455" s="62" t="s">
        <v>570</v>
      </c>
      <c r="J455" s="1985" t="s">
        <v>57</v>
      </c>
      <c r="K455" s="52" t="s">
        <v>58</v>
      </c>
      <c r="L455" s="63">
        <v>0.5</v>
      </c>
      <c r="M455" s="416" t="s">
        <v>612</v>
      </c>
      <c r="N455" s="415" t="s">
        <v>613</v>
      </c>
      <c r="O455" s="417" t="s">
        <v>614</v>
      </c>
      <c r="P455" s="62">
        <v>1</v>
      </c>
      <c r="Q455" s="65">
        <v>0.05</v>
      </c>
      <c r="R455" s="62"/>
      <c r="S455" s="66">
        <f t="shared" si="21"/>
        <v>0</v>
      </c>
      <c r="T455" s="67">
        <f t="shared" si="22"/>
        <v>0</v>
      </c>
      <c r="U455" s="62" t="s">
        <v>34</v>
      </c>
      <c r="V455" s="430"/>
      <c r="W455" s="62"/>
    </row>
    <row r="456" spans="1:23" ht="23.4" x14ac:dyDescent="0.45">
      <c r="A456" s="1">
        <f t="shared" si="23"/>
        <v>455</v>
      </c>
      <c r="B456" s="57" t="s">
        <v>23</v>
      </c>
      <c r="C456" s="57" t="s">
        <v>24</v>
      </c>
      <c r="D456" s="58">
        <v>3468</v>
      </c>
      <c r="E456" s="59" t="s">
        <v>632</v>
      </c>
      <c r="F456" s="60" t="s">
        <v>633</v>
      </c>
      <c r="G456" s="61">
        <v>3494</v>
      </c>
      <c r="H456" s="62" t="s">
        <v>568</v>
      </c>
      <c r="I456" s="62" t="s">
        <v>570</v>
      </c>
      <c r="J456" s="1985" t="s">
        <v>57</v>
      </c>
      <c r="K456" s="52" t="s">
        <v>58</v>
      </c>
      <c r="L456" s="63">
        <v>0.5</v>
      </c>
      <c r="M456" s="416" t="s">
        <v>573</v>
      </c>
      <c r="N456" s="415" t="s">
        <v>574</v>
      </c>
      <c r="O456" s="417" t="s">
        <v>575</v>
      </c>
      <c r="P456" s="62">
        <v>1</v>
      </c>
      <c r="Q456" s="65">
        <v>0.05</v>
      </c>
      <c r="R456" s="62"/>
      <c r="S456" s="66">
        <f t="shared" si="21"/>
        <v>0</v>
      </c>
      <c r="T456" s="67">
        <f t="shared" si="22"/>
        <v>0</v>
      </c>
      <c r="U456" s="62" t="s">
        <v>34</v>
      </c>
      <c r="V456" s="430"/>
      <c r="W456" s="62"/>
    </row>
    <row r="457" spans="1:23" ht="23.4" x14ac:dyDescent="0.45">
      <c r="A457" s="1">
        <f t="shared" si="23"/>
        <v>456</v>
      </c>
      <c r="B457" s="57" t="s">
        <v>23</v>
      </c>
      <c r="C457" s="57" t="s">
        <v>24</v>
      </c>
      <c r="D457" s="58">
        <v>3468</v>
      </c>
      <c r="E457" s="59" t="s">
        <v>632</v>
      </c>
      <c r="F457" s="60" t="s">
        <v>633</v>
      </c>
      <c r="G457" s="61">
        <v>3494</v>
      </c>
      <c r="H457" s="62" t="s">
        <v>568</v>
      </c>
      <c r="I457" s="62" t="s">
        <v>570</v>
      </c>
      <c r="J457" s="1985" t="s">
        <v>57</v>
      </c>
      <c r="K457" s="52" t="s">
        <v>58</v>
      </c>
      <c r="L457" s="63">
        <v>0.5</v>
      </c>
      <c r="M457" s="416" t="s">
        <v>581</v>
      </c>
      <c r="N457" s="415" t="s">
        <v>582</v>
      </c>
      <c r="O457" s="417" t="s">
        <v>583</v>
      </c>
      <c r="P457" s="62">
        <v>1</v>
      </c>
      <c r="Q457" s="65">
        <v>0.1</v>
      </c>
      <c r="R457" s="62"/>
      <c r="S457" s="66">
        <f t="shared" si="21"/>
        <v>0</v>
      </c>
      <c r="T457" s="67">
        <f t="shared" si="22"/>
        <v>0</v>
      </c>
      <c r="U457" s="62" t="s">
        <v>83</v>
      </c>
      <c r="V457" s="430"/>
      <c r="W457" s="62"/>
    </row>
    <row r="458" spans="1:23" ht="23.4" x14ac:dyDescent="0.45">
      <c r="A458" s="1">
        <f t="shared" si="23"/>
        <v>457</v>
      </c>
      <c r="B458" s="57" t="s">
        <v>23</v>
      </c>
      <c r="C458" s="57" t="s">
        <v>24</v>
      </c>
      <c r="D458" s="58">
        <v>3468</v>
      </c>
      <c r="E458" s="59" t="s">
        <v>632</v>
      </c>
      <c r="F458" s="60" t="s">
        <v>633</v>
      </c>
      <c r="G458" s="61">
        <v>3494</v>
      </c>
      <c r="H458" s="62" t="s">
        <v>568</v>
      </c>
      <c r="I458" s="62" t="s">
        <v>570</v>
      </c>
      <c r="J458" s="1985" t="s">
        <v>57</v>
      </c>
      <c r="K458" s="52" t="s">
        <v>58</v>
      </c>
      <c r="L458" s="63">
        <v>0.5</v>
      </c>
      <c r="M458" s="416" t="s">
        <v>584</v>
      </c>
      <c r="N458" s="415" t="s">
        <v>585</v>
      </c>
      <c r="O458" s="417" t="s">
        <v>462</v>
      </c>
      <c r="P458" s="62">
        <v>1</v>
      </c>
      <c r="Q458" s="65">
        <v>0.05</v>
      </c>
      <c r="R458" s="62"/>
      <c r="S458" s="66">
        <f t="shared" si="21"/>
        <v>0</v>
      </c>
      <c r="T458" s="67">
        <f t="shared" si="22"/>
        <v>0</v>
      </c>
      <c r="U458" s="62" t="s">
        <v>34</v>
      </c>
      <c r="V458" s="430"/>
      <c r="W458" s="62"/>
    </row>
    <row r="459" spans="1:23" ht="23.4" x14ac:dyDescent="0.45">
      <c r="A459" s="1">
        <f t="shared" si="23"/>
        <v>458</v>
      </c>
      <c r="B459" s="57" t="s">
        <v>23</v>
      </c>
      <c r="C459" s="57" t="s">
        <v>24</v>
      </c>
      <c r="D459" s="58">
        <v>3468</v>
      </c>
      <c r="E459" s="59" t="s">
        <v>632</v>
      </c>
      <c r="F459" s="60" t="s">
        <v>633</v>
      </c>
      <c r="G459" s="61">
        <v>3494</v>
      </c>
      <c r="H459" s="62" t="s">
        <v>568</v>
      </c>
      <c r="I459" s="62" t="s">
        <v>570</v>
      </c>
      <c r="J459" s="1985" t="s">
        <v>57</v>
      </c>
      <c r="K459" s="52" t="s">
        <v>58</v>
      </c>
      <c r="L459" s="63">
        <v>0.5</v>
      </c>
      <c r="M459" s="416" t="s">
        <v>423</v>
      </c>
      <c r="N459" s="415" t="s">
        <v>586</v>
      </c>
      <c r="O459" s="417" t="s">
        <v>587</v>
      </c>
      <c r="P459" s="62">
        <v>1</v>
      </c>
      <c r="Q459" s="65">
        <v>0.1</v>
      </c>
      <c r="R459" s="62"/>
      <c r="S459" s="66">
        <f t="shared" si="21"/>
        <v>0</v>
      </c>
      <c r="T459" s="67">
        <f t="shared" si="22"/>
        <v>0</v>
      </c>
      <c r="U459" s="62" t="s">
        <v>34</v>
      </c>
      <c r="V459" s="430"/>
      <c r="W459" s="62"/>
    </row>
    <row r="460" spans="1:23" ht="23.4" x14ac:dyDescent="0.45">
      <c r="A460" s="1">
        <f t="shared" si="23"/>
        <v>459</v>
      </c>
      <c r="B460" s="57" t="s">
        <v>23</v>
      </c>
      <c r="C460" s="57" t="s">
        <v>24</v>
      </c>
      <c r="D460" s="58">
        <v>3468</v>
      </c>
      <c r="E460" s="59" t="s">
        <v>632</v>
      </c>
      <c r="F460" s="60" t="s">
        <v>633</v>
      </c>
      <c r="G460" s="61">
        <v>3494</v>
      </c>
      <c r="H460" s="62" t="s">
        <v>568</v>
      </c>
      <c r="I460" s="62" t="s">
        <v>570</v>
      </c>
      <c r="J460" s="1985" t="s">
        <v>57</v>
      </c>
      <c r="K460" s="52" t="s">
        <v>58</v>
      </c>
      <c r="L460" s="63">
        <v>0.5</v>
      </c>
      <c r="M460" s="416" t="s">
        <v>415</v>
      </c>
      <c r="N460" s="415" t="s">
        <v>634</v>
      </c>
      <c r="O460" s="417" t="s">
        <v>588</v>
      </c>
      <c r="P460" s="62">
        <v>1</v>
      </c>
      <c r="Q460" s="65">
        <v>0.1</v>
      </c>
      <c r="R460" s="62"/>
      <c r="S460" s="66">
        <f t="shared" si="21"/>
        <v>0</v>
      </c>
      <c r="T460" s="67">
        <f t="shared" si="22"/>
        <v>0</v>
      </c>
      <c r="U460" s="62" t="s">
        <v>83</v>
      </c>
      <c r="V460" s="430"/>
      <c r="W460" s="62"/>
    </row>
    <row r="461" spans="1:23" ht="23.4" x14ac:dyDescent="0.45">
      <c r="A461" s="1">
        <f t="shared" si="23"/>
        <v>460</v>
      </c>
      <c r="B461" s="57" t="s">
        <v>23</v>
      </c>
      <c r="C461" s="57" t="s">
        <v>24</v>
      </c>
      <c r="D461" s="58">
        <v>3468</v>
      </c>
      <c r="E461" s="59" t="s">
        <v>632</v>
      </c>
      <c r="F461" s="60" t="s">
        <v>633</v>
      </c>
      <c r="G461" s="61">
        <v>3494</v>
      </c>
      <c r="H461" s="62" t="s">
        <v>568</v>
      </c>
      <c r="I461" s="62" t="s">
        <v>570</v>
      </c>
      <c r="J461" s="1985" t="s">
        <v>57</v>
      </c>
      <c r="K461" s="52" t="s">
        <v>58</v>
      </c>
      <c r="L461" s="63">
        <v>0.5</v>
      </c>
      <c r="M461" s="416" t="s">
        <v>96</v>
      </c>
      <c r="N461" s="415" t="s">
        <v>579</v>
      </c>
      <c r="O461" s="417" t="s">
        <v>580</v>
      </c>
      <c r="P461" s="62">
        <v>1</v>
      </c>
      <c r="Q461" s="65">
        <v>0.05</v>
      </c>
      <c r="R461" s="62"/>
      <c r="S461" s="66">
        <f t="shared" si="21"/>
        <v>0</v>
      </c>
      <c r="T461" s="67">
        <f t="shared" si="22"/>
        <v>0</v>
      </c>
      <c r="U461" s="62" t="s">
        <v>34</v>
      </c>
      <c r="V461" s="430"/>
      <c r="W461" s="62"/>
    </row>
    <row r="462" spans="1:23" ht="23.4" x14ac:dyDescent="0.5">
      <c r="A462" s="1">
        <f t="shared" si="23"/>
        <v>461</v>
      </c>
      <c r="B462" s="15" t="s">
        <v>23</v>
      </c>
      <c r="C462" s="15" t="s">
        <v>24</v>
      </c>
      <c r="D462" s="68">
        <v>3468</v>
      </c>
      <c r="E462" s="15" t="s">
        <v>632</v>
      </c>
      <c r="F462" s="69" t="s">
        <v>633</v>
      </c>
      <c r="G462" s="70">
        <v>3494</v>
      </c>
      <c r="H462" s="71" t="s">
        <v>568</v>
      </c>
      <c r="I462" s="71" t="s">
        <v>570</v>
      </c>
      <c r="J462" s="1983" t="s">
        <v>110</v>
      </c>
      <c r="K462" s="20" t="s">
        <v>111</v>
      </c>
      <c r="L462" s="21">
        <v>0.5</v>
      </c>
      <c r="M462" s="325" t="s">
        <v>112</v>
      </c>
      <c r="N462" s="71" t="s">
        <v>113</v>
      </c>
      <c r="O462" s="71" t="s">
        <v>598</v>
      </c>
      <c r="P462" s="74">
        <v>1</v>
      </c>
      <c r="Q462" s="75">
        <v>0.1</v>
      </c>
      <c r="R462" s="74"/>
      <c r="S462" s="76">
        <f t="shared" si="21"/>
        <v>0</v>
      </c>
      <c r="T462" s="77">
        <f t="shared" si="22"/>
        <v>0</v>
      </c>
      <c r="U462" s="71" t="s">
        <v>34</v>
      </c>
      <c r="V462" s="71"/>
      <c r="W462" s="71"/>
    </row>
    <row r="463" spans="1:23" ht="23.4" x14ac:dyDescent="0.5">
      <c r="A463" s="1">
        <f t="shared" si="23"/>
        <v>462</v>
      </c>
      <c r="B463" s="15" t="s">
        <v>23</v>
      </c>
      <c r="C463" s="15" t="s">
        <v>24</v>
      </c>
      <c r="D463" s="68">
        <v>3468</v>
      </c>
      <c r="E463" s="15" t="s">
        <v>632</v>
      </c>
      <c r="F463" s="69" t="s">
        <v>633</v>
      </c>
      <c r="G463" s="70">
        <v>3494</v>
      </c>
      <c r="H463" s="71" t="s">
        <v>568</v>
      </c>
      <c r="I463" s="71" t="s">
        <v>570</v>
      </c>
      <c r="J463" s="1983" t="s">
        <v>110</v>
      </c>
      <c r="K463" s="20" t="s">
        <v>111</v>
      </c>
      <c r="L463" s="21">
        <v>0.5</v>
      </c>
      <c r="M463" s="325" t="s">
        <v>599</v>
      </c>
      <c r="N463" s="71" t="s">
        <v>635</v>
      </c>
      <c r="O463" s="71" t="s">
        <v>598</v>
      </c>
      <c r="P463" s="74">
        <v>1</v>
      </c>
      <c r="Q463" s="75">
        <v>0.1</v>
      </c>
      <c r="R463" s="74"/>
      <c r="S463" s="76">
        <f t="shared" si="21"/>
        <v>0</v>
      </c>
      <c r="T463" s="77">
        <f t="shared" si="22"/>
        <v>0</v>
      </c>
      <c r="U463" s="71" t="s">
        <v>34</v>
      </c>
      <c r="V463" s="71"/>
      <c r="W463" s="71"/>
    </row>
    <row r="464" spans="1:23" ht="23.4" x14ac:dyDescent="0.5">
      <c r="A464" s="1">
        <f t="shared" si="23"/>
        <v>463</v>
      </c>
      <c r="B464" s="15" t="s">
        <v>23</v>
      </c>
      <c r="C464" s="15" t="s">
        <v>24</v>
      </c>
      <c r="D464" s="68">
        <v>3468</v>
      </c>
      <c r="E464" s="15" t="s">
        <v>632</v>
      </c>
      <c r="F464" s="69" t="s">
        <v>633</v>
      </c>
      <c r="G464" s="70">
        <v>3494</v>
      </c>
      <c r="H464" s="71" t="s">
        <v>568</v>
      </c>
      <c r="I464" s="71" t="s">
        <v>570</v>
      </c>
      <c r="J464" s="1983" t="s">
        <v>110</v>
      </c>
      <c r="K464" s="20" t="s">
        <v>111</v>
      </c>
      <c r="L464" s="21">
        <v>0.5</v>
      </c>
      <c r="M464" s="325" t="s">
        <v>636</v>
      </c>
      <c r="N464" s="71" t="s">
        <v>637</v>
      </c>
      <c r="O464" s="71" t="s">
        <v>598</v>
      </c>
      <c r="P464" s="74">
        <v>1</v>
      </c>
      <c r="Q464" s="75">
        <v>0.1</v>
      </c>
      <c r="R464" s="74"/>
      <c r="S464" s="76">
        <f t="shared" si="21"/>
        <v>0</v>
      </c>
      <c r="T464" s="77">
        <f t="shared" si="22"/>
        <v>0</v>
      </c>
      <c r="U464" s="71" t="s">
        <v>34</v>
      </c>
      <c r="V464" s="71"/>
      <c r="W464" s="71"/>
    </row>
    <row r="465" spans="1:23" ht="23.4" x14ac:dyDescent="0.5">
      <c r="A465" s="1">
        <f t="shared" si="23"/>
        <v>464</v>
      </c>
      <c r="B465" s="15" t="s">
        <v>23</v>
      </c>
      <c r="C465" s="15" t="s">
        <v>24</v>
      </c>
      <c r="D465" s="68">
        <v>3468</v>
      </c>
      <c r="E465" s="15" t="s">
        <v>632</v>
      </c>
      <c r="F465" s="69" t="s">
        <v>633</v>
      </c>
      <c r="G465" s="70">
        <v>3494</v>
      </c>
      <c r="H465" s="71" t="s">
        <v>568</v>
      </c>
      <c r="I465" s="71" t="s">
        <v>570</v>
      </c>
      <c r="J465" s="1983" t="s">
        <v>110</v>
      </c>
      <c r="K465" s="20" t="s">
        <v>111</v>
      </c>
      <c r="L465" s="21">
        <v>0.5</v>
      </c>
      <c r="M465" s="325" t="s">
        <v>638</v>
      </c>
      <c r="N465" s="71" t="s">
        <v>639</v>
      </c>
      <c r="O465" s="71" t="s">
        <v>598</v>
      </c>
      <c r="P465" s="74">
        <v>1</v>
      </c>
      <c r="Q465" s="75">
        <v>0.1</v>
      </c>
      <c r="R465" s="74"/>
      <c r="S465" s="76">
        <f t="shared" si="21"/>
        <v>0</v>
      </c>
      <c r="T465" s="77">
        <f t="shared" si="22"/>
        <v>0</v>
      </c>
      <c r="U465" s="71" t="s">
        <v>34</v>
      </c>
      <c r="V465" s="71"/>
      <c r="W465" s="71"/>
    </row>
    <row r="466" spans="1:23" ht="23.4" x14ac:dyDescent="0.5">
      <c r="A466" s="1">
        <f t="shared" si="23"/>
        <v>465</v>
      </c>
      <c r="B466" s="15" t="s">
        <v>23</v>
      </c>
      <c r="C466" s="15" t="s">
        <v>24</v>
      </c>
      <c r="D466" s="68">
        <v>3468</v>
      </c>
      <c r="E466" s="15" t="s">
        <v>632</v>
      </c>
      <c r="F466" s="69" t="s">
        <v>633</v>
      </c>
      <c r="G466" s="70">
        <v>3494</v>
      </c>
      <c r="H466" s="71" t="s">
        <v>568</v>
      </c>
      <c r="I466" s="71" t="s">
        <v>570</v>
      </c>
      <c r="J466" s="1983" t="s">
        <v>110</v>
      </c>
      <c r="K466" s="20" t="s">
        <v>111</v>
      </c>
      <c r="L466" s="21">
        <v>0.5</v>
      </c>
      <c r="M466" s="325" t="s">
        <v>640</v>
      </c>
      <c r="N466" s="71" t="s">
        <v>641</v>
      </c>
      <c r="O466" s="71" t="s">
        <v>598</v>
      </c>
      <c r="P466" s="74">
        <v>1</v>
      </c>
      <c r="Q466" s="75">
        <v>0.15</v>
      </c>
      <c r="R466" s="74"/>
      <c r="S466" s="76">
        <f t="shared" si="21"/>
        <v>0</v>
      </c>
      <c r="T466" s="77">
        <f t="shared" si="22"/>
        <v>0</v>
      </c>
      <c r="U466" s="71" t="s">
        <v>34</v>
      </c>
      <c r="V466" s="71"/>
      <c r="W466" s="71"/>
    </row>
    <row r="467" spans="1:23" ht="23.4" x14ac:dyDescent="0.5">
      <c r="A467" s="1">
        <f t="shared" si="23"/>
        <v>466</v>
      </c>
      <c r="B467" s="15" t="s">
        <v>23</v>
      </c>
      <c r="C467" s="15" t="s">
        <v>24</v>
      </c>
      <c r="D467" s="68">
        <v>3468</v>
      </c>
      <c r="E467" s="15" t="s">
        <v>632</v>
      </c>
      <c r="F467" s="69" t="s">
        <v>633</v>
      </c>
      <c r="G467" s="70">
        <v>3494</v>
      </c>
      <c r="H467" s="71" t="s">
        <v>568</v>
      </c>
      <c r="I467" s="71" t="s">
        <v>570</v>
      </c>
      <c r="J467" s="1983" t="s">
        <v>110</v>
      </c>
      <c r="K467" s="20" t="s">
        <v>111</v>
      </c>
      <c r="L467" s="21">
        <v>0.5</v>
      </c>
      <c r="M467" s="325" t="s">
        <v>642</v>
      </c>
      <c r="N467" s="71" t="s">
        <v>643</v>
      </c>
      <c r="O467" s="71" t="s">
        <v>598</v>
      </c>
      <c r="P467" s="74">
        <v>1</v>
      </c>
      <c r="Q467" s="75">
        <v>0.45</v>
      </c>
      <c r="R467" s="74"/>
      <c r="S467" s="76">
        <f t="shared" si="21"/>
        <v>0</v>
      </c>
      <c r="T467" s="77">
        <f t="shared" si="22"/>
        <v>0</v>
      </c>
      <c r="U467" s="71" t="s">
        <v>34</v>
      </c>
      <c r="V467" s="71"/>
      <c r="W467" s="71"/>
    </row>
    <row r="468" spans="1:23" ht="23.4" x14ac:dyDescent="0.45">
      <c r="A468" s="1">
        <f t="shared" si="23"/>
        <v>467</v>
      </c>
      <c r="B468" s="2" t="s">
        <v>23</v>
      </c>
      <c r="C468" s="2" t="s">
        <v>24</v>
      </c>
      <c r="D468" s="49">
        <v>3500</v>
      </c>
      <c r="E468" s="2" t="s">
        <v>644</v>
      </c>
      <c r="F468" s="50" t="s">
        <v>645</v>
      </c>
      <c r="G468" s="51">
        <v>3494</v>
      </c>
      <c r="H468" s="14" t="s">
        <v>568</v>
      </c>
      <c r="I468" s="14" t="s">
        <v>570</v>
      </c>
      <c r="J468" s="1981" t="s">
        <v>57</v>
      </c>
      <c r="K468" s="8" t="s">
        <v>58</v>
      </c>
      <c r="L468" s="53">
        <v>0.6</v>
      </c>
      <c r="M468" s="91" t="s">
        <v>606</v>
      </c>
      <c r="N468" s="91" t="s">
        <v>607</v>
      </c>
      <c r="O468" s="3" t="s">
        <v>608</v>
      </c>
      <c r="P468" s="14">
        <v>1</v>
      </c>
      <c r="Q468" s="56">
        <v>0.2</v>
      </c>
      <c r="R468" s="14"/>
      <c r="S468" s="14">
        <f t="shared" si="21"/>
        <v>0</v>
      </c>
      <c r="T468" s="51">
        <f t="shared" si="22"/>
        <v>0</v>
      </c>
      <c r="U468" s="14" t="s">
        <v>34</v>
      </c>
      <c r="V468" s="1955">
        <f>SUM(T468:T482)%</f>
        <v>0</v>
      </c>
      <c r="W468" s="14"/>
    </row>
    <row r="469" spans="1:23" ht="23.4" x14ac:dyDescent="0.45">
      <c r="A469" s="1">
        <f t="shared" si="23"/>
        <v>468</v>
      </c>
      <c r="B469" s="57" t="s">
        <v>23</v>
      </c>
      <c r="C469" s="57" t="s">
        <v>24</v>
      </c>
      <c r="D469" s="58">
        <v>3500</v>
      </c>
      <c r="E469" s="59" t="s">
        <v>644</v>
      </c>
      <c r="F469" s="60" t="s">
        <v>645</v>
      </c>
      <c r="G469" s="61">
        <v>3494</v>
      </c>
      <c r="H469" s="62" t="s">
        <v>568</v>
      </c>
      <c r="I469" s="62" t="s">
        <v>570</v>
      </c>
      <c r="J469" s="1985" t="s">
        <v>57</v>
      </c>
      <c r="K469" s="52" t="s">
        <v>58</v>
      </c>
      <c r="L469" s="63">
        <v>0.6</v>
      </c>
      <c r="M469" s="416" t="s">
        <v>609</v>
      </c>
      <c r="N469" s="415" t="s">
        <v>610</v>
      </c>
      <c r="O469" s="417" t="s">
        <v>611</v>
      </c>
      <c r="P469" s="62">
        <v>1</v>
      </c>
      <c r="Q469" s="65">
        <v>0.25</v>
      </c>
      <c r="R469" s="62"/>
      <c r="S469" s="66">
        <f t="shared" si="21"/>
        <v>0</v>
      </c>
      <c r="T469" s="67">
        <f t="shared" si="22"/>
        <v>0</v>
      </c>
      <c r="U469" s="62" t="s">
        <v>34</v>
      </c>
      <c r="V469" s="430"/>
      <c r="W469" s="62"/>
    </row>
    <row r="470" spans="1:23" ht="23.4" x14ac:dyDescent="0.45">
      <c r="A470" s="1">
        <f t="shared" si="23"/>
        <v>469</v>
      </c>
      <c r="B470" s="57" t="s">
        <v>23</v>
      </c>
      <c r="C470" s="57" t="s">
        <v>24</v>
      </c>
      <c r="D470" s="58">
        <v>3500</v>
      </c>
      <c r="E470" s="59" t="s">
        <v>644</v>
      </c>
      <c r="F470" s="60" t="s">
        <v>645</v>
      </c>
      <c r="G470" s="61">
        <v>3494</v>
      </c>
      <c r="H470" s="62" t="s">
        <v>568</v>
      </c>
      <c r="I470" s="62" t="s">
        <v>570</v>
      </c>
      <c r="J470" s="1985" t="s">
        <v>57</v>
      </c>
      <c r="K470" s="52" t="s">
        <v>58</v>
      </c>
      <c r="L470" s="63">
        <v>0.6</v>
      </c>
      <c r="M470" s="416" t="s">
        <v>612</v>
      </c>
      <c r="N470" s="415" t="s">
        <v>613</v>
      </c>
      <c r="O470" s="417" t="s">
        <v>614</v>
      </c>
      <c r="P470" s="62">
        <v>1</v>
      </c>
      <c r="Q470" s="65">
        <v>0.05</v>
      </c>
      <c r="R470" s="62"/>
      <c r="S470" s="66">
        <f t="shared" si="21"/>
        <v>0</v>
      </c>
      <c r="T470" s="67">
        <f t="shared" si="22"/>
        <v>0</v>
      </c>
      <c r="U470" s="62" t="s">
        <v>34</v>
      </c>
      <c r="V470" s="430"/>
      <c r="W470" s="62"/>
    </row>
    <row r="471" spans="1:23" ht="23.4" x14ac:dyDescent="0.45">
      <c r="A471" s="1">
        <f t="shared" si="23"/>
        <v>470</v>
      </c>
      <c r="B471" s="57" t="s">
        <v>23</v>
      </c>
      <c r="C471" s="57" t="s">
        <v>24</v>
      </c>
      <c r="D471" s="58">
        <v>3500</v>
      </c>
      <c r="E471" s="59" t="s">
        <v>644</v>
      </c>
      <c r="F471" s="60" t="s">
        <v>645</v>
      </c>
      <c r="G471" s="61">
        <v>3494</v>
      </c>
      <c r="H471" s="62" t="s">
        <v>568</v>
      </c>
      <c r="I471" s="62" t="s">
        <v>570</v>
      </c>
      <c r="J471" s="1985" t="s">
        <v>57</v>
      </c>
      <c r="K471" s="52" t="s">
        <v>58</v>
      </c>
      <c r="L471" s="63">
        <v>0.6</v>
      </c>
      <c r="M471" s="416" t="s">
        <v>615</v>
      </c>
      <c r="N471" s="415" t="s">
        <v>616</v>
      </c>
      <c r="O471" s="417" t="s">
        <v>617</v>
      </c>
      <c r="P471" s="62">
        <v>1</v>
      </c>
      <c r="Q471" s="65">
        <v>0.05</v>
      </c>
      <c r="R471" s="62"/>
      <c r="S471" s="66">
        <f t="shared" si="21"/>
        <v>0</v>
      </c>
      <c r="T471" s="67">
        <f t="shared" si="22"/>
        <v>0</v>
      </c>
      <c r="U471" s="62" t="s">
        <v>34</v>
      </c>
      <c r="V471" s="430"/>
      <c r="W471" s="62"/>
    </row>
    <row r="472" spans="1:23" ht="23.4" x14ac:dyDescent="0.45">
      <c r="A472" s="1">
        <f t="shared" si="23"/>
        <v>471</v>
      </c>
      <c r="B472" s="57" t="s">
        <v>23</v>
      </c>
      <c r="C472" s="57" t="s">
        <v>24</v>
      </c>
      <c r="D472" s="58">
        <v>3500</v>
      </c>
      <c r="E472" s="59" t="s">
        <v>644</v>
      </c>
      <c r="F472" s="60" t="s">
        <v>645</v>
      </c>
      <c r="G472" s="61">
        <v>3494</v>
      </c>
      <c r="H472" s="62" t="s">
        <v>568</v>
      </c>
      <c r="I472" s="62" t="s">
        <v>570</v>
      </c>
      <c r="J472" s="1985" t="s">
        <v>57</v>
      </c>
      <c r="K472" s="52" t="s">
        <v>58</v>
      </c>
      <c r="L472" s="63">
        <v>0.6</v>
      </c>
      <c r="M472" s="416" t="s">
        <v>618</v>
      </c>
      <c r="N472" s="415" t="s">
        <v>619</v>
      </c>
      <c r="O472" s="417" t="s">
        <v>620</v>
      </c>
      <c r="P472" s="62">
        <v>1</v>
      </c>
      <c r="Q472" s="65">
        <v>0.05</v>
      </c>
      <c r="R472" s="62"/>
      <c r="S472" s="66">
        <f t="shared" si="21"/>
        <v>0</v>
      </c>
      <c r="T472" s="67">
        <f t="shared" si="22"/>
        <v>0</v>
      </c>
      <c r="U472" s="62" t="s">
        <v>34</v>
      </c>
      <c r="V472" s="430"/>
      <c r="W472" s="62"/>
    </row>
    <row r="473" spans="1:23" ht="23.4" x14ac:dyDescent="0.45">
      <c r="A473" s="1">
        <f t="shared" si="23"/>
        <v>472</v>
      </c>
      <c r="B473" s="57" t="s">
        <v>23</v>
      </c>
      <c r="C473" s="57" t="s">
        <v>24</v>
      </c>
      <c r="D473" s="58">
        <v>3500</v>
      </c>
      <c r="E473" s="59" t="s">
        <v>644</v>
      </c>
      <c r="F473" s="60" t="s">
        <v>645</v>
      </c>
      <c r="G473" s="61">
        <v>3494</v>
      </c>
      <c r="H473" s="62" t="s">
        <v>568</v>
      </c>
      <c r="I473" s="62" t="s">
        <v>570</v>
      </c>
      <c r="J473" s="1985" t="s">
        <v>57</v>
      </c>
      <c r="K473" s="52" t="s">
        <v>58</v>
      </c>
      <c r="L473" s="63">
        <v>0.6</v>
      </c>
      <c r="M473" s="416" t="s">
        <v>621</v>
      </c>
      <c r="N473" s="415" t="s">
        <v>622</v>
      </c>
      <c r="O473" s="417" t="s">
        <v>623</v>
      </c>
      <c r="P473" s="62">
        <v>1</v>
      </c>
      <c r="Q473" s="65">
        <v>0.05</v>
      </c>
      <c r="R473" s="62"/>
      <c r="S473" s="66">
        <f t="shared" si="21"/>
        <v>0</v>
      </c>
      <c r="T473" s="67">
        <f t="shared" si="22"/>
        <v>0</v>
      </c>
      <c r="U473" s="62" t="s">
        <v>34</v>
      </c>
      <c r="V473" s="430"/>
      <c r="W473" s="62"/>
    </row>
    <row r="474" spans="1:23" ht="23.4" x14ac:dyDescent="0.45">
      <c r="A474" s="1">
        <f t="shared" si="23"/>
        <v>473</v>
      </c>
      <c r="B474" s="57" t="s">
        <v>23</v>
      </c>
      <c r="C474" s="57" t="s">
        <v>24</v>
      </c>
      <c r="D474" s="58">
        <v>3500</v>
      </c>
      <c r="E474" s="59" t="s">
        <v>644</v>
      </c>
      <c r="F474" s="60" t="s">
        <v>645</v>
      </c>
      <c r="G474" s="61">
        <v>3494</v>
      </c>
      <c r="H474" s="62" t="s">
        <v>568</v>
      </c>
      <c r="I474" s="62" t="s">
        <v>570</v>
      </c>
      <c r="J474" s="1985" t="s">
        <v>57</v>
      </c>
      <c r="K474" s="52" t="s">
        <v>58</v>
      </c>
      <c r="L474" s="63">
        <v>0.6</v>
      </c>
      <c r="M474" s="416" t="s">
        <v>576</v>
      </c>
      <c r="N474" s="415" t="s">
        <v>577</v>
      </c>
      <c r="O474" s="417" t="s">
        <v>578</v>
      </c>
      <c r="P474" s="62">
        <v>1</v>
      </c>
      <c r="Q474" s="65">
        <v>0.05</v>
      </c>
      <c r="R474" s="62"/>
      <c r="S474" s="66">
        <f t="shared" si="21"/>
        <v>0</v>
      </c>
      <c r="T474" s="67">
        <f t="shared" si="22"/>
        <v>0</v>
      </c>
      <c r="U474" s="62" t="s">
        <v>83</v>
      </c>
      <c r="V474" s="430"/>
      <c r="W474" s="62"/>
    </row>
    <row r="475" spans="1:23" ht="23.4" x14ac:dyDescent="0.45">
      <c r="A475" s="1">
        <f t="shared" si="23"/>
        <v>474</v>
      </c>
      <c r="B475" s="57" t="s">
        <v>23</v>
      </c>
      <c r="C475" s="57" t="s">
        <v>24</v>
      </c>
      <c r="D475" s="58">
        <v>3500</v>
      </c>
      <c r="E475" s="59" t="s">
        <v>644</v>
      </c>
      <c r="F475" s="60" t="s">
        <v>645</v>
      </c>
      <c r="G475" s="61">
        <v>3494</v>
      </c>
      <c r="H475" s="62" t="s">
        <v>568</v>
      </c>
      <c r="I475" s="62" t="s">
        <v>570</v>
      </c>
      <c r="J475" s="1985" t="s">
        <v>57</v>
      </c>
      <c r="K475" s="52" t="s">
        <v>58</v>
      </c>
      <c r="L475" s="63">
        <v>0.6</v>
      </c>
      <c r="M475" s="416" t="s">
        <v>581</v>
      </c>
      <c r="N475" s="415" t="s">
        <v>582</v>
      </c>
      <c r="O475" s="417" t="s">
        <v>583</v>
      </c>
      <c r="P475" s="62">
        <v>1</v>
      </c>
      <c r="Q475" s="65">
        <v>0.05</v>
      </c>
      <c r="R475" s="62"/>
      <c r="S475" s="66">
        <f t="shared" si="21"/>
        <v>0</v>
      </c>
      <c r="T475" s="67">
        <f t="shared" si="22"/>
        <v>0</v>
      </c>
      <c r="U475" s="62" t="s">
        <v>83</v>
      </c>
      <c r="V475" s="430"/>
      <c r="W475" s="62"/>
    </row>
    <row r="476" spans="1:23" ht="23.4" x14ac:dyDescent="0.45">
      <c r="A476" s="1">
        <f t="shared" si="23"/>
        <v>475</v>
      </c>
      <c r="B476" s="57" t="s">
        <v>23</v>
      </c>
      <c r="C476" s="57" t="s">
        <v>24</v>
      </c>
      <c r="D476" s="58">
        <v>3500</v>
      </c>
      <c r="E476" s="59" t="s">
        <v>644</v>
      </c>
      <c r="F476" s="60" t="s">
        <v>645</v>
      </c>
      <c r="G476" s="61">
        <v>3494</v>
      </c>
      <c r="H476" s="62" t="s">
        <v>568</v>
      </c>
      <c r="I476" s="62" t="s">
        <v>570</v>
      </c>
      <c r="J476" s="1985" t="s">
        <v>57</v>
      </c>
      <c r="K476" s="52" t="s">
        <v>58</v>
      </c>
      <c r="L476" s="63">
        <v>0.6</v>
      </c>
      <c r="M476" s="416" t="s">
        <v>584</v>
      </c>
      <c r="N476" s="415" t="s">
        <v>585</v>
      </c>
      <c r="O476" s="417" t="s">
        <v>462</v>
      </c>
      <c r="P476" s="62">
        <v>1</v>
      </c>
      <c r="Q476" s="65">
        <v>0.05</v>
      </c>
      <c r="R476" s="62"/>
      <c r="S476" s="66">
        <f t="shared" si="21"/>
        <v>0</v>
      </c>
      <c r="T476" s="67">
        <f t="shared" si="22"/>
        <v>0</v>
      </c>
      <c r="U476" s="62" t="s">
        <v>34</v>
      </c>
      <c r="V476" s="430"/>
      <c r="W476" s="62"/>
    </row>
    <row r="477" spans="1:23" ht="23.4" x14ac:dyDescent="0.45">
      <c r="A477" s="1">
        <f t="shared" si="23"/>
        <v>476</v>
      </c>
      <c r="B477" s="57" t="s">
        <v>23</v>
      </c>
      <c r="C477" s="57" t="s">
        <v>24</v>
      </c>
      <c r="D477" s="58">
        <v>3500</v>
      </c>
      <c r="E477" s="59" t="s">
        <v>644</v>
      </c>
      <c r="F477" s="60" t="s">
        <v>645</v>
      </c>
      <c r="G477" s="61">
        <v>3494</v>
      </c>
      <c r="H477" s="62" t="s">
        <v>568</v>
      </c>
      <c r="I477" s="62" t="s">
        <v>570</v>
      </c>
      <c r="J477" s="1985" t="s">
        <v>57</v>
      </c>
      <c r="K477" s="52" t="s">
        <v>58</v>
      </c>
      <c r="L477" s="63">
        <v>0.6</v>
      </c>
      <c r="M477" s="416" t="s">
        <v>423</v>
      </c>
      <c r="N477" s="415" t="s">
        <v>586</v>
      </c>
      <c r="O477" s="417" t="s">
        <v>587</v>
      </c>
      <c r="P477" s="62">
        <v>1</v>
      </c>
      <c r="Q477" s="65">
        <v>0.05</v>
      </c>
      <c r="R477" s="62"/>
      <c r="S477" s="66">
        <f t="shared" si="21"/>
        <v>0</v>
      </c>
      <c r="T477" s="67">
        <f t="shared" si="22"/>
        <v>0</v>
      </c>
      <c r="U477" s="62" t="s">
        <v>34</v>
      </c>
      <c r="V477" s="430"/>
      <c r="W477" s="62"/>
    </row>
    <row r="478" spans="1:23" ht="23.4" x14ac:dyDescent="0.45">
      <c r="A478" s="1">
        <f t="shared" si="23"/>
        <v>477</v>
      </c>
      <c r="B478" s="57" t="s">
        <v>23</v>
      </c>
      <c r="C478" s="57" t="s">
        <v>24</v>
      </c>
      <c r="D478" s="58">
        <v>3500</v>
      </c>
      <c r="E478" s="59" t="s">
        <v>644</v>
      </c>
      <c r="F478" s="60" t="s">
        <v>645</v>
      </c>
      <c r="G478" s="61">
        <v>3494</v>
      </c>
      <c r="H478" s="62" t="s">
        <v>568</v>
      </c>
      <c r="I478" s="62" t="s">
        <v>570</v>
      </c>
      <c r="J478" s="1985" t="s">
        <v>57</v>
      </c>
      <c r="K478" s="52" t="s">
        <v>58</v>
      </c>
      <c r="L478" s="63">
        <v>0.6</v>
      </c>
      <c r="M478" s="416" t="s">
        <v>96</v>
      </c>
      <c r="N478" s="415" t="s">
        <v>579</v>
      </c>
      <c r="O478" s="417" t="s">
        <v>580</v>
      </c>
      <c r="P478" s="62">
        <v>1</v>
      </c>
      <c r="Q478" s="65">
        <v>0.05</v>
      </c>
      <c r="R478" s="62"/>
      <c r="S478" s="66">
        <f t="shared" si="21"/>
        <v>0</v>
      </c>
      <c r="T478" s="67">
        <f t="shared" si="22"/>
        <v>0</v>
      </c>
      <c r="U478" s="62" t="s">
        <v>34</v>
      </c>
      <c r="V478" s="430"/>
      <c r="W478" s="62"/>
    </row>
    <row r="479" spans="1:23" ht="23.4" x14ac:dyDescent="0.45">
      <c r="A479" s="1">
        <f t="shared" si="23"/>
        <v>478</v>
      </c>
      <c r="B479" s="57" t="s">
        <v>23</v>
      </c>
      <c r="C479" s="57" t="s">
        <v>24</v>
      </c>
      <c r="D479" s="58">
        <v>3500</v>
      </c>
      <c r="E479" s="59" t="s">
        <v>644</v>
      </c>
      <c r="F479" s="60" t="s">
        <v>645</v>
      </c>
      <c r="G479" s="61">
        <v>3494</v>
      </c>
      <c r="H479" s="62" t="s">
        <v>568</v>
      </c>
      <c r="I479" s="62" t="s">
        <v>570</v>
      </c>
      <c r="J479" s="1985" t="s">
        <v>57</v>
      </c>
      <c r="K479" s="52" t="s">
        <v>58</v>
      </c>
      <c r="L479" s="63">
        <v>0.6</v>
      </c>
      <c r="M479" s="416" t="s">
        <v>624</v>
      </c>
      <c r="N479" s="415" t="s">
        <v>625</v>
      </c>
      <c r="O479" s="417" t="s">
        <v>597</v>
      </c>
      <c r="P479" s="62">
        <v>0.05</v>
      </c>
      <c r="Q479" s="65">
        <v>0.05</v>
      </c>
      <c r="R479" s="62"/>
      <c r="S479" s="66">
        <f t="shared" si="21"/>
        <v>0</v>
      </c>
      <c r="T479" s="67">
        <f t="shared" si="22"/>
        <v>0</v>
      </c>
      <c r="U479" s="62" t="s">
        <v>83</v>
      </c>
      <c r="V479" s="430"/>
      <c r="W479" s="62"/>
    </row>
    <row r="480" spans="1:23" ht="23.4" x14ac:dyDescent="0.45">
      <c r="A480" s="1">
        <f t="shared" si="23"/>
        <v>479</v>
      </c>
      <c r="B480" s="57" t="s">
        <v>23</v>
      </c>
      <c r="C480" s="57" t="s">
        <v>24</v>
      </c>
      <c r="D480" s="58">
        <v>3500</v>
      </c>
      <c r="E480" s="59" t="s">
        <v>644</v>
      </c>
      <c r="F480" s="60" t="s">
        <v>645</v>
      </c>
      <c r="G480" s="61">
        <v>3494</v>
      </c>
      <c r="H480" s="62" t="s">
        <v>568</v>
      </c>
      <c r="I480" s="62" t="s">
        <v>570</v>
      </c>
      <c r="J480" s="1985" t="s">
        <v>57</v>
      </c>
      <c r="K480" s="52" t="s">
        <v>58</v>
      </c>
      <c r="L480" s="63">
        <v>0.6</v>
      </c>
      <c r="M480" s="416" t="s">
        <v>589</v>
      </c>
      <c r="N480" s="415" t="s">
        <v>590</v>
      </c>
      <c r="O480" s="417" t="s">
        <v>591</v>
      </c>
      <c r="P480" s="62">
        <v>1</v>
      </c>
      <c r="Q480" s="65">
        <v>0.05</v>
      </c>
      <c r="R480" s="62"/>
      <c r="S480" s="66">
        <f t="shared" si="21"/>
        <v>0</v>
      </c>
      <c r="T480" s="67">
        <f t="shared" si="22"/>
        <v>0</v>
      </c>
      <c r="U480" s="62" t="s">
        <v>34</v>
      </c>
      <c r="V480" s="430"/>
      <c r="W480" s="62"/>
    </row>
    <row r="481" spans="1:23" ht="23.4" x14ac:dyDescent="0.5">
      <c r="A481" s="1">
        <f t="shared" si="23"/>
        <v>480</v>
      </c>
      <c r="B481" s="15" t="s">
        <v>23</v>
      </c>
      <c r="C481" s="15" t="s">
        <v>24</v>
      </c>
      <c r="D481" s="68">
        <v>3500</v>
      </c>
      <c r="E481" s="15" t="s">
        <v>644</v>
      </c>
      <c r="F481" s="69" t="s">
        <v>645</v>
      </c>
      <c r="G481" s="70">
        <v>3494</v>
      </c>
      <c r="H481" s="71" t="s">
        <v>568</v>
      </c>
      <c r="I481" s="71" t="s">
        <v>570</v>
      </c>
      <c r="J481" s="1983" t="s">
        <v>110</v>
      </c>
      <c r="K481" s="20" t="s">
        <v>111</v>
      </c>
      <c r="L481" s="21">
        <v>0.4</v>
      </c>
      <c r="M481" s="325" t="s">
        <v>599</v>
      </c>
      <c r="N481" s="71" t="s">
        <v>635</v>
      </c>
      <c r="O481" s="71" t="s">
        <v>598</v>
      </c>
      <c r="P481" s="74">
        <v>1</v>
      </c>
      <c r="Q481" s="75">
        <v>0.5</v>
      </c>
      <c r="R481" s="74"/>
      <c r="S481" s="76">
        <f t="shared" si="21"/>
        <v>0</v>
      </c>
      <c r="T481" s="77">
        <f t="shared" si="22"/>
        <v>0</v>
      </c>
      <c r="U481" s="71" t="s">
        <v>34</v>
      </c>
      <c r="V481" s="71"/>
      <c r="W481" s="71"/>
    </row>
    <row r="482" spans="1:23" ht="23.4" x14ac:dyDescent="0.5">
      <c r="A482" s="1">
        <f t="shared" si="23"/>
        <v>481</v>
      </c>
      <c r="B482" s="15" t="s">
        <v>23</v>
      </c>
      <c r="C482" s="15" t="s">
        <v>24</v>
      </c>
      <c r="D482" s="68">
        <v>3500</v>
      </c>
      <c r="E482" s="15" t="s">
        <v>644</v>
      </c>
      <c r="F482" s="69" t="s">
        <v>645</v>
      </c>
      <c r="G482" s="70">
        <v>3494</v>
      </c>
      <c r="H482" s="71" t="s">
        <v>568</v>
      </c>
      <c r="I482" s="71" t="s">
        <v>570</v>
      </c>
      <c r="J482" s="1983" t="s">
        <v>110</v>
      </c>
      <c r="K482" s="20" t="s">
        <v>111</v>
      </c>
      <c r="L482" s="21">
        <v>0.4</v>
      </c>
      <c r="M482" s="325" t="s">
        <v>627</v>
      </c>
      <c r="N482" s="71" t="s">
        <v>628</v>
      </c>
      <c r="O482" s="71" t="s">
        <v>598</v>
      </c>
      <c r="P482" s="74">
        <v>1</v>
      </c>
      <c r="Q482" s="75">
        <v>0.5</v>
      </c>
      <c r="R482" s="74"/>
      <c r="S482" s="76">
        <f t="shared" si="21"/>
        <v>0</v>
      </c>
      <c r="T482" s="77">
        <f t="shared" si="22"/>
        <v>0</v>
      </c>
      <c r="U482" s="71" t="s">
        <v>34</v>
      </c>
      <c r="V482" s="71"/>
      <c r="W482" s="71"/>
    </row>
    <row r="483" spans="1:23" ht="23.4" x14ac:dyDescent="0.45">
      <c r="A483" s="1">
        <f t="shared" si="23"/>
        <v>482</v>
      </c>
      <c r="B483" s="2" t="s">
        <v>23</v>
      </c>
      <c r="C483" s="2" t="s">
        <v>24</v>
      </c>
      <c r="D483" s="49">
        <v>3201</v>
      </c>
      <c r="E483" s="2" t="s">
        <v>646</v>
      </c>
      <c r="F483" s="50" t="s">
        <v>647</v>
      </c>
      <c r="G483" s="51">
        <v>3494</v>
      </c>
      <c r="H483" s="14" t="s">
        <v>568</v>
      </c>
      <c r="I483" s="14" t="s">
        <v>570</v>
      </c>
      <c r="J483" s="1981" t="s">
        <v>57</v>
      </c>
      <c r="K483" s="8" t="s">
        <v>58</v>
      </c>
      <c r="L483" s="53">
        <v>0.6</v>
      </c>
      <c r="M483" s="91" t="s">
        <v>606</v>
      </c>
      <c r="N483" s="91" t="s">
        <v>607</v>
      </c>
      <c r="O483" s="3" t="s">
        <v>608</v>
      </c>
      <c r="P483" s="14">
        <v>1</v>
      </c>
      <c r="Q483" s="56">
        <v>0.25</v>
      </c>
      <c r="R483" s="14"/>
      <c r="S483" s="14">
        <f t="shared" si="21"/>
        <v>0</v>
      </c>
      <c r="T483" s="51">
        <f t="shared" si="22"/>
        <v>0</v>
      </c>
      <c r="U483" s="14" t="s">
        <v>34</v>
      </c>
      <c r="V483" s="1955">
        <f>SUM(T483:T497)%</f>
        <v>0</v>
      </c>
      <c r="W483" s="14"/>
    </row>
    <row r="484" spans="1:23" ht="23.4" x14ac:dyDescent="0.45">
      <c r="A484" s="1">
        <f t="shared" si="23"/>
        <v>483</v>
      </c>
      <c r="B484" s="57" t="s">
        <v>23</v>
      </c>
      <c r="C484" s="57" t="s">
        <v>24</v>
      </c>
      <c r="D484" s="58">
        <v>3201</v>
      </c>
      <c r="E484" s="59" t="s">
        <v>646</v>
      </c>
      <c r="F484" s="60" t="s">
        <v>647</v>
      </c>
      <c r="G484" s="61">
        <v>3494</v>
      </c>
      <c r="H484" s="62" t="s">
        <v>568</v>
      </c>
      <c r="I484" s="62" t="s">
        <v>570</v>
      </c>
      <c r="J484" s="1985" t="s">
        <v>57</v>
      </c>
      <c r="K484" s="52" t="s">
        <v>58</v>
      </c>
      <c r="L484" s="63">
        <v>0.6</v>
      </c>
      <c r="M484" s="416" t="s">
        <v>609</v>
      </c>
      <c r="N484" s="415" t="s">
        <v>610</v>
      </c>
      <c r="O484" s="417" t="s">
        <v>611</v>
      </c>
      <c r="P484" s="62">
        <v>1</v>
      </c>
      <c r="Q484" s="65">
        <v>0.25</v>
      </c>
      <c r="R484" s="62"/>
      <c r="S484" s="66">
        <f t="shared" si="21"/>
        <v>0</v>
      </c>
      <c r="T484" s="67">
        <f t="shared" si="22"/>
        <v>0</v>
      </c>
      <c r="U484" s="62" t="s">
        <v>34</v>
      </c>
      <c r="V484" s="430"/>
      <c r="W484" s="62"/>
    </row>
    <row r="485" spans="1:23" ht="23.4" x14ac:dyDescent="0.45">
      <c r="A485" s="1">
        <f t="shared" si="23"/>
        <v>484</v>
      </c>
      <c r="B485" s="57" t="s">
        <v>23</v>
      </c>
      <c r="C485" s="57" t="s">
        <v>24</v>
      </c>
      <c r="D485" s="58">
        <v>3201</v>
      </c>
      <c r="E485" s="59" t="s">
        <v>646</v>
      </c>
      <c r="F485" s="60" t="s">
        <v>647</v>
      </c>
      <c r="G485" s="61">
        <v>3494</v>
      </c>
      <c r="H485" s="62" t="s">
        <v>568</v>
      </c>
      <c r="I485" s="62" t="s">
        <v>570</v>
      </c>
      <c r="J485" s="1985" t="s">
        <v>57</v>
      </c>
      <c r="K485" s="52" t="s">
        <v>58</v>
      </c>
      <c r="L485" s="63">
        <v>0.6</v>
      </c>
      <c r="M485" s="416" t="s">
        <v>612</v>
      </c>
      <c r="N485" s="415" t="s">
        <v>613</v>
      </c>
      <c r="O485" s="417" t="s">
        <v>614</v>
      </c>
      <c r="P485" s="62">
        <v>1</v>
      </c>
      <c r="Q485" s="65">
        <v>0.1</v>
      </c>
      <c r="R485" s="62"/>
      <c r="S485" s="66">
        <f t="shared" si="21"/>
        <v>0</v>
      </c>
      <c r="T485" s="67">
        <f t="shared" si="22"/>
        <v>0</v>
      </c>
      <c r="U485" s="62" t="s">
        <v>34</v>
      </c>
      <c r="V485" s="430"/>
      <c r="W485" s="62"/>
    </row>
    <row r="486" spans="1:23" ht="23.4" x14ac:dyDescent="0.45">
      <c r="A486" s="1">
        <f t="shared" si="23"/>
        <v>485</v>
      </c>
      <c r="B486" s="57" t="s">
        <v>23</v>
      </c>
      <c r="C486" s="57" t="s">
        <v>24</v>
      </c>
      <c r="D486" s="58">
        <v>3201</v>
      </c>
      <c r="E486" s="59" t="s">
        <v>646</v>
      </c>
      <c r="F486" s="60" t="s">
        <v>647</v>
      </c>
      <c r="G486" s="61">
        <v>3494</v>
      </c>
      <c r="H486" s="62" t="s">
        <v>568</v>
      </c>
      <c r="I486" s="62" t="s">
        <v>570</v>
      </c>
      <c r="J486" s="1985" t="s">
        <v>57</v>
      </c>
      <c r="K486" s="52" t="s">
        <v>58</v>
      </c>
      <c r="L486" s="63">
        <v>0.6</v>
      </c>
      <c r="M486" s="416" t="s">
        <v>573</v>
      </c>
      <c r="N486" s="415" t="s">
        <v>574</v>
      </c>
      <c r="O486" s="417" t="s">
        <v>575</v>
      </c>
      <c r="P486" s="62">
        <v>1</v>
      </c>
      <c r="Q486" s="65">
        <v>0.05</v>
      </c>
      <c r="R486" s="62"/>
      <c r="S486" s="66">
        <f t="shared" si="21"/>
        <v>0</v>
      </c>
      <c r="T486" s="67">
        <f t="shared" si="22"/>
        <v>0</v>
      </c>
      <c r="U486" s="62" t="s">
        <v>34</v>
      </c>
      <c r="V486" s="430"/>
      <c r="W486" s="62"/>
    </row>
    <row r="487" spans="1:23" ht="23.4" x14ac:dyDescent="0.45">
      <c r="A487" s="1">
        <f t="shared" si="23"/>
        <v>486</v>
      </c>
      <c r="B487" s="57" t="s">
        <v>23</v>
      </c>
      <c r="C487" s="57" t="s">
        <v>24</v>
      </c>
      <c r="D487" s="58">
        <v>3201</v>
      </c>
      <c r="E487" s="59" t="s">
        <v>646</v>
      </c>
      <c r="F487" s="60" t="s">
        <v>647</v>
      </c>
      <c r="G487" s="61">
        <v>3494</v>
      </c>
      <c r="H487" s="62" t="s">
        <v>568</v>
      </c>
      <c r="I487" s="62" t="s">
        <v>570</v>
      </c>
      <c r="J487" s="1985" t="s">
        <v>57</v>
      </c>
      <c r="K487" s="52" t="s">
        <v>58</v>
      </c>
      <c r="L487" s="63">
        <v>0.6</v>
      </c>
      <c r="M487" s="416" t="s">
        <v>576</v>
      </c>
      <c r="N487" s="415" t="s">
        <v>577</v>
      </c>
      <c r="O487" s="417" t="s">
        <v>578</v>
      </c>
      <c r="P487" s="62">
        <v>1</v>
      </c>
      <c r="Q487" s="65">
        <v>0.05</v>
      </c>
      <c r="R487" s="62"/>
      <c r="S487" s="66">
        <f t="shared" si="21"/>
        <v>0</v>
      </c>
      <c r="T487" s="67">
        <f t="shared" si="22"/>
        <v>0</v>
      </c>
      <c r="U487" s="62" t="s">
        <v>83</v>
      </c>
      <c r="V487" s="430"/>
      <c r="W487" s="62"/>
    </row>
    <row r="488" spans="1:23" ht="23.4" x14ac:dyDescent="0.45">
      <c r="A488" s="1">
        <f t="shared" si="23"/>
        <v>487</v>
      </c>
      <c r="B488" s="57" t="s">
        <v>23</v>
      </c>
      <c r="C488" s="57" t="s">
        <v>24</v>
      </c>
      <c r="D488" s="58">
        <v>3201</v>
      </c>
      <c r="E488" s="59" t="s">
        <v>646</v>
      </c>
      <c r="F488" s="60" t="s">
        <v>647</v>
      </c>
      <c r="G488" s="61">
        <v>3494</v>
      </c>
      <c r="H488" s="62" t="s">
        <v>568</v>
      </c>
      <c r="I488" s="62" t="s">
        <v>570</v>
      </c>
      <c r="J488" s="1985" t="s">
        <v>57</v>
      </c>
      <c r="K488" s="52" t="s">
        <v>58</v>
      </c>
      <c r="L488" s="63">
        <v>0.6</v>
      </c>
      <c r="M488" s="416" t="s">
        <v>584</v>
      </c>
      <c r="N488" s="415" t="s">
        <v>585</v>
      </c>
      <c r="O488" s="417" t="s">
        <v>462</v>
      </c>
      <c r="P488" s="62">
        <v>1</v>
      </c>
      <c r="Q488" s="65">
        <v>0.05</v>
      </c>
      <c r="R488" s="62"/>
      <c r="S488" s="66">
        <f t="shared" si="21"/>
        <v>0</v>
      </c>
      <c r="T488" s="67">
        <f t="shared" si="22"/>
        <v>0</v>
      </c>
      <c r="U488" s="62" t="s">
        <v>34</v>
      </c>
      <c r="V488" s="430"/>
      <c r="W488" s="62"/>
    </row>
    <row r="489" spans="1:23" ht="23.4" x14ac:dyDescent="0.45">
      <c r="A489" s="1">
        <f t="shared" si="23"/>
        <v>488</v>
      </c>
      <c r="B489" s="57" t="s">
        <v>23</v>
      </c>
      <c r="C489" s="57" t="s">
        <v>24</v>
      </c>
      <c r="D489" s="58">
        <v>3201</v>
      </c>
      <c r="E489" s="59" t="s">
        <v>646</v>
      </c>
      <c r="F489" s="60" t="s">
        <v>647</v>
      </c>
      <c r="G489" s="61">
        <v>3494</v>
      </c>
      <c r="H489" s="62" t="s">
        <v>568</v>
      </c>
      <c r="I489" s="62" t="s">
        <v>570</v>
      </c>
      <c r="J489" s="1985" t="s">
        <v>57</v>
      </c>
      <c r="K489" s="52" t="s">
        <v>58</v>
      </c>
      <c r="L489" s="63">
        <v>0.6</v>
      </c>
      <c r="M489" s="416" t="s">
        <v>423</v>
      </c>
      <c r="N489" s="415" t="s">
        <v>586</v>
      </c>
      <c r="O489" s="417" t="s">
        <v>587</v>
      </c>
      <c r="P489" s="62">
        <v>1</v>
      </c>
      <c r="Q489" s="65">
        <v>0.05</v>
      </c>
      <c r="R489" s="62"/>
      <c r="S489" s="66">
        <f t="shared" si="21"/>
        <v>0</v>
      </c>
      <c r="T489" s="67">
        <f t="shared" si="22"/>
        <v>0</v>
      </c>
      <c r="U489" s="62" t="s">
        <v>34</v>
      </c>
      <c r="V489" s="430"/>
      <c r="W489" s="62"/>
    </row>
    <row r="490" spans="1:23" ht="23.4" x14ac:dyDescent="0.45">
      <c r="A490" s="1">
        <f t="shared" si="23"/>
        <v>489</v>
      </c>
      <c r="B490" s="57" t="s">
        <v>23</v>
      </c>
      <c r="C490" s="57" t="s">
        <v>24</v>
      </c>
      <c r="D490" s="58">
        <v>3201</v>
      </c>
      <c r="E490" s="59" t="s">
        <v>646</v>
      </c>
      <c r="F490" s="60" t="s">
        <v>647</v>
      </c>
      <c r="G490" s="61">
        <v>3494</v>
      </c>
      <c r="H490" s="62" t="s">
        <v>568</v>
      </c>
      <c r="I490" s="62" t="s">
        <v>570</v>
      </c>
      <c r="J490" s="1985" t="s">
        <v>57</v>
      </c>
      <c r="K490" s="52" t="s">
        <v>58</v>
      </c>
      <c r="L490" s="63">
        <v>0.6</v>
      </c>
      <c r="M490" s="416" t="s">
        <v>415</v>
      </c>
      <c r="N490" s="415" t="s">
        <v>634</v>
      </c>
      <c r="O490" s="417" t="s">
        <v>588</v>
      </c>
      <c r="P490" s="62">
        <v>1</v>
      </c>
      <c r="Q490" s="65">
        <v>0.05</v>
      </c>
      <c r="R490" s="62"/>
      <c r="S490" s="66">
        <f t="shared" si="21"/>
        <v>0</v>
      </c>
      <c r="T490" s="67">
        <f t="shared" si="22"/>
        <v>0</v>
      </c>
      <c r="U490" s="62" t="s">
        <v>83</v>
      </c>
      <c r="V490" s="430"/>
      <c r="W490" s="62"/>
    </row>
    <row r="491" spans="1:23" ht="23.4" x14ac:dyDescent="0.45">
      <c r="A491" s="1">
        <f t="shared" si="23"/>
        <v>490</v>
      </c>
      <c r="B491" s="57" t="s">
        <v>23</v>
      </c>
      <c r="C491" s="57" t="s">
        <v>24</v>
      </c>
      <c r="D491" s="58">
        <v>3201</v>
      </c>
      <c r="E491" s="59" t="s">
        <v>646</v>
      </c>
      <c r="F491" s="60" t="s">
        <v>647</v>
      </c>
      <c r="G491" s="61">
        <v>3494</v>
      </c>
      <c r="H491" s="62" t="s">
        <v>568</v>
      </c>
      <c r="I491" s="62" t="s">
        <v>570</v>
      </c>
      <c r="J491" s="1985" t="s">
        <v>57</v>
      </c>
      <c r="K491" s="52" t="s">
        <v>58</v>
      </c>
      <c r="L491" s="63">
        <v>0.6</v>
      </c>
      <c r="M491" s="416" t="s">
        <v>96</v>
      </c>
      <c r="N491" s="415" t="s">
        <v>579</v>
      </c>
      <c r="O491" s="417" t="s">
        <v>580</v>
      </c>
      <c r="P491" s="62">
        <v>1</v>
      </c>
      <c r="Q491" s="65">
        <v>0.05</v>
      </c>
      <c r="R491" s="62"/>
      <c r="S491" s="66">
        <f t="shared" si="21"/>
        <v>0</v>
      </c>
      <c r="T491" s="67">
        <f t="shared" si="22"/>
        <v>0</v>
      </c>
      <c r="U491" s="62" t="s">
        <v>34</v>
      </c>
      <c r="V491" s="430"/>
      <c r="W491" s="62"/>
    </row>
    <row r="492" spans="1:23" ht="23.4" x14ac:dyDescent="0.45">
      <c r="A492" s="1">
        <f t="shared" si="23"/>
        <v>491</v>
      </c>
      <c r="B492" s="57" t="s">
        <v>23</v>
      </c>
      <c r="C492" s="57" t="s">
        <v>24</v>
      </c>
      <c r="D492" s="58">
        <v>3201</v>
      </c>
      <c r="E492" s="59" t="s">
        <v>646</v>
      </c>
      <c r="F492" s="60" t="s">
        <v>647</v>
      </c>
      <c r="G492" s="61">
        <v>3494</v>
      </c>
      <c r="H492" s="62" t="s">
        <v>568</v>
      </c>
      <c r="I492" s="62" t="s">
        <v>570</v>
      </c>
      <c r="J492" s="1985" t="s">
        <v>57</v>
      </c>
      <c r="K492" s="52" t="s">
        <v>58</v>
      </c>
      <c r="L492" s="63">
        <v>0.6</v>
      </c>
      <c r="M492" s="416" t="s">
        <v>624</v>
      </c>
      <c r="N492" s="415" t="s">
        <v>625</v>
      </c>
      <c r="O492" s="417" t="s">
        <v>597</v>
      </c>
      <c r="P492" s="62">
        <v>0.05</v>
      </c>
      <c r="Q492" s="65">
        <v>0.05</v>
      </c>
      <c r="R492" s="62"/>
      <c r="S492" s="66">
        <f t="shared" si="21"/>
        <v>0</v>
      </c>
      <c r="T492" s="67">
        <f t="shared" si="22"/>
        <v>0</v>
      </c>
      <c r="U492" s="62" t="s">
        <v>83</v>
      </c>
      <c r="V492" s="430"/>
      <c r="W492" s="62"/>
    </row>
    <row r="493" spans="1:23" ht="23.4" x14ac:dyDescent="0.45">
      <c r="A493" s="1">
        <f t="shared" si="23"/>
        <v>492</v>
      </c>
      <c r="B493" s="57" t="s">
        <v>23</v>
      </c>
      <c r="C493" s="57" t="s">
        <v>24</v>
      </c>
      <c r="D493" s="58">
        <v>3201</v>
      </c>
      <c r="E493" s="59" t="s">
        <v>646</v>
      </c>
      <c r="F493" s="60" t="s">
        <v>647</v>
      </c>
      <c r="G493" s="61">
        <v>3494</v>
      </c>
      <c r="H493" s="62" t="s">
        <v>568</v>
      </c>
      <c r="I493" s="62" t="s">
        <v>570</v>
      </c>
      <c r="J493" s="1985" t="s">
        <v>57</v>
      </c>
      <c r="K493" s="52" t="s">
        <v>58</v>
      </c>
      <c r="L493" s="63">
        <v>0.6</v>
      </c>
      <c r="M493" s="416" t="s">
        <v>589</v>
      </c>
      <c r="N493" s="415" t="s">
        <v>590</v>
      </c>
      <c r="O493" s="417" t="s">
        <v>591</v>
      </c>
      <c r="P493" s="62">
        <v>1</v>
      </c>
      <c r="Q493" s="65">
        <v>0.05</v>
      </c>
      <c r="R493" s="62"/>
      <c r="S493" s="66">
        <f t="shared" si="21"/>
        <v>0</v>
      </c>
      <c r="T493" s="67">
        <f t="shared" si="22"/>
        <v>0</v>
      </c>
      <c r="U493" s="62" t="s">
        <v>34</v>
      </c>
      <c r="V493" s="430"/>
      <c r="W493" s="62"/>
    </row>
    <row r="494" spans="1:23" ht="23.4" x14ac:dyDescent="0.5">
      <c r="A494" s="1">
        <f t="shared" si="23"/>
        <v>493</v>
      </c>
      <c r="B494" s="15" t="s">
        <v>23</v>
      </c>
      <c r="C494" s="15" t="s">
        <v>24</v>
      </c>
      <c r="D494" s="68">
        <v>3201</v>
      </c>
      <c r="E494" s="15" t="s">
        <v>646</v>
      </c>
      <c r="F494" s="69" t="s">
        <v>647</v>
      </c>
      <c r="G494" s="70">
        <v>3494</v>
      </c>
      <c r="H494" s="71" t="s">
        <v>568</v>
      </c>
      <c r="I494" s="71" t="s">
        <v>570</v>
      </c>
      <c r="J494" s="1983" t="s">
        <v>110</v>
      </c>
      <c r="K494" s="20" t="s">
        <v>111</v>
      </c>
      <c r="L494" s="21">
        <v>0.4</v>
      </c>
      <c r="M494" s="325" t="s">
        <v>599</v>
      </c>
      <c r="N494" s="71" t="s">
        <v>648</v>
      </c>
      <c r="O494" s="71" t="s">
        <v>598</v>
      </c>
      <c r="P494" s="74">
        <v>1</v>
      </c>
      <c r="Q494" s="75">
        <v>0.35</v>
      </c>
      <c r="R494" s="74"/>
      <c r="S494" s="76">
        <f t="shared" si="21"/>
        <v>0</v>
      </c>
      <c r="T494" s="77">
        <f t="shared" si="22"/>
        <v>0</v>
      </c>
      <c r="U494" s="71" t="s">
        <v>34</v>
      </c>
      <c r="V494" s="71"/>
      <c r="W494" s="71"/>
    </row>
    <row r="495" spans="1:23" ht="23.4" x14ac:dyDescent="0.5">
      <c r="A495" s="1">
        <f t="shared" si="23"/>
        <v>494</v>
      </c>
      <c r="B495" s="15" t="s">
        <v>23</v>
      </c>
      <c r="C495" s="15" t="s">
        <v>24</v>
      </c>
      <c r="D495" s="68">
        <v>3201</v>
      </c>
      <c r="E495" s="15" t="s">
        <v>646</v>
      </c>
      <c r="F495" s="69" t="s">
        <v>647</v>
      </c>
      <c r="G495" s="70">
        <v>3494</v>
      </c>
      <c r="H495" s="71" t="s">
        <v>568</v>
      </c>
      <c r="I495" s="71" t="s">
        <v>570</v>
      </c>
      <c r="J495" s="1983" t="s">
        <v>110</v>
      </c>
      <c r="K495" s="20" t="s">
        <v>111</v>
      </c>
      <c r="L495" s="21">
        <v>0.4</v>
      </c>
      <c r="M495" s="325" t="s">
        <v>636</v>
      </c>
      <c r="N495" s="71" t="s">
        <v>637</v>
      </c>
      <c r="O495" s="71" t="s">
        <v>598</v>
      </c>
      <c r="P495" s="74">
        <v>1</v>
      </c>
      <c r="Q495" s="75">
        <v>0.25</v>
      </c>
      <c r="R495" s="74"/>
      <c r="S495" s="76">
        <f t="shared" si="21"/>
        <v>0</v>
      </c>
      <c r="T495" s="77">
        <f t="shared" si="22"/>
        <v>0</v>
      </c>
      <c r="U495" s="71" t="s">
        <v>34</v>
      </c>
      <c r="V495" s="71"/>
      <c r="W495" s="71"/>
    </row>
    <row r="496" spans="1:23" ht="23.4" x14ac:dyDescent="0.5">
      <c r="A496" s="1">
        <f t="shared" si="23"/>
        <v>495</v>
      </c>
      <c r="B496" s="15" t="s">
        <v>23</v>
      </c>
      <c r="C496" s="15" t="s">
        <v>24</v>
      </c>
      <c r="D496" s="68">
        <v>3201</v>
      </c>
      <c r="E496" s="15" t="s">
        <v>646</v>
      </c>
      <c r="F496" s="69" t="s">
        <v>647</v>
      </c>
      <c r="G496" s="70">
        <v>3494</v>
      </c>
      <c r="H496" s="71" t="s">
        <v>568</v>
      </c>
      <c r="I496" s="71" t="s">
        <v>570</v>
      </c>
      <c r="J496" s="1983" t="s">
        <v>110</v>
      </c>
      <c r="K496" s="20" t="s">
        <v>111</v>
      </c>
      <c r="L496" s="21">
        <v>0.4</v>
      </c>
      <c r="M496" s="325" t="s">
        <v>638</v>
      </c>
      <c r="N496" s="71" t="s">
        <v>639</v>
      </c>
      <c r="O496" s="71" t="s">
        <v>598</v>
      </c>
      <c r="P496" s="74">
        <v>1</v>
      </c>
      <c r="Q496" s="75">
        <v>0.25</v>
      </c>
      <c r="R496" s="74"/>
      <c r="S496" s="76">
        <f t="shared" si="21"/>
        <v>0</v>
      </c>
      <c r="T496" s="77">
        <f t="shared" si="22"/>
        <v>0</v>
      </c>
      <c r="U496" s="71" t="s">
        <v>34</v>
      </c>
      <c r="V496" s="71"/>
      <c r="W496" s="71"/>
    </row>
    <row r="497" spans="1:23" ht="23.4" x14ac:dyDescent="0.5">
      <c r="A497" s="1">
        <f t="shared" si="23"/>
        <v>496</v>
      </c>
      <c r="B497" s="15" t="s">
        <v>23</v>
      </c>
      <c r="C497" s="15" t="s">
        <v>24</v>
      </c>
      <c r="D497" s="68">
        <v>3201</v>
      </c>
      <c r="E497" s="15" t="s">
        <v>646</v>
      </c>
      <c r="F497" s="69" t="s">
        <v>647</v>
      </c>
      <c r="G497" s="70">
        <v>3494</v>
      </c>
      <c r="H497" s="71" t="s">
        <v>568</v>
      </c>
      <c r="I497" s="71" t="s">
        <v>570</v>
      </c>
      <c r="J497" s="1983" t="s">
        <v>110</v>
      </c>
      <c r="K497" s="20" t="s">
        <v>111</v>
      </c>
      <c r="L497" s="21">
        <v>0.4</v>
      </c>
      <c r="M497" s="325" t="s">
        <v>627</v>
      </c>
      <c r="N497" s="71" t="s">
        <v>628</v>
      </c>
      <c r="O497" s="71" t="s">
        <v>598</v>
      </c>
      <c r="P497" s="74">
        <v>1</v>
      </c>
      <c r="Q497" s="75">
        <v>0.15</v>
      </c>
      <c r="R497" s="74"/>
      <c r="S497" s="76">
        <f t="shared" si="21"/>
        <v>0</v>
      </c>
      <c r="T497" s="77">
        <f t="shared" si="22"/>
        <v>0</v>
      </c>
      <c r="U497" s="71" t="s">
        <v>34</v>
      </c>
      <c r="V497" s="71"/>
      <c r="W497" s="71"/>
    </row>
    <row r="498" spans="1:23" ht="23.4" x14ac:dyDescent="0.45">
      <c r="A498" s="1">
        <f t="shared" si="23"/>
        <v>497</v>
      </c>
      <c r="B498" s="2" t="s">
        <v>23</v>
      </c>
      <c r="C498" s="2" t="s">
        <v>24</v>
      </c>
      <c r="D498" s="49">
        <v>3684</v>
      </c>
      <c r="E498" s="2" t="s">
        <v>649</v>
      </c>
      <c r="F498" s="50" t="s">
        <v>650</v>
      </c>
      <c r="G498" s="51">
        <v>4051</v>
      </c>
      <c r="H498" s="14" t="s">
        <v>25</v>
      </c>
      <c r="I498" s="14" t="s">
        <v>651</v>
      </c>
      <c r="J498" s="1981" t="s">
        <v>57</v>
      </c>
      <c r="K498" s="8" t="s">
        <v>58</v>
      </c>
      <c r="L498" s="53">
        <v>0.6</v>
      </c>
      <c r="M498" s="91" t="s">
        <v>652</v>
      </c>
      <c r="N498" s="91" t="s">
        <v>653</v>
      </c>
      <c r="O498" s="3"/>
      <c r="P498" s="14">
        <v>0.9</v>
      </c>
      <c r="Q498" s="56">
        <v>0.15</v>
      </c>
      <c r="R498" s="14"/>
      <c r="S498" s="14">
        <f t="shared" si="21"/>
        <v>0</v>
      </c>
      <c r="T498" s="51">
        <f t="shared" si="22"/>
        <v>0</v>
      </c>
      <c r="U498" s="14" t="s">
        <v>34</v>
      </c>
      <c r="V498" s="1955">
        <f>SUM(T498:T514)%</f>
        <v>0</v>
      </c>
      <c r="W498" s="14"/>
    </row>
    <row r="499" spans="1:23" ht="23.4" x14ac:dyDescent="0.45">
      <c r="A499" s="1">
        <f t="shared" si="23"/>
        <v>498</v>
      </c>
      <c r="B499" s="57" t="s">
        <v>23</v>
      </c>
      <c r="C499" s="57" t="s">
        <v>24</v>
      </c>
      <c r="D499" s="58">
        <v>3684</v>
      </c>
      <c r="E499" s="59" t="s">
        <v>649</v>
      </c>
      <c r="F499" s="60" t="s">
        <v>650</v>
      </c>
      <c r="G499" s="61">
        <v>4051</v>
      </c>
      <c r="H499" s="62" t="s">
        <v>25</v>
      </c>
      <c r="I499" s="62" t="s">
        <v>651</v>
      </c>
      <c r="J499" s="1985" t="s">
        <v>57</v>
      </c>
      <c r="K499" s="52" t="s">
        <v>58</v>
      </c>
      <c r="L499" s="63">
        <v>0.6</v>
      </c>
      <c r="M499" s="416" t="s">
        <v>654</v>
      </c>
      <c r="N499" s="415" t="s">
        <v>655</v>
      </c>
      <c r="O499" s="417"/>
      <c r="P499" s="62">
        <v>1</v>
      </c>
      <c r="Q499" s="65">
        <v>0.09</v>
      </c>
      <c r="R499" s="62"/>
      <c r="S499" s="66">
        <f t="shared" si="21"/>
        <v>0</v>
      </c>
      <c r="T499" s="67">
        <f t="shared" si="22"/>
        <v>0</v>
      </c>
      <c r="U499" s="62" t="s">
        <v>34</v>
      </c>
      <c r="V499" s="430"/>
      <c r="W499" s="62"/>
    </row>
    <row r="500" spans="1:23" ht="23.4" x14ac:dyDescent="0.45">
      <c r="A500" s="1">
        <f t="shared" si="23"/>
        <v>499</v>
      </c>
      <c r="B500" s="57" t="s">
        <v>23</v>
      </c>
      <c r="C500" s="57" t="s">
        <v>24</v>
      </c>
      <c r="D500" s="58">
        <v>3684</v>
      </c>
      <c r="E500" s="59" t="s">
        <v>649</v>
      </c>
      <c r="F500" s="60" t="s">
        <v>650</v>
      </c>
      <c r="G500" s="61">
        <v>4051</v>
      </c>
      <c r="H500" s="62" t="s">
        <v>25</v>
      </c>
      <c r="I500" s="62" t="s">
        <v>651</v>
      </c>
      <c r="J500" s="1985" t="s">
        <v>57</v>
      </c>
      <c r="K500" s="52" t="s">
        <v>58</v>
      </c>
      <c r="L500" s="63">
        <v>0.6</v>
      </c>
      <c r="M500" s="416" t="s">
        <v>656</v>
      </c>
      <c r="N500" s="415" t="s">
        <v>657</v>
      </c>
      <c r="O500" s="417"/>
      <c r="P500" s="62">
        <v>0.98</v>
      </c>
      <c r="Q500" s="65">
        <v>0.12</v>
      </c>
      <c r="R500" s="62"/>
      <c r="S500" s="66">
        <f t="shared" si="21"/>
        <v>0</v>
      </c>
      <c r="T500" s="67">
        <f t="shared" si="22"/>
        <v>0</v>
      </c>
      <c r="U500" s="62" t="s">
        <v>34</v>
      </c>
      <c r="V500" s="430"/>
      <c r="W500" s="62"/>
    </row>
    <row r="501" spans="1:23" ht="23.4" x14ac:dyDescent="0.45">
      <c r="A501" s="1">
        <f t="shared" si="23"/>
        <v>500</v>
      </c>
      <c r="B501" s="57" t="s">
        <v>23</v>
      </c>
      <c r="C501" s="57" t="s">
        <v>24</v>
      </c>
      <c r="D501" s="58">
        <v>3684</v>
      </c>
      <c r="E501" s="59" t="s">
        <v>649</v>
      </c>
      <c r="F501" s="60" t="s">
        <v>650</v>
      </c>
      <c r="G501" s="61">
        <v>4051</v>
      </c>
      <c r="H501" s="62" t="s">
        <v>25</v>
      </c>
      <c r="I501" s="62" t="s">
        <v>651</v>
      </c>
      <c r="J501" s="1985" t="s">
        <v>57</v>
      </c>
      <c r="K501" s="52" t="s">
        <v>58</v>
      </c>
      <c r="L501" s="63">
        <v>0.6</v>
      </c>
      <c r="M501" s="416" t="s">
        <v>658</v>
      </c>
      <c r="N501" s="415" t="s">
        <v>659</v>
      </c>
      <c r="O501" s="417"/>
      <c r="P501" s="62">
        <v>0.9</v>
      </c>
      <c r="Q501" s="65">
        <v>0.09</v>
      </c>
      <c r="R501" s="62"/>
      <c r="S501" s="66">
        <f t="shared" si="21"/>
        <v>0</v>
      </c>
      <c r="T501" s="67">
        <f t="shared" si="22"/>
        <v>0</v>
      </c>
      <c r="U501" s="62" t="s">
        <v>34</v>
      </c>
      <c r="V501" s="430"/>
      <c r="W501" s="62"/>
    </row>
    <row r="502" spans="1:23" ht="23.4" x14ac:dyDescent="0.45">
      <c r="A502" s="1">
        <f t="shared" si="23"/>
        <v>501</v>
      </c>
      <c r="B502" s="57" t="s">
        <v>23</v>
      </c>
      <c r="C502" s="57" t="s">
        <v>24</v>
      </c>
      <c r="D502" s="58">
        <v>3684</v>
      </c>
      <c r="E502" s="59" t="s">
        <v>649</v>
      </c>
      <c r="F502" s="60" t="s">
        <v>650</v>
      </c>
      <c r="G502" s="61">
        <v>4051</v>
      </c>
      <c r="H502" s="62" t="s">
        <v>25</v>
      </c>
      <c r="I502" s="62" t="s">
        <v>651</v>
      </c>
      <c r="J502" s="1985" t="s">
        <v>57</v>
      </c>
      <c r="K502" s="52" t="s">
        <v>58</v>
      </c>
      <c r="L502" s="63">
        <v>0.6</v>
      </c>
      <c r="M502" s="416" t="s">
        <v>660</v>
      </c>
      <c r="N502" s="415" t="s">
        <v>661</v>
      </c>
      <c r="O502" s="417"/>
      <c r="P502" s="62">
        <v>0.9</v>
      </c>
      <c r="Q502" s="65">
        <v>0.09</v>
      </c>
      <c r="R502" s="62"/>
      <c r="S502" s="66">
        <f t="shared" si="21"/>
        <v>0</v>
      </c>
      <c r="T502" s="67">
        <f t="shared" si="22"/>
        <v>0</v>
      </c>
      <c r="U502" s="62" t="s">
        <v>34</v>
      </c>
      <c r="V502" s="430"/>
      <c r="W502" s="62"/>
    </row>
    <row r="503" spans="1:23" ht="23.4" x14ac:dyDescent="0.45">
      <c r="A503" s="1">
        <f t="shared" si="23"/>
        <v>502</v>
      </c>
      <c r="B503" s="57" t="s">
        <v>23</v>
      </c>
      <c r="C503" s="57" t="s">
        <v>24</v>
      </c>
      <c r="D503" s="58">
        <v>3684</v>
      </c>
      <c r="E503" s="59" t="s">
        <v>649</v>
      </c>
      <c r="F503" s="60" t="s">
        <v>650</v>
      </c>
      <c r="G503" s="61">
        <v>4051</v>
      </c>
      <c r="H503" s="62" t="s">
        <v>25</v>
      </c>
      <c r="I503" s="62" t="s">
        <v>651</v>
      </c>
      <c r="J503" s="1985" t="s">
        <v>57</v>
      </c>
      <c r="K503" s="52" t="s">
        <v>58</v>
      </c>
      <c r="L503" s="63">
        <v>0.6</v>
      </c>
      <c r="M503" s="416" t="s">
        <v>662</v>
      </c>
      <c r="N503" s="415" t="s">
        <v>663</v>
      </c>
      <c r="O503" s="417"/>
      <c r="P503" s="62">
        <v>0.9</v>
      </c>
      <c r="Q503" s="65">
        <v>0.05</v>
      </c>
      <c r="R503" s="62"/>
      <c r="S503" s="66">
        <f t="shared" si="21"/>
        <v>0</v>
      </c>
      <c r="T503" s="67">
        <f t="shared" si="22"/>
        <v>0</v>
      </c>
      <c r="U503" s="62" t="s">
        <v>34</v>
      </c>
      <c r="V503" s="430"/>
      <c r="W503" s="62"/>
    </row>
    <row r="504" spans="1:23" ht="23.4" x14ac:dyDescent="0.45">
      <c r="A504" s="1">
        <f t="shared" si="23"/>
        <v>503</v>
      </c>
      <c r="B504" s="57" t="s">
        <v>23</v>
      </c>
      <c r="C504" s="57" t="s">
        <v>24</v>
      </c>
      <c r="D504" s="58">
        <v>3684</v>
      </c>
      <c r="E504" s="59" t="s">
        <v>649</v>
      </c>
      <c r="F504" s="60" t="s">
        <v>650</v>
      </c>
      <c r="G504" s="61">
        <v>4051</v>
      </c>
      <c r="H504" s="62" t="s">
        <v>25</v>
      </c>
      <c r="I504" s="62" t="s">
        <v>651</v>
      </c>
      <c r="J504" s="1985" t="s">
        <v>57</v>
      </c>
      <c r="K504" s="52" t="s">
        <v>58</v>
      </c>
      <c r="L504" s="63">
        <v>0.6</v>
      </c>
      <c r="M504" s="416" t="s">
        <v>415</v>
      </c>
      <c r="N504" s="415" t="s">
        <v>664</v>
      </c>
      <c r="O504" s="417"/>
      <c r="P504" s="62">
        <v>1</v>
      </c>
      <c r="Q504" s="65">
        <v>0.09</v>
      </c>
      <c r="R504" s="62"/>
      <c r="S504" s="66">
        <f t="shared" si="21"/>
        <v>0</v>
      </c>
      <c r="T504" s="67">
        <f t="shared" si="22"/>
        <v>0</v>
      </c>
      <c r="U504" s="62" t="s">
        <v>34</v>
      </c>
      <c r="V504" s="430"/>
      <c r="W504" s="62"/>
    </row>
    <row r="505" spans="1:23" ht="23.4" x14ac:dyDescent="0.45">
      <c r="A505" s="1">
        <f t="shared" si="23"/>
        <v>504</v>
      </c>
      <c r="B505" s="57" t="s">
        <v>23</v>
      </c>
      <c r="C505" s="57" t="s">
        <v>24</v>
      </c>
      <c r="D505" s="58">
        <v>3684</v>
      </c>
      <c r="E505" s="59" t="s">
        <v>649</v>
      </c>
      <c r="F505" s="60" t="s">
        <v>650</v>
      </c>
      <c r="G505" s="61">
        <v>4051</v>
      </c>
      <c r="H505" s="62" t="s">
        <v>25</v>
      </c>
      <c r="I505" s="62" t="s">
        <v>651</v>
      </c>
      <c r="J505" s="1985" t="s">
        <v>57</v>
      </c>
      <c r="K505" s="52" t="s">
        <v>58</v>
      </c>
      <c r="L505" s="63">
        <v>0.6</v>
      </c>
      <c r="M505" s="416" t="s">
        <v>665</v>
      </c>
      <c r="N505" s="415" t="s">
        <v>666</v>
      </c>
      <c r="O505" s="417"/>
      <c r="P505" s="62">
        <v>0.999</v>
      </c>
      <c r="Q505" s="65">
        <v>0.12</v>
      </c>
      <c r="R505" s="62"/>
      <c r="S505" s="66">
        <f t="shared" si="21"/>
        <v>0</v>
      </c>
      <c r="T505" s="67">
        <f t="shared" si="22"/>
        <v>0</v>
      </c>
      <c r="U505" s="62" t="s">
        <v>34</v>
      </c>
      <c r="V505" s="430"/>
      <c r="W505" s="62"/>
    </row>
    <row r="506" spans="1:23" ht="23.4" x14ac:dyDescent="0.45">
      <c r="A506" s="1">
        <f t="shared" si="23"/>
        <v>505</v>
      </c>
      <c r="B506" s="57" t="s">
        <v>23</v>
      </c>
      <c r="C506" s="57" t="s">
        <v>24</v>
      </c>
      <c r="D506" s="58">
        <v>3684</v>
      </c>
      <c r="E506" s="59" t="s">
        <v>649</v>
      </c>
      <c r="F506" s="60" t="s">
        <v>650</v>
      </c>
      <c r="G506" s="61">
        <v>4051</v>
      </c>
      <c r="H506" s="62" t="s">
        <v>25</v>
      </c>
      <c r="I506" s="62" t="s">
        <v>651</v>
      </c>
      <c r="J506" s="1985" t="s">
        <v>57</v>
      </c>
      <c r="K506" s="52" t="s">
        <v>58</v>
      </c>
      <c r="L506" s="63">
        <v>0.6</v>
      </c>
      <c r="M506" s="416" t="s">
        <v>96</v>
      </c>
      <c r="N506" s="415" t="s">
        <v>667</v>
      </c>
      <c r="O506" s="417"/>
      <c r="P506" s="62">
        <v>1</v>
      </c>
      <c r="Q506" s="65">
        <v>0.05</v>
      </c>
      <c r="R506" s="62"/>
      <c r="S506" s="66">
        <f t="shared" si="21"/>
        <v>0</v>
      </c>
      <c r="T506" s="67">
        <f t="shared" si="22"/>
        <v>0</v>
      </c>
      <c r="U506" s="62" t="s">
        <v>34</v>
      </c>
      <c r="V506" s="430"/>
      <c r="W506" s="62"/>
    </row>
    <row r="507" spans="1:23" ht="23.4" x14ac:dyDescent="0.45">
      <c r="A507" s="1">
        <f t="shared" si="23"/>
        <v>506</v>
      </c>
      <c r="B507" s="57" t="s">
        <v>23</v>
      </c>
      <c r="C507" s="57" t="s">
        <v>24</v>
      </c>
      <c r="D507" s="58">
        <v>3684</v>
      </c>
      <c r="E507" s="59" t="s">
        <v>649</v>
      </c>
      <c r="F507" s="60" t="s">
        <v>650</v>
      </c>
      <c r="G507" s="61">
        <v>4051</v>
      </c>
      <c r="H507" s="62" t="s">
        <v>25</v>
      </c>
      <c r="I507" s="62" t="s">
        <v>651</v>
      </c>
      <c r="J507" s="1985" t="s">
        <v>57</v>
      </c>
      <c r="K507" s="52" t="s">
        <v>58</v>
      </c>
      <c r="L507" s="63">
        <v>0.6</v>
      </c>
      <c r="M507" s="416" t="s">
        <v>423</v>
      </c>
      <c r="N507" s="415"/>
      <c r="O507" s="415" t="s">
        <v>530</v>
      </c>
      <c r="P507" s="62">
        <v>1</v>
      </c>
      <c r="Q507" s="65">
        <v>0.05</v>
      </c>
      <c r="R507" s="62"/>
      <c r="S507" s="66">
        <f t="shared" si="21"/>
        <v>0</v>
      </c>
      <c r="T507" s="67">
        <f t="shared" si="22"/>
        <v>0</v>
      </c>
      <c r="U507" s="62" t="s">
        <v>34</v>
      </c>
      <c r="V507" s="430"/>
      <c r="W507" s="62"/>
    </row>
    <row r="508" spans="1:23" ht="23.4" x14ac:dyDescent="0.45">
      <c r="A508" s="1">
        <f t="shared" si="23"/>
        <v>507</v>
      </c>
      <c r="B508" s="57" t="s">
        <v>23</v>
      </c>
      <c r="C508" s="57" t="s">
        <v>24</v>
      </c>
      <c r="D508" s="58">
        <v>3684</v>
      </c>
      <c r="E508" s="59" t="s">
        <v>649</v>
      </c>
      <c r="F508" s="60" t="s">
        <v>650</v>
      </c>
      <c r="G508" s="61">
        <v>4051</v>
      </c>
      <c r="H508" s="62" t="s">
        <v>25</v>
      </c>
      <c r="I508" s="62" t="s">
        <v>651</v>
      </c>
      <c r="J508" s="1985" t="s">
        <v>57</v>
      </c>
      <c r="K508" s="52" t="s">
        <v>58</v>
      </c>
      <c r="L508" s="63">
        <v>0.6</v>
      </c>
      <c r="M508" s="416" t="s">
        <v>589</v>
      </c>
      <c r="N508" s="415" t="s">
        <v>590</v>
      </c>
      <c r="O508" s="417" t="s">
        <v>591</v>
      </c>
      <c r="P508" s="62">
        <v>1</v>
      </c>
      <c r="Q508" s="65">
        <v>0.05</v>
      </c>
      <c r="R508" s="62"/>
      <c r="S508" s="66">
        <f t="shared" si="21"/>
        <v>0</v>
      </c>
      <c r="T508" s="67">
        <f t="shared" si="22"/>
        <v>0</v>
      </c>
      <c r="U508" s="62" t="s">
        <v>34</v>
      </c>
      <c r="V508" s="430"/>
      <c r="W508" s="62"/>
    </row>
    <row r="509" spans="1:23" ht="23.4" x14ac:dyDescent="0.45">
      <c r="A509" s="1">
        <f t="shared" si="23"/>
        <v>508</v>
      </c>
      <c r="B509" s="57" t="s">
        <v>23</v>
      </c>
      <c r="C509" s="57" t="s">
        <v>24</v>
      </c>
      <c r="D509" s="58">
        <v>3684</v>
      </c>
      <c r="E509" s="59" t="s">
        <v>649</v>
      </c>
      <c r="F509" s="60" t="s">
        <v>650</v>
      </c>
      <c r="G509" s="61">
        <v>4051</v>
      </c>
      <c r="H509" s="62" t="s">
        <v>25</v>
      </c>
      <c r="I509" s="62" t="s">
        <v>651</v>
      </c>
      <c r="J509" s="1985" t="s">
        <v>57</v>
      </c>
      <c r="K509" s="52" t="s">
        <v>58</v>
      </c>
      <c r="L509" s="63">
        <v>0.6</v>
      </c>
      <c r="M509" s="416" t="s">
        <v>592</v>
      </c>
      <c r="N509" s="415" t="s">
        <v>593</v>
      </c>
      <c r="O509" s="417" t="s">
        <v>594</v>
      </c>
      <c r="P509" s="62">
        <v>1</v>
      </c>
      <c r="Q509" s="65">
        <v>0.05</v>
      </c>
      <c r="R509" s="62"/>
      <c r="S509" s="66">
        <f t="shared" si="21"/>
        <v>0</v>
      </c>
      <c r="T509" s="67">
        <f t="shared" si="22"/>
        <v>0</v>
      </c>
      <c r="U509" s="62" t="s">
        <v>34</v>
      </c>
      <c r="V509" s="430"/>
      <c r="W509" s="62"/>
    </row>
    <row r="510" spans="1:23" ht="23.4" x14ac:dyDescent="0.5">
      <c r="A510" s="1">
        <f t="shared" si="23"/>
        <v>509</v>
      </c>
      <c r="B510" s="15" t="s">
        <v>23</v>
      </c>
      <c r="C510" s="15" t="s">
        <v>24</v>
      </c>
      <c r="D510" s="68">
        <v>3684</v>
      </c>
      <c r="E510" s="15" t="s">
        <v>649</v>
      </c>
      <c r="F510" s="69" t="s">
        <v>650</v>
      </c>
      <c r="G510" s="70">
        <v>4051</v>
      </c>
      <c r="H510" s="71" t="s">
        <v>25</v>
      </c>
      <c r="I510" s="71" t="s">
        <v>651</v>
      </c>
      <c r="J510" s="1983" t="s">
        <v>110</v>
      </c>
      <c r="K510" s="20" t="s">
        <v>111</v>
      </c>
      <c r="L510" s="21">
        <v>0.4</v>
      </c>
      <c r="M510" s="325" t="s">
        <v>419</v>
      </c>
      <c r="N510" s="71" t="s">
        <v>555</v>
      </c>
      <c r="O510" s="71"/>
      <c r="P510" s="74">
        <v>1</v>
      </c>
      <c r="Q510" s="75">
        <v>0.2</v>
      </c>
      <c r="R510" s="74"/>
      <c r="S510" s="76">
        <f t="shared" si="21"/>
        <v>0</v>
      </c>
      <c r="T510" s="77">
        <f t="shared" si="22"/>
        <v>0</v>
      </c>
      <c r="U510" s="71" t="s">
        <v>34</v>
      </c>
      <c r="V510" s="71"/>
      <c r="W510" s="71"/>
    </row>
    <row r="511" spans="1:23" ht="23.4" x14ac:dyDescent="0.5">
      <c r="A511" s="1">
        <f t="shared" si="23"/>
        <v>510</v>
      </c>
      <c r="B511" s="15" t="s">
        <v>23</v>
      </c>
      <c r="C511" s="15" t="s">
        <v>24</v>
      </c>
      <c r="D511" s="68">
        <v>3684</v>
      </c>
      <c r="E511" s="15" t="s">
        <v>649</v>
      </c>
      <c r="F511" s="69" t="s">
        <v>650</v>
      </c>
      <c r="G511" s="70">
        <v>4051</v>
      </c>
      <c r="H511" s="71" t="s">
        <v>25</v>
      </c>
      <c r="I511" s="71" t="s">
        <v>651</v>
      </c>
      <c r="J511" s="1983" t="s">
        <v>110</v>
      </c>
      <c r="K511" s="20" t="s">
        <v>111</v>
      </c>
      <c r="L511" s="21">
        <v>0.4</v>
      </c>
      <c r="M511" s="325" t="s">
        <v>668</v>
      </c>
      <c r="N511" s="71" t="s">
        <v>669</v>
      </c>
      <c r="O511" s="71"/>
      <c r="P511" s="74">
        <v>1</v>
      </c>
      <c r="Q511" s="75">
        <v>0.2</v>
      </c>
      <c r="R511" s="74"/>
      <c r="S511" s="76">
        <f t="shared" si="21"/>
        <v>0</v>
      </c>
      <c r="T511" s="77">
        <f t="shared" si="22"/>
        <v>0</v>
      </c>
      <c r="U511" s="71" t="s">
        <v>34</v>
      </c>
      <c r="V511" s="71"/>
      <c r="W511" s="71"/>
    </row>
    <row r="512" spans="1:23" ht="23.4" x14ac:dyDescent="0.5">
      <c r="A512" s="1">
        <f t="shared" si="23"/>
        <v>511</v>
      </c>
      <c r="B512" s="15" t="s">
        <v>23</v>
      </c>
      <c r="C512" s="15" t="s">
        <v>24</v>
      </c>
      <c r="D512" s="68">
        <v>3684</v>
      </c>
      <c r="E512" s="15" t="s">
        <v>649</v>
      </c>
      <c r="F512" s="69" t="s">
        <v>650</v>
      </c>
      <c r="G512" s="70">
        <v>4051</v>
      </c>
      <c r="H512" s="71" t="s">
        <v>25</v>
      </c>
      <c r="I512" s="71" t="s">
        <v>651</v>
      </c>
      <c r="J512" s="1983" t="s">
        <v>110</v>
      </c>
      <c r="K512" s="20" t="s">
        <v>111</v>
      </c>
      <c r="L512" s="21">
        <v>0.4</v>
      </c>
      <c r="M512" s="325" t="s">
        <v>670</v>
      </c>
      <c r="N512" s="71"/>
      <c r="O512" s="71" t="s">
        <v>671</v>
      </c>
      <c r="P512" s="74">
        <v>1</v>
      </c>
      <c r="Q512" s="75">
        <v>0.2</v>
      </c>
      <c r="R512" s="74"/>
      <c r="S512" s="76">
        <f t="shared" si="21"/>
        <v>0</v>
      </c>
      <c r="T512" s="77">
        <f t="shared" si="22"/>
        <v>0</v>
      </c>
      <c r="U512" s="71" t="s">
        <v>34</v>
      </c>
      <c r="V512" s="71"/>
      <c r="W512" s="71"/>
    </row>
    <row r="513" spans="1:23" ht="23.4" x14ac:dyDescent="0.5">
      <c r="A513" s="1">
        <f t="shared" si="23"/>
        <v>512</v>
      </c>
      <c r="B513" s="15" t="s">
        <v>23</v>
      </c>
      <c r="C513" s="15" t="s">
        <v>24</v>
      </c>
      <c r="D513" s="68">
        <v>3684</v>
      </c>
      <c r="E513" s="15" t="s">
        <v>649</v>
      </c>
      <c r="F513" s="69" t="s">
        <v>650</v>
      </c>
      <c r="G513" s="70">
        <v>4051</v>
      </c>
      <c r="H513" s="71" t="s">
        <v>25</v>
      </c>
      <c r="I513" s="71" t="s">
        <v>651</v>
      </c>
      <c r="J513" s="1983" t="s">
        <v>110</v>
      </c>
      <c r="K513" s="20" t="s">
        <v>111</v>
      </c>
      <c r="L513" s="21">
        <v>0.4</v>
      </c>
      <c r="M513" s="325" t="s">
        <v>672</v>
      </c>
      <c r="N513" s="71" t="s">
        <v>673</v>
      </c>
      <c r="O513" s="71"/>
      <c r="P513" s="74">
        <v>1</v>
      </c>
      <c r="Q513" s="75">
        <v>0.2</v>
      </c>
      <c r="R513" s="74"/>
      <c r="S513" s="76">
        <f t="shared" si="21"/>
        <v>0</v>
      </c>
      <c r="T513" s="77">
        <f t="shared" si="22"/>
        <v>0</v>
      </c>
      <c r="U513" s="71" t="s">
        <v>34</v>
      </c>
      <c r="V513" s="71"/>
      <c r="W513" s="71"/>
    </row>
    <row r="514" spans="1:23" ht="23.4" x14ac:dyDescent="0.5">
      <c r="A514" s="1">
        <f t="shared" si="23"/>
        <v>513</v>
      </c>
      <c r="B514" s="15" t="s">
        <v>23</v>
      </c>
      <c r="C514" s="15" t="s">
        <v>24</v>
      </c>
      <c r="D514" s="68">
        <v>3684</v>
      </c>
      <c r="E514" s="15" t="s">
        <v>649</v>
      </c>
      <c r="F514" s="69" t="s">
        <v>650</v>
      </c>
      <c r="G514" s="70">
        <v>4051</v>
      </c>
      <c r="H514" s="71" t="s">
        <v>25</v>
      </c>
      <c r="I514" s="71" t="s">
        <v>651</v>
      </c>
      <c r="J514" s="1983" t="s">
        <v>110</v>
      </c>
      <c r="K514" s="20" t="s">
        <v>111</v>
      </c>
      <c r="L514" s="21">
        <v>0.4</v>
      </c>
      <c r="M514" s="325" t="s">
        <v>674</v>
      </c>
      <c r="N514" s="71" t="s">
        <v>675</v>
      </c>
      <c r="O514" s="71"/>
      <c r="P514" s="74">
        <v>1</v>
      </c>
      <c r="Q514" s="75">
        <v>0.2</v>
      </c>
      <c r="R514" s="74"/>
      <c r="S514" s="76">
        <f t="shared" ref="S514:S577" si="24">ROUND(IF(OR(P514="",R514=""),0,IF(AND(P514=0,R514=0),1,IF(U514="+",R514/P514,P514/R514))),2)</f>
        <v>0</v>
      </c>
      <c r="T514" s="77">
        <f t="shared" ref="T514:T577" si="25">IF(AND(S514&gt;=60%,S514&lt;100%),S514*((Q514*L514)),IF(S514=100%,((Q514*L514)*S514)*100%,IF(S514&gt;100%,((L514*Q514)*100%)*100%,0)))*100</f>
        <v>0</v>
      </c>
      <c r="U514" s="71" t="s">
        <v>34</v>
      </c>
      <c r="V514" s="71"/>
      <c r="W514" s="71"/>
    </row>
    <row r="515" spans="1:23" ht="23.4" x14ac:dyDescent="0.45">
      <c r="A515" s="1">
        <f t="shared" si="23"/>
        <v>514</v>
      </c>
      <c r="B515" s="2" t="s">
        <v>23</v>
      </c>
      <c r="C515" s="2" t="s">
        <v>24</v>
      </c>
      <c r="D515" s="49">
        <v>3304</v>
      </c>
      <c r="E515" s="2" t="s">
        <v>676</v>
      </c>
      <c r="F515" s="50" t="s">
        <v>677</v>
      </c>
      <c r="G515" s="51">
        <v>3684</v>
      </c>
      <c r="H515" s="14" t="s">
        <v>649</v>
      </c>
      <c r="I515" s="14" t="s">
        <v>651</v>
      </c>
      <c r="J515" s="1981" t="s">
        <v>57</v>
      </c>
      <c r="K515" s="8" t="s">
        <v>58</v>
      </c>
      <c r="L515" s="53">
        <v>0.6</v>
      </c>
      <c r="M515" s="91" t="s">
        <v>658</v>
      </c>
      <c r="N515" s="91" t="s">
        <v>659</v>
      </c>
      <c r="O515" s="3"/>
      <c r="P515" s="14">
        <v>0.9</v>
      </c>
      <c r="Q515" s="56">
        <v>0.19</v>
      </c>
      <c r="R515" s="14"/>
      <c r="S515" s="14">
        <f t="shared" si="24"/>
        <v>0</v>
      </c>
      <c r="T515" s="51">
        <f t="shared" si="25"/>
        <v>0</v>
      </c>
      <c r="U515" s="14" t="s">
        <v>34</v>
      </c>
      <c r="V515" s="1955">
        <f>SUM(T515:T524)%</f>
        <v>0</v>
      </c>
      <c r="W515" s="14"/>
    </row>
    <row r="516" spans="1:23" ht="23.4" x14ac:dyDescent="0.45">
      <c r="A516" s="1">
        <f t="shared" ref="A516:A579" si="26">ROW()-1</f>
        <v>515</v>
      </c>
      <c r="B516" s="57" t="s">
        <v>23</v>
      </c>
      <c r="C516" s="57" t="s">
        <v>24</v>
      </c>
      <c r="D516" s="58">
        <v>3304</v>
      </c>
      <c r="E516" s="59" t="s">
        <v>676</v>
      </c>
      <c r="F516" s="60" t="s">
        <v>677</v>
      </c>
      <c r="G516" s="61">
        <v>3684</v>
      </c>
      <c r="H516" s="62" t="s">
        <v>649</v>
      </c>
      <c r="I516" s="62" t="s">
        <v>651</v>
      </c>
      <c r="J516" s="1985" t="s">
        <v>57</v>
      </c>
      <c r="K516" s="52" t="s">
        <v>58</v>
      </c>
      <c r="L516" s="63">
        <v>0.6</v>
      </c>
      <c r="M516" s="416" t="s">
        <v>678</v>
      </c>
      <c r="N516" s="415" t="s">
        <v>679</v>
      </c>
      <c r="O516" s="417"/>
      <c r="P516" s="62">
        <v>1</v>
      </c>
      <c r="Q516" s="65">
        <v>0.19</v>
      </c>
      <c r="R516" s="62"/>
      <c r="S516" s="66">
        <f t="shared" si="24"/>
        <v>0</v>
      </c>
      <c r="T516" s="67">
        <f t="shared" si="25"/>
        <v>0</v>
      </c>
      <c r="U516" s="62" t="s">
        <v>34</v>
      </c>
      <c r="V516" s="430"/>
      <c r="W516" s="62"/>
    </row>
    <row r="517" spans="1:23" ht="23.4" x14ac:dyDescent="0.45">
      <c r="A517" s="1">
        <f t="shared" si="26"/>
        <v>516</v>
      </c>
      <c r="B517" s="57" t="s">
        <v>23</v>
      </c>
      <c r="C517" s="57" t="s">
        <v>24</v>
      </c>
      <c r="D517" s="58">
        <v>3304</v>
      </c>
      <c r="E517" s="59" t="s">
        <v>676</v>
      </c>
      <c r="F517" s="60" t="s">
        <v>677</v>
      </c>
      <c r="G517" s="61">
        <v>3684</v>
      </c>
      <c r="H517" s="62" t="s">
        <v>649</v>
      </c>
      <c r="I517" s="62" t="s">
        <v>651</v>
      </c>
      <c r="J517" s="1985" t="s">
        <v>57</v>
      </c>
      <c r="K517" s="52" t="s">
        <v>58</v>
      </c>
      <c r="L517" s="63">
        <v>0.6</v>
      </c>
      <c r="M517" s="416" t="s">
        <v>680</v>
      </c>
      <c r="N517" s="415" t="s">
        <v>681</v>
      </c>
      <c r="O517" s="417"/>
      <c r="P517" s="62">
        <v>0.95</v>
      </c>
      <c r="Q517" s="65">
        <v>0.19</v>
      </c>
      <c r="R517" s="62"/>
      <c r="S517" s="66">
        <f t="shared" si="24"/>
        <v>0</v>
      </c>
      <c r="T517" s="67">
        <f t="shared" si="25"/>
        <v>0</v>
      </c>
      <c r="U517" s="62" t="s">
        <v>34</v>
      </c>
      <c r="V517" s="430"/>
      <c r="W517" s="62"/>
    </row>
    <row r="518" spans="1:23" ht="23.4" x14ac:dyDescent="0.45">
      <c r="A518" s="1">
        <f t="shared" si="26"/>
        <v>517</v>
      </c>
      <c r="B518" s="57" t="s">
        <v>23</v>
      </c>
      <c r="C518" s="57" t="s">
        <v>24</v>
      </c>
      <c r="D518" s="58">
        <v>3304</v>
      </c>
      <c r="E518" s="59" t="s">
        <v>676</v>
      </c>
      <c r="F518" s="60" t="s">
        <v>677</v>
      </c>
      <c r="G518" s="61">
        <v>3684</v>
      </c>
      <c r="H518" s="62" t="s">
        <v>649</v>
      </c>
      <c r="I518" s="62" t="s">
        <v>651</v>
      </c>
      <c r="J518" s="1985" t="s">
        <v>57</v>
      </c>
      <c r="K518" s="52" t="s">
        <v>58</v>
      </c>
      <c r="L518" s="63">
        <v>0.6</v>
      </c>
      <c r="M518" s="416" t="s">
        <v>682</v>
      </c>
      <c r="N518" s="415" t="s">
        <v>683</v>
      </c>
      <c r="O518" s="417"/>
      <c r="P518" s="62">
        <v>0.9</v>
      </c>
      <c r="Q518" s="65">
        <v>0.19</v>
      </c>
      <c r="R518" s="62"/>
      <c r="S518" s="66">
        <f t="shared" si="24"/>
        <v>0</v>
      </c>
      <c r="T518" s="67">
        <f t="shared" si="25"/>
        <v>0</v>
      </c>
      <c r="U518" s="62" t="s">
        <v>34</v>
      </c>
      <c r="V518" s="430"/>
      <c r="W518" s="62"/>
    </row>
    <row r="519" spans="1:23" ht="23.4" x14ac:dyDescent="0.45">
      <c r="A519" s="1">
        <f t="shared" si="26"/>
        <v>518</v>
      </c>
      <c r="B519" s="57" t="s">
        <v>23</v>
      </c>
      <c r="C519" s="57" t="s">
        <v>24</v>
      </c>
      <c r="D519" s="58">
        <v>3304</v>
      </c>
      <c r="E519" s="59" t="s">
        <v>676</v>
      </c>
      <c r="F519" s="60" t="s">
        <v>677</v>
      </c>
      <c r="G519" s="61">
        <v>3684</v>
      </c>
      <c r="H519" s="62" t="s">
        <v>649</v>
      </c>
      <c r="I519" s="62" t="s">
        <v>651</v>
      </c>
      <c r="J519" s="1985" t="s">
        <v>57</v>
      </c>
      <c r="K519" s="52" t="s">
        <v>58</v>
      </c>
      <c r="L519" s="63">
        <v>0.6</v>
      </c>
      <c r="M519" s="416" t="s">
        <v>684</v>
      </c>
      <c r="N519" s="415" t="s">
        <v>685</v>
      </c>
      <c r="O519" s="417"/>
      <c r="P519" s="62">
        <v>1</v>
      </c>
      <c r="Q519" s="65">
        <v>0.19</v>
      </c>
      <c r="R519" s="62"/>
      <c r="S519" s="66">
        <f t="shared" si="24"/>
        <v>0</v>
      </c>
      <c r="T519" s="67">
        <f t="shared" si="25"/>
        <v>0</v>
      </c>
      <c r="U519" s="62" t="s">
        <v>34</v>
      </c>
      <c r="V519" s="430"/>
      <c r="W519" s="62"/>
    </row>
    <row r="520" spans="1:23" ht="23.4" x14ac:dyDescent="0.45">
      <c r="A520" s="1">
        <f t="shared" si="26"/>
        <v>519</v>
      </c>
      <c r="B520" s="57" t="s">
        <v>23</v>
      </c>
      <c r="C520" s="57" t="s">
        <v>24</v>
      </c>
      <c r="D520" s="58">
        <v>3304</v>
      </c>
      <c r="E520" s="59" t="s">
        <v>676</v>
      </c>
      <c r="F520" s="60" t="s">
        <v>677</v>
      </c>
      <c r="G520" s="61">
        <v>3684</v>
      </c>
      <c r="H520" s="62" t="s">
        <v>649</v>
      </c>
      <c r="I520" s="62" t="s">
        <v>651</v>
      </c>
      <c r="J520" s="1985" t="s">
        <v>57</v>
      </c>
      <c r="K520" s="52" t="s">
        <v>58</v>
      </c>
      <c r="L520" s="63">
        <v>0.6</v>
      </c>
      <c r="M520" s="416" t="s">
        <v>589</v>
      </c>
      <c r="N520" s="415" t="s">
        <v>590</v>
      </c>
      <c r="O520" s="417" t="s">
        <v>591</v>
      </c>
      <c r="P520" s="62">
        <v>1</v>
      </c>
      <c r="Q520" s="65">
        <v>0.05</v>
      </c>
      <c r="R520" s="62"/>
      <c r="S520" s="66">
        <f t="shared" si="24"/>
        <v>0</v>
      </c>
      <c r="T520" s="67">
        <f t="shared" si="25"/>
        <v>0</v>
      </c>
      <c r="U520" s="62" t="s">
        <v>34</v>
      </c>
      <c r="V520" s="430"/>
      <c r="W520" s="62"/>
    </row>
    <row r="521" spans="1:23" ht="23.4" x14ac:dyDescent="0.5">
      <c r="A521" s="1">
        <f t="shared" si="26"/>
        <v>520</v>
      </c>
      <c r="B521" s="15" t="s">
        <v>23</v>
      </c>
      <c r="C521" s="15" t="s">
        <v>24</v>
      </c>
      <c r="D521" s="68">
        <v>3304</v>
      </c>
      <c r="E521" s="15" t="s">
        <v>676</v>
      </c>
      <c r="F521" s="69" t="s">
        <v>677</v>
      </c>
      <c r="G521" s="70">
        <v>3684</v>
      </c>
      <c r="H521" s="71" t="s">
        <v>649</v>
      </c>
      <c r="I521" s="71" t="s">
        <v>651</v>
      </c>
      <c r="J521" s="1983" t="s">
        <v>110</v>
      </c>
      <c r="K521" s="20" t="s">
        <v>111</v>
      </c>
      <c r="L521" s="21">
        <v>0.4</v>
      </c>
      <c r="M521" s="325" t="s">
        <v>668</v>
      </c>
      <c r="N521" s="71" t="s">
        <v>686</v>
      </c>
      <c r="O521" s="71"/>
      <c r="P521" s="74">
        <v>1</v>
      </c>
      <c r="Q521" s="75">
        <v>0.25</v>
      </c>
      <c r="R521" s="74"/>
      <c r="S521" s="76">
        <f t="shared" si="24"/>
        <v>0</v>
      </c>
      <c r="T521" s="77">
        <f t="shared" si="25"/>
        <v>0</v>
      </c>
      <c r="U521" s="71" t="s">
        <v>34</v>
      </c>
      <c r="V521" s="71"/>
      <c r="W521" s="71"/>
    </row>
    <row r="522" spans="1:23" ht="23.4" x14ac:dyDescent="0.5">
      <c r="A522" s="1">
        <f t="shared" si="26"/>
        <v>521</v>
      </c>
      <c r="B522" s="15" t="s">
        <v>23</v>
      </c>
      <c r="C522" s="15" t="s">
        <v>24</v>
      </c>
      <c r="D522" s="68">
        <v>3304</v>
      </c>
      <c r="E522" s="15" t="s">
        <v>676</v>
      </c>
      <c r="F522" s="69" t="s">
        <v>677</v>
      </c>
      <c r="G522" s="70">
        <v>3684</v>
      </c>
      <c r="H522" s="71" t="s">
        <v>649</v>
      </c>
      <c r="I522" s="71" t="s">
        <v>651</v>
      </c>
      <c r="J522" s="1983" t="s">
        <v>110</v>
      </c>
      <c r="K522" s="20" t="s">
        <v>111</v>
      </c>
      <c r="L522" s="21">
        <v>0.4</v>
      </c>
      <c r="M522" s="325" t="s">
        <v>670</v>
      </c>
      <c r="N522" s="71"/>
      <c r="O522" s="71" t="s">
        <v>671</v>
      </c>
      <c r="P522" s="74">
        <v>1</v>
      </c>
      <c r="Q522" s="75">
        <v>0.25</v>
      </c>
      <c r="R522" s="74"/>
      <c r="S522" s="76">
        <f t="shared" si="24"/>
        <v>0</v>
      </c>
      <c r="T522" s="77">
        <f t="shared" si="25"/>
        <v>0</v>
      </c>
      <c r="U522" s="71" t="s">
        <v>34</v>
      </c>
      <c r="V522" s="71"/>
      <c r="W522" s="71"/>
    </row>
    <row r="523" spans="1:23" ht="23.4" x14ac:dyDescent="0.5">
      <c r="A523" s="1">
        <f t="shared" si="26"/>
        <v>522</v>
      </c>
      <c r="B523" s="15" t="s">
        <v>23</v>
      </c>
      <c r="C523" s="15" t="s">
        <v>24</v>
      </c>
      <c r="D523" s="68">
        <v>3304</v>
      </c>
      <c r="E523" s="15" t="s">
        <v>676</v>
      </c>
      <c r="F523" s="69" t="s">
        <v>677</v>
      </c>
      <c r="G523" s="70">
        <v>3684</v>
      </c>
      <c r="H523" s="71" t="s">
        <v>649</v>
      </c>
      <c r="I523" s="71" t="s">
        <v>651</v>
      </c>
      <c r="J523" s="1983" t="s">
        <v>110</v>
      </c>
      <c r="K523" s="20" t="s">
        <v>111</v>
      </c>
      <c r="L523" s="21">
        <v>0.4</v>
      </c>
      <c r="M523" s="325" t="s">
        <v>687</v>
      </c>
      <c r="N523" s="71" t="s">
        <v>688</v>
      </c>
      <c r="O523" s="71"/>
      <c r="P523" s="74">
        <v>1</v>
      </c>
      <c r="Q523" s="75">
        <v>0.25</v>
      </c>
      <c r="R523" s="74"/>
      <c r="S523" s="76">
        <f t="shared" si="24"/>
        <v>0</v>
      </c>
      <c r="T523" s="77">
        <f t="shared" si="25"/>
        <v>0</v>
      </c>
      <c r="U523" s="71" t="s">
        <v>34</v>
      </c>
      <c r="V523" s="71"/>
      <c r="W523" s="71"/>
    </row>
    <row r="524" spans="1:23" ht="23.4" x14ac:dyDescent="0.5">
      <c r="A524" s="1">
        <f t="shared" si="26"/>
        <v>523</v>
      </c>
      <c r="B524" s="15" t="s">
        <v>23</v>
      </c>
      <c r="C524" s="15" t="s">
        <v>24</v>
      </c>
      <c r="D524" s="68">
        <v>3304</v>
      </c>
      <c r="E524" s="15" t="s">
        <v>676</v>
      </c>
      <c r="F524" s="69" t="s">
        <v>677</v>
      </c>
      <c r="G524" s="70">
        <v>3684</v>
      </c>
      <c r="H524" s="71" t="s">
        <v>649</v>
      </c>
      <c r="I524" s="71" t="s">
        <v>651</v>
      </c>
      <c r="J524" s="1983" t="s">
        <v>110</v>
      </c>
      <c r="K524" s="20" t="s">
        <v>111</v>
      </c>
      <c r="L524" s="21">
        <v>0.4</v>
      </c>
      <c r="M524" s="325" t="s">
        <v>689</v>
      </c>
      <c r="N524" s="71" t="s">
        <v>690</v>
      </c>
      <c r="O524" s="71"/>
      <c r="P524" s="74">
        <v>1</v>
      </c>
      <c r="Q524" s="75">
        <v>0.25</v>
      </c>
      <c r="R524" s="74"/>
      <c r="S524" s="76">
        <f t="shared" si="24"/>
        <v>0</v>
      </c>
      <c r="T524" s="77">
        <f t="shared" si="25"/>
        <v>0</v>
      </c>
      <c r="U524" s="71" t="s">
        <v>34</v>
      </c>
      <c r="V524" s="71"/>
      <c r="W524" s="71"/>
    </row>
    <row r="525" spans="1:23" ht="23.4" x14ac:dyDescent="0.45">
      <c r="A525" s="1">
        <f t="shared" si="26"/>
        <v>524</v>
      </c>
      <c r="B525" s="2" t="s">
        <v>23</v>
      </c>
      <c r="C525" s="2" t="s">
        <v>24</v>
      </c>
      <c r="D525" s="49">
        <v>3428</v>
      </c>
      <c r="E525" s="2" t="s">
        <v>691</v>
      </c>
      <c r="F525" s="50" t="s">
        <v>692</v>
      </c>
      <c r="G525" s="51">
        <v>3684</v>
      </c>
      <c r="H525" s="14" t="s">
        <v>649</v>
      </c>
      <c r="I525" s="14" t="s">
        <v>651</v>
      </c>
      <c r="J525" s="1981" t="s">
        <v>57</v>
      </c>
      <c r="K525" s="8" t="s">
        <v>58</v>
      </c>
      <c r="L525" s="53">
        <v>0.6</v>
      </c>
      <c r="M525" s="91" t="s">
        <v>693</v>
      </c>
      <c r="N525" s="91" t="s">
        <v>653</v>
      </c>
      <c r="O525" s="3"/>
      <c r="P525" s="14">
        <v>1</v>
      </c>
      <c r="Q525" s="56">
        <v>0.15</v>
      </c>
      <c r="R525" s="14"/>
      <c r="S525" s="14">
        <f t="shared" si="24"/>
        <v>0</v>
      </c>
      <c r="T525" s="51">
        <f t="shared" si="25"/>
        <v>0</v>
      </c>
      <c r="U525" s="14" t="s">
        <v>34</v>
      </c>
      <c r="V525" s="1955">
        <f>SUM(T525:T537)%</f>
        <v>0</v>
      </c>
      <c r="W525" s="14"/>
    </row>
    <row r="526" spans="1:23" ht="23.4" x14ac:dyDescent="0.45">
      <c r="A526" s="1">
        <f t="shared" si="26"/>
        <v>525</v>
      </c>
      <c r="B526" s="57" t="s">
        <v>23</v>
      </c>
      <c r="C526" s="57" t="s">
        <v>24</v>
      </c>
      <c r="D526" s="58">
        <v>3428</v>
      </c>
      <c r="E526" s="59" t="s">
        <v>691</v>
      </c>
      <c r="F526" s="60" t="s">
        <v>692</v>
      </c>
      <c r="G526" s="61">
        <v>3684</v>
      </c>
      <c r="H526" s="62" t="s">
        <v>649</v>
      </c>
      <c r="I526" s="62" t="s">
        <v>651</v>
      </c>
      <c r="J526" s="1985" t="s">
        <v>57</v>
      </c>
      <c r="K526" s="52" t="s">
        <v>58</v>
      </c>
      <c r="L526" s="63">
        <v>0.6</v>
      </c>
      <c r="M526" s="416" t="s">
        <v>694</v>
      </c>
      <c r="N526" s="415" t="s">
        <v>695</v>
      </c>
      <c r="O526" s="417"/>
      <c r="P526" s="62">
        <v>1</v>
      </c>
      <c r="Q526" s="65">
        <v>0.13</v>
      </c>
      <c r="R526" s="62"/>
      <c r="S526" s="66">
        <f t="shared" si="24"/>
        <v>0</v>
      </c>
      <c r="T526" s="67">
        <f t="shared" si="25"/>
        <v>0</v>
      </c>
      <c r="U526" s="62" t="s">
        <v>34</v>
      </c>
      <c r="V526" s="430"/>
      <c r="W526" s="62"/>
    </row>
    <row r="527" spans="1:23" ht="23.4" x14ac:dyDescent="0.45">
      <c r="A527" s="1">
        <f t="shared" si="26"/>
        <v>526</v>
      </c>
      <c r="B527" s="57" t="s">
        <v>23</v>
      </c>
      <c r="C527" s="57" t="s">
        <v>24</v>
      </c>
      <c r="D527" s="58">
        <v>3428</v>
      </c>
      <c r="E527" s="59" t="s">
        <v>691</v>
      </c>
      <c r="F527" s="60" t="s">
        <v>692</v>
      </c>
      <c r="G527" s="61">
        <v>3684</v>
      </c>
      <c r="H527" s="62" t="s">
        <v>649</v>
      </c>
      <c r="I527" s="62" t="s">
        <v>651</v>
      </c>
      <c r="J527" s="1985" t="s">
        <v>57</v>
      </c>
      <c r="K527" s="52" t="s">
        <v>58</v>
      </c>
      <c r="L527" s="63">
        <v>0.6</v>
      </c>
      <c r="M527" s="416" t="s">
        <v>696</v>
      </c>
      <c r="N527" s="415" t="s">
        <v>697</v>
      </c>
      <c r="O527" s="417"/>
      <c r="P527" s="62">
        <v>0.8</v>
      </c>
      <c r="Q527" s="65">
        <v>0.1</v>
      </c>
      <c r="R527" s="62"/>
      <c r="S527" s="66">
        <f t="shared" si="24"/>
        <v>0</v>
      </c>
      <c r="T527" s="67">
        <f t="shared" si="25"/>
        <v>0</v>
      </c>
      <c r="U527" s="62" t="s">
        <v>34</v>
      </c>
      <c r="V527" s="430"/>
      <c r="W527" s="62"/>
    </row>
    <row r="528" spans="1:23" ht="23.4" x14ac:dyDescent="0.45">
      <c r="A528" s="1">
        <f t="shared" si="26"/>
        <v>527</v>
      </c>
      <c r="B528" s="57" t="s">
        <v>23</v>
      </c>
      <c r="C528" s="57" t="s">
        <v>24</v>
      </c>
      <c r="D528" s="58">
        <v>3428</v>
      </c>
      <c r="E528" s="59" t="s">
        <v>691</v>
      </c>
      <c r="F528" s="60" t="s">
        <v>692</v>
      </c>
      <c r="G528" s="61">
        <v>3684</v>
      </c>
      <c r="H528" s="62" t="s">
        <v>649</v>
      </c>
      <c r="I528" s="62" t="s">
        <v>651</v>
      </c>
      <c r="J528" s="1985" t="s">
        <v>57</v>
      </c>
      <c r="K528" s="52" t="s">
        <v>58</v>
      </c>
      <c r="L528" s="63">
        <v>0.6</v>
      </c>
      <c r="M528" s="416" t="s">
        <v>654</v>
      </c>
      <c r="N528" s="415" t="s">
        <v>655</v>
      </c>
      <c r="O528" s="417"/>
      <c r="P528" s="62">
        <v>1</v>
      </c>
      <c r="Q528" s="65">
        <v>0.1</v>
      </c>
      <c r="R528" s="62"/>
      <c r="S528" s="66">
        <f t="shared" si="24"/>
        <v>0</v>
      </c>
      <c r="T528" s="67">
        <f t="shared" si="25"/>
        <v>0</v>
      </c>
      <c r="U528" s="62" t="s">
        <v>34</v>
      </c>
      <c r="V528" s="430"/>
      <c r="W528" s="62"/>
    </row>
    <row r="529" spans="1:23" ht="23.4" x14ac:dyDescent="0.45">
      <c r="A529" s="1">
        <f t="shared" si="26"/>
        <v>528</v>
      </c>
      <c r="B529" s="57" t="s">
        <v>23</v>
      </c>
      <c r="C529" s="57" t="s">
        <v>24</v>
      </c>
      <c r="D529" s="58">
        <v>3428</v>
      </c>
      <c r="E529" s="59" t="s">
        <v>691</v>
      </c>
      <c r="F529" s="60" t="s">
        <v>692</v>
      </c>
      <c r="G529" s="61">
        <v>3684</v>
      </c>
      <c r="H529" s="62" t="s">
        <v>649</v>
      </c>
      <c r="I529" s="62" t="s">
        <v>651</v>
      </c>
      <c r="J529" s="1985" t="s">
        <v>57</v>
      </c>
      <c r="K529" s="52" t="s">
        <v>58</v>
      </c>
      <c r="L529" s="63">
        <v>0.6</v>
      </c>
      <c r="M529" s="416" t="s">
        <v>698</v>
      </c>
      <c r="N529" s="415" t="s">
        <v>699</v>
      </c>
      <c r="O529" s="417"/>
      <c r="P529" s="62">
        <v>0.95</v>
      </c>
      <c r="Q529" s="65">
        <v>0.1</v>
      </c>
      <c r="R529" s="62"/>
      <c r="S529" s="66">
        <f t="shared" si="24"/>
        <v>0</v>
      </c>
      <c r="T529" s="67">
        <f t="shared" si="25"/>
        <v>0</v>
      </c>
      <c r="U529" s="62" t="s">
        <v>34</v>
      </c>
      <c r="V529" s="430"/>
      <c r="W529" s="62"/>
    </row>
    <row r="530" spans="1:23" ht="23.4" x14ac:dyDescent="0.45">
      <c r="A530" s="1">
        <f t="shared" si="26"/>
        <v>529</v>
      </c>
      <c r="B530" s="57" t="s">
        <v>23</v>
      </c>
      <c r="C530" s="57" t="s">
        <v>24</v>
      </c>
      <c r="D530" s="58">
        <v>3428</v>
      </c>
      <c r="E530" s="59" t="s">
        <v>691</v>
      </c>
      <c r="F530" s="60" t="s">
        <v>692</v>
      </c>
      <c r="G530" s="61">
        <v>3684</v>
      </c>
      <c r="H530" s="62" t="s">
        <v>649</v>
      </c>
      <c r="I530" s="62" t="s">
        <v>651</v>
      </c>
      <c r="J530" s="1985" t="s">
        <v>57</v>
      </c>
      <c r="K530" s="52" t="s">
        <v>58</v>
      </c>
      <c r="L530" s="63">
        <v>0.6</v>
      </c>
      <c r="M530" s="416" t="s">
        <v>415</v>
      </c>
      <c r="N530" s="415" t="s">
        <v>664</v>
      </c>
      <c r="O530" s="417"/>
      <c r="P530" s="62">
        <v>1</v>
      </c>
      <c r="Q530" s="65">
        <v>0.1</v>
      </c>
      <c r="R530" s="62"/>
      <c r="S530" s="66">
        <f t="shared" si="24"/>
        <v>0</v>
      </c>
      <c r="T530" s="67">
        <f t="shared" si="25"/>
        <v>0</v>
      </c>
      <c r="U530" s="62" t="s">
        <v>34</v>
      </c>
      <c r="V530" s="430"/>
      <c r="W530" s="62"/>
    </row>
    <row r="531" spans="1:23" ht="23.4" x14ac:dyDescent="0.45">
      <c r="A531" s="1">
        <f t="shared" si="26"/>
        <v>530</v>
      </c>
      <c r="B531" s="57" t="s">
        <v>23</v>
      </c>
      <c r="C531" s="57" t="s">
        <v>24</v>
      </c>
      <c r="D531" s="58">
        <v>3428</v>
      </c>
      <c r="E531" s="59" t="s">
        <v>691</v>
      </c>
      <c r="F531" s="60" t="s">
        <v>692</v>
      </c>
      <c r="G531" s="61">
        <v>3684</v>
      </c>
      <c r="H531" s="62" t="s">
        <v>649</v>
      </c>
      <c r="I531" s="62" t="s">
        <v>651</v>
      </c>
      <c r="J531" s="1985" t="s">
        <v>57</v>
      </c>
      <c r="K531" s="52" t="s">
        <v>58</v>
      </c>
      <c r="L531" s="63">
        <v>0.6</v>
      </c>
      <c r="M531" s="416" t="s">
        <v>700</v>
      </c>
      <c r="N531" s="415" t="s">
        <v>701</v>
      </c>
      <c r="O531" s="417"/>
      <c r="P531" s="62">
        <v>0.999</v>
      </c>
      <c r="Q531" s="65">
        <v>0.12</v>
      </c>
      <c r="R531" s="62"/>
      <c r="S531" s="66">
        <f t="shared" si="24"/>
        <v>0</v>
      </c>
      <c r="T531" s="67">
        <f t="shared" si="25"/>
        <v>0</v>
      </c>
      <c r="U531" s="62" t="s">
        <v>34</v>
      </c>
      <c r="V531" s="430"/>
      <c r="W531" s="62"/>
    </row>
    <row r="532" spans="1:23" ht="23.4" x14ac:dyDescent="0.45">
      <c r="A532" s="1">
        <f t="shared" si="26"/>
        <v>531</v>
      </c>
      <c r="B532" s="57" t="s">
        <v>23</v>
      </c>
      <c r="C532" s="57" t="s">
        <v>24</v>
      </c>
      <c r="D532" s="58">
        <v>3428</v>
      </c>
      <c r="E532" s="59" t="s">
        <v>691</v>
      </c>
      <c r="F532" s="60" t="s">
        <v>692</v>
      </c>
      <c r="G532" s="61">
        <v>3684</v>
      </c>
      <c r="H532" s="62" t="s">
        <v>649</v>
      </c>
      <c r="I532" s="62" t="s">
        <v>651</v>
      </c>
      <c r="J532" s="1985" t="s">
        <v>57</v>
      </c>
      <c r="K532" s="52" t="s">
        <v>58</v>
      </c>
      <c r="L532" s="63">
        <v>0.6</v>
      </c>
      <c r="M532" s="416" t="s">
        <v>96</v>
      </c>
      <c r="N532" s="415" t="s">
        <v>702</v>
      </c>
      <c r="O532" s="417"/>
      <c r="P532" s="62">
        <v>1</v>
      </c>
      <c r="Q532" s="65">
        <v>0.1</v>
      </c>
      <c r="R532" s="62"/>
      <c r="S532" s="66">
        <f t="shared" si="24"/>
        <v>0</v>
      </c>
      <c r="T532" s="67">
        <f t="shared" si="25"/>
        <v>0</v>
      </c>
      <c r="U532" s="62" t="s">
        <v>34</v>
      </c>
      <c r="V532" s="430"/>
      <c r="W532" s="62"/>
    </row>
    <row r="533" spans="1:23" ht="23.4" x14ac:dyDescent="0.45">
      <c r="A533" s="1">
        <f t="shared" si="26"/>
        <v>532</v>
      </c>
      <c r="B533" s="57" t="s">
        <v>23</v>
      </c>
      <c r="C533" s="57" t="s">
        <v>24</v>
      </c>
      <c r="D533" s="58">
        <v>3428</v>
      </c>
      <c r="E533" s="59" t="s">
        <v>691</v>
      </c>
      <c r="F533" s="60" t="s">
        <v>692</v>
      </c>
      <c r="G533" s="61">
        <v>3684</v>
      </c>
      <c r="H533" s="62" t="s">
        <v>649</v>
      </c>
      <c r="I533" s="62" t="s">
        <v>651</v>
      </c>
      <c r="J533" s="1985" t="s">
        <v>57</v>
      </c>
      <c r="K533" s="52" t="s">
        <v>58</v>
      </c>
      <c r="L533" s="63">
        <v>0.6</v>
      </c>
      <c r="M533" s="416" t="s">
        <v>423</v>
      </c>
      <c r="N533" s="415"/>
      <c r="O533" s="415" t="s">
        <v>530</v>
      </c>
      <c r="P533" s="62">
        <v>1</v>
      </c>
      <c r="Q533" s="65">
        <v>0.05</v>
      </c>
      <c r="R533" s="62"/>
      <c r="S533" s="66">
        <f t="shared" si="24"/>
        <v>0</v>
      </c>
      <c r="T533" s="67">
        <f t="shared" si="25"/>
        <v>0</v>
      </c>
      <c r="U533" s="62" t="s">
        <v>34</v>
      </c>
      <c r="V533" s="430"/>
      <c r="W533" s="62"/>
    </row>
    <row r="534" spans="1:23" ht="23.4" x14ac:dyDescent="0.45">
      <c r="A534" s="1">
        <f t="shared" si="26"/>
        <v>533</v>
      </c>
      <c r="B534" s="57" t="s">
        <v>23</v>
      </c>
      <c r="C534" s="57" t="s">
        <v>24</v>
      </c>
      <c r="D534" s="58">
        <v>3428</v>
      </c>
      <c r="E534" s="59" t="s">
        <v>691</v>
      </c>
      <c r="F534" s="60" t="s">
        <v>692</v>
      </c>
      <c r="G534" s="61">
        <v>3684</v>
      </c>
      <c r="H534" s="62" t="s">
        <v>649</v>
      </c>
      <c r="I534" s="62" t="s">
        <v>651</v>
      </c>
      <c r="J534" s="1985" t="s">
        <v>57</v>
      </c>
      <c r="K534" s="52" t="s">
        <v>58</v>
      </c>
      <c r="L534" s="63">
        <v>0.6</v>
      </c>
      <c r="M534" s="416" t="s">
        <v>589</v>
      </c>
      <c r="N534" s="415" t="s">
        <v>590</v>
      </c>
      <c r="O534" s="417" t="s">
        <v>591</v>
      </c>
      <c r="P534" s="62">
        <v>1</v>
      </c>
      <c r="Q534" s="65">
        <v>0.05</v>
      </c>
      <c r="R534" s="62"/>
      <c r="S534" s="66">
        <f t="shared" si="24"/>
        <v>0</v>
      </c>
      <c r="T534" s="67">
        <f t="shared" si="25"/>
        <v>0</v>
      </c>
      <c r="U534" s="62" t="s">
        <v>34</v>
      </c>
      <c r="V534" s="430"/>
      <c r="W534" s="62"/>
    </row>
    <row r="535" spans="1:23" ht="23.4" x14ac:dyDescent="0.5">
      <c r="A535" s="1">
        <f t="shared" si="26"/>
        <v>534</v>
      </c>
      <c r="B535" s="15" t="s">
        <v>23</v>
      </c>
      <c r="C535" s="15" t="s">
        <v>24</v>
      </c>
      <c r="D535" s="68">
        <v>3428</v>
      </c>
      <c r="E535" s="15" t="s">
        <v>691</v>
      </c>
      <c r="F535" s="69" t="s">
        <v>692</v>
      </c>
      <c r="G535" s="70">
        <v>3684</v>
      </c>
      <c r="H535" s="71" t="s">
        <v>649</v>
      </c>
      <c r="I535" s="71" t="s">
        <v>651</v>
      </c>
      <c r="J535" s="1983" t="s">
        <v>110</v>
      </c>
      <c r="K535" s="20" t="s">
        <v>111</v>
      </c>
      <c r="L535" s="21">
        <v>0.4</v>
      </c>
      <c r="M535" s="325" t="s">
        <v>419</v>
      </c>
      <c r="N535" s="71" t="s">
        <v>555</v>
      </c>
      <c r="O535" s="71"/>
      <c r="P535" s="74">
        <v>1</v>
      </c>
      <c r="Q535" s="75">
        <v>0.4</v>
      </c>
      <c r="R535" s="74"/>
      <c r="S535" s="76">
        <f t="shared" si="24"/>
        <v>0</v>
      </c>
      <c r="T535" s="77">
        <f t="shared" si="25"/>
        <v>0</v>
      </c>
      <c r="U535" s="71" t="s">
        <v>34</v>
      </c>
      <c r="V535" s="71"/>
      <c r="W535" s="71"/>
    </row>
    <row r="536" spans="1:23" ht="23.4" x14ac:dyDescent="0.5">
      <c r="A536" s="1">
        <f t="shared" si="26"/>
        <v>535</v>
      </c>
      <c r="B536" s="15" t="s">
        <v>23</v>
      </c>
      <c r="C536" s="15" t="s">
        <v>24</v>
      </c>
      <c r="D536" s="68">
        <v>3428</v>
      </c>
      <c r="E536" s="15" t="s">
        <v>691</v>
      </c>
      <c r="F536" s="69" t="s">
        <v>692</v>
      </c>
      <c r="G536" s="70">
        <v>3684</v>
      </c>
      <c r="H536" s="71" t="s">
        <v>649</v>
      </c>
      <c r="I536" s="71" t="s">
        <v>651</v>
      </c>
      <c r="J536" s="1983" t="s">
        <v>110</v>
      </c>
      <c r="K536" s="20" t="s">
        <v>111</v>
      </c>
      <c r="L536" s="21">
        <v>0.4</v>
      </c>
      <c r="M536" s="325" t="s">
        <v>670</v>
      </c>
      <c r="N536" s="71"/>
      <c r="O536" s="71" t="s">
        <v>671</v>
      </c>
      <c r="P536" s="74">
        <v>1</v>
      </c>
      <c r="Q536" s="75">
        <v>0.3</v>
      </c>
      <c r="R536" s="74"/>
      <c r="S536" s="76">
        <f t="shared" si="24"/>
        <v>0</v>
      </c>
      <c r="T536" s="77">
        <f t="shared" si="25"/>
        <v>0</v>
      </c>
      <c r="U536" s="71" t="s">
        <v>34</v>
      </c>
      <c r="V536" s="71"/>
      <c r="W536" s="71"/>
    </row>
    <row r="537" spans="1:23" ht="23.4" x14ac:dyDescent="0.5">
      <c r="A537" s="1">
        <f t="shared" si="26"/>
        <v>536</v>
      </c>
      <c r="B537" s="15" t="s">
        <v>23</v>
      </c>
      <c r="C537" s="15" t="s">
        <v>24</v>
      </c>
      <c r="D537" s="68">
        <v>3428</v>
      </c>
      <c r="E537" s="15" t="s">
        <v>691</v>
      </c>
      <c r="F537" s="69" t="s">
        <v>692</v>
      </c>
      <c r="G537" s="70">
        <v>3684</v>
      </c>
      <c r="H537" s="71" t="s">
        <v>649</v>
      </c>
      <c r="I537" s="71" t="s">
        <v>651</v>
      </c>
      <c r="J537" s="1983" t="s">
        <v>110</v>
      </c>
      <c r="K537" s="20" t="s">
        <v>111</v>
      </c>
      <c r="L537" s="21">
        <v>0.4</v>
      </c>
      <c r="M537" s="325" t="s">
        <v>672</v>
      </c>
      <c r="N537" s="71" t="s">
        <v>673</v>
      </c>
      <c r="O537" s="71"/>
      <c r="P537" s="74">
        <v>1</v>
      </c>
      <c r="Q537" s="75">
        <v>0.3</v>
      </c>
      <c r="R537" s="74"/>
      <c r="S537" s="76">
        <f t="shared" si="24"/>
        <v>0</v>
      </c>
      <c r="T537" s="77">
        <f t="shared" si="25"/>
        <v>0</v>
      </c>
      <c r="U537" s="71" t="s">
        <v>34</v>
      </c>
      <c r="V537" s="71"/>
      <c r="W537" s="71"/>
    </row>
    <row r="538" spans="1:23" ht="23.4" x14ac:dyDescent="0.45">
      <c r="A538" s="1">
        <f t="shared" si="26"/>
        <v>537</v>
      </c>
      <c r="B538" s="2" t="s">
        <v>23</v>
      </c>
      <c r="C538" s="2" t="s">
        <v>24</v>
      </c>
      <c r="D538" s="49">
        <v>3184</v>
      </c>
      <c r="E538" s="2" t="s">
        <v>703</v>
      </c>
      <c r="F538" s="50" t="s">
        <v>704</v>
      </c>
      <c r="G538" s="51">
        <v>3684</v>
      </c>
      <c r="H538" s="14" t="s">
        <v>649</v>
      </c>
      <c r="I538" s="14" t="s">
        <v>651</v>
      </c>
      <c r="J538" s="1981" t="s">
        <v>57</v>
      </c>
      <c r="K538" s="8" t="s">
        <v>58</v>
      </c>
      <c r="L538" s="53">
        <v>0.6</v>
      </c>
      <c r="M538" s="91" t="s">
        <v>705</v>
      </c>
      <c r="N538" s="91" t="s">
        <v>706</v>
      </c>
      <c r="O538" s="3"/>
      <c r="P538" s="14">
        <v>1</v>
      </c>
      <c r="Q538" s="56">
        <v>0.15</v>
      </c>
      <c r="R538" s="14"/>
      <c r="S538" s="14">
        <f t="shared" si="24"/>
        <v>0</v>
      </c>
      <c r="T538" s="51">
        <f t="shared" si="25"/>
        <v>0</v>
      </c>
      <c r="U538" s="14" t="s">
        <v>34</v>
      </c>
      <c r="V538" s="1955">
        <f>SUM(T538:T551)%</f>
        <v>0</v>
      </c>
      <c r="W538" s="14"/>
    </row>
    <row r="539" spans="1:23" ht="28.8" x14ac:dyDescent="0.45">
      <c r="A539" s="1">
        <f t="shared" si="26"/>
        <v>538</v>
      </c>
      <c r="B539" s="57" t="s">
        <v>23</v>
      </c>
      <c r="C539" s="57" t="s">
        <v>24</v>
      </c>
      <c r="D539" s="58">
        <v>3184</v>
      </c>
      <c r="E539" s="59" t="s">
        <v>703</v>
      </c>
      <c r="F539" s="60" t="s">
        <v>704</v>
      </c>
      <c r="G539" s="61">
        <v>3684</v>
      </c>
      <c r="H539" s="62" t="s">
        <v>649</v>
      </c>
      <c r="I539" s="62" t="s">
        <v>651</v>
      </c>
      <c r="J539" s="1985" t="s">
        <v>57</v>
      </c>
      <c r="K539" s="52" t="s">
        <v>58</v>
      </c>
      <c r="L539" s="63">
        <v>0.6</v>
      </c>
      <c r="M539" s="544" t="s">
        <v>707</v>
      </c>
      <c r="N539" s="415" t="s">
        <v>708</v>
      </c>
      <c r="O539" s="417"/>
      <c r="P539" s="62">
        <v>1</v>
      </c>
      <c r="Q539" s="65">
        <v>0.13</v>
      </c>
      <c r="R539" s="62"/>
      <c r="S539" s="66">
        <f t="shared" si="24"/>
        <v>0</v>
      </c>
      <c r="T539" s="67">
        <f t="shared" si="25"/>
        <v>0</v>
      </c>
      <c r="U539" s="62" t="s">
        <v>34</v>
      </c>
      <c r="V539" s="430"/>
      <c r="W539" s="62"/>
    </row>
    <row r="540" spans="1:23" ht="23.4" x14ac:dyDescent="0.45">
      <c r="A540" s="1">
        <f t="shared" si="26"/>
        <v>539</v>
      </c>
      <c r="B540" s="57" t="s">
        <v>23</v>
      </c>
      <c r="C540" s="57" t="s">
        <v>24</v>
      </c>
      <c r="D540" s="58">
        <v>3184</v>
      </c>
      <c r="E540" s="59" t="s">
        <v>703</v>
      </c>
      <c r="F540" s="60" t="s">
        <v>704</v>
      </c>
      <c r="G540" s="61">
        <v>3684</v>
      </c>
      <c r="H540" s="62" t="s">
        <v>649</v>
      </c>
      <c r="I540" s="62" t="s">
        <v>651</v>
      </c>
      <c r="J540" s="1985" t="s">
        <v>57</v>
      </c>
      <c r="K540" s="52" t="s">
        <v>58</v>
      </c>
      <c r="L540" s="63">
        <v>0.6</v>
      </c>
      <c r="M540" s="416" t="s">
        <v>696</v>
      </c>
      <c r="N540" s="415" t="s">
        <v>697</v>
      </c>
      <c r="O540" s="417"/>
      <c r="P540" s="62">
        <v>0.8</v>
      </c>
      <c r="Q540" s="65">
        <v>0.1</v>
      </c>
      <c r="R540" s="62"/>
      <c r="S540" s="66">
        <f t="shared" si="24"/>
        <v>0</v>
      </c>
      <c r="T540" s="67">
        <f t="shared" si="25"/>
        <v>0</v>
      </c>
      <c r="U540" s="62" t="s">
        <v>34</v>
      </c>
      <c r="V540" s="430"/>
      <c r="W540" s="62"/>
    </row>
    <row r="541" spans="1:23" ht="23.4" x14ac:dyDescent="0.45">
      <c r="A541" s="1">
        <f t="shared" si="26"/>
        <v>540</v>
      </c>
      <c r="B541" s="57" t="s">
        <v>23</v>
      </c>
      <c r="C541" s="57" t="s">
        <v>24</v>
      </c>
      <c r="D541" s="58">
        <v>3184</v>
      </c>
      <c r="E541" s="59" t="s">
        <v>703</v>
      </c>
      <c r="F541" s="60" t="s">
        <v>704</v>
      </c>
      <c r="G541" s="61">
        <v>3684</v>
      </c>
      <c r="H541" s="62" t="s">
        <v>649</v>
      </c>
      <c r="I541" s="62" t="s">
        <v>651</v>
      </c>
      <c r="J541" s="1985" t="s">
        <v>57</v>
      </c>
      <c r="K541" s="52" t="s">
        <v>58</v>
      </c>
      <c r="L541" s="63">
        <v>0.6</v>
      </c>
      <c r="M541" s="416" t="s">
        <v>709</v>
      </c>
      <c r="N541" s="415" t="s">
        <v>661</v>
      </c>
      <c r="O541" s="417"/>
      <c r="P541" s="62">
        <v>1</v>
      </c>
      <c r="Q541" s="65">
        <v>0.1</v>
      </c>
      <c r="R541" s="62"/>
      <c r="S541" s="66">
        <f t="shared" si="24"/>
        <v>0</v>
      </c>
      <c r="T541" s="67">
        <f t="shared" si="25"/>
        <v>0</v>
      </c>
      <c r="U541" s="62" t="s">
        <v>34</v>
      </c>
      <c r="V541" s="430"/>
      <c r="W541" s="62"/>
    </row>
    <row r="542" spans="1:23" ht="23.4" x14ac:dyDescent="0.45">
      <c r="A542" s="1">
        <f t="shared" si="26"/>
        <v>541</v>
      </c>
      <c r="B542" s="57" t="s">
        <v>23</v>
      </c>
      <c r="C542" s="57" t="s">
        <v>24</v>
      </c>
      <c r="D542" s="58">
        <v>3184</v>
      </c>
      <c r="E542" s="59" t="s">
        <v>703</v>
      </c>
      <c r="F542" s="60" t="s">
        <v>704</v>
      </c>
      <c r="G542" s="61">
        <v>3684</v>
      </c>
      <c r="H542" s="62" t="s">
        <v>649</v>
      </c>
      <c r="I542" s="62" t="s">
        <v>651</v>
      </c>
      <c r="J542" s="1985" t="s">
        <v>57</v>
      </c>
      <c r="K542" s="52" t="s">
        <v>58</v>
      </c>
      <c r="L542" s="63">
        <v>0.6</v>
      </c>
      <c r="M542" s="416" t="s">
        <v>710</v>
      </c>
      <c r="N542" s="415" t="s">
        <v>711</v>
      </c>
      <c r="O542" s="417"/>
      <c r="P542" s="62">
        <v>0.9</v>
      </c>
      <c r="Q542" s="65">
        <v>0.1</v>
      </c>
      <c r="R542" s="62"/>
      <c r="S542" s="66">
        <f t="shared" si="24"/>
        <v>0</v>
      </c>
      <c r="T542" s="67">
        <f t="shared" si="25"/>
        <v>0</v>
      </c>
      <c r="U542" s="62" t="s">
        <v>34</v>
      </c>
      <c r="V542" s="430"/>
      <c r="W542" s="62"/>
    </row>
    <row r="543" spans="1:23" ht="23.4" x14ac:dyDescent="0.45">
      <c r="A543" s="1">
        <f t="shared" si="26"/>
        <v>542</v>
      </c>
      <c r="B543" s="57" t="s">
        <v>23</v>
      </c>
      <c r="C543" s="57" t="s">
        <v>24</v>
      </c>
      <c r="D543" s="58">
        <v>3184</v>
      </c>
      <c r="E543" s="59" t="s">
        <v>703</v>
      </c>
      <c r="F543" s="60" t="s">
        <v>704</v>
      </c>
      <c r="G543" s="61">
        <v>3684</v>
      </c>
      <c r="H543" s="62" t="s">
        <v>649</v>
      </c>
      <c r="I543" s="62" t="s">
        <v>651</v>
      </c>
      <c r="J543" s="1985" t="s">
        <v>57</v>
      </c>
      <c r="K543" s="52" t="s">
        <v>58</v>
      </c>
      <c r="L543" s="63">
        <v>0.6</v>
      </c>
      <c r="M543" s="416" t="s">
        <v>415</v>
      </c>
      <c r="N543" s="415" t="s">
        <v>664</v>
      </c>
      <c r="O543" s="417"/>
      <c r="P543" s="62">
        <v>1</v>
      </c>
      <c r="Q543" s="65">
        <v>0.1</v>
      </c>
      <c r="R543" s="62"/>
      <c r="S543" s="66">
        <f t="shared" si="24"/>
        <v>0</v>
      </c>
      <c r="T543" s="67">
        <f t="shared" si="25"/>
        <v>0</v>
      </c>
      <c r="U543" s="62" t="s">
        <v>34</v>
      </c>
      <c r="V543" s="430"/>
      <c r="W543" s="62"/>
    </row>
    <row r="544" spans="1:23" ht="23.4" x14ac:dyDescent="0.45">
      <c r="A544" s="1">
        <f t="shared" si="26"/>
        <v>543</v>
      </c>
      <c r="B544" s="57" t="s">
        <v>23</v>
      </c>
      <c r="C544" s="57" t="s">
        <v>24</v>
      </c>
      <c r="D544" s="58">
        <v>3184</v>
      </c>
      <c r="E544" s="59" t="s">
        <v>703</v>
      </c>
      <c r="F544" s="60" t="s">
        <v>704</v>
      </c>
      <c r="G544" s="61">
        <v>3684</v>
      </c>
      <c r="H544" s="62" t="s">
        <v>649</v>
      </c>
      <c r="I544" s="62" t="s">
        <v>651</v>
      </c>
      <c r="J544" s="1985" t="s">
        <v>57</v>
      </c>
      <c r="K544" s="52" t="s">
        <v>58</v>
      </c>
      <c r="L544" s="63">
        <v>0.6</v>
      </c>
      <c r="M544" s="416" t="s">
        <v>712</v>
      </c>
      <c r="N544" s="415" t="s">
        <v>713</v>
      </c>
      <c r="O544" s="417"/>
      <c r="P544" s="62">
        <v>0.999</v>
      </c>
      <c r="Q544" s="65">
        <v>0.12</v>
      </c>
      <c r="R544" s="62"/>
      <c r="S544" s="66">
        <f t="shared" si="24"/>
        <v>0</v>
      </c>
      <c r="T544" s="67">
        <f t="shared" si="25"/>
        <v>0</v>
      </c>
      <c r="U544" s="62" t="s">
        <v>34</v>
      </c>
      <c r="V544" s="430"/>
      <c r="W544" s="62"/>
    </row>
    <row r="545" spans="1:23" ht="23.4" x14ac:dyDescent="0.45">
      <c r="A545" s="1">
        <f t="shared" si="26"/>
        <v>544</v>
      </c>
      <c r="B545" s="57" t="s">
        <v>23</v>
      </c>
      <c r="C545" s="57" t="s">
        <v>24</v>
      </c>
      <c r="D545" s="58">
        <v>3184</v>
      </c>
      <c r="E545" s="59" t="s">
        <v>703</v>
      </c>
      <c r="F545" s="60" t="s">
        <v>704</v>
      </c>
      <c r="G545" s="61">
        <v>3684</v>
      </c>
      <c r="H545" s="62" t="s">
        <v>649</v>
      </c>
      <c r="I545" s="62" t="s">
        <v>651</v>
      </c>
      <c r="J545" s="1985" t="s">
        <v>57</v>
      </c>
      <c r="K545" s="52" t="s">
        <v>58</v>
      </c>
      <c r="L545" s="63">
        <v>0.6</v>
      </c>
      <c r="M545" s="416" t="s">
        <v>96</v>
      </c>
      <c r="N545" s="415" t="s">
        <v>702</v>
      </c>
      <c r="O545" s="417"/>
      <c r="P545" s="62">
        <v>1</v>
      </c>
      <c r="Q545" s="65">
        <v>0.1</v>
      </c>
      <c r="R545" s="62"/>
      <c r="S545" s="66">
        <f t="shared" si="24"/>
        <v>0</v>
      </c>
      <c r="T545" s="67">
        <f t="shared" si="25"/>
        <v>0</v>
      </c>
      <c r="U545" s="62" t="s">
        <v>34</v>
      </c>
      <c r="V545" s="430"/>
      <c r="W545" s="62"/>
    </row>
    <row r="546" spans="1:23" ht="23.4" x14ac:dyDescent="0.45">
      <c r="A546" s="1">
        <f t="shared" si="26"/>
        <v>545</v>
      </c>
      <c r="B546" s="57" t="s">
        <v>23</v>
      </c>
      <c r="C546" s="57" t="s">
        <v>24</v>
      </c>
      <c r="D546" s="58">
        <v>3184</v>
      </c>
      <c r="E546" s="59" t="s">
        <v>703</v>
      </c>
      <c r="F546" s="60" t="s">
        <v>704</v>
      </c>
      <c r="G546" s="61">
        <v>3684</v>
      </c>
      <c r="H546" s="62" t="s">
        <v>649</v>
      </c>
      <c r="I546" s="62" t="s">
        <v>651</v>
      </c>
      <c r="J546" s="1985" t="s">
        <v>57</v>
      </c>
      <c r="K546" s="52" t="s">
        <v>58</v>
      </c>
      <c r="L546" s="63">
        <v>0.6</v>
      </c>
      <c r="M546" s="416" t="s">
        <v>423</v>
      </c>
      <c r="N546" s="415"/>
      <c r="O546" s="415" t="s">
        <v>530</v>
      </c>
      <c r="P546" s="62">
        <v>1</v>
      </c>
      <c r="Q546" s="65">
        <v>0.05</v>
      </c>
      <c r="R546" s="62"/>
      <c r="S546" s="66">
        <f t="shared" si="24"/>
        <v>0</v>
      </c>
      <c r="T546" s="67">
        <f t="shared" si="25"/>
        <v>0</v>
      </c>
      <c r="U546" s="62" t="s">
        <v>34</v>
      </c>
      <c r="V546" s="430"/>
      <c r="W546" s="62"/>
    </row>
    <row r="547" spans="1:23" ht="23.4" x14ac:dyDescent="0.45">
      <c r="A547" s="1">
        <f t="shared" si="26"/>
        <v>546</v>
      </c>
      <c r="B547" s="57" t="s">
        <v>23</v>
      </c>
      <c r="C547" s="57" t="s">
        <v>24</v>
      </c>
      <c r="D547" s="58">
        <v>3184</v>
      </c>
      <c r="E547" s="57" t="s">
        <v>703</v>
      </c>
      <c r="F547" s="60" t="s">
        <v>704</v>
      </c>
      <c r="G547" s="61">
        <v>3684</v>
      </c>
      <c r="H547" s="62" t="s">
        <v>649</v>
      </c>
      <c r="I547" s="62" t="s">
        <v>651</v>
      </c>
      <c r="J547" s="1985" t="s">
        <v>57</v>
      </c>
      <c r="K547" s="52" t="s">
        <v>58</v>
      </c>
      <c r="L547" s="63">
        <v>0.6</v>
      </c>
      <c r="M547" s="416" t="s">
        <v>589</v>
      </c>
      <c r="N547" s="415" t="s">
        <v>590</v>
      </c>
      <c r="O547" s="417" t="s">
        <v>591</v>
      </c>
      <c r="P547" s="62">
        <v>1</v>
      </c>
      <c r="Q547" s="65">
        <v>0.05</v>
      </c>
      <c r="R547" s="62"/>
      <c r="S547" s="66">
        <f t="shared" si="24"/>
        <v>0</v>
      </c>
      <c r="T547" s="67">
        <f t="shared" si="25"/>
        <v>0</v>
      </c>
      <c r="U547" s="62" t="s">
        <v>34</v>
      </c>
      <c r="V547" s="430"/>
      <c r="W547" s="62"/>
    </row>
    <row r="548" spans="1:23" ht="23.4" x14ac:dyDescent="0.5">
      <c r="A548" s="1">
        <f t="shared" si="26"/>
        <v>547</v>
      </c>
      <c r="B548" s="15" t="s">
        <v>23</v>
      </c>
      <c r="C548" s="15" t="s">
        <v>24</v>
      </c>
      <c r="D548" s="68">
        <v>3184</v>
      </c>
      <c r="E548" s="15" t="s">
        <v>703</v>
      </c>
      <c r="F548" s="69" t="s">
        <v>704</v>
      </c>
      <c r="G548" s="70">
        <v>3684</v>
      </c>
      <c r="H548" s="71" t="s">
        <v>649</v>
      </c>
      <c r="I548" s="71" t="s">
        <v>651</v>
      </c>
      <c r="J548" s="1983" t="s">
        <v>110</v>
      </c>
      <c r="K548" s="20" t="s">
        <v>111</v>
      </c>
      <c r="L548" s="21">
        <v>0.4</v>
      </c>
      <c r="M548" s="325" t="s">
        <v>419</v>
      </c>
      <c r="N548" s="71" t="s">
        <v>555</v>
      </c>
      <c r="O548" s="71"/>
      <c r="P548" s="74">
        <v>1</v>
      </c>
      <c r="Q548" s="75">
        <v>0.4</v>
      </c>
      <c r="R548" s="74"/>
      <c r="S548" s="76">
        <f t="shared" si="24"/>
        <v>0</v>
      </c>
      <c r="T548" s="77">
        <f t="shared" si="25"/>
        <v>0</v>
      </c>
      <c r="U548" s="71" t="s">
        <v>34</v>
      </c>
      <c r="V548" s="71"/>
      <c r="W548" s="71"/>
    </row>
    <row r="549" spans="1:23" ht="23.4" x14ac:dyDescent="0.5">
      <c r="A549" s="1">
        <f t="shared" si="26"/>
        <v>548</v>
      </c>
      <c r="B549" s="15" t="s">
        <v>23</v>
      </c>
      <c r="C549" s="15" t="s">
        <v>24</v>
      </c>
      <c r="D549" s="68">
        <v>3184</v>
      </c>
      <c r="E549" s="15" t="s">
        <v>703</v>
      </c>
      <c r="F549" s="69" t="s">
        <v>704</v>
      </c>
      <c r="G549" s="70">
        <v>3684</v>
      </c>
      <c r="H549" s="71" t="s">
        <v>649</v>
      </c>
      <c r="I549" s="71" t="s">
        <v>651</v>
      </c>
      <c r="J549" s="1983" t="s">
        <v>110</v>
      </c>
      <c r="K549" s="20" t="s">
        <v>111</v>
      </c>
      <c r="L549" s="21">
        <v>0.4</v>
      </c>
      <c r="M549" s="325" t="s">
        <v>674</v>
      </c>
      <c r="N549" s="71" t="s">
        <v>675</v>
      </c>
      <c r="O549" s="71"/>
      <c r="P549" s="74">
        <v>1</v>
      </c>
      <c r="Q549" s="75">
        <v>0.15</v>
      </c>
      <c r="R549" s="74"/>
      <c r="S549" s="76">
        <f t="shared" si="24"/>
        <v>0</v>
      </c>
      <c r="T549" s="77">
        <f t="shared" si="25"/>
        <v>0</v>
      </c>
      <c r="U549" s="71" t="s">
        <v>34</v>
      </c>
      <c r="V549" s="71"/>
      <c r="W549" s="71"/>
    </row>
    <row r="550" spans="1:23" ht="23.4" x14ac:dyDescent="0.5">
      <c r="A550" s="1">
        <f t="shared" si="26"/>
        <v>549</v>
      </c>
      <c r="B550" s="15" t="s">
        <v>23</v>
      </c>
      <c r="C550" s="15" t="s">
        <v>24</v>
      </c>
      <c r="D550" s="68">
        <v>3184</v>
      </c>
      <c r="E550" s="15" t="s">
        <v>703</v>
      </c>
      <c r="F550" s="69" t="s">
        <v>704</v>
      </c>
      <c r="G550" s="70">
        <v>3684</v>
      </c>
      <c r="H550" s="71" t="s">
        <v>649</v>
      </c>
      <c r="I550" s="71" t="s">
        <v>651</v>
      </c>
      <c r="J550" s="1983" t="s">
        <v>110</v>
      </c>
      <c r="K550" s="20" t="s">
        <v>111</v>
      </c>
      <c r="L550" s="21">
        <v>0.4</v>
      </c>
      <c r="M550" s="325" t="s">
        <v>670</v>
      </c>
      <c r="N550" s="71"/>
      <c r="O550" s="71" t="s">
        <v>671</v>
      </c>
      <c r="P550" s="74">
        <v>1</v>
      </c>
      <c r="Q550" s="75">
        <v>0.3</v>
      </c>
      <c r="R550" s="74"/>
      <c r="S550" s="76">
        <f t="shared" si="24"/>
        <v>0</v>
      </c>
      <c r="T550" s="77">
        <f t="shared" si="25"/>
        <v>0</v>
      </c>
      <c r="U550" s="71" t="s">
        <v>34</v>
      </c>
      <c r="V550" s="71"/>
      <c r="W550" s="71"/>
    </row>
    <row r="551" spans="1:23" ht="23.4" x14ac:dyDescent="0.5">
      <c r="A551" s="1">
        <f t="shared" si="26"/>
        <v>550</v>
      </c>
      <c r="B551" s="15" t="s">
        <v>23</v>
      </c>
      <c r="C551" s="15" t="s">
        <v>24</v>
      </c>
      <c r="D551" s="68">
        <v>3184</v>
      </c>
      <c r="E551" s="15" t="s">
        <v>703</v>
      </c>
      <c r="F551" s="69" t="s">
        <v>704</v>
      </c>
      <c r="G551" s="70">
        <v>3684</v>
      </c>
      <c r="H551" s="71" t="s">
        <v>649</v>
      </c>
      <c r="I551" s="71" t="s">
        <v>651</v>
      </c>
      <c r="J551" s="1983" t="s">
        <v>110</v>
      </c>
      <c r="K551" s="20" t="s">
        <v>111</v>
      </c>
      <c r="L551" s="21">
        <v>0.4</v>
      </c>
      <c r="M551" s="325" t="s">
        <v>714</v>
      </c>
      <c r="N551" s="71" t="s">
        <v>715</v>
      </c>
      <c r="O551" s="71"/>
      <c r="P551" s="74">
        <v>1</v>
      </c>
      <c r="Q551" s="75">
        <v>0.15</v>
      </c>
      <c r="R551" s="74"/>
      <c r="S551" s="76">
        <f t="shared" si="24"/>
        <v>0</v>
      </c>
      <c r="T551" s="77">
        <f t="shared" si="25"/>
        <v>0</v>
      </c>
      <c r="U551" s="71" t="s">
        <v>34</v>
      </c>
      <c r="V551" s="71"/>
      <c r="W551" s="71"/>
    </row>
    <row r="552" spans="1:23" ht="23.4" x14ac:dyDescent="0.45">
      <c r="A552" s="1">
        <f t="shared" si="26"/>
        <v>551</v>
      </c>
      <c r="B552" s="2" t="s">
        <v>23</v>
      </c>
      <c r="C552" s="2" t="s">
        <v>24</v>
      </c>
      <c r="D552" s="49">
        <v>3067</v>
      </c>
      <c r="E552" s="2" t="s">
        <v>716</v>
      </c>
      <c r="F552" s="50" t="s">
        <v>717</v>
      </c>
      <c r="G552" s="51">
        <v>3684</v>
      </c>
      <c r="H552" s="14" t="s">
        <v>649</v>
      </c>
      <c r="I552" s="14" t="s">
        <v>651</v>
      </c>
      <c r="J552" s="1981" t="s">
        <v>57</v>
      </c>
      <c r="K552" s="8" t="s">
        <v>58</v>
      </c>
      <c r="L552" s="53">
        <v>0.6</v>
      </c>
      <c r="M552" s="91" t="s">
        <v>718</v>
      </c>
      <c r="N552" s="91" t="s">
        <v>719</v>
      </c>
      <c r="O552" s="3"/>
      <c r="P552" s="14">
        <v>1</v>
      </c>
      <c r="Q552" s="56">
        <v>0.15</v>
      </c>
      <c r="R552" s="14"/>
      <c r="S552" s="14">
        <f t="shared" si="24"/>
        <v>0</v>
      </c>
      <c r="T552" s="51">
        <f t="shared" si="25"/>
        <v>0</v>
      </c>
      <c r="U552" s="14" t="s">
        <v>34</v>
      </c>
      <c r="V552" s="1955">
        <f>SUM(T552:T564)%</f>
        <v>0</v>
      </c>
      <c r="W552" s="14"/>
    </row>
    <row r="553" spans="1:23" ht="23.4" x14ac:dyDescent="0.45">
      <c r="A553" s="1">
        <f t="shared" si="26"/>
        <v>552</v>
      </c>
      <c r="B553" s="57" t="s">
        <v>23</v>
      </c>
      <c r="C553" s="57" t="s">
        <v>24</v>
      </c>
      <c r="D553" s="58">
        <v>3067</v>
      </c>
      <c r="E553" s="59" t="s">
        <v>716</v>
      </c>
      <c r="F553" s="60" t="s">
        <v>717</v>
      </c>
      <c r="G553" s="61">
        <v>3684</v>
      </c>
      <c r="H553" s="62" t="s">
        <v>649</v>
      </c>
      <c r="I553" s="62" t="s">
        <v>651</v>
      </c>
      <c r="J553" s="1985" t="s">
        <v>57</v>
      </c>
      <c r="K553" s="52" t="s">
        <v>58</v>
      </c>
      <c r="L553" s="63">
        <v>0.6</v>
      </c>
      <c r="M553" s="416"/>
      <c r="N553" s="415" t="s">
        <v>720</v>
      </c>
      <c r="O553" s="417"/>
      <c r="P553" s="62">
        <v>1</v>
      </c>
      <c r="Q553" s="65">
        <v>0.1</v>
      </c>
      <c r="R553" s="62"/>
      <c r="S553" s="66">
        <f t="shared" si="24"/>
        <v>0</v>
      </c>
      <c r="T553" s="67">
        <f t="shared" si="25"/>
        <v>0</v>
      </c>
      <c r="U553" s="62" t="s">
        <v>34</v>
      </c>
      <c r="V553" s="430"/>
      <c r="W553" s="62"/>
    </row>
    <row r="554" spans="1:23" ht="23.4" x14ac:dyDescent="0.45">
      <c r="A554" s="1">
        <f t="shared" si="26"/>
        <v>553</v>
      </c>
      <c r="B554" s="57" t="s">
        <v>23</v>
      </c>
      <c r="C554" s="57" t="s">
        <v>24</v>
      </c>
      <c r="D554" s="58">
        <v>3067</v>
      </c>
      <c r="E554" s="59" t="s">
        <v>716</v>
      </c>
      <c r="F554" s="60" t="s">
        <v>717</v>
      </c>
      <c r="G554" s="61">
        <v>3684</v>
      </c>
      <c r="H554" s="62" t="s">
        <v>649</v>
      </c>
      <c r="I554" s="62" t="s">
        <v>651</v>
      </c>
      <c r="J554" s="1985" t="s">
        <v>57</v>
      </c>
      <c r="K554" s="52" t="s">
        <v>58</v>
      </c>
      <c r="L554" s="63">
        <v>0.6</v>
      </c>
      <c r="M554" s="416" t="s">
        <v>696</v>
      </c>
      <c r="N554" s="415" t="s">
        <v>697</v>
      </c>
      <c r="O554" s="417"/>
      <c r="P554" s="62">
        <v>0.9</v>
      </c>
      <c r="Q554" s="65">
        <v>0.15</v>
      </c>
      <c r="R554" s="62"/>
      <c r="S554" s="66">
        <f t="shared" si="24"/>
        <v>0</v>
      </c>
      <c r="T554" s="67">
        <f t="shared" si="25"/>
        <v>0</v>
      </c>
      <c r="U554" s="62" t="s">
        <v>34</v>
      </c>
      <c r="V554" s="430"/>
      <c r="W554" s="62"/>
    </row>
    <row r="555" spans="1:23" ht="23.4" x14ac:dyDescent="0.45">
      <c r="A555" s="1">
        <f t="shared" si="26"/>
        <v>554</v>
      </c>
      <c r="B555" s="57" t="s">
        <v>23</v>
      </c>
      <c r="C555" s="57" t="s">
        <v>24</v>
      </c>
      <c r="D555" s="58">
        <v>3067</v>
      </c>
      <c r="E555" s="59" t="s">
        <v>716</v>
      </c>
      <c r="F555" s="60" t="s">
        <v>717</v>
      </c>
      <c r="G555" s="61">
        <v>3684</v>
      </c>
      <c r="H555" s="62" t="s">
        <v>649</v>
      </c>
      <c r="I555" s="62" t="s">
        <v>651</v>
      </c>
      <c r="J555" s="1985" t="s">
        <v>57</v>
      </c>
      <c r="K555" s="52" t="s">
        <v>58</v>
      </c>
      <c r="L555" s="63">
        <v>0.6</v>
      </c>
      <c r="M555" s="416" t="s">
        <v>680</v>
      </c>
      <c r="N555" s="415" t="s">
        <v>681</v>
      </c>
      <c r="O555" s="417"/>
      <c r="P555" s="62">
        <v>1</v>
      </c>
      <c r="Q555" s="65">
        <v>0.15</v>
      </c>
      <c r="R555" s="62"/>
      <c r="S555" s="66">
        <f t="shared" si="24"/>
        <v>0</v>
      </c>
      <c r="T555" s="67">
        <f t="shared" si="25"/>
        <v>0</v>
      </c>
      <c r="U555" s="62" t="s">
        <v>34</v>
      </c>
      <c r="V555" s="430"/>
      <c r="W555" s="62"/>
    </row>
    <row r="556" spans="1:23" ht="23.4" x14ac:dyDescent="0.45">
      <c r="A556" s="1">
        <f t="shared" si="26"/>
        <v>555</v>
      </c>
      <c r="B556" s="57" t="s">
        <v>23</v>
      </c>
      <c r="C556" s="57" t="s">
        <v>24</v>
      </c>
      <c r="D556" s="58">
        <v>3067</v>
      </c>
      <c r="E556" s="59" t="s">
        <v>716</v>
      </c>
      <c r="F556" s="60" t="s">
        <v>717</v>
      </c>
      <c r="G556" s="61">
        <v>3684</v>
      </c>
      <c r="H556" s="62" t="s">
        <v>649</v>
      </c>
      <c r="I556" s="62" t="s">
        <v>651</v>
      </c>
      <c r="J556" s="1985" t="s">
        <v>57</v>
      </c>
      <c r="K556" s="52" t="s">
        <v>58</v>
      </c>
      <c r="L556" s="63">
        <v>0.6</v>
      </c>
      <c r="M556" s="416" t="s">
        <v>415</v>
      </c>
      <c r="N556" s="415" t="s">
        <v>664</v>
      </c>
      <c r="O556" s="417"/>
      <c r="P556" s="62">
        <v>1</v>
      </c>
      <c r="Q556" s="65">
        <v>0.1</v>
      </c>
      <c r="R556" s="62"/>
      <c r="S556" s="66">
        <f t="shared" si="24"/>
        <v>0</v>
      </c>
      <c r="T556" s="67">
        <f t="shared" si="25"/>
        <v>0</v>
      </c>
      <c r="U556" s="62" t="s">
        <v>34</v>
      </c>
      <c r="V556" s="430"/>
      <c r="W556" s="62"/>
    </row>
    <row r="557" spans="1:23" ht="23.4" x14ac:dyDescent="0.45">
      <c r="A557" s="1">
        <f t="shared" si="26"/>
        <v>556</v>
      </c>
      <c r="B557" s="57" t="s">
        <v>23</v>
      </c>
      <c r="C557" s="57" t="s">
        <v>24</v>
      </c>
      <c r="D557" s="58">
        <v>3067</v>
      </c>
      <c r="E557" s="59" t="s">
        <v>716</v>
      </c>
      <c r="F557" s="60" t="s">
        <v>717</v>
      </c>
      <c r="G557" s="61">
        <v>3684</v>
      </c>
      <c r="H557" s="62" t="s">
        <v>649</v>
      </c>
      <c r="I557" s="62" t="s">
        <v>651</v>
      </c>
      <c r="J557" s="1985" t="s">
        <v>57</v>
      </c>
      <c r="K557" s="52" t="s">
        <v>58</v>
      </c>
      <c r="L557" s="63">
        <v>0.6</v>
      </c>
      <c r="M557" s="416" t="s">
        <v>721</v>
      </c>
      <c r="N557" s="415" t="s">
        <v>722</v>
      </c>
      <c r="O557" s="417"/>
      <c r="P557" s="62">
        <v>0.999</v>
      </c>
      <c r="Q557" s="65">
        <v>0.15</v>
      </c>
      <c r="R557" s="62"/>
      <c r="S557" s="66">
        <f t="shared" si="24"/>
        <v>0</v>
      </c>
      <c r="T557" s="67">
        <f t="shared" si="25"/>
        <v>0</v>
      </c>
      <c r="U557" s="62" t="s">
        <v>34</v>
      </c>
      <c r="V557" s="430"/>
      <c r="W557" s="62"/>
    </row>
    <row r="558" spans="1:23" ht="23.4" x14ac:dyDescent="0.45">
      <c r="A558" s="1">
        <f t="shared" si="26"/>
        <v>557</v>
      </c>
      <c r="B558" s="57" t="s">
        <v>23</v>
      </c>
      <c r="C558" s="57" t="s">
        <v>24</v>
      </c>
      <c r="D558" s="58">
        <v>3067</v>
      </c>
      <c r="E558" s="59" t="s">
        <v>716</v>
      </c>
      <c r="F558" s="60" t="s">
        <v>717</v>
      </c>
      <c r="G558" s="61">
        <v>3684</v>
      </c>
      <c r="H558" s="62" t="s">
        <v>649</v>
      </c>
      <c r="I558" s="62" t="s">
        <v>651</v>
      </c>
      <c r="J558" s="1985" t="s">
        <v>57</v>
      </c>
      <c r="K558" s="52" t="s">
        <v>58</v>
      </c>
      <c r="L558" s="63">
        <v>0.6</v>
      </c>
      <c r="M558" s="416" t="s">
        <v>96</v>
      </c>
      <c r="N558" s="415" t="s">
        <v>702</v>
      </c>
      <c r="O558" s="417"/>
      <c r="P558" s="62">
        <v>0.9</v>
      </c>
      <c r="Q558" s="65">
        <v>0.1</v>
      </c>
      <c r="R558" s="62"/>
      <c r="S558" s="66">
        <f t="shared" si="24"/>
        <v>0</v>
      </c>
      <c r="T558" s="67">
        <f t="shared" si="25"/>
        <v>0</v>
      </c>
      <c r="U558" s="62" t="s">
        <v>34</v>
      </c>
      <c r="V558" s="430"/>
      <c r="W558" s="62"/>
    </row>
    <row r="559" spans="1:23" ht="23.4" x14ac:dyDescent="0.45">
      <c r="A559" s="1">
        <f t="shared" si="26"/>
        <v>558</v>
      </c>
      <c r="B559" s="57" t="s">
        <v>23</v>
      </c>
      <c r="C559" s="57" t="s">
        <v>24</v>
      </c>
      <c r="D559" s="58">
        <v>3067</v>
      </c>
      <c r="E559" s="59" t="s">
        <v>716</v>
      </c>
      <c r="F559" s="60" t="s">
        <v>717</v>
      </c>
      <c r="G559" s="61">
        <v>3684</v>
      </c>
      <c r="H559" s="62" t="s">
        <v>649</v>
      </c>
      <c r="I559" s="62" t="s">
        <v>651</v>
      </c>
      <c r="J559" s="1985" t="s">
        <v>57</v>
      </c>
      <c r="K559" s="52" t="s">
        <v>58</v>
      </c>
      <c r="L559" s="63">
        <v>0.6</v>
      </c>
      <c r="M559" s="416" t="s">
        <v>423</v>
      </c>
      <c r="N559" s="415"/>
      <c r="O559" s="415" t="s">
        <v>530</v>
      </c>
      <c r="P559" s="62">
        <v>1</v>
      </c>
      <c r="Q559" s="65">
        <v>0.05</v>
      </c>
      <c r="R559" s="62"/>
      <c r="S559" s="66">
        <f t="shared" si="24"/>
        <v>0</v>
      </c>
      <c r="T559" s="67">
        <f t="shared" si="25"/>
        <v>0</v>
      </c>
      <c r="U559" s="62" t="s">
        <v>34</v>
      </c>
      <c r="V559" s="430"/>
      <c r="W559" s="62"/>
    </row>
    <row r="560" spans="1:23" ht="23.4" x14ac:dyDescent="0.45">
      <c r="A560" s="1">
        <f t="shared" si="26"/>
        <v>559</v>
      </c>
      <c r="B560" s="57" t="s">
        <v>23</v>
      </c>
      <c r="C560" s="57" t="s">
        <v>24</v>
      </c>
      <c r="D560" s="58">
        <v>3067</v>
      </c>
      <c r="E560" s="57" t="s">
        <v>716</v>
      </c>
      <c r="F560" s="60" t="s">
        <v>717</v>
      </c>
      <c r="G560" s="61">
        <v>3684</v>
      </c>
      <c r="H560" s="62" t="s">
        <v>649</v>
      </c>
      <c r="I560" s="62" t="s">
        <v>651</v>
      </c>
      <c r="J560" s="1985" t="s">
        <v>57</v>
      </c>
      <c r="K560" s="52" t="s">
        <v>58</v>
      </c>
      <c r="L560" s="63">
        <v>0.6</v>
      </c>
      <c r="M560" s="416" t="s">
        <v>589</v>
      </c>
      <c r="N560" s="415" t="s">
        <v>590</v>
      </c>
      <c r="O560" s="417" t="s">
        <v>591</v>
      </c>
      <c r="P560" s="62">
        <v>1</v>
      </c>
      <c r="Q560" s="65">
        <v>0.05</v>
      </c>
      <c r="R560" s="62"/>
      <c r="S560" s="66">
        <f t="shared" si="24"/>
        <v>0</v>
      </c>
      <c r="T560" s="67">
        <f t="shared" si="25"/>
        <v>0</v>
      </c>
      <c r="U560" s="62" t="s">
        <v>34</v>
      </c>
      <c r="V560" s="430"/>
      <c r="W560" s="62"/>
    </row>
    <row r="561" spans="1:23" ht="23.4" x14ac:dyDescent="0.5">
      <c r="A561" s="1">
        <f t="shared" si="26"/>
        <v>560</v>
      </c>
      <c r="B561" s="15" t="s">
        <v>23</v>
      </c>
      <c r="C561" s="15" t="s">
        <v>24</v>
      </c>
      <c r="D561" s="68">
        <v>3067</v>
      </c>
      <c r="E561" s="15" t="s">
        <v>716</v>
      </c>
      <c r="F561" s="69" t="s">
        <v>717</v>
      </c>
      <c r="G561" s="70">
        <v>3684</v>
      </c>
      <c r="H561" s="71" t="s">
        <v>649</v>
      </c>
      <c r="I561" s="71" t="s">
        <v>651</v>
      </c>
      <c r="J561" s="1983" t="s">
        <v>110</v>
      </c>
      <c r="K561" s="20" t="s">
        <v>111</v>
      </c>
      <c r="L561" s="21">
        <v>0.4</v>
      </c>
      <c r="M561" s="325" t="s">
        <v>419</v>
      </c>
      <c r="N561" s="71" t="s">
        <v>555</v>
      </c>
      <c r="O561" s="71"/>
      <c r="P561" s="74">
        <v>1</v>
      </c>
      <c r="Q561" s="75">
        <v>0.5</v>
      </c>
      <c r="R561" s="74"/>
      <c r="S561" s="76">
        <f t="shared" si="24"/>
        <v>0</v>
      </c>
      <c r="T561" s="77">
        <f t="shared" si="25"/>
        <v>0</v>
      </c>
      <c r="U561" s="71" t="s">
        <v>34</v>
      </c>
      <c r="V561" s="71"/>
      <c r="W561" s="71"/>
    </row>
    <row r="562" spans="1:23" ht="23.4" x14ac:dyDescent="0.5">
      <c r="A562" s="1">
        <f t="shared" si="26"/>
        <v>561</v>
      </c>
      <c r="B562" s="15" t="s">
        <v>23</v>
      </c>
      <c r="C562" s="15" t="s">
        <v>24</v>
      </c>
      <c r="D562" s="68">
        <v>3067</v>
      </c>
      <c r="E562" s="15" t="s">
        <v>716</v>
      </c>
      <c r="F562" s="69" t="s">
        <v>717</v>
      </c>
      <c r="G562" s="70">
        <v>3684</v>
      </c>
      <c r="H562" s="71" t="s">
        <v>649</v>
      </c>
      <c r="I562" s="71" t="s">
        <v>651</v>
      </c>
      <c r="J562" s="1983" t="s">
        <v>110</v>
      </c>
      <c r="K562" s="20" t="s">
        <v>111</v>
      </c>
      <c r="L562" s="21">
        <v>0.4</v>
      </c>
      <c r="M562" s="325" t="s">
        <v>723</v>
      </c>
      <c r="N562" s="71" t="s">
        <v>724</v>
      </c>
      <c r="O562" s="71"/>
      <c r="P562" s="74">
        <v>1</v>
      </c>
      <c r="Q562" s="75">
        <v>0.2</v>
      </c>
      <c r="R562" s="74"/>
      <c r="S562" s="76">
        <f t="shared" si="24"/>
        <v>0</v>
      </c>
      <c r="T562" s="77">
        <f t="shared" si="25"/>
        <v>0</v>
      </c>
      <c r="U562" s="71" t="s">
        <v>34</v>
      </c>
      <c r="V562" s="71"/>
      <c r="W562" s="71"/>
    </row>
    <row r="563" spans="1:23" ht="23.4" x14ac:dyDescent="0.5">
      <c r="A563" s="1">
        <f t="shared" si="26"/>
        <v>562</v>
      </c>
      <c r="B563" s="15" t="s">
        <v>23</v>
      </c>
      <c r="C563" s="15" t="s">
        <v>24</v>
      </c>
      <c r="D563" s="68">
        <v>3067</v>
      </c>
      <c r="E563" s="15" t="s">
        <v>716</v>
      </c>
      <c r="F563" s="69" t="s">
        <v>717</v>
      </c>
      <c r="G563" s="70">
        <v>3684</v>
      </c>
      <c r="H563" s="71" t="s">
        <v>649</v>
      </c>
      <c r="I563" s="71" t="s">
        <v>651</v>
      </c>
      <c r="J563" s="1983" t="s">
        <v>110</v>
      </c>
      <c r="K563" s="20" t="s">
        <v>111</v>
      </c>
      <c r="L563" s="21">
        <v>0.4</v>
      </c>
      <c r="M563" s="325" t="s">
        <v>670</v>
      </c>
      <c r="N563" s="71"/>
      <c r="O563" s="71" t="s">
        <v>671</v>
      </c>
      <c r="P563" s="74">
        <v>1</v>
      </c>
      <c r="Q563" s="75">
        <v>0.1</v>
      </c>
      <c r="R563" s="74"/>
      <c r="S563" s="76">
        <f t="shared" si="24"/>
        <v>0</v>
      </c>
      <c r="T563" s="77">
        <f t="shared" si="25"/>
        <v>0</v>
      </c>
      <c r="U563" s="71" t="s">
        <v>34</v>
      </c>
      <c r="V563" s="71"/>
      <c r="W563" s="71"/>
    </row>
    <row r="564" spans="1:23" ht="23.4" x14ac:dyDescent="0.5">
      <c r="A564" s="1">
        <f t="shared" si="26"/>
        <v>563</v>
      </c>
      <c r="B564" s="15" t="s">
        <v>23</v>
      </c>
      <c r="C564" s="15" t="s">
        <v>24</v>
      </c>
      <c r="D564" s="68">
        <v>3067</v>
      </c>
      <c r="E564" s="15" t="s">
        <v>716</v>
      </c>
      <c r="F564" s="69" t="s">
        <v>717</v>
      </c>
      <c r="G564" s="70">
        <v>3684</v>
      </c>
      <c r="H564" s="71" t="s">
        <v>649</v>
      </c>
      <c r="I564" s="71" t="s">
        <v>651</v>
      </c>
      <c r="J564" s="1983" t="s">
        <v>110</v>
      </c>
      <c r="K564" s="20" t="s">
        <v>111</v>
      </c>
      <c r="L564" s="21">
        <v>0.4</v>
      </c>
      <c r="M564" s="325" t="s">
        <v>725</v>
      </c>
      <c r="N564" s="71" t="s">
        <v>726</v>
      </c>
      <c r="O564" s="71"/>
      <c r="P564" s="74">
        <v>1</v>
      </c>
      <c r="Q564" s="75">
        <v>0.2</v>
      </c>
      <c r="R564" s="74"/>
      <c r="S564" s="76">
        <f t="shared" si="24"/>
        <v>0</v>
      </c>
      <c r="T564" s="77">
        <f t="shared" si="25"/>
        <v>0</v>
      </c>
      <c r="U564" s="71" t="s">
        <v>34</v>
      </c>
      <c r="V564" s="71"/>
      <c r="W564" s="71"/>
    </row>
    <row r="565" spans="1:23" ht="23.4" x14ac:dyDescent="0.45">
      <c r="A565" s="1">
        <f t="shared" si="26"/>
        <v>564</v>
      </c>
      <c r="B565" s="2" t="s">
        <v>23</v>
      </c>
      <c r="C565" s="2" t="s">
        <v>24</v>
      </c>
      <c r="D565" s="49">
        <v>3616</v>
      </c>
      <c r="E565" s="2" t="s">
        <v>727</v>
      </c>
      <c r="F565" s="50" t="s">
        <v>728</v>
      </c>
      <c r="G565" s="51">
        <v>4051</v>
      </c>
      <c r="H565" s="14" t="s">
        <v>25</v>
      </c>
      <c r="I565" s="14" t="s">
        <v>729</v>
      </c>
      <c r="J565" s="1981" t="s">
        <v>57</v>
      </c>
      <c r="K565" s="8" t="s">
        <v>58</v>
      </c>
      <c r="L565" s="9">
        <v>0.4</v>
      </c>
      <c r="M565" s="120"/>
      <c r="N565" s="3" t="s">
        <v>730</v>
      </c>
      <c r="O565" s="407"/>
      <c r="P565" s="147">
        <v>1</v>
      </c>
      <c r="Q565" s="56">
        <v>0.05</v>
      </c>
      <c r="R565" s="147"/>
      <c r="S565" s="14">
        <f t="shared" si="24"/>
        <v>0</v>
      </c>
      <c r="T565" s="51">
        <f t="shared" si="25"/>
        <v>0</v>
      </c>
      <c r="U565" s="14" t="s">
        <v>34</v>
      </c>
      <c r="V565" s="1958">
        <f>SUM(T565:T588)%</f>
        <v>0</v>
      </c>
      <c r="W565" s="14"/>
    </row>
    <row r="566" spans="1:23" ht="23.4" x14ac:dyDescent="0.45">
      <c r="A566" s="1">
        <f t="shared" si="26"/>
        <v>565</v>
      </c>
      <c r="B566" s="57" t="s">
        <v>23</v>
      </c>
      <c r="C566" s="57" t="s">
        <v>24</v>
      </c>
      <c r="D566" s="58">
        <v>3616</v>
      </c>
      <c r="E566" s="57" t="s">
        <v>727</v>
      </c>
      <c r="F566" s="130" t="s">
        <v>728</v>
      </c>
      <c r="G566" s="67">
        <v>4051</v>
      </c>
      <c r="H566" s="66" t="s">
        <v>25</v>
      </c>
      <c r="I566" s="66" t="s">
        <v>729</v>
      </c>
      <c r="J566" s="1984" t="s">
        <v>57</v>
      </c>
      <c r="K566" s="31" t="s">
        <v>58</v>
      </c>
      <c r="L566" s="149">
        <v>0.4</v>
      </c>
      <c r="M566" s="35"/>
      <c r="N566" s="184" t="s">
        <v>731</v>
      </c>
      <c r="O566" s="430"/>
      <c r="P566" s="150">
        <v>1</v>
      </c>
      <c r="Q566" s="128">
        <v>0.05</v>
      </c>
      <c r="R566" s="150"/>
      <c r="S566" s="66">
        <f t="shared" si="24"/>
        <v>0</v>
      </c>
      <c r="T566" s="67">
        <f t="shared" si="25"/>
        <v>0</v>
      </c>
      <c r="U566" s="66" t="s">
        <v>34</v>
      </c>
      <c r="V566" s="430"/>
      <c r="W566" s="66"/>
    </row>
    <row r="567" spans="1:23" ht="23.4" x14ac:dyDescent="0.45">
      <c r="A567" s="1">
        <f t="shared" si="26"/>
        <v>566</v>
      </c>
      <c r="B567" s="57" t="s">
        <v>23</v>
      </c>
      <c r="C567" s="57" t="s">
        <v>24</v>
      </c>
      <c r="D567" s="58">
        <v>3616</v>
      </c>
      <c r="E567" s="57" t="s">
        <v>727</v>
      </c>
      <c r="F567" s="130" t="s">
        <v>728</v>
      </c>
      <c r="G567" s="67">
        <v>4051</v>
      </c>
      <c r="H567" s="66" t="s">
        <v>25</v>
      </c>
      <c r="I567" s="66" t="s">
        <v>729</v>
      </c>
      <c r="J567" s="1984" t="s">
        <v>57</v>
      </c>
      <c r="K567" s="31" t="s">
        <v>58</v>
      </c>
      <c r="L567" s="149">
        <v>0.4</v>
      </c>
      <c r="M567" s="35"/>
      <c r="N567" s="184" t="s">
        <v>732</v>
      </c>
      <c r="O567" s="430"/>
      <c r="P567" s="150">
        <v>1</v>
      </c>
      <c r="Q567" s="128">
        <v>0.05</v>
      </c>
      <c r="R567" s="150"/>
      <c r="S567" s="66">
        <f t="shared" si="24"/>
        <v>0</v>
      </c>
      <c r="T567" s="67">
        <f t="shared" si="25"/>
        <v>0</v>
      </c>
      <c r="U567" s="66" t="s">
        <v>34</v>
      </c>
      <c r="V567" s="430"/>
      <c r="W567" s="66"/>
    </row>
    <row r="568" spans="1:23" ht="23.4" x14ac:dyDescent="0.45">
      <c r="A568" s="1">
        <f t="shared" si="26"/>
        <v>567</v>
      </c>
      <c r="B568" s="57" t="s">
        <v>23</v>
      </c>
      <c r="C568" s="57" t="s">
        <v>24</v>
      </c>
      <c r="D568" s="58">
        <v>3616</v>
      </c>
      <c r="E568" s="57" t="s">
        <v>727</v>
      </c>
      <c r="F568" s="130" t="s">
        <v>728</v>
      </c>
      <c r="G568" s="67">
        <v>4051</v>
      </c>
      <c r="H568" s="66" t="s">
        <v>25</v>
      </c>
      <c r="I568" s="66" t="s">
        <v>729</v>
      </c>
      <c r="J568" s="1984" t="s">
        <v>57</v>
      </c>
      <c r="K568" s="31" t="s">
        <v>58</v>
      </c>
      <c r="L568" s="149">
        <v>0.4</v>
      </c>
      <c r="M568" s="35"/>
      <c r="N568" s="184" t="s">
        <v>733</v>
      </c>
      <c r="O568" s="430"/>
      <c r="P568" s="150">
        <v>1</v>
      </c>
      <c r="Q568" s="128">
        <v>0.05</v>
      </c>
      <c r="R568" s="150"/>
      <c r="S568" s="66">
        <f t="shared" si="24"/>
        <v>0</v>
      </c>
      <c r="T568" s="67">
        <f t="shared" si="25"/>
        <v>0</v>
      </c>
      <c r="U568" s="66" t="s">
        <v>34</v>
      </c>
      <c r="V568" s="430"/>
      <c r="W568" s="66"/>
    </row>
    <row r="569" spans="1:23" ht="23.4" x14ac:dyDescent="0.45">
      <c r="A569" s="1">
        <f t="shared" si="26"/>
        <v>568</v>
      </c>
      <c r="B569" s="57" t="s">
        <v>23</v>
      </c>
      <c r="C569" s="57" t="s">
        <v>24</v>
      </c>
      <c r="D569" s="58">
        <v>3616</v>
      </c>
      <c r="E569" s="57" t="s">
        <v>727</v>
      </c>
      <c r="F569" s="130" t="s">
        <v>728</v>
      </c>
      <c r="G569" s="67">
        <v>4051</v>
      </c>
      <c r="H569" s="66" t="s">
        <v>25</v>
      </c>
      <c r="I569" s="66" t="s">
        <v>729</v>
      </c>
      <c r="J569" s="1984" t="s">
        <v>57</v>
      </c>
      <c r="K569" s="31" t="s">
        <v>58</v>
      </c>
      <c r="L569" s="149">
        <v>0.4</v>
      </c>
      <c r="M569" s="35"/>
      <c r="N569" s="184" t="s">
        <v>734</v>
      </c>
      <c r="O569" s="430"/>
      <c r="P569" s="150">
        <v>1</v>
      </c>
      <c r="Q569" s="128">
        <v>0.05</v>
      </c>
      <c r="R569" s="150"/>
      <c r="S569" s="66">
        <f t="shared" si="24"/>
        <v>0</v>
      </c>
      <c r="T569" s="67">
        <f t="shared" si="25"/>
        <v>0</v>
      </c>
      <c r="U569" s="66" t="s">
        <v>34</v>
      </c>
      <c r="V569" s="430"/>
      <c r="W569" s="66"/>
    </row>
    <row r="570" spans="1:23" ht="23.4" x14ac:dyDescent="0.45">
      <c r="A570" s="1">
        <f t="shared" si="26"/>
        <v>569</v>
      </c>
      <c r="B570" s="57" t="s">
        <v>23</v>
      </c>
      <c r="C570" s="57" t="s">
        <v>24</v>
      </c>
      <c r="D570" s="58">
        <v>3616</v>
      </c>
      <c r="E570" s="57" t="s">
        <v>727</v>
      </c>
      <c r="F570" s="130" t="s">
        <v>728</v>
      </c>
      <c r="G570" s="67">
        <v>4051</v>
      </c>
      <c r="H570" s="66" t="s">
        <v>25</v>
      </c>
      <c r="I570" s="66" t="s">
        <v>729</v>
      </c>
      <c r="J570" s="1984" t="s">
        <v>57</v>
      </c>
      <c r="K570" s="31" t="s">
        <v>58</v>
      </c>
      <c r="L570" s="149">
        <v>0.4</v>
      </c>
      <c r="M570" s="35"/>
      <c r="N570" s="184" t="s">
        <v>735</v>
      </c>
      <c r="O570" s="430"/>
      <c r="P570" s="150">
        <v>1</v>
      </c>
      <c r="Q570" s="128">
        <v>0.1</v>
      </c>
      <c r="R570" s="150"/>
      <c r="S570" s="66">
        <f t="shared" si="24"/>
        <v>0</v>
      </c>
      <c r="T570" s="67">
        <f t="shared" si="25"/>
        <v>0</v>
      </c>
      <c r="U570" s="66" t="s">
        <v>34</v>
      </c>
      <c r="V570" s="430"/>
      <c r="W570" s="66"/>
    </row>
    <row r="571" spans="1:23" ht="23.4" x14ac:dyDescent="0.45">
      <c r="A571" s="1">
        <f t="shared" si="26"/>
        <v>570</v>
      </c>
      <c r="B571" s="57" t="s">
        <v>23</v>
      </c>
      <c r="C571" s="57" t="s">
        <v>24</v>
      </c>
      <c r="D571" s="58">
        <v>3616</v>
      </c>
      <c r="E571" s="57" t="s">
        <v>727</v>
      </c>
      <c r="F571" s="130" t="s">
        <v>728</v>
      </c>
      <c r="G571" s="67">
        <v>4051</v>
      </c>
      <c r="H571" s="66" t="s">
        <v>25</v>
      </c>
      <c r="I571" s="66" t="s">
        <v>729</v>
      </c>
      <c r="J571" s="1984" t="s">
        <v>57</v>
      </c>
      <c r="K571" s="31" t="s">
        <v>58</v>
      </c>
      <c r="L571" s="149">
        <v>0.4</v>
      </c>
      <c r="M571" s="35"/>
      <c r="N571" s="184" t="s">
        <v>736</v>
      </c>
      <c r="O571" s="430"/>
      <c r="P571" s="150">
        <v>1</v>
      </c>
      <c r="Q571" s="128">
        <v>0.25</v>
      </c>
      <c r="R571" s="150"/>
      <c r="S571" s="66">
        <f t="shared" si="24"/>
        <v>0</v>
      </c>
      <c r="T571" s="67">
        <f t="shared" si="25"/>
        <v>0</v>
      </c>
      <c r="U571" s="66" t="s">
        <v>34</v>
      </c>
      <c r="V571" s="430"/>
      <c r="W571" s="66"/>
    </row>
    <row r="572" spans="1:23" ht="23.4" x14ac:dyDescent="0.45">
      <c r="A572" s="1">
        <f t="shared" si="26"/>
        <v>571</v>
      </c>
      <c r="B572" s="57" t="s">
        <v>23</v>
      </c>
      <c r="C572" s="57" t="s">
        <v>24</v>
      </c>
      <c r="D572" s="58">
        <v>3616</v>
      </c>
      <c r="E572" s="57" t="s">
        <v>727</v>
      </c>
      <c r="F572" s="130" t="s">
        <v>728</v>
      </c>
      <c r="G572" s="67">
        <v>4051</v>
      </c>
      <c r="H572" s="66" t="s">
        <v>25</v>
      </c>
      <c r="I572" s="66" t="s">
        <v>729</v>
      </c>
      <c r="J572" s="1984" t="s">
        <v>57</v>
      </c>
      <c r="K572" s="31" t="s">
        <v>58</v>
      </c>
      <c r="L572" s="149">
        <v>0.4</v>
      </c>
      <c r="M572" s="35"/>
      <c r="N572" s="184" t="s">
        <v>737</v>
      </c>
      <c r="O572" s="430"/>
      <c r="P572" s="150">
        <v>1</v>
      </c>
      <c r="Q572" s="128">
        <v>0.15</v>
      </c>
      <c r="R572" s="150"/>
      <c r="S572" s="66">
        <f t="shared" si="24"/>
        <v>0</v>
      </c>
      <c r="T572" s="67">
        <f t="shared" si="25"/>
        <v>0</v>
      </c>
      <c r="U572" s="66" t="s">
        <v>34</v>
      </c>
      <c r="V572" s="430"/>
      <c r="W572" s="66"/>
    </row>
    <row r="573" spans="1:23" ht="23.4" x14ac:dyDescent="0.45">
      <c r="A573" s="1">
        <f t="shared" si="26"/>
        <v>572</v>
      </c>
      <c r="B573" s="57" t="s">
        <v>23</v>
      </c>
      <c r="C573" s="57" t="s">
        <v>24</v>
      </c>
      <c r="D573" s="58">
        <v>3616</v>
      </c>
      <c r="E573" s="57" t="s">
        <v>727</v>
      </c>
      <c r="F573" s="130" t="s">
        <v>728</v>
      </c>
      <c r="G573" s="67">
        <v>4051</v>
      </c>
      <c r="H573" s="66" t="s">
        <v>25</v>
      </c>
      <c r="I573" s="66" t="s">
        <v>729</v>
      </c>
      <c r="J573" s="1984" t="s">
        <v>57</v>
      </c>
      <c r="K573" s="31" t="s">
        <v>58</v>
      </c>
      <c r="L573" s="149">
        <v>0.4</v>
      </c>
      <c r="M573" s="35"/>
      <c r="N573" s="184" t="s">
        <v>738</v>
      </c>
      <c r="O573" s="430"/>
      <c r="P573" s="150">
        <v>1</v>
      </c>
      <c r="Q573" s="128">
        <v>0.05</v>
      </c>
      <c r="R573" s="150"/>
      <c r="S573" s="66">
        <f t="shared" si="24"/>
        <v>0</v>
      </c>
      <c r="T573" s="67">
        <f t="shared" si="25"/>
        <v>0</v>
      </c>
      <c r="U573" s="66" t="s">
        <v>34</v>
      </c>
      <c r="V573" s="430"/>
      <c r="W573" s="66"/>
    </row>
    <row r="574" spans="1:23" ht="23.4" x14ac:dyDescent="0.45">
      <c r="A574" s="1">
        <f t="shared" si="26"/>
        <v>573</v>
      </c>
      <c r="B574" s="57" t="s">
        <v>23</v>
      </c>
      <c r="C574" s="57" t="s">
        <v>24</v>
      </c>
      <c r="D574" s="58">
        <v>3616</v>
      </c>
      <c r="E574" s="57" t="s">
        <v>727</v>
      </c>
      <c r="F574" s="151" t="s">
        <v>728</v>
      </c>
      <c r="G574" s="152">
        <v>4051</v>
      </c>
      <c r="H574" s="153" t="s">
        <v>25</v>
      </c>
      <c r="I574" s="153" t="s">
        <v>729</v>
      </c>
      <c r="J574" s="1984" t="s">
        <v>57</v>
      </c>
      <c r="K574" s="31" t="s">
        <v>58</v>
      </c>
      <c r="L574" s="149">
        <v>0.4</v>
      </c>
      <c r="M574" s="35"/>
      <c r="N574" s="184" t="s">
        <v>739</v>
      </c>
      <c r="O574" s="430"/>
      <c r="P574" s="150">
        <v>1</v>
      </c>
      <c r="Q574" s="81">
        <v>0.05</v>
      </c>
      <c r="R574" s="150"/>
      <c r="S574" s="153">
        <f t="shared" si="24"/>
        <v>0</v>
      </c>
      <c r="T574" s="152">
        <f t="shared" si="25"/>
        <v>0</v>
      </c>
      <c r="U574" s="153" t="s">
        <v>34</v>
      </c>
      <c r="V574" s="430"/>
      <c r="W574" s="153"/>
    </row>
    <row r="575" spans="1:23" ht="23.4" x14ac:dyDescent="0.45">
      <c r="A575" s="1">
        <f t="shared" si="26"/>
        <v>574</v>
      </c>
      <c r="B575" s="57" t="s">
        <v>23</v>
      </c>
      <c r="C575" s="57" t="s">
        <v>24</v>
      </c>
      <c r="D575" s="58">
        <v>3616</v>
      </c>
      <c r="E575" s="57" t="s">
        <v>727</v>
      </c>
      <c r="F575" s="130" t="s">
        <v>728</v>
      </c>
      <c r="G575" s="67">
        <v>4051</v>
      </c>
      <c r="H575" s="66" t="s">
        <v>25</v>
      </c>
      <c r="I575" s="66" t="s">
        <v>729</v>
      </c>
      <c r="J575" s="1984" t="s">
        <v>57</v>
      </c>
      <c r="K575" s="31" t="s">
        <v>58</v>
      </c>
      <c r="L575" s="149">
        <v>0.4</v>
      </c>
      <c r="M575" s="35"/>
      <c r="N575" s="184" t="s">
        <v>740</v>
      </c>
      <c r="O575" s="430"/>
      <c r="P575" s="150">
        <v>1</v>
      </c>
      <c r="Q575" s="128">
        <v>0.05</v>
      </c>
      <c r="R575" s="150"/>
      <c r="S575" s="66">
        <f t="shared" si="24"/>
        <v>0</v>
      </c>
      <c r="T575" s="67">
        <f t="shared" si="25"/>
        <v>0</v>
      </c>
      <c r="U575" s="66" t="s">
        <v>34</v>
      </c>
      <c r="V575" s="430"/>
      <c r="W575" s="66"/>
    </row>
    <row r="576" spans="1:23" ht="23.4" x14ac:dyDescent="0.45">
      <c r="A576" s="1">
        <f t="shared" si="26"/>
        <v>575</v>
      </c>
      <c r="B576" s="57" t="s">
        <v>23</v>
      </c>
      <c r="C576" s="57" t="s">
        <v>24</v>
      </c>
      <c r="D576" s="58">
        <v>3616</v>
      </c>
      <c r="E576" s="57" t="s">
        <v>727</v>
      </c>
      <c r="F576" s="130" t="s">
        <v>728</v>
      </c>
      <c r="G576" s="67">
        <v>4051</v>
      </c>
      <c r="H576" s="66" t="s">
        <v>25</v>
      </c>
      <c r="I576" s="66" t="s">
        <v>729</v>
      </c>
      <c r="J576" s="1984" t="s">
        <v>57</v>
      </c>
      <c r="K576" s="31" t="s">
        <v>58</v>
      </c>
      <c r="L576" s="149">
        <v>0.4</v>
      </c>
      <c r="M576" s="35"/>
      <c r="N576" s="184" t="s">
        <v>741</v>
      </c>
      <c r="O576" s="430"/>
      <c r="P576" s="150">
        <v>1</v>
      </c>
      <c r="Q576" s="128">
        <v>0.05</v>
      </c>
      <c r="R576" s="150"/>
      <c r="S576" s="66">
        <f t="shared" si="24"/>
        <v>0</v>
      </c>
      <c r="T576" s="67">
        <f t="shared" si="25"/>
        <v>0</v>
      </c>
      <c r="U576" s="66" t="s">
        <v>34</v>
      </c>
      <c r="V576" s="430"/>
      <c r="W576" s="66"/>
    </row>
    <row r="577" spans="1:23" ht="23.4" x14ac:dyDescent="0.45">
      <c r="A577" s="1">
        <f t="shared" si="26"/>
        <v>576</v>
      </c>
      <c r="B577" s="57" t="s">
        <v>23</v>
      </c>
      <c r="C577" s="57" t="s">
        <v>24</v>
      </c>
      <c r="D577" s="58">
        <v>3616</v>
      </c>
      <c r="E577" s="57" t="s">
        <v>727</v>
      </c>
      <c r="F577" s="130" t="s">
        <v>728</v>
      </c>
      <c r="G577" s="67">
        <v>4051</v>
      </c>
      <c r="H577" s="66" t="s">
        <v>25</v>
      </c>
      <c r="I577" s="66" t="s">
        <v>729</v>
      </c>
      <c r="J577" s="1984" t="s">
        <v>57</v>
      </c>
      <c r="K577" s="31" t="s">
        <v>58</v>
      </c>
      <c r="L577" s="149">
        <v>0.4</v>
      </c>
      <c r="M577" s="35"/>
      <c r="N577" s="184" t="s">
        <v>742</v>
      </c>
      <c r="O577" s="430"/>
      <c r="P577" s="150">
        <v>1</v>
      </c>
      <c r="Q577" s="128">
        <v>0.05</v>
      </c>
      <c r="R577" s="150"/>
      <c r="S577" s="66">
        <f t="shared" si="24"/>
        <v>0</v>
      </c>
      <c r="T577" s="67">
        <f t="shared" si="25"/>
        <v>0</v>
      </c>
      <c r="U577" s="66" t="s">
        <v>34</v>
      </c>
      <c r="V577" s="430"/>
      <c r="W577" s="66"/>
    </row>
    <row r="578" spans="1:23" ht="23.4" x14ac:dyDescent="0.45">
      <c r="A578" s="1">
        <f t="shared" si="26"/>
        <v>577</v>
      </c>
      <c r="B578" s="57" t="s">
        <v>23</v>
      </c>
      <c r="C578" s="57" t="s">
        <v>24</v>
      </c>
      <c r="D578" s="58">
        <v>3616</v>
      </c>
      <c r="E578" s="57" t="s">
        <v>727</v>
      </c>
      <c r="F578" s="154" t="s">
        <v>728</v>
      </c>
      <c r="G578" s="155">
        <v>4051</v>
      </c>
      <c r="H578" s="156" t="s">
        <v>25</v>
      </c>
      <c r="I578" s="156" t="s">
        <v>729</v>
      </c>
      <c r="J578" s="1993" t="s">
        <v>110</v>
      </c>
      <c r="K578" s="135" t="s">
        <v>111</v>
      </c>
      <c r="L578" s="157">
        <v>0.6</v>
      </c>
      <c r="M578" s="134"/>
      <c r="N578" s="334" t="s">
        <v>743</v>
      </c>
      <c r="O578" s="71"/>
      <c r="P578" s="158">
        <v>1</v>
      </c>
      <c r="Q578" s="159">
        <v>0.1</v>
      </c>
      <c r="R578" s="158"/>
      <c r="S578" s="160">
        <f t="shared" ref="S578:S641" si="27">ROUND(IF(OR(P578="",R578=""),0,IF(AND(P578=0,R578=0),1,IF(U578="+",R578/P578,P578/R578))),2)</f>
        <v>0</v>
      </c>
      <c r="T578" s="161">
        <f t="shared" ref="T578:T641" si="28">IF(AND(S578&gt;=60%,S578&lt;100%),S578*((Q578*L578)),IF(S578=100%,((Q578*L578)*S578)*100%,IF(S578&gt;100%,((L578*Q578)*100%)*100%,0)))*100</f>
        <v>0</v>
      </c>
      <c r="U578" s="156" t="s">
        <v>34</v>
      </c>
      <c r="V578" s="412"/>
      <c r="W578" s="156"/>
    </row>
    <row r="579" spans="1:23" ht="23.4" x14ac:dyDescent="0.45">
      <c r="A579" s="1">
        <f t="shared" si="26"/>
        <v>578</v>
      </c>
      <c r="B579" s="57" t="s">
        <v>23</v>
      </c>
      <c r="C579" s="57" t="s">
        <v>24</v>
      </c>
      <c r="D579" s="58">
        <v>3616</v>
      </c>
      <c r="E579" s="57" t="s">
        <v>727</v>
      </c>
      <c r="F579" s="154" t="s">
        <v>728</v>
      </c>
      <c r="G579" s="155">
        <v>4051</v>
      </c>
      <c r="H579" s="156" t="s">
        <v>25</v>
      </c>
      <c r="I579" s="156" t="s">
        <v>729</v>
      </c>
      <c r="J579" s="1993" t="s">
        <v>110</v>
      </c>
      <c r="K579" s="135" t="s">
        <v>111</v>
      </c>
      <c r="L579" s="157">
        <v>0.6</v>
      </c>
      <c r="M579" s="134"/>
      <c r="N579" s="334" t="s">
        <v>744</v>
      </c>
      <c r="O579" s="71"/>
      <c r="P579" s="158">
        <v>1</v>
      </c>
      <c r="Q579" s="159">
        <v>0.05</v>
      </c>
      <c r="R579" s="158"/>
      <c r="S579" s="160">
        <f t="shared" si="27"/>
        <v>0</v>
      </c>
      <c r="T579" s="161">
        <f t="shared" si="28"/>
        <v>0</v>
      </c>
      <c r="U579" s="156" t="s">
        <v>34</v>
      </c>
      <c r="V579" s="412"/>
      <c r="W579" s="156"/>
    </row>
    <row r="580" spans="1:23" ht="23.4" x14ac:dyDescent="0.45">
      <c r="A580" s="1">
        <f t="shared" ref="A580:A643" si="29">ROW()-1</f>
        <v>579</v>
      </c>
      <c r="B580" s="57" t="s">
        <v>23</v>
      </c>
      <c r="C580" s="57" t="s">
        <v>24</v>
      </c>
      <c r="D580" s="58">
        <v>3616</v>
      </c>
      <c r="E580" s="57" t="s">
        <v>727</v>
      </c>
      <c r="F580" s="154" t="s">
        <v>728</v>
      </c>
      <c r="G580" s="155">
        <v>4051</v>
      </c>
      <c r="H580" s="156" t="s">
        <v>25</v>
      </c>
      <c r="I580" s="156" t="s">
        <v>729</v>
      </c>
      <c r="J580" s="1994" t="s">
        <v>110</v>
      </c>
      <c r="K580" s="163" t="s">
        <v>111</v>
      </c>
      <c r="L580" s="21">
        <v>0.6</v>
      </c>
      <c r="M580" s="28"/>
      <c r="N580" s="357" t="s">
        <v>745</v>
      </c>
      <c r="O580" s="71"/>
      <c r="P580" s="164">
        <v>1</v>
      </c>
      <c r="Q580" s="165">
        <v>0.1</v>
      </c>
      <c r="R580" s="164"/>
      <c r="S580" s="160">
        <f t="shared" si="27"/>
        <v>0</v>
      </c>
      <c r="T580" s="161">
        <f t="shared" si="28"/>
        <v>0</v>
      </c>
      <c r="U580" s="156" t="s">
        <v>34</v>
      </c>
      <c r="V580" s="71"/>
      <c r="W580" s="156"/>
    </row>
    <row r="581" spans="1:23" ht="23.4" x14ac:dyDescent="0.45">
      <c r="A581" s="1">
        <f t="shared" si="29"/>
        <v>580</v>
      </c>
      <c r="B581" s="57" t="s">
        <v>23</v>
      </c>
      <c r="C581" s="57" t="s">
        <v>24</v>
      </c>
      <c r="D581" s="58">
        <v>3616</v>
      </c>
      <c r="E581" s="57" t="s">
        <v>727</v>
      </c>
      <c r="F581" s="154" t="s">
        <v>728</v>
      </c>
      <c r="G581" s="155">
        <v>4051</v>
      </c>
      <c r="H581" s="156" t="s">
        <v>25</v>
      </c>
      <c r="I581" s="156" t="s">
        <v>729</v>
      </c>
      <c r="J581" s="1994" t="s">
        <v>110</v>
      </c>
      <c r="K581" s="163" t="s">
        <v>111</v>
      </c>
      <c r="L581" s="21">
        <v>0.6</v>
      </c>
      <c r="M581" s="28"/>
      <c r="N581" s="357" t="s">
        <v>746</v>
      </c>
      <c r="O581" s="71"/>
      <c r="P581" s="164">
        <v>1</v>
      </c>
      <c r="Q581" s="165">
        <v>0.05</v>
      </c>
      <c r="R581" s="164"/>
      <c r="S581" s="160">
        <f t="shared" si="27"/>
        <v>0</v>
      </c>
      <c r="T581" s="161">
        <f t="shared" si="28"/>
        <v>0</v>
      </c>
      <c r="U581" s="156" t="s">
        <v>34</v>
      </c>
      <c r="V581" s="71"/>
      <c r="W581" s="156"/>
    </row>
    <row r="582" spans="1:23" ht="23.4" x14ac:dyDescent="0.45">
      <c r="A582" s="1">
        <f t="shared" si="29"/>
        <v>581</v>
      </c>
      <c r="B582" s="57" t="s">
        <v>23</v>
      </c>
      <c r="C582" s="57" t="s">
        <v>24</v>
      </c>
      <c r="D582" s="58">
        <v>3616</v>
      </c>
      <c r="E582" s="57" t="s">
        <v>727</v>
      </c>
      <c r="F582" s="166" t="s">
        <v>728</v>
      </c>
      <c r="G582" s="161">
        <v>4051</v>
      </c>
      <c r="H582" s="160" t="s">
        <v>25</v>
      </c>
      <c r="I582" s="160" t="s">
        <v>729</v>
      </c>
      <c r="J582" s="1994" t="s">
        <v>110</v>
      </c>
      <c r="K582" s="163" t="s">
        <v>111</v>
      </c>
      <c r="L582" s="21">
        <v>0.6</v>
      </c>
      <c r="M582" s="28"/>
      <c r="N582" s="357" t="s">
        <v>747</v>
      </c>
      <c r="O582" s="71"/>
      <c r="P582" s="164">
        <v>1</v>
      </c>
      <c r="Q582" s="165">
        <v>0.1</v>
      </c>
      <c r="R582" s="164"/>
      <c r="S582" s="160">
        <f t="shared" si="27"/>
        <v>0</v>
      </c>
      <c r="T582" s="161">
        <f t="shared" si="28"/>
        <v>0</v>
      </c>
      <c r="U582" s="160" t="s">
        <v>34</v>
      </c>
      <c r="V582" s="71"/>
      <c r="W582" s="160"/>
    </row>
    <row r="583" spans="1:23" ht="23.4" x14ac:dyDescent="0.45">
      <c r="A583" s="1">
        <f t="shared" si="29"/>
        <v>582</v>
      </c>
      <c r="B583" s="57" t="s">
        <v>23</v>
      </c>
      <c r="C583" s="57" t="s">
        <v>24</v>
      </c>
      <c r="D583" s="58">
        <v>3616</v>
      </c>
      <c r="E583" s="57" t="s">
        <v>727</v>
      </c>
      <c r="F583" s="166" t="s">
        <v>728</v>
      </c>
      <c r="G583" s="161">
        <v>4051</v>
      </c>
      <c r="H583" s="160" t="s">
        <v>25</v>
      </c>
      <c r="I583" s="160" t="s">
        <v>729</v>
      </c>
      <c r="J583" s="1994" t="s">
        <v>110</v>
      </c>
      <c r="K583" s="163" t="s">
        <v>111</v>
      </c>
      <c r="L583" s="21">
        <v>0.6</v>
      </c>
      <c r="M583" s="28"/>
      <c r="N583" s="357" t="s">
        <v>748</v>
      </c>
      <c r="O583" s="71"/>
      <c r="P583" s="164">
        <v>1</v>
      </c>
      <c r="Q583" s="165">
        <v>0.1</v>
      </c>
      <c r="R583" s="164"/>
      <c r="S583" s="160">
        <f t="shared" si="27"/>
        <v>0</v>
      </c>
      <c r="T583" s="161">
        <f t="shared" si="28"/>
        <v>0</v>
      </c>
      <c r="U583" s="160" t="s">
        <v>34</v>
      </c>
      <c r="V583" s="71"/>
      <c r="W583" s="160"/>
    </row>
    <row r="584" spans="1:23" ht="23.4" x14ac:dyDescent="0.45">
      <c r="A584" s="1">
        <f t="shared" si="29"/>
        <v>583</v>
      </c>
      <c r="B584" s="57" t="s">
        <v>23</v>
      </c>
      <c r="C584" s="57" t="s">
        <v>24</v>
      </c>
      <c r="D584" s="58">
        <v>3616</v>
      </c>
      <c r="E584" s="57" t="s">
        <v>727</v>
      </c>
      <c r="F584" s="166" t="s">
        <v>728</v>
      </c>
      <c r="G584" s="161">
        <v>4051</v>
      </c>
      <c r="H584" s="160" t="s">
        <v>25</v>
      </c>
      <c r="I584" s="160" t="s">
        <v>729</v>
      </c>
      <c r="J584" s="1994" t="s">
        <v>110</v>
      </c>
      <c r="K584" s="163" t="s">
        <v>111</v>
      </c>
      <c r="L584" s="21">
        <v>0.6</v>
      </c>
      <c r="M584" s="28"/>
      <c r="N584" s="357" t="s">
        <v>749</v>
      </c>
      <c r="O584" s="71"/>
      <c r="P584" s="164">
        <v>1</v>
      </c>
      <c r="Q584" s="165">
        <v>0.15</v>
      </c>
      <c r="R584" s="164"/>
      <c r="S584" s="160">
        <f t="shared" si="27"/>
        <v>0</v>
      </c>
      <c r="T584" s="161">
        <f t="shared" si="28"/>
        <v>0</v>
      </c>
      <c r="U584" s="160" t="s">
        <v>34</v>
      </c>
      <c r="V584" s="71"/>
      <c r="W584" s="160"/>
    </row>
    <row r="585" spans="1:23" ht="23.4" x14ac:dyDescent="0.45">
      <c r="A585" s="1">
        <f t="shared" si="29"/>
        <v>584</v>
      </c>
      <c r="B585" s="57" t="s">
        <v>23</v>
      </c>
      <c r="C585" s="57" t="s">
        <v>24</v>
      </c>
      <c r="D585" s="58">
        <v>3616</v>
      </c>
      <c r="E585" s="57" t="s">
        <v>727</v>
      </c>
      <c r="F585" s="166" t="s">
        <v>728</v>
      </c>
      <c r="G585" s="161">
        <v>4051</v>
      </c>
      <c r="H585" s="160" t="s">
        <v>25</v>
      </c>
      <c r="I585" s="160" t="s">
        <v>729</v>
      </c>
      <c r="J585" s="1994" t="s">
        <v>110</v>
      </c>
      <c r="K585" s="163" t="s">
        <v>111</v>
      </c>
      <c r="L585" s="21">
        <v>0.6</v>
      </c>
      <c r="M585" s="28"/>
      <c r="N585" s="357" t="s">
        <v>750</v>
      </c>
      <c r="O585" s="71"/>
      <c r="P585" s="164">
        <v>1</v>
      </c>
      <c r="Q585" s="165">
        <v>0.05</v>
      </c>
      <c r="R585" s="164"/>
      <c r="S585" s="160">
        <f t="shared" si="27"/>
        <v>0</v>
      </c>
      <c r="T585" s="161">
        <f t="shared" si="28"/>
        <v>0</v>
      </c>
      <c r="U585" s="160" t="s">
        <v>34</v>
      </c>
      <c r="V585" s="71"/>
      <c r="W585" s="160"/>
    </row>
    <row r="586" spans="1:23" ht="23.4" x14ac:dyDescent="0.45">
      <c r="A586" s="1">
        <f t="shared" si="29"/>
        <v>585</v>
      </c>
      <c r="B586" s="57" t="s">
        <v>23</v>
      </c>
      <c r="C586" s="57" t="s">
        <v>24</v>
      </c>
      <c r="D586" s="58">
        <v>3616</v>
      </c>
      <c r="E586" s="57" t="s">
        <v>727</v>
      </c>
      <c r="F586" s="154" t="s">
        <v>728</v>
      </c>
      <c r="G586" s="155">
        <v>4051</v>
      </c>
      <c r="H586" s="156" t="s">
        <v>25</v>
      </c>
      <c r="I586" s="156" t="s">
        <v>729</v>
      </c>
      <c r="J586" s="1993" t="s">
        <v>110</v>
      </c>
      <c r="K586" s="135" t="s">
        <v>111</v>
      </c>
      <c r="L586" s="157">
        <v>0.6</v>
      </c>
      <c r="M586" s="134"/>
      <c r="N586" s="357" t="s">
        <v>751</v>
      </c>
      <c r="O586" s="71"/>
      <c r="P586" s="164">
        <v>1</v>
      </c>
      <c r="Q586" s="165">
        <v>0.1</v>
      </c>
      <c r="R586" s="164"/>
      <c r="S586" s="160">
        <f t="shared" si="27"/>
        <v>0</v>
      </c>
      <c r="T586" s="161">
        <f t="shared" si="28"/>
        <v>0</v>
      </c>
      <c r="U586" s="156" t="s">
        <v>34</v>
      </c>
      <c r="V586" s="71"/>
      <c r="W586" s="156"/>
    </row>
    <row r="587" spans="1:23" ht="23.4" x14ac:dyDescent="0.45">
      <c r="A587" s="1">
        <f t="shared" si="29"/>
        <v>586</v>
      </c>
      <c r="B587" s="57" t="s">
        <v>23</v>
      </c>
      <c r="C587" s="57" t="s">
        <v>24</v>
      </c>
      <c r="D587" s="58">
        <v>3616</v>
      </c>
      <c r="E587" s="57" t="s">
        <v>727</v>
      </c>
      <c r="F587" s="154" t="s">
        <v>728</v>
      </c>
      <c r="G587" s="155">
        <v>4051</v>
      </c>
      <c r="H587" s="156" t="s">
        <v>25</v>
      </c>
      <c r="I587" s="156" t="s">
        <v>729</v>
      </c>
      <c r="J587" s="1993" t="s">
        <v>110</v>
      </c>
      <c r="K587" s="135" t="s">
        <v>111</v>
      </c>
      <c r="L587" s="157">
        <v>0.6</v>
      </c>
      <c r="M587" s="134"/>
      <c r="N587" s="334" t="s">
        <v>752</v>
      </c>
      <c r="O587" s="71"/>
      <c r="P587" s="158">
        <v>1</v>
      </c>
      <c r="Q587" s="159">
        <v>0.15</v>
      </c>
      <c r="R587" s="158"/>
      <c r="S587" s="160">
        <f t="shared" si="27"/>
        <v>0</v>
      </c>
      <c r="T587" s="161">
        <f t="shared" si="28"/>
        <v>0</v>
      </c>
      <c r="U587" s="156" t="s">
        <v>34</v>
      </c>
      <c r="V587" s="71"/>
      <c r="W587" s="156"/>
    </row>
    <row r="588" spans="1:23" ht="23.4" x14ac:dyDescent="0.45">
      <c r="A588" s="1">
        <f t="shared" si="29"/>
        <v>587</v>
      </c>
      <c r="B588" s="57" t="s">
        <v>23</v>
      </c>
      <c r="C588" s="57" t="s">
        <v>24</v>
      </c>
      <c r="D588" s="58">
        <v>3616</v>
      </c>
      <c r="E588" s="57" t="s">
        <v>727</v>
      </c>
      <c r="F588" s="154" t="s">
        <v>728</v>
      </c>
      <c r="G588" s="155">
        <v>4051</v>
      </c>
      <c r="H588" s="156" t="s">
        <v>25</v>
      </c>
      <c r="I588" s="156" t="s">
        <v>729</v>
      </c>
      <c r="J588" s="1993" t="s">
        <v>110</v>
      </c>
      <c r="K588" s="135" t="s">
        <v>111</v>
      </c>
      <c r="L588" s="157">
        <v>0.6</v>
      </c>
      <c r="M588" s="134"/>
      <c r="N588" s="334" t="s">
        <v>753</v>
      </c>
      <c r="O588" s="71"/>
      <c r="P588" s="158">
        <v>1</v>
      </c>
      <c r="Q588" s="159">
        <v>0.05</v>
      </c>
      <c r="R588" s="158"/>
      <c r="S588" s="160">
        <f t="shared" si="27"/>
        <v>0</v>
      </c>
      <c r="T588" s="161">
        <f t="shared" si="28"/>
        <v>0</v>
      </c>
      <c r="U588" s="156" t="s">
        <v>34</v>
      </c>
      <c r="V588" s="71"/>
      <c r="W588" s="156"/>
    </row>
    <row r="589" spans="1:23" ht="23.4" x14ac:dyDescent="0.45">
      <c r="A589" s="1">
        <f t="shared" si="29"/>
        <v>588</v>
      </c>
      <c r="B589" s="2" t="s">
        <v>23</v>
      </c>
      <c r="C589" s="2" t="s">
        <v>24</v>
      </c>
      <c r="D589" s="49">
        <v>3610</v>
      </c>
      <c r="E589" s="2" t="s">
        <v>754</v>
      </c>
      <c r="F589" s="167" t="s">
        <v>755</v>
      </c>
      <c r="G589" s="168">
        <v>3616</v>
      </c>
      <c r="H589" s="148" t="s">
        <v>727</v>
      </c>
      <c r="I589" s="148" t="s">
        <v>729</v>
      </c>
      <c r="J589" s="1981" t="s">
        <v>57</v>
      </c>
      <c r="K589" s="8" t="s">
        <v>58</v>
      </c>
      <c r="L589" s="9">
        <v>0.6</v>
      </c>
      <c r="M589" s="120"/>
      <c r="N589" s="3" t="s">
        <v>756</v>
      </c>
      <c r="O589" s="3"/>
      <c r="P589" s="103">
        <v>1</v>
      </c>
      <c r="Q589" s="56">
        <v>0.05</v>
      </c>
      <c r="R589" s="103"/>
      <c r="S589" s="148">
        <f t="shared" si="27"/>
        <v>0</v>
      </c>
      <c r="T589" s="168">
        <f t="shared" si="28"/>
        <v>0</v>
      </c>
      <c r="U589" s="148" t="s">
        <v>34</v>
      </c>
      <c r="V589" s="1959">
        <f>SUM(T589:T617)%</f>
        <v>0</v>
      </c>
      <c r="W589" s="148"/>
    </row>
    <row r="590" spans="1:23" ht="23.4" x14ac:dyDescent="0.45">
      <c r="A590" s="1">
        <f t="shared" si="29"/>
        <v>589</v>
      </c>
      <c r="B590" s="57" t="s">
        <v>23</v>
      </c>
      <c r="C590" s="57" t="s">
        <v>24</v>
      </c>
      <c r="D590" s="58">
        <v>3610</v>
      </c>
      <c r="E590" s="57" t="s">
        <v>754</v>
      </c>
      <c r="F590" s="130" t="s">
        <v>755</v>
      </c>
      <c r="G590" s="67">
        <v>3616</v>
      </c>
      <c r="H590" s="66" t="s">
        <v>727</v>
      </c>
      <c r="I590" s="66" t="s">
        <v>729</v>
      </c>
      <c r="J590" s="1984" t="s">
        <v>57</v>
      </c>
      <c r="K590" s="31" t="s">
        <v>58</v>
      </c>
      <c r="L590" s="149">
        <v>0.6</v>
      </c>
      <c r="M590" s="35"/>
      <c r="N590" s="184" t="s">
        <v>757</v>
      </c>
      <c r="O590" s="184"/>
      <c r="P590" s="62">
        <v>1</v>
      </c>
      <c r="Q590" s="128">
        <v>0.1</v>
      </c>
      <c r="R590" s="62"/>
      <c r="S590" s="66">
        <f t="shared" si="27"/>
        <v>0</v>
      </c>
      <c r="T590" s="67">
        <f t="shared" si="28"/>
        <v>0</v>
      </c>
      <c r="U590" s="66" t="s">
        <v>34</v>
      </c>
      <c r="V590" s="430"/>
      <c r="W590" s="66"/>
    </row>
    <row r="591" spans="1:23" ht="23.4" x14ac:dyDescent="0.45">
      <c r="A591" s="1">
        <f t="shared" si="29"/>
        <v>590</v>
      </c>
      <c r="B591" s="57" t="s">
        <v>23</v>
      </c>
      <c r="C591" s="57" t="s">
        <v>24</v>
      </c>
      <c r="D591" s="58">
        <v>3610</v>
      </c>
      <c r="E591" s="57" t="s">
        <v>754</v>
      </c>
      <c r="F591" s="130" t="s">
        <v>755</v>
      </c>
      <c r="G591" s="67">
        <v>3616</v>
      </c>
      <c r="H591" s="66" t="s">
        <v>727</v>
      </c>
      <c r="I591" s="66" t="s">
        <v>729</v>
      </c>
      <c r="J591" s="1984" t="s">
        <v>57</v>
      </c>
      <c r="K591" s="31" t="s">
        <v>58</v>
      </c>
      <c r="L591" s="149">
        <v>0.6</v>
      </c>
      <c r="M591" s="35"/>
      <c r="N591" s="184" t="s">
        <v>758</v>
      </c>
      <c r="O591" s="184"/>
      <c r="P591" s="62">
        <v>1</v>
      </c>
      <c r="Q591" s="128">
        <v>0.05</v>
      </c>
      <c r="R591" s="62"/>
      <c r="S591" s="66">
        <f t="shared" si="27"/>
        <v>0</v>
      </c>
      <c r="T591" s="67">
        <f t="shared" si="28"/>
        <v>0</v>
      </c>
      <c r="U591" s="66" t="s">
        <v>34</v>
      </c>
      <c r="V591" s="430"/>
      <c r="W591" s="66"/>
    </row>
    <row r="592" spans="1:23" ht="23.4" x14ac:dyDescent="0.45">
      <c r="A592" s="1">
        <f t="shared" si="29"/>
        <v>591</v>
      </c>
      <c r="B592" s="57" t="s">
        <v>23</v>
      </c>
      <c r="C592" s="57" t="s">
        <v>24</v>
      </c>
      <c r="D592" s="58">
        <v>3610</v>
      </c>
      <c r="E592" s="57" t="s">
        <v>754</v>
      </c>
      <c r="F592" s="130" t="s">
        <v>755</v>
      </c>
      <c r="G592" s="67">
        <v>3616</v>
      </c>
      <c r="H592" s="66" t="s">
        <v>727</v>
      </c>
      <c r="I592" s="66" t="s">
        <v>729</v>
      </c>
      <c r="J592" s="1984" t="s">
        <v>57</v>
      </c>
      <c r="K592" s="31" t="s">
        <v>58</v>
      </c>
      <c r="L592" s="149">
        <v>0.6</v>
      </c>
      <c r="M592" s="35"/>
      <c r="N592" s="184" t="s">
        <v>759</v>
      </c>
      <c r="O592" s="184"/>
      <c r="P592" s="62">
        <v>1</v>
      </c>
      <c r="Q592" s="128">
        <v>0.1</v>
      </c>
      <c r="R592" s="62"/>
      <c r="S592" s="66">
        <f t="shared" si="27"/>
        <v>0</v>
      </c>
      <c r="T592" s="67">
        <f t="shared" si="28"/>
        <v>0</v>
      </c>
      <c r="U592" s="66" t="s">
        <v>34</v>
      </c>
      <c r="V592" s="430"/>
      <c r="W592" s="66"/>
    </row>
    <row r="593" spans="1:23" ht="23.4" x14ac:dyDescent="0.45">
      <c r="A593" s="1">
        <f t="shared" si="29"/>
        <v>592</v>
      </c>
      <c r="B593" s="57" t="s">
        <v>23</v>
      </c>
      <c r="C593" s="57" t="s">
        <v>24</v>
      </c>
      <c r="D593" s="58">
        <v>3610</v>
      </c>
      <c r="E593" s="57" t="s">
        <v>754</v>
      </c>
      <c r="F593" s="130" t="s">
        <v>755</v>
      </c>
      <c r="G593" s="67">
        <v>3616</v>
      </c>
      <c r="H593" s="66" t="s">
        <v>727</v>
      </c>
      <c r="I593" s="66" t="s">
        <v>729</v>
      </c>
      <c r="J593" s="1984" t="s">
        <v>57</v>
      </c>
      <c r="K593" s="31" t="s">
        <v>58</v>
      </c>
      <c r="L593" s="149">
        <v>0.6</v>
      </c>
      <c r="M593" s="35"/>
      <c r="N593" s="184" t="s">
        <v>760</v>
      </c>
      <c r="O593" s="184"/>
      <c r="P593" s="62">
        <v>1</v>
      </c>
      <c r="Q593" s="128">
        <v>0.05</v>
      </c>
      <c r="R593" s="62"/>
      <c r="S593" s="66">
        <f t="shared" si="27"/>
        <v>0</v>
      </c>
      <c r="T593" s="67">
        <f t="shared" si="28"/>
        <v>0</v>
      </c>
      <c r="U593" s="66" t="s">
        <v>34</v>
      </c>
      <c r="V593" s="430"/>
      <c r="W593" s="66"/>
    </row>
    <row r="594" spans="1:23" ht="23.4" x14ac:dyDescent="0.45">
      <c r="A594" s="1">
        <f t="shared" si="29"/>
        <v>593</v>
      </c>
      <c r="B594" s="57" t="s">
        <v>23</v>
      </c>
      <c r="C594" s="57" t="s">
        <v>24</v>
      </c>
      <c r="D594" s="58">
        <v>3610</v>
      </c>
      <c r="E594" s="57" t="s">
        <v>754</v>
      </c>
      <c r="F594" s="130" t="s">
        <v>755</v>
      </c>
      <c r="G594" s="67">
        <v>3616</v>
      </c>
      <c r="H594" s="66" t="s">
        <v>727</v>
      </c>
      <c r="I594" s="66" t="s">
        <v>729</v>
      </c>
      <c r="J594" s="1984" t="s">
        <v>57</v>
      </c>
      <c r="K594" s="31" t="s">
        <v>58</v>
      </c>
      <c r="L594" s="149">
        <v>0.6</v>
      </c>
      <c r="M594" s="35"/>
      <c r="N594" s="184" t="s">
        <v>761</v>
      </c>
      <c r="O594" s="184"/>
      <c r="P594" s="62">
        <v>1</v>
      </c>
      <c r="Q594" s="128">
        <v>0.05</v>
      </c>
      <c r="R594" s="62"/>
      <c r="S594" s="66">
        <f t="shared" si="27"/>
        <v>0</v>
      </c>
      <c r="T594" s="67">
        <f t="shared" si="28"/>
        <v>0</v>
      </c>
      <c r="U594" s="66" t="s">
        <v>34</v>
      </c>
      <c r="V594" s="430"/>
      <c r="W594" s="66"/>
    </row>
    <row r="595" spans="1:23" ht="23.4" x14ac:dyDescent="0.45">
      <c r="A595" s="1">
        <f t="shared" si="29"/>
        <v>594</v>
      </c>
      <c r="B595" s="57" t="s">
        <v>23</v>
      </c>
      <c r="C595" s="57" t="s">
        <v>24</v>
      </c>
      <c r="D595" s="58">
        <v>3610</v>
      </c>
      <c r="E595" s="57" t="s">
        <v>754</v>
      </c>
      <c r="F595" s="130" t="s">
        <v>755</v>
      </c>
      <c r="G595" s="67">
        <v>3616</v>
      </c>
      <c r="H595" s="66" t="s">
        <v>727</v>
      </c>
      <c r="I595" s="66" t="s">
        <v>729</v>
      </c>
      <c r="J595" s="1984" t="s">
        <v>57</v>
      </c>
      <c r="K595" s="31" t="s">
        <v>58</v>
      </c>
      <c r="L595" s="149">
        <v>0.6</v>
      </c>
      <c r="M595" s="35"/>
      <c r="N595" s="184" t="s">
        <v>762</v>
      </c>
      <c r="O595" s="184"/>
      <c r="P595" s="62">
        <v>1</v>
      </c>
      <c r="Q595" s="128">
        <v>0.05</v>
      </c>
      <c r="R595" s="62"/>
      <c r="S595" s="66">
        <f t="shared" si="27"/>
        <v>0</v>
      </c>
      <c r="T595" s="67">
        <f t="shared" si="28"/>
        <v>0</v>
      </c>
      <c r="U595" s="66" t="s">
        <v>34</v>
      </c>
      <c r="V595" s="430"/>
      <c r="W595" s="66"/>
    </row>
    <row r="596" spans="1:23" ht="23.4" x14ac:dyDescent="0.45">
      <c r="A596" s="1">
        <f t="shared" si="29"/>
        <v>595</v>
      </c>
      <c r="B596" s="57" t="s">
        <v>23</v>
      </c>
      <c r="C596" s="57" t="s">
        <v>24</v>
      </c>
      <c r="D596" s="58">
        <v>3610</v>
      </c>
      <c r="E596" s="57" t="s">
        <v>754</v>
      </c>
      <c r="F596" s="130" t="s">
        <v>755</v>
      </c>
      <c r="G596" s="67">
        <v>3616</v>
      </c>
      <c r="H596" s="66" t="s">
        <v>727</v>
      </c>
      <c r="I596" s="66" t="s">
        <v>729</v>
      </c>
      <c r="J596" s="1984" t="s">
        <v>57</v>
      </c>
      <c r="K596" s="31" t="s">
        <v>58</v>
      </c>
      <c r="L596" s="149">
        <v>0.6</v>
      </c>
      <c r="M596" s="35"/>
      <c r="N596" s="184" t="s">
        <v>763</v>
      </c>
      <c r="O596" s="184"/>
      <c r="P596" s="62">
        <v>1</v>
      </c>
      <c r="Q596" s="128">
        <v>0.1</v>
      </c>
      <c r="R596" s="62"/>
      <c r="S596" s="66">
        <f t="shared" si="27"/>
        <v>0</v>
      </c>
      <c r="T596" s="67">
        <f t="shared" si="28"/>
        <v>0</v>
      </c>
      <c r="U596" s="66" t="s">
        <v>34</v>
      </c>
      <c r="V596" s="430"/>
      <c r="W596" s="66"/>
    </row>
    <row r="597" spans="1:23" ht="23.4" x14ac:dyDescent="0.45">
      <c r="A597" s="1">
        <f t="shared" si="29"/>
        <v>596</v>
      </c>
      <c r="B597" s="57" t="s">
        <v>23</v>
      </c>
      <c r="C597" s="57" t="s">
        <v>24</v>
      </c>
      <c r="D597" s="58">
        <v>3610</v>
      </c>
      <c r="E597" s="57" t="s">
        <v>754</v>
      </c>
      <c r="F597" s="130" t="s">
        <v>755</v>
      </c>
      <c r="G597" s="67">
        <v>3616</v>
      </c>
      <c r="H597" s="66" t="s">
        <v>727</v>
      </c>
      <c r="I597" s="66" t="s">
        <v>729</v>
      </c>
      <c r="J597" s="1984" t="s">
        <v>57</v>
      </c>
      <c r="K597" s="31" t="s">
        <v>58</v>
      </c>
      <c r="L597" s="149">
        <v>0.6</v>
      </c>
      <c r="M597" s="35"/>
      <c r="N597" s="184" t="s">
        <v>764</v>
      </c>
      <c r="O597" s="184"/>
      <c r="P597" s="62">
        <v>1</v>
      </c>
      <c r="Q597" s="128">
        <v>0.05</v>
      </c>
      <c r="R597" s="62"/>
      <c r="S597" s="66">
        <f t="shared" si="27"/>
        <v>0</v>
      </c>
      <c r="T597" s="67">
        <f t="shared" si="28"/>
        <v>0</v>
      </c>
      <c r="U597" s="66" t="s">
        <v>34</v>
      </c>
      <c r="V597" s="430"/>
      <c r="W597" s="66"/>
    </row>
    <row r="598" spans="1:23" ht="23.4" x14ac:dyDescent="0.45">
      <c r="A598" s="1">
        <f t="shared" si="29"/>
        <v>597</v>
      </c>
      <c r="B598" s="57" t="s">
        <v>23</v>
      </c>
      <c r="C598" s="57" t="s">
        <v>24</v>
      </c>
      <c r="D598" s="58">
        <v>3610</v>
      </c>
      <c r="E598" s="57" t="s">
        <v>754</v>
      </c>
      <c r="F598" s="130" t="s">
        <v>755</v>
      </c>
      <c r="G598" s="67">
        <v>3616</v>
      </c>
      <c r="H598" s="66" t="s">
        <v>727</v>
      </c>
      <c r="I598" s="66" t="s">
        <v>729</v>
      </c>
      <c r="J598" s="1984" t="s">
        <v>57</v>
      </c>
      <c r="K598" s="31" t="s">
        <v>58</v>
      </c>
      <c r="L598" s="149">
        <v>0.6</v>
      </c>
      <c r="M598" s="35"/>
      <c r="N598" s="64" t="s">
        <v>765</v>
      </c>
      <c r="O598" s="64"/>
      <c r="P598" s="62">
        <v>1</v>
      </c>
      <c r="Q598" s="128">
        <v>0.1</v>
      </c>
      <c r="R598" s="62"/>
      <c r="S598" s="66">
        <f t="shared" si="27"/>
        <v>0</v>
      </c>
      <c r="T598" s="67">
        <f t="shared" si="28"/>
        <v>0</v>
      </c>
      <c r="U598" s="66" t="s">
        <v>34</v>
      </c>
      <c r="V598" s="430"/>
      <c r="W598" s="66"/>
    </row>
    <row r="599" spans="1:23" ht="23.4" x14ac:dyDescent="0.45">
      <c r="A599" s="1">
        <f t="shared" si="29"/>
        <v>598</v>
      </c>
      <c r="B599" s="57" t="s">
        <v>23</v>
      </c>
      <c r="C599" s="57" t="s">
        <v>24</v>
      </c>
      <c r="D599" s="58">
        <v>3610</v>
      </c>
      <c r="E599" s="57" t="s">
        <v>754</v>
      </c>
      <c r="F599" s="130" t="s">
        <v>755</v>
      </c>
      <c r="G599" s="67">
        <v>3616</v>
      </c>
      <c r="H599" s="66" t="s">
        <v>727</v>
      </c>
      <c r="I599" s="66" t="s">
        <v>729</v>
      </c>
      <c r="J599" s="1984" t="s">
        <v>57</v>
      </c>
      <c r="K599" s="31" t="s">
        <v>58</v>
      </c>
      <c r="L599" s="149">
        <v>0.6</v>
      </c>
      <c r="M599" s="35"/>
      <c r="N599" s="64" t="s">
        <v>753</v>
      </c>
      <c r="O599" s="64"/>
      <c r="P599" s="62">
        <v>1</v>
      </c>
      <c r="Q599" s="128">
        <v>0.1</v>
      </c>
      <c r="R599" s="62"/>
      <c r="S599" s="66">
        <f t="shared" si="27"/>
        <v>0</v>
      </c>
      <c r="T599" s="67">
        <f t="shared" si="28"/>
        <v>0</v>
      </c>
      <c r="U599" s="66" t="s">
        <v>34</v>
      </c>
      <c r="V599" s="430"/>
      <c r="W599" s="66"/>
    </row>
    <row r="600" spans="1:23" ht="23.4" x14ac:dyDescent="0.45">
      <c r="A600" s="1">
        <f t="shared" si="29"/>
        <v>599</v>
      </c>
      <c r="B600" s="57" t="s">
        <v>23</v>
      </c>
      <c r="C600" s="57" t="s">
        <v>24</v>
      </c>
      <c r="D600" s="58">
        <v>3610</v>
      </c>
      <c r="E600" s="57" t="s">
        <v>754</v>
      </c>
      <c r="F600" s="130" t="s">
        <v>755</v>
      </c>
      <c r="G600" s="67">
        <v>3616</v>
      </c>
      <c r="H600" s="66" t="s">
        <v>727</v>
      </c>
      <c r="I600" s="66" t="s">
        <v>729</v>
      </c>
      <c r="J600" s="1984" t="s">
        <v>57</v>
      </c>
      <c r="K600" s="31" t="s">
        <v>58</v>
      </c>
      <c r="L600" s="149">
        <v>0.6</v>
      </c>
      <c r="M600" s="35"/>
      <c r="N600" s="64" t="s">
        <v>766</v>
      </c>
      <c r="O600" s="64"/>
      <c r="P600" s="62">
        <v>1</v>
      </c>
      <c r="Q600" s="128">
        <v>0.05</v>
      </c>
      <c r="R600" s="62"/>
      <c r="S600" s="66">
        <f t="shared" si="27"/>
        <v>0</v>
      </c>
      <c r="T600" s="67">
        <f t="shared" si="28"/>
        <v>0</v>
      </c>
      <c r="U600" s="66" t="s">
        <v>34</v>
      </c>
      <c r="V600" s="430"/>
      <c r="W600" s="66"/>
    </row>
    <row r="601" spans="1:23" ht="23.4" x14ac:dyDescent="0.45">
      <c r="A601" s="1">
        <f t="shared" si="29"/>
        <v>600</v>
      </c>
      <c r="B601" s="57" t="s">
        <v>23</v>
      </c>
      <c r="C601" s="57" t="s">
        <v>24</v>
      </c>
      <c r="D601" s="58">
        <v>3610</v>
      </c>
      <c r="E601" s="57" t="s">
        <v>754</v>
      </c>
      <c r="F601" s="130" t="s">
        <v>755</v>
      </c>
      <c r="G601" s="67">
        <v>3616</v>
      </c>
      <c r="H601" s="66" t="s">
        <v>727</v>
      </c>
      <c r="I601" s="66" t="s">
        <v>729</v>
      </c>
      <c r="J601" s="1984" t="s">
        <v>57</v>
      </c>
      <c r="K601" s="31" t="s">
        <v>58</v>
      </c>
      <c r="L601" s="149">
        <v>0.6</v>
      </c>
      <c r="M601" s="35"/>
      <c r="N601" s="64" t="s">
        <v>732</v>
      </c>
      <c r="O601" s="64"/>
      <c r="P601" s="62">
        <v>1</v>
      </c>
      <c r="Q601" s="128">
        <v>0.05</v>
      </c>
      <c r="R601" s="62"/>
      <c r="S601" s="66">
        <f t="shared" si="27"/>
        <v>0</v>
      </c>
      <c r="T601" s="67">
        <f t="shared" si="28"/>
        <v>0</v>
      </c>
      <c r="U601" s="66" t="s">
        <v>34</v>
      </c>
      <c r="V601" s="430"/>
      <c r="W601" s="66"/>
    </row>
    <row r="602" spans="1:23" ht="23.4" x14ac:dyDescent="0.45">
      <c r="A602" s="1">
        <f t="shared" si="29"/>
        <v>601</v>
      </c>
      <c r="B602" s="57" t="s">
        <v>23</v>
      </c>
      <c r="C602" s="57" t="s">
        <v>24</v>
      </c>
      <c r="D602" s="58">
        <v>3610</v>
      </c>
      <c r="E602" s="57" t="s">
        <v>754</v>
      </c>
      <c r="F602" s="130" t="s">
        <v>755</v>
      </c>
      <c r="G602" s="67">
        <v>3616</v>
      </c>
      <c r="H602" s="66" t="s">
        <v>727</v>
      </c>
      <c r="I602" s="66" t="s">
        <v>729</v>
      </c>
      <c r="J602" s="1984" t="s">
        <v>57</v>
      </c>
      <c r="K602" s="31" t="s">
        <v>58</v>
      </c>
      <c r="L602" s="149">
        <v>0.6</v>
      </c>
      <c r="M602" s="35"/>
      <c r="N602" s="64" t="s">
        <v>767</v>
      </c>
      <c r="O602" s="64"/>
      <c r="P602" s="62">
        <v>1</v>
      </c>
      <c r="Q602" s="128">
        <v>0.1</v>
      </c>
      <c r="R602" s="62"/>
      <c r="S602" s="66">
        <f t="shared" si="27"/>
        <v>0</v>
      </c>
      <c r="T602" s="67">
        <f t="shared" si="28"/>
        <v>0</v>
      </c>
      <c r="U602" s="66" t="s">
        <v>34</v>
      </c>
      <c r="V602" s="430"/>
      <c r="W602" s="66"/>
    </row>
    <row r="603" spans="1:23" ht="23.4" x14ac:dyDescent="0.45">
      <c r="A603" s="1">
        <f t="shared" si="29"/>
        <v>602</v>
      </c>
      <c r="B603" s="57" t="s">
        <v>23</v>
      </c>
      <c r="C603" s="57" t="s">
        <v>24</v>
      </c>
      <c r="D603" s="58">
        <v>3610</v>
      </c>
      <c r="E603" s="57" t="s">
        <v>754</v>
      </c>
      <c r="F603" s="169" t="s">
        <v>755</v>
      </c>
      <c r="G603" s="46">
        <v>3616</v>
      </c>
      <c r="H603" s="28" t="s">
        <v>727</v>
      </c>
      <c r="I603" s="28" t="s">
        <v>729</v>
      </c>
      <c r="J603" s="1983" t="s">
        <v>110</v>
      </c>
      <c r="K603" s="20" t="s">
        <v>111</v>
      </c>
      <c r="L603" s="21">
        <v>0.4</v>
      </c>
      <c r="M603" s="28"/>
      <c r="N603" s="16" t="s">
        <v>255</v>
      </c>
      <c r="O603" s="16"/>
      <c r="P603" s="28">
        <v>1</v>
      </c>
      <c r="Q603" s="47">
        <v>0.05</v>
      </c>
      <c r="R603" s="28"/>
      <c r="S603" s="28">
        <f t="shared" si="27"/>
        <v>0</v>
      </c>
      <c r="T603" s="46">
        <f t="shared" si="28"/>
        <v>0</v>
      </c>
      <c r="U603" s="28" t="s">
        <v>34</v>
      </c>
      <c r="V603" s="412"/>
      <c r="W603" s="28"/>
    </row>
    <row r="604" spans="1:23" ht="23.4" x14ac:dyDescent="0.45">
      <c r="A604" s="1">
        <f t="shared" si="29"/>
        <v>603</v>
      </c>
      <c r="B604" s="57" t="s">
        <v>23</v>
      </c>
      <c r="C604" s="57" t="s">
        <v>24</v>
      </c>
      <c r="D604" s="58">
        <v>3610</v>
      </c>
      <c r="E604" s="57" t="s">
        <v>754</v>
      </c>
      <c r="F604" s="169" t="s">
        <v>755</v>
      </c>
      <c r="G604" s="46">
        <v>3616</v>
      </c>
      <c r="H604" s="28" t="s">
        <v>727</v>
      </c>
      <c r="I604" s="28" t="s">
        <v>729</v>
      </c>
      <c r="J604" s="1983" t="s">
        <v>110</v>
      </c>
      <c r="K604" s="20" t="s">
        <v>111</v>
      </c>
      <c r="L604" s="21">
        <v>0.4</v>
      </c>
      <c r="M604" s="28"/>
      <c r="N604" s="16" t="s">
        <v>768</v>
      </c>
      <c r="O604" s="16"/>
      <c r="P604" s="28">
        <v>1</v>
      </c>
      <c r="Q604" s="47">
        <v>0.05</v>
      </c>
      <c r="R604" s="28"/>
      <c r="S604" s="28">
        <f t="shared" si="27"/>
        <v>0</v>
      </c>
      <c r="T604" s="46">
        <f t="shared" si="28"/>
        <v>0</v>
      </c>
      <c r="U604" s="28" t="s">
        <v>34</v>
      </c>
      <c r="V604" s="412"/>
      <c r="W604" s="28"/>
    </row>
    <row r="605" spans="1:23" ht="23.4" x14ac:dyDescent="0.45">
      <c r="A605" s="1">
        <f t="shared" si="29"/>
        <v>604</v>
      </c>
      <c r="B605" s="57" t="s">
        <v>23</v>
      </c>
      <c r="C605" s="57" t="s">
        <v>24</v>
      </c>
      <c r="D605" s="58">
        <v>3610</v>
      </c>
      <c r="E605" s="57" t="s">
        <v>754</v>
      </c>
      <c r="F605" s="169" t="s">
        <v>755</v>
      </c>
      <c r="G605" s="46">
        <v>3616</v>
      </c>
      <c r="H605" s="28" t="s">
        <v>727</v>
      </c>
      <c r="I605" s="28" t="s">
        <v>729</v>
      </c>
      <c r="J605" s="1983" t="s">
        <v>110</v>
      </c>
      <c r="K605" s="20" t="s">
        <v>111</v>
      </c>
      <c r="L605" s="21">
        <v>0.4</v>
      </c>
      <c r="M605" s="28"/>
      <c r="N605" s="16" t="s">
        <v>769</v>
      </c>
      <c r="O605" s="16"/>
      <c r="P605" s="28">
        <v>1</v>
      </c>
      <c r="Q605" s="47">
        <v>0.05</v>
      </c>
      <c r="R605" s="28"/>
      <c r="S605" s="28">
        <f t="shared" si="27"/>
        <v>0</v>
      </c>
      <c r="T605" s="46">
        <f t="shared" si="28"/>
        <v>0</v>
      </c>
      <c r="U605" s="28" t="s">
        <v>34</v>
      </c>
      <c r="V605" s="71"/>
      <c r="W605" s="28"/>
    </row>
    <row r="606" spans="1:23" ht="23.4" x14ac:dyDescent="0.45">
      <c r="A606" s="1">
        <f t="shared" si="29"/>
        <v>605</v>
      </c>
      <c r="B606" s="57" t="s">
        <v>23</v>
      </c>
      <c r="C606" s="57" t="s">
        <v>24</v>
      </c>
      <c r="D606" s="58">
        <v>3610</v>
      </c>
      <c r="E606" s="57" t="s">
        <v>754</v>
      </c>
      <c r="F606" s="169" t="s">
        <v>755</v>
      </c>
      <c r="G606" s="46">
        <v>3616</v>
      </c>
      <c r="H606" s="28" t="s">
        <v>727</v>
      </c>
      <c r="I606" s="28" t="s">
        <v>729</v>
      </c>
      <c r="J606" s="1983" t="s">
        <v>110</v>
      </c>
      <c r="K606" s="20" t="s">
        <v>111</v>
      </c>
      <c r="L606" s="21">
        <v>0.4</v>
      </c>
      <c r="M606" s="28"/>
      <c r="N606" s="16" t="s">
        <v>770</v>
      </c>
      <c r="O606" s="16"/>
      <c r="P606" s="28">
        <v>1</v>
      </c>
      <c r="Q606" s="47">
        <v>0.15</v>
      </c>
      <c r="R606" s="28"/>
      <c r="S606" s="28">
        <f t="shared" si="27"/>
        <v>0</v>
      </c>
      <c r="T606" s="46">
        <f t="shared" si="28"/>
        <v>0</v>
      </c>
      <c r="U606" s="28" t="s">
        <v>34</v>
      </c>
      <c r="V606" s="71"/>
      <c r="W606" s="28"/>
    </row>
    <row r="607" spans="1:23" ht="23.4" x14ac:dyDescent="0.45">
      <c r="A607" s="1">
        <f t="shared" si="29"/>
        <v>606</v>
      </c>
      <c r="B607" s="57" t="s">
        <v>23</v>
      </c>
      <c r="C607" s="57" t="s">
        <v>24</v>
      </c>
      <c r="D607" s="58">
        <v>3610</v>
      </c>
      <c r="E607" s="57" t="s">
        <v>754</v>
      </c>
      <c r="F607" s="169" t="s">
        <v>755</v>
      </c>
      <c r="G607" s="46">
        <v>3616</v>
      </c>
      <c r="H607" s="28" t="s">
        <v>727</v>
      </c>
      <c r="I607" s="28" t="s">
        <v>729</v>
      </c>
      <c r="J607" s="1983" t="s">
        <v>110</v>
      </c>
      <c r="K607" s="20" t="s">
        <v>111</v>
      </c>
      <c r="L607" s="21">
        <v>0.4</v>
      </c>
      <c r="M607" s="28"/>
      <c r="N607" s="16" t="s">
        <v>254</v>
      </c>
      <c r="O607" s="16"/>
      <c r="P607" s="28">
        <v>1</v>
      </c>
      <c r="Q607" s="47">
        <v>0.1</v>
      </c>
      <c r="R607" s="28"/>
      <c r="S607" s="28">
        <f t="shared" si="27"/>
        <v>0</v>
      </c>
      <c r="T607" s="46">
        <f t="shared" si="28"/>
        <v>0</v>
      </c>
      <c r="U607" s="28" t="s">
        <v>34</v>
      </c>
      <c r="V607" s="71"/>
      <c r="W607" s="28"/>
    </row>
    <row r="608" spans="1:23" ht="23.4" x14ac:dyDescent="0.45">
      <c r="A608" s="1">
        <f t="shared" si="29"/>
        <v>607</v>
      </c>
      <c r="B608" s="57" t="s">
        <v>23</v>
      </c>
      <c r="C608" s="57" t="s">
        <v>24</v>
      </c>
      <c r="D608" s="58">
        <v>3610</v>
      </c>
      <c r="E608" s="57" t="s">
        <v>754</v>
      </c>
      <c r="F608" s="169" t="s">
        <v>755</v>
      </c>
      <c r="G608" s="46">
        <v>3616</v>
      </c>
      <c r="H608" s="28" t="s">
        <v>727</v>
      </c>
      <c r="I608" s="28" t="s">
        <v>729</v>
      </c>
      <c r="J608" s="1983" t="s">
        <v>110</v>
      </c>
      <c r="K608" s="20" t="s">
        <v>111</v>
      </c>
      <c r="L608" s="21">
        <v>0.4</v>
      </c>
      <c r="M608" s="28"/>
      <c r="N608" s="16" t="s">
        <v>771</v>
      </c>
      <c r="O608" s="16"/>
      <c r="P608" s="28">
        <v>1</v>
      </c>
      <c r="Q608" s="47">
        <v>0.05</v>
      </c>
      <c r="R608" s="28"/>
      <c r="S608" s="28">
        <f t="shared" si="27"/>
        <v>0</v>
      </c>
      <c r="T608" s="46">
        <f t="shared" si="28"/>
        <v>0</v>
      </c>
      <c r="U608" s="28" t="s">
        <v>34</v>
      </c>
      <c r="V608" s="71"/>
      <c r="W608" s="28"/>
    </row>
    <row r="609" spans="1:23" ht="23.4" x14ac:dyDescent="0.45">
      <c r="A609" s="1">
        <f t="shared" si="29"/>
        <v>608</v>
      </c>
      <c r="B609" s="57" t="s">
        <v>23</v>
      </c>
      <c r="C609" s="57" t="s">
        <v>24</v>
      </c>
      <c r="D609" s="58">
        <v>3610</v>
      </c>
      <c r="E609" s="57" t="s">
        <v>754</v>
      </c>
      <c r="F609" s="169" t="s">
        <v>755</v>
      </c>
      <c r="G609" s="46">
        <v>3616</v>
      </c>
      <c r="H609" s="28" t="s">
        <v>727</v>
      </c>
      <c r="I609" s="28" t="s">
        <v>729</v>
      </c>
      <c r="J609" s="1983" t="s">
        <v>110</v>
      </c>
      <c r="K609" s="20" t="s">
        <v>111</v>
      </c>
      <c r="L609" s="21">
        <v>0.4</v>
      </c>
      <c r="M609" s="28"/>
      <c r="N609" s="16" t="s">
        <v>772</v>
      </c>
      <c r="O609" s="16"/>
      <c r="P609" s="28">
        <v>1</v>
      </c>
      <c r="Q609" s="47">
        <v>0.1</v>
      </c>
      <c r="R609" s="28"/>
      <c r="S609" s="28">
        <f t="shared" si="27"/>
        <v>0</v>
      </c>
      <c r="T609" s="46">
        <f t="shared" si="28"/>
        <v>0</v>
      </c>
      <c r="U609" s="28" t="s">
        <v>34</v>
      </c>
      <c r="V609" s="71"/>
      <c r="W609" s="28"/>
    </row>
    <row r="610" spans="1:23" ht="23.4" x14ac:dyDescent="0.45">
      <c r="A610" s="1">
        <f t="shared" si="29"/>
        <v>609</v>
      </c>
      <c r="B610" s="57" t="s">
        <v>23</v>
      </c>
      <c r="C610" s="57" t="s">
        <v>24</v>
      </c>
      <c r="D610" s="58">
        <v>3610</v>
      </c>
      <c r="E610" s="57" t="s">
        <v>754</v>
      </c>
      <c r="F610" s="169" t="s">
        <v>755</v>
      </c>
      <c r="G610" s="46">
        <v>3616</v>
      </c>
      <c r="H610" s="28" t="s">
        <v>727</v>
      </c>
      <c r="I610" s="28" t="s">
        <v>729</v>
      </c>
      <c r="J610" s="1983" t="s">
        <v>110</v>
      </c>
      <c r="K610" s="20" t="s">
        <v>111</v>
      </c>
      <c r="L610" s="21">
        <v>0.4</v>
      </c>
      <c r="M610" s="28"/>
      <c r="N610" s="16" t="s">
        <v>773</v>
      </c>
      <c r="O610" s="16"/>
      <c r="P610" s="28">
        <v>1</v>
      </c>
      <c r="Q610" s="47">
        <v>0.05</v>
      </c>
      <c r="R610" s="28"/>
      <c r="S610" s="28">
        <f t="shared" si="27"/>
        <v>0</v>
      </c>
      <c r="T610" s="46">
        <f t="shared" si="28"/>
        <v>0</v>
      </c>
      <c r="U610" s="28" t="s">
        <v>34</v>
      </c>
      <c r="V610" s="71"/>
      <c r="W610" s="28"/>
    </row>
    <row r="611" spans="1:23" ht="23.4" x14ac:dyDescent="0.45">
      <c r="A611" s="1">
        <f t="shared" si="29"/>
        <v>610</v>
      </c>
      <c r="B611" s="57" t="s">
        <v>23</v>
      </c>
      <c r="C611" s="57" t="s">
        <v>24</v>
      </c>
      <c r="D611" s="58">
        <v>3610</v>
      </c>
      <c r="E611" s="57" t="s">
        <v>754</v>
      </c>
      <c r="F611" s="169" t="s">
        <v>755</v>
      </c>
      <c r="G611" s="46">
        <v>3616</v>
      </c>
      <c r="H611" s="28" t="s">
        <v>727</v>
      </c>
      <c r="I611" s="28" t="s">
        <v>729</v>
      </c>
      <c r="J611" s="1983" t="s">
        <v>110</v>
      </c>
      <c r="K611" s="20" t="s">
        <v>111</v>
      </c>
      <c r="L611" s="21">
        <v>0.4</v>
      </c>
      <c r="M611" s="28"/>
      <c r="N611" s="16" t="s">
        <v>774</v>
      </c>
      <c r="O611" s="16"/>
      <c r="P611" s="28">
        <v>1</v>
      </c>
      <c r="Q611" s="47">
        <v>0.05</v>
      </c>
      <c r="R611" s="28"/>
      <c r="S611" s="28">
        <f t="shared" si="27"/>
        <v>0</v>
      </c>
      <c r="T611" s="46">
        <f t="shared" si="28"/>
        <v>0</v>
      </c>
      <c r="U611" s="28" t="s">
        <v>34</v>
      </c>
      <c r="V611" s="71"/>
      <c r="W611" s="28"/>
    </row>
    <row r="612" spans="1:23" ht="23.4" x14ac:dyDescent="0.45">
      <c r="A612" s="1">
        <f t="shared" si="29"/>
        <v>611</v>
      </c>
      <c r="B612" s="57" t="s">
        <v>23</v>
      </c>
      <c r="C612" s="57" t="s">
        <v>24</v>
      </c>
      <c r="D612" s="58">
        <v>3610</v>
      </c>
      <c r="E612" s="57" t="s">
        <v>754</v>
      </c>
      <c r="F612" s="169" t="s">
        <v>755</v>
      </c>
      <c r="G612" s="46">
        <v>3616</v>
      </c>
      <c r="H612" s="28" t="s">
        <v>727</v>
      </c>
      <c r="I612" s="28" t="s">
        <v>729</v>
      </c>
      <c r="J612" s="1983" t="s">
        <v>110</v>
      </c>
      <c r="K612" s="20" t="s">
        <v>111</v>
      </c>
      <c r="L612" s="21">
        <v>0.4</v>
      </c>
      <c r="M612" s="28"/>
      <c r="N612" s="16" t="s">
        <v>775</v>
      </c>
      <c r="O612" s="16"/>
      <c r="P612" s="28">
        <v>1</v>
      </c>
      <c r="Q612" s="47">
        <v>0.05</v>
      </c>
      <c r="R612" s="28"/>
      <c r="S612" s="28">
        <f t="shared" si="27"/>
        <v>0</v>
      </c>
      <c r="T612" s="46">
        <f t="shared" si="28"/>
        <v>0</v>
      </c>
      <c r="U612" s="28" t="s">
        <v>34</v>
      </c>
      <c r="V612" s="71"/>
      <c r="W612" s="28"/>
    </row>
    <row r="613" spans="1:23" ht="23.4" x14ac:dyDescent="0.45">
      <c r="A613" s="1">
        <f t="shared" si="29"/>
        <v>612</v>
      </c>
      <c r="B613" s="57" t="s">
        <v>23</v>
      </c>
      <c r="C613" s="57" t="s">
        <v>24</v>
      </c>
      <c r="D613" s="58">
        <v>3610</v>
      </c>
      <c r="E613" s="57" t="s">
        <v>754</v>
      </c>
      <c r="F613" s="169" t="s">
        <v>755</v>
      </c>
      <c r="G613" s="46">
        <v>3616</v>
      </c>
      <c r="H613" s="28" t="s">
        <v>727</v>
      </c>
      <c r="I613" s="28" t="s">
        <v>729</v>
      </c>
      <c r="J613" s="1983" t="s">
        <v>110</v>
      </c>
      <c r="K613" s="20" t="s">
        <v>111</v>
      </c>
      <c r="L613" s="21">
        <v>0.4</v>
      </c>
      <c r="M613" s="28"/>
      <c r="N613" s="16" t="s">
        <v>776</v>
      </c>
      <c r="O613" s="16"/>
      <c r="P613" s="28">
        <v>1</v>
      </c>
      <c r="Q613" s="47">
        <v>0.1</v>
      </c>
      <c r="R613" s="28"/>
      <c r="S613" s="28">
        <f t="shared" si="27"/>
        <v>0</v>
      </c>
      <c r="T613" s="46">
        <f t="shared" si="28"/>
        <v>0</v>
      </c>
      <c r="U613" s="28" t="s">
        <v>34</v>
      </c>
      <c r="V613" s="71"/>
      <c r="W613" s="28"/>
    </row>
    <row r="614" spans="1:23" ht="23.4" x14ac:dyDescent="0.45">
      <c r="A614" s="1">
        <f t="shared" si="29"/>
        <v>613</v>
      </c>
      <c r="B614" s="57" t="s">
        <v>23</v>
      </c>
      <c r="C614" s="57" t="s">
        <v>24</v>
      </c>
      <c r="D614" s="58">
        <v>3610</v>
      </c>
      <c r="E614" s="57" t="s">
        <v>754</v>
      </c>
      <c r="F614" s="169" t="s">
        <v>755</v>
      </c>
      <c r="G614" s="46">
        <v>3616</v>
      </c>
      <c r="H614" s="28" t="s">
        <v>727</v>
      </c>
      <c r="I614" s="28" t="s">
        <v>729</v>
      </c>
      <c r="J614" s="1983" t="s">
        <v>110</v>
      </c>
      <c r="K614" s="20" t="s">
        <v>111</v>
      </c>
      <c r="L614" s="21">
        <v>0.4</v>
      </c>
      <c r="M614" s="28"/>
      <c r="N614" s="16" t="s">
        <v>251</v>
      </c>
      <c r="O614" s="16"/>
      <c r="P614" s="28">
        <v>1</v>
      </c>
      <c r="Q614" s="47">
        <v>0.05</v>
      </c>
      <c r="R614" s="28"/>
      <c r="S614" s="28">
        <f t="shared" si="27"/>
        <v>0</v>
      </c>
      <c r="T614" s="46">
        <f t="shared" si="28"/>
        <v>0</v>
      </c>
      <c r="U614" s="28" t="s">
        <v>34</v>
      </c>
      <c r="V614" s="71"/>
      <c r="W614" s="28"/>
    </row>
    <row r="615" spans="1:23" ht="23.4" x14ac:dyDescent="0.45">
      <c r="A615" s="1">
        <f t="shared" si="29"/>
        <v>614</v>
      </c>
      <c r="B615" s="57" t="s">
        <v>23</v>
      </c>
      <c r="C615" s="57" t="s">
        <v>24</v>
      </c>
      <c r="D615" s="58">
        <v>3610</v>
      </c>
      <c r="E615" s="57" t="s">
        <v>754</v>
      </c>
      <c r="F615" s="169" t="s">
        <v>755</v>
      </c>
      <c r="G615" s="46">
        <v>3616</v>
      </c>
      <c r="H615" s="28" t="s">
        <v>727</v>
      </c>
      <c r="I615" s="28" t="s">
        <v>729</v>
      </c>
      <c r="J615" s="1983" t="s">
        <v>110</v>
      </c>
      <c r="K615" s="20" t="s">
        <v>111</v>
      </c>
      <c r="L615" s="21">
        <v>0.4</v>
      </c>
      <c r="M615" s="28"/>
      <c r="N615" s="16" t="s">
        <v>252</v>
      </c>
      <c r="O615" s="16"/>
      <c r="P615" s="28">
        <v>1</v>
      </c>
      <c r="Q615" s="47">
        <v>0.05</v>
      </c>
      <c r="R615" s="28"/>
      <c r="S615" s="28">
        <f t="shared" si="27"/>
        <v>0</v>
      </c>
      <c r="T615" s="46">
        <f t="shared" si="28"/>
        <v>0</v>
      </c>
      <c r="U615" s="28" t="s">
        <v>34</v>
      </c>
      <c r="V615" s="71"/>
      <c r="W615" s="28"/>
    </row>
    <row r="616" spans="1:23" ht="23.4" x14ac:dyDescent="0.45">
      <c r="A616" s="1">
        <f t="shared" si="29"/>
        <v>615</v>
      </c>
      <c r="B616" s="57" t="s">
        <v>23</v>
      </c>
      <c r="C616" s="57" t="s">
        <v>24</v>
      </c>
      <c r="D616" s="58">
        <v>3610</v>
      </c>
      <c r="E616" s="57" t="s">
        <v>754</v>
      </c>
      <c r="F616" s="169" t="s">
        <v>755</v>
      </c>
      <c r="G616" s="46">
        <v>3616</v>
      </c>
      <c r="H616" s="28" t="s">
        <v>727</v>
      </c>
      <c r="I616" s="28" t="s">
        <v>729</v>
      </c>
      <c r="J616" s="1983" t="s">
        <v>110</v>
      </c>
      <c r="K616" s="20" t="s">
        <v>111</v>
      </c>
      <c r="L616" s="21">
        <v>0.4</v>
      </c>
      <c r="M616" s="28"/>
      <c r="N616" s="16" t="s">
        <v>777</v>
      </c>
      <c r="O616" s="16"/>
      <c r="P616" s="28">
        <v>1</v>
      </c>
      <c r="Q616" s="47">
        <v>0.05</v>
      </c>
      <c r="R616" s="28"/>
      <c r="S616" s="28">
        <f t="shared" si="27"/>
        <v>0</v>
      </c>
      <c r="T616" s="46">
        <f t="shared" si="28"/>
        <v>0</v>
      </c>
      <c r="U616" s="28" t="s">
        <v>34</v>
      </c>
      <c r="V616" s="71"/>
      <c r="W616" s="28"/>
    </row>
    <row r="617" spans="1:23" ht="23.4" x14ac:dyDescent="0.45">
      <c r="A617" s="1">
        <f t="shared" si="29"/>
        <v>616</v>
      </c>
      <c r="B617" s="57" t="s">
        <v>23</v>
      </c>
      <c r="C617" s="57" t="s">
        <v>24</v>
      </c>
      <c r="D617" s="58">
        <v>3610</v>
      </c>
      <c r="E617" s="57" t="s">
        <v>754</v>
      </c>
      <c r="F617" s="169" t="s">
        <v>755</v>
      </c>
      <c r="G617" s="46">
        <v>3616</v>
      </c>
      <c r="H617" s="28" t="s">
        <v>727</v>
      </c>
      <c r="I617" s="28" t="s">
        <v>729</v>
      </c>
      <c r="J617" s="1983" t="s">
        <v>110</v>
      </c>
      <c r="K617" s="20" t="s">
        <v>111</v>
      </c>
      <c r="L617" s="21">
        <v>0.4</v>
      </c>
      <c r="M617" s="28"/>
      <c r="N617" s="16" t="s">
        <v>253</v>
      </c>
      <c r="O617" s="16"/>
      <c r="P617" s="28">
        <v>1</v>
      </c>
      <c r="Q617" s="47">
        <v>0.05</v>
      </c>
      <c r="R617" s="28"/>
      <c r="S617" s="28">
        <f t="shared" si="27"/>
        <v>0</v>
      </c>
      <c r="T617" s="46">
        <f t="shared" si="28"/>
        <v>0</v>
      </c>
      <c r="U617" s="28" t="s">
        <v>34</v>
      </c>
      <c r="V617" s="71"/>
      <c r="W617" s="28"/>
    </row>
    <row r="618" spans="1:23" ht="23.4" x14ac:dyDescent="0.45">
      <c r="A618" s="1">
        <f t="shared" si="29"/>
        <v>617</v>
      </c>
      <c r="B618" s="99" t="s">
        <v>23</v>
      </c>
      <c r="C618" s="99" t="s">
        <v>24</v>
      </c>
      <c r="D618" s="100">
        <v>3623</v>
      </c>
      <c r="E618" s="99" t="s">
        <v>778</v>
      </c>
      <c r="F618" s="167" t="s">
        <v>755</v>
      </c>
      <c r="G618" s="168">
        <v>3616</v>
      </c>
      <c r="H618" s="148" t="s">
        <v>727</v>
      </c>
      <c r="I618" s="148" t="s">
        <v>729</v>
      </c>
      <c r="J618" s="1995" t="s">
        <v>57</v>
      </c>
      <c r="K618" s="170" t="s">
        <v>58</v>
      </c>
      <c r="L618" s="104">
        <v>0.6</v>
      </c>
      <c r="M618" s="148"/>
      <c r="N618" s="91" t="s">
        <v>779</v>
      </c>
      <c r="O618" s="91"/>
      <c r="P618" s="171">
        <v>1</v>
      </c>
      <c r="Q618" s="98">
        <v>0.15</v>
      </c>
      <c r="R618" s="171"/>
      <c r="S618" s="148">
        <f t="shared" si="27"/>
        <v>0</v>
      </c>
      <c r="T618" s="168">
        <f t="shared" si="28"/>
        <v>0</v>
      </c>
      <c r="U618" s="148" t="s">
        <v>34</v>
      </c>
      <c r="V618" s="1959">
        <f>SUM(T618:T643)%</f>
        <v>0</v>
      </c>
      <c r="W618" s="148"/>
    </row>
    <row r="619" spans="1:23" ht="23.4" x14ac:dyDescent="0.45">
      <c r="A619" s="1">
        <f t="shared" si="29"/>
        <v>618</v>
      </c>
      <c r="B619" s="15" t="s">
        <v>23</v>
      </c>
      <c r="C619" s="15" t="s">
        <v>24</v>
      </c>
      <c r="D619" s="68">
        <v>3623</v>
      </c>
      <c r="E619" s="15" t="s">
        <v>778</v>
      </c>
      <c r="F619" s="130" t="s">
        <v>755</v>
      </c>
      <c r="G619" s="67">
        <v>3616</v>
      </c>
      <c r="H619" s="66" t="s">
        <v>727</v>
      </c>
      <c r="I619" s="66" t="s">
        <v>729</v>
      </c>
      <c r="J619" s="1984" t="s">
        <v>57</v>
      </c>
      <c r="K619" s="31" t="s">
        <v>58</v>
      </c>
      <c r="L619" s="149">
        <v>0.6</v>
      </c>
      <c r="M619" s="35"/>
      <c r="N619" s="184" t="s">
        <v>780</v>
      </c>
      <c r="O619" s="184"/>
      <c r="P619" s="62">
        <v>1</v>
      </c>
      <c r="Q619" s="128">
        <v>0.1</v>
      </c>
      <c r="R619" s="62"/>
      <c r="S619" s="66">
        <f t="shared" si="27"/>
        <v>0</v>
      </c>
      <c r="T619" s="67">
        <f t="shared" si="28"/>
        <v>0</v>
      </c>
      <c r="U619" s="66" t="s">
        <v>34</v>
      </c>
      <c r="V619" s="430"/>
      <c r="W619" s="66"/>
    </row>
    <row r="620" spans="1:23" ht="23.4" x14ac:dyDescent="0.45">
      <c r="A620" s="1">
        <f t="shared" si="29"/>
        <v>619</v>
      </c>
      <c r="B620" s="15" t="s">
        <v>23</v>
      </c>
      <c r="C620" s="15" t="s">
        <v>24</v>
      </c>
      <c r="D620" s="68">
        <v>3623</v>
      </c>
      <c r="E620" s="15" t="s">
        <v>778</v>
      </c>
      <c r="F620" s="130" t="s">
        <v>755</v>
      </c>
      <c r="G620" s="67">
        <v>3616</v>
      </c>
      <c r="H620" s="66" t="s">
        <v>727</v>
      </c>
      <c r="I620" s="66" t="s">
        <v>729</v>
      </c>
      <c r="J620" s="1984" t="s">
        <v>57</v>
      </c>
      <c r="K620" s="31" t="s">
        <v>58</v>
      </c>
      <c r="L620" s="149">
        <v>0.6</v>
      </c>
      <c r="M620" s="35"/>
      <c r="N620" s="184" t="s">
        <v>781</v>
      </c>
      <c r="O620" s="184"/>
      <c r="P620" s="62">
        <v>1</v>
      </c>
      <c r="Q620" s="128">
        <v>0.05</v>
      </c>
      <c r="R620" s="62"/>
      <c r="S620" s="66">
        <f t="shared" si="27"/>
        <v>0</v>
      </c>
      <c r="T620" s="67">
        <f t="shared" si="28"/>
        <v>0</v>
      </c>
      <c r="U620" s="66" t="s">
        <v>34</v>
      </c>
      <c r="V620" s="430"/>
      <c r="W620" s="66"/>
    </row>
    <row r="621" spans="1:23" ht="23.4" x14ac:dyDescent="0.45">
      <c r="A621" s="1">
        <f t="shared" si="29"/>
        <v>620</v>
      </c>
      <c r="B621" s="15" t="s">
        <v>23</v>
      </c>
      <c r="C621" s="15" t="s">
        <v>24</v>
      </c>
      <c r="D621" s="68">
        <v>3623</v>
      </c>
      <c r="E621" s="15" t="s">
        <v>778</v>
      </c>
      <c r="F621" s="130" t="s">
        <v>755</v>
      </c>
      <c r="G621" s="67">
        <v>3616</v>
      </c>
      <c r="H621" s="66" t="s">
        <v>727</v>
      </c>
      <c r="I621" s="66" t="s">
        <v>729</v>
      </c>
      <c r="J621" s="1984" t="s">
        <v>57</v>
      </c>
      <c r="K621" s="31" t="s">
        <v>58</v>
      </c>
      <c r="L621" s="149">
        <v>0.6</v>
      </c>
      <c r="M621" s="35"/>
      <c r="N621" s="184" t="s">
        <v>782</v>
      </c>
      <c r="O621" s="184"/>
      <c r="P621" s="62">
        <v>1</v>
      </c>
      <c r="Q621" s="128">
        <v>0.1</v>
      </c>
      <c r="R621" s="62"/>
      <c r="S621" s="66">
        <f t="shared" si="27"/>
        <v>0</v>
      </c>
      <c r="T621" s="67">
        <f t="shared" si="28"/>
        <v>0</v>
      </c>
      <c r="U621" s="66" t="s">
        <v>34</v>
      </c>
      <c r="V621" s="430"/>
      <c r="W621" s="66"/>
    </row>
    <row r="622" spans="1:23" ht="23.4" x14ac:dyDescent="0.45">
      <c r="A622" s="1">
        <f t="shared" si="29"/>
        <v>621</v>
      </c>
      <c r="B622" s="15" t="s">
        <v>23</v>
      </c>
      <c r="C622" s="15" t="s">
        <v>24</v>
      </c>
      <c r="D622" s="68">
        <v>3623</v>
      </c>
      <c r="E622" s="15" t="s">
        <v>778</v>
      </c>
      <c r="F622" s="130" t="s">
        <v>755</v>
      </c>
      <c r="G622" s="67">
        <v>3616</v>
      </c>
      <c r="H622" s="66" t="s">
        <v>727</v>
      </c>
      <c r="I622" s="66" t="s">
        <v>729</v>
      </c>
      <c r="J622" s="1984" t="s">
        <v>57</v>
      </c>
      <c r="K622" s="31" t="s">
        <v>58</v>
      </c>
      <c r="L622" s="149">
        <v>0.6</v>
      </c>
      <c r="M622" s="35"/>
      <c r="N622" s="184" t="s">
        <v>783</v>
      </c>
      <c r="O622" s="184"/>
      <c r="P622" s="62">
        <v>1</v>
      </c>
      <c r="Q622" s="128">
        <v>0.15</v>
      </c>
      <c r="R622" s="62"/>
      <c r="S622" s="66">
        <f t="shared" si="27"/>
        <v>0</v>
      </c>
      <c r="T622" s="67">
        <f t="shared" si="28"/>
        <v>0</v>
      </c>
      <c r="U622" s="66" t="s">
        <v>34</v>
      </c>
      <c r="V622" s="430"/>
      <c r="W622" s="66"/>
    </row>
    <row r="623" spans="1:23" ht="23.4" x14ac:dyDescent="0.45">
      <c r="A623" s="1">
        <f t="shared" si="29"/>
        <v>622</v>
      </c>
      <c r="B623" s="15" t="s">
        <v>23</v>
      </c>
      <c r="C623" s="15" t="s">
        <v>24</v>
      </c>
      <c r="D623" s="68">
        <v>3623</v>
      </c>
      <c r="E623" s="15" t="s">
        <v>778</v>
      </c>
      <c r="F623" s="130" t="s">
        <v>755</v>
      </c>
      <c r="G623" s="67">
        <v>3616</v>
      </c>
      <c r="H623" s="66" t="s">
        <v>727</v>
      </c>
      <c r="I623" s="66" t="s">
        <v>729</v>
      </c>
      <c r="J623" s="1984" t="s">
        <v>57</v>
      </c>
      <c r="K623" s="31" t="s">
        <v>58</v>
      </c>
      <c r="L623" s="149">
        <v>0.6</v>
      </c>
      <c r="M623" s="35"/>
      <c r="N623" s="184" t="s">
        <v>784</v>
      </c>
      <c r="O623" s="184"/>
      <c r="P623" s="62">
        <v>1</v>
      </c>
      <c r="Q623" s="128">
        <v>0.05</v>
      </c>
      <c r="R623" s="62"/>
      <c r="S623" s="66">
        <f t="shared" si="27"/>
        <v>0</v>
      </c>
      <c r="T623" s="67">
        <f t="shared" si="28"/>
        <v>0</v>
      </c>
      <c r="U623" s="66" t="s">
        <v>34</v>
      </c>
      <c r="V623" s="430"/>
      <c r="W623" s="66"/>
    </row>
    <row r="624" spans="1:23" ht="23.4" x14ac:dyDescent="0.45">
      <c r="A624" s="1">
        <f t="shared" si="29"/>
        <v>623</v>
      </c>
      <c r="B624" s="15" t="s">
        <v>23</v>
      </c>
      <c r="C624" s="15" t="s">
        <v>24</v>
      </c>
      <c r="D624" s="68">
        <v>3623</v>
      </c>
      <c r="E624" s="15" t="s">
        <v>778</v>
      </c>
      <c r="F624" s="130" t="s">
        <v>755</v>
      </c>
      <c r="G624" s="67">
        <v>3616</v>
      </c>
      <c r="H624" s="66" t="s">
        <v>727</v>
      </c>
      <c r="I624" s="66" t="s">
        <v>729</v>
      </c>
      <c r="J624" s="1984" t="s">
        <v>57</v>
      </c>
      <c r="K624" s="31" t="s">
        <v>58</v>
      </c>
      <c r="L624" s="149">
        <v>0.6</v>
      </c>
      <c r="M624" s="35"/>
      <c r="N624" s="184" t="s">
        <v>785</v>
      </c>
      <c r="O624" s="184"/>
      <c r="P624" s="62">
        <v>1</v>
      </c>
      <c r="Q624" s="128">
        <v>0.05</v>
      </c>
      <c r="R624" s="62"/>
      <c r="S624" s="66">
        <f t="shared" si="27"/>
        <v>0</v>
      </c>
      <c r="T624" s="67">
        <f t="shared" si="28"/>
        <v>0</v>
      </c>
      <c r="U624" s="66" t="s">
        <v>34</v>
      </c>
      <c r="V624" s="430"/>
      <c r="W624" s="66"/>
    </row>
    <row r="625" spans="1:23" ht="23.4" x14ac:dyDescent="0.45">
      <c r="A625" s="1">
        <f t="shared" si="29"/>
        <v>624</v>
      </c>
      <c r="B625" s="15" t="s">
        <v>23</v>
      </c>
      <c r="C625" s="15" t="s">
        <v>24</v>
      </c>
      <c r="D625" s="68">
        <v>3623</v>
      </c>
      <c r="E625" s="15" t="s">
        <v>778</v>
      </c>
      <c r="F625" s="130" t="s">
        <v>755</v>
      </c>
      <c r="G625" s="67">
        <v>3616</v>
      </c>
      <c r="H625" s="66" t="s">
        <v>727</v>
      </c>
      <c r="I625" s="66" t="s">
        <v>729</v>
      </c>
      <c r="J625" s="1984" t="s">
        <v>57</v>
      </c>
      <c r="K625" s="31" t="s">
        <v>58</v>
      </c>
      <c r="L625" s="149">
        <v>0.6</v>
      </c>
      <c r="M625" s="35"/>
      <c r="N625" s="184" t="s">
        <v>786</v>
      </c>
      <c r="O625" s="184"/>
      <c r="P625" s="62">
        <v>1</v>
      </c>
      <c r="Q625" s="128">
        <v>0.05</v>
      </c>
      <c r="R625" s="62"/>
      <c r="S625" s="66">
        <f t="shared" si="27"/>
        <v>0</v>
      </c>
      <c r="T625" s="67">
        <f t="shared" si="28"/>
        <v>0</v>
      </c>
      <c r="U625" s="66" t="s">
        <v>34</v>
      </c>
      <c r="V625" s="430"/>
      <c r="W625" s="66"/>
    </row>
    <row r="626" spans="1:23" ht="23.4" x14ac:dyDescent="0.45">
      <c r="A626" s="1">
        <f t="shared" si="29"/>
        <v>625</v>
      </c>
      <c r="B626" s="15" t="s">
        <v>23</v>
      </c>
      <c r="C626" s="15" t="s">
        <v>24</v>
      </c>
      <c r="D626" s="68">
        <v>3623</v>
      </c>
      <c r="E626" s="15" t="s">
        <v>778</v>
      </c>
      <c r="F626" s="130" t="s">
        <v>755</v>
      </c>
      <c r="G626" s="67">
        <v>3616</v>
      </c>
      <c r="H626" s="66" t="s">
        <v>727</v>
      </c>
      <c r="I626" s="66" t="s">
        <v>729</v>
      </c>
      <c r="J626" s="1984" t="s">
        <v>57</v>
      </c>
      <c r="K626" s="31" t="s">
        <v>58</v>
      </c>
      <c r="L626" s="149">
        <v>0.6</v>
      </c>
      <c r="M626" s="35"/>
      <c r="N626" s="184" t="s">
        <v>787</v>
      </c>
      <c r="O626" s="184"/>
      <c r="P626" s="62">
        <v>1</v>
      </c>
      <c r="Q626" s="128">
        <v>0.1</v>
      </c>
      <c r="R626" s="62"/>
      <c r="S626" s="66">
        <f t="shared" si="27"/>
        <v>0</v>
      </c>
      <c r="T626" s="67">
        <f t="shared" si="28"/>
        <v>0</v>
      </c>
      <c r="U626" s="66" t="s">
        <v>34</v>
      </c>
      <c r="V626" s="430"/>
      <c r="W626" s="66"/>
    </row>
    <row r="627" spans="1:23" ht="23.4" x14ac:dyDescent="0.45">
      <c r="A627" s="1">
        <f t="shared" si="29"/>
        <v>626</v>
      </c>
      <c r="B627" s="15" t="s">
        <v>23</v>
      </c>
      <c r="C627" s="15" t="s">
        <v>24</v>
      </c>
      <c r="D627" s="68">
        <v>3623</v>
      </c>
      <c r="E627" s="15" t="s">
        <v>778</v>
      </c>
      <c r="F627" s="130" t="s">
        <v>755</v>
      </c>
      <c r="G627" s="67">
        <v>3616</v>
      </c>
      <c r="H627" s="66" t="s">
        <v>727</v>
      </c>
      <c r="I627" s="66" t="s">
        <v>729</v>
      </c>
      <c r="J627" s="1984" t="s">
        <v>57</v>
      </c>
      <c r="K627" s="31" t="s">
        <v>58</v>
      </c>
      <c r="L627" s="149">
        <v>0.6</v>
      </c>
      <c r="M627" s="35"/>
      <c r="N627" s="184" t="s">
        <v>788</v>
      </c>
      <c r="O627" s="184"/>
      <c r="P627" s="62">
        <v>1</v>
      </c>
      <c r="Q627" s="128">
        <v>0.05</v>
      </c>
      <c r="R627" s="62"/>
      <c r="S627" s="66">
        <f t="shared" si="27"/>
        <v>0</v>
      </c>
      <c r="T627" s="67">
        <f t="shared" si="28"/>
        <v>0</v>
      </c>
      <c r="U627" s="66" t="s">
        <v>34</v>
      </c>
      <c r="V627" s="430"/>
      <c r="W627" s="66"/>
    </row>
    <row r="628" spans="1:23" ht="23.4" x14ac:dyDescent="0.45">
      <c r="A628" s="1">
        <f t="shared" si="29"/>
        <v>627</v>
      </c>
      <c r="B628" s="15" t="s">
        <v>23</v>
      </c>
      <c r="C628" s="15" t="s">
        <v>24</v>
      </c>
      <c r="D628" s="68">
        <v>3623</v>
      </c>
      <c r="E628" s="15" t="s">
        <v>778</v>
      </c>
      <c r="F628" s="130" t="s">
        <v>755</v>
      </c>
      <c r="G628" s="67">
        <v>3616</v>
      </c>
      <c r="H628" s="66" t="s">
        <v>727</v>
      </c>
      <c r="I628" s="66" t="s">
        <v>729</v>
      </c>
      <c r="J628" s="1984" t="s">
        <v>57</v>
      </c>
      <c r="K628" s="31" t="s">
        <v>58</v>
      </c>
      <c r="L628" s="149">
        <v>0.6</v>
      </c>
      <c r="M628" s="35"/>
      <c r="N628" s="184" t="s">
        <v>789</v>
      </c>
      <c r="O628" s="184"/>
      <c r="P628" s="62">
        <v>1</v>
      </c>
      <c r="Q628" s="128">
        <v>0.15</v>
      </c>
      <c r="R628" s="62"/>
      <c r="S628" s="66">
        <f t="shared" si="27"/>
        <v>0</v>
      </c>
      <c r="T628" s="67">
        <f t="shared" si="28"/>
        <v>0</v>
      </c>
      <c r="U628" s="66" t="s">
        <v>34</v>
      </c>
      <c r="V628" s="430"/>
      <c r="W628" s="66"/>
    </row>
    <row r="629" spans="1:23" ht="23.4" x14ac:dyDescent="0.45">
      <c r="A629" s="1">
        <f t="shared" si="29"/>
        <v>628</v>
      </c>
      <c r="B629" s="15" t="s">
        <v>23</v>
      </c>
      <c r="C629" s="15" t="s">
        <v>24</v>
      </c>
      <c r="D629" s="68">
        <v>3623</v>
      </c>
      <c r="E629" s="15" t="s">
        <v>778</v>
      </c>
      <c r="F629" s="169" t="s">
        <v>755</v>
      </c>
      <c r="G629" s="46">
        <v>3616</v>
      </c>
      <c r="H629" s="28" t="s">
        <v>727</v>
      </c>
      <c r="I629" s="28" t="s">
        <v>729</v>
      </c>
      <c r="J629" s="1983" t="s">
        <v>110</v>
      </c>
      <c r="K629" s="20" t="s">
        <v>111</v>
      </c>
      <c r="L629" s="21">
        <v>0.4</v>
      </c>
      <c r="M629" s="28"/>
      <c r="N629" s="16" t="s">
        <v>255</v>
      </c>
      <c r="O629" s="16"/>
      <c r="P629" s="28">
        <v>1</v>
      </c>
      <c r="Q629" s="47">
        <v>0.05</v>
      </c>
      <c r="R629" s="28"/>
      <c r="S629" s="28">
        <f t="shared" si="27"/>
        <v>0</v>
      </c>
      <c r="T629" s="46">
        <f t="shared" si="28"/>
        <v>0</v>
      </c>
      <c r="U629" s="28" t="s">
        <v>34</v>
      </c>
      <c r="V629" s="71"/>
      <c r="W629" s="28"/>
    </row>
    <row r="630" spans="1:23" ht="23.4" x14ac:dyDescent="0.45">
      <c r="A630" s="1">
        <f t="shared" si="29"/>
        <v>629</v>
      </c>
      <c r="B630" s="15" t="s">
        <v>23</v>
      </c>
      <c r="C630" s="15" t="s">
        <v>24</v>
      </c>
      <c r="D630" s="68">
        <v>3623</v>
      </c>
      <c r="E630" s="15" t="s">
        <v>778</v>
      </c>
      <c r="F630" s="169" t="s">
        <v>755</v>
      </c>
      <c r="G630" s="46">
        <v>3616</v>
      </c>
      <c r="H630" s="28" t="s">
        <v>727</v>
      </c>
      <c r="I630" s="28" t="s">
        <v>729</v>
      </c>
      <c r="J630" s="1983" t="s">
        <v>110</v>
      </c>
      <c r="K630" s="20" t="s">
        <v>111</v>
      </c>
      <c r="L630" s="21">
        <v>0.4</v>
      </c>
      <c r="M630" s="28"/>
      <c r="N630" s="16" t="s">
        <v>768</v>
      </c>
      <c r="O630" s="16"/>
      <c r="P630" s="28">
        <v>1</v>
      </c>
      <c r="Q630" s="47">
        <v>0.05</v>
      </c>
      <c r="R630" s="28"/>
      <c r="S630" s="28">
        <f t="shared" si="27"/>
        <v>0</v>
      </c>
      <c r="T630" s="46">
        <f t="shared" si="28"/>
        <v>0</v>
      </c>
      <c r="U630" s="28" t="s">
        <v>34</v>
      </c>
      <c r="V630" s="71"/>
      <c r="W630" s="28"/>
    </row>
    <row r="631" spans="1:23" ht="23.4" x14ac:dyDescent="0.45">
      <c r="A631" s="1">
        <f t="shared" si="29"/>
        <v>630</v>
      </c>
      <c r="B631" s="15" t="s">
        <v>23</v>
      </c>
      <c r="C631" s="15" t="s">
        <v>24</v>
      </c>
      <c r="D631" s="68">
        <v>3623</v>
      </c>
      <c r="E631" s="15" t="s">
        <v>778</v>
      </c>
      <c r="F631" s="169" t="s">
        <v>755</v>
      </c>
      <c r="G631" s="46">
        <v>3616</v>
      </c>
      <c r="H631" s="28" t="s">
        <v>727</v>
      </c>
      <c r="I631" s="28" t="s">
        <v>729</v>
      </c>
      <c r="J631" s="1983" t="s">
        <v>110</v>
      </c>
      <c r="K631" s="20" t="s">
        <v>111</v>
      </c>
      <c r="L631" s="21">
        <v>0.4</v>
      </c>
      <c r="M631" s="28"/>
      <c r="N631" s="16" t="s">
        <v>769</v>
      </c>
      <c r="O631" s="16"/>
      <c r="P631" s="28">
        <v>1</v>
      </c>
      <c r="Q631" s="47">
        <v>0.05</v>
      </c>
      <c r="R631" s="28"/>
      <c r="S631" s="28">
        <f t="shared" si="27"/>
        <v>0</v>
      </c>
      <c r="T631" s="46">
        <f t="shared" si="28"/>
        <v>0</v>
      </c>
      <c r="U631" s="28" t="s">
        <v>34</v>
      </c>
      <c r="V631" s="71"/>
      <c r="W631" s="28"/>
    </row>
    <row r="632" spans="1:23" ht="23.4" x14ac:dyDescent="0.45">
      <c r="A632" s="1">
        <f t="shared" si="29"/>
        <v>631</v>
      </c>
      <c r="B632" s="15" t="s">
        <v>23</v>
      </c>
      <c r="C632" s="15" t="s">
        <v>24</v>
      </c>
      <c r="D632" s="68">
        <v>3623</v>
      </c>
      <c r="E632" s="15" t="s">
        <v>778</v>
      </c>
      <c r="F632" s="169" t="s">
        <v>755</v>
      </c>
      <c r="G632" s="46">
        <v>3616</v>
      </c>
      <c r="H632" s="28" t="s">
        <v>727</v>
      </c>
      <c r="I632" s="28" t="s">
        <v>729</v>
      </c>
      <c r="J632" s="1983" t="s">
        <v>110</v>
      </c>
      <c r="K632" s="20" t="s">
        <v>111</v>
      </c>
      <c r="L632" s="21">
        <v>0.4</v>
      </c>
      <c r="M632" s="28"/>
      <c r="N632" s="16" t="s">
        <v>770</v>
      </c>
      <c r="O632" s="16"/>
      <c r="P632" s="28">
        <v>1</v>
      </c>
      <c r="Q632" s="47">
        <v>0.15</v>
      </c>
      <c r="R632" s="28"/>
      <c r="S632" s="28">
        <f t="shared" si="27"/>
        <v>0</v>
      </c>
      <c r="T632" s="46">
        <f t="shared" si="28"/>
        <v>0</v>
      </c>
      <c r="U632" s="28" t="s">
        <v>34</v>
      </c>
      <c r="V632" s="71"/>
      <c r="W632" s="28"/>
    </row>
    <row r="633" spans="1:23" ht="23.4" x14ac:dyDescent="0.45">
      <c r="A633" s="1">
        <f t="shared" si="29"/>
        <v>632</v>
      </c>
      <c r="B633" s="15" t="s">
        <v>23</v>
      </c>
      <c r="C633" s="15" t="s">
        <v>24</v>
      </c>
      <c r="D633" s="68">
        <v>3623</v>
      </c>
      <c r="E633" s="15" t="s">
        <v>778</v>
      </c>
      <c r="F633" s="169" t="s">
        <v>755</v>
      </c>
      <c r="G633" s="46">
        <v>3616</v>
      </c>
      <c r="H633" s="28" t="s">
        <v>727</v>
      </c>
      <c r="I633" s="28" t="s">
        <v>729</v>
      </c>
      <c r="J633" s="1983" t="s">
        <v>110</v>
      </c>
      <c r="K633" s="20" t="s">
        <v>111</v>
      </c>
      <c r="L633" s="21">
        <v>0.4</v>
      </c>
      <c r="M633" s="28"/>
      <c r="N633" s="16" t="s">
        <v>254</v>
      </c>
      <c r="O633" s="16"/>
      <c r="P633" s="28">
        <v>1</v>
      </c>
      <c r="Q633" s="47">
        <v>0.1</v>
      </c>
      <c r="R633" s="28"/>
      <c r="S633" s="28">
        <f t="shared" si="27"/>
        <v>0</v>
      </c>
      <c r="T633" s="46">
        <f t="shared" si="28"/>
        <v>0</v>
      </c>
      <c r="U633" s="28" t="s">
        <v>34</v>
      </c>
      <c r="V633" s="71"/>
      <c r="W633" s="28"/>
    </row>
    <row r="634" spans="1:23" ht="23.4" x14ac:dyDescent="0.45">
      <c r="A634" s="1">
        <f t="shared" si="29"/>
        <v>633</v>
      </c>
      <c r="B634" s="15" t="s">
        <v>23</v>
      </c>
      <c r="C634" s="15" t="s">
        <v>24</v>
      </c>
      <c r="D634" s="68">
        <v>3623</v>
      </c>
      <c r="E634" s="15" t="s">
        <v>778</v>
      </c>
      <c r="F634" s="169" t="s">
        <v>755</v>
      </c>
      <c r="G634" s="46">
        <v>3616</v>
      </c>
      <c r="H634" s="28" t="s">
        <v>727</v>
      </c>
      <c r="I634" s="28" t="s">
        <v>729</v>
      </c>
      <c r="J634" s="1983" t="s">
        <v>110</v>
      </c>
      <c r="K634" s="20" t="s">
        <v>111</v>
      </c>
      <c r="L634" s="21">
        <v>0.4</v>
      </c>
      <c r="M634" s="28"/>
      <c r="N634" s="16" t="s">
        <v>771</v>
      </c>
      <c r="O634" s="16"/>
      <c r="P634" s="28">
        <v>1</v>
      </c>
      <c r="Q634" s="47">
        <v>0.05</v>
      </c>
      <c r="R634" s="28"/>
      <c r="S634" s="28">
        <f t="shared" si="27"/>
        <v>0</v>
      </c>
      <c r="T634" s="46">
        <f t="shared" si="28"/>
        <v>0</v>
      </c>
      <c r="U634" s="28" t="s">
        <v>34</v>
      </c>
      <c r="V634" s="71"/>
      <c r="W634" s="28"/>
    </row>
    <row r="635" spans="1:23" ht="23.4" x14ac:dyDescent="0.45">
      <c r="A635" s="1">
        <f t="shared" si="29"/>
        <v>634</v>
      </c>
      <c r="B635" s="15" t="s">
        <v>23</v>
      </c>
      <c r="C635" s="15" t="s">
        <v>24</v>
      </c>
      <c r="D635" s="68">
        <v>3623</v>
      </c>
      <c r="E635" s="15" t="s">
        <v>778</v>
      </c>
      <c r="F635" s="169" t="s">
        <v>755</v>
      </c>
      <c r="G635" s="46">
        <v>3616</v>
      </c>
      <c r="H635" s="28" t="s">
        <v>727</v>
      </c>
      <c r="I635" s="28" t="s">
        <v>729</v>
      </c>
      <c r="J635" s="1983" t="s">
        <v>110</v>
      </c>
      <c r="K635" s="20" t="s">
        <v>111</v>
      </c>
      <c r="L635" s="21">
        <v>0.4</v>
      </c>
      <c r="M635" s="28"/>
      <c r="N635" s="16" t="s">
        <v>772</v>
      </c>
      <c r="O635" s="16"/>
      <c r="P635" s="28">
        <v>1</v>
      </c>
      <c r="Q635" s="47">
        <v>0.1</v>
      </c>
      <c r="R635" s="28"/>
      <c r="S635" s="28">
        <f t="shared" si="27"/>
        <v>0</v>
      </c>
      <c r="T635" s="46">
        <f t="shared" si="28"/>
        <v>0</v>
      </c>
      <c r="U635" s="28" t="s">
        <v>34</v>
      </c>
      <c r="V635" s="71"/>
      <c r="W635" s="28"/>
    </row>
    <row r="636" spans="1:23" ht="23.4" x14ac:dyDescent="0.45">
      <c r="A636" s="1">
        <f t="shared" si="29"/>
        <v>635</v>
      </c>
      <c r="B636" s="15" t="s">
        <v>23</v>
      </c>
      <c r="C636" s="15" t="s">
        <v>24</v>
      </c>
      <c r="D636" s="68">
        <v>3623</v>
      </c>
      <c r="E636" s="15" t="s">
        <v>778</v>
      </c>
      <c r="F636" s="169" t="s">
        <v>755</v>
      </c>
      <c r="G636" s="46">
        <v>3616</v>
      </c>
      <c r="H636" s="28" t="s">
        <v>727</v>
      </c>
      <c r="I636" s="28" t="s">
        <v>729</v>
      </c>
      <c r="J636" s="1983" t="s">
        <v>110</v>
      </c>
      <c r="K636" s="20" t="s">
        <v>111</v>
      </c>
      <c r="L636" s="21">
        <v>0.4</v>
      </c>
      <c r="M636" s="28"/>
      <c r="N636" s="16" t="s">
        <v>773</v>
      </c>
      <c r="O636" s="16"/>
      <c r="P636" s="28">
        <v>1</v>
      </c>
      <c r="Q636" s="47">
        <v>0.05</v>
      </c>
      <c r="R636" s="28"/>
      <c r="S636" s="28">
        <f t="shared" si="27"/>
        <v>0</v>
      </c>
      <c r="T636" s="46">
        <f t="shared" si="28"/>
        <v>0</v>
      </c>
      <c r="U636" s="28" t="s">
        <v>34</v>
      </c>
      <c r="V636" s="71"/>
      <c r="W636" s="28"/>
    </row>
    <row r="637" spans="1:23" ht="23.4" x14ac:dyDescent="0.45">
      <c r="A637" s="1">
        <f t="shared" si="29"/>
        <v>636</v>
      </c>
      <c r="B637" s="15" t="s">
        <v>23</v>
      </c>
      <c r="C637" s="15" t="s">
        <v>24</v>
      </c>
      <c r="D637" s="68">
        <v>3623</v>
      </c>
      <c r="E637" s="15" t="s">
        <v>778</v>
      </c>
      <c r="F637" s="169" t="s">
        <v>755</v>
      </c>
      <c r="G637" s="46">
        <v>3616</v>
      </c>
      <c r="H637" s="28" t="s">
        <v>727</v>
      </c>
      <c r="I637" s="28" t="s">
        <v>729</v>
      </c>
      <c r="J637" s="1983" t="s">
        <v>110</v>
      </c>
      <c r="K637" s="20" t="s">
        <v>111</v>
      </c>
      <c r="L637" s="21">
        <v>0.4</v>
      </c>
      <c r="M637" s="28"/>
      <c r="N637" s="16" t="s">
        <v>774</v>
      </c>
      <c r="O637" s="16"/>
      <c r="P637" s="28">
        <v>1</v>
      </c>
      <c r="Q637" s="47">
        <v>0.05</v>
      </c>
      <c r="R637" s="28"/>
      <c r="S637" s="28">
        <f t="shared" si="27"/>
        <v>0</v>
      </c>
      <c r="T637" s="46">
        <f t="shared" si="28"/>
        <v>0</v>
      </c>
      <c r="U637" s="28" t="s">
        <v>34</v>
      </c>
      <c r="V637" s="71"/>
      <c r="W637" s="28"/>
    </row>
    <row r="638" spans="1:23" ht="23.4" x14ac:dyDescent="0.45">
      <c r="A638" s="1">
        <f t="shared" si="29"/>
        <v>637</v>
      </c>
      <c r="B638" s="15" t="s">
        <v>23</v>
      </c>
      <c r="C638" s="15" t="s">
        <v>24</v>
      </c>
      <c r="D638" s="68">
        <v>3623</v>
      </c>
      <c r="E638" s="15" t="s">
        <v>778</v>
      </c>
      <c r="F638" s="169" t="s">
        <v>755</v>
      </c>
      <c r="G638" s="46">
        <v>3616</v>
      </c>
      <c r="H638" s="28" t="s">
        <v>727</v>
      </c>
      <c r="I638" s="28" t="s">
        <v>729</v>
      </c>
      <c r="J638" s="1983" t="s">
        <v>110</v>
      </c>
      <c r="K638" s="20" t="s">
        <v>111</v>
      </c>
      <c r="L638" s="21">
        <v>0.4</v>
      </c>
      <c r="M638" s="28"/>
      <c r="N638" s="16" t="s">
        <v>775</v>
      </c>
      <c r="O638" s="16"/>
      <c r="P638" s="28">
        <v>1</v>
      </c>
      <c r="Q638" s="47">
        <v>0.05</v>
      </c>
      <c r="R638" s="28"/>
      <c r="S638" s="28">
        <f t="shared" si="27"/>
        <v>0</v>
      </c>
      <c r="T638" s="46">
        <f t="shared" si="28"/>
        <v>0</v>
      </c>
      <c r="U638" s="28" t="s">
        <v>34</v>
      </c>
      <c r="V638" s="71"/>
      <c r="W638" s="28"/>
    </row>
    <row r="639" spans="1:23" ht="23.4" x14ac:dyDescent="0.45">
      <c r="A639" s="1">
        <f t="shared" si="29"/>
        <v>638</v>
      </c>
      <c r="B639" s="15" t="s">
        <v>23</v>
      </c>
      <c r="C639" s="15" t="s">
        <v>24</v>
      </c>
      <c r="D639" s="68">
        <v>3623</v>
      </c>
      <c r="E639" s="15" t="s">
        <v>778</v>
      </c>
      <c r="F639" s="169" t="s">
        <v>755</v>
      </c>
      <c r="G639" s="46">
        <v>3616</v>
      </c>
      <c r="H639" s="28" t="s">
        <v>727</v>
      </c>
      <c r="I639" s="28" t="s">
        <v>729</v>
      </c>
      <c r="J639" s="1983" t="s">
        <v>110</v>
      </c>
      <c r="K639" s="20" t="s">
        <v>111</v>
      </c>
      <c r="L639" s="21">
        <v>0.4</v>
      </c>
      <c r="M639" s="28"/>
      <c r="N639" s="16" t="s">
        <v>776</v>
      </c>
      <c r="O639" s="16"/>
      <c r="P639" s="28">
        <v>1</v>
      </c>
      <c r="Q639" s="47">
        <v>0.1</v>
      </c>
      <c r="R639" s="28"/>
      <c r="S639" s="28">
        <f t="shared" si="27"/>
        <v>0</v>
      </c>
      <c r="T639" s="46">
        <f t="shared" si="28"/>
        <v>0</v>
      </c>
      <c r="U639" s="28" t="s">
        <v>34</v>
      </c>
      <c r="V639" s="71"/>
      <c r="W639" s="28"/>
    </row>
    <row r="640" spans="1:23" ht="23.4" x14ac:dyDescent="0.45">
      <c r="A640" s="1">
        <f t="shared" si="29"/>
        <v>639</v>
      </c>
      <c r="B640" s="15" t="s">
        <v>23</v>
      </c>
      <c r="C640" s="15" t="s">
        <v>24</v>
      </c>
      <c r="D640" s="68">
        <v>3623</v>
      </c>
      <c r="E640" s="15" t="s">
        <v>778</v>
      </c>
      <c r="F640" s="169" t="s">
        <v>755</v>
      </c>
      <c r="G640" s="46">
        <v>3616</v>
      </c>
      <c r="H640" s="28" t="s">
        <v>727</v>
      </c>
      <c r="I640" s="28" t="s">
        <v>729</v>
      </c>
      <c r="J640" s="1983" t="s">
        <v>110</v>
      </c>
      <c r="K640" s="20" t="s">
        <v>111</v>
      </c>
      <c r="L640" s="21">
        <v>0.4</v>
      </c>
      <c r="M640" s="28"/>
      <c r="N640" s="16" t="s">
        <v>251</v>
      </c>
      <c r="O640" s="16"/>
      <c r="P640" s="28">
        <v>1</v>
      </c>
      <c r="Q640" s="47">
        <v>0.05</v>
      </c>
      <c r="R640" s="28"/>
      <c r="S640" s="28">
        <f t="shared" si="27"/>
        <v>0</v>
      </c>
      <c r="T640" s="46">
        <f t="shared" si="28"/>
        <v>0</v>
      </c>
      <c r="U640" s="28" t="s">
        <v>34</v>
      </c>
      <c r="V640" s="71"/>
      <c r="W640" s="28"/>
    </row>
    <row r="641" spans="1:23" ht="23.4" x14ac:dyDescent="0.45">
      <c r="A641" s="1">
        <f t="shared" si="29"/>
        <v>640</v>
      </c>
      <c r="B641" s="15" t="s">
        <v>23</v>
      </c>
      <c r="C641" s="15" t="s">
        <v>24</v>
      </c>
      <c r="D641" s="68">
        <v>3623</v>
      </c>
      <c r="E641" s="15" t="s">
        <v>778</v>
      </c>
      <c r="F641" s="169" t="s">
        <v>755</v>
      </c>
      <c r="G641" s="46">
        <v>3616</v>
      </c>
      <c r="H641" s="28" t="s">
        <v>727</v>
      </c>
      <c r="I641" s="28" t="s">
        <v>729</v>
      </c>
      <c r="J641" s="1983" t="s">
        <v>110</v>
      </c>
      <c r="K641" s="20" t="s">
        <v>111</v>
      </c>
      <c r="L641" s="21">
        <v>0.4</v>
      </c>
      <c r="M641" s="28"/>
      <c r="N641" s="16" t="s">
        <v>252</v>
      </c>
      <c r="O641" s="16"/>
      <c r="P641" s="28">
        <v>1</v>
      </c>
      <c r="Q641" s="47">
        <v>0.05</v>
      </c>
      <c r="R641" s="28"/>
      <c r="S641" s="28">
        <f t="shared" si="27"/>
        <v>0</v>
      </c>
      <c r="T641" s="46">
        <f t="shared" si="28"/>
        <v>0</v>
      </c>
      <c r="U641" s="28" t="s">
        <v>34</v>
      </c>
      <c r="V641" s="71"/>
      <c r="W641" s="28"/>
    </row>
    <row r="642" spans="1:23" ht="23.4" x14ac:dyDescent="0.45">
      <c r="A642" s="1">
        <f t="shared" si="29"/>
        <v>641</v>
      </c>
      <c r="B642" s="15" t="s">
        <v>23</v>
      </c>
      <c r="C642" s="15" t="s">
        <v>24</v>
      </c>
      <c r="D642" s="68">
        <v>3623</v>
      </c>
      <c r="E642" s="15" t="s">
        <v>778</v>
      </c>
      <c r="F642" s="169" t="s">
        <v>755</v>
      </c>
      <c r="G642" s="46">
        <v>3616</v>
      </c>
      <c r="H642" s="28" t="s">
        <v>727</v>
      </c>
      <c r="I642" s="28" t="s">
        <v>729</v>
      </c>
      <c r="J642" s="1983" t="s">
        <v>110</v>
      </c>
      <c r="K642" s="20" t="s">
        <v>111</v>
      </c>
      <c r="L642" s="21">
        <v>0.4</v>
      </c>
      <c r="M642" s="28"/>
      <c r="N642" s="16" t="s">
        <v>777</v>
      </c>
      <c r="O642" s="16"/>
      <c r="P642" s="28">
        <v>1</v>
      </c>
      <c r="Q642" s="47">
        <v>0.05</v>
      </c>
      <c r="R642" s="28"/>
      <c r="S642" s="28">
        <f t="shared" ref="S642:S705" si="30">ROUND(IF(OR(P642="",R642=""),0,IF(AND(P642=0,R642=0),1,IF(U642="+",R642/P642,P642/R642))),2)</f>
        <v>0</v>
      </c>
      <c r="T642" s="46">
        <f t="shared" ref="T642:T705" si="31">IF(AND(S642&gt;=60%,S642&lt;100%),S642*((Q642*L642)),IF(S642=100%,((Q642*L642)*S642)*100%,IF(S642&gt;100%,((L642*Q642)*100%)*100%,0)))*100</f>
        <v>0</v>
      </c>
      <c r="U642" s="28" t="s">
        <v>34</v>
      </c>
      <c r="V642" s="71"/>
      <c r="W642" s="28"/>
    </row>
    <row r="643" spans="1:23" ht="23.4" x14ac:dyDescent="0.45">
      <c r="A643" s="1">
        <f t="shared" si="29"/>
        <v>642</v>
      </c>
      <c r="B643" s="57" t="s">
        <v>23</v>
      </c>
      <c r="C643" s="57" t="s">
        <v>24</v>
      </c>
      <c r="D643" s="58">
        <v>3623</v>
      </c>
      <c r="E643" s="57" t="s">
        <v>778</v>
      </c>
      <c r="F643" s="169" t="s">
        <v>755</v>
      </c>
      <c r="G643" s="46">
        <v>3616</v>
      </c>
      <c r="H643" s="28" t="s">
        <v>727</v>
      </c>
      <c r="I643" s="28" t="s">
        <v>729</v>
      </c>
      <c r="J643" s="1983" t="s">
        <v>110</v>
      </c>
      <c r="K643" s="20" t="s">
        <v>111</v>
      </c>
      <c r="L643" s="21">
        <v>0.4</v>
      </c>
      <c r="M643" s="28"/>
      <c r="N643" s="16" t="s">
        <v>253</v>
      </c>
      <c r="O643" s="16"/>
      <c r="P643" s="28">
        <v>1</v>
      </c>
      <c r="Q643" s="47">
        <v>0.05</v>
      </c>
      <c r="R643" s="28"/>
      <c r="S643" s="28">
        <f t="shared" si="30"/>
        <v>0</v>
      </c>
      <c r="T643" s="46">
        <f t="shared" si="31"/>
        <v>0</v>
      </c>
      <c r="U643" s="28" t="s">
        <v>34</v>
      </c>
      <c r="V643" s="71"/>
      <c r="W643" s="28"/>
    </row>
    <row r="644" spans="1:23" ht="23.4" x14ac:dyDescent="0.45">
      <c r="A644" s="1">
        <f t="shared" ref="A644:A707" si="32">ROW()-1</f>
        <v>643</v>
      </c>
      <c r="B644" s="99" t="s">
        <v>23</v>
      </c>
      <c r="C644" s="99" t="s">
        <v>24</v>
      </c>
      <c r="D644" s="100">
        <v>3424</v>
      </c>
      <c r="E644" s="99" t="s">
        <v>790</v>
      </c>
      <c r="F644" s="167" t="s">
        <v>755</v>
      </c>
      <c r="G644" s="168">
        <v>3616</v>
      </c>
      <c r="H644" s="148" t="s">
        <v>727</v>
      </c>
      <c r="I644" s="148" t="s">
        <v>729</v>
      </c>
      <c r="J644" s="1995" t="s">
        <v>57</v>
      </c>
      <c r="K644" s="170" t="s">
        <v>58</v>
      </c>
      <c r="L644" s="104">
        <v>0.6</v>
      </c>
      <c r="M644" s="148"/>
      <c r="N644" s="91" t="s">
        <v>791</v>
      </c>
      <c r="O644" s="91"/>
      <c r="P644" s="171">
        <v>1</v>
      </c>
      <c r="Q644" s="98">
        <v>0.1</v>
      </c>
      <c r="R644" s="171"/>
      <c r="S644" s="148">
        <f t="shared" si="30"/>
        <v>0</v>
      </c>
      <c r="T644" s="168">
        <f t="shared" si="31"/>
        <v>0</v>
      </c>
      <c r="U644" s="148" t="s">
        <v>34</v>
      </c>
      <c r="V644" s="1960">
        <f>SUM(T644:T669)%</f>
        <v>0</v>
      </c>
      <c r="W644" s="148"/>
    </row>
    <row r="645" spans="1:23" ht="23.4" x14ac:dyDescent="0.45">
      <c r="A645" s="1">
        <f t="shared" si="32"/>
        <v>644</v>
      </c>
      <c r="B645" s="57" t="s">
        <v>23</v>
      </c>
      <c r="C645" s="57" t="s">
        <v>24</v>
      </c>
      <c r="D645" s="58">
        <v>3424</v>
      </c>
      <c r="E645" s="57" t="s">
        <v>790</v>
      </c>
      <c r="F645" s="130" t="s">
        <v>755</v>
      </c>
      <c r="G645" s="67">
        <v>3616</v>
      </c>
      <c r="H645" s="66" t="s">
        <v>727</v>
      </c>
      <c r="I645" s="66" t="s">
        <v>729</v>
      </c>
      <c r="J645" s="1984" t="s">
        <v>57</v>
      </c>
      <c r="K645" s="31" t="s">
        <v>58</v>
      </c>
      <c r="L645" s="149">
        <v>0.6</v>
      </c>
      <c r="M645" s="35"/>
      <c r="N645" s="184" t="s">
        <v>792</v>
      </c>
      <c r="O645" s="184"/>
      <c r="P645" s="62">
        <v>1</v>
      </c>
      <c r="Q645" s="128">
        <v>0.1</v>
      </c>
      <c r="R645" s="62"/>
      <c r="S645" s="66">
        <f t="shared" si="30"/>
        <v>0</v>
      </c>
      <c r="T645" s="67">
        <f t="shared" si="31"/>
        <v>0</v>
      </c>
      <c r="U645" s="66" t="s">
        <v>34</v>
      </c>
      <c r="V645" s="430"/>
      <c r="W645" s="66"/>
    </row>
    <row r="646" spans="1:23" ht="23.4" x14ac:dyDescent="0.45">
      <c r="A646" s="1">
        <f t="shared" si="32"/>
        <v>645</v>
      </c>
      <c r="B646" s="57" t="s">
        <v>23</v>
      </c>
      <c r="C646" s="57" t="s">
        <v>24</v>
      </c>
      <c r="D646" s="58">
        <v>3424</v>
      </c>
      <c r="E646" s="57" t="s">
        <v>790</v>
      </c>
      <c r="F646" s="130" t="s">
        <v>755</v>
      </c>
      <c r="G646" s="67">
        <v>3616</v>
      </c>
      <c r="H646" s="66" t="s">
        <v>727</v>
      </c>
      <c r="I646" s="66" t="s">
        <v>729</v>
      </c>
      <c r="J646" s="1984" t="s">
        <v>57</v>
      </c>
      <c r="K646" s="31" t="s">
        <v>58</v>
      </c>
      <c r="L646" s="149">
        <v>0.6</v>
      </c>
      <c r="M646" s="35"/>
      <c r="N646" s="184" t="s">
        <v>793</v>
      </c>
      <c r="O646" s="184"/>
      <c r="P646" s="62">
        <v>1</v>
      </c>
      <c r="Q646" s="128">
        <v>0.05</v>
      </c>
      <c r="R646" s="62"/>
      <c r="S646" s="66">
        <f t="shared" si="30"/>
        <v>0</v>
      </c>
      <c r="T646" s="67">
        <f t="shared" si="31"/>
        <v>0</v>
      </c>
      <c r="U646" s="66" t="s">
        <v>34</v>
      </c>
      <c r="V646" s="430"/>
      <c r="W646" s="66"/>
    </row>
    <row r="647" spans="1:23" ht="23.4" x14ac:dyDescent="0.45">
      <c r="A647" s="1">
        <f t="shared" si="32"/>
        <v>646</v>
      </c>
      <c r="B647" s="57" t="s">
        <v>23</v>
      </c>
      <c r="C647" s="57" t="s">
        <v>24</v>
      </c>
      <c r="D647" s="58">
        <v>3424</v>
      </c>
      <c r="E647" s="57" t="s">
        <v>790</v>
      </c>
      <c r="F647" s="130" t="s">
        <v>755</v>
      </c>
      <c r="G647" s="67">
        <v>3616</v>
      </c>
      <c r="H647" s="66" t="s">
        <v>727</v>
      </c>
      <c r="I647" s="66" t="s">
        <v>729</v>
      </c>
      <c r="J647" s="1984" t="s">
        <v>57</v>
      </c>
      <c r="K647" s="31" t="s">
        <v>58</v>
      </c>
      <c r="L647" s="149">
        <v>0.6</v>
      </c>
      <c r="M647" s="35"/>
      <c r="N647" s="184" t="s">
        <v>794</v>
      </c>
      <c r="O647" s="184"/>
      <c r="P647" s="62">
        <v>1</v>
      </c>
      <c r="Q647" s="128">
        <v>0.1</v>
      </c>
      <c r="R647" s="62"/>
      <c r="S647" s="66">
        <f t="shared" si="30"/>
        <v>0</v>
      </c>
      <c r="T647" s="67">
        <f t="shared" si="31"/>
        <v>0</v>
      </c>
      <c r="U647" s="66" t="s">
        <v>34</v>
      </c>
      <c r="V647" s="430"/>
      <c r="W647" s="66"/>
    </row>
    <row r="648" spans="1:23" ht="23.4" x14ac:dyDescent="0.45">
      <c r="A648" s="1">
        <f t="shared" si="32"/>
        <v>647</v>
      </c>
      <c r="B648" s="57" t="s">
        <v>23</v>
      </c>
      <c r="C648" s="57" t="s">
        <v>24</v>
      </c>
      <c r="D648" s="58">
        <v>3424</v>
      </c>
      <c r="E648" s="57" t="s">
        <v>790</v>
      </c>
      <c r="F648" s="130" t="s">
        <v>755</v>
      </c>
      <c r="G648" s="67">
        <v>3616</v>
      </c>
      <c r="H648" s="66" t="s">
        <v>727</v>
      </c>
      <c r="I648" s="66" t="s">
        <v>729</v>
      </c>
      <c r="J648" s="1984" t="s">
        <v>57</v>
      </c>
      <c r="K648" s="31" t="s">
        <v>58</v>
      </c>
      <c r="L648" s="149">
        <v>0.6</v>
      </c>
      <c r="M648" s="35"/>
      <c r="N648" s="184" t="s">
        <v>795</v>
      </c>
      <c r="O648" s="184"/>
      <c r="P648" s="62">
        <v>1</v>
      </c>
      <c r="Q648" s="128">
        <v>0.05</v>
      </c>
      <c r="R648" s="62"/>
      <c r="S648" s="66">
        <f t="shared" si="30"/>
        <v>0</v>
      </c>
      <c r="T648" s="67">
        <f t="shared" si="31"/>
        <v>0</v>
      </c>
      <c r="U648" s="66" t="s">
        <v>34</v>
      </c>
      <c r="V648" s="430"/>
      <c r="W648" s="66"/>
    </row>
    <row r="649" spans="1:23" ht="23.4" x14ac:dyDescent="0.45">
      <c r="A649" s="1">
        <f t="shared" si="32"/>
        <v>648</v>
      </c>
      <c r="B649" s="57" t="s">
        <v>23</v>
      </c>
      <c r="C649" s="57" t="s">
        <v>24</v>
      </c>
      <c r="D649" s="58">
        <v>3424</v>
      </c>
      <c r="E649" s="57" t="s">
        <v>790</v>
      </c>
      <c r="F649" s="130" t="s">
        <v>755</v>
      </c>
      <c r="G649" s="67">
        <v>3616</v>
      </c>
      <c r="H649" s="66" t="s">
        <v>727</v>
      </c>
      <c r="I649" s="66" t="s">
        <v>729</v>
      </c>
      <c r="J649" s="1984" t="s">
        <v>57</v>
      </c>
      <c r="K649" s="31" t="s">
        <v>58</v>
      </c>
      <c r="L649" s="149">
        <v>0.6</v>
      </c>
      <c r="M649" s="35"/>
      <c r="N649" s="184" t="s">
        <v>796</v>
      </c>
      <c r="O649" s="184"/>
      <c r="P649" s="62">
        <v>1</v>
      </c>
      <c r="Q649" s="128">
        <v>0.05</v>
      </c>
      <c r="R649" s="62"/>
      <c r="S649" s="66">
        <f t="shared" si="30"/>
        <v>0</v>
      </c>
      <c r="T649" s="67">
        <f t="shared" si="31"/>
        <v>0</v>
      </c>
      <c r="U649" s="66" t="s">
        <v>34</v>
      </c>
      <c r="V649" s="430"/>
      <c r="W649" s="66"/>
    </row>
    <row r="650" spans="1:23" ht="23.4" x14ac:dyDescent="0.45">
      <c r="A650" s="1">
        <f t="shared" si="32"/>
        <v>649</v>
      </c>
      <c r="B650" s="57" t="s">
        <v>23</v>
      </c>
      <c r="C650" s="57" t="s">
        <v>24</v>
      </c>
      <c r="D650" s="58">
        <v>3424</v>
      </c>
      <c r="E650" s="57" t="s">
        <v>790</v>
      </c>
      <c r="F650" s="130" t="s">
        <v>755</v>
      </c>
      <c r="G650" s="67">
        <v>3616</v>
      </c>
      <c r="H650" s="66" t="s">
        <v>727</v>
      </c>
      <c r="I650" s="66" t="s">
        <v>729</v>
      </c>
      <c r="J650" s="1984" t="s">
        <v>57</v>
      </c>
      <c r="K650" s="31" t="s">
        <v>58</v>
      </c>
      <c r="L650" s="149">
        <v>0.6</v>
      </c>
      <c r="M650" s="35"/>
      <c r="N650" s="184" t="s">
        <v>797</v>
      </c>
      <c r="O650" s="184"/>
      <c r="P650" s="62">
        <v>1</v>
      </c>
      <c r="Q650" s="128">
        <v>0.15</v>
      </c>
      <c r="R650" s="62"/>
      <c r="S650" s="66">
        <f t="shared" si="30"/>
        <v>0</v>
      </c>
      <c r="T650" s="67">
        <f t="shared" si="31"/>
        <v>0</v>
      </c>
      <c r="U650" s="66" t="s">
        <v>34</v>
      </c>
      <c r="V650" s="430"/>
      <c r="W650" s="66"/>
    </row>
    <row r="651" spans="1:23" ht="23.4" x14ac:dyDescent="0.45">
      <c r="A651" s="1">
        <f t="shared" si="32"/>
        <v>650</v>
      </c>
      <c r="B651" s="57" t="s">
        <v>23</v>
      </c>
      <c r="C651" s="57" t="s">
        <v>24</v>
      </c>
      <c r="D651" s="58">
        <v>3424</v>
      </c>
      <c r="E651" s="57" t="s">
        <v>790</v>
      </c>
      <c r="F651" s="130" t="s">
        <v>755</v>
      </c>
      <c r="G651" s="67">
        <v>3616</v>
      </c>
      <c r="H651" s="66" t="s">
        <v>727</v>
      </c>
      <c r="I651" s="66" t="s">
        <v>729</v>
      </c>
      <c r="J651" s="1984" t="s">
        <v>57</v>
      </c>
      <c r="K651" s="31" t="s">
        <v>58</v>
      </c>
      <c r="L651" s="149">
        <v>0.6</v>
      </c>
      <c r="M651" s="35"/>
      <c r="N651" s="184" t="s">
        <v>798</v>
      </c>
      <c r="O651" s="184"/>
      <c r="P651" s="62">
        <v>1</v>
      </c>
      <c r="Q651" s="128">
        <v>0.15</v>
      </c>
      <c r="R651" s="62"/>
      <c r="S651" s="66">
        <f t="shared" si="30"/>
        <v>0</v>
      </c>
      <c r="T651" s="67">
        <f t="shared" si="31"/>
        <v>0</v>
      </c>
      <c r="U651" s="66" t="s">
        <v>34</v>
      </c>
      <c r="V651" s="430"/>
      <c r="W651" s="66"/>
    </row>
    <row r="652" spans="1:23" ht="23.4" x14ac:dyDescent="0.45">
      <c r="A652" s="1">
        <f t="shared" si="32"/>
        <v>651</v>
      </c>
      <c r="B652" s="57" t="s">
        <v>23</v>
      </c>
      <c r="C652" s="57" t="s">
        <v>24</v>
      </c>
      <c r="D652" s="58">
        <v>3424</v>
      </c>
      <c r="E652" s="57" t="s">
        <v>790</v>
      </c>
      <c r="F652" s="130" t="s">
        <v>755</v>
      </c>
      <c r="G652" s="67">
        <v>3616</v>
      </c>
      <c r="H652" s="66" t="s">
        <v>727</v>
      </c>
      <c r="I652" s="66" t="s">
        <v>729</v>
      </c>
      <c r="J652" s="1984" t="s">
        <v>57</v>
      </c>
      <c r="K652" s="31" t="s">
        <v>58</v>
      </c>
      <c r="L652" s="149">
        <v>0.6</v>
      </c>
      <c r="M652" s="35"/>
      <c r="N652" s="184" t="s">
        <v>799</v>
      </c>
      <c r="O652" s="184"/>
      <c r="P652" s="62">
        <v>1</v>
      </c>
      <c r="Q652" s="128">
        <v>0.1</v>
      </c>
      <c r="R652" s="62"/>
      <c r="S652" s="66">
        <f t="shared" si="30"/>
        <v>0</v>
      </c>
      <c r="T652" s="67">
        <f t="shared" si="31"/>
        <v>0</v>
      </c>
      <c r="U652" s="66" t="s">
        <v>34</v>
      </c>
      <c r="V652" s="430"/>
      <c r="W652" s="66"/>
    </row>
    <row r="653" spans="1:23" ht="23.4" x14ac:dyDescent="0.45">
      <c r="A653" s="1">
        <f t="shared" si="32"/>
        <v>652</v>
      </c>
      <c r="B653" s="57" t="s">
        <v>23</v>
      </c>
      <c r="C653" s="57" t="s">
        <v>24</v>
      </c>
      <c r="D653" s="58">
        <v>3424</v>
      </c>
      <c r="E653" s="57" t="s">
        <v>790</v>
      </c>
      <c r="F653" s="130" t="s">
        <v>755</v>
      </c>
      <c r="G653" s="67">
        <v>3616</v>
      </c>
      <c r="H653" s="66" t="s">
        <v>727</v>
      </c>
      <c r="I653" s="66" t="s">
        <v>729</v>
      </c>
      <c r="J653" s="1984" t="s">
        <v>57</v>
      </c>
      <c r="K653" s="31" t="s">
        <v>58</v>
      </c>
      <c r="L653" s="149">
        <v>0.6</v>
      </c>
      <c r="M653" s="35"/>
      <c r="N653" s="184" t="s">
        <v>800</v>
      </c>
      <c r="O653" s="184"/>
      <c r="P653" s="62">
        <v>1</v>
      </c>
      <c r="Q653" s="128">
        <v>0.1</v>
      </c>
      <c r="R653" s="62"/>
      <c r="S653" s="66">
        <f t="shared" si="30"/>
        <v>0</v>
      </c>
      <c r="T653" s="67">
        <f t="shared" si="31"/>
        <v>0</v>
      </c>
      <c r="U653" s="66" t="s">
        <v>34</v>
      </c>
      <c r="V653" s="430"/>
      <c r="W653" s="66"/>
    </row>
    <row r="654" spans="1:23" ht="23.4" x14ac:dyDescent="0.45">
      <c r="A654" s="1">
        <f t="shared" si="32"/>
        <v>653</v>
      </c>
      <c r="B654" s="57" t="s">
        <v>23</v>
      </c>
      <c r="C654" s="57" t="s">
        <v>24</v>
      </c>
      <c r="D654" s="58">
        <v>3424</v>
      </c>
      <c r="E654" s="57" t="s">
        <v>790</v>
      </c>
      <c r="F654" s="130" t="s">
        <v>755</v>
      </c>
      <c r="G654" s="67">
        <v>3616</v>
      </c>
      <c r="H654" s="66" t="s">
        <v>727</v>
      </c>
      <c r="I654" s="66" t="s">
        <v>729</v>
      </c>
      <c r="J654" s="1984" t="s">
        <v>57</v>
      </c>
      <c r="K654" s="31" t="s">
        <v>58</v>
      </c>
      <c r="L654" s="149">
        <v>0.6</v>
      </c>
      <c r="M654" s="35"/>
      <c r="N654" s="184" t="s">
        <v>801</v>
      </c>
      <c r="O654" s="184"/>
      <c r="P654" s="62">
        <v>1</v>
      </c>
      <c r="Q654" s="128">
        <v>0.05</v>
      </c>
      <c r="R654" s="62"/>
      <c r="S654" s="66">
        <f t="shared" si="30"/>
        <v>0</v>
      </c>
      <c r="T654" s="67">
        <f t="shared" si="31"/>
        <v>0</v>
      </c>
      <c r="U654" s="66" t="s">
        <v>34</v>
      </c>
      <c r="V654" s="430"/>
      <c r="W654" s="66"/>
    </row>
    <row r="655" spans="1:23" ht="23.4" x14ac:dyDescent="0.45">
      <c r="A655" s="1">
        <f t="shared" si="32"/>
        <v>654</v>
      </c>
      <c r="B655" s="57" t="s">
        <v>23</v>
      </c>
      <c r="C655" s="57" t="s">
        <v>24</v>
      </c>
      <c r="D655" s="58">
        <v>3424</v>
      </c>
      <c r="E655" s="57" t="s">
        <v>790</v>
      </c>
      <c r="F655" s="169" t="s">
        <v>755</v>
      </c>
      <c r="G655" s="46">
        <v>3616</v>
      </c>
      <c r="H655" s="28" t="s">
        <v>727</v>
      </c>
      <c r="I655" s="28" t="s">
        <v>729</v>
      </c>
      <c r="J655" s="1983" t="s">
        <v>110</v>
      </c>
      <c r="K655" s="20" t="s">
        <v>111</v>
      </c>
      <c r="L655" s="21">
        <v>0.4</v>
      </c>
      <c r="M655" s="28"/>
      <c r="N655" s="16" t="s">
        <v>255</v>
      </c>
      <c r="O655" s="16"/>
      <c r="P655" s="28">
        <v>1</v>
      </c>
      <c r="Q655" s="47">
        <v>0.05</v>
      </c>
      <c r="R655" s="28"/>
      <c r="S655" s="28">
        <f t="shared" si="30"/>
        <v>0</v>
      </c>
      <c r="T655" s="46">
        <f t="shared" si="31"/>
        <v>0</v>
      </c>
      <c r="U655" s="28" t="s">
        <v>34</v>
      </c>
      <c r="V655" s="71"/>
      <c r="W655" s="28"/>
    </row>
    <row r="656" spans="1:23" ht="23.4" x14ac:dyDescent="0.45">
      <c r="A656" s="1">
        <f t="shared" si="32"/>
        <v>655</v>
      </c>
      <c r="B656" s="57" t="s">
        <v>23</v>
      </c>
      <c r="C656" s="57" t="s">
        <v>24</v>
      </c>
      <c r="D656" s="58">
        <v>3424</v>
      </c>
      <c r="E656" s="57" t="s">
        <v>790</v>
      </c>
      <c r="F656" s="169" t="s">
        <v>755</v>
      </c>
      <c r="G656" s="46">
        <v>3616</v>
      </c>
      <c r="H656" s="28" t="s">
        <v>727</v>
      </c>
      <c r="I656" s="28" t="s">
        <v>729</v>
      </c>
      <c r="J656" s="1983" t="s">
        <v>110</v>
      </c>
      <c r="K656" s="20" t="s">
        <v>111</v>
      </c>
      <c r="L656" s="21">
        <v>0.4</v>
      </c>
      <c r="M656" s="28"/>
      <c r="N656" s="16" t="s">
        <v>768</v>
      </c>
      <c r="O656" s="16"/>
      <c r="P656" s="28">
        <v>1</v>
      </c>
      <c r="Q656" s="47">
        <v>0.05</v>
      </c>
      <c r="R656" s="28"/>
      <c r="S656" s="28">
        <f t="shared" si="30"/>
        <v>0</v>
      </c>
      <c r="T656" s="46">
        <f t="shared" si="31"/>
        <v>0</v>
      </c>
      <c r="U656" s="28" t="s">
        <v>34</v>
      </c>
      <c r="V656" s="71"/>
      <c r="W656" s="28"/>
    </row>
    <row r="657" spans="1:23" ht="23.4" x14ac:dyDescent="0.45">
      <c r="A657" s="1">
        <f t="shared" si="32"/>
        <v>656</v>
      </c>
      <c r="B657" s="57" t="s">
        <v>23</v>
      </c>
      <c r="C657" s="57" t="s">
        <v>24</v>
      </c>
      <c r="D657" s="58">
        <v>3424</v>
      </c>
      <c r="E657" s="57" t="s">
        <v>790</v>
      </c>
      <c r="F657" s="169" t="s">
        <v>755</v>
      </c>
      <c r="G657" s="46">
        <v>3616</v>
      </c>
      <c r="H657" s="28" t="s">
        <v>727</v>
      </c>
      <c r="I657" s="28" t="s">
        <v>729</v>
      </c>
      <c r="J657" s="1983" t="s">
        <v>110</v>
      </c>
      <c r="K657" s="20" t="s">
        <v>111</v>
      </c>
      <c r="L657" s="21">
        <v>0.4</v>
      </c>
      <c r="M657" s="28"/>
      <c r="N657" s="16" t="s">
        <v>769</v>
      </c>
      <c r="O657" s="16"/>
      <c r="P657" s="28">
        <v>1</v>
      </c>
      <c r="Q657" s="47">
        <v>0.05</v>
      </c>
      <c r="R657" s="28"/>
      <c r="S657" s="28">
        <f t="shared" si="30"/>
        <v>0</v>
      </c>
      <c r="T657" s="46">
        <f t="shared" si="31"/>
        <v>0</v>
      </c>
      <c r="U657" s="28" t="s">
        <v>34</v>
      </c>
      <c r="V657" s="71"/>
      <c r="W657" s="28"/>
    </row>
    <row r="658" spans="1:23" ht="23.4" x14ac:dyDescent="0.45">
      <c r="A658" s="1">
        <f t="shared" si="32"/>
        <v>657</v>
      </c>
      <c r="B658" s="57" t="s">
        <v>23</v>
      </c>
      <c r="C658" s="57" t="s">
        <v>24</v>
      </c>
      <c r="D658" s="58">
        <v>3424</v>
      </c>
      <c r="E658" s="57" t="s">
        <v>790</v>
      </c>
      <c r="F658" s="169" t="s">
        <v>755</v>
      </c>
      <c r="G658" s="46">
        <v>3616</v>
      </c>
      <c r="H658" s="28" t="s">
        <v>727</v>
      </c>
      <c r="I658" s="28" t="s">
        <v>729</v>
      </c>
      <c r="J658" s="1983" t="s">
        <v>110</v>
      </c>
      <c r="K658" s="20" t="s">
        <v>111</v>
      </c>
      <c r="L658" s="21">
        <v>0.4</v>
      </c>
      <c r="M658" s="28"/>
      <c r="N658" s="16" t="s">
        <v>770</v>
      </c>
      <c r="O658" s="16"/>
      <c r="P658" s="28">
        <v>1</v>
      </c>
      <c r="Q658" s="47">
        <v>0.15</v>
      </c>
      <c r="R658" s="28"/>
      <c r="S658" s="28">
        <f t="shared" si="30"/>
        <v>0</v>
      </c>
      <c r="T658" s="46">
        <f t="shared" si="31"/>
        <v>0</v>
      </c>
      <c r="U658" s="28" t="s">
        <v>34</v>
      </c>
      <c r="V658" s="71"/>
      <c r="W658" s="28"/>
    </row>
    <row r="659" spans="1:23" ht="23.4" x14ac:dyDescent="0.45">
      <c r="A659" s="1">
        <f t="shared" si="32"/>
        <v>658</v>
      </c>
      <c r="B659" s="57" t="s">
        <v>23</v>
      </c>
      <c r="C659" s="57" t="s">
        <v>24</v>
      </c>
      <c r="D659" s="58">
        <v>3424</v>
      </c>
      <c r="E659" s="57" t="s">
        <v>790</v>
      </c>
      <c r="F659" s="169" t="s">
        <v>755</v>
      </c>
      <c r="G659" s="46">
        <v>3616</v>
      </c>
      <c r="H659" s="28" t="s">
        <v>727</v>
      </c>
      <c r="I659" s="28" t="s">
        <v>729</v>
      </c>
      <c r="J659" s="1983" t="s">
        <v>110</v>
      </c>
      <c r="K659" s="20" t="s">
        <v>111</v>
      </c>
      <c r="L659" s="21">
        <v>0.4</v>
      </c>
      <c r="M659" s="28"/>
      <c r="N659" s="16" t="s">
        <v>254</v>
      </c>
      <c r="O659" s="16"/>
      <c r="P659" s="28">
        <v>1</v>
      </c>
      <c r="Q659" s="47">
        <v>0.1</v>
      </c>
      <c r="R659" s="28"/>
      <c r="S659" s="28">
        <f t="shared" si="30"/>
        <v>0</v>
      </c>
      <c r="T659" s="46">
        <f t="shared" si="31"/>
        <v>0</v>
      </c>
      <c r="U659" s="28" t="s">
        <v>34</v>
      </c>
      <c r="V659" s="71"/>
      <c r="W659" s="28"/>
    </row>
    <row r="660" spans="1:23" ht="23.4" x14ac:dyDescent="0.45">
      <c r="A660" s="1">
        <f t="shared" si="32"/>
        <v>659</v>
      </c>
      <c r="B660" s="57" t="s">
        <v>23</v>
      </c>
      <c r="C660" s="57" t="s">
        <v>24</v>
      </c>
      <c r="D660" s="58">
        <v>3424</v>
      </c>
      <c r="E660" s="57" t="s">
        <v>790</v>
      </c>
      <c r="F660" s="169" t="s">
        <v>755</v>
      </c>
      <c r="G660" s="46">
        <v>3616</v>
      </c>
      <c r="H660" s="28" t="s">
        <v>727</v>
      </c>
      <c r="I660" s="28" t="s">
        <v>729</v>
      </c>
      <c r="J660" s="1983" t="s">
        <v>110</v>
      </c>
      <c r="K660" s="20" t="s">
        <v>111</v>
      </c>
      <c r="L660" s="21">
        <v>0.4</v>
      </c>
      <c r="M660" s="28"/>
      <c r="N660" s="16" t="s">
        <v>771</v>
      </c>
      <c r="O660" s="16"/>
      <c r="P660" s="28">
        <v>1</v>
      </c>
      <c r="Q660" s="47">
        <v>0.05</v>
      </c>
      <c r="R660" s="28"/>
      <c r="S660" s="28">
        <f t="shared" si="30"/>
        <v>0</v>
      </c>
      <c r="T660" s="46">
        <f t="shared" si="31"/>
        <v>0</v>
      </c>
      <c r="U660" s="28" t="s">
        <v>34</v>
      </c>
      <c r="V660" s="71"/>
      <c r="W660" s="28"/>
    </row>
    <row r="661" spans="1:23" ht="23.4" x14ac:dyDescent="0.45">
      <c r="A661" s="1">
        <f t="shared" si="32"/>
        <v>660</v>
      </c>
      <c r="B661" s="57" t="s">
        <v>23</v>
      </c>
      <c r="C661" s="57" t="s">
        <v>24</v>
      </c>
      <c r="D661" s="58">
        <v>3424</v>
      </c>
      <c r="E661" s="57" t="s">
        <v>790</v>
      </c>
      <c r="F661" s="169" t="s">
        <v>755</v>
      </c>
      <c r="G661" s="46">
        <v>3616</v>
      </c>
      <c r="H661" s="28" t="s">
        <v>727</v>
      </c>
      <c r="I661" s="28" t="s">
        <v>729</v>
      </c>
      <c r="J661" s="1983" t="s">
        <v>110</v>
      </c>
      <c r="K661" s="20" t="s">
        <v>111</v>
      </c>
      <c r="L661" s="21">
        <v>0.4</v>
      </c>
      <c r="M661" s="28"/>
      <c r="N661" s="16" t="s">
        <v>772</v>
      </c>
      <c r="O661" s="16"/>
      <c r="P661" s="28">
        <v>1</v>
      </c>
      <c r="Q661" s="47">
        <v>0.1</v>
      </c>
      <c r="R661" s="28"/>
      <c r="S661" s="28">
        <f t="shared" si="30"/>
        <v>0</v>
      </c>
      <c r="T661" s="46">
        <f t="shared" si="31"/>
        <v>0</v>
      </c>
      <c r="U661" s="28" t="s">
        <v>34</v>
      </c>
      <c r="V661" s="71"/>
      <c r="W661" s="28"/>
    </row>
    <row r="662" spans="1:23" ht="23.4" x14ac:dyDescent="0.45">
      <c r="A662" s="1">
        <f t="shared" si="32"/>
        <v>661</v>
      </c>
      <c r="B662" s="57" t="s">
        <v>23</v>
      </c>
      <c r="C662" s="57" t="s">
        <v>24</v>
      </c>
      <c r="D662" s="58">
        <v>3424</v>
      </c>
      <c r="E662" s="57" t="s">
        <v>790</v>
      </c>
      <c r="F662" s="169" t="s">
        <v>755</v>
      </c>
      <c r="G662" s="46">
        <v>3616</v>
      </c>
      <c r="H662" s="28" t="s">
        <v>727</v>
      </c>
      <c r="I662" s="28" t="s">
        <v>729</v>
      </c>
      <c r="J662" s="1983" t="s">
        <v>110</v>
      </c>
      <c r="K662" s="20" t="s">
        <v>111</v>
      </c>
      <c r="L662" s="21">
        <v>0.4</v>
      </c>
      <c r="M662" s="28"/>
      <c r="N662" s="16" t="s">
        <v>773</v>
      </c>
      <c r="O662" s="16"/>
      <c r="P662" s="28">
        <v>1</v>
      </c>
      <c r="Q662" s="47">
        <v>0.05</v>
      </c>
      <c r="R662" s="28"/>
      <c r="S662" s="28">
        <f t="shared" si="30"/>
        <v>0</v>
      </c>
      <c r="T662" s="46">
        <f t="shared" si="31"/>
        <v>0</v>
      </c>
      <c r="U662" s="28" t="s">
        <v>34</v>
      </c>
      <c r="V662" s="71"/>
      <c r="W662" s="28"/>
    </row>
    <row r="663" spans="1:23" ht="23.4" x14ac:dyDescent="0.45">
      <c r="A663" s="1">
        <f t="shared" si="32"/>
        <v>662</v>
      </c>
      <c r="B663" s="57" t="s">
        <v>23</v>
      </c>
      <c r="C663" s="57" t="s">
        <v>24</v>
      </c>
      <c r="D663" s="58">
        <v>3424</v>
      </c>
      <c r="E663" s="57" t="s">
        <v>790</v>
      </c>
      <c r="F663" s="169" t="s">
        <v>755</v>
      </c>
      <c r="G663" s="46">
        <v>3616</v>
      </c>
      <c r="H663" s="28" t="s">
        <v>727</v>
      </c>
      <c r="I663" s="28" t="s">
        <v>729</v>
      </c>
      <c r="J663" s="1983" t="s">
        <v>110</v>
      </c>
      <c r="K663" s="20" t="s">
        <v>111</v>
      </c>
      <c r="L663" s="21">
        <v>0.4</v>
      </c>
      <c r="M663" s="28"/>
      <c r="N663" s="16" t="s">
        <v>774</v>
      </c>
      <c r="O663" s="16"/>
      <c r="P663" s="28">
        <v>1</v>
      </c>
      <c r="Q663" s="47">
        <v>0.05</v>
      </c>
      <c r="R663" s="28"/>
      <c r="S663" s="28">
        <f t="shared" si="30"/>
        <v>0</v>
      </c>
      <c r="T663" s="46">
        <f t="shared" si="31"/>
        <v>0</v>
      </c>
      <c r="U663" s="28" t="s">
        <v>34</v>
      </c>
      <c r="V663" s="71"/>
      <c r="W663" s="28"/>
    </row>
    <row r="664" spans="1:23" ht="23.4" x14ac:dyDescent="0.45">
      <c r="A664" s="1">
        <f t="shared" si="32"/>
        <v>663</v>
      </c>
      <c r="B664" s="57" t="s">
        <v>23</v>
      </c>
      <c r="C664" s="57" t="s">
        <v>24</v>
      </c>
      <c r="D664" s="58">
        <v>3424</v>
      </c>
      <c r="E664" s="57" t="s">
        <v>790</v>
      </c>
      <c r="F664" s="169" t="s">
        <v>755</v>
      </c>
      <c r="G664" s="46">
        <v>3616</v>
      </c>
      <c r="H664" s="28" t="s">
        <v>727</v>
      </c>
      <c r="I664" s="28" t="s">
        <v>729</v>
      </c>
      <c r="J664" s="1983" t="s">
        <v>110</v>
      </c>
      <c r="K664" s="20" t="s">
        <v>111</v>
      </c>
      <c r="L664" s="21">
        <v>0.4</v>
      </c>
      <c r="M664" s="28"/>
      <c r="N664" s="16" t="s">
        <v>775</v>
      </c>
      <c r="O664" s="16"/>
      <c r="P664" s="28">
        <v>1</v>
      </c>
      <c r="Q664" s="47">
        <v>0.05</v>
      </c>
      <c r="R664" s="28"/>
      <c r="S664" s="28">
        <f t="shared" si="30"/>
        <v>0</v>
      </c>
      <c r="T664" s="46">
        <f t="shared" si="31"/>
        <v>0</v>
      </c>
      <c r="U664" s="28" t="s">
        <v>34</v>
      </c>
      <c r="V664" s="71"/>
      <c r="W664" s="28"/>
    </row>
    <row r="665" spans="1:23" ht="23.4" x14ac:dyDescent="0.45">
      <c r="A665" s="1">
        <f t="shared" si="32"/>
        <v>664</v>
      </c>
      <c r="B665" s="57" t="s">
        <v>23</v>
      </c>
      <c r="C665" s="57" t="s">
        <v>24</v>
      </c>
      <c r="D665" s="58">
        <v>3424</v>
      </c>
      <c r="E665" s="57" t="s">
        <v>790</v>
      </c>
      <c r="F665" s="169" t="s">
        <v>755</v>
      </c>
      <c r="G665" s="46">
        <v>3616</v>
      </c>
      <c r="H665" s="28" t="s">
        <v>727</v>
      </c>
      <c r="I665" s="28" t="s">
        <v>729</v>
      </c>
      <c r="J665" s="1983" t="s">
        <v>110</v>
      </c>
      <c r="K665" s="20" t="s">
        <v>111</v>
      </c>
      <c r="L665" s="21">
        <v>0.4</v>
      </c>
      <c r="M665" s="28"/>
      <c r="N665" s="16" t="s">
        <v>776</v>
      </c>
      <c r="O665" s="16"/>
      <c r="P665" s="28">
        <v>1</v>
      </c>
      <c r="Q665" s="47">
        <v>0.1</v>
      </c>
      <c r="R665" s="28"/>
      <c r="S665" s="28">
        <f t="shared" si="30"/>
        <v>0</v>
      </c>
      <c r="T665" s="46">
        <f t="shared" si="31"/>
        <v>0</v>
      </c>
      <c r="U665" s="28" t="s">
        <v>34</v>
      </c>
      <c r="V665" s="71"/>
      <c r="W665" s="28"/>
    </row>
    <row r="666" spans="1:23" ht="23.4" x14ac:dyDescent="0.45">
      <c r="A666" s="1">
        <f t="shared" si="32"/>
        <v>665</v>
      </c>
      <c r="B666" s="57" t="s">
        <v>23</v>
      </c>
      <c r="C666" s="57" t="s">
        <v>24</v>
      </c>
      <c r="D666" s="58">
        <v>3424</v>
      </c>
      <c r="E666" s="57" t="s">
        <v>790</v>
      </c>
      <c r="F666" s="169" t="s">
        <v>755</v>
      </c>
      <c r="G666" s="46">
        <v>3616</v>
      </c>
      <c r="H666" s="28" t="s">
        <v>727</v>
      </c>
      <c r="I666" s="28" t="s">
        <v>729</v>
      </c>
      <c r="J666" s="1983" t="s">
        <v>110</v>
      </c>
      <c r="K666" s="20" t="s">
        <v>111</v>
      </c>
      <c r="L666" s="21">
        <v>0.4</v>
      </c>
      <c r="M666" s="28"/>
      <c r="N666" s="16" t="s">
        <v>251</v>
      </c>
      <c r="O666" s="16"/>
      <c r="P666" s="28">
        <v>1</v>
      </c>
      <c r="Q666" s="47">
        <v>0.05</v>
      </c>
      <c r="R666" s="28"/>
      <c r="S666" s="28">
        <f t="shared" si="30"/>
        <v>0</v>
      </c>
      <c r="T666" s="46">
        <f t="shared" si="31"/>
        <v>0</v>
      </c>
      <c r="U666" s="28" t="s">
        <v>34</v>
      </c>
      <c r="V666" s="71"/>
      <c r="W666" s="28"/>
    </row>
    <row r="667" spans="1:23" ht="23.4" x14ac:dyDescent="0.45">
      <c r="A667" s="1">
        <f t="shared" si="32"/>
        <v>666</v>
      </c>
      <c r="B667" s="57" t="s">
        <v>23</v>
      </c>
      <c r="C667" s="57" t="s">
        <v>24</v>
      </c>
      <c r="D667" s="58">
        <v>3424</v>
      </c>
      <c r="E667" s="57" t="s">
        <v>790</v>
      </c>
      <c r="F667" s="169" t="s">
        <v>755</v>
      </c>
      <c r="G667" s="46">
        <v>3616</v>
      </c>
      <c r="H667" s="28" t="s">
        <v>727</v>
      </c>
      <c r="I667" s="28" t="s">
        <v>729</v>
      </c>
      <c r="J667" s="1983" t="s">
        <v>110</v>
      </c>
      <c r="K667" s="20" t="s">
        <v>111</v>
      </c>
      <c r="L667" s="21">
        <v>0.4</v>
      </c>
      <c r="M667" s="28"/>
      <c r="N667" s="16" t="s">
        <v>252</v>
      </c>
      <c r="O667" s="16"/>
      <c r="P667" s="28">
        <v>1</v>
      </c>
      <c r="Q667" s="47">
        <v>0.05</v>
      </c>
      <c r="R667" s="28"/>
      <c r="S667" s="28">
        <f t="shared" si="30"/>
        <v>0</v>
      </c>
      <c r="T667" s="46">
        <f t="shared" si="31"/>
        <v>0</v>
      </c>
      <c r="U667" s="28" t="s">
        <v>34</v>
      </c>
      <c r="V667" s="71"/>
      <c r="W667" s="28"/>
    </row>
    <row r="668" spans="1:23" ht="23.4" x14ac:dyDescent="0.45">
      <c r="A668" s="1">
        <f t="shared" si="32"/>
        <v>667</v>
      </c>
      <c r="B668" s="57" t="s">
        <v>23</v>
      </c>
      <c r="C668" s="57" t="s">
        <v>24</v>
      </c>
      <c r="D668" s="58">
        <v>3424</v>
      </c>
      <c r="E668" s="57" t="s">
        <v>790</v>
      </c>
      <c r="F668" s="169" t="s">
        <v>755</v>
      </c>
      <c r="G668" s="46">
        <v>3616</v>
      </c>
      <c r="H668" s="28" t="s">
        <v>727</v>
      </c>
      <c r="I668" s="28" t="s">
        <v>729</v>
      </c>
      <c r="J668" s="1983" t="s">
        <v>110</v>
      </c>
      <c r="K668" s="20" t="s">
        <v>111</v>
      </c>
      <c r="L668" s="21">
        <v>0.4</v>
      </c>
      <c r="M668" s="28"/>
      <c r="N668" s="16" t="s">
        <v>777</v>
      </c>
      <c r="O668" s="16"/>
      <c r="P668" s="28">
        <v>1</v>
      </c>
      <c r="Q668" s="47">
        <v>0.05</v>
      </c>
      <c r="R668" s="28"/>
      <c r="S668" s="28">
        <f t="shared" si="30"/>
        <v>0</v>
      </c>
      <c r="T668" s="46">
        <f t="shared" si="31"/>
        <v>0</v>
      </c>
      <c r="U668" s="28" t="s">
        <v>34</v>
      </c>
      <c r="V668" s="71"/>
      <c r="W668" s="28"/>
    </row>
    <row r="669" spans="1:23" ht="23.4" x14ac:dyDescent="0.45">
      <c r="A669" s="1">
        <f t="shared" si="32"/>
        <v>668</v>
      </c>
      <c r="B669" s="57" t="s">
        <v>23</v>
      </c>
      <c r="C669" s="57" t="s">
        <v>24</v>
      </c>
      <c r="D669" s="58">
        <v>3424</v>
      </c>
      <c r="E669" s="57" t="s">
        <v>790</v>
      </c>
      <c r="F669" s="169" t="s">
        <v>755</v>
      </c>
      <c r="G669" s="46">
        <v>3616</v>
      </c>
      <c r="H669" s="28" t="s">
        <v>727</v>
      </c>
      <c r="I669" s="28" t="s">
        <v>729</v>
      </c>
      <c r="J669" s="1983" t="s">
        <v>110</v>
      </c>
      <c r="K669" s="20" t="s">
        <v>111</v>
      </c>
      <c r="L669" s="21">
        <v>0.4</v>
      </c>
      <c r="M669" s="28"/>
      <c r="N669" s="16" t="s">
        <v>253</v>
      </c>
      <c r="O669" s="16"/>
      <c r="P669" s="28">
        <v>1</v>
      </c>
      <c r="Q669" s="47">
        <v>0.05</v>
      </c>
      <c r="R669" s="28"/>
      <c r="S669" s="28">
        <f t="shared" si="30"/>
        <v>0</v>
      </c>
      <c r="T669" s="46">
        <f t="shared" si="31"/>
        <v>0</v>
      </c>
      <c r="U669" s="28" t="s">
        <v>34</v>
      </c>
      <c r="V669" s="71"/>
      <c r="W669" s="28"/>
    </row>
    <row r="670" spans="1:23" ht="23.4" x14ac:dyDescent="0.45">
      <c r="A670" s="1">
        <f t="shared" si="32"/>
        <v>669</v>
      </c>
      <c r="B670" s="99" t="s">
        <v>23</v>
      </c>
      <c r="C670" s="99" t="s">
        <v>24</v>
      </c>
      <c r="D670" s="100">
        <v>3591</v>
      </c>
      <c r="E670" s="99" t="s">
        <v>802</v>
      </c>
      <c r="F670" s="167" t="s">
        <v>755</v>
      </c>
      <c r="G670" s="168">
        <v>3616</v>
      </c>
      <c r="H670" s="148" t="s">
        <v>727</v>
      </c>
      <c r="I670" s="148" t="s">
        <v>729</v>
      </c>
      <c r="J670" s="1995" t="s">
        <v>57</v>
      </c>
      <c r="K670" s="170" t="s">
        <v>58</v>
      </c>
      <c r="L670" s="104">
        <v>0.6</v>
      </c>
      <c r="M670" s="148"/>
      <c r="N670" s="91" t="s">
        <v>803</v>
      </c>
      <c r="O670" s="91"/>
      <c r="P670" s="171">
        <v>1</v>
      </c>
      <c r="Q670" s="98">
        <v>0.1</v>
      </c>
      <c r="R670" s="171"/>
      <c r="S670" s="148">
        <f t="shared" si="30"/>
        <v>0</v>
      </c>
      <c r="T670" s="168">
        <f t="shared" si="31"/>
        <v>0</v>
      </c>
      <c r="U670" s="148" t="s">
        <v>34</v>
      </c>
      <c r="V670" s="1959">
        <f>SUM(T670:T699)%</f>
        <v>0</v>
      </c>
      <c r="W670" s="148"/>
    </row>
    <row r="671" spans="1:23" ht="23.4" x14ac:dyDescent="0.45">
      <c r="A671" s="1">
        <f t="shared" si="32"/>
        <v>670</v>
      </c>
      <c r="B671" s="15" t="s">
        <v>23</v>
      </c>
      <c r="C671" s="15" t="s">
        <v>24</v>
      </c>
      <c r="D671" s="68">
        <v>3591</v>
      </c>
      <c r="E671" s="15" t="s">
        <v>802</v>
      </c>
      <c r="F671" s="130" t="s">
        <v>755</v>
      </c>
      <c r="G671" s="67">
        <v>3616</v>
      </c>
      <c r="H671" s="66" t="s">
        <v>727</v>
      </c>
      <c r="I671" s="66" t="s">
        <v>729</v>
      </c>
      <c r="J671" s="1984" t="s">
        <v>57</v>
      </c>
      <c r="K671" s="31" t="s">
        <v>58</v>
      </c>
      <c r="L671" s="149">
        <v>0.6</v>
      </c>
      <c r="M671" s="35"/>
      <c r="N671" s="184" t="s">
        <v>804</v>
      </c>
      <c r="O671" s="184"/>
      <c r="P671" s="62">
        <v>1</v>
      </c>
      <c r="Q671" s="128">
        <v>0.1</v>
      </c>
      <c r="R671" s="62"/>
      <c r="S671" s="66">
        <f t="shared" si="30"/>
        <v>0</v>
      </c>
      <c r="T671" s="67">
        <f t="shared" si="31"/>
        <v>0</v>
      </c>
      <c r="U671" s="66" t="s">
        <v>34</v>
      </c>
      <c r="V671" s="430"/>
      <c r="W671" s="66"/>
    </row>
    <row r="672" spans="1:23" ht="23.4" x14ac:dyDescent="0.45">
      <c r="A672" s="1">
        <f t="shared" si="32"/>
        <v>671</v>
      </c>
      <c r="B672" s="15" t="s">
        <v>23</v>
      </c>
      <c r="C672" s="15" t="s">
        <v>24</v>
      </c>
      <c r="D672" s="68">
        <v>3591</v>
      </c>
      <c r="E672" s="15" t="s">
        <v>802</v>
      </c>
      <c r="F672" s="130" t="s">
        <v>755</v>
      </c>
      <c r="G672" s="67">
        <v>3616</v>
      </c>
      <c r="H672" s="66" t="s">
        <v>727</v>
      </c>
      <c r="I672" s="66" t="s">
        <v>729</v>
      </c>
      <c r="J672" s="1984" t="s">
        <v>57</v>
      </c>
      <c r="K672" s="31" t="s">
        <v>58</v>
      </c>
      <c r="L672" s="149">
        <v>0.6</v>
      </c>
      <c r="M672" s="35"/>
      <c r="N672" s="184" t="s">
        <v>805</v>
      </c>
      <c r="O672" s="184"/>
      <c r="P672" s="62">
        <v>1</v>
      </c>
      <c r="Q672" s="128">
        <v>0.1</v>
      </c>
      <c r="R672" s="62"/>
      <c r="S672" s="66">
        <f t="shared" si="30"/>
        <v>0</v>
      </c>
      <c r="T672" s="67">
        <f t="shared" si="31"/>
        <v>0</v>
      </c>
      <c r="U672" s="66" t="s">
        <v>34</v>
      </c>
      <c r="V672" s="430"/>
      <c r="W672" s="66"/>
    </row>
    <row r="673" spans="1:23" ht="23.4" x14ac:dyDescent="0.45">
      <c r="A673" s="1">
        <f t="shared" si="32"/>
        <v>672</v>
      </c>
      <c r="B673" s="15" t="s">
        <v>23</v>
      </c>
      <c r="C673" s="15" t="s">
        <v>24</v>
      </c>
      <c r="D673" s="68">
        <v>3591</v>
      </c>
      <c r="E673" s="15" t="s">
        <v>802</v>
      </c>
      <c r="F673" s="130" t="s">
        <v>755</v>
      </c>
      <c r="G673" s="67">
        <v>3616</v>
      </c>
      <c r="H673" s="66" t="s">
        <v>727</v>
      </c>
      <c r="I673" s="66" t="s">
        <v>729</v>
      </c>
      <c r="J673" s="1984" t="s">
        <v>57</v>
      </c>
      <c r="K673" s="31" t="s">
        <v>58</v>
      </c>
      <c r="L673" s="149">
        <v>0.6</v>
      </c>
      <c r="M673" s="35"/>
      <c r="N673" s="184" t="s">
        <v>759</v>
      </c>
      <c r="O673" s="184"/>
      <c r="P673" s="62">
        <v>1</v>
      </c>
      <c r="Q673" s="128">
        <v>0.05</v>
      </c>
      <c r="R673" s="62"/>
      <c r="S673" s="66">
        <f t="shared" si="30"/>
        <v>0</v>
      </c>
      <c r="T673" s="67">
        <f t="shared" si="31"/>
        <v>0</v>
      </c>
      <c r="U673" s="66" t="s">
        <v>34</v>
      </c>
      <c r="V673" s="430"/>
      <c r="W673" s="66"/>
    </row>
    <row r="674" spans="1:23" ht="23.4" x14ac:dyDescent="0.45">
      <c r="A674" s="1">
        <f t="shared" si="32"/>
        <v>673</v>
      </c>
      <c r="B674" s="15" t="s">
        <v>23</v>
      </c>
      <c r="C674" s="15" t="s">
        <v>24</v>
      </c>
      <c r="D674" s="68">
        <v>3591</v>
      </c>
      <c r="E674" s="15" t="s">
        <v>802</v>
      </c>
      <c r="F674" s="130" t="s">
        <v>755</v>
      </c>
      <c r="G674" s="67">
        <v>3616</v>
      </c>
      <c r="H674" s="66" t="s">
        <v>727</v>
      </c>
      <c r="I674" s="66" t="s">
        <v>729</v>
      </c>
      <c r="J674" s="1984" t="s">
        <v>57</v>
      </c>
      <c r="K674" s="31" t="s">
        <v>58</v>
      </c>
      <c r="L674" s="149">
        <v>0.6</v>
      </c>
      <c r="M674" s="35"/>
      <c r="N674" s="184" t="s">
        <v>806</v>
      </c>
      <c r="O674" s="184"/>
      <c r="P674" s="62">
        <v>1</v>
      </c>
      <c r="Q674" s="128">
        <v>0.05</v>
      </c>
      <c r="R674" s="62"/>
      <c r="S674" s="66">
        <f t="shared" si="30"/>
        <v>0</v>
      </c>
      <c r="T674" s="67">
        <f t="shared" si="31"/>
        <v>0</v>
      </c>
      <c r="U674" s="66" t="s">
        <v>34</v>
      </c>
      <c r="V674" s="430"/>
      <c r="W674" s="66"/>
    </row>
    <row r="675" spans="1:23" ht="23.4" x14ac:dyDescent="0.45">
      <c r="A675" s="1">
        <f t="shared" si="32"/>
        <v>674</v>
      </c>
      <c r="B675" s="15" t="s">
        <v>23</v>
      </c>
      <c r="C675" s="15" t="s">
        <v>24</v>
      </c>
      <c r="D675" s="68">
        <v>3591</v>
      </c>
      <c r="E675" s="15" t="s">
        <v>802</v>
      </c>
      <c r="F675" s="130" t="s">
        <v>755</v>
      </c>
      <c r="G675" s="67">
        <v>3616</v>
      </c>
      <c r="H675" s="66" t="s">
        <v>727</v>
      </c>
      <c r="I675" s="66" t="s">
        <v>729</v>
      </c>
      <c r="J675" s="1984" t="s">
        <v>57</v>
      </c>
      <c r="K675" s="31" t="s">
        <v>58</v>
      </c>
      <c r="L675" s="149">
        <v>0.6</v>
      </c>
      <c r="M675" s="35"/>
      <c r="N675" s="184" t="s">
        <v>807</v>
      </c>
      <c r="O675" s="184"/>
      <c r="P675" s="62">
        <v>1</v>
      </c>
      <c r="Q675" s="128">
        <v>0.05</v>
      </c>
      <c r="R675" s="62"/>
      <c r="S675" s="66">
        <f t="shared" si="30"/>
        <v>0</v>
      </c>
      <c r="T675" s="67">
        <f t="shared" si="31"/>
        <v>0</v>
      </c>
      <c r="U675" s="66" t="s">
        <v>34</v>
      </c>
      <c r="V675" s="430"/>
      <c r="W675" s="66"/>
    </row>
    <row r="676" spans="1:23" ht="23.4" x14ac:dyDescent="0.45">
      <c r="A676" s="1">
        <f t="shared" si="32"/>
        <v>675</v>
      </c>
      <c r="B676" s="15" t="s">
        <v>23</v>
      </c>
      <c r="C676" s="15" t="s">
        <v>24</v>
      </c>
      <c r="D676" s="68">
        <v>3591</v>
      </c>
      <c r="E676" s="15" t="s">
        <v>802</v>
      </c>
      <c r="F676" s="130" t="s">
        <v>755</v>
      </c>
      <c r="G676" s="67">
        <v>3616</v>
      </c>
      <c r="H676" s="66" t="s">
        <v>727</v>
      </c>
      <c r="I676" s="66" t="s">
        <v>729</v>
      </c>
      <c r="J676" s="1984" t="s">
        <v>57</v>
      </c>
      <c r="K676" s="31" t="s">
        <v>58</v>
      </c>
      <c r="L676" s="149">
        <v>0.6</v>
      </c>
      <c r="M676" s="35"/>
      <c r="N676" s="184" t="s">
        <v>731</v>
      </c>
      <c r="O676" s="184"/>
      <c r="P676" s="62">
        <v>1</v>
      </c>
      <c r="Q676" s="128">
        <v>0.05</v>
      </c>
      <c r="R676" s="62"/>
      <c r="S676" s="66">
        <f t="shared" si="30"/>
        <v>0</v>
      </c>
      <c r="T676" s="67">
        <f t="shared" si="31"/>
        <v>0</v>
      </c>
      <c r="U676" s="66" t="s">
        <v>34</v>
      </c>
      <c r="V676" s="430"/>
      <c r="W676" s="66"/>
    </row>
    <row r="677" spans="1:23" ht="23.4" x14ac:dyDescent="0.45">
      <c r="A677" s="1">
        <f t="shared" si="32"/>
        <v>676</v>
      </c>
      <c r="B677" s="15" t="s">
        <v>23</v>
      </c>
      <c r="C677" s="15" t="s">
        <v>24</v>
      </c>
      <c r="D677" s="68">
        <v>3591</v>
      </c>
      <c r="E677" s="15" t="s">
        <v>802</v>
      </c>
      <c r="F677" s="130" t="s">
        <v>755</v>
      </c>
      <c r="G677" s="67">
        <v>3616</v>
      </c>
      <c r="H677" s="66" t="s">
        <v>727</v>
      </c>
      <c r="I677" s="66" t="s">
        <v>729</v>
      </c>
      <c r="J677" s="1984" t="s">
        <v>57</v>
      </c>
      <c r="K677" s="31" t="s">
        <v>58</v>
      </c>
      <c r="L677" s="149">
        <v>0.6</v>
      </c>
      <c r="M677" s="35"/>
      <c r="N677" s="184" t="s">
        <v>761</v>
      </c>
      <c r="O677" s="184"/>
      <c r="P677" s="62">
        <v>1</v>
      </c>
      <c r="Q677" s="128">
        <v>0.1</v>
      </c>
      <c r="R677" s="62"/>
      <c r="S677" s="66">
        <f t="shared" si="30"/>
        <v>0</v>
      </c>
      <c r="T677" s="67">
        <f t="shared" si="31"/>
        <v>0</v>
      </c>
      <c r="U677" s="66" t="s">
        <v>34</v>
      </c>
      <c r="V677" s="430"/>
      <c r="W677" s="66"/>
    </row>
    <row r="678" spans="1:23" ht="23.4" x14ac:dyDescent="0.45">
      <c r="A678" s="1">
        <f t="shared" si="32"/>
        <v>677</v>
      </c>
      <c r="B678" s="15" t="s">
        <v>23</v>
      </c>
      <c r="C678" s="15" t="s">
        <v>24</v>
      </c>
      <c r="D678" s="68">
        <v>3591</v>
      </c>
      <c r="E678" s="15" t="s">
        <v>802</v>
      </c>
      <c r="F678" s="130" t="s">
        <v>755</v>
      </c>
      <c r="G678" s="67">
        <v>3616</v>
      </c>
      <c r="H678" s="66" t="s">
        <v>727</v>
      </c>
      <c r="I678" s="66" t="s">
        <v>729</v>
      </c>
      <c r="J678" s="1984" t="s">
        <v>57</v>
      </c>
      <c r="K678" s="31" t="s">
        <v>58</v>
      </c>
      <c r="L678" s="149">
        <v>0.6</v>
      </c>
      <c r="M678" s="35"/>
      <c r="N678" s="184" t="s">
        <v>808</v>
      </c>
      <c r="O678" s="184"/>
      <c r="P678" s="62">
        <v>1</v>
      </c>
      <c r="Q678" s="128">
        <v>0.05</v>
      </c>
      <c r="R678" s="62"/>
      <c r="S678" s="66">
        <f t="shared" si="30"/>
        <v>0</v>
      </c>
      <c r="T678" s="67">
        <f t="shared" si="31"/>
        <v>0</v>
      </c>
      <c r="U678" s="66" t="s">
        <v>34</v>
      </c>
      <c r="V678" s="430"/>
      <c r="W678" s="66"/>
    </row>
    <row r="679" spans="1:23" ht="23.4" x14ac:dyDescent="0.45">
      <c r="A679" s="1">
        <f t="shared" si="32"/>
        <v>678</v>
      </c>
      <c r="B679" s="15" t="s">
        <v>23</v>
      </c>
      <c r="C679" s="15" t="s">
        <v>24</v>
      </c>
      <c r="D679" s="68">
        <v>3591</v>
      </c>
      <c r="E679" s="15" t="s">
        <v>802</v>
      </c>
      <c r="F679" s="130" t="s">
        <v>755</v>
      </c>
      <c r="G679" s="67">
        <v>3616</v>
      </c>
      <c r="H679" s="66" t="s">
        <v>727</v>
      </c>
      <c r="I679" s="66" t="s">
        <v>729</v>
      </c>
      <c r="J679" s="1984" t="s">
        <v>57</v>
      </c>
      <c r="K679" s="31" t="s">
        <v>58</v>
      </c>
      <c r="L679" s="149">
        <v>0.6</v>
      </c>
      <c r="M679" s="35"/>
      <c r="N679" s="184" t="s">
        <v>763</v>
      </c>
      <c r="O679" s="184"/>
      <c r="P679" s="62">
        <v>1</v>
      </c>
      <c r="Q679" s="128">
        <v>0.05</v>
      </c>
      <c r="R679" s="62"/>
      <c r="S679" s="66">
        <f t="shared" si="30"/>
        <v>0</v>
      </c>
      <c r="T679" s="67">
        <f t="shared" si="31"/>
        <v>0</v>
      </c>
      <c r="U679" s="66" t="s">
        <v>34</v>
      </c>
      <c r="V679" s="430"/>
      <c r="W679" s="66"/>
    </row>
    <row r="680" spans="1:23" ht="23.4" x14ac:dyDescent="0.45">
      <c r="A680" s="1">
        <f t="shared" si="32"/>
        <v>679</v>
      </c>
      <c r="B680" s="15" t="s">
        <v>23</v>
      </c>
      <c r="C680" s="15" t="s">
        <v>24</v>
      </c>
      <c r="D680" s="68">
        <v>3591</v>
      </c>
      <c r="E680" s="15" t="s">
        <v>802</v>
      </c>
      <c r="F680" s="130" t="s">
        <v>755</v>
      </c>
      <c r="G680" s="67">
        <v>3616</v>
      </c>
      <c r="H680" s="66" t="s">
        <v>727</v>
      </c>
      <c r="I680" s="66" t="s">
        <v>729</v>
      </c>
      <c r="J680" s="1984" t="s">
        <v>57</v>
      </c>
      <c r="K680" s="31" t="s">
        <v>58</v>
      </c>
      <c r="L680" s="149">
        <v>0.6</v>
      </c>
      <c r="M680" s="35"/>
      <c r="N680" s="184" t="s">
        <v>809</v>
      </c>
      <c r="O680" s="184"/>
      <c r="P680" s="62">
        <v>1</v>
      </c>
      <c r="Q680" s="128">
        <v>0.05</v>
      </c>
      <c r="R680" s="62"/>
      <c r="S680" s="66">
        <f t="shared" si="30"/>
        <v>0</v>
      </c>
      <c r="T680" s="67">
        <f t="shared" si="31"/>
        <v>0</v>
      </c>
      <c r="U680" s="66" t="s">
        <v>34</v>
      </c>
      <c r="V680" s="430"/>
      <c r="W680" s="66"/>
    </row>
    <row r="681" spans="1:23" ht="23.4" x14ac:dyDescent="0.45">
      <c r="A681" s="1">
        <f t="shared" si="32"/>
        <v>680</v>
      </c>
      <c r="B681" s="15" t="s">
        <v>23</v>
      </c>
      <c r="C681" s="15" t="s">
        <v>24</v>
      </c>
      <c r="D681" s="68">
        <v>3591</v>
      </c>
      <c r="E681" s="15" t="s">
        <v>802</v>
      </c>
      <c r="F681" s="130" t="s">
        <v>755</v>
      </c>
      <c r="G681" s="67">
        <v>3616</v>
      </c>
      <c r="H681" s="66" t="s">
        <v>727</v>
      </c>
      <c r="I681" s="66" t="s">
        <v>729</v>
      </c>
      <c r="J681" s="1984" t="s">
        <v>57</v>
      </c>
      <c r="K681" s="31" t="s">
        <v>58</v>
      </c>
      <c r="L681" s="149">
        <v>0.6</v>
      </c>
      <c r="M681" s="35"/>
      <c r="N681" s="184" t="s">
        <v>810</v>
      </c>
      <c r="O681" s="184"/>
      <c r="P681" s="62">
        <v>1</v>
      </c>
      <c r="Q681" s="128">
        <v>0.05</v>
      </c>
      <c r="R681" s="62"/>
      <c r="S681" s="66">
        <f t="shared" si="30"/>
        <v>0</v>
      </c>
      <c r="T681" s="67">
        <f t="shared" si="31"/>
        <v>0</v>
      </c>
      <c r="U681" s="66" t="s">
        <v>34</v>
      </c>
      <c r="V681" s="430"/>
      <c r="W681" s="66"/>
    </row>
    <row r="682" spans="1:23" ht="23.4" x14ac:dyDescent="0.45">
      <c r="A682" s="1">
        <f t="shared" si="32"/>
        <v>681</v>
      </c>
      <c r="B682" s="15" t="s">
        <v>23</v>
      </c>
      <c r="C682" s="15" t="s">
        <v>24</v>
      </c>
      <c r="D682" s="68">
        <v>3591</v>
      </c>
      <c r="E682" s="15" t="s">
        <v>802</v>
      </c>
      <c r="F682" s="130" t="s">
        <v>755</v>
      </c>
      <c r="G682" s="67">
        <v>3616</v>
      </c>
      <c r="H682" s="66" t="s">
        <v>727</v>
      </c>
      <c r="I682" s="66" t="s">
        <v>729</v>
      </c>
      <c r="J682" s="1984" t="s">
        <v>57</v>
      </c>
      <c r="K682" s="31" t="s">
        <v>58</v>
      </c>
      <c r="L682" s="149">
        <v>0.6</v>
      </c>
      <c r="M682" s="35"/>
      <c r="N682" s="184" t="s">
        <v>811</v>
      </c>
      <c r="O682" s="184"/>
      <c r="P682" s="62">
        <v>1</v>
      </c>
      <c r="Q682" s="128">
        <v>0.05</v>
      </c>
      <c r="R682" s="62"/>
      <c r="S682" s="66">
        <f t="shared" si="30"/>
        <v>0</v>
      </c>
      <c r="T682" s="67">
        <f t="shared" si="31"/>
        <v>0</v>
      </c>
      <c r="U682" s="66" t="s">
        <v>34</v>
      </c>
      <c r="V682" s="430"/>
      <c r="W682" s="66"/>
    </row>
    <row r="683" spans="1:23" ht="23.4" x14ac:dyDescent="0.45">
      <c r="A683" s="1">
        <f t="shared" si="32"/>
        <v>682</v>
      </c>
      <c r="B683" s="15" t="s">
        <v>23</v>
      </c>
      <c r="C683" s="15" t="s">
        <v>24</v>
      </c>
      <c r="D683" s="68">
        <v>3591</v>
      </c>
      <c r="E683" s="15" t="s">
        <v>802</v>
      </c>
      <c r="F683" s="130" t="s">
        <v>755</v>
      </c>
      <c r="G683" s="67">
        <v>3616</v>
      </c>
      <c r="H683" s="66" t="s">
        <v>727</v>
      </c>
      <c r="I683" s="66" t="s">
        <v>729</v>
      </c>
      <c r="J683" s="1984" t="s">
        <v>57</v>
      </c>
      <c r="K683" s="31" t="s">
        <v>58</v>
      </c>
      <c r="L683" s="149">
        <v>0.6</v>
      </c>
      <c r="M683" s="35"/>
      <c r="N683" s="184" t="s">
        <v>764</v>
      </c>
      <c r="O683" s="184"/>
      <c r="P683" s="62">
        <v>1</v>
      </c>
      <c r="Q683" s="128">
        <v>0.1</v>
      </c>
      <c r="R683" s="62"/>
      <c r="S683" s="66">
        <f t="shared" si="30"/>
        <v>0</v>
      </c>
      <c r="T683" s="67">
        <f t="shared" si="31"/>
        <v>0</v>
      </c>
      <c r="U683" s="66" t="s">
        <v>34</v>
      </c>
      <c r="V683" s="430"/>
      <c r="W683" s="66"/>
    </row>
    <row r="684" spans="1:23" ht="23.4" x14ac:dyDescent="0.45">
      <c r="A684" s="1">
        <f t="shared" si="32"/>
        <v>683</v>
      </c>
      <c r="B684" s="15" t="s">
        <v>23</v>
      </c>
      <c r="C684" s="15" t="s">
        <v>24</v>
      </c>
      <c r="D684" s="68">
        <v>3591</v>
      </c>
      <c r="E684" s="15" t="s">
        <v>802</v>
      </c>
      <c r="F684" s="130" t="s">
        <v>755</v>
      </c>
      <c r="G684" s="67">
        <v>3616</v>
      </c>
      <c r="H684" s="66" t="s">
        <v>727</v>
      </c>
      <c r="I684" s="66" t="s">
        <v>729</v>
      </c>
      <c r="J684" s="1984" t="s">
        <v>57</v>
      </c>
      <c r="K684" s="31" t="s">
        <v>58</v>
      </c>
      <c r="L684" s="149">
        <v>0.6</v>
      </c>
      <c r="M684" s="35"/>
      <c r="N684" s="184" t="s">
        <v>812</v>
      </c>
      <c r="O684" s="184"/>
      <c r="P684" s="62">
        <v>1</v>
      </c>
      <c r="Q684" s="128">
        <v>0.05</v>
      </c>
      <c r="R684" s="62"/>
      <c r="S684" s="66">
        <f t="shared" si="30"/>
        <v>0</v>
      </c>
      <c r="T684" s="67">
        <f t="shared" si="31"/>
        <v>0</v>
      </c>
      <c r="U684" s="66" t="s">
        <v>34</v>
      </c>
      <c r="V684" s="430"/>
      <c r="W684" s="66"/>
    </row>
    <row r="685" spans="1:23" ht="23.4" x14ac:dyDescent="0.45">
      <c r="A685" s="1">
        <f t="shared" si="32"/>
        <v>684</v>
      </c>
      <c r="B685" s="15" t="s">
        <v>23</v>
      </c>
      <c r="C685" s="15" t="s">
        <v>24</v>
      </c>
      <c r="D685" s="68">
        <v>3591</v>
      </c>
      <c r="E685" s="15" t="s">
        <v>802</v>
      </c>
      <c r="F685" s="169" t="s">
        <v>755</v>
      </c>
      <c r="G685" s="46">
        <v>3616</v>
      </c>
      <c r="H685" s="28" t="s">
        <v>727</v>
      </c>
      <c r="I685" s="28" t="s">
        <v>729</v>
      </c>
      <c r="J685" s="1983" t="s">
        <v>110</v>
      </c>
      <c r="K685" s="20" t="s">
        <v>111</v>
      </c>
      <c r="L685" s="21">
        <v>0.4</v>
      </c>
      <c r="M685" s="28"/>
      <c r="N685" s="16" t="s">
        <v>255</v>
      </c>
      <c r="O685" s="16"/>
      <c r="P685" s="28">
        <v>1</v>
      </c>
      <c r="Q685" s="47">
        <v>0.05</v>
      </c>
      <c r="R685" s="28"/>
      <c r="S685" s="28">
        <f t="shared" si="30"/>
        <v>0</v>
      </c>
      <c r="T685" s="46">
        <f t="shared" si="31"/>
        <v>0</v>
      </c>
      <c r="U685" s="28" t="s">
        <v>34</v>
      </c>
      <c r="V685" s="71"/>
      <c r="W685" s="28"/>
    </row>
    <row r="686" spans="1:23" ht="23.4" x14ac:dyDescent="0.45">
      <c r="A686" s="1">
        <f t="shared" si="32"/>
        <v>685</v>
      </c>
      <c r="B686" s="15" t="s">
        <v>23</v>
      </c>
      <c r="C686" s="15" t="s">
        <v>24</v>
      </c>
      <c r="D686" s="68">
        <v>3591</v>
      </c>
      <c r="E686" s="15" t="s">
        <v>802</v>
      </c>
      <c r="F686" s="169" t="s">
        <v>755</v>
      </c>
      <c r="G686" s="46">
        <v>3616</v>
      </c>
      <c r="H686" s="28" t="s">
        <v>727</v>
      </c>
      <c r="I686" s="28" t="s">
        <v>729</v>
      </c>
      <c r="J686" s="1983" t="s">
        <v>110</v>
      </c>
      <c r="K686" s="20" t="s">
        <v>111</v>
      </c>
      <c r="L686" s="21">
        <v>0.4</v>
      </c>
      <c r="M686" s="28"/>
      <c r="N686" s="16" t="s">
        <v>768</v>
      </c>
      <c r="O686" s="16"/>
      <c r="P686" s="28">
        <v>1</v>
      </c>
      <c r="Q686" s="47">
        <v>0.05</v>
      </c>
      <c r="R686" s="28"/>
      <c r="S686" s="28">
        <f t="shared" si="30"/>
        <v>0</v>
      </c>
      <c r="T686" s="46">
        <f t="shared" si="31"/>
        <v>0</v>
      </c>
      <c r="U686" s="28" t="s">
        <v>34</v>
      </c>
      <c r="V686" s="71"/>
      <c r="W686" s="28"/>
    </row>
    <row r="687" spans="1:23" ht="23.4" x14ac:dyDescent="0.45">
      <c r="A687" s="1">
        <f t="shared" si="32"/>
        <v>686</v>
      </c>
      <c r="B687" s="15" t="s">
        <v>23</v>
      </c>
      <c r="C687" s="15" t="s">
        <v>24</v>
      </c>
      <c r="D687" s="68">
        <v>3591</v>
      </c>
      <c r="E687" s="15" t="s">
        <v>802</v>
      </c>
      <c r="F687" s="169" t="s">
        <v>755</v>
      </c>
      <c r="G687" s="46">
        <v>3616</v>
      </c>
      <c r="H687" s="28" t="s">
        <v>727</v>
      </c>
      <c r="I687" s="28" t="s">
        <v>729</v>
      </c>
      <c r="J687" s="1983" t="s">
        <v>110</v>
      </c>
      <c r="K687" s="20" t="s">
        <v>111</v>
      </c>
      <c r="L687" s="21">
        <v>0.4</v>
      </c>
      <c r="M687" s="28"/>
      <c r="N687" s="16" t="s">
        <v>769</v>
      </c>
      <c r="O687" s="16"/>
      <c r="P687" s="28">
        <v>1</v>
      </c>
      <c r="Q687" s="47">
        <v>0.05</v>
      </c>
      <c r="R687" s="28"/>
      <c r="S687" s="28">
        <f t="shared" si="30"/>
        <v>0</v>
      </c>
      <c r="T687" s="46">
        <f t="shared" si="31"/>
        <v>0</v>
      </c>
      <c r="U687" s="28" t="s">
        <v>34</v>
      </c>
      <c r="V687" s="71"/>
      <c r="W687" s="28"/>
    </row>
    <row r="688" spans="1:23" ht="23.4" x14ac:dyDescent="0.45">
      <c r="A688" s="1">
        <f t="shared" si="32"/>
        <v>687</v>
      </c>
      <c r="B688" s="15" t="s">
        <v>23</v>
      </c>
      <c r="C688" s="15" t="s">
        <v>24</v>
      </c>
      <c r="D688" s="68">
        <v>3591</v>
      </c>
      <c r="E688" s="15" t="s">
        <v>802</v>
      </c>
      <c r="F688" s="169" t="s">
        <v>755</v>
      </c>
      <c r="G688" s="46">
        <v>3616</v>
      </c>
      <c r="H688" s="28" t="s">
        <v>727</v>
      </c>
      <c r="I688" s="28" t="s">
        <v>729</v>
      </c>
      <c r="J688" s="1983" t="s">
        <v>110</v>
      </c>
      <c r="K688" s="20" t="s">
        <v>111</v>
      </c>
      <c r="L688" s="21">
        <v>0.4</v>
      </c>
      <c r="M688" s="28"/>
      <c r="N688" s="16" t="s">
        <v>770</v>
      </c>
      <c r="O688" s="16"/>
      <c r="P688" s="28">
        <v>1</v>
      </c>
      <c r="Q688" s="47">
        <v>0.1</v>
      </c>
      <c r="R688" s="28"/>
      <c r="S688" s="28">
        <f t="shared" si="30"/>
        <v>0</v>
      </c>
      <c r="T688" s="46">
        <f t="shared" si="31"/>
        <v>0</v>
      </c>
      <c r="U688" s="28" t="s">
        <v>34</v>
      </c>
      <c r="V688" s="71"/>
      <c r="W688" s="28"/>
    </row>
    <row r="689" spans="1:23" ht="23.4" x14ac:dyDescent="0.45">
      <c r="A689" s="1">
        <f t="shared" si="32"/>
        <v>688</v>
      </c>
      <c r="B689" s="15" t="s">
        <v>23</v>
      </c>
      <c r="C689" s="15" t="s">
        <v>24</v>
      </c>
      <c r="D689" s="68">
        <v>3591</v>
      </c>
      <c r="E689" s="15" t="s">
        <v>802</v>
      </c>
      <c r="F689" s="169" t="s">
        <v>755</v>
      </c>
      <c r="G689" s="46">
        <v>3616</v>
      </c>
      <c r="H689" s="28" t="s">
        <v>727</v>
      </c>
      <c r="I689" s="28" t="s">
        <v>729</v>
      </c>
      <c r="J689" s="1983" t="s">
        <v>110</v>
      </c>
      <c r="K689" s="20" t="s">
        <v>111</v>
      </c>
      <c r="L689" s="21">
        <v>0.4</v>
      </c>
      <c r="M689" s="28"/>
      <c r="N689" s="16" t="s">
        <v>254</v>
      </c>
      <c r="O689" s="16"/>
      <c r="P689" s="28">
        <v>1</v>
      </c>
      <c r="Q689" s="47">
        <v>0.05</v>
      </c>
      <c r="R689" s="28"/>
      <c r="S689" s="28">
        <f t="shared" si="30"/>
        <v>0</v>
      </c>
      <c r="T689" s="46">
        <f t="shared" si="31"/>
        <v>0</v>
      </c>
      <c r="U689" s="28" t="s">
        <v>34</v>
      </c>
      <c r="V689" s="71"/>
      <c r="W689" s="28"/>
    </row>
    <row r="690" spans="1:23" ht="23.4" x14ac:dyDescent="0.45">
      <c r="A690" s="1">
        <f t="shared" si="32"/>
        <v>689</v>
      </c>
      <c r="B690" s="15" t="s">
        <v>23</v>
      </c>
      <c r="C690" s="15" t="s">
        <v>24</v>
      </c>
      <c r="D690" s="68">
        <v>3591</v>
      </c>
      <c r="E690" s="15" t="s">
        <v>802</v>
      </c>
      <c r="F690" s="169" t="s">
        <v>755</v>
      </c>
      <c r="G690" s="46">
        <v>3616</v>
      </c>
      <c r="H690" s="28" t="s">
        <v>727</v>
      </c>
      <c r="I690" s="28" t="s">
        <v>729</v>
      </c>
      <c r="J690" s="1983" t="s">
        <v>110</v>
      </c>
      <c r="K690" s="20" t="s">
        <v>111</v>
      </c>
      <c r="L690" s="21">
        <v>0.4</v>
      </c>
      <c r="M690" s="28"/>
      <c r="N690" s="16" t="s">
        <v>771</v>
      </c>
      <c r="O690" s="16"/>
      <c r="P690" s="28">
        <v>1</v>
      </c>
      <c r="Q690" s="47">
        <v>0.05</v>
      </c>
      <c r="R690" s="28"/>
      <c r="S690" s="28">
        <f t="shared" si="30"/>
        <v>0</v>
      </c>
      <c r="T690" s="46">
        <f t="shared" si="31"/>
        <v>0</v>
      </c>
      <c r="U690" s="28" t="s">
        <v>34</v>
      </c>
      <c r="V690" s="71"/>
      <c r="W690" s="28"/>
    </row>
    <row r="691" spans="1:23" ht="23.4" x14ac:dyDescent="0.45">
      <c r="A691" s="1">
        <f t="shared" si="32"/>
        <v>690</v>
      </c>
      <c r="B691" s="15" t="s">
        <v>23</v>
      </c>
      <c r="C691" s="15" t="s">
        <v>24</v>
      </c>
      <c r="D691" s="68">
        <v>3591</v>
      </c>
      <c r="E691" s="15" t="s">
        <v>802</v>
      </c>
      <c r="F691" s="169" t="s">
        <v>755</v>
      </c>
      <c r="G691" s="46">
        <v>3616</v>
      </c>
      <c r="H691" s="28" t="s">
        <v>727</v>
      </c>
      <c r="I691" s="28" t="s">
        <v>729</v>
      </c>
      <c r="J691" s="1983" t="s">
        <v>110</v>
      </c>
      <c r="K691" s="20" t="s">
        <v>111</v>
      </c>
      <c r="L691" s="21">
        <v>0.4</v>
      </c>
      <c r="M691" s="28"/>
      <c r="N691" s="16" t="s">
        <v>772</v>
      </c>
      <c r="O691" s="16"/>
      <c r="P691" s="28">
        <v>1</v>
      </c>
      <c r="Q691" s="47">
        <v>0.1</v>
      </c>
      <c r="R691" s="28"/>
      <c r="S691" s="28">
        <f t="shared" si="30"/>
        <v>0</v>
      </c>
      <c r="T691" s="46">
        <f t="shared" si="31"/>
        <v>0</v>
      </c>
      <c r="U691" s="28" t="s">
        <v>34</v>
      </c>
      <c r="V691" s="71"/>
      <c r="W691" s="28"/>
    </row>
    <row r="692" spans="1:23" ht="23.4" x14ac:dyDescent="0.45">
      <c r="A692" s="1">
        <f t="shared" si="32"/>
        <v>691</v>
      </c>
      <c r="B692" s="15" t="s">
        <v>23</v>
      </c>
      <c r="C692" s="15" t="s">
        <v>24</v>
      </c>
      <c r="D692" s="68">
        <v>3591</v>
      </c>
      <c r="E692" s="15" t="s">
        <v>802</v>
      </c>
      <c r="F692" s="169" t="s">
        <v>755</v>
      </c>
      <c r="G692" s="46">
        <v>3616</v>
      </c>
      <c r="H692" s="28" t="s">
        <v>727</v>
      </c>
      <c r="I692" s="28" t="s">
        <v>729</v>
      </c>
      <c r="J692" s="1983" t="s">
        <v>110</v>
      </c>
      <c r="K692" s="20" t="s">
        <v>111</v>
      </c>
      <c r="L692" s="21">
        <v>0.4</v>
      </c>
      <c r="M692" s="28"/>
      <c r="N692" s="16" t="s">
        <v>773</v>
      </c>
      <c r="O692" s="16"/>
      <c r="P692" s="28">
        <v>1</v>
      </c>
      <c r="Q692" s="47">
        <v>0.1</v>
      </c>
      <c r="R692" s="28"/>
      <c r="S692" s="28">
        <f t="shared" si="30"/>
        <v>0</v>
      </c>
      <c r="T692" s="46">
        <f t="shared" si="31"/>
        <v>0</v>
      </c>
      <c r="U692" s="28" t="s">
        <v>34</v>
      </c>
      <c r="V692" s="71"/>
      <c r="W692" s="28"/>
    </row>
    <row r="693" spans="1:23" ht="23.4" x14ac:dyDescent="0.45">
      <c r="A693" s="1">
        <f t="shared" si="32"/>
        <v>692</v>
      </c>
      <c r="B693" s="15" t="s">
        <v>23</v>
      </c>
      <c r="C693" s="15" t="s">
        <v>24</v>
      </c>
      <c r="D693" s="68">
        <v>3591</v>
      </c>
      <c r="E693" s="15" t="s">
        <v>802</v>
      </c>
      <c r="F693" s="169" t="s">
        <v>755</v>
      </c>
      <c r="G693" s="46">
        <v>3616</v>
      </c>
      <c r="H693" s="28" t="s">
        <v>727</v>
      </c>
      <c r="I693" s="28" t="s">
        <v>729</v>
      </c>
      <c r="J693" s="1983" t="s">
        <v>110</v>
      </c>
      <c r="K693" s="20" t="s">
        <v>111</v>
      </c>
      <c r="L693" s="21">
        <v>0.4</v>
      </c>
      <c r="M693" s="28"/>
      <c r="N693" s="16" t="s">
        <v>774</v>
      </c>
      <c r="O693" s="16"/>
      <c r="P693" s="28">
        <v>1</v>
      </c>
      <c r="Q693" s="47">
        <v>0.05</v>
      </c>
      <c r="R693" s="28"/>
      <c r="S693" s="28">
        <f t="shared" si="30"/>
        <v>0</v>
      </c>
      <c r="T693" s="46">
        <f t="shared" si="31"/>
        <v>0</v>
      </c>
      <c r="U693" s="28" t="s">
        <v>34</v>
      </c>
      <c r="V693" s="71"/>
      <c r="W693" s="28"/>
    </row>
    <row r="694" spans="1:23" ht="23.4" x14ac:dyDescent="0.45">
      <c r="A694" s="1">
        <f t="shared" si="32"/>
        <v>693</v>
      </c>
      <c r="B694" s="15" t="s">
        <v>23</v>
      </c>
      <c r="C694" s="15" t="s">
        <v>24</v>
      </c>
      <c r="D694" s="68">
        <v>3591</v>
      </c>
      <c r="E694" s="15" t="s">
        <v>802</v>
      </c>
      <c r="F694" s="169" t="s">
        <v>755</v>
      </c>
      <c r="G694" s="46">
        <v>3616</v>
      </c>
      <c r="H694" s="28" t="s">
        <v>727</v>
      </c>
      <c r="I694" s="28" t="s">
        <v>729</v>
      </c>
      <c r="J694" s="1983" t="s">
        <v>110</v>
      </c>
      <c r="K694" s="20" t="s">
        <v>111</v>
      </c>
      <c r="L694" s="21">
        <v>0.4</v>
      </c>
      <c r="M694" s="28"/>
      <c r="N694" s="16" t="s">
        <v>775</v>
      </c>
      <c r="O694" s="16"/>
      <c r="P694" s="28">
        <v>1</v>
      </c>
      <c r="Q694" s="47">
        <v>0.05</v>
      </c>
      <c r="R694" s="28"/>
      <c r="S694" s="28">
        <f t="shared" si="30"/>
        <v>0</v>
      </c>
      <c r="T694" s="46">
        <f t="shared" si="31"/>
        <v>0</v>
      </c>
      <c r="U694" s="28" t="s">
        <v>34</v>
      </c>
      <c r="V694" s="71"/>
      <c r="W694" s="28"/>
    </row>
    <row r="695" spans="1:23" ht="23.4" x14ac:dyDescent="0.45">
      <c r="A695" s="1">
        <f t="shared" si="32"/>
        <v>694</v>
      </c>
      <c r="B695" s="15" t="s">
        <v>23</v>
      </c>
      <c r="C695" s="15" t="s">
        <v>24</v>
      </c>
      <c r="D695" s="68">
        <v>3591</v>
      </c>
      <c r="E695" s="15" t="s">
        <v>802</v>
      </c>
      <c r="F695" s="169" t="s">
        <v>755</v>
      </c>
      <c r="G695" s="46">
        <v>3616</v>
      </c>
      <c r="H695" s="28" t="s">
        <v>727</v>
      </c>
      <c r="I695" s="28" t="s">
        <v>729</v>
      </c>
      <c r="J695" s="1983" t="s">
        <v>110</v>
      </c>
      <c r="K695" s="20" t="s">
        <v>111</v>
      </c>
      <c r="L695" s="21">
        <v>0.4</v>
      </c>
      <c r="M695" s="28"/>
      <c r="N695" s="16" t="s">
        <v>776</v>
      </c>
      <c r="O695" s="16"/>
      <c r="P695" s="28">
        <v>1</v>
      </c>
      <c r="Q695" s="47">
        <v>0.1</v>
      </c>
      <c r="R695" s="28"/>
      <c r="S695" s="28">
        <f t="shared" si="30"/>
        <v>0</v>
      </c>
      <c r="T695" s="46">
        <f t="shared" si="31"/>
        <v>0</v>
      </c>
      <c r="U695" s="28" t="s">
        <v>34</v>
      </c>
      <c r="V695" s="71"/>
      <c r="W695" s="28"/>
    </row>
    <row r="696" spans="1:23" ht="23.4" x14ac:dyDescent="0.45">
      <c r="A696" s="1">
        <f t="shared" si="32"/>
        <v>695</v>
      </c>
      <c r="B696" s="15" t="s">
        <v>23</v>
      </c>
      <c r="C696" s="15" t="s">
        <v>24</v>
      </c>
      <c r="D696" s="68">
        <v>3591</v>
      </c>
      <c r="E696" s="15" t="s">
        <v>802</v>
      </c>
      <c r="F696" s="169" t="s">
        <v>755</v>
      </c>
      <c r="G696" s="46">
        <v>3616</v>
      </c>
      <c r="H696" s="28" t="s">
        <v>727</v>
      </c>
      <c r="I696" s="28" t="s">
        <v>729</v>
      </c>
      <c r="J696" s="1983" t="s">
        <v>110</v>
      </c>
      <c r="K696" s="20" t="s">
        <v>111</v>
      </c>
      <c r="L696" s="21">
        <v>0.4</v>
      </c>
      <c r="M696" s="28"/>
      <c r="N696" s="16" t="s">
        <v>251</v>
      </c>
      <c r="O696" s="16"/>
      <c r="P696" s="28">
        <v>1</v>
      </c>
      <c r="Q696" s="47">
        <v>0.1</v>
      </c>
      <c r="R696" s="28"/>
      <c r="S696" s="28">
        <f t="shared" si="30"/>
        <v>0</v>
      </c>
      <c r="T696" s="46">
        <f t="shared" si="31"/>
        <v>0</v>
      </c>
      <c r="U696" s="28" t="s">
        <v>34</v>
      </c>
      <c r="V696" s="71"/>
      <c r="W696" s="28"/>
    </row>
    <row r="697" spans="1:23" ht="23.4" x14ac:dyDescent="0.45">
      <c r="A697" s="1">
        <f t="shared" si="32"/>
        <v>696</v>
      </c>
      <c r="B697" s="15" t="s">
        <v>23</v>
      </c>
      <c r="C697" s="15" t="s">
        <v>24</v>
      </c>
      <c r="D697" s="68">
        <v>3591</v>
      </c>
      <c r="E697" s="15" t="s">
        <v>802</v>
      </c>
      <c r="F697" s="169" t="s">
        <v>755</v>
      </c>
      <c r="G697" s="46">
        <v>3616</v>
      </c>
      <c r="H697" s="28" t="s">
        <v>727</v>
      </c>
      <c r="I697" s="28" t="s">
        <v>729</v>
      </c>
      <c r="J697" s="1983" t="s">
        <v>110</v>
      </c>
      <c r="K697" s="20" t="s">
        <v>111</v>
      </c>
      <c r="L697" s="21">
        <v>0.4</v>
      </c>
      <c r="M697" s="28"/>
      <c r="N697" s="16" t="s">
        <v>252</v>
      </c>
      <c r="O697" s="16"/>
      <c r="P697" s="28">
        <v>1</v>
      </c>
      <c r="Q697" s="47">
        <v>0.05</v>
      </c>
      <c r="R697" s="28"/>
      <c r="S697" s="28">
        <f t="shared" si="30"/>
        <v>0</v>
      </c>
      <c r="T697" s="46">
        <f t="shared" si="31"/>
        <v>0</v>
      </c>
      <c r="U697" s="28" t="s">
        <v>34</v>
      </c>
      <c r="V697" s="71"/>
      <c r="W697" s="28"/>
    </row>
    <row r="698" spans="1:23" ht="23.4" x14ac:dyDescent="0.45">
      <c r="A698" s="1">
        <f t="shared" si="32"/>
        <v>697</v>
      </c>
      <c r="B698" s="57" t="s">
        <v>23</v>
      </c>
      <c r="C698" s="57" t="s">
        <v>24</v>
      </c>
      <c r="D698" s="58">
        <v>3591</v>
      </c>
      <c r="E698" s="57" t="s">
        <v>802</v>
      </c>
      <c r="F698" s="169" t="s">
        <v>755</v>
      </c>
      <c r="G698" s="46">
        <v>3616</v>
      </c>
      <c r="H698" s="28" t="s">
        <v>727</v>
      </c>
      <c r="I698" s="28" t="s">
        <v>729</v>
      </c>
      <c r="J698" s="1983" t="s">
        <v>110</v>
      </c>
      <c r="K698" s="20" t="s">
        <v>111</v>
      </c>
      <c r="L698" s="21">
        <v>0.4</v>
      </c>
      <c r="M698" s="28"/>
      <c r="N698" s="16" t="s">
        <v>777</v>
      </c>
      <c r="O698" s="16"/>
      <c r="P698" s="28">
        <v>1</v>
      </c>
      <c r="Q698" s="47">
        <v>0.05</v>
      </c>
      <c r="R698" s="28"/>
      <c r="S698" s="28">
        <f t="shared" si="30"/>
        <v>0</v>
      </c>
      <c r="T698" s="46">
        <f t="shared" si="31"/>
        <v>0</v>
      </c>
      <c r="U698" s="28" t="s">
        <v>34</v>
      </c>
      <c r="V698" s="71"/>
      <c r="W698" s="28"/>
    </row>
    <row r="699" spans="1:23" ht="23.4" x14ac:dyDescent="0.45">
      <c r="A699" s="1">
        <f t="shared" si="32"/>
        <v>698</v>
      </c>
      <c r="B699" s="57" t="s">
        <v>23</v>
      </c>
      <c r="C699" s="57" t="s">
        <v>24</v>
      </c>
      <c r="D699" s="58">
        <v>3591</v>
      </c>
      <c r="E699" s="57" t="s">
        <v>802</v>
      </c>
      <c r="F699" s="169" t="s">
        <v>755</v>
      </c>
      <c r="G699" s="46">
        <v>3616</v>
      </c>
      <c r="H699" s="28" t="s">
        <v>727</v>
      </c>
      <c r="I699" s="28" t="s">
        <v>729</v>
      </c>
      <c r="J699" s="1983" t="s">
        <v>110</v>
      </c>
      <c r="K699" s="20" t="s">
        <v>111</v>
      </c>
      <c r="L699" s="21">
        <v>0.4</v>
      </c>
      <c r="M699" s="28"/>
      <c r="N699" s="16" t="s">
        <v>253</v>
      </c>
      <c r="O699" s="16"/>
      <c r="P699" s="28">
        <v>1</v>
      </c>
      <c r="Q699" s="47">
        <v>0.05</v>
      </c>
      <c r="R699" s="28"/>
      <c r="S699" s="28">
        <f t="shared" si="30"/>
        <v>0</v>
      </c>
      <c r="T699" s="46">
        <f t="shared" si="31"/>
        <v>0</v>
      </c>
      <c r="U699" s="28" t="s">
        <v>34</v>
      </c>
      <c r="V699" s="71"/>
      <c r="W699" s="28"/>
    </row>
    <row r="700" spans="1:23" ht="23.4" x14ac:dyDescent="0.45">
      <c r="A700" s="1">
        <f t="shared" si="32"/>
        <v>699</v>
      </c>
      <c r="B700" s="99" t="s">
        <v>23</v>
      </c>
      <c r="C700" s="99" t="s">
        <v>24</v>
      </c>
      <c r="D700" s="100">
        <v>4054</v>
      </c>
      <c r="E700" s="99" t="s">
        <v>813</v>
      </c>
      <c r="F700" s="167" t="s">
        <v>755</v>
      </c>
      <c r="G700" s="168">
        <v>3616</v>
      </c>
      <c r="H700" s="148" t="s">
        <v>727</v>
      </c>
      <c r="I700" s="148" t="s">
        <v>729</v>
      </c>
      <c r="J700" s="1995" t="s">
        <v>57</v>
      </c>
      <c r="K700" s="170" t="s">
        <v>58</v>
      </c>
      <c r="L700" s="104">
        <v>0.6</v>
      </c>
      <c r="M700" s="148"/>
      <c r="N700" s="91" t="s">
        <v>814</v>
      </c>
      <c r="O700" s="91"/>
      <c r="P700" s="148">
        <v>1</v>
      </c>
      <c r="Q700" s="98">
        <v>0.1</v>
      </c>
      <c r="R700" s="148"/>
      <c r="S700" s="148">
        <f t="shared" si="30"/>
        <v>0</v>
      </c>
      <c r="T700" s="168">
        <f t="shared" si="31"/>
        <v>0</v>
      </c>
      <c r="U700" s="148" t="s">
        <v>34</v>
      </c>
      <c r="V700" s="1960">
        <f>SUM(T700:T725)%</f>
        <v>0</v>
      </c>
      <c r="W700" s="148"/>
    </row>
    <row r="701" spans="1:23" ht="23.4" x14ac:dyDescent="0.45">
      <c r="A701" s="1">
        <f t="shared" si="32"/>
        <v>700</v>
      </c>
      <c r="B701" s="59" t="s">
        <v>23</v>
      </c>
      <c r="C701" s="59" t="s">
        <v>24</v>
      </c>
      <c r="D701" s="92">
        <v>4054</v>
      </c>
      <c r="E701" s="59" t="s">
        <v>813</v>
      </c>
      <c r="F701" s="151" t="s">
        <v>755</v>
      </c>
      <c r="G701" s="152">
        <v>3616</v>
      </c>
      <c r="H701" s="153" t="s">
        <v>727</v>
      </c>
      <c r="I701" s="153" t="s">
        <v>729</v>
      </c>
      <c r="J701" s="1996" t="s">
        <v>57</v>
      </c>
      <c r="K701" s="173" t="s">
        <v>58</v>
      </c>
      <c r="L701" s="63">
        <v>0.6</v>
      </c>
      <c r="M701" s="153"/>
      <c r="N701" s="64" t="s">
        <v>815</v>
      </c>
      <c r="O701" s="64"/>
      <c r="P701" s="153">
        <v>1</v>
      </c>
      <c r="Q701" s="81">
        <v>0.1</v>
      </c>
      <c r="R701" s="153"/>
      <c r="S701" s="153">
        <f t="shared" si="30"/>
        <v>0</v>
      </c>
      <c r="T701" s="152">
        <f t="shared" si="31"/>
        <v>0</v>
      </c>
      <c r="U701" s="153" t="s">
        <v>34</v>
      </c>
      <c r="V701" s="1970"/>
      <c r="W701" s="153"/>
    </row>
    <row r="702" spans="1:23" ht="23.4" x14ac:dyDescent="0.45">
      <c r="A702" s="1">
        <f t="shared" si="32"/>
        <v>701</v>
      </c>
      <c r="B702" s="59" t="s">
        <v>23</v>
      </c>
      <c r="C702" s="59" t="s">
        <v>24</v>
      </c>
      <c r="D702" s="92">
        <v>4054</v>
      </c>
      <c r="E702" s="59" t="s">
        <v>813</v>
      </c>
      <c r="F702" s="151" t="s">
        <v>755</v>
      </c>
      <c r="G702" s="152">
        <v>3616</v>
      </c>
      <c r="H702" s="153" t="s">
        <v>727</v>
      </c>
      <c r="I702" s="153" t="s">
        <v>729</v>
      </c>
      <c r="J702" s="1996" t="s">
        <v>57</v>
      </c>
      <c r="K702" s="173" t="s">
        <v>58</v>
      </c>
      <c r="L702" s="63">
        <v>0.6</v>
      </c>
      <c r="M702" s="153"/>
      <c r="N702" s="64" t="s">
        <v>816</v>
      </c>
      <c r="O702" s="64"/>
      <c r="P702" s="153">
        <v>1</v>
      </c>
      <c r="Q702" s="81">
        <v>0.05</v>
      </c>
      <c r="R702" s="153"/>
      <c r="S702" s="153">
        <f t="shared" si="30"/>
        <v>0</v>
      </c>
      <c r="T702" s="152">
        <f t="shared" si="31"/>
        <v>0</v>
      </c>
      <c r="U702" s="153" t="s">
        <v>34</v>
      </c>
      <c r="V702" s="1970"/>
      <c r="W702" s="153"/>
    </row>
    <row r="703" spans="1:23" ht="23.4" x14ac:dyDescent="0.45">
      <c r="A703" s="1">
        <f t="shared" si="32"/>
        <v>702</v>
      </c>
      <c r="B703" s="59" t="s">
        <v>23</v>
      </c>
      <c r="C703" s="59" t="s">
        <v>24</v>
      </c>
      <c r="D703" s="92">
        <v>4054</v>
      </c>
      <c r="E703" s="59" t="s">
        <v>813</v>
      </c>
      <c r="F703" s="151" t="s">
        <v>755</v>
      </c>
      <c r="G703" s="152">
        <v>3616</v>
      </c>
      <c r="H703" s="153" t="s">
        <v>727</v>
      </c>
      <c r="I703" s="153" t="s">
        <v>729</v>
      </c>
      <c r="J703" s="1996" t="s">
        <v>57</v>
      </c>
      <c r="K703" s="173" t="s">
        <v>58</v>
      </c>
      <c r="L703" s="63">
        <v>0.6</v>
      </c>
      <c r="M703" s="153"/>
      <c r="N703" s="64" t="s">
        <v>817</v>
      </c>
      <c r="O703" s="64"/>
      <c r="P703" s="153">
        <v>1</v>
      </c>
      <c r="Q703" s="81">
        <v>0.1</v>
      </c>
      <c r="R703" s="153"/>
      <c r="S703" s="153">
        <f t="shared" si="30"/>
        <v>0</v>
      </c>
      <c r="T703" s="152">
        <f t="shared" si="31"/>
        <v>0</v>
      </c>
      <c r="U703" s="153" t="s">
        <v>34</v>
      </c>
      <c r="V703" s="1970"/>
      <c r="W703" s="153"/>
    </row>
    <row r="704" spans="1:23" ht="23.4" x14ac:dyDescent="0.45">
      <c r="A704" s="1">
        <f t="shared" si="32"/>
        <v>703</v>
      </c>
      <c r="B704" s="59" t="s">
        <v>23</v>
      </c>
      <c r="C704" s="59" t="s">
        <v>24</v>
      </c>
      <c r="D704" s="92">
        <v>4054</v>
      </c>
      <c r="E704" s="59" t="s">
        <v>813</v>
      </c>
      <c r="F704" s="151" t="s">
        <v>755</v>
      </c>
      <c r="G704" s="152">
        <v>3616</v>
      </c>
      <c r="H704" s="153" t="s">
        <v>727</v>
      </c>
      <c r="I704" s="153" t="s">
        <v>729</v>
      </c>
      <c r="J704" s="1996" t="s">
        <v>57</v>
      </c>
      <c r="K704" s="173" t="s">
        <v>58</v>
      </c>
      <c r="L704" s="63">
        <v>0.6</v>
      </c>
      <c r="M704" s="153"/>
      <c r="N704" s="64" t="s">
        <v>818</v>
      </c>
      <c r="O704" s="64"/>
      <c r="P704" s="153">
        <v>1</v>
      </c>
      <c r="Q704" s="81">
        <v>0.1</v>
      </c>
      <c r="R704" s="153"/>
      <c r="S704" s="153">
        <f t="shared" si="30"/>
        <v>0</v>
      </c>
      <c r="T704" s="152">
        <f t="shared" si="31"/>
        <v>0</v>
      </c>
      <c r="U704" s="153" t="s">
        <v>34</v>
      </c>
      <c r="V704" s="1970"/>
      <c r="W704" s="153"/>
    </row>
    <row r="705" spans="1:23" ht="23.4" x14ac:dyDescent="0.45">
      <c r="A705" s="1">
        <f t="shared" si="32"/>
        <v>704</v>
      </c>
      <c r="B705" s="59" t="s">
        <v>23</v>
      </c>
      <c r="C705" s="59" t="s">
        <v>24</v>
      </c>
      <c r="D705" s="92">
        <v>4054</v>
      </c>
      <c r="E705" s="59" t="s">
        <v>813</v>
      </c>
      <c r="F705" s="151" t="s">
        <v>755</v>
      </c>
      <c r="G705" s="152">
        <v>3616</v>
      </c>
      <c r="H705" s="153" t="s">
        <v>727</v>
      </c>
      <c r="I705" s="153" t="s">
        <v>729</v>
      </c>
      <c r="J705" s="1996" t="s">
        <v>57</v>
      </c>
      <c r="K705" s="173" t="s">
        <v>58</v>
      </c>
      <c r="L705" s="63">
        <v>0.6</v>
      </c>
      <c r="M705" s="153"/>
      <c r="N705" s="64" t="s">
        <v>819</v>
      </c>
      <c r="O705" s="64"/>
      <c r="P705" s="153">
        <v>1</v>
      </c>
      <c r="Q705" s="81">
        <v>0.1</v>
      </c>
      <c r="R705" s="153"/>
      <c r="S705" s="153">
        <f t="shared" si="30"/>
        <v>0</v>
      </c>
      <c r="T705" s="152">
        <f t="shared" si="31"/>
        <v>0</v>
      </c>
      <c r="U705" s="153" t="s">
        <v>34</v>
      </c>
      <c r="V705" s="1970"/>
      <c r="W705" s="153"/>
    </row>
    <row r="706" spans="1:23" ht="23.4" x14ac:dyDescent="0.45">
      <c r="A706" s="1">
        <f t="shared" si="32"/>
        <v>705</v>
      </c>
      <c r="B706" s="59" t="s">
        <v>23</v>
      </c>
      <c r="C706" s="59" t="s">
        <v>24</v>
      </c>
      <c r="D706" s="92">
        <v>4054</v>
      </c>
      <c r="E706" s="59" t="s">
        <v>813</v>
      </c>
      <c r="F706" s="151" t="s">
        <v>755</v>
      </c>
      <c r="G706" s="152">
        <v>3616</v>
      </c>
      <c r="H706" s="153" t="s">
        <v>727</v>
      </c>
      <c r="I706" s="153" t="s">
        <v>729</v>
      </c>
      <c r="J706" s="1996" t="s">
        <v>57</v>
      </c>
      <c r="K706" s="173" t="s">
        <v>58</v>
      </c>
      <c r="L706" s="63">
        <v>0.6</v>
      </c>
      <c r="M706" s="153"/>
      <c r="N706" s="64" t="s">
        <v>820</v>
      </c>
      <c r="O706" s="64"/>
      <c r="P706" s="153">
        <v>1</v>
      </c>
      <c r="Q706" s="81">
        <v>0.1</v>
      </c>
      <c r="R706" s="153"/>
      <c r="S706" s="153">
        <f t="shared" ref="S706:S769" si="33">ROUND(IF(OR(P706="",R706=""),0,IF(AND(P706=0,R706=0),1,IF(U706="+",R706/P706,P706/R706))),2)</f>
        <v>0</v>
      </c>
      <c r="T706" s="152">
        <f t="shared" ref="T706:T769" si="34">IF(AND(S706&gt;=60%,S706&lt;100%),S706*((Q706*L706)),IF(S706=100%,((Q706*L706)*S706)*100%,IF(S706&gt;100%,((L706*Q706)*100%)*100%,0)))*100</f>
        <v>0</v>
      </c>
      <c r="U706" s="153" t="s">
        <v>34</v>
      </c>
      <c r="V706" s="1970"/>
      <c r="W706" s="153"/>
    </row>
    <row r="707" spans="1:23" ht="23.4" x14ac:dyDescent="0.45">
      <c r="A707" s="1">
        <f t="shared" si="32"/>
        <v>706</v>
      </c>
      <c r="B707" s="59" t="s">
        <v>23</v>
      </c>
      <c r="C707" s="59" t="s">
        <v>24</v>
      </c>
      <c r="D707" s="92">
        <v>4054</v>
      </c>
      <c r="E707" s="59" t="s">
        <v>813</v>
      </c>
      <c r="F707" s="151" t="s">
        <v>755</v>
      </c>
      <c r="G707" s="152">
        <v>3616</v>
      </c>
      <c r="H707" s="153" t="s">
        <v>727</v>
      </c>
      <c r="I707" s="153" t="s">
        <v>729</v>
      </c>
      <c r="J707" s="1996" t="s">
        <v>57</v>
      </c>
      <c r="K707" s="173" t="s">
        <v>58</v>
      </c>
      <c r="L707" s="63">
        <v>0.6</v>
      </c>
      <c r="M707" s="153"/>
      <c r="N707" s="64" t="s">
        <v>821</v>
      </c>
      <c r="O707" s="64"/>
      <c r="P707" s="153">
        <v>1</v>
      </c>
      <c r="Q707" s="81">
        <v>0.1</v>
      </c>
      <c r="R707" s="153"/>
      <c r="S707" s="153">
        <f t="shared" si="33"/>
        <v>0</v>
      </c>
      <c r="T707" s="152">
        <f t="shared" si="34"/>
        <v>0</v>
      </c>
      <c r="U707" s="153" t="s">
        <v>34</v>
      </c>
      <c r="V707" s="1970"/>
      <c r="W707" s="153"/>
    </row>
    <row r="708" spans="1:23" ht="23.4" x14ac:dyDescent="0.45">
      <c r="A708" s="1">
        <f t="shared" ref="A708:A771" si="35">ROW()-1</f>
        <v>707</v>
      </c>
      <c r="B708" s="59" t="s">
        <v>23</v>
      </c>
      <c r="C708" s="59" t="s">
        <v>24</v>
      </c>
      <c r="D708" s="92">
        <v>4054</v>
      </c>
      <c r="E708" s="59" t="s">
        <v>813</v>
      </c>
      <c r="F708" s="151" t="s">
        <v>755</v>
      </c>
      <c r="G708" s="152">
        <v>3616</v>
      </c>
      <c r="H708" s="153" t="s">
        <v>727</v>
      </c>
      <c r="I708" s="153" t="s">
        <v>729</v>
      </c>
      <c r="J708" s="1996" t="s">
        <v>57</v>
      </c>
      <c r="K708" s="173" t="s">
        <v>58</v>
      </c>
      <c r="L708" s="63">
        <v>0.6</v>
      </c>
      <c r="M708" s="153"/>
      <c r="N708" s="64" t="s">
        <v>822</v>
      </c>
      <c r="O708" s="64"/>
      <c r="P708" s="153">
        <v>1</v>
      </c>
      <c r="Q708" s="81">
        <v>0.1</v>
      </c>
      <c r="R708" s="153"/>
      <c r="S708" s="153">
        <f t="shared" si="33"/>
        <v>0</v>
      </c>
      <c r="T708" s="152">
        <f t="shared" si="34"/>
        <v>0</v>
      </c>
      <c r="U708" s="153" t="s">
        <v>34</v>
      </c>
      <c r="V708" s="1970"/>
      <c r="W708" s="153"/>
    </row>
    <row r="709" spans="1:23" ht="23.4" x14ac:dyDescent="0.45">
      <c r="A709" s="1">
        <f t="shared" si="35"/>
        <v>708</v>
      </c>
      <c r="B709" s="59" t="s">
        <v>23</v>
      </c>
      <c r="C709" s="59" t="s">
        <v>24</v>
      </c>
      <c r="D709" s="92">
        <v>4054</v>
      </c>
      <c r="E709" s="59" t="s">
        <v>813</v>
      </c>
      <c r="F709" s="151" t="s">
        <v>755</v>
      </c>
      <c r="G709" s="152">
        <v>3616</v>
      </c>
      <c r="H709" s="153" t="s">
        <v>727</v>
      </c>
      <c r="I709" s="153" t="s">
        <v>729</v>
      </c>
      <c r="J709" s="1996" t="s">
        <v>57</v>
      </c>
      <c r="K709" s="173" t="s">
        <v>58</v>
      </c>
      <c r="L709" s="63">
        <v>0.6</v>
      </c>
      <c r="M709" s="153"/>
      <c r="N709" s="64" t="s">
        <v>823</v>
      </c>
      <c r="O709" s="64"/>
      <c r="P709" s="153">
        <v>1</v>
      </c>
      <c r="Q709" s="81">
        <v>0.05</v>
      </c>
      <c r="R709" s="153"/>
      <c r="S709" s="153">
        <f t="shared" si="33"/>
        <v>0</v>
      </c>
      <c r="T709" s="152">
        <f t="shared" si="34"/>
        <v>0</v>
      </c>
      <c r="U709" s="153" t="s">
        <v>34</v>
      </c>
      <c r="V709" s="1970"/>
      <c r="W709" s="153"/>
    </row>
    <row r="710" spans="1:23" ht="23.4" x14ac:dyDescent="0.45">
      <c r="A710" s="1">
        <f t="shared" si="35"/>
        <v>709</v>
      </c>
      <c r="B710" s="59" t="s">
        <v>23</v>
      </c>
      <c r="C710" s="59" t="s">
        <v>24</v>
      </c>
      <c r="D710" s="92">
        <v>4054</v>
      </c>
      <c r="E710" s="59" t="s">
        <v>813</v>
      </c>
      <c r="F710" s="151" t="s">
        <v>755</v>
      </c>
      <c r="G710" s="152">
        <v>3616</v>
      </c>
      <c r="H710" s="153" t="s">
        <v>727</v>
      </c>
      <c r="I710" s="153" t="s">
        <v>729</v>
      </c>
      <c r="J710" s="1996" t="s">
        <v>57</v>
      </c>
      <c r="K710" s="173" t="s">
        <v>58</v>
      </c>
      <c r="L710" s="63">
        <v>0.6</v>
      </c>
      <c r="M710" s="153"/>
      <c r="N710" s="64" t="s">
        <v>824</v>
      </c>
      <c r="O710" s="64"/>
      <c r="P710" s="153">
        <v>1</v>
      </c>
      <c r="Q710" s="81">
        <v>0.1</v>
      </c>
      <c r="R710" s="153"/>
      <c r="S710" s="153">
        <f t="shared" si="33"/>
        <v>0</v>
      </c>
      <c r="T710" s="152">
        <f t="shared" si="34"/>
        <v>0</v>
      </c>
      <c r="U710" s="153" t="s">
        <v>34</v>
      </c>
      <c r="V710" s="1970"/>
      <c r="W710" s="153"/>
    </row>
    <row r="711" spans="1:23" ht="23.4" x14ac:dyDescent="0.45">
      <c r="A711" s="1">
        <f t="shared" si="35"/>
        <v>710</v>
      </c>
      <c r="B711" s="59" t="s">
        <v>23</v>
      </c>
      <c r="C711" s="59" t="s">
        <v>24</v>
      </c>
      <c r="D711" s="92">
        <v>4054</v>
      </c>
      <c r="E711" s="59" t="s">
        <v>813</v>
      </c>
      <c r="F711" s="166" t="s">
        <v>755</v>
      </c>
      <c r="G711" s="161">
        <v>3616</v>
      </c>
      <c r="H711" s="160" t="s">
        <v>727</v>
      </c>
      <c r="I711" s="160" t="s">
        <v>729</v>
      </c>
      <c r="J711" s="1994" t="s">
        <v>110</v>
      </c>
      <c r="K711" s="163" t="s">
        <v>111</v>
      </c>
      <c r="L711" s="175">
        <v>0.4</v>
      </c>
      <c r="M711" s="160"/>
      <c r="N711" s="357" t="s">
        <v>255</v>
      </c>
      <c r="O711" s="357"/>
      <c r="P711" s="160">
        <v>1</v>
      </c>
      <c r="Q711" s="159">
        <v>0.05</v>
      </c>
      <c r="R711" s="160"/>
      <c r="S711" s="160">
        <f t="shared" si="33"/>
        <v>0</v>
      </c>
      <c r="T711" s="161">
        <f t="shared" si="34"/>
        <v>0</v>
      </c>
      <c r="U711" s="160" t="s">
        <v>34</v>
      </c>
      <c r="V711" s="579"/>
      <c r="W711" s="160"/>
    </row>
    <row r="712" spans="1:23" ht="23.4" x14ac:dyDescent="0.45">
      <c r="A712" s="1">
        <f t="shared" si="35"/>
        <v>711</v>
      </c>
      <c r="B712" s="59" t="s">
        <v>23</v>
      </c>
      <c r="C712" s="59" t="s">
        <v>24</v>
      </c>
      <c r="D712" s="92">
        <v>4054</v>
      </c>
      <c r="E712" s="59" t="s">
        <v>813</v>
      </c>
      <c r="F712" s="154" t="s">
        <v>755</v>
      </c>
      <c r="G712" s="155">
        <v>3616</v>
      </c>
      <c r="H712" s="156" t="s">
        <v>727</v>
      </c>
      <c r="I712" s="156" t="s">
        <v>729</v>
      </c>
      <c r="J712" s="1993" t="s">
        <v>110</v>
      </c>
      <c r="K712" s="135" t="s">
        <v>111</v>
      </c>
      <c r="L712" s="109">
        <v>0.4</v>
      </c>
      <c r="M712" s="156"/>
      <c r="N712" s="334" t="s">
        <v>768</v>
      </c>
      <c r="O712" s="334"/>
      <c r="P712" s="156">
        <v>1</v>
      </c>
      <c r="Q712" s="159">
        <v>0.05</v>
      </c>
      <c r="R712" s="156"/>
      <c r="S712" s="156">
        <f t="shared" si="33"/>
        <v>0</v>
      </c>
      <c r="T712" s="155">
        <f t="shared" si="34"/>
        <v>0</v>
      </c>
      <c r="U712" s="156" t="s">
        <v>34</v>
      </c>
      <c r="V712" s="579"/>
      <c r="W712" s="156"/>
    </row>
    <row r="713" spans="1:23" ht="23.4" x14ac:dyDescent="0.45">
      <c r="A713" s="1">
        <f t="shared" si="35"/>
        <v>712</v>
      </c>
      <c r="B713" s="59" t="s">
        <v>23</v>
      </c>
      <c r="C713" s="59" t="s">
        <v>24</v>
      </c>
      <c r="D713" s="92">
        <v>4054</v>
      </c>
      <c r="E713" s="59" t="s">
        <v>813</v>
      </c>
      <c r="F713" s="154" t="s">
        <v>755</v>
      </c>
      <c r="G713" s="155">
        <v>3616</v>
      </c>
      <c r="H713" s="156" t="s">
        <v>727</v>
      </c>
      <c r="I713" s="156" t="s">
        <v>729</v>
      </c>
      <c r="J713" s="1993" t="s">
        <v>110</v>
      </c>
      <c r="K713" s="135" t="s">
        <v>111</v>
      </c>
      <c r="L713" s="109">
        <v>0.4</v>
      </c>
      <c r="M713" s="156"/>
      <c r="N713" s="334" t="s">
        <v>769</v>
      </c>
      <c r="O713" s="334"/>
      <c r="P713" s="156">
        <v>1</v>
      </c>
      <c r="Q713" s="159">
        <v>0.05</v>
      </c>
      <c r="R713" s="156"/>
      <c r="S713" s="156">
        <f t="shared" si="33"/>
        <v>0</v>
      </c>
      <c r="T713" s="155">
        <f t="shared" si="34"/>
        <v>0</v>
      </c>
      <c r="U713" s="156" t="s">
        <v>34</v>
      </c>
      <c r="V713" s="579"/>
      <c r="W713" s="156"/>
    </row>
    <row r="714" spans="1:23" ht="23.4" x14ac:dyDescent="0.45">
      <c r="A714" s="1">
        <f t="shared" si="35"/>
        <v>713</v>
      </c>
      <c r="B714" s="59" t="s">
        <v>23</v>
      </c>
      <c r="C714" s="59" t="s">
        <v>24</v>
      </c>
      <c r="D714" s="92">
        <v>4054</v>
      </c>
      <c r="E714" s="59" t="s">
        <v>813</v>
      </c>
      <c r="F714" s="154" t="s">
        <v>755</v>
      </c>
      <c r="G714" s="155">
        <v>3616</v>
      </c>
      <c r="H714" s="156" t="s">
        <v>727</v>
      </c>
      <c r="I714" s="156" t="s">
        <v>729</v>
      </c>
      <c r="J714" s="1993" t="s">
        <v>110</v>
      </c>
      <c r="K714" s="135" t="s">
        <v>111</v>
      </c>
      <c r="L714" s="109">
        <v>0.4</v>
      </c>
      <c r="M714" s="156"/>
      <c r="N714" s="334" t="s">
        <v>770</v>
      </c>
      <c r="O714" s="334"/>
      <c r="P714" s="156">
        <v>1</v>
      </c>
      <c r="Q714" s="159">
        <v>0.15</v>
      </c>
      <c r="R714" s="156"/>
      <c r="S714" s="156">
        <f t="shared" si="33"/>
        <v>0</v>
      </c>
      <c r="T714" s="155">
        <f t="shared" si="34"/>
        <v>0</v>
      </c>
      <c r="U714" s="156" t="s">
        <v>34</v>
      </c>
      <c r="V714" s="579"/>
      <c r="W714" s="156"/>
    </row>
    <row r="715" spans="1:23" ht="23.4" x14ac:dyDescent="0.45">
      <c r="A715" s="1">
        <f t="shared" si="35"/>
        <v>714</v>
      </c>
      <c r="B715" s="59" t="s">
        <v>23</v>
      </c>
      <c r="C715" s="59" t="s">
        <v>24</v>
      </c>
      <c r="D715" s="92">
        <v>4054</v>
      </c>
      <c r="E715" s="59" t="s">
        <v>813</v>
      </c>
      <c r="F715" s="154" t="s">
        <v>755</v>
      </c>
      <c r="G715" s="155">
        <v>3616</v>
      </c>
      <c r="H715" s="156" t="s">
        <v>727</v>
      </c>
      <c r="I715" s="156" t="s">
        <v>729</v>
      </c>
      <c r="J715" s="1993" t="s">
        <v>110</v>
      </c>
      <c r="K715" s="135" t="s">
        <v>111</v>
      </c>
      <c r="L715" s="109">
        <v>0.4</v>
      </c>
      <c r="M715" s="156"/>
      <c r="N715" s="334" t="s">
        <v>254</v>
      </c>
      <c r="O715" s="334"/>
      <c r="P715" s="156">
        <v>1</v>
      </c>
      <c r="Q715" s="159">
        <v>0.1</v>
      </c>
      <c r="R715" s="156"/>
      <c r="S715" s="156">
        <f t="shared" si="33"/>
        <v>0</v>
      </c>
      <c r="T715" s="155">
        <f t="shared" si="34"/>
        <v>0</v>
      </c>
      <c r="U715" s="156" t="s">
        <v>34</v>
      </c>
      <c r="V715" s="579"/>
      <c r="W715" s="156"/>
    </row>
    <row r="716" spans="1:23" ht="23.4" x14ac:dyDescent="0.45">
      <c r="A716" s="1">
        <f t="shared" si="35"/>
        <v>715</v>
      </c>
      <c r="B716" s="59" t="s">
        <v>23</v>
      </c>
      <c r="C716" s="59" t="s">
        <v>24</v>
      </c>
      <c r="D716" s="92">
        <v>4054</v>
      </c>
      <c r="E716" s="59" t="s">
        <v>813</v>
      </c>
      <c r="F716" s="154" t="s">
        <v>755</v>
      </c>
      <c r="G716" s="155">
        <v>3616</v>
      </c>
      <c r="H716" s="156" t="s">
        <v>727</v>
      </c>
      <c r="I716" s="156" t="s">
        <v>729</v>
      </c>
      <c r="J716" s="1993" t="s">
        <v>110</v>
      </c>
      <c r="K716" s="135" t="s">
        <v>111</v>
      </c>
      <c r="L716" s="109">
        <v>0.4</v>
      </c>
      <c r="M716" s="156"/>
      <c r="N716" s="334" t="s">
        <v>771</v>
      </c>
      <c r="O716" s="334"/>
      <c r="P716" s="156">
        <v>1</v>
      </c>
      <c r="Q716" s="159">
        <v>0.05</v>
      </c>
      <c r="R716" s="156"/>
      <c r="S716" s="156">
        <f t="shared" si="33"/>
        <v>0</v>
      </c>
      <c r="T716" s="155">
        <f t="shared" si="34"/>
        <v>0</v>
      </c>
      <c r="U716" s="156" t="s">
        <v>34</v>
      </c>
      <c r="V716" s="579"/>
      <c r="W716" s="156"/>
    </row>
    <row r="717" spans="1:23" ht="23.4" x14ac:dyDescent="0.45">
      <c r="A717" s="1">
        <f t="shared" si="35"/>
        <v>716</v>
      </c>
      <c r="B717" s="59" t="s">
        <v>23</v>
      </c>
      <c r="C717" s="59" t="s">
        <v>24</v>
      </c>
      <c r="D717" s="92">
        <v>4054</v>
      </c>
      <c r="E717" s="59" t="s">
        <v>813</v>
      </c>
      <c r="F717" s="154" t="s">
        <v>755</v>
      </c>
      <c r="G717" s="155">
        <v>3616</v>
      </c>
      <c r="H717" s="156" t="s">
        <v>727</v>
      </c>
      <c r="I717" s="156" t="s">
        <v>729</v>
      </c>
      <c r="J717" s="1993" t="s">
        <v>110</v>
      </c>
      <c r="K717" s="135" t="s">
        <v>111</v>
      </c>
      <c r="L717" s="109">
        <v>0.4</v>
      </c>
      <c r="M717" s="156"/>
      <c r="N717" s="334" t="s">
        <v>772</v>
      </c>
      <c r="O717" s="334"/>
      <c r="P717" s="156">
        <v>1</v>
      </c>
      <c r="Q717" s="159">
        <v>0.1</v>
      </c>
      <c r="R717" s="156"/>
      <c r="S717" s="156">
        <f t="shared" si="33"/>
        <v>0</v>
      </c>
      <c r="T717" s="155">
        <f t="shared" si="34"/>
        <v>0</v>
      </c>
      <c r="U717" s="156" t="s">
        <v>34</v>
      </c>
      <c r="V717" s="579"/>
      <c r="W717" s="156"/>
    </row>
    <row r="718" spans="1:23" ht="23.4" x14ac:dyDescent="0.45">
      <c r="A718" s="1">
        <f t="shared" si="35"/>
        <v>717</v>
      </c>
      <c r="B718" s="59" t="s">
        <v>23</v>
      </c>
      <c r="C718" s="59" t="s">
        <v>24</v>
      </c>
      <c r="D718" s="92">
        <v>4054</v>
      </c>
      <c r="E718" s="59" t="s">
        <v>813</v>
      </c>
      <c r="F718" s="154" t="s">
        <v>755</v>
      </c>
      <c r="G718" s="155">
        <v>3616</v>
      </c>
      <c r="H718" s="156" t="s">
        <v>727</v>
      </c>
      <c r="I718" s="156" t="s">
        <v>729</v>
      </c>
      <c r="J718" s="1993" t="s">
        <v>110</v>
      </c>
      <c r="K718" s="135" t="s">
        <v>111</v>
      </c>
      <c r="L718" s="109">
        <v>0.4</v>
      </c>
      <c r="M718" s="156"/>
      <c r="N718" s="334" t="s">
        <v>773</v>
      </c>
      <c r="O718" s="334"/>
      <c r="P718" s="156">
        <v>1</v>
      </c>
      <c r="Q718" s="159">
        <v>0.05</v>
      </c>
      <c r="R718" s="156"/>
      <c r="S718" s="156">
        <f t="shared" si="33"/>
        <v>0</v>
      </c>
      <c r="T718" s="155">
        <f t="shared" si="34"/>
        <v>0</v>
      </c>
      <c r="U718" s="156" t="s">
        <v>34</v>
      </c>
      <c r="V718" s="579"/>
      <c r="W718" s="156"/>
    </row>
    <row r="719" spans="1:23" ht="23.4" x14ac:dyDescent="0.45">
      <c r="A719" s="1">
        <f t="shared" si="35"/>
        <v>718</v>
      </c>
      <c r="B719" s="59" t="s">
        <v>23</v>
      </c>
      <c r="C719" s="59" t="s">
        <v>24</v>
      </c>
      <c r="D719" s="92">
        <v>4054</v>
      </c>
      <c r="E719" s="59" t="s">
        <v>813</v>
      </c>
      <c r="F719" s="154" t="s">
        <v>755</v>
      </c>
      <c r="G719" s="155">
        <v>3616</v>
      </c>
      <c r="H719" s="156" t="s">
        <v>727</v>
      </c>
      <c r="I719" s="156" t="s">
        <v>729</v>
      </c>
      <c r="J719" s="1993" t="s">
        <v>110</v>
      </c>
      <c r="K719" s="135" t="s">
        <v>111</v>
      </c>
      <c r="L719" s="109">
        <v>0.4</v>
      </c>
      <c r="M719" s="156"/>
      <c r="N719" s="334" t="s">
        <v>774</v>
      </c>
      <c r="O719" s="334"/>
      <c r="P719" s="156">
        <v>1</v>
      </c>
      <c r="Q719" s="159">
        <v>0.05</v>
      </c>
      <c r="R719" s="156"/>
      <c r="S719" s="156">
        <f t="shared" si="33"/>
        <v>0</v>
      </c>
      <c r="T719" s="155">
        <f t="shared" si="34"/>
        <v>0</v>
      </c>
      <c r="U719" s="156" t="s">
        <v>34</v>
      </c>
      <c r="V719" s="579"/>
      <c r="W719" s="156"/>
    </row>
    <row r="720" spans="1:23" ht="23.4" x14ac:dyDescent="0.45">
      <c r="A720" s="1">
        <f t="shared" si="35"/>
        <v>719</v>
      </c>
      <c r="B720" s="59" t="s">
        <v>23</v>
      </c>
      <c r="C720" s="59" t="s">
        <v>24</v>
      </c>
      <c r="D720" s="92">
        <v>4054</v>
      </c>
      <c r="E720" s="59" t="s">
        <v>813</v>
      </c>
      <c r="F720" s="154" t="s">
        <v>755</v>
      </c>
      <c r="G720" s="155">
        <v>3616</v>
      </c>
      <c r="H720" s="156" t="s">
        <v>727</v>
      </c>
      <c r="I720" s="156" t="s">
        <v>729</v>
      </c>
      <c r="J720" s="1993" t="s">
        <v>110</v>
      </c>
      <c r="K720" s="135" t="s">
        <v>111</v>
      </c>
      <c r="L720" s="109">
        <v>0.4</v>
      </c>
      <c r="M720" s="156"/>
      <c r="N720" s="334" t="s">
        <v>775</v>
      </c>
      <c r="O720" s="334"/>
      <c r="P720" s="156">
        <v>1</v>
      </c>
      <c r="Q720" s="159">
        <v>0.05</v>
      </c>
      <c r="R720" s="156"/>
      <c r="S720" s="156">
        <f t="shared" si="33"/>
        <v>0</v>
      </c>
      <c r="T720" s="155">
        <f t="shared" si="34"/>
        <v>0</v>
      </c>
      <c r="U720" s="156" t="s">
        <v>34</v>
      </c>
      <c r="V720" s="579"/>
      <c r="W720" s="156"/>
    </row>
    <row r="721" spans="1:23" ht="23.4" x14ac:dyDescent="0.45">
      <c r="A721" s="1">
        <f t="shared" si="35"/>
        <v>720</v>
      </c>
      <c r="B721" s="59" t="s">
        <v>23</v>
      </c>
      <c r="C721" s="59" t="s">
        <v>24</v>
      </c>
      <c r="D721" s="92">
        <v>4054</v>
      </c>
      <c r="E721" s="59" t="s">
        <v>813</v>
      </c>
      <c r="F721" s="154" t="s">
        <v>755</v>
      </c>
      <c r="G721" s="155">
        <v>3616</v>
      </c>
      <c r="H721" s="156" t="s">
        <v>727</v>
      </c>
      <c r="I721" s="156" t="s">
        <v>729</v>
      </c>
      <c r="J721" s="1993" t="s">
        <v>110</v>
      </c>
      <c r="K721" s="135" t="s">
        <v>111</v>
      </c>
      <c r="L721" s="109">
        <v>0.4</v>
      </c>
      <c r="M721" s="156"/>
      <c r="N721" s="334" t="s">
        <v>776</v>
      </c>
      <c r="O721" s="334"/>
      <c r="P721" s="156">
        <v>1</v>
      </c>
      <c r="Q721" s="159">
        <v>0.1</v>
      </c>
      <c r="R721" s="156"/>
      <c r="S721" s="156">
        <f t="shared" si="33"/>
        <v>0</v>
      </c>
      <c r="T721" s="155">
        <f t="shared" si="34"/>
        <v>0</v>
      </c>
      <c r="U721" s="156" t="s">
        <v>34</v>
      </c>
      <c r="V721" s="579"/>
      <c r="W721" s="156"/>
    </row>
    <row r="722" spans="1:23" ht="23.4" x14ac:dyDescent="0.45">
      <c r="A722" s="1">
        <f t="shared" si="35"/>
        <v>721</v>
      </c>
      <c r="B722" s="59" t="s">
        <v>23</v>
      </c>
      <c r="C722" s="59" t="s">
        <v>24</v>
      </c>
      <c r="D722" s="92">
        <v>4054</v>
      </c>
      <c r="E722" s="59" t="s">
        <v>813</v>
      </c>
      <c r="F722" s="154" t="s">
        <v>755</v>
      </c>
      <c r="G722" s="155">
        <v>3616</v>
      </c>
      <c r="H722" s="156" t="s">
        <v>727</v>
      </c>
      <c r="I722" s="156" t="s">
        <v>729</v>
      </c>
      <c r="J722" s="1993" t="s">
        <v>110</v>
      </c>
      <c r="K722" s="135" t="s">
        <v>111</v>
      </c>
      <c r="L722" s="109">
        <v>0.4</v>
      </c>
      <c r="M722" s="156"/>
      <c r="N722" s="334" t="s">
        <v>251</v>
      </c>
      <c r="O722" s="334"/>
      <c r="P722" s="156">
        <v>1</v>
      </c>
      <c r="Q722" s="159">
        <v>0.05</v>
      </c>
      <c r="R722" s="156"/>
      <c r="S722" s="156">
        <f t="shared" si="33"/>
        <v>0</v>
      </c>
      <c r="T722" s="155">
        <f t="shared" si="34"/>
        <v>0</v>
      </c>
      <c r="U722" s="156" t="s">
        <v>34</v>
      </c>
      <c r="V722" s="579"/>
      <c r="W722" s="156"/>
    </row>
    <row r="723" spans="1:23" ht="23.4" x14ac:dyDescent="0.45">
      <c r="A723" s="1">
        <f t="shared" si="35"/>
        <v>722</v>
      </c>
      <c r="B723" s="59" t="s">
        <v>23</v>
      </c>
      <c r="C723" s="59" t="s">
        <v>24</v>
      </c>
      <c r="D723" s="92">
        <v>4054</v>
      </c>
      <c r="E723" s="59" t="s">
        <v>813</v>
      </c>
      <c r="F723" s="154" t="s">
        <v>755</v>
      </c>
      <c r="G723" s="155">
        <v>3616</v>
      </c>
      <c r="H723" s="156" t="s">
        <v>727</v>
      </c>
      <c r="I723" s="156" t="s">
        <v>729</v>
      </c>
      <c r="J723" s="1993" t="s">
        <v>110</v>
      </c>
      <c r="K723" s="135" t="s">
        <v>111</v>
      </c>
      <c r="L723" s="109">
        <v>0.4</v>
      </c>
      <c r="M723" s="156"/>
      <c r="N723" s="334" t="s">
        <v>252</v>
      </c>
      <c r="O723" s="334"/>
      <c r="P723" s="156">
        <v>1</v>
      </c>
      <c r="Q723" s="159">
        <v>0.05</v>
      </c>
      <c r="R723" s="156"/>
      <c r="S723" s="156">
        <f t="shared" si="33"/>
        <v>0</v>
      </c>
      <c r="T723" s="155">
        <f t="shared" si="34"/>
        <v>0</v>
      </c>
      <c r="U723" s="156" t="s">
        <v>34</v>
      </c>
      <c r="V723" s="579"/>
      <c r="W723" s="156"/>
    </row>
    <row r="724" spans="1:23" ht="23.4" x14ac:dyDescent="0.45">
      <c r="A724" s="1">
        <f t="shared" si="35"/>
        <v>723</v>
      </c>
      <c r="B724" s="59" t="s">
        <v>23</v>
      </c>
      <c r="C724" s="59" t="s">
        <v>24</v>
      </c>
      <c r="D724" s="92">
        <v>4054</v>
      </c>
      <c r="E724" s="59" t="s">
        <v>813</v>
      </c>
      <c r="F724" s="154" t="s">
        <v>755</v>
      </c>
      <c r="G724" s="155">
        <v>3616</v>
      </c>
      <c r="H724" s="156" t="s">
        <v>727</v>
      </c>
      <c r="I724" s="156" t="s">
        <v>729</v>
      </c>
      <c r="J724" s="1993" t="s">
        <v>110</v>
      </c>
      <c r="K724" s="135" t="s">
        <v>111</v>
      </c>
      <c r="L724" s="109">
        <v>0.4</v>
      </c>
      <c r="M724" s="156"/>
      <c r="N724" s="334" t="s">
        <v>777</v>
      </c>
      <c r="O724" s="334"/>
      <c r="P724" s="156">
        <v>1</v>
      </c>
      <c r="Q724" s="159">
        <v>0.05</v>
      </c>
      <c r="R724" s="156"/>
      <c r="S724" s="156">
        <f t="shared" si="33"/>
        <v>0</v>
      </c>
      <c r="T724" s="155">
        <f t="shared" si="34"/>
        <v>0</v>
      </c>
      <c r="U724" s="156" t="s">
        <v>34</v>
      </c>
      <c r="V724" s="579"/>
      <c r="W724" s="156"/>
    </row>
    <row r="725" spans="1:23" ht="23.4" x14ac:dyDescent="0.45">
      <c r="A725" s="1">
        <f t="shared" si="35"/>
        <v>724</v>
      </c>
      <c r="B725" s="59" t="s">
        <v>23</v>
      </c>
      <c r="C725" s="59" t="s">
        <v>24</v>
      </c>
      <c r="D725" s="92">
        <v>4054</v>
      </c>
      <c r="E725" s="59" t="s">
        <v>813</v>
      </c>
      <c r="F725" s="154" t="s">
        <v>755</v>
      </c>
      <c r="G725" s="155">
        <v>3616</v>
      </c>
      <c r="H725" s="156" t="s">
        <v>727</v>
      </c>
      <c r="I725" s="156" t="s">
        <v>729</v>
      </c>
      <c r="J725" s="1993" t="s">
        <v>110</v>
      </c>
      <c r="K725" s="135" t="s">
        <v>111</v>
      </c>
      <c r="L725" s="109">
        <v>0.4</v>
      </c>
      <c r="M725" s="156"/>
      <c r="N725" s="334" t="s">
        <v>253</v>
      </c>
      <c r="O725" s="334"/>
      <c r="P725" s="156">
        <v>1</v>
      </c>
      <c r="Q725" s="159">
        <v>0.05</v>
      </c>
      <c r="R725" s="156"/>
      <c r="S725" s="156">
        <f t="shared" si="33"/>
        <v>0</v>
      </c>
      <c r="T725" s="155">
        <f t="shared" si="34"/>
        <v>0</v>
      </c>
      <c r="U725" s="156" t="s">
        <v>34</v>
      </c>
      <c r="V725" s="579"/>
      <c r="W725" s="156"/>
    </row>
    <row r="726" spans="1:23" ht="23.4" x14ac:dyDescent="0.45">
      <c r="A726" s="1">
        <f t="shared" si="35"/>
        <v>725</v>
      </c>
      <c r="B726" s="99" t="s">
        <v>23</v>
      </c>
      <c r="C726" s="99" t="s">
        <v>24</v>
      </c>
      <c r="D726" s="100">
        <v>4039</v>
      </c>
      <c r="E726" s="99" t="s">
        <v>825</v>
      </c>
      <c r="F726" s="167" t="s">
        <v>755</v>
      </c>
      <c r="G726" s="168">
        <v>5078</v>
      </c>
      <c r="H726" s="148" t="s">
        <v>826</v>
      </c>
      <c r="I726" s="148" t="s">
        <v>729</v>
      </c>
      <c r="J726" s="1995" t="s">
        <v>57</v>
      </c>
      <c r="K726" s="170" t="s">
        <v>58</v>
      </c>
      <c r="L726" s="104">
        <v>0.6</v>
      </c>
      <c r="M726" s="148"/>
      <c r="N726" s="91" t="s">
        <v>827</v>
      </c>
      <c r="O726" s="91"/>
      <c r="P726" s="148">
        <v>1</v>
      </c>
      <c r="Q726" s="98">
        <v>0.05</v>
      </c>
      <c r="R726" s="148"/>
      <c r="S726" s="148">
        <f t="shared" si="33"/>
        <v>0</v>
      </c>
      <c r="T726" s="168">
        <f t="shared" si="34"/>
        <v>0</v>
      </c>
      <c r="U726" s="148" t="s">
        <v>34</v>
      </c>
      <c r="V726" s="1960">
        <f>SUM(T726:T750)%</f>
        <v>0</v>
      </c>
      <c r="W726" s="148"/>
    </row>
    <row r="727" spans="1:23" ht="23.4" x14ac:dyDescent="0.45">
      <c r="A727" s="1">
        <f t="shared" si="35"/>
        <v>726</v>
      </c>
      <c r="B727" s="57" t="s">
        <v>23</v>
      </c>
      <c r="C727" s="57" t="s">
        <v>24</v>
      </c>
      <c r="D727" s="58">
        <v>4039</v>
      </c>
      <c r="E727" s="57" t="s">
        <v>825</v>
      </c>
      <c r="F727" s="130" t="s">
        <v>755</v>
      </c>
      <c r="G727" s="67">
        <v>5078</v>
      </c>
      <c r="H727" s="66" t="s">
        <v>826</v>
      </c>
      <c r="I727" s="66" t="s">
        <v>729</v>
      </c>
      <c r="J727" s="1984" t="s">
        <v>57</v>
      </c>
      <c r="K727" s="31" t="s">
        <v>58</v>
      </c>
      <c r="L727" s="149">
        <v>0.6</v>
      </c>
      <c r="M727" s="35"/>
      <c r="N727" s="184" t="s">
        <v>828</v>
      </c>
      <c r="O727" s="184"/>
      <c r="P727" s="66">
        <v>1</v>
      </c>
      <c r="Q727" s="128">
        <v>0.2</v>
      </c>
      <c r="R727" s="66"/>
      <c r="S727" s="66">
        <f t="shared" si="33"/>
        <v>0</v>
      </c>
      <c r="T727" s="67">
        <f t="shared" si="34"/>
        <v>0</v>
      </c>
      <c r="U727" s="66" t="s">
        <v>34</v>
      </c>
      <c r="V727" s="430"/>
      <c r="W727" s="66"/>
    </row>
    <row r="728" spans="1:23" ht="23.4" x14ac:dyDescent="0.45">
      <c r="A728" s="1">
        <f t="shared" si="35"/>
        <v>727</v>
      </c>
      <c r="B728" s="57" t="s">
        <v>23</v>
      </c>
      <c r="C728" s="57" t="s">
        <v>24</v>
      </c>
      <c r="D728" s="58">
        <v>4039</v>
      </c>
      <c r="E728" s="57" t="s">
        <v>825</v>
      </c>
      <c r="F728" s="130" t="s">
        <v>755</v>
      </c>
      <c r="G728" s="67">
        <v>5078</v>
      </c>
      <c r="H728" s="66" t="s">
        <v>826</v>
      </c>
      <c r="I728" s="66" t="s">
        <v>729</v>
      </c>
      <c r="J728" s="1984" t="s">
        <v>57</v>
      </c>
      <c r="K728" s="31" t="s">
        <v>58</v>
      </c>
      <c r="L728" s="149">
        <v>0.6</v>
      </c>
      <c r="M728" s="35"/>
      <c r="N728" s="184" t="s">
        <v>829</v>
      </c>
      <c r="O728" s="184"/>
      <c r="P728" s="66">
        <v>1</v>
      </c>
      <c r="Q728" s="128">
        <v>0.05</v>
      </c>
      <c r="R728" s="66"/>
      <c r="S728" s="66">
        <f t="shared" si="33"/>
        <v>0</v>
      </c>
      <c r="T728" s="67">
        <f t="shared" si="34"/>
        <v>0</v>
      </c>
      <c r="U728" s="66" t="s">
        <v>34</v>
      </c>
      <c r="V728" s="430"/>
      <c r="W728" s="66"/>
    </row>
    <row r="729" spans="1:23" ht="23.4" x14ac:dyDescent="0.45">
      <c r="A729" s="1">
        <f t="shared" si="35"/>
        <v>728</v>
      </c>
      <c r="B729" s="57" t="s">
        <v>23</v>
      </c>
      <c r="C729" s="57" t="s">
        <v>24</v>
      </c>
      <c r="D729" s="58">
        <v>4039</v>
      </c>
      <c r="E729" s="57" t="s">
        <v>825</v>
      </c>
      <c r="F729" s="130" t="s">
        <v>755</v>
      </c>
      <c r="G729" s="67">
        <v>5078</v>
      </c>
      <c r="H729" s="66" t="s">
        <v>826</v>
      </c>
      <c r="I729" s="66" t="s">
        <v>729</v>
      </c>
      <c r="J729" s="1984" t="s">
        <v>57</v>
      </c>
      <c r="K729" s="31" t="s">
        <v>58</v>
      </c>
      <c r="L729" s="149">
        <v>0.6</v>
      </c>
      <c r="M729" s="35"/>
      <c r="N729" s="184" t="s">
        <v>830</v>
      </c>
      <c r="O729" s="184"/>
      <c r="P729" s="66">
        <v>1</v>
      </c>
      <c r="Q729" s="128">
        <v>0.1</v>
      </c>
      <c r="R729" s="66"/>
      <c r="S729" s="66">
        <f t="shared" si="33"/>
        <v>0</v>
      </c>
      <c r="T729" s="67">
        <f t="shared" si="34"/>
        <v>0</v>
      </c>
      <c r="U729" s="66" t="s">
        <v>34</v>
      </c>
      <c r="V729" s="430"/>
      <c r="W729" s="66"/>
    </row>
    <row r="730" spans="1:23" ht="23.4" x14ac:dyDescent="0.45">
      <c r="A730" s="1">
        <f t="shared" si="35"/>
        <v>729</v>
      </c>
      <c r="B730" s="57" t="s">
        <v>23</v>
      </c>
      <c r="C730" s="57" t="s">
        <v>24</v>
      </c>
      <c r="D730" s="58">
        <v>4039</v>
      </c>
      <c r="E730" s="57" t="s">
        <v>825</v>
      </c>
      <c r="F730" s="130" t="s">
        <v>755</v>
      </c>
      <c r="G730" s="67">
        <v>5078</v>
      </c>
      <c r="H730" s="66" t="s">
        <v>826</v>
      </c>
      <c r="I730" s="66" t="s">
        <v>729</v>
      </c>
      <c r="J730" s="1984" t="s">
        <v>57</v>
      </c>
      <c r="K730" s="31" t="s">
        <v>58</v>
      </c>
      <c r="L730" s="149">
        <v>0.6</v>
      </c>
      <c r="M730" s="35"/>
      <c r="N730" s="184" t="s">
        <v>831</v>
      </c>
      <c r="O730" s="184"/>
      <c r="P730" s="66">
        <v>1</v>
      </c>
      <c r="Q730" s="128">
        <v>0.1</v>
      </c>
      <c r="R730" s="66"/>
      <c r="S730" s="66">
        <f t="shared" si="33"/>
        <v>0</v>
      </c>
      <c r="T730" s="67">
        <f t="shared" si="34"/>
        <v>0</v>
      </c>
      <c r="U730" s="66" t="s">
        <v>34</v>
      </c>
      <c r="V730" s="430"/>
      <c r="W730" s="66"/>
    </row>
    <row r="731" spans="1:23" ht="23.4" x14ac:dyDescent="0.45">
      <c r="A731" s="1">
        <f t="shared" si="35"/>
        <v>730</v>
      </c>
      <c r="B731" s="57" t="s">
        <v>23</v>
      </c>
      <c r="C731" s="57" t="s">
        <v>24</v>
      </c>
      <c r="D731" s="58">
        <v>4039</v>
      </c>
      <c r="E731" s="57" t="s">
        <v>825</v>
      </c>
      <c r="F731" s="130" t="s">
        <v>755</v>
      </c>
      <c r="G731" s="67">
        <v>5078</v>
      </c>
      <c r="H731" s="66" t="s">
        <v>826</v>
      </c>
      <c r="I731" s="66" t="s">
        <v>729</v>
      </c>
      <c r="J731" s="1984" t="s">
        <v>57</v>
      </c>
      <c r="K731" s="31" t="s">
        <v>58</v>
      </c>
      <c r="L731" s="149">
        <v>0.6</v>
      </c>
      <c r="M731" s="35"/>
      <c r="N731" s="184" t="s">
        <v>832</v>
      </c>
      <c r="O731" s="184"/>
      <c r="P731" s="66">
        <v>1</v>
      </c>
      <c r="Q731" s="128">
        <v>0.05</v>
      </c>
      <c r="R731" s="66"/>
      <c r="S731" s="66">
        <f t="shared" si="33"/>
        <v>0</v>
      </c>
      <c r="T731" s="67">
        <f t="shared" si="34"/>
        <v>0</v>
      </c>
      <c r="U731" s="66" t="s">
        <v>34</v>
      </c>
      <c r="V731" s="430"/>
      <c r="W731" s="66"/>
    </row>
    <row r="732" spans="1:23" ht="23.4" x14ac:dyDescent="0.45">
      <c r="A732" s="1">
        <f t="shared" si="35"/>
        <v>731</v>
      </c>
      <c r="B732" s="57" t="s">
        <v>23</v>
      </c>
      <c r="C732" s="57" t="s">
        <v>24</v>
      </c>
      <c r="D732" s="58">
        <v>4039</v>
      </c>
      <c r="E732" s="57" t="s">
        <v>825</v>
      </c>
      <c r="F732" s="130" t="s">
        <v>755</v>
      </c>
      <c r="G732" s="67">
        <v>5078</v>
      </c>
      <c r="H732" s="66" t="s">
        <v>826</v>
      </c>
      <c r="I732" s="66" t="s">
        <v>729</v>
      </c>
      <c r="J732" s="1984" t="s">
        <v>57</v>
      </c>
      <c r="K732" s="31" t="s">
        <v>58</v>
      </c>
      <c r="L732" s="149">
        <v>0.6</v>
      </c>
      <c r="M732" s="35"/>
      <c r="N732" s="184" t="s">
        <v>833</v>
      </c>
      <c r="O732" s="184"/>
      <c r="P732" s="66">
        <v>1</v>
      </c>
      <c r="Q732" s="128">
        <v>0.1</v>
      </c>
      <c r="R732" s="66"/>
      <c r="S732" s="66">
        <f t="shared" si="33"/>
        <v>0</v>
      </c>
      <c r="T732" s="67">
        <f t="shared" si="34"/>
        <v>0</v>
      </c>
      <c r="U732" s="66" t="s">
        <v>34</v>
      </c>
      <c r="V732" s="430"/>
      <c r="W732" s="66"/>
    </row>
    <row r="733" spans="1:23" ht="23.4" x14ac:dyDescent="0.45">
      <c r="A733" s="1">
        <f t="shared" si="35"/>
        <v>732</v>
      </c>
      <c r="B733" s="57" t="s">
        <v>23</v>
      </c>
      <c r="C733" s="57" t="s">
        <v>24</v>
      </c>
      <c r="D733" s="58">
        <v>4039</v>
      </c>
      <c r="E733" s="57" t="s">
        <v>825</v>
      </c>
      <c r="F733" s="130" t="s">
        <v>755</v>
      </c>
      <c r="G733" s="67">
        <v>5078</v>
      </c>
      <c r="H733" s="66" t="s">
        <v>826</v>
      </c>
      <c r="I733" s="66" t="s">
        <v>729</v>
      </c>
      <c r="J733" s="1984" t="s">
        <v>57</v>
      </c>
      <c r="K733" s="31" t="s">
        <v>58</v>
      </c>
      <c r="L733" s="149">
        <v>0.6</v>
      </c>
      <c r="M733" s="35"/>
      <c r="N733" s="184" t="s">
        <v>834</v>
      </c>
      <c r="O733" s="184"/>
      <c r="P733" s="66">
        <v>1</v>
      </c>
      <c r="Q733" s="128">
        <v>0.05</v>
      </c>
      <c r="R733" s="66"/>
      <c r="S733" s="66">
        <f t="shared" si="33"/>
        <v>0</v>
      </c>
      <c r="T733" s="67">
        <f t="shared" si="34"/>
        <v>0</v>
      </c>
      <c r="U733" s="66" t="s">
        <v>34</v>
      </c>
      <c r="V733" s="430"/>
      <c r="W733" s="66"/>
    </row>
    <row r="734" spans="1:23" ht="23.4" x14ac:dyDescent="0.45">
      <c r="A734" s="1">
        <f t="shared" si="35"/>
        <v>733</v>
      </c>
      <c r="B734" s="57" t="s">
        <v>23</v>
      </c>
      <c r="C734" s="57" t="s">
        <v>24</v>
      </c>
      <c r="D734" s="58">
        <v>4039</v>
      </c>
      <c r="E734" s="57" t="s">
        <v>825</v>
      </c>
      <c r="F734" s="130" t="s">
        <v>755</v>
      </c>
      <c r="G734" s="67">
        <v>5078</v>
      </c>
      <c r="H734" s="66" t="s">
        <v>826</v>
      </c>
      <c r="I734" s="66" t="s">
        <v>729</v>
      </c>
      <c r="J734" s="1984" t="s">
        <v>57</v>
      </c>
      <c r="K734" s="31" t="s">
        <v>58</v>
      </c>
      <c r="L734" s="149">
        <v>0.6</v>
      </c>
      <c r="M734" s="35"/>
      <c r="N734" s="184" t="s">
        <v>835</v>
      </c>
      <c r="O734" s="184"/>
      <c r="P734" s="66">
        <v>1</v>
      </c>
      <c r="Q734" s="128">
        <v>0.1</v>
      </c>
      <c r="R734" s="66"/>
      <c r="S734" s="66">
        <f t="shared" si="33"/>
        <v>0</v>
      </c>
      <c r="T734" s="67">
        <f t="shared" si="34"/>
        <v>0</v>
      </c>
      <c r="U734" s="66" t="s">
        <v>34</v>
      </c>
      <c r="V734" s="430"/>
      <c r="W734" s="66"/>
    </row>
    <row r="735" spans="1:23" ht="23.4" x14ac:dyDescent="0.45">
      <c r="A735" s="1">
        <f t="shared" si="35"/>
        <v>734</v>
      </c>
      <c r="B735" s="57" t="s">
        <v>23</v>
      </c>
      <c r="C735" s="57" t="s">
        <v>24</v>
      </c>
      <c r="D735" s="58">
        <v>4039</v>
      </c>
      <c r="E735" s="57" t="s">
        <v>825</v>
      </c>
      <c r="F735" s="130" t="s">
        <v>755</v>
      </c>
      <c r="G735" s="67">
        <v>5078</v>
      </c>
      <c r="H735" s="66" t="s">
        <v>826</v>
      </c>
      <c r="I735" s="66" t="s">
        <v>729</v>
      </c>
      <c r="J735" s="1984" t="s">
        <v>57</v>
      </c>
      <c r="K735" s="31" t="s">
        <v>58</v>
      </c>
      <c r="L735" s="149">
        <v>0.6</v>
      </c>
      <c r="M735" s="35"/>
      <c r="N735" s="184" t="s">
        <v>836</v>
      </c>
      <c r="O735" s="184"/>
      <c r="P735" s="66">
        <v>1</v>
      </c>
      <c r="Q735" s="128">
        <v>0.2</v>
      </c>
      <c r="R735" s="66"/>
      <c r="S735" s="66">
        <f t="shared" si="33"/>
        <v>0</v>
      </c>
      <c r="T735" s="67">
        <f t="shared" si="34"/>
        <v>0</v>
      </c>
      <c r="U735" s="66" t="s">
        <v>34</v>
      </c>
      <c r="V735" s="430"/>
      <c r="W735" s="66"/>
    </row>
    <row r="736" spans="1:23" ht="23.4" x14ac:dyDescent="0.45">
      <c r="A736" s="1">
        <f t="shared" si="35"/>
        <v>735</v>
      </c>
      <c r="B736" s="57" t="s">
        <v>23</v>
      </c>
      <c r="C736" s="57" t="s">
        <v>24</v>
      </c>
      <c r="D736" s="58">
        <v>4039</v>
      </c>
      <c r="E736" s="57" t="s">
        <v>825</v>
      </c>
      <c r="F736" s="169" t="s">
        <v>755</v>
      </c>
      <c r="G736" s="46">
        <v>5078</v>
      </c>
      <c r="H736" s="28" t="s">
        <v>826</v>
      </c>
      <c r="I736" s="28" t="s">
        <v>729</v>
      </c>
      <c r="J736" s="1994" t="s">
        <v>110</v>
      </c>
      <c r="K736" s="163" t="s">
        <v>111</v>
      </c>
      <c r="L736" s="21">
        <v>0.4</v>
      </c>
      <c r="M736" s="28"/>
      <c r="N736" s="357" t="s">
        <v>255</v>
      </c>
      <c r="O736" s="357"/>
      <c r="P736" s="28">
        <v>1</v>
      </c>
      <c r="Q736" s="177">
        <v>0.05</v>
      </c>
      <c r="R736" s="28"/>
      <c r="S736" s="28">
        <f t="shared" si="33"/>
        <v>0</v>
      </c>
      <c r="T736" s="46">
        <f t="shared" si="34"/>
        <v>0</v>
      </c>
      <c r="U736" s="28" t="s">
        <v>34</v>
      </c>
      <c r="V736" s="71"/>
      <c r="W736" s="28"/>
    </row>
    <row r="737" spans="1:23" ht="23.4" x14ac:dyDescent="0.45">
      <c r="A737" s="1">
        <f t="shared" si="35"/>
        <v>736</v>
      </c>
      <c r="B737" s="57" t="s">
        <v>23</v>
      </c>
      <c r="C737" s="57" t="s">
        <v>24</v>
      </c>
      <c r="D737" s="58">
        <v>4039</v>
      </c>
      <c r="E737" s="57" t="s">
        <v>825</v>
      </c>
      <c r="F737" s="132" t="s">
        <v>755</v>
      </c>
      <c r="G737" s="133">
        <v>5078</v>
      </c>
      <c r="H737" s="134" t="s">
        <v>826</v>
      </c>
      <c r="I737" s="134" t="s">
        <v>729</v>
      </c>
      <c r="J737" s="1993" t="s">
        <v>110</v>
      </c>
      <c r="K737" s="135" t="s">
        <v>111</v>
      </c>
      <c r="L737" s="157">
        <v>0.4</v>
      </c>
      <c r="M737" s="134"/>
      <c r="N737" s="334" t="s">
        <v>768</v>
      </c>
      <c r="O737" s="334"/>
      <c r="P737" s="134">
        <v>1</v>
      </c>
      <c r="Q737" s="177">
        <v>0.05</v>
      </c>
      <c r="R737" s="134"/>
      <c r="S737" s="134">
        <f t="shared" si="33"/>
        <v>0</v>
      </c>
      <c r="T737" s="133">
        <f t="shared" si="34"/>
        <v>0</v>
      </c>
      <c r="U737" s="134" t="s">
        <v>34</v>
      </c>
      <c r="V737" s="71"/>
      <c r="W737" s="134"/>
    </row>
    <row r="738" spans="1:23" ht="23.4" x14ac:dyDescent="0.45">
      <c r="A738" s="1">
        <f t="shared" si="35"/>
        <v>737</v>
      </c>
      <c r="B738" s="57" t="s">
        <v>23</v>
      </c>
      <c r="C738" s="57" t="s">
        <v>24</v>
      </c>
      <c r="D738" s="58">
        <v>4039</v>
      </c>
      <c r="E738" s="57" t="s">
        <v>825</v>
      </c>
      <c r="F738" s="132" t="s">
        <v>755</v>
      </c>
      <c r="G738" s="133">
        <v>5078</v>
      </c>
      <c r="H738" s="134" t="s">
        <v>826</v>
      </c>
      <c r="I738" s="134" t="s">
        <v>729</v>
      </c>
      <c r="J738" s="1993" t="s">
        <v>110</v>
      </c>
      <c r="K738" s="135" t="s">
        <v>111</v>
      </c>
      <c r="L738" s="157">
        <v>0.4</v>
      </c>
      <c r="M738" s="134"/>
      <c r="N738" s="334" t="s">
        <v>769</v>
      </c>
      <c r="O738" s="334"/>
      <c r="P738" s="134">
        <v>1</v>
      </c>
      <c r="Q738" s="177">
        <v>0.05</v>
      </c>
      <c r="R738" s="134"/>
      <c r="S738" s="134">
        <f t="shared" si="33"/>
        <v>0</v>
      </c>
      <c r="T738" s="133">
        <f t="shared" si="34"/>
        <v>0</v>
      </c>
      <c r="U738" s="134" t="s">
        <v>34</v>
      </c>
      <c r="V738" s="71"/>
      <c r="W738" s="134"/>
    </row>
    <row r="739" spans="1:23" ht="23.4" x14ac:dyDescent="0.45">
      <c r="A739" s="1">
        <f t="shared" si="35"/>
        <v>738</v>
      </c>
      <c r="B739" s="57" t="s">
        <v>23</v>
      </c>
      <c r="C739" s="57" t="s">
        <v>24</v>
      </c>
      <c r="D739" s="58">
        <v>4039</v>
      </c>
      <c r="E739" s="57" t="s">
        <v>825</v>
      </c>
      <c r="F739" s="132" t="s">
        <v>755</v>
      </c>
      <c r="G739" s="133">
        <v>5078</v>
      </c>
      <c r="H739" s="134" t="s">
        <v>826</v>
      </c>
      <c r="I739" s="134" t="s">
        <v>729</v>
      </c>
      <c r="J739" s="1993" t="s">
        <v>110</v>
      </c>
      <c r="K739" s="135" t="s">
        <v>111</v>
      </c>
      <c r="L739" s="157">
        <v>0.4</v>
      </c>
      <c r="M739" s="134"/>
      <c r="N739" s="334" t="s">
        <v>770</v>
      </c>
      <c r="O739" s="334"/>
      <c r="P739" s="134">
        <v>1</v>
      </c>
      <c r="Q739" s="177">
        <v>0.15</v>
      </c>
      <c r="R739" s="134"/>
      <c r="S739" s="134">
        <f t="shared" si="33"/>
        <v>0</v>
      </c>
      <c r="T739" s="133">
        <f t="shared" si="34"/>
        <v>0</v>
      </c>
      <c r="U739" s="134" t="s">
        <v>34</v>
      </c>
      <c r="V739" s="71"/>
      <c r="W739" s="134"/>
    </row>
    <row r="740" spans="1:23" ht="23.4" x14ac:dyDescent="0.45">
      <c r="A740" s="1">
        <f t="shared" si="35"/>
        <v>739</v>
      </c>
      <c r="B740" s="57" t="s">
        <v>23</v>
      </c>
      <c r="C740" s="57" t="s">
        <v>24</v>
      </c>
      <c r="D740" s="58">
        <v>4039</v>
      </c>
      <c r="E740" s="57" t="s">
        <v>825</v>
      </c>
      <c r="F740" s="132" t="s">
        <v>755</v>
      </c>
      <c r="G740" s="133">
        <v>5078</v>
      </c>
      <c r="H740" s="134" t="s">
        <v>826</v>
      </c>
      <c r="I740" s="134" t="s">
        <v>729</v>
      </c>
      <c r="J740" s="1993" t="s">
        <v>110</v>
      </c>
      <c r="K740" s="135" t="s">
        <v>111</v>
      </c>
      <c r="L740" s="157">
        <v>0.4</v>
      </c>
      <c r="M740" s="134"/>
      <c r="N740" s="334" t="s">
        <v>254</v>
      </c>
      <c r="O740" s="334"/>
      <c r="P740" s="134">
        <v>1</v>
      </c>
      <c r="Q740" s="177">
        <v>0.1</v>
      </c>
      <c r="R740" s="134"/>
      <c r="S740" s="134">
        <f t="shared" si="33"/>
        <v>0</v>
      </c>
      <c r="T740" s="133">
        <f t="shared" si="34"/>
        <v>0</v>
      </c>
      <c r="U740" s="134" t="s">
        <v>34</v>
      </c>
      <c r="V740" s="71"/>
      <c r="W740" s="134"/>
    </row>
    <row r="741" spans="1:23" ht="23.4" x14ac:dyDescent="0.45">
      <c r="A741" s="1">
        <f t="shared" si="35"/>
        <v>740</v>
      </c>
      <c r="B741" s="57" t="s">
        <v>23</v>
      </c>
      <c r="C741" s="57" t="s">
        <v>24</v>
      </c>
      <c r="D741" s="58">
        <v>4039</v>
      </c>
      <c r="E741" s="57" t="s">
        <v>825</v>
      </c>
      <c r="F741" s="132" t="s">
        <v>755</v>
      </c>
      <c r="G741" s="133">
        <v>5078</v>
      </c>
      <c r="H741" s="134" t="s">
        <v>826</v>
      </c>
      <c r="I741" s="134" t="s">
        <v>729</v>
      </c>
      <c r="J741" s="1993" t="s">
        <v>110</v>
      </c>
      <c r="K741" s="135" t="s">
        <v>111</v>
      </c>
      <c r="L741" s="157">
        <v>0.4</v>
      </c>
      <c r="M741" s="134"/>
      <c r="N741" s="334" t="s">
        <v>771</v>
      </c>
      <c r="O741" s="334"/>
      <c r="P741" s="134">
        <v>1</v>
      </c>
      <c r="Q741" s="177">
        <v>0.05</v>
      </c>
      <c r="R741" s="134"/>
      <c r="S741" s="134">
        <f t="shared" si="33"/>
        <v>0</v>
      </c>
      <c r="T741" s="133">
        <f t="shared" si="34"/>
        <v>0</v>
      </c>
      <c r="U741" s="134" t="s">
        <v>34</v>
      </c>
      <c r="V741" s="71"/>
      <c r="W741" s="134"/>
    </row>
    <row r="742" spans="1:23" ht="23.4" x14ac:dyDescent="0.45">
      <c r="A742" s="1">
        <f t="shared" si="35"/>
        <v>741</v>
      </c>
      <c r="B742" s="57" t="s">
        <v>23</v>
      </c>
      <c r="C742" s="57" t="s">
        <v>24</v>
      </c>
      <c r="D742" s="58">
        <v>4039</v>
      </c>
      <c r="E742" s="57" t="s">
        <v>825</v>
      </c>
      <c r="F742" s="132" t="s">
        <v>755</v>
      </c>
      <c r="G742" s="133">
        <v>5078</v>
      </c>
      <c r="H742" s="134" t="s">
        <v>826</v>
      </c>
      <c r="I742" s="134" t="s">
        <v>729</v>
      </c>
      <c r="J742" s="1993" t="s">
        <v>110</v>
      </c>
      <c r="K742" s="135" t="s">
        <v>111</v>
      </c>
      <c r="L742" s="157">
        <v>0.4</v>
      </c>
      <c r="M742" s="134"/>
      <c r="N742" s="334" t="s">
        <v>772</v>
      </c>
      <c r="O742" s="334"/>
      <c r="P742" s="134">
        <v>1</v>
      </c>
      <c r="Q742" s="177">
        <v>0.1</v>
      </c>
      <c r="R742" s="134"/>
      <c r="S742" s="134">
        <f t="shared" si="33"/>
        <v>0</v>
      </c>
      <c r="T742" s="133">
        <f t="shared" si="34"/>
        <v>0</v>
      </c>
      <c r="U742" s="134" t="s">
        <v>34</v>
      </c>
      <c r="V742" s="71"/>
      <c r="W742" s="134"/>
    </row>
    <row r="743" spans="1:23" ht="23.4" x14ac:dyDescent="0.45">
      <c r="A743" s="1">
        <f t="shared" si="35"/>
        <v>742</v>
      </c>
      <c r="B743" s="57" t="s">
        <v>23</v>
      </c>
      <c r="C743" s="57" t="s">
        <v>24</v>
      </c>
      <c r="D743" s="58">
        <v>4039</v>
      </c>
      <c r="E743" s="57" t="s">
        <v>825</v>
      </c>
      <c r="F743" s="132" t="s">
        <v>755</v>
      </c>
      <c r="G743" s="133">
        <v>5078</v>
      </c>
      <c r="H743" s="134" t="s">
        <v>826</v>
      </c>
      <c r="I743" s="134" t="s">
        <v>729</v>
      </c>
      <c r="J743" s="1993" t="s">
        <v>110</v>
      </c>
      <c r="K743" s="135" t="s">
        <v>111</v>
      </c>
      <c r="L743" s="157">
        <v>0.4</v>
      </c>
      <c r="M743" s="134"/>
      <c r="N743" s="334" t="s">
        <v>773</v>
      </c>
      <c r="O743" s="334"/>
      <c r="P743" s="134">
        <v>1</v>
      </c>
      <c r="Q743" s="177">
        <v>0.05</v>
      </c>
      <c r="R743" s="134"/>
      <c r="S743" s="134">
        <f t="shared" si="33"/>
        <v>0</v>
      </c>
      <c r="T743" s="133">
        <f t="shared" si="34"/>
        <v>0</v>
      </c>
      <c r="U743" s="134" t="s">
        <v>34</v>
      </c>
      <c r="V743" s="71"/>
      <c r="W743" s="134"/>
    </row>
    <row r="744" spans="1:23" ht="23.4" x14ac:dyDescent="0.45">
      <c r="A744" s="1">
        <f t="shared" si="35"/>
        <v>743</v>
      </c>
      <c r="B744" s="57" t="s">
        <v>23</v>
      </c>
      <c r="C744" s="57" t="s">
        <v>24</v>
      </c>
      <c r="D744" s="58">
        <v>4039</v>
      </c>
      <c r="E744" s="57" t="s">
        <v>825</v>
      </c>
      <c r="F744" s="132" t="s">
        <v>755</v>
      </c>
      <c r="G744" s="133">
        <v>5078</v>
      </c>
      <c r="H744" s="134" t="s">
        <v>826</v>
      </c>
      <c r="I744" s="134" t="s">
        <v>729</v>
      </c>
      <c r="J744" s="1993" t="s">
        <v>110</v>
      </c>
      <c r="K744" s="135" t="s">
        <v>111</v>
      </c>
      <c r="L744" s="157">
        <v>0.4</v>
      </c>
      <c r="M744" s="134"/>
      <c r="N744" s="334" t="s">
        <v>774</v>
      </c>
      <c r="O744" s="334"/>
      <c r="P744" s="134">
        <v>1</v>
      </c>
      <c r="Q744" s="177">
        <v>0.05</v>
      </c>
      <c r="R744" s="134"/>
      <c r="S744" s="134">
        <f t="shared" si="33"/>
        <v>0</v>
      </c>
      <c r="T744" s="133">
        <f t="shared" si="34"/>
        <v>0</v>
      </c>
      <c r="U744" s="134" t="s">
        <v>34</v>
      </c>
      <c r="V744" s="71"/>
      <c r="W744" s="134"/>
    </row>
    <row r="745" spans="1:23" ht="23.4" x14ac:dyDescent="0.45">
      <c r="A745" s="1">
        <f t="shared" si="35"/>
        <v>744</v>
      </c>
      <c r="B745" s="57" t="s">
        <v>23</v>
      </c>
      <c r="C745" s="57" t="s">
        <v>24</v>
      </c>
      <c r="D745" s="58">
        <v>4039</v>
      </c>
      <c r="E745" s="57" t="s">
        <v>825</v>
      </c>
      <c r="F745" s="132" t="s">
        <v>755</v>
      </c>
      <c r="G745" s="133">
        <v>5078</v>
      </c>
      <c r="H745" s="134" t="s">
        <v>826</v>
      </c>
      <c r="I745" s="134" t="s">
        <v>729</v>
      </c>
      <c r="J745" s="1993" t="s">
        <v>110</v>
      </c>
      <c r="K745" s="135" t="s">
        <v>111</v>
      </c>
      <c r="L745" s="157">
        <v>0.4</v>
      </c>
      <c r="M745" s="134"/>
      <c r="N745" s="334" t="s">
        <v>775</v>
      </c>
      <c r="O745" s="334"/>
      <c r="P745" s="134">
        <v>1</v>
      </c>
      <c r="Q745" s="177">
        <v>0.05</v>
      </c>
      <c r="R745" s="134"/>
      <c r="S745" s="134">
        <f t="shared" si="33"/>
        <v>0</v>
      </c>
      <c r="T745" s="133">
        <f t="shared" si="34"/>
        <v>0</v>
      </c>
      <c r="U745" s="134" t="s">
        <v>34</v>
      </c>
      <c r="V745" s="71"/>
      <c r="W745" s="134"/>
    </row>
    <row r="746" spans="1:23" ht="23.4" x14ac:dyDescent="0.45">
      <c r="A746" s="1">
        <f t="shared" si="35"/>
        <v>745</v>
      </c>
      <c r="B746" s="57" t="s">
        <v>23</v>
      </c>
      <c r="C746" s="57" t="s">
        <v>24</v>
      </c>
      <c r="D746" s="58">
        <v>4039</v>
      </c>
      <c r="E746" s="57" t="s">
        <v>825</v>
      </c>
      <c r="F746" s="132" t="s">
        <v>755</v>
      </c>
      <c r="G746" s="133">
        <v>5078</v>
      </c>
      <c r="H746" s="134" t="s">
        <v>826</v>
      </c>
      <c r="I746" s="134" t="s">
        <v>729</v>
      </c>
      <c r="J746" s="1993" t="s">
        <v>110</v>
      </c>
      <c r="K746" s="135" t="s">
        <v>111</v>
      </c>
      <c r="L746" s="157">
        <v>0.4</v>
      </c>
      <c r="M746" s="134"/>
      <c r="N746" s="334" t="s">
        <v>776</v>
      </c>
      <c r="O746" s="334"/>
      <c r="P746" s="134">
        <v>1</v>
      </c>
      <c r="Q746" s="177">
        <v>0.1</v>
      </c>
      <c r="R746" s="134"/>
      <c r="S746" s="134">
        <f t="shared" si="33"/>
        <v>0</v>
      </c>
      <c r="T746" s="133">
        <f t="shared" si="34"/>
        <v>0</v>
      </c>
      <c r="U746" s="134" t="s">
        <v>34</v>
      </c>
      <c r="V746" s="71"/>
      <c r="W746" s="134"/>
    </row>
    <row r="747" spans="1:23" ht="23.4" x14ac:dyDescent="0.45">
      <c r="A747" s="1">
        <f t="shared" si="35"/>
        <v>746</v>
      </c>
      <c r="B747" s="57" t="s">
        <v>23</v>
      </c>
      <c r="C747" s="57" t="s">
        <v>24</v>
      </c>
      <c r="D747" s="58">
        <v>4039</v>
      </c>
      <c r="E747" s="57" t="s">
        <v>825</v>
      </c>
      <c r="F747" s="132" t="s">
        <v>755</v>
      </c>
      <c r="G747" s="133">
        <v>5078</v>
      </c>
      <c r="H747" s="134" t="s">
        <v>826</v>
      </c>
      <c r="I747" s="134" t="s">
        <v>729</v>
      </c>
      <c r="J747" s="1993" t="s">
        <v>110</v>
      </c>
      <c r="K747" s="135" t="s">
        <v>111</v>
      </c>
      <c r="L747" s="157">
        <v>0.4</v>
      </c>
      <c r="M747" s="134"/>
      <c r="N747" s="334" t="s">
        <v>251</v>
      </c>
      <c r="O747" s="334"/>
      <c r="P747" s="134">
        <v>1</v>
      </c>
      <c r="Q747" s="177">
        <v>0.05</v>
      </c>
      <c r="R747" s="134"/>
      <c r="S747" s="134">
        <f t="shared" si="33"/>
        <v>0</v>
      </c>
      <c r="T747" s="133">
        <f t="shared" si="34"/>
        <v>0</v>
      </c>
      <c r="U747" s="134" t="s">
        <v>34</v>
      </c>
      <c r="V747" s="71"/>
      <c r="W747" s="134"/>
    </row>
    <row r="748" spans="1:23" ht="23.4" x14ac:dyDescent="0.45">
      <c r="A748" s="1">
        <f t="shared" si="35"/>
        <v>747</v>
      </c>
      <c r="B748" s="57" t="s">
        <v>23</v>
      </c>
      <c r="C748" s="57" t="s">
        <v>24</v>
      </c>
      <c r="D748" s="58">
        <v>4039</v>
      </c>
      <c r="E748" s="57" t="s">
        <v>825</v>
      </c>
      <c r="F748" s="132" t="s">
        <v>755</v>
      </c>
      <c r="G748" s="133">
        <v>5078</v>
      </c>
      <c r="H748" s="134" t="s">
        <v>826</v>
      </c>
      <c r="I748" s="134" t="s">
        <v>729</v>
      </c>
      <c r="J748" s="1993" t="s">
        <v>110</v>
      </c>
      <c r="K748" s="135" t="s">
        <v>111</v>
      </c>
      <c r="L748" s="157">
        <v>0.4</v>
      </c>
      <c r="M748" s="134"/>
      <c r="N748" s="334" t="s">
        <v>252</v>
      </c>
      <c r="O748" s="334"/>
      <c r="P748" s="134">
        <v>1</v>
      </c>
      <c r="Q748" s="177">
        <v>0.05</v>
      </c>
      <c r="R748" s="134"/>
      <c r="S748" s="134">
        <f t="shared" si="33"/>
        <v>0</v>
      </c>
      <c r="T748" s="133">
        <f t="shared" si="34"/>
        <v>0</v>
      </c>
      <c r="U748" s="134" t="s">
        <v>34</v>
      </c>
      <c r="V748" s="71"/>
      <c r="W748" s="134"/>
    </row>
    <row r="749" spans="1:23" ht="23.4" x14ac:dyDescent="0.45">
      <c r="A749" s="1">
        <f t="shared" si="35"/>
        <v>748</v>
      </c>
      <c r="B749" s="57" t="s">
        <v>23</v>
      </c>
      <c r="C749" s="57" t="s">
        <v>24</v>
      </c>
      <c r="D749" s="58">
        <v>4039</v>
      </c>
      <c r="E749" s="57" t="s">
        <v>825</v>
      </c>
      <c r="F749" s="132" t="s">
        <v>755</v>
      </c>
      <c r="G749" s="133">
        <v>5078</v>
      </c>
      <c r="H749" s="134" t="s">
        <v>826</v>
      </c>
      <c r="I749" s="134" t="s">
        <v>729</v>
      </c>
      <c r="J749" s="1993" t="s">
        <v>110</v>
      </c>
      <c r="K749" s="135" t="s">
        <v>111</v>
      </c>
      <c r="L749" s="157">
        <v>0.4</v>
      </c>
      <c r="M749" s="134"/>
      <c r="N749" s="334" t="s">
        <v>777</v>
      </c>
      <c r="O749" s="334"/>
      <c r="P749" s="134">
        <v>1</v>
      </c>
      <c r="Q749" s="177">
        <v>0.05</v>
      </c>
      <c r="R749" s="134"/>
      <c r="S749" s="134">
        <f t="shared" si="33"/>
        <v>0</v>
      </c>
      <c r="T749" s="133">
        <f t="shared" si="34"/>
        <v>0</v>
      </c>
      <c r="U749" s="134" t="s">
        <v>34</v>
      </c>
      <c r="V749" s="71"/>
      <c r="W749" s="134"/>
    </row>
    <row r="750" spans="1:23" ht="23.4" x14ac:dyDescent="0.45">
      <c r="A750" s="1">
        <f t="shared" si="35"/>
        <v>749</v>
      </c>
      <c r="B750" s="57" t="s">
        <v>23</v>
      </c>
      <c r="C750" s="57" t="s">
        <v>24</v>
      </c>
      <c r="D750" s="58">
        <v>4039</v>
      </c>
      <c r="E750" s="57" t="s">
        <v>825</v>
      </c>
      <c r="F750" s="132" t="s">
        <v>755</v>
      </c>
      <c r="G750" s="133">
        <v>5078</v>
      </c>
      <c r="H750" s="134" t="s">
        <v>826</v>
      </c>
      <c r="I750" s="134" t="s">
        <v>729</v>
      </c>
      <c r="J750" s="1993" t="s">
        <v>110</v>
      </c>
      <c r="K750" s="135" t="s">
        <v>111</v>
      </c>
      <c r="L750" s="157">
        <v>0.4</v>
      </c>
      <c r="M750" s="134"/>
      <c r="N750" s="334" t="s">
        <v>253</v>
      </c>
      <c r="O750" s="334"/>
      <c r="P750" s="134">
        <v>1</v>
      </c>
      <c r="Q750" s="177">
        <v>0.05</v>
      </c>
      <c r="R750" s="134"/>
      <c r="S750" s="134">
        <f t="shared" si="33"/>
        <v>0</v>
      </c>
      <c r="T750" s="133">
        <f t="shared" si="34"/>
        <v>0</v>
      </c>
      <c r="U750" s="134" t="s">
        <v>34</v>
      </c>
      <c r="V750" s="71"/>
      <c r="W750" s="134"/>
    </row>
    <row r="751" spans="1:23" ht="23.4" x14ac:dyDescent="0.45">
      <c r="A751" s="1">
        <f t="shared" si="35"/>
        <v>750</v>
      </c>
      <c r="B751" s="99" t="s">
        <v>23</v>
      </c>
      <c r="C751" s="99" t="s">
        <v>24</v>
      </c>
      <c r="D751" s="100">
        <v>5078</v>
      </c>
      <c r="E751" s="99" t="s">
        <v>826</v>
      </c>
      <c r="F751" s="167" t="s">
        <v>837</v>
      </c>
      <c r="G751" s="168">
        <v>4051</v>
      </c>
      <c r="H751" s="148" t="s">
        <v>838</v>
      </c>
      <c r="I751" s="148" t="s">
        <v>729</v>
      </c>
      <c r="J751" s="1995" t="s">
        <v>57</v>
      </c>
      <c r="K751" s="170" t="s">
        <v>58</v>
      </c>
      <c r="L751" s="104">
        <v>0.4</v>
      </c>
      <c r="M751" s="148"/>
      <c r="N751" s="91" t="s">
        <v>839</v>
      </c>
      <c r="O751" s="91"/>
      <c r="P751" s="178">
        <v>1</v>
      </c>
      <c r="Q751" s="98">
        <v>0.2</v>
      </c>
      <c r="R751" s="178"/>
      <c r="S751" s="148">
        <f t="shared" si="33"/>
        <v>0</v>
      </c>
      <c r="T751" s="168">
        <f t="shared" si="34"/>
        <v>0</v>
      </c>
      <c r="U751" s="148" t="s">
        <v>34</v>
      </c>
      <c r="V751" s="1958">
        <f>SUM(T751:T768)%</f>
        <v>0</v>
      </c>
      <c r="W751" s="148"/>
    </row>
    <row r="752" spans="1:23" ht="23.4" x14ac:dyDescent="0.45">
      <c r="A752" s="1">
        <f t="shared" si="35"/>
        <v>751</v>
      </c>
      <c r="B752" s="57" t="s">
        <v>23</v>
      </c>
      <c r="C752" s="57" t="s">
        <v>24</v>
      </c>
      <c r="D752" s="58">
        <v>5078</v>
      </c>
      <c r="E752" s="57" t="s">
        <v>826</v>
      </c>
      <c r="F752" s="151" t="s">
        <v>837</v>
      </c>
      <c r="G752" s="152">
        <v>4051</v>
      </c>
      <c r="H752" s="153" t="s">
        <v>838</v>
      </c>
      <c r="I752" s="153" t="s">
        <v>729</v>
      </c>
      <c r="J752" s="1984" t="s">
        <v>57</v>
      </c>
      <c r="K752" s="31" t="s">
        <v>58</v>
      </c>
      <c r="L752" s="149">
        <v>0.4</v>
      </c>
      <c r="M752" s="35"/>
      <c r="N752" s="184" t="s">
        <v>840</v>
      </c>
      <c r="O752" s="184"/>
      <c r="P752" s="179">
        <v>1</v>
      </c>
      <c r="Q752" s="81">
        <v>0.05</v>
      </c>
      <c r="R752" s="179"/>
      <c r="S752" s="153">
        <f t="shared" si="33"/>
        <v>0</v>
      </c>
      <c r="T752" s="152">
        <f t="shared" si="34"/>
        <v>0</v>
      </c>
      <c r="U752" s="153" t="s">
        <v>34</v>
      </c>
      <c r="V752" s="430"/>
      <c r="W752" s="153"/>
    </row>
    <row r="753" spans="1:23" ht="23.4" x14ac:dyDescent="0.45">
      <c r="A753" s="1">
        <f t="shared" si="35"/>
        <v>752</v>
      </c>
      <c r="B753" s="57" t="s">
        <v>23</v>
      </c>
      <c r="C753" s="57" t="s">
        <v>24</v>
      </c>
      <c r="D753" s="58">
        <v>5078</v>
      </c>
      <c r="E753" s="57" t="s">
        <v>826</v>
      </c>
      <c r="F753" s="151" t="s">
        <v>837</v>
      </c>
      <c r="G753" s="152">
        <v>4051</v>
      </c>
      <c r="H753" s="153" t="s">
        <v>838</v>
      </c>
      <c r="I753" s="153" t="s">
        <v>729</v>
      </c>
      <c r="J753" s="1984" t="s">
        <v>57</v>
      </c>
      <c r="K753" s="31" t="s">
        <v>58</v>
      </c>
      <c r="L753" s="149">
        <v>0.4</v>
      </c>
      <c r="M753" s="35"/>
      <c r="N753" s="184" t="s">
        <v>841</v>
      </c>
      <c r="O753" s="184"/>
      <c r="P753" s="179">
        <v>1</v>
      </c>
      <c r="Q753" s="81">
        <v>0.05</v>
      </c>
      <c r="R753" s="179"/>
      <c r="S753" s="153">
        <f t="shared" si="33"/>
        <v>0</v>
      </c>
      <c r="T753" s="152">
        <f t="shared" si="34"/>
        <v>0</v>
      </c>
      <c r="U753" s="153" t="s">
        <v>34</v>
      </c>
      <c r="V753" s="430"/>
      <c r="W753" s="153"/>
    </row>
    <row r="754" spans="1:23" ht="23.4" x14ac:dyDescent="0.45">
      <c r="A754" s="1">
        <f t="shared" si="35"/>
        <v>753</v>
      </c>
      <c r="B754" s="57" t="s">
        <v>23</v>
      </c>
      <c r="C754" s="57" t="s">
        <v>24</v>
      </c>
      <c r="D754" s="58">
        <v>5078</v>
      </c>
      <c r="E754" s="57" t="s">
        <v>826</v>
      </c>
      <c r="F754" s="151" t="s">
        <v>837</v>
      </c>
      <c r="G754" s="152">
        <v>4051</v>
      </c>
      <c r="H754" s="153" t="s">
        <v>838</v>
      </c>
      <c r="I754" s="153" t="s">
        <v>729</v>
      </c>
      <c r="J754" s="1984" t="s">
        <v>57</v>
      </c>
      <c r="K754" s="31" t="s">
        <v>58</v>
      </c>
      <c r="L754" s="149">
        <v>0.4</v>
      </c>
      <c r="M754" s="35"/>
      <c r="N754" s="184" t="s">
        <v>842</v>
      </c>
      <c r="O754" s="184"/>
      <c r="P754" s="179">
        <v>1</v>
      </c>
      <c r="Q754" s="81">
        <v>0.05</v>
      </c>
      <c r="R754" s="179"/>
      <c r="S754" s="153">
        <f t="shared" si="33"/>
        <v>0</v>
      </c>
      <c r="T754" s="152">
        <f t="shared" si="34"/>
        <v>0</v>
      </c>
      <c r="U754" s="153" t="s">
        <v>34</v>
      </c>
      <c r="V754" s="430"/>
      <c r="W754" s="153"/>
    </row>
    <row r="755" spans="1:23" ht="23.4" x14ac:dyDescent="0.45">
      <c r="A755" s="1">
        <f t="shared" si="35"/>
        <v>754</v>
      </c>
      <c r="B755" s="57" t="s">
        <v>23</v>
      </c>
      <c r="C755" s="57" t="s">
        <v>24</v>
      </c>
      <c r="D755" s="58">
        <v>5078</v>
      </c>
      <c r="E755" s="57" t="s">
        <v>826</v>
      </c>
      <c r="F755" s="151" t="s">
        <v>837</v>
      </c>
      <c r="G755" s="152">
        <v>4051</v>
      </c>
      <c r="H755" s="153" t="s">
        <v>838</v>
      </c>
      <c r="I755" s="153" t="s">
        <v>729</v>
      </c>
      <c r="J755" s="1984" t="s">
        <v>57</v>
      </c>
      <c r="K755" s="31" t="s">
        <v>58</v>
      </c>
      <c r="L755" s="149">
        <v>0.4</v>
      </c>
      <c r="M755" s="35"/>
      <c r="N755" s="184" t="s">
        <v>843</v>
      </c>
      <c r="O755" s="184"/>
      <c r="P755" s="179">
        <v>1</v>
      </c>
      <c r="Q755" s="81">
        <v>0.2</v>
      </c>
      <c r="R755" s="179"/>
      <c r="S755" s="153">
        <f t="shared" si="33"/>
        <v>0</v>
      </c>
      <c r="T755" s="152">
        <f t="shared" si="34"/>
        <v>0</v>
      </c>
      <c r="U755" s="153" t="s">
        <v>34</v>
      </c>
      <c r="V755" s="430"/>
      <c r="W755" s="153"/>
    </row>
    <row r="756" spans="1:23" ht="23.4" x14ac:dyDescent="0.45">
      <c r="A756" s="1">
        <f t="shared" si="35"/>
        <v>755</v>
      </c>
      <c r="B756" s="57" t="s">
        <v>23</v>
      </c>
      <c r="C756" s="57" t="s">
        <v>24</v>
      </c>
      <c r="D756" s="58">
        <v>5078</v>
      </c>
      <c r="E756" s="57" t="s">
        <v>826</v>
      </c>
      <c r="F756" s="151" t="s">
        <v>837</v>
      </c>
      <c r="G756" s="152">
        <v>4051</v>
      </c>
      <c r="H756" s="153" t="s">
        <v>838</v>
      </c>
      <c r="I756" s="153" t="s">
        <v>729</v>
      </c>
      <c r="J756" s="1984" t="s">
        <v>57</v>
      </c>
      <c r="K756" s="31" t="s">
        <v>58</v>
      </c>
      <c r="L756" s="149">
        <v>0.4</v>
      </c>
      <c r="M756" s="35"/>
      <c r="N756" s="184" t="s">
        <v>844</v>
      </c>
      <c r="O756" s="184"/>
      <c r="P756" s="179">
        <v>1</v>
      </c>
      <c r="Q756" s="81">
        <v>0.1</v>
      </c>
      <c r="R756" s="179"/>
      <c r="S756" s="153">
        <f t="shared" si="33"/>
        <v>0</v>
      </c>
      <c r="T756" s="152">
        <f t="shared" si="34"/>
        <v>0</v>
      </c>
      <c r="U756" s="153" t="s">
        <v>34</v>
      </c>
      <c r="V756" s="430"/>
      <c r="W756" s="153"/>
    </row>
    <row r="757" spans="1:23" ht="23.4" x14ac:dyDescent="0.45">
      <c r="A757" s="1">
        <f t="shared" si="35"/>
        <v>756</v>
      </c>
      <c r="B757" s="57" t="s">
        <v>23</v>
      </c>
      <c r="C757" s="57" t="s">
        <v>24</v>
      </c>
      <c r="D757" s="58">
        <v>5078</v>
      </c>
      <c r="E757" s="57" t="s">
        <v>826</v>
      </c>
      <c r="F757" s="151" t="s">
        <v>837</v>
      </c>
      <c r="G757" s="152">
        <v>4051</v>
      </c>
      <c r="H757" s="153" t="s">
        <v>838</v>
      </c>
      <c r="I757" s="153" t="s">
        <v>729</v>
      </c>
      <c r="J757" s="1984" t="s">
        <v>57</v>
      </c>
      <c r="K757" s="31" t="s">
        <v>58</v>
      </c>
      <c r="L757" s="149">
        <v>0.4</v>
      </c>
      <c r="M757" s="35"/>
      <c r="N757" s="184" t="s">
        <v>845</v>
      </c>
      <c r="O757" s="184"/>
      <c r="P757" s="179">
        <v>1</v>
      </c>
      <c r="Q757" s="81">
        <v>0.05</v>
      </c>
      <c r="R757" s="179"/>
      <c r="S757" s="153">
        <f t="shared" si="33"/>
        <v>0</v>
      </c>
      <c r="T757" s="152">
        <f t="shared" si="34"/>
        <v>0</v>
      </c>
      <c r="U757" s="153" t="s">
        <v>34</v>
      </c>
      <c r="V757" s="430"/>
      <c r="W757" s="153"/>
    </row>
    <row r="758" spans="1:23" ht="23.4" x14ac:dyDescent="0.45">
      <c r="A758" s="1">
        <f t="shared" si="35"/>
        <v>757</v>
      </c>
      <c r="B758" s="57" t="s">
        <v>23</v>
      </c>
      <c r="C758" s="57" t="s">
        <v>24</v>
      </c>
      <c r="D758" s="58">
        <v>5078</v>
      </c>
      <c r="E758" s="57" t="s">
        <v>826</v>
      </c>
      <c r="F758" s="151" t="s">
        <v>837</v>
      </c>
      <c r="G758" s="152">
        <v>4051</v>
      </c>
      <c r="H758" s="153" t="s">
        <v>838</v>
      </c>
      <c r="I758" s="153" t="s">
        <v>729</v>
      </c>
      <c r="J758" s="1984" t="s">
        <v>57</v>
      </c>
      <c r="K758" s="31" t="s">
        <v>58</v>
      </c>
      <c r="L758" s="149">
        <v>0.4</v>
      </c>
      <c r="M758" s="35"/>
      <c r="N758" s="184" t="s">
        <v>846</v>
      </c>
      <c r="O758" s="184"/>
      <c r="P758" s="179">
        <v>1</v>
      </c>
      <c r="Q758" s="81">
        <v>0.05</v>
      </c>
      <c r="R758" s="179"/>
      <c r="S758" s="153">
        <f t="shared" si="33"/>
        <v>0</v>
      </c>
      <c r="T758" s="152">
        <f t="shared" si="34"/>
        <v>0</v>
      </c>
      <c r="U758" s="153" t="s">
        <v>34</v>
      </c>
      <c r="V758" s="430"/>
      <c r="W758" s="153"/>
    </row>
    <row r="759" spans="1:23" ht="23.4" x14ac:dyDescent="0.45">
      <c r="A759" s="1">
        <f t="shared" si="35"/>
        <v>758</v>
      </c>
      <c r="B759" s="57" t="s">
        <v>23</v>
      </c>
      <c r="C759" s="57" t="s">
        <v>24</v>
      </c>
      <c r="D759" s="58">
        <v>5078</v>
      </c>
      <c r="E759" s="57" t="s">
        <v>826</v>
      </c>
      <c r="F759" s="151" t="s">
        <v>837</v>
      </c>
      <c r="G759" s="152">
        <v>4051</v>
      </c>
      <c r="H759" s="153" t="s">
        <v>838</v>
      </c>
      <c r="I759" s="153" t="s">
        <v>729</v>
      </c>
      <c r="J759" s="1984" t="s">
        <v>57</v>
      </c>
      <c r="K759" s="31" t="s">
        <v>58</v>
      </c>
      <c r="L759" s="149">
        <v>0.4</v>
      </c>
      <c r="M759" s="35"/>
      <c r="N759" s="184" t="s">
        <v>847</v>
      </c>
      <c r="O759" s="184"/>
      <c r="P759" s="179">
        <v>1</v>
      </c>
      <c r="Q759" s="81">
        <v>0.05</v>
      </c>
      <c r="R759" s="179"/>
      <c r="S759" s="153">
        <f t="shared" si="33"/>
        <v>0</v>
      </c>
      <c r="T759" s="152">
        <f t="shared" si="34"/>
        <v>0</v>
      </c>
      <c r="U759" s="153" t="s">
        <v>34</v>
      </c>
      <c r="V759" s="430"/>
      <c r="W759" s="153"/>
    </row>
    <row r="760" spans="1:23" ht="23.4" x14ac:dyDescent="0.45">
      <c r="A760" s="1">
        <f t="shared" si="35"/>
        <v>759</v>
      </c>
      <c r="B760" s="57" t="s">
        <v>23</v>
      </c>
      <c r="C760" s="57" t="s">
        <v>24</v>
      </c>
      <c r="D760" s="58">
        <v>5078</v>
      </c>
      <c r="E760" s="57" t="s">
        <v>826</v>
      </c>
      <c r="F760" s="151" t="s">
        <v>837</v>
      </c>
      <c r="G760" s="152">
        <v>4051</v>
      </c>
      <c r="H760" s="153" t="s">
        <v>838</v>
      </c>
      <c r="I760" s="153" t="s">
        <v>729</v>
      </c>
      <c r="J760" s="1984" t="s">
        <v>57</v>
      </c>
      <c r="K760" s="31" t="s">
        <v>58</v>
      </c>
      <c r="L760" s="149">
        <v>0.4</v>
      </c>
      <c r="M760" s="35"/>
      <c r="N760" s="184" t="s">
        <v>848</v>
      </c>
      <c r="O760" s="184"/>
      <c r="P760" s="179">
        <v>1</v>
      </c>
      <c r="Q760" s="81">
        <v>0.1</v>
      </c>
      <c r="R760" s="179"/>
      <c r="S760" s="153">
        <f t="shared" si="33"/>
        <v>0</v>
      </c>
      <c r="T760" s="152">
        <f t="shared" si="34"/>
        <v>0</v>
      </c>
      <c r="U760" s="153" t="s">
        <v>34</v>
      </c>
      <c r="V760" s="430"/>
      <c r="W760" s="153"/>
    </row>
    <row r="761" spans="1:23" ht="23.4" x14ac:dyDescent="0.45">
      <c r="A761" s="1">
        <f t="shared" si="35"/>
        <v>760</v>
      </c>
      <c r="B761" s="57" t="s">
        <v>23</v>
      </c>
      <c r="C761" s="57" t="s">
        <v>24</v>
      </c>
      <c r="D761" s="58">
        <v>5078</v>
      </c>
      <c r="E761" s="57" t="s">
        <v>826</v>
      </c>
      <c r="F761" s="151" t="s">
        <v>837</v>
      </c>
      <c r="G761" s="152">
        <v>4051</v>
      </c>
      <c r="H761" s="153" t="s">
        <v>838</v>
      </c>
      <c r="I761" s="153" t="s">
        <v>729</v>
      </c>
      <c r="J761" s="1984" t="s">
        <v>57</v>
      </c>
      <c r="K761" s="31" t="s">
        <v>58</v>
      </c>
      <c r="L761" s="149">
        <v>0.4</v>
      </c>
      <c r="M761" s="35"/>
      <c r="N761" s="184" t="s">
        <v>849</v>
      </c>
      <c r="O761" s="184"/>
      <c r="P761" s="179">
        <v>1</v>
      </c>
      <c r="Q761" s="81">
        <v>0.1</v>
      </c>
      <c r="R761" s="179"/>
      <c r="S761" s="153">
        <f t="shared" si="33"/>
        <v>0</v>
      </c>
      <c r="T761" s="152">
        <f t="shared" si="34"/>
        <v>0</v>
      </c>
      <c r="U761" s="153" t="s">
        <v>34</v>
      </c>
      <c r="V761" s="430"/>
      <c r="W761" s="153"/>
    </row>
    <row r="762" spans="1:23" ht="23.4" x14ac:dyDescent="0.45">
      <c r="A762" s="1">
        <f t="shared" si="35"/>
        <v>761</v>
      </c>
      <c r="B762" s="57" t="s">
        <v>23</v>
      </c>
      <c r="C762" s="57" t="s">
        <v>24</v>
      </c>
      <c r="D762" s="58">
        <v>5078</v>
      </c>
      <c r="E762" s="57" t="s">
        <v>826</v>
      </c>
      <c r="F762" s="154" t="s">
        <v>837</v>
      </c>
      <c r="G762" s="155">
        <v>4051</v>
      </c>
      <c r="H762" s="156" t="s">
        <v>838</v>
      </c>
      <c r="I762" s="156" t="s">
        <v>729</v>
      </c>
      <c r="J762" s="1993" t="s">
        <v>110</v>
      </c>
      <c r="K762" s="135" t="s">
        <v>111</v>
      </c>
      <c r="L762" s="157">
        <v>0.6</v>
      </c>
      <c r="M762" s="134"/>
      <c r="N762" s="334" t="s">
        <v>850</v>
      </c>
      <c r="O762" s="334"/>
      <c r="P762" s="180">
        <v>1</v>
      </c>
      <c r="Q762" s="159">
        <v>0.05</v>
      </c>
      <c r="R762" s="180"/>
      <c r="S762" s="156">
        <f t="shared" si="33"/>
        <v>0</v>
      </c>
      <c r="T762" s="155">
        <f t="shared" si="34"/>
        <v>0</v>
      </c>
      <c r="U762" s="156" t="s">
        <v>34</v>
      </c>
      <c r="V762" s="412"/>
      <c r="W762" s="156"/>
    </row>
    <row r="763" spans="1:23" ht="23.4" x14ac:dyDescent="0.45">
      <c r="A763" s="1">
        <f t="shared" si="35"/>
        <v>762</v>
      </c>
      <c r="B763" s="15" t="s">
        <v>23</v>
      </c>
      <c r="C763" s="15" t="s">
        <v>24</v>
      </c>
      <c r="D763" s="68">
        <v>5078</v>
      </c>
      <c r="E763" s="15" t="s">
        <v>826</v>
      </c>
      <c r="F763" s="166" t="s">
        <v>837</v>
      </c>
      <c r="G763" s="161">
        <v>4051</v>
      </c>
      <c r="H763" s="160" t="s">
        <v>838</v>
      </c>
      <c r="I763" s="160" t="s">
        <v>729</v>
      </c>
      <c r="J763" s="1994" t="s">
        <v>110</v>
      </c>
      <c r="K763" s="163" t="s">
        <v>111</v>
      </c>
      <c r="L763" s="175">
        <v>0.6</v>
      </c>
      <c r="M763" s="160"/>
      <c r="N763" s="357" t="s">
        <v>851</v>
      </c>
      <c r="O763" s="357"/>
      <c r="P763" s="164">
        <v>1</v>
      </c>
      <c r="Q763" s="165">
        <v>0.1</v>
      </c>
      <c r="R763" s="164"/>
      <c r="S763" s="160">
        <f t="shared" si="33"/>
        <v>0</v>
      </c>
      <c r="T763" s="161">
        <f t="shared" si="34"/>
        <v>0</v>
      </c>
      <c r="U763" s="160" t="s">
        <v>34</v>
      </c>
      <c r="V763" s="71"/>
      <c r="W763" s="160"/>
    </row>
    <row r="764" spans="1:23" ht="23.4" x14ac:dyDescent="0.45">
      <c r="A764" s="1">
        <f t="shared" si="35"/>
        <v>763</v>
      </c>
      <c r="B764" s="15" t="s">
        <v>23</v>
      </c>
      <c r="C764" s="15" t="s">
        <v>24</v>
      </c>
      <c r="D764" s="68">
        <v>5078</v>
      </c>
      <c r="E764" s="15" t="s">
        <v>826</v>
      </c>
      <c r="F764" s="166" t="s">
        <v>837</v>
      </c>
      <c r="G764" s="161">
        <v>4051</v>
      </c>
      <c r="H764" s="160" t="s">
        <v>838</v>
      </c>
      <c r="I764" s="160" t="s">
        <v>729</v>
      </c>
      <c r="J764" s="1994" t="s">
        <v>110</v>
      </c>
      <c r="K764" s="163" t="s">
        <v>111</v>
      </c>
      <c r="L764" s="175">
        <v>0.6</v>
      </c>
      <c r="M764" s="160"/>
      <c r="N764" s="357" t="s">
        <v>852</v>
      </c>
      <c r="O764" s="357"/>
      <c r="P764" s="164">
        <v>1</v>
      </c>
      <c r="Q764" s="165">
        <v>0.1</v>
      </c>
      <c r="R764" s="164"/>
      <c r="S764" s="160">
        <f t="shared" si="33"/>
        <v>0</v>
      </c>
      <c r="T764" s="161">
        <f t="shared" si="34"/>
        <v>0</v>
      </c>
      <c r="U764" s="160" t="s">
        <v>34</v>
      </c>
      <c r="V764" s="71"/>
      <c r="W764" s="160"/>
    </row>
    <row r="765" spans="1:23" ht="23.4" x14ac:dyDescent="0.45">
      <c r="A765" s="1">
        <f t="shared" si="35"/>
        <v>764</v>
      </c>
      <c r="B765" s="15" t="s">
        <v>23</v>
      </c>
      <c r="C765" s="15" t="s">
        <v>24</v>
      </c>
      <c r="D765" s="68">
        <v>5078</v>
      </c>
      <c r="E765" s="15" t="s">
        <v>826</v>
      </c>
      <c r="F765" s="166" t="s">
        <v>837</v>
      </c>
      <c r="G765" s="161">
        <v>4051</v>
      </c>
      <c r="H765" s="160" t="s">
        <v>838</v>
      </c>
      <c r="I765" s="160" t="s">
        <v>729</v>
      </c>
      <c r="J765" s="1994" t="s">
        <v>110</v>
      </c>
      <c r="K765" s="163" t="s">
        <v>111</v>
      </c>
      <c r="L765" s="175">
        <v>0.6</v>
      </c>
      <c r="M765" s="160"/>
      <c r="N765" s="357" t="s">
        <v>853</v>
      </c>
      <c r="O765" s="357"/>
      <c r="P765" s="164">
        <v>1</v>
      </c>
      <c r="Q765" s="165">
        <v>0.25</v>
      </c>
      <c r="R765" s="164"/>
      <c r="S765" s="160">
        <f t="shared" si="33"/>
        <v>0</v>
      </c>
      <c r="T765" s="161">
        <f t="shared" si="34"/>
        <v>0</v>
      </c>
      <c r="U765" s="160" t="s">
        <v>34</v>
      </c>
      <c r="V765" s="71"/>
      <c r="W765" s="160"/>
    </row>
    <row r="766" spans="1:23" ht="23.4" x14ac:dyDescent="0.45">
      <c r="A766" s="1">
        <f t="shared" si="35"/>
        <v>765</v>
      </c>
      <c r="B766" s="15" t="s">
        <v>23</v>
      </c>
      <c r="C766" s="15" t="s">
        <v>24</v>
      </c>
      <c r="D766" s="68">
        <v>5078</v>
      </c>
      <c r="E766" s="15" t="s">
        <v>826</v>
      </c>
      <c r="F766" s="166" t="s">
        <v>837</v>
      </c>
      <c r="G766" s="161">
        <v>4051</v>
      </c>
      <c r="H766" s="160" t="s">
        <v>838</v>
      </c>
      <c r="I766" s="160" t="s">
        <v>729</v>
      </c>
      <c r="J766" s="1994" t="s">
        <v>110</v>
      </c>
      <c r="K766" s="163" t="s">
        <v>111</v>
      </c>
      <c r="L766" s="175">
        <v>0.6</v>
      </c>
      <c r="M766" s="160"/>
      <c r="N766" s="357" t="s">
        <v>854</v>
      </c>
      <c r="O766" s="357"/>
      <c r="P766" s="164">
        <v>1</v>
      </c>
      <c r="Q766" s="165">
        <v>0.2</v>
      </c>
      <c r="R766" s="164"/>
      <c r="S766" s="160">
        <f t="shared" si="33"/>
        <v>0</v>
      </c>
      <c r="T766" s="161">
        <f t="shared" si="34"/>
        <v>0</v>
      </c>
      <c r="U766" s="160" t="s">
        <v>34</v>
      </c>
      <c r="V766" s="71"/>
      <c r="W766" s="160"/>
    </row>
    <row r="767" spans="1:23" ht="23.4" x14ac:dyDescent="0.45">
      <c r="A767" s="1">
        <f t="shared" si="35"/>
        <v>766</v>
      </c>
      <c r="B767" s="57" t="s">
        <v>23</v>
      </c>
      <c r="C767" s="57" t="s">
        <v>24</v>
      </c>
      <c r="D767" s="58">
        <v>5078</v>
      </c>
      <c r="E767" s="57" t="s">
        <v>826</v>
      </c>
      <c r="F767" s="154" t="s">
        <v>837</v>
      </c>
      <c r="G767" s="155">
        <v>4051</v>
      </c>
      <c r="H767" s="156" t="s">
        <v>838</v>
      </c>
      <c r="I767" s="156" t="s">
        <v>729</v>
      </c>
      <c r="J767" s="1993" t="s">
        <v>110</v>
      </c>
      <c r="K767" s="135" t="s">
        <v>111</v>
      </c>
      <c r="L767" s="157">
        <v>0.6</v>
      </c>
      <c r="M767" s="134"/>
      <c r="N767" s="334" t="s">
        <v>855</v>
      </c>
      <c r="O767" s="334"/>
      <c r="P767" s="180">
        <v>1</v>
      </c>
      <c r="Q767" s="159">
        <v>0.15</v>
      </c>
      <c r="R767" s="180"/>
      <c r="S767" s="156">
        <f t="shared" si="33"/>
        <v>0</v>
      </c>
      <c r="T767" s="155">
        <f t="shared" si="34"/>
        <v>0</v>
      </c>
      <c r="U767" s="156" t="s">
        <v>34</v>
      </c>
      <c r="V767" s="412"/>
      <c r="W767" s="156"/>
    </row>
    <row r="768" spans="1:23" ht="23.4" x14ac:dyDescent="0.45">
      <c r="A768" s="1">
        <f t="shared" si="35"/>
        <v>767</v>
      </c>
      <c r="B768" s="57" t="s">
        <v>23</v>
      </c>
      <c r="C768" s="57" t="s">
        <v>24</v>
      </c>
      <c r="D768" s="58">
        <v>5078</v>
      </c>
      <c r="E768" s="57" t="s">
        <v>826</v>
      </c>
      <c r="F768" s="154" t="s">
        <v>837</v>
      </c>
      <c r="G768" s="155">
        <v>4051</v>
      </c>
      <c r="H768" s="156" t="s">
        <v>838</v>
      </c>
      <c r="I768" s="156" t="s">
        <v>729</v>
      </c>
      <c r="J768" s="1993" t="s">
        <v>110</v>
      </c>
      <c r="K768" s="135" t="s">
        <v>111</v>
      </c>
      <c r="L768" s="157">
        <v>0.6</v>
      </c>
      <c r="M768" s="134"/>
      <c r="N768" s="334" t="s">
        <v>856</v>
      </c>
      <c r="O768" s="334"/>
      <c r="P768" s="180">
        <v>1</v>
      </c>
      <c r="Q768" s="159">
        <v>0.15</v>
      </c>
      <c r="R768" s="180"/>
      <c r="S768" s="156">
        <f t="shared" si="33"/>
        <v>0</v>
      </c>
      <c r="T768" s="155">
        <f t="shared" si="34"/>
        <v>0</v>
      </c>
      <c r="U768" s="156" t="s">
        <v>34</v>
      </c>
      <c r="V768" s="71"/>
      <c r="W768" s="156"/>
    </row>
    <row r="769" spans="1:23" ht="23.4" x14ac:dyDescent="0.45">
      <c r="A769" s="1">
        <f t="shared" si="35"/>
        <v>768</v>
      </c>
      <c r="B769" s="99" t="s">
        <v>23</v>
      </c>
      <c r="C769" s="99" t="s">
        <v>24</v>
      </c>
      <c r="D769" s="100">
        <v>3756</v>
      </c>
      <c r="E769" s="99" t="s">
        <v>857</v>
      </c>
      <c r="F769" s="167" t="s">
        <v>755</v>
      </c>
      <c r="G769" s="168">
        <v>5078</v>
      </c>
      <c r="H769" s="148" t="s">
        <v>826</v>
      </c>
      <c r="I769" s="148" t="s">
        <v>729</v>
      </c>
      <c r="J769" s="1995" t="s">
        <v>57</v>
      </c>
      <c r="K769" s="170" t="s">
        <v>58</v>
      </c>
      <c r="L769" s="104">
        <v>0.6</v>
      </c>
      <c r="M769" s="148"/>
      <c r="N769" s="91" t="s">
        <v>858</v>
      </c>
      <c r="O769" s="91"/>
      <c r="P769" s="148">
        <v>1</v>
      </c>
      <c r="Q769" s="98">
        <v>0.05</v>
      </c>
      <c r="R769" s="148"/>
      <c r="S769" s="148">
        <f t="shared" si="33"/>
        <v>0</v>
      </c>
      <c r="T769" s="168">
        <f t="shared" si="34"/>
        <v>0</v>
      </c>
      <c r="U769" s="148" t="s">
        <v>34</v>
      </c>
      <c r="V769" s="1960">
        <f>SUM(T769:T793)%</f>
        <v>0</v>
      </c>
      <c r="W769" s="148"/>
    </row>
    <row r="770" spans="1:23" ht="23.4" x14ac:dyDescent="0.45">
      <c r="A770" s="1">
        <f t="shared" si="35"/>
        <v>769</v>
      </c>
      <c r="B770" s="57" t="s">
        <v>23</v>
      </c>
      <c r="C770" s="57" t="s">
        <v>24</v>
      </c>
      <c r="D770" s="58">
        <v>3756</v>
      </c>
      <c r="E770" s="57" t="s">
        <v>857</v>
      </c>
      <c r="F770" s="130" t="s">
        <v>755</v>
      </c>
      <c r="G770" s="67">
        <v>5078</v>
      </c>
      <c r="H770" s="66" t="s">
        <v>826</v>
      </c>
      <c r="I770" s="66" t="s">
        <v>729</v>
      </c>
      <c r="J770" s="1984" t="s">
        <v>57</v>
      </c>
      <c r="K770" s="31" t="s">
        <v>58</v>
      </c>
      <c r="L770" s="149">
        <v>0.6</v>
      </c>
      <c r="M770" s="35"/>
      <c r="N770" s="184" t="s">
        <v>859</v>
      </c>
      <c r="O770" s="184"/>
      <c r="P770" s="66">
        <v>1</v>
      </c>
      <c r="Q770" s="128">
        <v>0.15</v>
      </c>
      <c r="R770" s="66"/>
      <c r="S770" s="66">
        <f t="shared" ref="S770:S797" si="36">ROUND(IF(OR(P770="",R770=""),0,IF(AND(P770=0,R770=0),1,IF(U770="+",R770/P770,P770/R770))),2)</f>
        <v>0</v>
      </c>
      <c r="T770" s="67">
        <f t="shared" ref="T770:T797" si="37">IF(AND(S770&gt;=60%,S770&lt;100%),S770*((Q770*L770)),IF(S770=100%,((Q770*L770)*S770)*100%,IF(S770&gt;100%,((L770*Q770)*100%)*100%,0)))*100</f>
        <v>0</v>
      </c>
      <c r="U770" s="66" t="s">
        <v>34</v>
      </c>
      <c r="V770" s="430"/>
      <c r="W770" s="66"/>
    </row>
    <row r="771" spans="1:23" ht="23.4" x14ac:dyDescent="0.45">
      <c r="A771" s="1">
        <f t="shared" si="35"/>
        <v>770</v>
      </c>
      <c r="B771" s="57" t="s">
        <v>23</v>
      </c>
      <c r="C771" s="57" t="s">
        <v>24</v>
      </c>
      <c r="D771" s="58">
        <v>3756</v>
      </c>
      <c r="E771" s="57" t="s">
        <v>857</v>
      </c>
      <c r="F771" s="130" t="s">
        <v>755</v>
      </c>
      <c r="G771" s="67">
        <v>5078</v>
      </c>
      <c r="H771" s="66" t="s">
        <v>826</v>
      </c>
      <c r="I771" s="66" t="s">
        <v>729</v>
      </c>
      <c r="J771" s="1984" t="s">
        <v>57</v>
      </c>
      <c r="K771" s="31" t="s">
        <v>58</v>
      </c>
      <c r="L771" s="149">
        <v>0.6</v>
      </c>
      <c r="M771" s="35"/>
      <c r="N771" s="184" t="s">
        <v>860</v>
      </c>
      <c r="O771" s="184"/>
      <c r="P771" s="66">
        <v>1</v>
      </c>
      <c r="Q771" s="128">
        <v>0.1</v>
      </c>
      <c r="R771" s="66"/>
      <c r="S771" s="66">
        <f t="shared" si="36"/>
        <v>0</v>
      </c>
      <c r="T771" s="67">
        <f t="shared" si="37"/>
        <v>0</v>
      </c>
      <c r="U771" s="66" t="s">
        <v>34</v>
      </c>
      <c r="V771" s="430"/>
      <c r="W771" s="66"/>
    </row>
    <row r="772" spans="1:23" ht="23.4" x14ac:dyDescent="0.45">
      <c r="A772" s="1">
        <f t="shared" ref="A772:A835" si="38">ROW()-1</f>
        <v>771</v>
      </c>
      <c r="B772" s="57" t="s">
        <v>23</v>
      </c>
      <c r="C772" s="57" t="s">
        <v>24</v>
      </c>
      <c r="D772" s="58">
        <v>3756</v>
      </c>
      <c r="E772" s="57" t="s">
        <v>857</v>
      </c>
      <c r="F772" s="130" t="s">
        <v>755</v>
      </c>
      <c r="G772" s="67">
        <v>5078</v>
      </c>
      <c r="H772" s="66" t="s">
        <v>826</v>
      </c>
      <c r="I772" s="66" t="s">
        <v>729</v>
      </c>
      <c r="J772" s="1984" t="s">
        <v>57</v>
      </c>
      <c r="K772" s="31" t="s">
        <v>58</v>
      </c>
      <c r="L772" s="149">
        <v>0.6</v>
      </c>
      <c r="M772" s="35"/>
      <c r="N772" s="184" t="s">
        <v>861</v>
      </c>
      <c r="O772" s="184"/>
      <c r="P772" s="66">
        <v>1</v>
      </c>
      <c r="Q772" s="128">
        <v>0.05</v>
      </c>
      <c r="R772" s="66"/>
      <c r="S772" s="66">
        <f t="shared" si="36"/>
        <v>0</v>
      </c>
      <c r="T772" s="67">
        <f t="shared" si="37"/>
        <v>0</v>
      </c>
      <c r="U772" s="66" t="s">
        <v>34</v>
      </c>
      <c r="V772" s="430"/>
      <c r="W772" s="66"/>
    </row>
    <row r="773" spans="1:23" ht="23.4" x14ac:dyDescent="0.45">
      <c r="A773" s="1">
        <f t="shared" si="38"/>
        <v>772</v>
      </c>
      <c r="B773" s="57" t="s">
        <v>23</v>
      </c>
      <c r="C773" s="57" t="s">
        <v>24</v>
      </c>
      <c r="D773" s="58">
        <v>3756</v>
      </c>
      <c r="E773" s="57" t="s">
        <v>857</v>
      </c>
      <c r="F773" s="130" t="s">
        <v>755</v>
      </c>
      <c r="G773" s="67">
        <v>5078</v>
      </c>
      <c r="H773" s="66" t="s">
        <v>826</v>
      </c>
      <c r="I773" s="66" t="s">
        <v>729</v>
      </c>
      <c r="J773" s="1984" t="s">
        <v>57</v>
      </c>
      <c r="K773" s="31" t="s">
        <v>58</v>
      </c>
      <c r="L773" s="149">
        <v>0.6</v>
      </c>
      <c r="M773" s="35"/>
      <c r="N773" s="184" t="s">
        <v>862</v>
      </c>
      <c r="O773" s="184"/>
      <c r="P773" s="66">
        <v>1</v>
      </c>
      <c r="Q773" s="128">
        <v>0.1</v>
      </c>
      <c r="R773" s="66"/>
      <c r="S773" s="66">
        <f t="shared" si="36"/>
        <v>0</v>
      </c>
      <c r="T773" s="67">
        <f t="shared" si="37"/>
        <v>0</v>
      </c>
      <c r="U773" s="66" t="s">
        <v>34</v>
      </c>
      <c r="V773" s="430"/>
      <c r="W773" s="66"/>
    </row>
    <row r="774" spans="1:23" ht="23.4" x14ac:dyDescent="0.45">
      <c r="A774" s="1">
        <f t="shared" si="38"/>
        <v>773</v>
      </c>
      <c r="B774" s="57" t="s">
        <v>23</v>
      </c>
      <c r="C774" s="57" t="s">
        <v>24</v>
      </c>
      <c r="D774" s="58">
        <v>3756</v>
      </c>
      <c r="E774" s="57" t="s">
        <v>857</v>
      </c>
      <c r="F774" s="130" t="s">
        <v>755</v>
      </c>
      <c r="G774" s="67">
        <v>5078</v>
      </c>
      <c r="H774" s="66" t="s">
        <v>826</v>
      </c>
      <c r="I774" s="66" t="s">
        <v>729</v>
      </c>
      <c r="J774" s="1984" t="s">
        <v>57</v>
      </c>
      <c r="K774" s="31" t="s">
        <v>58</v>
      </c>
      <c r="L774" s="149">
        <v>0.6</v>
      </c>
      <c r="M774" s="35"/>
      <c r="N774" s="184" t="s">
        <v>863</v>
      </c>
      <c r="O774" s="184"/>
      <c r="P774" s="66">
        <v>1</v>
      </c>
      <c r="Q774" s="128">
        <v>0.1</v>
      </c>
      <c r="R774" s="66"/>
      <c r="S774" s="66">
        <f t="shared" si="36"/>
        <v>0</v>
      </c>
      <c r="T774" s="67">
        <f t="shared" si="37"/>
        <v>0</v>
      </c>
      <c r="U774" s="66" t="s">
        <v>34</v>
      </c>
      <c r="V774" s="430"/>
      <c r="W774" s="66"/>
    </row>
    <row r="775" spans="1:23" ht="23.4" x14ac:dyDescent="0.45">
      <c r="A775" s="1">
        <f t="shared" si="38"/>
        <v>774</v>
      </c>
      <c r="B775" s="57" t="s">
        <v>23</v>
      </c>
      <c r="C775" s="57" t="s">
        <v>24</v>
      </c>
      <c r="D775" s="58">
        <v>3756</v>
      </c>
      <c r="E775" s="57" t="s">
        <v>857</v>
      </c>
      <c r="F775" s="130" t="s">
        <v>755</v>
      </c>
      <c r="G775" s="67">
        <v>5078</v>
      </c>
      <c r="H775" s="66" t="s">
        <v>826</v>
      </c>
      <c r="I775" s="66" t="s">
        <v>729</v>
      </c>
      <c r="J775" s="1984" t="s">
        <v>57</v>
      </c>
      <c r="K775" s="31" t="s">
        <v>58</v>
      </c>
      <c r="L775" s="149">
        <v>0.6</v>
      </c>
      <c r="M775" s="35"/>
      <c r="N775" s="184" t="s">
        <v>864</v>
      </c>
      <c r="O775" s="184"/>
      <c r="P775" s="66">
        <v>1</v>
      </c>
      <c r="Q775" s="128">
        <v>0.1</v>
      </c>
      <c r="R775" s="66"/>
      <c r="S775" s="66">
        <f t="shared" si="36"/>
        <v>0</v>
      </c>
      <c r="T775" s="67">
        <f t="shared" si="37"/>
        <v>0</v>
      </c>
      <c r="U775" s="66" t="s">
        <v>34</v>
      </c>
      <c r="V775" s="430"/>
      <c r="W775" s="66"/>
    </row>
    <row r="776" spans="1:23" ht="23.4" x14ac:dyDescent="0.45">
      <c r="A776" s="1">
        <f t="shared" si="38"/>
        <v>775</v>
      </c>
      <c r="B776" s="57" t="s">
        <v>23</v>
      </c>
      <c r="C776" s="57" t="s">
        <v>24</v>
      </c>
      <c r="D776" s="58">
        <v>3756</v>
      </c>
      <c r="E776" s="57" t="s">
        <v>857</v>
      </c>
      <c r="F776" s="130" t="s">
        <v>755</v>
      </c>
      <c r="G776" s="67">
        <v>5078</v>
      </c>
      <c r="H776" s="66" t="s">
        <v>826</v>
      </c>
      <c r="I776" s="66" t="s">
        <v>729</v>
      </c>
      <c r="J776" s="1984" t="s">
        <v>57</v>
      </c>
      <c r="K776" s="31" t="s">
        <v>58</v>
      </c>
      <c r="L776" s="149">
        <v>0.6</v>
      </c>
      <c r="M776" s="35"/>
      <c r="N776" s="184" t="s">
        <v>865</v>
      </c>
      <c r="O776" s="184"/>
      <c r="P776" s="66">
        <v>1</v>
      </c>
      <c r="Q776" s="128">
        <v>0.1</v>
      </c>
      <c r="R776" s="66"/>
      <c r="S776" s="66">
        <f t="shared" si="36"/>
        <v>0</v>
      </c>
      <c r="T776" s="67">
        <f t="shared" si="37"/>
        <v>0</v>
      </c>
      <c r="U776" s="66" t="s">
        <v>34</v>
      </c>
      <c r="V776" s="430"/>
      <c r="W776" s="66"/>
    </row>
    <row r="777" spans="1:23" ht="23.4" x14ac:dyDescent="0.45">
      <c r="A777" s="1">
        <f t="shared" si="38"/>
        <v>776</v>
      </c>
      <c r="B777" s="57" t="s">
        <v>23</v>
      </c>
      <c r="C777" s="57" t="s">
        <v>24</v>
      </c>
      <c r="D777" s="58">
        <v>3756</v>
      </c>
      <c r="E777" s="57" t="s">
        <v>857</v>
      </c>
      <c r="F777" s="130" t="s">
        <v>755</v>
      </c>
      <c r="G777" s="67">
        <v>5078</v>
      </c>
      <c r="H777" s="66" t="s">
        <v>826</v>
      </c>
      <c r="I777" s="66" t="s">
        <v>729</v>
      </c>
      <c r="J777" s="1984" t="s">
        <v>57</v>
      </c>
      <c r="K777" s="31" t="s">
        <v>58</v>
      </c>
      <c r="L777" s="149">
        <v>0.6</v>
      </c>
      <c r="M777" s="35"/>
      <c r="N777" s="184" t="s">
        <v>866</v>
      </c>
      <c r="O777" s="184"/>
      <c r="P777" s="66">
        <v>1</v>
      </c>
      <c r="Q777" s="128">
        <v>0.05</v>
      </c>
      <c r="R777" s="66"/>
      <c r="S777" s="66">
        <f t="shared" si="36"/>
        <v>0</v>
      </c>
      <c r="T777" s="67">
        <f t="shared" si="37"/>
        <v>0</v>
      </c>
      <c r="U777" s="66" t="s">
        <v>34</v>
      </c>
      <c r="V777" s="430"/>
      <c r="W777" s="66"/>
    </row>
    <row r="778" spans="1:23" ht="23.4" x14ac:dyDescent="0.45">
      <c r="A778" s="1">
        <f t="shared" si="38"/>
        <v>777</v>
      </c>
      <c r="B778" s="57" t="s">
        <v>23</v>
      </c>
      <c r="C778" s="57" t="s">
        <v>24</v>
      </c>
      <c r="D778" s="58">
        <v>3756</v>
      </c>
      <c r="E778" s="57" t="s">
        <v>857</v>
      </c>
      <c r="F778" s="130" t="s">
        <v>755</v>
      </c>
      <c r="G778" s="67">
        <v>5078</v>
      </c>
      <c r="H778" s="66" t="s">
        <v>826</v>
      </c>
      <c r="I778" s="66" t="s">
        <v>729</v>
      </c>
      <c r="J778" s="1984" t="s">
        <v>57</v>
      </c>
      <c r="K778" s="31" t="s">
        <v>58</v>
      </c>
      <c r="L778" s="149">
        <v>0.6</v>
      </c>
      <c r="M778" s="35"/>
      <c r="N778" s="184" t="s">
        <v>836</v>
      </c>
      <c r="O778" s="184"/>
      <c r="P778" s="66">
        <v>1</v>
      </c>
      <c r="Q778" s="128">
        <v>0.2</v>
      </c>
      <c r="R778" s="66"/>
      <c r="S778" s="66">
        <f t="shared" si="36"/>
        <v>0</v>
      </c>
      <c r="T778" s="67">
        <f t="shared" si="37"/>
        <v>0</v>
      </c>
      <c r="U778" s="66" t="s">
        <v>34</v>
      </c>
      <c r="V778" s="430"/>
      <c r="W778" s="66"/>
    </row>
    <row r="779" spans="1:23" ht="23.4" x14ac:dyDescent="0.45">
      <c r="A779" s="1">
        <f t="shared" si="38"/>
        <v>778</v>
      </c>
      <c r="B779" s="57" t="s">
        <v>23</v>
      </c>
      <c r="C779" s="57" t="s">
        <v>24</v>
      </c>
      <c r="D779" s="58">
        <v>3756</v>
      </c>
      <c r="E779" s="57" t="s">
        <v>857</v>
      </c>
      <c r="F779" s="169" t="s">
        <v>755</v>
      </c>
      <c r="G779" s="46">
        <v>5078</v>
      </c>
      <c r="H779" s="28" t="s">
        <v>826</v>
      </c>
      <c r="I779" s="28" t="s">
        <v>729</v>
      </c>
      <c r="J779" s="1994" t="s">
        <v>110</v>
      </c>
      <c r="K779" s="163" t="s">
        <v>111</v>
      </c>
      <c r="L779" s="21">
        <v>0.4</v>
      </c>
      <c r="M779" s="28"/>
      <c r="N779" s="357" t="s">
        <v>255</v>
      </c>
      <c r="O779" s="357"/>
      <c r="P779" s="28">
        <v>1</v>
      </c>
      <c r="Q779" s="177">
        <v>0.05</v>
      </c>
      <c r="R779" s="28"/>
      <c r="S779" s="28">
        <f t="shared" si="36"/>
        <v>0</v>
      </c>
      <c r="T779" s="46">
        <f t="shared" si="37"/>
        <v>0</v>
      </c>
      <c r="U779" s="28" t="s">
        <v>34</v>
      </c>
      <c r="V779" s="71"/>
      <c r="W779" s="28"/>
    </row>
    <row r="780" spans="1:23" ht="23.4" x14ac:dyDescent="0.45">
      <c r="A780" s="1">
        <f t="shared" si="38"/>
        <v>779</v>
      </c>
      <c r="B780" s="57" t="s">
        <v>23</v>
      </c>
      <c r="C780" s="57" t="s">
        <v>24</v>
      </c>
      <c r="D780" s="58">
        <v>3756</v>
      </c>
      <c r="E780" s="57" t="s">
        <v>857</v>
      </c>
      <c r="F780" s="132" t="s">
        <v>755</v>
      </c>
      <c r="G780" s="133">
        <v>5078</v>
      </c>
      <c r="H780" s="134" t="s">
        <v>826</v>
      </c>
      <c r="I780" s="134" t="s">
        <v>729</v>
      </c>
      <c r="J780" s="1993" t="s">
        <v>110</v>
      </c>
      <c r="K780" s="135" t="s">
        <v>111</v>
      </c>
      <c r="L780" s="157">
        <v>0.4</v>
      </c>
      <c r="M780" s="134"/>
      <c r="N780" s="334" t="s">
        <v>768</v>
      </c>
      <c r="O780" s="334"/>
      <c r="P780" s="134">
        <v>1</v>
      </c>
      <c r="Q780" s="177">
        <v>0.05</v>
      </c>
      <c r="R780" s="134"/>
      <c r="S780" s="134">
        <f t="shared" si="36"/>
        <v>0</v>
      </c>
      <c r="T780" s="133">
        <f t="shared" si="37"/>
        <v>0</v>
      </c>
      <c r="U780" s="134" t="s">
        <v>34</v>
      </c>
      <c r="V780" s="71"/>
      <c r="W780" s="134"/>
    </row>
    <row r="781" spans="1:23" ht="23.4" x14ac:dyDescent="0.45">
      <c r="A781" s="1">
        <f t="shared" si="38"/>
        <v>780</v>
      </c>
      <c r="B781" s="57" t="s">
        <v>23</v>
      </c>
      <c r="C781" s="57" t="s">
        <v>24</v>
      </c>
      <c r="D781" s="58">
        <v>3756</v>
      </c>
      <c r="E781" s="57" t="s">
        <v>857</v>
      </c>
      <c r="F781" s="132" t="s">
        <v>755</v>
      </c>
      <c r="G781" s="133">
        <v>5078</v>
      </c>
      <c r="H781" s="134" t="s">
        <v>826</v>
      </c>
      <c r="I781" s="134" t="s">
        <v>729</v>
      </c>
      <c r="J781" s="1993" t="s">
        <v>110</v>
      </c>
      <c r="K781" s="135" t="s">
        <v>111</v>
      </c>
      <c r="L781" s="157">
        <v>0.4</v>
      </c>
      <c r="M781" s="134"/>
      <c r="N781" s="334" t="s">
        <v>769</v>
      </c>
      <c r="O781" s="334"/>
      <c r="P781" s="134">
        <v>1</v>
      </c>
      <c r="Q781" s="177">
        <v>0.05</v>
      </c>
      <c r="R781" s="134"/>
      <c r="S781" s="134">
        <f t="shared" si="36"/>
        <v>0</v>
      </c>
      <c r="T781" s="133">
        <f t="shared" si="37"/>
        <v>0</v>
      </c>
      <c r="U781" s="134" t="s">
        <v>34</v>
      </c>
      <c r="V781" s="71"/>
      <c r="W781" s="134"/>
    </row>
    <row r="782" spans="1:23" ht="23.4" x14ac:dyDescent="0.45">
      <c r="A782" s="1">
        <f t="shared" si="38"/>
        <v>781</v>
      </c>
      <c r="B782" s="57" t="s">
        <v>23</v>
      </c>
      <c r="C782" s="57" t="s">
        <v>24</v>
      </c>
      <c r="D782" s="58">
        <v>3756</v>
      </c>
      <c r="E782" s="57" t="s">
        <v>857</v>
      </c>
      <c r="F782" s="132" t="s">
        <v>755</v>
      </c>
      <c r="G782" s="133">
        <v>5078</v>
      </c>
      <c r="H782" s="134" t="s">
        <v>826</v>
      </c>
      <c r="I782" s="134" t="s">
        <v>729</v>
      </c>
      <c r="J782" s="1993" t="s">
        <v>110</v>
      </c>
      <c r="K782" s="135" t="s">
        <v>111</v>
      </c>
      <c r="L782" s="157">
        <v>0.4</v>
      </c>
      <c r="M782" s="134"/>
      <c r="N782" s="334" t="s">
        <v>770</v>
      </c>
      <c r="O782" s="334"/>
      <c r="P782" s="134">
        <v>1</v>
      </c>
      <c r="Q782" s="177">
        <v>0.15</v>
      </c>
      <c r="R782" s="134"/>
      <c r="S782" s="134">
        <f t="shared" si="36"/>
        <v>0</v>
      </c>
      <c r="T782" s="133">
        <f t="shared" si="37"/>
        <v>0</v>
      </c>
      <c r="U782" s="134" t="s">
        <v>34</v>
      </c>
      <c r="V782" s="71"/>
      <c r="W782" s="134"/>
    </row>
    <row r="783" spans="1:23" ht="23.4" x14ac:dyDescent="0.45">
      <c r="A783" s="1">
        <f t="shared" si="38"/>
        <v>782</v>
      </c>
      <c r="B783" s="57" t="s">
        <v>23</v>
      </c>
      <c r="C783" s="57" t="s">
        <v>24</v>
      </c>
      <c r="D783" s="58">
        <v>3756</v>
      </c>
      <c r="E783" s="57" t="s">
        <v>857</v>
      </c>
      <c r="F783" s="132" t="s">
        <v>755</v>
      </c>
      <c r="G783" s="133">
        <v>5078</v>
      </c>
      <c r="H783" s="134" t="s">
        <v>826</v>
      </c>
      <c r="I783" s="134" t="s">
        <v>729</v>
      </c>
      <c r="J783" s="1993" t="s">
        <v>110</v>
      </c>
      <c r="K783" s="135" t="s">
        <v>111</v>
      </c>
      <c r="L783" s="157">
        <v>0.4</v>
      </c>
      <c r="M783" s="134"/>
      <c r="N783" s="334" t="s">
        <v>254</v>
      </c>
      <c r="O783" s="334"/>
      <c r="P783" s="134">
        <v>1</v>
      </c>
      <c r="Q783" s="177">
        <v>0.1</v>
      </c>
      <c r="R783" s="134"/>
      <c r="S783" s="134">
        <f t="shared" si="36"/>
        <v>0</v>
      </c>
      <c r="T783" s="133">
        <f t="shared" si="37"/>
        <v>0</v>
      </c>
      <c r="U783" s="134" t="s">
        <v>34</v>
      </c>
      <c r="V783" s="71"/>
      <c r="W783" s="134"/>
    </row>
    <row r="784" spans="1:23" ht="23.4" x14ac:dyDescent="0.45">
      <c r="A784" s="1">
        <f t="shared" si="38"/>
        <v>783</v>
      </c>
      <c r="B784" s="57" t="s">
        <v>23</v>
      </c>
      <c r="C784" s="57" t="s">
        <v>24</v>
      </c>
      <c r="D784" s="58">
        <v>3756</v>
      </c>
      <c r="E784" s="57" t="s">
        <v>857</v>
      </c>
      <c r="F784" s="132" t="s">
        <v>755</v>
      </c>
      <c r="G784" s="133">
        <v>5078</v>
      </c>
      <c r="H784" s="134" t="s">
        <v>826</v>
      </c>
      <c r="I784" s="134" t="s">
        <v>729</v>
      </c>
      <c r="J784" s="1993" t="s">
        <v>110</v>
      </c>
      <c r="K784" s="135" t="s">
        <v>111</v>
      </c>
      <c r="L784" s="157">
        <v>0.4</v>
      </c>
      <c r="M784" s="134"/>
      <c r="N784" s="334" t="s">
        <v>771</v>
      </c>
      <c r="O784" s="334"/>
      <c r="P784" s="134">
        <v>1</v>
      </c>
      <c r="Q784" s="177">
        <v>0.05</v>
      </c>
      <c r="R784" s="134"/>
      <c r="S784" s="134">
        <f t="shared" si="36"/>
        <v>0</v>
      </c>
      <c r="T784" s="133">
        <f t="shared" si="37"/>
        <v>0</v>
      </c>
      <c r="U784" s="134" t="s">
        <v>34</v>
      </c>
      <c r="V784" s="71"/>
      <c r="W784" s="134"/>
    </row>
    <row r="785" spans="1:58" ht="23.4" x14ac:dyDescent="0.45">
      <c r="A785" s="1">
        <f t="shared" si="38"/>
        <v>784</v>
      </c>
      <c r="B785" s="57" t="s">
        <v>23</v>
      </c>
      <c r="C785" s="57" t="s">
        <v>24</v>
      </c>
      <c r="D785" s="58">
        <v>3756</v>
      </c>
      <c r="E785" s="57" t="s">
        <v>857</v>
      </c>
      <c r="F785" s="132" t="s">
        <v>755</v>
      </c>
      <c r="G785" s="133">
        <v>5078</v>
      </c>
      <c r="H785" s="134" t="s">
        <v>826</v>
      </c>
      <c r="I785" s="134" t="s">
        <v>729</v>
      </c>
      <c r="J785" s="1993" t="s">
        <v>110</v>
      </c>
      <c r="K785" s="135" t="s">
        <v>111</v>
      </c>
      <c r="L785" s="157">
        <v>0.4</v>
      </c>
      <c r="M785" s="134"/>
      <c r="N785" s="334" t="s">
        <v>772</v>
      </c>
      <c r="O785" s="334"/>
      <c r="P785" s="134">
        <v>1</v>
      </c>
      <c r="Q785" s="177">
        <v>0.1</v>
      </c>
      <c r="R785" s="134"/>
      <c r="S785" s="134">
        <f t="shared" si="36"/>
        <v>0</v>
      </c>
      <c r="T785" s="133">
        <f t="shared" si="37"/>
        <v>0</v>
      </c>
      <c r="U785" s="134" t="s">
        <v>34</v>
      </c>
      <c r="V785" s="71"/>
      <c r="W785" s="134"/>
    </row>
    <row r="786" spans="1:58" ht="23.4" x14ac:dyDescent="0.45">
      <c r="A786" s="1">
        <f t="shared" si="38"/>
        <v>785</v>
      </c>
      <c r="B786" s="57" t="s">
        <v>23</v>
      </c>
      <c r="C786" s="57" t="s">
        <v>24</v>
      </c>
      <c r="D786" s="58">
        <v>3756</v>
      </c>
      <c r="E786" s="57" t="s">
        <v>857</v>
      </c>
      <c r="F786" s="132" t="s">
        <v>755</v>
      </c>
      <c r="G786" s="133">
        <v>5078</v>
      </c>
      <c r="H786" s="134" t="s">
        <v>826</v>
      </c>
      <c r="I786" s="134" t="s">
        <v>729</v>
      </c>
      <c r="J786" s="1993" t="s">
        <v>110</v>
      </c>
      <c r="K786" s="135" t="s">
        <v>111</v>
      </c>
      <c r="L786" s="157">
        <v>0.4</v>
      </c>
      <c r="M786" s="134"/>
      <c r="N786" s="334" t="s">
        <v>773</v>
      </c>
      <c r="O786" s="334"/>
      <c r="P786" s="134">
        <v>1</v>
      </c>
      <c r="Q786" s="177">
        <v>0.05</v>
      </c>
      <c r="R786" s="134"/>
      <c r="S786" s="134">
        <f t="shared" si="36"/>
        <v>0</v>
      </c>
      <c r="T786" s="133">
        <f t="shared" si="37"/>
        <v>0</v>
      </c>
      <c r="U786" s="134" t="s">
        <v>34</v>
      </c>
      <c r="V786" s="71"/>
      <c r="W786" s="134"/>
    </row>
    <row r="787" spans="1:58" ht="23.4" x14ac:dyDescent="0.45">
      <c r="A787" s="1">
        <f t="shared" si="38"/>
        <v>786</v>
      </c>
      <c r="B787" s="57" t="s">
        <v>23</v>
      </c>
      <c r="C787" s="57" t="s">
        <v>24</v>
      </c>
      <c r="D787" s="58">
        <v>3756</v>
      </c>
      <c r="E787" s="57" t="s">
        <v>857</v>
      </c>
      <c r="F787" s="132" t="s">
        <v>755</v>
      </c>
      <c r="G787" s="133">
        <v>5078</v>
      </c>
      <c r="H787" s="134" t="s">
        <v>826</v>
      </c>
      <c r="I787" s="134" t="s">
        <v>729</v>
      </c>
      <c r="J787" s="1993" t="s">
        <v>110</v>
      </c>
      <c r="K787" s="135" t="s">
        <v>111</v>
      </c>
      <c r="L787" s="157">
        <v>0.4</v>
      </c>
      <c r="M787" s="134"/>
      <c r="N787" s="334" t="s">
        <v>774</v>
      </c>
      <c r="O787" s="334"/>
      <c r="P787" s="134">
        <v>1</v>
      </c>
      <c r="Q787" s="177">
        <v>0.05</v>
      </c>
      <c r="R787" s="134"/>
      <c r="S787" s="134">
        <f t="shared" si="36"/>
        <v>0</v>
      </c>
      <c r="T787" s="133">
        <f t="shared" si="37"/>
        <v>0</v>
      </c>
      <c r="U787" s="134" t="s">
        <v>34</v>
      </c>
      <c r="V787" s="71"/>
      <c r="W787" s="134"/>
    </row>
    <row r="788" spans="1:58" ht="23.4" x14ac:dyDescent="0.45">
      <c r="A788" s="1">
        <f t="shared" si="38"/>
        <v>787</v>
      </c>
      <c r="B788" s="57" t="s">
        <v>23</v>
      </c>
      <c r="C788" s="57" t="s">
        <v>24</v>
      </c>
      <c r="D788" s="58">
        <v>3756</v>
      </c>
      <c r="E788" s="57" t="s">
        <v>857</v>
      </c>
      <c r="F788" s="132" t="s">
        <v>755</v>
      </c>
      <c r="G788" s="133">
        <v>5078</v>
      </c>
      <c r="H788" s="134" t="s">
        <v>826</v>
      </c>
      <c r="I788" s="134" t="s">
        <v>729</v>
      </c>
      <c r="J788" s="1993" t="s">
        <v>110</v>
      </c>
      <c r="K788" s="135" t="s">
        <v>111</v>
      </c>
      <c r="L788" s="157">
        <v>0.4</v>
      </c>
      <c r="M788" s="134"/>
      <c r="N788" s="334" t="s">
        <v>775</v>
      </c>
      <c r="O788" s="334"/>
      <c r="P788" s="134">
        <v>1</v>
      </c>
      <c r="Q788" s="177">
        <v>0.05</v>
      </c>
      <c r="R788" s="134"/>
      <c r="S788" s="134">
        <f t="shared" si="36"/>
        <v>0</v>
      </c>
      <c r="T788" s="133">
        <f t="shared" si="37"/>
        <v>0</v>
      </c>
      <c r="U788" s="134" t="s">
        <v>34</v>
      </c>
      <c r="V788" s="71"/>
      <c r="W788" s="134"/>
    </row>
    <row r="789" spans="1:58" ht="23.4" x14ac:dyDescent="0.45">
      <c r="A789" s="1">
        <f t="shared" si="38"/>
        <v>788</v>
      </c>
      <c r="B789" s="57" t="s">
        <v>23</v>
      </c>
      <c r="C789" s="57" t="s">
        <v>24</v>
      </c>
      <c r="D789" s="58">
        <v>3756</v>
      </c>
      <c r="E789" s="57" t="s">
        <v>857</v>
      </c>
      <c r="F789" s="132" t="s">
        <v>755</v>
      </c>
      <c r="G789" s="133">
        <v>5078</v>
      </c>
      <c r="H789" s="134" t="s">
        <v>826</v>
      </c>
      <c r="I789" s="134" t="s">
        <v>729</v>
      </c>
      <c r="J789" s="1993" t="s">
        <v>110</v>
      </c>
      <c r="K789" s="135" t="s">
        <v>111</v>
      </c>
      <c r="L789" s="157">
        <v>0.4</v>
      </c>
      <c r="M789" s="134"/>
      <c r="N789" s="334" t="s">
        <v>776</v>
      </c>
      <c r="O789" s="334"/>
      <c r="P789" s="134">
        <v>1</v>
      </c>
      <c r="Q789" s="177">
        <v>0.1</v>
      </c>
      <c r="R789" s="134"/>
      <c r="S789" s="134">
        <f t="shared" si="36"/>
        <v>0</v>
      </c>
      <c r="T789" s="133">
        <f t="shared" si="37"/>
        <v>0</v>
      </c>
      <c r="U789" s="134" t="s">
        <v>34</v>
      </c>
      <c r="V789" s="71"/>
      <c r="W789" s="134"/>
    </row>
    <row r="790" spans="1:58" ht="23.4" x14ac:dyDescent="0.45">
      <c r="A790" s="1">
        <f t="shared" si="38"/>
        <v>789</v>
      </c>
      <c r="B790" s="57" t="s">
        <v>23</v>
      </c>
      <c r="C790" s="57" t="s">
        <v>24</v>
      </c>
      <c r="D790" s="58">
        <v>3756</v>
      </c>
      <c r="E790" s="57" t="s">
        <v>857</v>
      </c>
      <c r="F790" s="132" t="s">
        <v>755</v>
      </c>
      <c r="G790" s="133">
        <v>5078</v>
      </c>
      <c r="H790" s="134" t="s">
        <v>826</v>
      </c>
      <c r="I790" s="134" t="s">
        <v>729</v>
      </c>
      <c r="J790" s="1993" t="s">
        <v>110</v>
      </c>
      <c r="K790" s="135" t="s">
        <v>111</v>
      </c>
      <c r="L790" s="157">
        <v>0.4</v>
      </c>
      <c r="M790" s="134"/>
      <c r="N790" s="334" t="s">
        <v>251</v>
      </c>
      <c r="O790" s="334"/>
      <c r="P790" s="134">
        <v>1</v>
      </c>
      <c r="Q790" s="177">
        <v>0.05</v>
      </c>
      <c r="R790" s="134"/>
      <c r="S790" s="134">
        <f t="shared" si="36"/>
        <v>0</v>
      </c>
      <c r="T790" s="133">
        <f t="shared" si="37"/>
        <v>0</v>
      </c>
      <c r="U790" s="134" t="s">
        <v>34</v>
      </c>
      <c r="V790" s="71"/>
      <c r="W790" s="134"/>
    </row>
    <row r="791" spans="1:58" ht="23.4" x14ac:dyDescent="0.45">
      <c r="A791" s="1">
        <f t="shared" si="38"/>
        <v>790</v>
      </c>
      <c r="B791" s="57" t="s">
        <v>23</v>
      </c>
      <c r="C791" s="57" t="s">
        <v>24</v>
      </c>
      <c r="D791" s="58">
        <v>3756</v>
      </c>
      <c r="E791" s="57" t="s">
        <v>857</v>
      </c>
      <c r="F791" s="132" t="s">
        <v>755</v>
      </c>
      <c r="G791" s="133">
        <v>5078</v>
      </c>
      <c r="H791" s="134" t="s">
        <v>826</v>
      </c>
      <c r="I791" s="134" t="s">
        <v>729</v>
      </c>
      <c r="J791" s="1993" t="s">
        <v>110</v>
      </c>
      <c r="K791" s="135" t="s">
        <v>111</v>
      </c>
      <c r="L791" s="157">
        <v>0.4</v>
      </c>
      <c r="M791" s="134"/>
      <c r="N791" s="334" t="s">
        <v>252</v>
      </c>
      <c r="O791" s="334"/>
      <c r="P791" s="134">
        <v>1</v>
      </c>
      <c r="Q791" s="177">
        <v>0.05</v>
      </c>
      <c r="R791" s="134"/>
      <c r="S791" s="134">
        <f t="shared" si="36"/>
        <v>0</v>
      </c>
      <c r="T791" s="133">
        <f t="shared" si="37"/>
        <v>0</v>
      </c>
      <c r="U791" s="134" t="s">
        <v>34</v>
      </c>
      <c r="V791" s="71"/>
      <c r="W791" s="134"/>
    </row>
    <row r="792" spans="1:58" ht="23.4" x14ac:dyDescent="0.45">
      <c r="A792" s="1">
        <f t="shared" si="38"/>
        <v>791</v>
      </c>
      <c r="B792" s="57" t="s">
        <v>23</v>
      </c>
      <c r="C792" s="57" t="s">
        <v>24</v>
      </c>
      <c r="D792" s="58">
        <v>3756</v>
      </c>
      <c r="E792" s="57" t="s">
        <v>857</v>
      </c>
      <c r="F792" s="132" t="s">
        <v>755</v>
      </c>
      <c r="G792" s="133">
        <v>5078</v>
      </c>
      <c r="H792" s="134" t="s">
        <v>826</v>
      </c>
      <c r="I792" s="134" t="s">
        <v>729</v>
      </c>
      <c r="J792" s="1993" t="s">
        <v>110</v>
      </c>
      <c r="K792" s="135" t="s">
        <v>111</v>
      </c>
      <c r="L792" s="157">
        <v>0.4</v>
      </c>
      <c r="M792" s="134"/>
      <c r="N792" s="334" t="s">
        <v>777</v>
      </c>
      <c r="O792" s="334"/>
      <c r="P792" s="134">
        <v>1</v>
      </c>
      <c r="Q792" s="177">
        <v>0.05</v>
      </c>
      <c r="R792" s="134"/>
      <c r="S792" s="134">
        <f t="shared" si="36"/>
        <v>0</v>
      </c>
      <c r="T792" s="133">
        <f t="shared" si="37"/>
        <v>0</v>
      </c>
      <c r="U792" s="134" t="s">
        <v>34</v>
      </c>
      <c r="V792" s="71"/>
      <c r="W792" s="134"/>
    </row>
    <row r="793" spans="1:58" ht="23.4" x14ac:dyDescent="0.45">
      <c r="A793" s="1">
        <f t="shared" si="38"/>
        <v>792</v>
      </c>
      <c r="B793" s="57" t="s">
        <v>23</v>
      </c>
      <c r="C793" s="57" t="s">
        <v>24</v>
      </c>
      <c r="D793" s="58">
        <v>3756</v>
      </c>
      <c r="E793" s="57" t="s">
        <v>857</v>
      </c>
      <c r="F793" s="132" t="s">
        <v>755</v>
      </c>
      <c r="G793" s="133">
        <v>5078</v>
      </c>
      <c r="H793" s="134" t="s">
        <v>826</v>
      </c>
      <c r="I793" s="134" t="s">
        <v>729</v>
      </c>
      <c r="J793" s="1993" t="s">
        <v>110</v>
      </c>
      <c r="K793" s="135" t="s">
        <v>111</v>
      </c>
      <c r="L793" s="157">
        <v>0.4</v>
      </c>
      <c r="M793" s="134"/>
      <c r="N793" s="334" t="s">
        <v>253</v>
      </c>
      <c r="O793" s="334"/>
      <c r="P793" s="134">
        <v>1</v>
      </c>
      <c r="Q793" s="177">
        <v>0.05</v>
      </c>
      <c r="R793" s="134"/>
      <c r="S793" s="134">
        <f t="shared" si="36"/>
        <v>0</v>
      </c>
      <c r="T793" s="133">
        <f t="shared" si="37"/>
        <v>0</v>
      </c>
      <c r="U793" s="134" t="s">
        <v>34</v>
      </c>
      <c r="V793" s="71"/>
      <c r="W793" s="134"/>
    </row>
    <row r="794" spans="1:58" ht="23.4" x14ac:dyDescent="0.45">
      <c r="A794" s="1">
        <f t="shared" si="38"/>
        <v>793</v>
      </c>
      <c r="B794" s="91" t="s">
        <v>23</v>
      </c>
      <c r="C794" s="91" t="s">
        <v>24</v>
      </c>
      <c r="D794" s="100">
        <v>3062</v>
      </c>
      <c r="E794" s="91" t="s">
        <v>867</v>
      </c>
      <c r="F794" s="181" t="s">
        <v>868</v>
      </c>
      <c r="G794" s="94">
        <v>3185</v>
      </c>
      <c r="H794" s="91" t="s">
        <v>869</v>
      </c>
      <c r="I794" s="91" t="s">
        <v>870</v>
      </c>
      <c r="J794" s="1995" t="s">
        <v>57</v>
      </c>
      <c r="K794" s="170" t="s">
        <v>58</v>
      </c>
      <c r="L794" s="104">
        <v>1</v>
      </c>
      <c r="M794" s="91" t="s">
        <v>871</v>
      </c>
      <c r="N794" s="91"/>
      <c r="O794" s="91" t="s">
        <v>872</v>
      </c>
      <c r="P794" s="91">
        <v>4</v>
      </c>
      <c r="Q794" s="98">
        <v>9.7087378640776711E-2</v>
      </c>
      <c r="R794" s="91"/>
      <c r="S794" s="148">
        <f t="shared" si="36"/>
        <v>0</v>
      </c>
      <c r="T794" s="148">
        <f t="shared" si="37"/>
        <v>0</v>
      </c>
      <c r="U794" s="91" t="s">
        <v>34</v>
      </c>
      <c r="V794" s="1957">
        <f>SUM(T794:T797)%</f>
        <v>0</v>
      </c>
      <c r="W794" s="91"/>
    </row>
    <row r="795" spans="1:58" ht="23.4" x14ac:dyDescent="0.45">
      <c r="A795" s="1">
        <f t="shared" si="38"/>
        <v>794</v>
      </c>
      <c r="B795" s="15" t="s">
        <v>23</v>
      </c>
      <c r="C795" s="182" t="s">
        <v>24</v>
      </c>
      <c r="D795" s="68">
        <v>3062</v>
      </c>
      <c r="E795" s="15" t="s">
        <v>867</v>
      </c>
      <c r="F795" s="123" t="s">
        <v>868</v>
      </c>
      <c r="G795" s="42">
        <v>3185</v>
      </c>
      <c r="H795" s="35" t="s">
        <v>869</v>
      </c>
      <c r="I795" s="35" t="s">
        <v>870</v>
      </c>
      <c r="J795" s="1997" t="s">
        <v>57</v>
      </c>
      <c r="K795" s="183" t="s">
        <v>58</v>
      </c>
      <c r="L795" s="149">
        <v>1</v>
      </c>
      <c r="M795" s="184" t="s">
        <v>873</v>
      </c>
      <c r="N795" s="184"/>
      <c r="O795" s="184" t="s">
        <v>874</v>
      </c>
      <c r="P795" s="185">
        <v>150</v>
      </c>
      <c r="Q795" s="126">
        <v>0.4</v>
      </c>
      <c r="R795" s="185"/>
      <c r="S795" s="35">
        <f t="shared" si="36"/>
        <v>0</v>
      </c>
      <c r="T795" s="35">
        <f t="shared" si="37"/>
        <v>0</v>
      </c>
      <c r="U795" s="35" t="s">
        <v>34</v>
      </c>
      <c r="V795" s="430"/>
      <c r="W795" s="35"/>
    </row>
    <row r="796" spans="1:58" ht="23.4" x14ac:dyDescent="0.45">
      <c r="A796" s="1">
        <f t="shared" si="38"/>
        <v>795</v>
      </c>
      <c r="B796" s="15" t="s">
        <v>23</v>
      </c>
      <c r="C796" s="182" t="s">
        <v>24</v>
      </c>
      <c r="D796" s="68">
        <v>3062</v>
      </c>
      <c r="E796" s="15" t="s">
        <v>867</v>
      </c>
      <c r="F796" s="123" t="s">
        <v>868</v>
      </c>
      <c r="G796" s="42">
        <v>3185</v>
      </c>
      <c r="H796" s="35" t="s">
        <v>869</v>
      </c>
      <c r="I796" s="35" t="s">
        <v>870</v>
      </c>
      <c r="J796" s="1997" t="s">
        <v>57</v>
      </c>
      <c r="K796" s="183" t="s">
        <v>58</v>
      </c>
      <c r="L796" s="149">
        <v>1</v>
      </c>
      <c r="M796" s="184" t="s">
        <v>875</v>
      </c>
      <c r="N796" s="184"/>
      <c r="O796" s="184"/>
      <c r="P796" s="185">
        <v>0</v>
      </c>
      <c r="Q796" s="126">
        <v>0.1</v>
      </c>
      <c r="R796" s="185"/>
      <c r="S796" s="35">
        <f t="shared" si="36"/>
        <v>0</v>
      </c>
      <c r="T796" s="35">
        <f t="shared" si="37"/>
        <v>0</v>
      </c>
      <c r="U796" s="35" t="s">
        <v>83</v>
      </c>
      <c r="V796" s="430"/>
      <c r="W796" s="35"/>
    </row>
    <row r="797" spans="1:58" ht="23.4" x14ac:dyDescent="0.45">
      <c r="A797" s="1">
        <f t="shared" si="38"/>
        <v>796</v>
      </c>
      <c r="B797" s="15" t="s">
        <v>23</v>
      </c>
      <c r="C797" s="182" t="s">
        <v>24</v>
      </c>
      <c r="D797" s="68">
        <v>3062</v>
      </c>
      <c r="E797" s="15" t="s">
        <v>867</v>
      </c>
      <c r="F797" s="123" t="s">
        <v>868</v>
      </c>
      <c r="G797" s="42">
        <v>3185</v>
      </c>
      <c r="H797" s="35" t="s">
        <v>869</v>
      </c>
      <c r="I797" s="35" t="s">
        <v>870</v>
      </c>
      <c r="J797" s="1997" t="s">
        <v>57</v>
      </c>
      <c r="K797" s="183" t="s">
        <v>58</v>
      </c>
      <c r="L797" s="149">
        <v>1</v>
      </c>
      <c r="M797" s="184" t="s">
        <v>876</v>
      </c>
      <c r="N797" s="184"/>
      <c r="O797" s="184" t="s">
        <v>877</v>
      </c>
      <c r="P797" s="185">
        <v>60</v>
      </c>
      <c r="Q797" s="126">
        <v>0.4</v>
      </c>
      <c r="R797" s="185"/>
      <c r="S797" s="35">
        <f t="shared" si="36"/>
        <v>0</v>
      </c>
      <c r="T797" s="35">
        <f t="shared" si="37"/>
        <v>0</v>
      </c>
      <c r="U797" s="35" t="s">
        <v>83</v>
      </c>
      <c r="V797" s="430"/>
      <c r="W797" s="35"/>
    </row>
    <row r="798" spans="1:58" ht="23.4" x14ac:dyDescent="0.45">
      <c r="A798" s="1">
        <f t="shared" si="38"/>
        <v>797</v>
      </c>
      <c r="B798" s="186" t="s">
        <v>23</v>
      </c>
      <c r="C798" s="187" t="s">
        <v>24</v>
      </c>
      <c r="D798" s="188">
        <v>5663</v>
      </c>
      <c r="E798" s="186" t="s">
        <v>878</v>
      </c>
      <c r="F798" s="186" t="s">
        <v>879</v>
      </c>
      <c r="G798" s="189">
        <v>3264</v>
      </c>
      <c r="H798" s="186" t="s">
        <v>880</v>
      </c>
      <c r="I798" s="186" t="s">
        <v>881</v>
      </c>
      <c r="J798" s="1998" t="s">
        <v>57</v>
      </c>
      <c r="K798" s="190" t="s">
        <v>58</v>
      </c>
      <c r="L798" s="104">
        <v>0.5</v>
      </c>
      <c r="M798" s="694"/>
      <c r="N798" s="186" t="s">
        <v>882</v>
      </c>
      <c r="O798" s="193"/>
      <c r="P798" s="194">
        <v>20000000000</v>
      </c>
      <c r="Q798" s="56">
        <v>0.2</v>
      </c>
      <c r="R798" s="194"/>
      <c r="S798" s="195">
        <f t="shared" ref="S798:S837" si="39">ROUND(IF(OR(P798="",R798=""),0,IF(AND(P798=0,R798=0),1,IF(U798="+",R798/P798,P798/R798))),2)</f>
        <v>0</v>
      </c>
      <c r="T798" s="196">
        <f t="shared" ref="T798:T837" si="40">IF(AND(S798&gt;=60%,S798&lt;100%),S798*((Q798*L798)),IF(S798=100%,((Q798*L798)*S798)*100%,IF(S798&gt;100%,((L798*Q798)*100%)*100%,0)))*100</f>
        <v>0</v>
      </c>
      <c r="U798" s="197" t="s">
        <v>34</v>
      </c>
      <c r="V798" s="1961">
        <f>SUM(T798:T806)%</f>
        <v>0</v>
      </c>
      <c r="W798" s="186"/>
      <c r="AA798" s="87"/>
      <c r="AB798" s="87"/>
      <c r="AC798" s="87"/>
      <c r="AD798" s="87"/>
      <c r="AE798" s="87"/>
      <c r="AF798" s="87"/>
      <c r="AG798" s="87"/>
      <c r="AH798" s="87"/>
      <c r="AI798" s="87"/>
      <c r="AJ798" s="87"/>
      <c r="AK798" s="87"/>
      <c r="AL798" s="87"/>
      <c r="AM798" s="87"/>
      <c r="AN798" s="87"/>
      <c r="AO798" s="87"/>
      <c r="AP798" s="87"/>
      <c r="AQ798" s="87"/>
      <c r="AR798" s="87"/>
      <c r="AS798" s="87"/>
      <c r="AT798" s="87"/>
      <c r="AU798" s="87"/>
      <c r="AV798" s="87"/>
      <c r="AW798" s="87"/>
      <c r="AX798" s="87"/>
      <c r="AY798" s="87"/>
      <c r="AZ798" s="87"/>
      <c r="BA798" s="87"/>
      <c r="BB798" s="87"/>
      <c r="BC798" s="87"/>
      <c r="BD798" s="87"/>
      <c r="BE798" s="87"/>
      <c r="BF798" s="87"/>
    </row>
    <row r="799" spans="1:58" ht="23.4" x14ac:dyDescent="0.45">
      <c r="A799" s="1">
        <f t="shared" si="38"/>
        <v>798</v>
      </c>
      <c r="B799" s="198" t="s">
        <v>23</v>
      </c>
      <c r="C799" s="199" t="s">
        <v>24</v>
      </c>
      <c r="D799" s="114">
        <v>5663</v>
      </c>
      <c r="E799" s="198" t="s">
        <v>878</v>
      </c>
      <c r="F799" s="198" t="s">
        <v>879</v>
      </c>
      <c r="G799" s="200">
        <v>3264</v>
      </c>
      <c r="H799" s="198" t="s">
        <v>880</v>
      </c>
      <c r="I799" s="198" t="s">
        <v>881</v>
      </c>
      <c r="J799" s="1999" t="s">
        <v>57</v>
      </c>
      <c r="K799" s="201" t="s">
        <v>58</v>
      </c>
      <c r="L799" s="63">
        <v>0.5</v>
      </c>
      <c r="M799" s="1674"/>
      <c r="N799" s="682" t="s">
        <v>883</v>
      </c>
      <c r="O799" s="204"/>
      <c r="P799" s="205">
        <v>2100</v>
      </c>
      <c r="Q799" s="128">
        <v>0.2</v>
      </c>
      <c r="R799" s="205"/>
      <c r="S799" s="206">
        <f t="shared" si="39"/>
        <v>0</v>
      </c>
      <c r="T799" s="207">
        <f t="shared" si="40"/>
        <v>0</v>
      </c>
      <c r="U799" s="208" t="s">
        <v>34</v>
      </c>
      <c r="V799" s="209"/>
      <c r="W799" s="210"/>
      <c r="AA799" s="87"/>
      <c r="AB799" s="87"/>
      <c r="AC799" s="87"/>
      <c r="AD799" s="87"/>
      <c r="AE799" s="87"/>
      <c r="AF799" s="87"/>
      <c r="AG799" s="87"/>
      <c r="AH799" s="87"/>
      <c r="AI799" s="87"/>
      <c r="AJ799" s="87"/>
      <c r="AK799" s="87"/>
      <c r="AL799" s="87"/>
      <c r="AM799" s="87"/>
      <c r="AN799" s="87"/>
      <c r="AO799" s="87"/>
      <c r="AP799" s="87"/>
      <c r="AQ799" s="87"/>
      <c r="AR799" s="87"/>
      <c r="AS799" s="87"/>
      <c r="AT799" s="87"/>
      <c r="AU799" s="87"/>
      <c r="AV799" s="87"/>
      <c r="AW799" s="87"/>
      <c r="AX799" s="87"/>
      <c r="AY799" s="87"/>
      <c r="AZ799" s="87"/>
      <c r="BA799" s="87"/>
      <c r="BB799" s="87"/>
      <c r="BC799" s="87"/>
      <c r="BD799" s="87"/>
      <c r="BE799" s="87"/>
      <c r="BF799" s="87"/>
    </row>
    <row r="800" spans="1:58" ht="23.4" x14ac:dyDescent="0.45">
      <c r="A800" s="1">
        <f t="shared" si="38"/>
        <v>799</v>
      </c>
      <c r="B800" s="198" t="s">
        <v>23</v>
      </c>
      <c r="C800" s="199" t="s">
        <v>24</v>
      </c>
      <c r="D800" s="114">
        <v>5663</v>
      </c>
      <c r="E800" s="198" t="s">
        <v>878</v>
      </c>
      <c r="F800" s="198" t="s">
        <v>879</v>
      </c>
      <c r="G800" s="200">
        <v>3264</v>
      </c>
      <c r="H800" s="198" t="s">
        <v>880</v>
      </c>
      <c r="I800" s="198" t="s">
        <v>881</v>
      </c>
      <c r="J800" s="1999" t="s">
        <v>57</v>
      </c>
      <c r="K800" s="201" t="s">
        <v>58</v>
      </c>
      <c r="L800" s="63">
        <v>0.5</v>
      </c>
      <c r="M800" s="1674"/>
      <c r="N800" s="682" t="s">
        <v>884</v>
      </c>
      <c r="O800" s="211"/>
      <c r="P800" s="212">
        <v>12</v>
      </c>
      <c r="Q800" s="128">
        <v>0.2</v>
      </c>
      <c r="R800" s="212"/>
      <c r="S800" s="206">
        <f t="shared" si="39"/>
        <v>0</v>
      </c>
      <c r="T800" s="207">
        <f t="shared" si="40"/>
        <v>0</v>
      </c>
      <c r="U800" s="208" t="s">
        <v>34</v>
      </c>
      <c r="V800" s="209"/>
      <c r="W800" s="210"/>
      <c r="AA800" s="87"/>
      <c r="AB800" s="87"/>
      <c r="AC800" s="87"/>
      <c r="AD800" s="87"/>
      <c r="AE800" s="87"/>
      <c r="AF800" s="87"/>
      <c r="AG800" s="87"/>
      <c r="AH800" s="87"/>
      <c r="AI800" s="87"/>
      <c r="AJ800" s="87"/>
      <c r="AK800" s="87"/>
      <c r="AL800" s="87"/>
      <c r="AM800" s="87"/>
      <c r="AN800" s="87"/>
      <c r="AO800" s="87"/>
      <c r="AP800" s="87"/>
      <c r="AQ800" s="87"/>
      <c r="AR800" s="87"/>
      <c r="AS800" s="87"/>
      <c r="AT800" s="87"/>
      <c r="AU800" s="87"/>
      <c r="AV800" s="87"/>
      <c r="AW800" s="87"/>
      <c r="AX800" s="87"/>
      <c r="AY800" s="87"/>
      <c r="AZ800" s="87"/>
      <c r="BA800" s="87"/>
      <c r="BB800" s="87"/>
      <c r="BC800" s="87"/>
      <c r="BD800" s="87"/>
      <c r="BE800" s="87"/>
      <c r="BF800" s="87"/>
    </row>
    <row r="801" spans="1:58" ht="23.4" x14ac:dyDescent="0.45">
      <c r="A801" s="1">
        <f t="shared" si="38"/>
        <v>800</v>
      </c>
      <c r="B801" s="198" t="s">
        <v>23</v>
      </c>
      <c r="C801" s="199" t="s">
        <v>24</v>
      </c>
      <c r="D801" s="114">
        <v>5663</v>
      </c>
      <c r="E801" s="198" t="s">
        <v>878</v>
      </c>
      <c r="F801" s="198" t="s">
        <v>879</v>
      </c>
      <c r="G801" s="200">
        <v>3264</v>
      </c>
      <c r="H801" s="198" t="s">
        <v>880</v>
      </c>
      <c r="I801" s="198" t="s">
        <v>881</v>
      </c>
      <c r="J801" s="1999" t="s">
        <v>57</v>
      </c>
      <c r="K801" s="201" t="s">
        <v>58</v>
      </c>
      <c r="L801" s="63">
        <v>0.5</v>
      </c>
      <c r="M801" s="1674"/>
      <c r="N801" s="682" t="s">
        <v>885</v>
      </c>
      <c r="O801" s="204"/>
      <c r="P801" s="204">
        <v>1</v>
      </c>
      <c r="Q801" s="128">
        <v>0.2</v>
      </c>
      <c r="R801" s="204"/>
      <c r="S801" s="206">
        <f t="shared" si="39"/>
        <v>0</v>
      </c>
      <c r="T801" s="207">
        <f t="shared" si="40"/>
        <v>0</v>
      </c>
      <c r="U801" s="208" t="s">
        <v>34</v>
      </c>
      <c r="V801" s="209"/>
      <c r="W801" s="210"/>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B801" s="87"/>
      <c r="BC801" s="87"/>
      <c r="BD801" s="87"/>
      <c r="BE801" s="87"/>
      <c r="BF801" s="87"/>
    </row>
    <row r="802" spans="1:58" ht="23.4" x14ac:dyDescent="0.45">
      <c r="A802" s="1">
        <f t="shared" si="38"/>
        <v>801</v>
      </c>
      <c r="B802" s="198" t="s">
        <v>23</v>
      </c>
      <c r="C802" s="199" t="s">
        <v>24</v>
      </c>
      <c r="D802" s="114">
        <v>5663</v>
      </c>
      <c r="E802" s="198" t="s">
        <v>878</v>
      </c>
      <c r="F802" s="198" t="s">
        <v>879</v>
      </c>
      <c r="G802" s="200">
        <v>3264</v>
      </c>
      <c r="H802" s="198" t="s">
        <v>880</v>
      </c>
      <c r="I802" s="198" t="s">
        <v>881</v>
      </c>
      <c r="J802" s="1999" t="s">
        <v>57</v>
      </c>
      <c r="K802" s="201" t="s">
        <v>58</v>
      </c>
      <c r="L802" s="63">
        <v>0.5</v>
      </c>
      <c r="M802" s="1674"/>
      <c r="N802" s="682" t="s">
        <v>886</v>
      </c>
      <c r="O802" s="204"/>
      <c r="P802" s="204">
        <v>1</v>
      </c>
      <c r="Q802" s="126">
        <v>0.2</v>
      </c>
      <c r="R802" s="204"/>
      <c r="S802" s="206">
        <f t="shared" si="39"/>
        <v>0</v>
      </c>
      <c r="T802" s="207">
        <f t="shared" si="40"/>
        <v>0</v>
      </c>
      <c r="U802" s="208" t="s">
        <v>34</v>
      </c>
      <c r="V802" s="209"/>
      <c r="W802" s="210"/>
      <c r="AA802" s="87"/>
      <c r="AB802" s="87"/>
      <c r="AC802" s="87"/>
      <c r="AD802" s="87"/>
      <c r="AE802" s="87"/>
      <c r="AF802" s="87"/>
      <c r="AG802" s="87"/>
      <c r="AH802" s="87"/>
      <c r="AI802" s="87"/>
      <c r="AJ802" s="87"/>
      <c r="AK802" s="87"/>
      <c r="AL802" s="87"/>
      <c r="AM802" s="87"/>
      <c r="AN802" s="87"/>
      <c r="AO802" s="87"/>
      <c r="AP802" s="87"/>
      <c r="AQ802" s="87"/>
      <c r="AR802" s="87"/>
      <c r="AS802" s="87"/>
      <c r="AT802" s="87"/>
      <c r="AU802" s="87"/>
      <c r="AV802" s="87"/>
      <c r="AW802" s="87"/>
      <c r="AX802" s="87"/>
      <c r="AY802" s="87"/>
      <c r="AZ802" s="87"/>
      <c r="BA802" s="87"/>
      <c r="BB802" s="87"/>
      <c r="BC802" s="87"/>
      <c r="BD802" s="87"/>
      <c r="BE802" s="87"/>
      <c r="BF802" s="87"/>
    </row>
    <row r="803" spans="1:58" ht="23.4" x14ac:dyDescent="0.45">
      <c r="A803" s="1">
        <f t="shared" si="38"/>
        <v>802</v>
      </c>
      <c r="B803" s="198" t="s">
        <v>23</v>
      </c>
      <c r="C803" s="199" t="s">
        <v>24</v>
      </c>
      <c r="D803" s="114">
        <v>5663</v>
      </c>
      <c r="E803" s="198" t="s">
        <v>878</v>
      </c>
      <c r="F803" s="198" t="s">
        <v>879</v>
      </c>
      <c r="G803" s="200">
        <v>3264</v>
      </c>
      <c r="H803" s="198" t="s">
        <v>880</v>
      </c>
      <c r="I803" s="198" t="s">
        <v>881</v>
      </c>
      <c r="J803" s="1989" t="s">
        <v>110</v>
      </c>
      <c r="K803" s="96" t="s">
        <v>111</v>
      </c>
      <c r="L803" s="175">
        <v>0.5</v>
      </c>
      <c r="M803" s="698"/>
      <c r="N803" s="699" t="s">
        <v>887</v>
      </c>
      <c r="O803" s="215"/>
      <c r="P803" s="215">
        <v>1</v>
      </c>
      <c r="Q803" s="75">
        <v>0.3</v>
      </c>
      <c r="R803" s="215"/>
      <c r="S803" s="216">
        <f t="shared" si="39"/>
        <v>0</v>
      </c>
      <c r="T803" s="217">
        <f t="shared" si="40"/>
        <v>0</v>
      </c>
      <c r="U803" s="218" t="s">
        <v>34</v>
      </c>
      <c r="V803" s="219"/>
      <c r="W803" s="210"/>
      <c r="AA803" s="87"/>
      <c r="AB803" s="87"/>
      <c r="AC803" s="87"/>
      <c r="AD803" s="87"/>
      <c r="AE803" s="87"/>
      <c r="AF803" s="87"/>
      <c r="AG803" s="87"/>
      <c r="AH803" s="87"/>
      <c r="AI803" s="87"/>
      <c r="AJ803" s="87"/>
      <c r="AK803" s="87"/>
      <c r="AL803" s="87"/>
      <c r="AM803" s="87"/>
      <c r="AN803" s="87"/>
      <c r="AO803" s="87"/>
      <c r="AP803" s="87"/>
      <c r="AQ803" s="87"/>
      <c r="AR803" s="87"/>
      <c r="AS803" s="87"/>
      <c r="AT803" s="87"/>
      <c r="AU803" s="87"/>
      <c r="AV803" s="87"/>
      <c r="AW803" s="87"/>
      <c r="AX803" s="87"/>
      <c r="AY803" s="87"/>
      <c r="AZ803" s="87"/>
      <c r="BA803" s="87"/>
      <c r="BB803" s="87"/>
      <c r="BC803" s="87"/>
      <c r="BD803" s="87"/>
      <c r="BE803" s="87"/>
      <c r="BF803" s="87"/>
    </row>
    <row r="804" spans="1:58" ht="23.4" x14ac:dyDescent="0.45">
      <c r="A804" s="1">
        <f t="shared" si="38"/>
        <v>803</v>
      </c>
      <c r="B804" s="198" t="s">
        <v>23</v>
      </c>
      <c r="C804" s="199" t="s">
        <v>24</v>
      </c>
      <c r="D804" s="114">
        <v>5663</v>
      </c>
      <c r="E804" s="198" t="s">
        <v>878</v>
      </c>
      <c r="F804" s="198" t="s">
        <v>879</v>
      </c>
      <c r="G804" s="200">
        <v>3264</v>
      </c>
      <c r="H804" s="198" t="s">
        <v>880</v>
      </c>
      <c r="I804" s="198" t="s">
        <v>881</v>
      </c>
      <c r="J804" s="1989" t="s">
        <v>110</v>
      </c>
      <c r="K804" s="96" t="s">
        <v>111</v>
      </c>
      <c r="L804" s="175">
        <v>0.5</v>
      </c>
      <c r="M804" s="698"/>
      <c r="N804" s="699" t="s">
        <v>888</v>
      </c>
      <c r="O804" s="220"/>
      <c r="P804" s="221">
        <v>20</v>
      </c>
      <c r="Q804" s="75">
        <v>0.2</v>
      </c>
      <c r="R804" s="221"/>
      <c r="S804" s="216">
        <f t="shared" si="39"/>
        <v>0</v>
      </c>
      <c r="T804" s="217">
        <f t="shared" si="40"/>
        <v>0</v>
      </c>
      <c r="U804" s="218" t="s">
        <v>83</v>
      </c>
      <c r="V804" s="219"/>
      <c r="W804" s="210"/>
      <c r="AA804" s="87"/>
      <c r="AB804" s="87"/>
      <c r="AC804" s="87"/>
      <c r="AD804" s="87"/>
      <c r="AE804" s="87"/>
      <c r="AF804" s="87"/>
      <c r="AG804" s="87"/>
      <c r="AH804" s="87"/>
      <c r="AI804" s="87"/>
      <c r="AJ804" s="87"/>
      <c r="AK804" s="87"/>
      <c r="AL804" s="87"/>
      <c r="AM804" s="87"/>
      <c r="AN804" s="87"/>
      <c r="AO804" s="87"/>
      <c r="AP804" s="87"/>
      <c r="AQ804" s="87"/>
      <c r="AR804" s="87"/>
      <c r="AS804" s="87"/>
      <c r="AT804" s="87"/>
      <c r="AU804" s="87"/>
      <c r="AV804" s="87"/>
      <c r="AW804" s="87"/>
      <c r="AX804" s="87"/>
      <c r="AY804" s="87"/>
      <c r="AZ804" s="87"/>
      <c r="BA804" s="87"/>
      <c r="BB804" s="87"/>
      <c r="BC804" s="87"/>
      <c r="BD804" s="87"/>
      <c r="BE804" s="87"/>
      <c r="BF804" s="87"/>
    </row>
    <row r="805" spans="1:58" ht="23.4" x14ac:dyDescent="0.45">
      <c r="A805" s="1">
        <f t="shared" si="38"/>
        <v>804</v>
      </c>
      <c r="B805" s="198" t="s">
        <v>23</v>
      </c>
      <c r="C805" s="199" t="s">
        <v>24</v>
      </c>
      <c r="D805" s="114">
        <v>5663</v>
      </c>
      <c r="E805" s="198" t="s">
        <v>878</v>
      </c>
      <c r="F805" s="198" t="s">
        <v>879</v>
      </c>
      <c r="G805" s="200">
        <v>3264</v>
      </c>
      <c r="H805" s="198" t="s">
        <v>880</v>
      </c>
      <c r="I805" s="198" t="s">
        <v>881</v>
      </c>
      <c r="J805" s="1989" t="s">
        <v>110</v>
      </c>
      <c r="K805" s="96" t="s">
        <v>111</v>
      </c>
      <c r="L805" s="175">
        <v>0.5</v>
      </c>
      <c r="M805" s="698"/>
      <c r="N805" s="699" t="s">
        <v>889</v>
      </c>
      <c r="O805" s="220"/>
      <c r="P805" s="222">
        <v>0.4</v>
      </c>
      <c r="Q805" s="75">
        <v>0.2</v>
      </c>
      <c r="R805" s="222"/>
      <c r="S805" s="216">
        <f t="shared" si="39"/>
        <v>0</v>
      </c>
      <c r="T805" s="217">
        <f t="shared" si="40"/>
        <v>0</v>
      </c>
      <c r="U805" s="218" t="s">
        <v>83</v>
      </c>
      <c r="V805" s="219"/>
      <c r="W805" s="210"/>
      <c r="AA805" s="87"/>
      <c r="AB805" s="87"/>
      <c r="AC805" s="87"/>
      <c r="AD805" s="87"/>
      <c r="AE805" s="87"/>
      <c r="AF805" s="87"/>
      <c r="AG805" s="87"/>
      <c r="AH805" s="87"/>
      <c r="AI805" s="87"/>
      <c r="AJ805" s="87"/>
      <c r="AK805" s="87"/>
      <c r="AL805" s="87"/>
      <c r="AM805" s="87"/>
      <c r="AN805" s="87"/>
      <c r="AO805" s="87"/>
      <c r="AP805" s="87"/>
      <c r="AQ805" s="87"/>
      <c r="AR805" s="87"/>
      <c r="AS805" s="87"/>
      <c r="AT805" s="87"/>
      <c r="AU805" s="87"/>
      <c r="AV805" s="87"/>
      <c r="AW805" s="87"/>
      <c r="AX805" s="87"/>
      <c r="AY805" s="87"/>
      <c r="AZ805" s="87"/>
      <c r="BA805" s="87"/>
      <c r="BB805" s="87"/>
      <c r="BC805" s="87"/>
      <c r="BD805" s="87"/>
      <c r="BE805" s="87"/>
      <c r="BF805" s="87"/>
    </row>
    <row r="806" spans="1:58" ht="23.4" x14ac:dyDescent="0.45">
      <c r="A806" s="1">
        <f t="shared" si="38"/>
        <v>805</v>
      </c>
      <c r="B806" s="198" t="s">
        <v>23</v>
      </c>
      <c r="C806" s="199" t="s">
        <v>24</v>
      </c>
      <c r="D806" s="114">
        <v>5663</v>
      </c>
      <c r="E806" s="198" t="s">
        <v>878</v>
      </c>
      <c r="F806" s="198" t="s">
        <v>879</v>
      </c>
      <c r="G806" s="200">
        <v>3264</v>
      </c>
      <c r="H806" s="198" t="s">
        <v>880</v>
      </c>
      <c r="I806" s="198" t="s">
        <v>881</v>
      </c>
      <c r="J806" s="1989" t="s">
        <v>110</v>
      </c>
      <c r="K806" s="96" t="s">
        <v>111</v>
      </c>
      <c r="L806" s="175">
        <v>0.5</v>
      </c>
      <c r="M806" s="698"/>
      <c r="N806" s="699" t="s">
        <v>890</v>
      </c>
      <c r="O806" s="215"/>
      <c r="P806" s="223">
        <v>12</v>
      </c>
      <c r="Q806" s="75">
        <v>0.3</v>
      </c>
      <c r="R806" s="223"/>
      <c r="S806" s="216">
        <f t="shared" si="39"/>
        <v>0</v>
      </c>
      <c r="T806" s="217">
        <f t="shared" si="40"/>
        <v>0</v>
      </c>
      <c r="U806" s="218" t="s">
        <v>34</v>
      </c>
      <c r="V806" s="219"/>
      <c r="W806" s="210"/>
      <c r="AA806" s="87"/>
      <c r="AB806" s="87"/>
      <c r="AC806" s="87"/>
      <c r="AD806" s="87"/>
      <c r="AE806" s="87"/>
      <c r="AF806" s="87"/>
      <c r="AG806" s="87"/>
      <c r="AH806" s="87"/>
      <c r="AI806" s="87"/>
      <c r="AJ806" s="87"/>
      <c r="AK806" s="87"/>
      <c r="AL806" s="87"/>
      <c r="AM806" s="87"/>
      <c r="AN806" s="87"/>
      <c r="AO806" s="87"/>
      <c r="AP806" s="87"/>
      <c r="AQ806" s="87"/>
      <c r="AR806" s="87"/>
      <c r="AS806" s="87"/>
      <c r="AT806" s="87"/>
      <c r="AU806" s="87"/>
      <c r="AV806" s="87"/>
      <c r="AW806" s="87"/>
      <c r="AX806" s="87"/>
      <c r="AY806" s="87"/>
      <c r="AZ806" s="87"/>
      <c r="BA806" s="87"/>
      <c r="BB806" s="87"/>
      <c r="BC806" s="87"/>
      <c r="BD806" s="87"/>
      <c r="BE806" s="87"/>
      <c r="BF806" s="87"/>
    </row>
    <row r="807" spans="1:58" ht="23.4" x14ac:dyDescent="0.45">
      <c r="A807" s="1">
        <f t="shared" si="38"/>
        <v>806</v>
      </c>
      <c r="B807" s="186" t="s">
        <v>23</v>
      </c>
      <c r="C807" s="187" t="s">
        <v>24</v>
      </c>
      <c r="D807" s="188">
        <v>6144</v>
      </c>
      <c r="E807" s="186" t="s">
        <v>891</v>
      </c>
      <c r="F807" s="186" t="s">
        <v>892</v>
      </c>
      <c r="G807" s="189">
        <v>5663</v>
      </c>
      <c r="H807" s="186" t="s">
        <v>878</v>
      </c>
      <c r="I807" s="186" t="s">
        <v>881</v>
      </c>
      <c r="J807" s="1998" t="s">
        <v>57</v>
      </c>
      <c r="K807" s="224" t="s">
        <v>58</v>
      </c>
      <c r="L807" s="53">
        <v>0.5</v>
      </c>
      <c r="M807" s="225"/>
      <c r="N807" s="195" t="s">
        <v>893</v>
      </c>
      <c r="O807" s="196"/>
      <c r="P807" s="226">
        <v>3000000000</v>
      </c>
      <c r="Q807" s="98">
        <v>0.3</v>
      </c>
      <c r="R807" s="226"/>
      <c r="S807" s="193">
        <f t="shared" si="39"/>
        <v>0</v>
      </c>
      <c r="T807" s="193">
        <f t="shared" si="40"/>
        <v>0</v>
      </c>
      <c r="U807" s="193" t="s">
        <v>34</v>
      </c>
      <c r="V807" s="1961">
        <f>SUM(T807:T815)%</f>
        <v>0</v>
      </c>
      <c r="W807" s="186"/>
      <c r="AA807" s="87"/>
      <c r="AB807" s="87"/>
      <c r="AC807" s="87"/>
      <c r="AD807" s="87"/>
      <c r="AE807" s="87"/>
      <c r="AF807" s="87"/>
      <c r="AG807" s="87"/>
      <c r="AH807" s="87"/>
      <c r="AI807" s="87"/>
      <c r="AJ807" s="87"/>
      <c r="AK807" s="87"/>
      <c r="AL807" s="87"/>
      <c r="AM807" s="87"/>
      <c r="AN807" s="87"/>
      <c r="AO807" s="87"/>
      <c r="AP807" s="87"/>
      <c r="AQ807" s="87"/>
      <c r="AR807" s="87"/>
      <c r="AS807" s="87"/>
      <c r="AT807" s="87"/>
      <c r="AU807" s="87"/>
      <c r="AV807" s="87"/>
      <c r="AW807" s="87"/>
      <c r="AX807" s="87"/>
      <c r="AY807" s="87"/>
      <c r="AZ807" s="87"/>
      <c r="BA807" s="87"/>
      <c r="BB807" s="87"/>
      <c r="BC807" s="87"/>
      <c r="BD807" s="87"/>
      <c r="BE807" s="87"/>
      <c r="BF807" s="87"/>
    </row>
    <row r="808" spans="1:58" ht="23.4" x14ac:dyDescent="0.45">
      <c r="A808" s="1">
        <f t="shared" si="38"/>
        <v>807</v>
      </c>
      <c r="B808" s="198" t="s">
        <v>23</v>
      </c>
      <c r="C808" s="199" t="s">
        <v>24</v>
      </c>
      <c r="D808" s="114">
        <v>6144</v>
      </c>
      <c r="E808" s="198" t="s">
        <v>891</v>
      </c>
      <c r="F808" s="198" t="s">
        <v>892</v>
      </c>
      <c r="G808" s="200">
        <v>5663</v>
      </c>
      <c r="H808" s="198" t="s">
        <v>878</v>
      </c>
      <c r="I808" s="198" t="s">
        <v>881</v>
      </c>
      <c r="J808" s="1999" t="s">
        <v>57</v>
      </c>
      <c r="K808" s="227" t="s">
        <v>58</v>
      </c>
      <c r="L808" s="125">
        <v>0.5</v>
      </c>
      <c r="M808" s="228"/>
      <c r="N808" s="206" t="s">
        <v>894</v>
      </c>
      <c r="O808" s="207"/>
      <c r="P808" s="230">
        <v>350</v>
      </c>
      <c r="Q808" s="126">
        <v>0.3</v>
      </c>
      <c r="R808" s="230"/>
      <c r="S808" s="231">
        <f t="shared" si="39"/>
        <v>0</v>
      </c>
      <c r="T808" s="231">
        <f t="shared" si="40"/>
        <v>0</v>
      </c>
      <c r="U808" s="231" t="s">
        <v>34</v>
      </c>
      <c r="V808" s="209"/>
      <c r="W808" s="210"/>
      <c r="AA808" s="87"/>
      <c r="AB808" s="87"/>
      <c r="AC808" s="87"/>
      <c r="AD808" s="87"/>
      <c r="AE808" s="87"/>
      <c r="AF808" s="87"/>
      <c r="AG808" s="87"/>
      <c r="AH808" s="87"/>
      <c r="AI808" s="87"/>
      <c r="AJ808" s="87"/>
      <c r="AK808" s="87"/>
      <c r="AL808" s="87"/>
      <c r="AM808" s="87"/>
      <c r="AN808" s="87"/>
      <c r="AO808" s="87"/>
      <c r="AP808" s="87"/>
      <c r="AQ808" s="87"/>
      <c r="AR808" s="87"/>
      <c r="AS808" s="87"/>
      <c r="AT808" s="87"/>
      <c r="AU808" s="87"/>
      <c r="AV808" s="87"/>
      <c r="AW808" s="87"/>
      <c r="AX808" s="87"/>
      <c r="AY808" s="87"/>
      <c r="AZ808" s="87"/>
      <c r="BA808" s="87"/>
      <c r="BB808" s="87"/>
      <c r="BC808" s="87"/>
      <c r="BD808" s="87"/>
      <c r="BE808" s="87"/>
      <c r="BF808" s="87"/>
    </row>
    <row r="809" spans="1:58" ht="23.4" x14ac:dyDescent="0.45">
      <c r="A809" s="1">
        <f t="shared" si="38"/>
        <v>808</v>
      </c>
      <c r="B809" s="198" t="s">
        <v>23</v>
      </c>
      <c r="C809" s="199" t="s">
        <v>24</v>
      </c>
      <c r="D809" s="114">
        <v>6144</v>
      </c>
      <c r="E809" s="198" t="s">
        <v>891</v>
      </c>
      <c r="F809" s="198" t="s">
        <v>892</v>
      </c>
      <c r="G809" s="200">
        <v>5663</v>
      </c>
      <c r="H809" s="198" t="s">
        <v>878</v>
      </c>
      <c r="I809" s="198" t="s">
        <v>881</v>
      </c>
      <c r="J809" s="1999" t="s">
        <v>57</v>
      </c>
      <c r="K809" s="227" t="s">
        <v>58</v>
      </c>
      <c r="L809" s="125">
        <v>0.5</v>
      </c>
      <c r="M809" s="228"/>
      <c r="N809" s="682" t="s">
        <v>885</v>
      </c>
      <c r="O809" s="207"/>
      <c r="P809" s="208">
        <v>1</v>
      </c>
      <c r="Q809" s="128">
        <v>0.2</v>
      </c>
      <c r="R809" s="208"/>
      <c r="S809" s="231">
        <f t="shared" si="39"/>
        <v>0</v>
      </c>
      <c r="T809" s="231">
        <f t="shared" si="40"/>
        <v>0</v>
      </c>
      <c r="U809" s="231" t="s">
        <v>34</v>
      </c>
      <c r="V809" s="209"/>
      <c r="W809" s="210"/>
      <c r="AA809" s="87"/>
      <c r="AB809" s="87"/>
      <c r="AC809" s="87"/>
      <c r="AD809" s="87"/>
      <c r="AE809" s="87"/>
      <c r="AF809" s="87"/>
      <c r="AG809" s="87"/>
      <c r="AH809" s="87"/>
      <c r="AI809" s="87"/>
      <c r="AJ809" s="87"/>
      <c r="AK809" s="87"/>
      <c r="AL809" s="87"/>
      <c r="AM809" s="87"/>
      <c r="AN809" s="87"/>
      <c r="AO809" s="87"/>
      <c r="AP809" s="87"/>
      <c r="AQ809" s="87"/>
      <c r="AR809" s="87"/>
      <c r="AS809" s="87"/>
      <c r="AT809" s="87"/>
      <c r="AU809" s="87"/>
      <c r="AV809" s="87"/>
      <c r="AW809" s="87"/>
      <c r="AX809" s="87"/>
      <c r="AY809" s="87"/>
      <c r="AZ809" s="87"/>
      <c r="BA809" s="87"/>
      <c r="BB809" s="87"/>
      <c r="BC809" s="87"/>
      <c r="BD809" s="87"/>
      <c r="BE809" s="87"/>
      <c r="BF809" s="87"/>
    </row>
    <row r="810" spans="1:58" ht="23.4" x14ac:dyDescent="0.45">
      <c r="A810" s="1">
        <f t="shared" si="38"/>
        <v>809</v>
      </c>
      <c r="B810" s="198" t="s">
        <v>23</v>
      </c>
      <c r="C810" s="199" t="s">
        <v>24</v>
      </c>
      <c r="D810" s="114">
        <v>6144</v>
      </c>
      <c r="E810" s="198" t="s">
        <v>891</v>
      </c>
      <c r="F810" s="198" t="s">
        <v>892</v>
      </c>
      <c r="G810" s="200">
        <v>5663</v>
      </c>
      <c r="H810" s="198" t="s">
        <v>878</v>
      </c>
      <c r="I810" s="198" t="s">
        <v>881</v>
      </c>
      <c r="J810" s="1999" t="s">
        <v>57</v>
      </c>
      <c r="K810" s="227" t="s">
        <v>58</v>
      </c>
      <c r="L810" s="125">
        <v>0.5</v>
      </c>
      <c r="M810" s="228"/>
      <c r="N810" s="682" t="s">
        <v>895</v>
      </c>
      <c r="O810" s="207"/>
      <c r="P810" s="208">
        <v>1</v>
      </c>
      <c r="Q810" s="128">
        <v>0.2</v>
      </c>
      <c r="R810" s="208"/>
      <c r="S810" s="231">
        <f t="shared" si="39"/>
        <v>0</v>
      </c>
      <c r="T810" s="207">
        <f t="shared" si="40"/>
        <v>0</v>
      </c>
      <c r="U810" s="207" t="s">
        <v>34</v>
      </c>
      <c r="V810" s="232"/>
      <c r="W810" s="210"/>
      <c r="AA810" s="87"/>
      <c r="AB810" s="87"/>
      <c r="AC810" s="87"/>
      <c r="AD810" s="87"/>
      <c r="AE810" s="87"/>
      <c r="AF810" s="87"/>
      <c r="AG810" s="87"/>
      <c r="AH810" s="87"/>
      <c r="AI810" s="87"/>
      <c r="AJ810" s="87"/>
      <c r="AK810" s="87"/>
      <c r="AL810" s="87"/>
      <c r="AM810" s="87"/>
      <c r="AN810" s="87"/>
      <c r="AO810" s="87"/>
      <c r="AP810" s="87"/>
      <c r="AQ810" s="87"/>
      <c r="AR810" s="87"/>
      <c r="AS810" s="87"/>
      <c r="AT810" s="87"/>
      <c r="AU810" s="87"/>
      <c r="AV810" s="87"/>
      <c r="AW810" s="87"/>
      <c r="AX810" s="87"/>
      <c r="AY810" s="87"/>
      <c r="AZ810" s="87"/>
      <c r="BA810" s="87"/>
      <c r="BB810" s="87"/>
      <c r="BC810" s="87"/>
      <c r="BD810" s="87"/>
      <c r="BE810" s="87"/>
      <c r="BF810" s="87"/>
    </row>
    <row r="811" spans="1:58" ht="23.4" x14ac:dyDescent="0.45">
      <c r="A811" s="1">
        <f t="shared" si="38"/>
        <v>810</v>
      </c>
      <c r="B811" s="198" t="s">
        <v>23</v>
      </c>
      <c r="C811" s="199" t="s">
        <v>24</v>
      </c>
      <c r="D811" s="114">
        <v>6144</v>
      </c>
      <c r="E811" s="198" t="s">
        <v>891</v>
      </c>
      <c r="F811" s="198" t="s">
        <v>892</v>
      </c>
      <c r="G811" s="200">
        <v>5663</v>
      </c>
      <c r="H811" s="198" t="s">
        <v>878</v>
      </c>
      <c r="I811" s="198" t="s">
        <v>881</v>
      </c>
      <c r="J811" s="1989" t="s">
        <v>110</v>
      </c>
      <c r="K811" s="96" t="s">
        <v>111</v>
      </c>
      <c r="L811" s="175">
        <v>0.5</v>
      </c>
      <c r="M811" s="698"/>
      <c r="N811" s="699" t="s">
        <v>887</v>
      </c>
      <c r="O811" s="220"/>
      <c r="P811" s="233">
        <v>1</v>
      </c>
      <c r="Q811" s="75">
        <v>0.2</v>
      </c>
      <c r="R811" s="233"/>
      <c r="S811" s="216">
        <f t="shared" si="39"/>
        <v>0</v>
      </c>
      <c r="T811" s="217">
        <f t="shared" si="40"/>
        <v>0</v>
      </c>
      <c r="U811" s="218" t="s">
        <v>34</v>
      </c>
      <c r="V811" s="219"/>
      <c r="W811" s="210"/>
      <c r="AA811" s="87"/>
      <c r="AB811" s="87"/>
      <c r="AC811" s="87"/>
      <c r="AD811" s="87"/>
      <c r="AE811" s="87"/>
      <c r="AF811" s="87"/>
      <c r="AG811" s="87"/>
      <c r="AH811" s="87"/>
      <c r="AI811" s="87"/>
      <c r="AJ811" s="87"/>
      <c r="AK811" s="87"/>
      <c r="AL811" s="87"/>
      <c r="AM811" s="87"/>
      <c r="AN811" s="87"/>
      <c r="AO811" s="87"/>
      <c r="AP811" s="87"/>
      <c r="AQ811" s="87"/>
      <c r="AR811" s="87"/>
      <c r="AS811" s="87"/>
      <c r="AT811" s="87"/>
      <c r="AU811" s="87"/>
      <c r="AV811" s="87"/>
      <c r="AW811" s="87"/>
      <c r="AX811" s="87"/>
      <c r="AY811" s="87"/>
      <c r="AZ811" s="87"/>
      <c r="BA811" s="87"/>
      <c r="BB811" s="87"/>
      <c r="BC811" s="87"/>
      <c r="BD811" s="87"/>
      <c r="BE811" s="87"/>
      <c r="BF811" s="87"/>
    </row>
    <row r="812" spans="1:58" ht="23.4" x14ac:dyDescent="0.45">
      <c r="A812" s="1">
        <f t="shared" si="38"/>
        <v>811</v>
      </c>
      <c r="B812" s="198" t="s">
        <v>23</v>
      </c>
      <c r="C812" s="199" t="s">
        <v>24</v>
      </c>
      <c r="D812" s="114">
        <v>6144</v>
      </c>
      <c r="E812" s="198" t="s">
        <v>891</v>
      </c>
      <c r="F812" s="198" t="s">
        <v>892</v>
      </c>
      <c r="G812" s="200">
        <v>5663</v>
      </c>
      <c r="H812" s="198" t="s">
        <v>878</v>
      </c>
      <c r="I812" s="198" t="s">
        <v>881</v>
      </c>
      <c r="J812" s="1989" t="s">
        <v>110</v>
      </c>
      <c r="K812" s="96" t="s">
        <v>111</v>
      </c>
      <c r="L812" s="175">
        <v>0.5</v>
      </c>
      <c r="M812" s="698"/>
      <c r="N812" s="699" t="s">
        <v>889</v>
      </c>
      <c r="O812" s="220"/>
      <c r="P812" s="234">
        <v>0.4</v>
      </c>
      <c r="Q812" s="75">
        <v>0.2</v>
      </c>
      <c r="R812" s="234"/>
      <c r="S812" s="216">
        <f t="shared" si="39"/>
        <v>0</v>
      </c>
      <c r="T812" s="217">
        <f t="shared" si="40"/>
        <v>0</v>
      </c>
      <c r="U812" s="218" t="s">
        <v>83</v>
      </c>
      <c r="V812" s="219"/>
      <c r="W812" s="210"/>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B812" s="87"/>
      <c r="BC812" s="87"/>
      <c r="BD812" s="87"/>
      <c r="BE812" s="87"/>
      <c r="BF812" s="87"/>
    </row>
    <row r="813" spans="1:58" ht="23.4" x14ac:dyDescent="0.45">
      <c r="A813" s="1">
        <f t="shared" si="38"/>
        <v>812</v>
      </c>
      <c r="B813" s="198" t="s">
        <v>23</v>
      </c>
      <c r="C813" s="199" t="s">
        <v>24</v>
      </c>
      <c r="D813" s="114">
        <v>6144</v>
      </c>
      <c r="E813" s="198" t="s">
        <v>891</v>
      </c>
      <c r="F813" s="198" t="s">
        <v>892</v>
      </c>
      <c r="G813" s="200">
        <v>5663</v>
      </c>
      <c r="H813" s="198" t="s">
        <v>878</v>
      </c>
      <c r="I813" s="198" t="s">
        <v>881</v>
      </c>
      <c r="J813" s="1989" t="s">
        <v>110</v>
      </c>
      <c r="K813" s="96" t="s">
        <v>111</v>
      </c>
      <c r="L813" s="175">
        <v>0.5</v>
      </c>
      <c r="M813" s="698"/>
      <c r="N813" s="699" t="s">
        <v>888</v>
      </c>
      <c r="O813" s="220"/>
      <c r="P813" s="221">
        <v>20</v>
      </c>
      <c r="Q813" s="75">
        <v>0.2</v>
      </c>
      <c r="R813" s="221"/>
      <c r="S813" s="216">
        <f t="shared" si="39"/>
        <v>0</v>
      </c>
      <c r="T813" s="217">
        <f t="shared" si="40"/>
        <v>0</v>
      </c>
      <c r="U813" s="218" t="s">
        <v>83</v>
      </c>
      <c r="V813" s="219"/>
      <c r="W813" s="210"/>
      <c r="AA813" s="87"/>
      <c r="AB813" s="87"/>
      <c r="AC813" s="87"/>
      <c r="AD813" s="87"/>
      <c r="AE813" s="87"/>
      <c r="AF813" s="87"/>
      <c r="AG813" s="87"/>
      <c r="AH813" s="87"/>
      <c r="AI813" s="87"/>
      <c r="AJ813" s="87"/>
      <c r="AK813" s="87"/>
      <c r="AL813" s="87"/>
      <c r="AM813" s="87"/>
      <c r="AN813" s="87"/>
      <c r="AO813" s="87"/>
      <c r="AP813" s="87"/>
      <c r="AQ813" s="87"/>
      <c r="AR813" s="87"/>
      <c r="AS813" s="87"/>
      <c r="AT813" s="87"/>
      <c r="AU813" s="87"/>
      <c r="AV813" s="87"/>
      <c r="AW813" s="87"/>
      <c r="AX813" s="87"/>
      <c r="AY813" s="87"/>
      <c r="AZ813" s="87"/>
      <c r="BA813" s="87"/>
      <c r="BB813" s="87"/>
      <c r="BC813" s="87"/>
      <c r="BD813" s="87"/>
      <c r="BE813" s="87"/>
      <c r="BF813" s="87"/>
    </row>
    <row r="814" spans="1:58" ht="23.4" x14ac:dyDescent="0.45">
      <c r="A814" s="1">
        <f t="shared" si="38"/>
        <v>813</v>
      </c>
      <c r="B814" s="198" t="s">
        <v>23</v>
      </c>
      <c r="C814" s="199" t="s">
        <v>24</v>
      </c>
      <c r="D814" s="114">
        <v>6144</v>
      </c>
      <c r="E814" s="198" t="s">
        <v>891</v>
      </c>
      <c r="F814" s="198" t="s">
        <v>892</v>
      </c>
      <c r="G814" s="200">
        <v>5663</v>
      </c>
      <c r="H814" s="198" t="s">
        <v>878</v>
      </c>
      <c r="I814" s="198" t="s">
        <v>881</v>
      </c>
      <c r="J814" s="1989" t="s">
        <v>110</v>
      </c>
      <c r="K814" s="96" t="s">
        <v>111</v>
      </c>
      <c r="L814" s="175">
        <v>0.5</v>
      </c>
      <c r="M814" s="698"/>
      <c r="N814" s="699" t="s">
        <v>896</v>
      </c>
      <c r="O814" s="220"/>
      <c r="P814" s="234">
        <v>0.8</v>
      </c>
      <c r="Q814" s="75">
        <v>0.2</v>
      </c>
      <c r="R814" s="234"/>
      <c r="S814" s="216">
        <f t="shared" si="39"/>
        <v>0</v>
      </c>
      <c r="T814" s="217">
        <f t="shared" si="40"/>
        <v>0</v>
      </c>
      <c r="U814" s="218" t="s">
        <v>34</v>
      </c>
      <c r="V814" s="219"/>
      <c r="W814" s="210"/>
      <c r="AA814" s="87"/>
      <c r="AB814" s="87"/>
      <c r="AC814" s="87"/>
      <c r="AD814" s="87"/>
      <c r="AE814" s="87"/>
      <c r="AF814" s="87"/>
      <c r="AG814" s="87"/>
      <c r="AH814" s="87"/>
      <c r="AI814" s="87"/>
      <c r="AJ814" s="87"/>
      <c r="AK814" s="87"/>
      <c r="AL814" s="87"/>
      <c r="AM814" s="87"/>
      <c r="AN814" s="87"/>
      <c r="AO814" s="87"/>
      <c r="AP814" s="87"/>
      <c r="AQ814" s="87"/>
      <c r="AR814" s="87"/>
      <c r="AS814" s="87"/>
      <c r="AT814" s="87"/>
      <c r="AU814" s="87"/>
      <c r="AV814" s="87"/>
      <c r="AW814" s="87"/>
      <c r="AX814" s="87"/>
      <c r="AY814" s="87"/>
      <c r="AZ814" s="87"/>
      <c r="BA814" s="87"/>
      <c r="BB814" s="87"/>
      <c r="BC814" s="87"/>
      <c r="BD814" s="87"/>
      <c r="BE814" s="87"/>
      <c r="BF814" s="87"/>
    </row>
    <row r="815" spans="1:58" ht="23.4" x14ac:dyDescent="0.45">
      <c r="A815" s="1">
        <f t="shared" si="38"/>
        <v>814</v>
      </c>
      <c r="B815" s="198" t="s">
        <v>23</v>
      </c>
      <c r="C815" s="199" t="s">
        <v>24</v>
      </c>
      <c r="D815" s="114">
        <v>6144</v>
      </c>
      <c r="E815" s="198" t="s">
        <v>891</v>
      </c>
      <c r="F815" s="198" t="s">
        <v>892</v>
      </c>
      <c r="G815" s="200">
        <v>5663</v>
      </c>
      <c r="H815" s="198" t="s">
        <v>878</v>
      </c>
      <c r="I815" s="198" t="s">
        <v>881</v>
      </c>
      <c r="J815" s="1989" t="s">
        <v>110</v>
      </c>
      <c r="K815" s="96" t="s">
        <v>111</v>
      </c>
      <c r="L815" s="175">
        <v>0.5</v>
      </c>
      <c r="M815" s="698"/>
      <c r="N815" s="699" t="s">
        <v>897</v>
      </c>
      <c r="O815" s="220"/>
      <c r="P815" s="235">
        <v>12</v>
      </c>
      <c r="Q815" s="75">
        <v>0.2</v>
      </c>
      <c r="R815" s="235"/>
      <c r="S815" s="216">
        <f t="shared" si="39"/>
        <v>0</v>
      </c>
      <c r="T815" s="217">
        <f t="shared" si="40"/>
        <v>0</v>
      </c>
      <c r="U815" s="218" t="s">
        <v>34</v>
      </c>
      <c r="V815" s="219"/>
      <c r="W815" s="210"/>
      <c r="AA815" s="87"/>
      <c r="AB815" s="87"/>
      <c r="AC815" s="87"/>
      <c r="AD815" s="87"/>
      <c r="AE815" s="87"/>
      <c r="AF815" s="87"/>
      <c r="AG815" s="87"/>
      <c r="AH815" s="87"/>
      <c r="AI815" s="87"/>
      <c r="AJ815" s="87"/>
      <c r="AK815" s="87"/>
      <c r="AL815" s="87"/>
      <c r="AM815" s="87"/>
      <c r="AN815" s="87"/>
      <c r="AO815" s="87"/>
      <c r="AP815" s="87"/>
      <c r="AQ815" s="87"/>
      <c r="AR815" s="87"/>
      <c r="AS815" s="87"/>
      <c r="AT815" s="87"/>
      <c r="AU815" s="87"/>
      <c r="AV815" s="87"/>
      <c r="AW815" s="87"/>
      <c r="AX815" s="87"/>
      <c r="AY815" s="87"/>
      <c r="AZ815" s="87"/>
      <c r="BA815" s="87"/>
      <c r="BB815" s="87"/>
      <c r="BC815" s="87"/>
      <c r="BD815" s="87"/>
      <c r="BE815" s="87"/>
      <c r="BF815" s="87"/>
    </row>
    <row r="816" spans="1:58" ht="23.4" x14ac:dyDescent="0.45">
      <c r="A816" s="1">
        <f t="shared" si="38"/>
        <v>815</v>
      </c>
      <c r="B816" s="186" t="s">
        <v>23</v>
      </c>
      <c r="C816" s="187" t="s">
        <v>24</v>
      </c>
      <c r="D816" s="188">
        <v>3892</v>
      </c>
      <c r="E816" s="186" t="s">
        <v>898</v>
      </c>
      <c r="F816" s="186" t="s">
        <v>892</v>
      </c>
      <c r="G816" s="189">
        <v>3647</v>
      </c>
      <c r="H816" s="186" t="s">
        <v>899</v>
      </c>
      <c r="I816" s="186" t="s">
        <v>881</v>
      </c>
      <c r="J816" s="1998" t="s">
        <v>57</v>
      </c>
      <c r="K816" s="224" t="s">
        <v>58</v>
      </c>
      <c r="L816" s="53">
        <v>0.5</v>
      </c>
      <c r="M816" s="225"/>
      <c r="N816" s="195" t="s">
        <v>893</v>
      </c>
      <c r="O816" s="196"/>
      <c r="P816" s="226">
        <v>3000000000</v>
      </c>
      <c r="Q816" s="98">
        <v>0.3</v>
      </c>
      <c r="R816" s="226"/>
      <c r="S816" s="193">
        <f t="shared" si="39"/>
        <v>0</v>
      </c>
      <c r="T816" s="193">
        <f t="shared" si="40"/>
        <v>0</v>
      </c>
      <c r="U816" s="193" t="s">
        <v>34</v>
      </c>
      <c r="V816" s="1961">
        <f>SUM(T816:T824)%</f>
        <v>0</v>
      </c>
      <c r="W816" s="186"/>
      <c r="AA816" s="87"/>
      <c r="AB816" s="87"/>
      <c r="AC816" s="87"/>
      <c r="AD816" s="87"/>
      <c r="AE816" s="87"/>
      <c r="AF816" s="87"/>
      <c r="AG816" s="87"/>
      <c r="AH816" s="87"/>
      <c r="AI816" s="87"/>
      <c r="AJ816" s="87"/>
      <c r="AK816" s="87"/>
      <c r="AL816" s="87"/>
      <c r="AM816" s="87"/>
      <c r="AN816" s="87"/>
      <c r="AO816" s="87"/>
      <c r="AP816" s="87"/>
      <c r="AQ816" s="87"/>
      <c r="AR816" s="87"/>
      <c r="AS816" s="87"/>
      <c r="AT816" s="87"/>
      <c r="AU816" s="87"/>
      <c r="AV816" s="87"/>
      <c r="AW816" s="87"/>
      <c r="AX816" s="87"/>
      <c r="AY816" s="87"/>
      <c r="AZ816" s="87"/>
      <c r="BA816" s="87"/>
      <c r="BB816" s="87"/>
      <c r="BC816" s="87"/>
      <c r="BD816" s="87"/>
      <c r="BE816" s="87"/>
      <c r="BF816" s="87"/>
    </row>
    <row r="817" spans="1:58" ht="23.4" x14ac:dyDescent="0.45">
      <c r="A817" s="1">
        <f t="shared" si="38"/>
        <v>816</v>
      </c>
      <c r="B817" s="198" t="s">
        <v>23</v>
      </c>
      <c r="C817" s="199" t="s">
        <v>24</v>
      </c>
      <c r="D817" s="114">
        <v>3892</v>
      </c>
      <c r="E817" s="198" t="s">
        <v>898</v>
      </c>
      <c r="F817" s="198" t="s">
        <v>892</v>
      </c>
      <c r="G817" s="200">
        <v>3647</v>
      </c>
      <c r="H817" s="198" t="s">
        <v>899</v>
      </c>
      <c r="I817" s="198" t="s">
        <v>881</v>
      </c>
      <c r="J817" s="1999" t="s">
        <v>57</v>
      </c>
      <c r="K817" s="227" t="s">
        <v>58</v>
      </c>
      <c r="L817" s="125">
        <v>0.5</v>
      </c>
      <c r="M817" s="228"/>
      <c r="N817" s="206" t="s">
        <v>894</v>
      </c>
      <c r="O817" s="207"/>
      <c r="P817" s="230">
        <v>350</v>
      </c>
      <c r="Q817" s="126">
        <v>0.3</v>
      </c>
      <c r="R817" s="230"/>
      <c r="S817" s="231">
        <f t="shared" si="39"/>
        <v>0</v>
      </c>
      <c r="T817" s="231">
        <f t="shared" si="40"/>
        <v>0</v>
      </c>
      <c r="U817" s="231" t="s">
        <v>34</v>
      </c>
      <c r="V817" s="209"/>
      <c r="W817" s="210"/>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B817" s="87"/>
      <c r="BC817" s="87"/>
      <c r="BD817" s="87"/>
      <c r="BE817" s="87"/>
      <c r="BF817" s="87"/>
    </row>
    <row r="818" spans="1:58" ht="23.4" x14ac:dyDescent="0.45">
      <c r="A818" s="1">
        <f t="shared" si="38"/>
        <v>817</v>
      </c>
      <c r="B818" s="198" t="s">
        <v>23</v>
      </c>
      <c r="C818" s="199" t="s">
        <v>24</v>
      </c>
      <c r="D818" s="114">
        <v>3892</v>
      </c>
      <c r="E818" s="198" t="s">
        <v>898</v>
      </c>
      <c r="F818" s="198" t="s">
        <v>892</v>
      </c>
      <c r="G818" s="200">
        <v>3647</v>
      </c>
      <c r="H818" s="198" t="s">
        <v>899</v>
      </c>
      <c r="I818" s="198" t="s">
        <v>881</v>
      </c>
      <c r="J818" s="1999" t="s">
        <v>57</v>
      </c>
      <c r="K818" s="227" t="s">
        <v>58</v>
      </c>
      <c r="L818" s="125">
        <v>0.5</v>
      </c>
      <c r="M818" s="228"/>
      <c r="N818" s="682" t="s">
        <v>885</v>
      </c>
      <c r="O818" s="207"/>
      <c r="P818" s="208">
        <v>1</v>
      </c>
      <c r="Q818" s="128">
        <v>0.2</v>
      </c>
      <c r="R818" s="208"/>
      <c r="S818" s="231">
        <f t="shared" si="39"/>
        <v>0</v>
      </c>
      <c r="T818" s="231">
        <f t="shared" si="40"/>
        <v>0</v>
      </c>
      <c r="U818" s="231" t="s">
        <v>34</v>
      </c>
      <c r="V818" s="209"/>
      <c r="W818" s="210"/>
      <c r="AA818" s="87"/>
      <c r="AB818" s="87"/>
      <c r="AC818" s="87"/>
      <c r="AD818" s="87"/>
      <c r="AE818" s="87"/>
      <c r="AF818" s="87"/>
      <c r="AG818" s="87"/>
      <c r="AH818" s="87"/>
      <c r="AI818" s="87"/>
      <c r="AJ818" s="87"/>
      <c r="AK818" s="87"/>
      <c r="AL818" s="87"/>
      <c r="AM818" s="87"/>
      <c r="AN818" s="87"/>
      <c r="AO818" s="87"/>
      <c r="AP818" s="87"/>
      <c r="AQ818" s="87"/>
      <c r="AR818" s="87"/>
      <c r="AS818" s="87"/>
      <c r="AT818" s="87"/>
      <c r="AU818" s="87"/>
      <c r="AV818" s="87"/>
      <c r="AW818" s="87"/>
      <c r="AX818" s="87"/>
      <c r="AY818" s="87"/>
      <c r="AZ818" s="87"/>
      <c r="BA818" s="87"/>
      <c r="BB818" s="87"/>
      <c r="BC818" s="87"/>
      <c r="BD818" s="87"/>
      <c r="BE818" s="87"/>
      <c r="BF818" s="87"/>
    </row>
    <row r="819" spans="1:58" ht="23.4" x14ac:dyDescent="0.45">
      <c r="A819" s="1">
        <f t="shared" si="38"/>
        <v>818</v>
      </c>
      <c r="B819" s="198" t="s">
        <v>23</v>
      </c>
      <c r="C819" s="199" t="s">
        <v>24</v>
      </c>
      <c r="D819" s="114">
        <v>3892</v>
      </c>
      <c r="E819" s="198" t="s">
        <v>898</v>
      </c>
      <c r="F819" s="198" t="s">
        <v>892</v>
      </c>
      <c r="G819" s="200">
        <v>3647</v>
      </c>
      <c r="H819" s="198" t="s">
        <v>899</v>
      </c>
      <c r="I819" s="198" t="s">
        <v>881</v>
      </c>
      <c r="J819" s="1999" t="s">
        <v>57</v>
      </c>
      <c r="K819" s="227" t="s">
        <v>58</v>
      </c>
      <c r="L819" s="125">
        <v>0.5</v>
      </c>
      <c r="M819" s="228"/>
      <c r="N819" s="682" t="s">
        <v>895</v>
      </c>
      <c r="O819" s="207"/>
      <c r="P819" s="208">
        <v>1</v>
      </c>
      <c r="Q819" s="128">
        <v>0.2</v>
      </c>
      <c r="R819" s="208"/>
      <c r="S819" s="231">
        <f t="shared" si="39"/>
        <v>0</v>
      </c>
      <c r="T819" s="207">
        <f t="shared" si="40"/>
        <v>0</v>
      </c>
      <c r="U819" s="207" t="s">
        <v>34</v>
      </c>
      <c r="V819" s="232"/>
      <c r="W819" s="210"/>
      <c r="AA819" s="87"/>
      <c r="AB819" s="87"/>
      <c r="AC819" s="87"/>
      <c r="AD819" s="87"/>
      <c r="AE819" s="87"/>
      <c r="AF819" s="87"/>
      <c r="AG819" s="87"/>
      <c r="AH819" s="87"/>
      <c r="AI819" s="87"/>
      <c r="AJ819" s="87"/>
      <c r="AK819" s="87"/>
      <c r="AL819" s="87"/>
      <c r="AM819" s="87"/>
      <c r="AN819" s="87"/>
      <c r="AO819" s="87"/>
      <c r="AP819" s="87"/>
      <c r="AQ819" s="87"/>
      <c r="AR819" s="87"/>
      <c r="AS819" s="87"/>
      <c r="AT819" s="87"/>
      <c r="AU819" s="87"/>
      <c r="AV819" s="87"/>
      <c r="AW819" s="87"/>
      <c r="AX819" s="87"/>
      <c r="AY819" s="87"/>
      <c r="AZ819" s="87"/>
      <c r="BA819" s="87"/>
      <c r="BB819" s="87"/>
      <c r="BC819" s="87"/>
      <c r="BD819" s="87"/>
      <c r="BE819" s="87"/>
      <c r="BF819" s="87"/>
    </row>
    <row r="820" spans="1:58" ht="23.4" x14ac:dyDescent="0.45">
      <c r="A820" s="1">
        <f t="shared" si="38"/>
        <v>819</v>
      </c>
      <c r="B820" s="198" t="s">
        <v>23</v>
      </c>
      <c r="C820" s="199" t="s">
        <v>24</v>
      </c>
      <c r="D820" s="114">
        <v>3892</v>
      </c>
      <c r="E820" s="198" t="s">
        <v>898</v>
      </c>
      <c r="F820" s="198" t="s">
        <v>892</v>
      </c>
      <c r="G820" s="200">
        <v>3647</v>
      </c>
      <c r="H820" s="198" t="s">
        <v>899</v>
      </c>
      <c r="I820" s="198" t="s">
        <v>881</v>
      </c>
      <c r="J820" s="1989" t="s">
        <v>110</v>
      </c>
      <c r="K820" s="96" t="s">
        <v>111</v>
      </c>
      <c r="L820" s="175">
        <v>0.5</v>
      </c>
      <c r="M820" s="698"/>
      <c r="N820" s="699" t="s">
        <v>887</v>
      </c>
      <c r="O820" s="220"/>
      <c r="P820" s="233">
        <v>1</v>
      </c>
      <c r="Q820" s="75">
        <v>0.2</v>
      </c>
      <c r="R820" s="233"/>
      <c r="S820" s="216">
        <f t="shared" si="39"/>
        <v>0</v>
      </c>
      <c r="T820" s="217">
        <f t="shared" si="40"/>
        <v>0</v>
      </c>
      <c r="U820" s="218" t="s">
        <v>34</v>
      </c>
      <c r="V820" s="219"/>
      <c r="W820" s="210"/>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B820" s="87"/>
      <c r="BC820" s="87"/>
      <c r="BD820" s="87"/>
      <c r="BE820" s="87"/>
      <c r="BF820" s="87"/>
    </row>
    <row r="821" spans="1:58" ht="23.4" x14ac:dyDescent="0.45">
      <c r="A821" s="1">
        <f t="shared" si="38"/>
        <v>820</v>
      </c>
      <c r="B821" s="198" t="s">
        <v>23</v>
      </c>
      <c r="C821" s="199" t="s">
        <v>24</v>
      </c>
      <c r="D821" s="114">
        <v>3892</v>
      </c>
      <c r="E821" s="198" t="s">
        <v>898</v>
      </c>
      <c r="F821" s="198" t="s">
        <v>892</v>
      </c>
      <c r="G821" s="200">
        <v>3647</v>
      </c>
      <c r="H821" s="198" t="s">
        <v>899</v>
      </c>
      <c r="I821" s="198" t="s">
        <v>881</v>
      </c>
      <c r="J821" s="1989" t="s">
        <v>110</v>
      </c>
      <c r="K821" s="96" t="s">
        <v>111</v>
      </c>
      <c r="L821" s="175">
        <v>0.5</v>
      </c>
      <c r="M821" s="698"/>
      <c r="N821" s="699" t="s">
        <v>888</v>
      </c>
      <c r="O821" s="220"/>
      <c r="P821" s="221">
        <v>20</v>
      </c>
      <c r="Q821" s="75">
        <v>0.2</v>
      </c>
      <c r="R821" s="221"/>
      <c r="S821" s="216">
        <f t="shared" si="39"/>
        <v>0</v>
      </c>
      <c r="T821" s="217">
        <f t="shared" si="40"/>
        <v>0</v>
      </c>
      <c r="U821" s="218" t="s">
        <v>83</v>
      </c>
      <c r="V821" s="219"/>
      <c r="W821" s="210"/>
      <c r="AA821" s="87"/>
      <c r="AB821" s="87"/>
      <c r="AC821" s="87"/>
      <c r="AD821" s="87"/>
      <c r="AE821" s="87"/>
      <c r="AF821" s="87"/>
      <c r="AG821" s="87"/>
      <c r="AH821" s="87"/>
      <c r="AI821" s="87"/>
      <c r="AJ821" s="87"/>
      <c r="AK821" s="87"/>
      <c r="AL821" s="87"/>
      <c r="AM821" s="87"/>
      <c r="AN821" s="87"/>
      <c r="AO821" s="87"/>
      <c r="AP821" s="87"/>
      <c r="AQ821" s="87"/>
      <c r="AR821" s="87"/>
      <c r="AS821" s="87"/>
      <c r="AT821" s="87"/>
      <c r="AU821" s="87"/>
      <c r="AV821" s="87"/>
      <c r="AW821" s="87"/>
      <c r="AX821" s="87"/>
      <c r="AY821" s="87"/>
      <c r="AZ821" s="87"/>
      <c r="BA821" s="87"/>
      <c r="BB821" s="87"/>
      <c r="BC821" s="87"/>
      <c r="BD821" s="87"/>
      <c r="BE821" s="87"/>
      <c r="BF821" s="87"/>
    </row>
    <row r="822" spans="1:58" ht="23.4" x14ac:dyDescent="0.45">
      <c r="A822" s="1">
        <f t="shared" si="38"/>
        <v>821</v>
      </c>
      <c r="B822" s="198" t="s">
        <v>23</v>
      </c>
      <c r="C822" s="199" t="s">
        <v>24</v>
      </c>
      <c r="D822" s="114">
        <v>3892</v>
      </c>
      <c r="E822" s="198" t="s">
        <v>898</v>
      </c>
      <c r="F822" s="198" t="s">
        <v>892</v>
      </c>
      <c r="G822" s="200">
        <v>3647</v>
      </c>
      <c r="H822" s="198" t="s">
        <v>899</v>
      </c>
      <c r="I822" s="198" t="s">
        <v>881</v>
      </c>
      <c r="J822" s="1989" t="s">
        <v>110</v>
      </c>
      <c r="K822" s="96" t="s">
        <v>111</v>
      </c>
      <c r="L822" s="175">
        <v>0.5</v>
      </c>
      <c r="M822" s="698"/>
      <c r="N822" s="699" t="s">
        <v>900</v>
      </c>
      <c r="O822" s="220"/>
      <c r="P822" s="234">
        <v>0.4</v>
      </c>
      <c r="Q822" s="75">
        <v>0.2</v>
      </c>
      <c r="R822" s="234"/>
      <c r="S822" s="216">
        <f t="shared" si="39"/>
        <v>0</v>
      </c>
      <c r="T822" s="217">
        <f t="shared" si="40"/>
        <v>0</v>
      </c>
      <c r="U822" s="218" t="s">
        <v>83</v>
      </c>
      <c r="V822" s="219"/>
      <c r="W822" s="210"/>
      <c r="AA822" s="87"/>
      <c r="AB822" s="87"/>
      <c r="AC822" s="87"/>
      <c r="AD822" s="87"/>
      <c r="AE822" s="87"/>
      <c r="AF822" s="87"/>
      <c r="AG822" s="87"/>
      <c r="AH822" s="87"/>
      <c r="AI822" s="87"/>
      <c r="AJ822" s="87"/>
      <c r="AK822" s="87"/>
      <c r="AL822" s="87"/>
      <c r="AM822" s="87"/>
      <c r="AN822" s="87"/>
      <c r="AO822" s="87"/>
      <c r="AP822" s="87"/>
      <c r="AQ822" s="87"/>
      <c r="AR822" s="87"/>
      <c r="AS822" s="87"/>
      <c r="AT822" s="87"/>
      <c r="AU822" s="87"/>
      <c r="AV822" s="87"/>
      <c r="AW822" s="87"/>
      <c r="AX822" s="87"/>
      <c r="AY822" s="87"/>
      <c r="AZ822" s="87"/>
      <c r="BA822" s="87"/>
      <c r="BB822" s="87"/>
      <c r="BC822" s="87"/>
      <c r="BD822" s="87"/>
      <c r="BE822" s="87"/>
      <c r="BF822" s="87"/>
    </row>
    <row r="823" spans="1:58" ht="23.4" x14ac:dyDescent="0.45">
      <c r="A823" s="1">
        <f t="shared" si="38"/>
        <v>822</v>
      </c>
      <c r="B823" s="198" t="s">
        <v>23</v>
      </c>
      <c r="C823" s="199" t="s">
        <v>24</v>
      </c>
      <c r="D823" s="114">
        <v>3892</v>
      </c>
      <c r="E823" s="198" t="s">
        <v>898</v>
      </c>
      <c r="F823" s="198" t="s">
        <v>892</v>
      </c>
      <c r="G823" s="200">
        <v>3647</v>
      </c>
      <c r="H823" s="198" t="s">
        <v>899</v>
      </c>
      <c r="I823" s="198" t="s">
        <v>881</v>
      </c>
      <c r="J823" s="1989" t="s">
        <v>110</v>
      </c>
      <c r="K823" s="96" t="s">
        <v>111</v>
      </c>
      <c r="L823" s="175">
        <v>0.5</v>
      </c>
      <c r="M823" s="698"/>
      <c r="N823" s="699" t="s">
        <v>896</v>
      </c>
      <c r="O823" s="220"/>
      <c r="P823" s="234">
        <v>0.8</v>
      </c>
      <c r="Q823" s="75">
        <v>0.2</v>
      </c>
      <c r="R823" s="234"/>
      <c r="S823" s="216">
        <f t="shared" si="39"/>
        <v>0</v>
      </c>
      <c r="T823" s="217">
        <f t="shared" si="40"/>
        <v>0</v>
      </c>
      <c r="U823" s="218" t="s">
        <v>34</v>
      </c>
      <c r="V823" s="219"/>
      <c r="W823" s="210"/>
      <c r="AA823" s="87"/>
      <c r="AB823" s="87"/>
      <c r="AC823" s="87"/>
      <c r="AD823" s="87"/>
      <c r="AE823" s="87"/>
      <c r="AF823" s="87"/>
      <c r="AG823" s="87"/>
      <c r="AH823" s="87"/>
      <c r="AI823" s="87"/>
      <c r="AJ823" s="87"/>
      <c r="AK823" s="87"/>
      <c r="AL823" s="87"/>
      <c r="AM823" s="87"/>
      <c r="AN823" s="87"/>
      <c r="AO823" s="87"/>
      <c r="AP823" s="87"/>
      <c r="AQ823" s="87"/>
      <c r="AR823" s="87"/>
      <c r="AS823" s="87"/>
      <c r="AT823" s="87"/>
      <c r="AU823" s="87"/>
      <c r="AV823" s="87"/>
      <c r="AW823" s="87"/>
      <c r="AX823" s="87"/>
      <c r="AY823" s="87"/>
      <c r="AZ823" s="87"/>
      <c r="BA823" s="87"/>
      <c r="BB823" s="87"/>
      <c r="BC823" s="87"/>
      <c r="BD823" s="87"/>
      <c r="BE823" s="87"/>
      <c r="BF823" s="87"/>
    </row>
    <row r="824" spans="1:58" ht="23.4" x14ac:dyDescent="0.45">
      <c r="A824" s="1">
        <f t="shared" si="38"/>
        <v>823</v>
      </c>
      <c r="B824" s="198" t="s">
        <v>23</v>
      </c>
      <c r="C824" s="199" t="s">
        <v>24</v>
      </c>
      <c r="D824" s="114">
        <v>3892</v>
      </c>
      <c r="E824" s="198" t="s">
        <v>898</v>
      </c>
      <c r="F824" s="198" t="s">
        <v>892</v>
      </c>
      <c r="G824" s="200">
        <v>3647</v>
      </c>
      <c r="H824" s="198" t="s">
        <v>899</v>
      </c>
      <c r="I824" s="198" t="s">
        <v>881</v>
      </c>
      <c r="J824" s="1989" t="s">
        <v>110</v>
      </c>
      <c r="K824" s="96" t="s">
        <v>111</v>
      </c>
      <c r="L824" s="175">
        <v>0.5</v>
      </c>
      <c r="M824" s="698"/>
      <c r="N824" s="699" t="s">
        <v>897</v>
      </c>
      <c r="O824" s="220"/>
      <c r="P824" s="235">
        <v>12</v>
      </c>
      <c r="Q824" s="75">
        <v>0.2</v>
      </c>
      <c r="R824" s="235"/>
      <c r="S824" s="216">
        <f t="shared" si="39"/>
        <v>0</v>
      </c>
      <c r="T824" s="217">
        <f t="shared" si="40"/>
        <v>0</v>
      </c>
      <c r="U824" s="218" t="s">
        <v>34</v>
      </c>
      <c r="V824" s="219"/>
      <c r="W824" s="210"/>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B824" s="87"/>
      <c r="BC824" s="87"/>
      <c r="BD824" s="87"/>
      <c r="BE824" s="87"/>
      <c r="BF824" s="87"/>
    </row>
    <row r="825" spans="1:58" ht="23.4" x14ac:dyDescent="0.45">
      <c r="A825" s="1">
        <f t="shared" si="38"/>
        <v>824</v>
      </c>
      <c r="B825" s="236" t="s">
        <v>23</v>
      </c>
      <c r="C825" s="187" t="s">
        <v>24</v>
      </c>
      <c r="D825" s="100">
        <v>3900</v>
      </c>
      <c r="E825" s="236" t="s">
        <v>901</v>
      </c>
      <c r="F825" s="237" t="s">
        <v>902</v>
      </c>
      <c r="G825" s="238">
        <v>3889</v>
      </c>
      <c r="H825" s="236" t="s">
        <v>903</v>
      </c>
      <c r="I825" s="236" t="s">
        <v>881</v>
      </c>
      <c r="J825" s="2000" t="s">
        <v>57</v>
      </c>
      <c r="K825" s="190" t="s">
        <v>58</v>
      </c>
      <c r="L825" s="104">
        <v>0.5</v>
      </c>
      <c r="M825" s="694"/>
      <c r="N825" s="186" t="s">
        <v>904</v>
      </c>
      <c r="O825" s="239"/>
      <c r="P825" s="240">
        <v>12</v>
      </c>
      <c r="Q825" s="56">
        <v>0.15</v>
      </c>
      <c r="R825" s="240"/>
      <c r="S825" s="195">
        <f t="shared" si="39"/>
        <v>0</v>
      </c>
      <c r="T825" s="196">
        <f t="shared" si="40"/>
        <v>0</v>
      </c>
      <c r="U825" s="241" t="s">
        <v>34</v>
      </c>
      <c r="V825" s="1962">
        <f>SUM(T825:T837)%</f>
        <v>0</v>
      </c>
      <c r="W825" s="243"/>
      <c r="BF825" s="87"/>
    </row>
    <row r="826" spans="1:58" ht="23.4" x14ac:dyDescent="0.45">
      <c r="A826" s="1">
        <f t="shared" si="38"/>
        <v>825</v>
      </c>
      <c r="B826" s="245" t="s">
        <v>23</v>
      </c>
      <c r="C826" s="246" t="s">
        <v>24</v>
      </c>
      <c r="D826" s="92">
        <v>3900</v>
      </c>
      <c r="E826" s="245" t="s">
        <v>901</v>
      </c>
      <c r="F826" s="247" t="s">
        <v>902</v>
      </c>
      <c r="G826" s="248">
        <v>3889</v>
      </c>
      <c r="H826" s="245" t="s">
        <v>903</v>
      </c>
      <c r="I826" s="245" t="s">
        <v>881</v>
      </c>
      <c r="J826" s="1999" t="s">
        <v>57</v>
      </c>
      <c r="K826" s="201" t="s">
        <v>58</v>
      </c>
      <c r="L826" s="63">
        <v>0.5</v>
      </c>
      <c r="M826" s="1674"/>
      <c r="N826" s="682" t="s">
        <v>905</v>
      </c>
      <c r="O826" s="249"/>
      <c r="P826" s="250">
        <v>3</v>
      </c>
      <c r="Q826" s="128">
        <v>0.15</v>
      </c>
      <c r="R826" s="250"/>
      <c r="S826" s="206">
        <f t="shared" si="39"/>
        <v>0</v>
      </c>
      <c r="T826" s="207">
        <f t="shared" si="40"/>
        <v>0</v>
      </c>
      <c r="U826" s="251" t="s">
        <v>34</v>
      </c>
      <c r="V826" s="252"/>
      <c r="W826" s="253"/>
    </row>
    <row r="827" spans="1:58" ht="23.4" x14ac:dyDescent="0.45">
      <c r="A827" s="1">
        <f t="shared" si="38"/>
        <v>826</v>
      </c>
      <c r="B827" s="245" t="s">
        <v>23</v>
      </c>
      <c r="C827" s="246" t="s">
        <v>24</v>
      </c>
      <c r="D827" s="92">
        <v>3900</v>
      </c>
      <c r="E827" s="245" t="s">
        <v>901</v>
      </c>
      <c r="F827" s="247" t="s">
        <v>902</v>
      </c>
      <c r="G827" s="248">
        <v>3889</v>
      </c>
      <c r="H827" s="245" t="s">
        <v>903</v>
      </c>
      <c r="I827" s="245" t="s">
        <v>881</v>
      </c>
      <c r="J827" s="1999" t="s">
        <v>57</v>
      </c>
      <c r="K827" s="201" t="s">
        <v>58</v>
      </c>
      <c r="L827" s="63">
        <v>0.5</v>
      </c>
      <c r="M827" s="1674"/>
      <c r="N827" s="682" t="s">
        <v>906</v>
      </c>
      <c r="O827" s="211"/>
      <c r="P827" s="254">
        <v>0.2</v>
      </c>
      <c r="Q827" s="128">
        <v>0.15</v>
      </c>
      <c r="R827" s="254"/>
      <c r="S827" s="206">
        <f t="shared" si="39"/>
        <v>0</v>
      </c>
      <c r="T827" s="207">
        <f t="shared" si="40"/>
        <v>0</v>
      </c>
      <c r="U827" s="251" t="s">
        <v>83</v>
      </c>
      <c r="V827" s="209"/>
      <c r="W827" s="253"/>
    </row>
    <row r="828" spans="1:58" ht="23.4" x14ac:dyDescent="0.45">
      <c r="A828" s="1">
        <f t="shared" si="38"/>
        <v>827</v>
      </c>
      <c r="B828" s="245" t="s">
        <v>23</v>
      </c>
      <c r="C828" s="246" t="s">
        <v>24</v>
      </c>
      <c r="D828" s="92">
        <v>3900</v>
      </c>
      <c r="E828" s="245" t="s">
        <v>901</v>
      </c>
      <c r="F828" s="247" t="s">
        <v>902</v>
      </c>
      <c r="G828" s="248">
        <v>3889</v>
      </c>
      <c r="H828" s="245" t="s">
        <v>903</v>
      </c>
      <c r="I828" s="245" t="s">
        <v>881</v>
      </c>
      <c r="J828" s="1999" t="s">
        <v>57</v>
      </c>
      <c r="K828" s="201" t="s">
        <v>58</v>
      </c>
      <c r="L828" s="63">
        <v>0.5</v>
      </c>
      <c r="M828" s="1674"/>
      <c r="N828" s="682" t="s">
        <v>907</v>
      </c>
      <c r="O828" s="249"/>
      <c r="P828" s="255">
        <v>30000000000</v>
      </c>
      <c r="Q828" s="128">
        <v>0.2</v>
      </c>
      <c r="R828" s="255"/>
      <c r="S828" s="206">
        <f t="shared" si="39"/>
        <v>0</v>
      </c>
      <c r="T828" s="207">
        <f t="shared" si="40"/>
        <v>0</v>
      </c>
      <c r="U828" s="251" t="s">
        <v>34</v>
      </c>
      <c r="V828" s="209"/>
      <c r="W828" s="253"/>
    </row>
    <row r="829" spans="1:58" ht="25.2" x14ac:dyDescent="0.45">
      <c r="A829" s="1">
        <f t="shared" si="38"/>
        <v>828</v>
      </c>
      <c r="B829" s="245" t="s">
        <v>23</v>
      </c>
      <c r="C829" s="246" t="s">
        <v>24</v>
      </c>
      <c r="D829" s="92">
        <v>3900</v>
      </c>
      <c r="E829" s="245" t="s">
        <v>901</v>
      </c>
      <c r="F829" s="247" t="s">
        <v>902</v>
      </c>
      <c r="G829" s="248">
        <v>3889</v>
      </c>
      <c r="H829" s="245" t="s">
        <v>903</v>
      </c>
      <c r="I829" s="245" t="s">
        <v>881</v>
      </c>
      <c r="J829" s="1999" t="s">
        <v>57</v>
      </c>
      <c r="K829" s="201" t="s">
        <v>58</v>
      </c>
      <c r="L829" s="63">
        <v>0.5</v>
      </c>
      <c r="M829" s="1674"/>
      <c r="N829" s="1700" t="s">
        <v>908</v>
      </c>
      <c r="O829" s="249"/>
      <c r="P829" s="250">
        <v>30</v>
      </c>
      <c r="Q829" s="128">
        <v>0.15</v>
      </c>
      <c r="R829" s="250"/>
      <c r="S829" s="206">
        <f t="shared" si="39"/>
        <v>0</v>
      </c>
      <c r="T829" s="207">
        <f t="shared" si="40"/>
        <v>0</v>
      </c>
      <c r="U829" s="251" t="s">
        <v>34</v>
      </c>
      <c r="V829" s="209"/>
      <c r="W829" s="253"/>
    </row>
    <row r="830" spans="1:58" ht="23.4" x14ac:dyDescent="0.45">
      <c r="A830" s="1">
        <f t="shared" si="38"/>
        <v>829</v>
      </c>
      <c r="B830" s="245" t="s">
        <v>23</v>
      </c>
      <c r="C830" s="246" t="s">
        <v>24</v>
      </c>
      <c r="D830" s="92">
        <v>3900</v>
      </c>
      <c r="E830" s="245" t="s">
        <v>901</v>
      </c>
      <c r="F830" s="247" t="s">
        <v>902</v>
      </c>
      <c r="G830" s="248">
        <v>3889</v>
      </c>
      <c r="H830" s="245" t="s">
        <v>903</v>
      </c>
      <c r="I830" s="245" t="s">
        <v>881</v>
      </c>
      <c r="J830" s="1999" t="s">
        <v>57</v>
      </c>
      <c r="K830" s="201" t="s">
        <v>58</v>
      </c>
      <c r="L830" s="63">
        <v>0.5</v>
      </c>
      <c r="M830" s="1674"/>
      <c r="N830" s="682" t="s">
        <v>909</v>
      </c>
      <c r="O830" s="211"/>
      <c r="P830" s="250">
        <v>30</v>
      </c>
      <c r="Q830" s="128">
        <v>0.2</v>
      </c>
      <c r="R830" s="250"/>
      <c r="S830" s="206">
        <f t="shared" si="39"/>
        <v>0</v>
      </c>
      <c r="T830" s="207">
        <f t="shared" si="40"/>
        <v>0</v>
      </c>
      <c r="U830" s="251" t="s">
        <v>34</v>
      </c>
      <c r="V830" s="209"/>
      <c r="W830" s="253"/>
    </row>
    <row r="831" spans="1:58" ht="23.4" x14ac:dyDescent="0.45">
      <c r="A831" s="1">
        <f t="shared" si="38"/>
        <v>830</v>
      </c>
      <c r="B831" s="245" t="s">
        <v>23</v>
      </c>
      <c r="C831" s="246" t="s">
        <v>24</v>
      </c>
      <c r="D831" s="92">
        <v>3900</v>
      </c>
      <c r="E831" s="245" t="s">
        <v>901</v>
      </c>
      <c r="F831" s="247" t="s">
        <v>902</v>
      </c>
      <c r="G831" s="248">
        <v>3889</v>
      </c>
      <c r="H831" s="245" t="s">
        <v>903</v>
      </c>
      <c r="I831" s="245" t="s">
        <v>881</v>
      </c>
      <c r="J831" s="2001" t="s">
        <v>110</v>
      </c>
      <c r="K831" s="257" t="s">
        <v>111</v>
      </c>
      <c r="L831" s="109">
        <v>0.5</v>
      </c>
      <c r="M831" s="1243"/>
      <c r="N831" s="938" t="s">
        <v>910</v>
      </c>
      <c r="O831" s="260"/>
      <c r="P831" s="261">
        <v>10</v>
      </c>
      <c r="Q831" s="139">
        <v>0.15</v>
      </c>
      <c r="R831" s="261"/>
      <c r="S831" s="262">
        <f t="shared" si="39"/>
        <v>0</v>
      </c>
      <c r="T831" s="263">
        <f t="shared" si="40"/>
        <v>0</v>
      </c>
      <c r="U831" s="264" t="s">
        <v>34</v>
      </c>
      <c r="V831" s="265"/>
      <c r="W831" s="253"/>
    </row>
    <row r="832" spans="1:58" ht="23.4" x14ac:dyDescent="0.45">
      <c r="A832" s="1">
        <f t="shared" si="38"/>
        <v>831</v>
      </c>
      <c r="B832" s="245" t="s">
        <v>23</v>
      </c>
      <c r="C832" s="246" t="s">
        <v>24</v>
      </c>
      <c r="D832" s="92">
        <v>3900</v>
      </c>
      <c r="E832" s="245" t="s">
        <v>901</v>
      </c>
      <c r="F832" s="247" t="s">
        <v>902</v>
      </c>
      <c r="G832" s="248">
        <v>3889</v>
      </c>
      <c r="H832" s="245" t="s">
        <v>903</v>
      </c>
      <c r="I832" s="245" t="s">
        <v>881</v>
      </c>
      <c r="J832" s="2001" t="s">
        <v>110</v>
      </c>
      <c r="K832" s="257" t="s">
        <v>111</v>
      </c>
      <c r="L832" s="109">
        <v>0.5</v>
      </c>
      <c r="M832" s="1243"/>
      <c r="N832" s="938" t="s">
        <v>911</v>
      </c>
      <c r="O832" s="260"/>
      <c r="P832" s="266">
        <v>1</v>
      </c>
      <c r="Q832" s="139">
        <v>0.15</v>
      </c>
      <c r="R832" s="266"/>
      <c r="S832" s="262">
        <f t="shared" si="39"/>
        <v>0</v>
      </c>
      <c r="T832" s="263">
        <f t="shared" si="40"/>
        <v>0</v>
      </c>
      <c r="U832" s="264" t="s">
        <v>34</v>
      </c>
      <c r="V832" s="265"/>
      <c r="W832" s="253"/>
    </row>
    <row r="833" spans="1:23" ht="23.4" x14ac:dyDescent="0.45">
      <c r="A833" s="1">
        <f t="shared" si="38"/>
        <v>832</v>
      </c>
      <c r="B833" s="245" t="s">
        <v>23</v>
      </c>
      <c r="C833" s="246" t="s">
        <v>24</v>
      </c>
      <c r="D833" s="92">
        <v>3900</v>
      </c>
      <c r="E833" s="245" t="s">
        <v>901</v>
      </c>
      <c r="F833" s="247" t="s">
        <v>902</v>
      </c>
      <c r="G833" s="248">
        <v>3889</v>
      </c>
      <c r="H833" s="245" t="s">
        <v>903</v>
      </c>
      <c r="I833" s="245" t="s">
        <v>881</v>
      </c>
      <c r="J833" s="2001" t="s">
        <v>110</v>
      </c>
      <c r="K833" s="257" t="s">
        <v>111</v>
      </c>
      <c r="L833" s="109">
        <v>0.5</v>
      </c>
      <c r="M833" s="1243"/>
      <c r="N833" s="938" t="s">
        <v>912</v>
      </c>
      <c r="O833" s="260"/>
      <c r="P833" s="261">
        <v>30</v>
      </c>
      <c r="Q833" s="139">
        <v>0.1</v>
      </c>
      <c r="R833" s="261"/>
      <c r="S833" s="262">
        <f t="shared" si="39"/>
        <v>0</v>
      </c>
      <c r="T833" s="263">
        <f t="shared" si="40"/>
        <v>0</v>
      </c>
      <c r="U833" s="264" t="s">
        <v>34</v>
      </c>
      <c r="V833" s="265"/>
      <c r="W833" s="253"/>
    </row>
    <row r="834" spans="1:23" ht="23.4" x14ac:dyDescent="0.45">
      <c r="A834" s="1">
        <f t="shared" si="38"/>
        <v>833</v>
      </c>
      <c r="B834" s="245" t="s">
        <v>23</v>
      </c>
      <c r="C834" s="246" t="s">
        <v>24</v>
      </c>
      <c r="D834" s="92">
        <v>3900</v>
      </c>
      <c r="E834" s="245" t="s">
        <v>901</v>
      </c>
      <c r="F834" s="247" t="s">
        <v>902</v>
      </c>
      <c r="G834" s="248">
        <v>3889</v>
      </c>
      <c r="H834" s="245" t="s">
        <v>903</v>
      </c>
      <c r="I834" s="245" t="s">
        <v>881</v>
      </c>
      <c r="J834" s="2001" t="s">
        <v>110</v>
      </c>
      <c r="K834" s="257" t="s">
        <v>111</v>
      </c>
      <c r="L834" s="109">
        <v>0.5</v>
      </c>
      <c r="M834" s="1243"/>
      <c r="N834" s="938" t="s">
        <v>913</v>
      </c>
      <c r="O834" s="260"/>
      <c r="P834" s="266">
        <v>1</v>
      </c>
      <c r="Q834" s="139">
        <v>0.15</v>
      </c>
      <c r="R834" s="266"/>
      <c r="S834" s="262">
        <f t="shared" si="39"/>
        <v>0</v>
      </c>
      <c r="T834" s="263">
        <f t="shared" si="40"/>
        <v>0</v>
      </c>
      <c r="U834" s="264" t="s">
        <v>34</v>
      </c>
      <c r="V834" s="265"/>
      <c r="W834" s="253"/>
    </row>
    <row r="835" spans="1:23" ht="23.4" x14ac:dyDescent="0.45">
      <c r="A835" s="1">
        <f t="shared" si="38"/>
        <v>834</v>
      </c>
      <c r="B835" s="245" t="s">
        <v>23</v>
      </c>
      <c r="C835" s="246" t="s">
        <v>24</v>
      </c>
      <c r="D835" s="92">
        <v>3900</v>
      </c>
      <c r="E835" s="245" t="s">
        <v>901</v>
      </c>
      <c r="F835" s="247" t="s">
        <v>902</v>
      </c>
      <c r="G835" s="248">
        <v>3889</v>
      </c>
      <c r="H835" s="245" t="s">
        <v>903</v>
      </c>
      <c r="I835" s="245" t="s">
        <v>881</v>
      </c>
      <c r="J835" s="2001" t="s">
        <v>110</v>
      </c>
      <c r="K835" s="257" t="s">
        <v>111</v>
      </c>
      <c r="L835" s="109">
        <v>0.5</v>
      </c>
      <c r="M835" s="1243"/>
      <c r="N835" s="938" t="s">
        <v>914</v>
      </c>
      <c r="O835" s="260"/>
      <c r="P835" s="261">
        <v>2</v>
      </c>
      <c r="Q835" s="139">
        <v>0.15</v>
      </c>
      <c r="R835" s="261"/>
      <c r="S835" s="262">
        <f t="shared" si="39"/>
        <v>0</v>
      </c>
      <c r="T835" s="263">
        <f t="shared" si="40"/>
        <v>0</v>
      </c>
      <c r="U835" s="264" t="s">
        <v>34</v>
      </c>
      <c r="V835" s="265"/>
      <c r="W835" s="253"/>
    </row>
    <row r="836" spans="1:23" ht="23.4" x14ac:dyDescent="0.45">
      <c r="A836" s="1">
        <f t="shared" ref="A836:A837" si="41">ROW()-1</f>
        <v>835</v>
      </c>
      <c r="B836" s="245" t="s">
        <v>23</v>
      </c>
      <c r="C836" s="246" t="s">
        <v>24</v>
      </c>
      <c r="D836" s="92">
        <v>3900</v>
      </c>
      <c r="E836" s="245" t="s">
        <v>901</v>
      </c>
      <c r="F836" s="247" t="s">
        <v>902</v>
      </c>
      <c r="G836" s="248">
        <v>3889</v>
      </c>
      <c r="H836" s="245" t="s">
        <v>903</v>
      </c>
      <c r="I836" s="245" t="s">
        <v>881</v>
      </c>
      <c r="J836" s="2001" t="s">
        <v>110</v>
      </c>
      <c r="K836" s="257" t="s">
        <v>111</v>
      </c>
      <c r="L836" s="109">
        <v>0.5</v>
      </c>
      <c r="M836" s="1243"/>
      <c r="N836" s="938" t="s">
        <v>915</v>
      </c>
      <c r="O836" s="260"/>
      <c r="P836" s="266">
        <v>1</v>
      </c>
      <c r="Q836" s="139">
        <v>0.1</v>
      </c>
      <c r="R836" s="266"/>
      <c r="S836" s="262">
        <f t="shared" si="39"/>
        <v>0</v>
      </c>
      <c r="T836" s="263">
        <f t="shared" si="40"/>
        <v>0</v>
      </c>
      <c r="U836" s="264" t="s">
        <v>34</v>
      </c>
      <c r="V836" s="265"/>
      <c r="W836" s="253"/>
    </row>
    <row r="837" spans="1:23" ht="23.4" x14ac:dyDescent="0.45">
      <c r="A837" s="1">
        <f t="shared" si="41"/>
        <v>836</v>
      </c>
      <c r="B837" s="245" t="s">
        <v>23</v>
      </c>
      <c r="C837" s="246" t="s">
        <v>24</v>
      </c>
      <c r="D837" s="92">
        <v>3900</v>
      </c>
      <c r="E837" s="245" t="s">
        <v>901</v>
      </c>
      <c r="F837" s="247" t="s">
        <v>902</v>
      </c>
      <c r="G837" s="248">
        <v>3889</v>
      </c>
      <c r="H837" s="245" t="s">
        <v>903</v>
      </c>
      <c r="I837" s="245" t="s">
        <v>881</v>
      </c>
      <c r="J837" s="2001" t="s">
        <v>110</v>
      </c>
      <c r="K837" s="257" t="s">
        <v>111</v>
      </c>
      <c r="L837" s="109">
        <v>0.5</v>
      </c>
      <c r="M837" s="1243"/>
      <c r="N837" s="938" t="s">
        <v>916</v>
      </c>
      <c r="O837" s="260"/>
      <c r="P837" s="266">
        <v>1</v>
      </c>
      <c r="Q837" s="139">
        <v>0.2</v>
      </c>
      <c r="R837" s="266"/>
      <c r="S837" s="262">
        <f t="shared" si="39"/>
        <v>0</v>
      </c>
      <c r="T837" s="263">
        <f t="shared" si="40"/>
        <v>0</v>
      </c>
      <c r="U837" s="264" t="s">
        <v>34</v>
      </c>
      <c r="V837" s="265"/>
      <c r="W837" s="253"/>
    </row>
  </sheetData>
  <autoFilter ref="A1:W837" xr:uid="{D0DF3E6B-D69F-489E-AE24-BF05A33BB50B}"/>
  <conditionalFormatting sqref="A2:A837">
    <cfRule type="dataBar" priority="270">
      <dataBar>
        <cfvo type="min"/>
        <cfvo type="max"/>
        <color rgb="FF638EC6"/>
      </dataBar>
      <extLst>
        <ext xmlns:x14="http://schemas.microsoft.com/office/spreadsheetml/2009/9/main" uri="{B025F937-C7B1-47D3-B67F-A62EFF666E3E}">
          <x14:id>{33B3AC88-B0A8-438D-BD07-122B0011626D}</x14:id>
        </ext>
      </extLst>
    </cfRule>
  </conditionalFormatting>
  <conditionalFormatting sqref="B798">
    <cfRule type="cellIs" dxfId="664" priority="35" operator="equal">
      <formula>"maintasks"</formula>
    </cfRule>
  </conditionalFormatting>
  <conditionalFormatting sqref="B807">
    <cfRule type="cellIs" dxfId="663" priority="29" operator="equal">
      <formula>"maintasks"</formula>
    </cfRule>
  </conditionalFormatting>
  <conditionalFormatting sqref="B816">
    <cfRule type="cellIs" dxfId="662" priority="22" operator="equal">
      <formula>"maintasks"</formula>
    </cfRule>
  </conditionalFormatting>
  <conditionalFormatting sqref="E798:J798">
    <cfRule type="cellIs" dxfId="661" priority="14" operator="equal">
      <formula>"maintasks"</formula>
    </cfRule>
  </conditionalFormatting>
  <conditionalFormatting sqref="E807:J807">
    <cfRule type="cellIs" dxfId="660" priority="12" operator="equal">
      <formula>"maintasks"</formula>
    </cfRule>
  </conditionalFormatting>
  <conditionalFormatting sqref="E816:J816">
    <cfRule type="cellIs" dxfId="659" priority="10" operator="equal">
      <formula>"maintasks"</formula>
    </cfRule>
  </conditionalFormatting>
  <conditionalFormatting sqref="J1:J2 J4:J797 I825:I837 J838:J1048576">
    <cfRule type="containsText" dxfId="658" priority="44" operator="containsText" text="Main Tasks">
      <formula>NOT(ISERROR(SEARCH("Main Tasks",I1)))</formula>
    </cfRule>
  </conditionalFormatting>
  <conditionalFormatting sqref="J1:J2 J4:J797 I825:I837 J838:K1048576">
    <cfRule type="containsText" dxfId="657" priority="45" operator="containsText" text="MainTasks">
      <formula>NOT(ISERROR(SEARCH("MainTasks",I1)))</formula>
    </cfRule>
  </conditionalFormatting>
  <conditionalFormatting sqref="J91:J94">
    <cfRule type="cellIs" dxfId="656" priority="122" stopIfTrue="1" operator="equal">
      <formula>"maintasks"</formula>
    </cfRule>
  </conditionalFormatting>
  <conditionalFormatting sqref="J103:J155">
    <cfRule type="cellIs" dxfId="655" priority="253" stopIfTrue="1" operator="equal">
      <formula>"maintasks"</formula>
    </cfRule>
  </conditionalFormatting>
  <conditionalFormatting sqref="J155:J187">
    <cfRule type="cellIs" dxfId="654" priority="257" stopIfTrue="1" operator="equal">
      <formula>"maintasks"</formula>
    </cfRule>
    <cfRule type="containsText" dxfId="653" priority="256" operator="containsText" text="MainTasks">
      <formula>NOT(ISERROR(SEARCH("MainTasks",J155)))</formula>
    </cfRule>
  </conditionalFormatting>
  <conditionalFormatting sqref="J188:J203">
    <cfRule type="cellIs" dxfId="652" priority="236" stopIfTrue="1" operator="equal">
      <formula>"maintasks"</formula>
    </cfRule>
    <cfRule type="containsText" dxfId="651" priority="235" operator="containsText" text="MainTasks">
      <formula>NOT(ISERROR(SEARCH("MainTasks",J188)))</formula>
    </cfRule>
  </conditionalFormatting>
  <conditionalFormatting sqref="J382:J386">
    <cfRule type="cellIs" dxfId="650" priority="177" operator="equal">
      <formula>"maintasks"</formula>
    </cfRule>
  </conditionalFormatting>
  <conditionalFormatting sqref="J382:J387">
    <cfRule type="cellIs" dxfId="649" priority="169" operator="equal">
      <formula>"maintasks"</formula>
    </cfRule>
    <cfRule type="cellIs" dxfId="648" priority="170" operator="equal">
      <formula>"maintasks"</formula>
    </cfRule>
  </conditionalFormatting>
  <conditionalFormatting sqref="J394:J397">
    <cfRule type="cellIs" dxfId="647" priority="179" operator="equal">
      <formula>"maintasks"</formula>
    </cfRule>
  </conditionalFormatting>
  <conditionalFormatting sqref="J394:J398">
    <cfRule type="cellIs" dxfId="646" priority="164" operator="equal">
      <formula>"maintasks"</formula>
    </cfRule>
    <cfRule type="cellIs" dxfId="645" priority="165" operator="equal">
      <formula>"maintasks"</formula>
    </cfRule>
  </conditionalFormatting>
  <conditionalFormatting sqref="J404:J407">
    <cfRule type="cellIs" dxfId="644" priority="162" operator="equal">
      <formula>"maintasks"</formula>
    </cfRule>
    <cfRule type="cellIs" dxfId="643" priority="163" operator="equal">
      <formula>"maintasks"</formula>
    </cfRule>
    <cfRule type="cellIs" dxfId="642" priority="175" operator="equal">
      <formula>"maintasks"</formula>
    </cfRule>
  </conditionalFormatting>
  <conditionalFormatting sqref="J419:J422">
    <cfRule type="cellIs" dxfId="641" priority="201" operator="equal">
      <formula>"maintasks"</formula>
    </cfRule>
  </conditionalFormatting>
  <conditionalFormatting sqref="J419:J423">
    <cfRule type="cellIs" dxfId="640" priority="200" operator="equal">
      <formula>"maintasks"</formula>
    </cfRule>
    <cfRule type="cellIs" dxfId="639" priority="199" operator="equal">
      <formula>"maintasks"</formula>
    </cfRule>
  </conditionalFormatting>
  <conditionalFormatting sqref="J436:J437">
    <cfRule type="cellIs" dxfId="638" priority="197" operator="equal">
      <formula>"maintasks"</formula>
    </cfRule>
  </conditionalFormatting>
  <conditionalFormatting sqref="J436:J438">
    <cfRule type="cellIs" dxfId="637" priority="189" operator="equal">
      <formula>"maintasks"</formula>
    </cfRule>
  </conditionalFormatting>
  <conditionalFormatting sqref="J436:J450 M103:O105 M106:N106 M107:O110">
    <cfRule type="cellIs" dxfId="636" priority="190" operator="equal">
      <formula>"maintasks"</formula>
    </cfRule>
  </conditionalFormatting>
  <conditionalFormatting sqref="J451:J452">
    <cfRule type="cellIs" dxfId="635" priority="194" operator="equal">
      <formula>"maintasks"</formula>
    </cfRule>
  </conditionalFormatting>
  <conditionalFormatting sqref="J452:J453">
    <cfRule type="cellIs" dxfId="634" priority="187" operator="equal">
      <formula>"maintasks"</formula>
    </cfRule>
  </conditionalFormatting>
  <conditionalFormatting sqref="J452:J467">
    <cfRule type="cellIs" dxfId="633" priority="188" operator="equal">
      <formula>"maintasks"</formula>
    </cfRule>
  </conditionalFormatting>
  <conditionalFormatting sqref="J462:J467">
    <cfRule type="cellIs" dxfId="632" priority="193" operator="equal">
      <formula>"maintasks"</formula>
    </cfRule>
  </conditionalFormatting>
  <conditionalFormatting sqref="J462:J468">
    <cfRule type="cellIs" dxfId="631" priority="185" operator="equal">
      <formula>"maintasks"</formula>
    </cfRule>
  </conditionalFormatting>
  <conditionalFormatting sqref="J468:J482">
    <cfRule type="cellIs" dxfId="630" priority="186" operator="equal">
      <formula>"maintasks"</formula>
    </cfRule>
  </conditionalFormatting>
  <conditionalFormatting sqref="J481:J482">
    <cfRule type="cellIs" dxfId="629" priority="192" operator="equal">
      <formula>"maintasks"</formula>
    </cfRule>
  </conditionalFormatting>
  <conditionalFormatting sqref="J481:J483">
    <cfRule type="cellIs" dxfId="628" priority="183" operator="equal">
      <formula>"maintasks"</formula>
    </cfRule>
  </conditionalFormatting>
  <conditionalFormatting sqref="J483:J497">
    <cfRule type="cellIs" dxfId="627" priority="184" operator="equal">
      <formula>"maintasks"</formula>
    </cfRule>
  </conditionalFormatting>
  <conditionalFormatting sqref="J494:J497">
    <cfRule type="cellIs" dxfId="626" priority="191" operator="equal">
      <formula>"maintasks"</formula>
    </cfRule>
  </conditionalFormatting>
  <conditionalFormatting sqref="J494:J498">
    <cfRule type="cellIs" dxfId="625" priority="158" operator="equal">
      <formula>"maintasks"</formula>
    </cfRule>
  </conditionalFormatting>
  <conditionalFormatting sqref="J510:J514">
    <cfRule type="cellIs" dxfId="624" priority="155" operator="equal">
      <formula>"maintasks"</formula>
    </cfRule>
  </conditionalFormatting>
  <conditionalFormatting sqref="J510:J515">
    <cfRule type="cellIs" dxfId="623" priority="138" operator="equal">
      <formula>"maintasks"</formula>
    </cfRule>
    <cfRule type="cellIs" dxfId="622" priority="139" operator="equal">
      <formula>"maintasks"</formula>
    </cfRule>
  </conditionalFormatting>
  <conditionalFormatting sqref="J521:J524">
    <cfRule type="cellIs" dxfId="621" priority="149" operator="equal">
      <formula>"maintasks"</formula>
    </cfRule>
  </conditionalFormatting>
  <conditionalFormatting sqref="J521:J525">
    <cfRule type="cellIs" dxfId="620" priority="134" operator="equal">
      <formula>"maintasks"</formula>
    </cfRule>
    <cfRule type="cellIs" dxfId="619" priority="135" operator="equal">
      <formula>"maintasks"</formula>
    </cfRule>
  </conditionalFormatting>
  <conditionalFormatting sqref="J534:J538">
    <cfRule type="cellIs" dxfId="618" priority="131" operator="equal">
      <formula>"maintasks"</formula>
    </cfRule>
  </conditionalFormatting>
  <conditionalFormatting sqref="J535:J537">
    <cfRule type="cellIs" dxfId="617" priority="148" operator="equal">
      <formula>"maintasks"</formula>
    </cfRule>
  </conditionalFormatting>
  <conditionalFormatting sqref="J535:J538">
    <cfRule type="cellIs" dxfId="616" priority="130" operator="equal">
      <formula>"maintasks"</formula>
    </cfRule>
  </conditionalFormatting>
  <conditionalFormatting sqref="J548:J551">
    <cfRule type="cellIs" dxfId="615" priority="146" operator="equal">
      <formula>"maintasks"</formula>
    </cfRule>
  </conditionalFormatting>
  <conditionalFormatting sqref="J548:J552">
    <cfRule type="cellIs" dxfId="614" priority="127" operator="equal">
      <formula>"maintasks"</formula>
    </cfRule>
    <cfRule type="cellIs" dxfId="613" priority="126" operator="equal">
      <formula>"maintasks"</formula>
    </cfRule>
  </conditionalFormatting>
  <conditionalFormatting sqref="J561:J564">
    <cfRule type="cellIs" dxfId="612" priority="144" operator="equal">
      <formula>"maintasks"</formula>
    </cfRule>
    <cfRule type="cellIs" dxfId="611" priority="143" operator="equal">
      <formula>"maintasks"</formula>
    </cfRule>
    <cfRule type="cellIs" dxfId="610" priority="142" operator="equal">
      <formula>"maintasks"</formula>
    </cfRule>
  </conditionalFormatting>
  <conditionalFormatting sqref="J14:K42">
    <cfRule type="cellIs" dxfId="609" priority="119" operator="equal">
      <formula>"maintasks"</formula>
    </cfRule>
  </conditionalFormatting>
  <conditionalFormatting sqref="J55:K90">
    <cfRule type="cellIs" dxfId="608" priority="121" operator="equal">
      <formula>"maintasks"</formula>
    </cfRule>
  </conditionalFormatting>
  <conditionalFormatting sqref="J71:K71">
    <cfRule type="cellIs" dxfId="607" priority="100" operator="equal">
      <formula>"maintasks"</formula>
    </cfRule>
  </conditionalFormatting>
  <conditionalFormatting sqref="J84:K564">
    <cfRule type="containsText" dxfId="606" priority="120" operator="containsText" text="MainTasks">
      <formula>NOT(ISERROR(SEARCH("MainTasks",J84)))</formula>
    </cfRule>
  </conditionalFormatting>
  <conditionalFormatting sqref="J95:K102 N14:O21 M22:O29 N55:O62 M63:O70">
    <cfRule type="cellIs" dxfId="605" priority="252" operator="equal">
      <formula>"maintasks"</formula>
    </cfRule>
  </conditionalFormatting>
  <conditionalFormatting sqref="J203:K203">
    <cfRule type="cellIs" dxfId="604" priority="232" stopIfTrue="1" operator="equal">
      <formula>"maintasks"</formula>
    </cfRule>
  </conditionalFormatting>
  <conditionalFormatting sqref="J217:K217">
    <cfRule type="containsText" dxfId="603" priority="240" operator="containsText" text="MainTasks">
      <formula>NOT(ISERROR(SEARCH("MainTasks",J217)))</formula>
    </cfRule>
    <cfRule type="cellIs" dxfId="602" priority="241" stopIfTrue="1" operator="equal">
      <formula>"maintasks"</formula>
    </cfRule>
    <cfRule type="cellIs" dxfId="601" priority="237" stopIfTrue="1" operator="equal">
      <formula>"maintasks"</formula>
    </cfRule>
  </conditionalFormatting>
  <conditionalFormatting sqref="J232:K232">
    <cfRule type="cellIs" dxfId="600" priority="242" stopIfTrue="1" operator="equal">
      <formula>"maintasks"</formula>
    </cfRule>
    <cfRule type="cellIs" dxfId="599" priority="245" stopIfTrue="1" operator="equal">
      <formula>"maintasks"</formula>
    </cfRule>
    <cfRule type="containsText" dxfId="598" priority="244" operator="containsText" text="MainTasks">
      <formula>NOT(ISERROR(SEARCH("MainTasks",J232)))</formula>
    </cfRule>
  </conditionalFormatting>
  <conditionalFormatting sqref="J247:K247">
    <cfRule type="cellIs" dxfId="597" priority="249" stopIfTrue="1" operator="equal">
      <formula>"maintasks"</formula>
    </cfRule>
    <cfRule type="containsText" dxfId="596" priority="248" operator="containsText" text="MainTasks">
      <formula>NOT(ISERROR(SEARCH("MainTasks",J247)))</formula>
    </cfRule>
    <cfRule type="cellIs" dxfId="595" priority="246" stopIfTrue="1" operator="equal">
      <formula>"maintasks"</formula>
    </cfRule>
  </conditionalFormatting>
  <conditionalFormatting sqref="J262:K373">
    <cfRule type="cellIs" dxfId="594" priority="166" operator="equal">
      <formula>"maintasks"</formula>
    </cfRule>
  </conditionalFormatting>
  <conditionalFormatting sqref="J373:K381">
    <cfRule type="cellIs" dxfId="593" priority="167" operator="equal">
      <formula>"maintasks"</formula>
    </cfRule>
  </conditionalFormatting>
  <conditionalFormatting sqref="J388:K393">
    <cfRule type="cellIs" dxfId="592" priority="181" operator="equal">
      <formula>"maintasks"</formula>
    </cfRule>
  </conditionalFormatting>
  <conditionalFormatting sqref="J399:K403">
    <cfRule type="cellIs" dxfId="591" priority="182" operator="equal">
      <formula>"maintasks"</formula>
    </cfRule>
  </conditionalFormatting>
  <conditionalFormatting sqref="J408:K408">
    <cfRule type="cellIs" dxfId="590" priority="171" operator="equal">
      <formula>"maintasks"</formula>
    </cfRule>
  </conditionalFormatting>
  <conditionalFormatting sqref="J408:K418">
    <cfRule type="cellIs" dxfId="589" priority="172" operator="equal">
      <formula>"maintasks"</formula>
    </cfRule>
  </conditionalFormatting>
  <conditionalFormatting sqref="J424:K435">
    <cfRule type="cellIs" dxfId="588" priority="198" operator="equal">
      <formula>"maintasks"</formula>
    </cfRule>
  </conditionalFormatting>
  <conditionalFormatting sqref="J451:K451">
    <cfRule type="cellIs" dxfId="587" priority="195" operator="equal">
      <formula>"maintasks"</formula>
    </cfRule>
    <cfRule type="cellIs" dxfId="586" priority="196" operator="equal">
      <formula>"maintasks"</formula>
    </cfRule>
  </conditionalFormatting>
  <conditionalFormatting sqref="J498:K498">
    <cfRule type="cellIs" dxfId="585" priority="159" operator="equal">
      <formula>"maintasks"</formula>
    </cfRule>
  </conditionalFormatting>
  <conditionalFormatting sqref="J499:K509">
    <cfRule type="cellIs" dxfId="584" priority="157" operator="equal">
      <formula>"maintasks"</formula>
    </cfRule>
  </conditionalFormatting>
  <conditionalFormatting sqref="J516:K520">
    <cfRule type="cellIs" dxfId="583" priority="154" operator="equal">
      <formula>"maintasks"</formula>
    </cfRule>
  </conditionalFormatting>
  <conditionalFormatting sqref="J526:K533">
    <cfRule type="cellIs" dxfId="582" priority="153" operator="equal">
      <formula>"maintasks"</formula>
    </cfRule>
  </conditionalFormatting>
  <conditionalFormatting sqref="J539:K547">
    <cfRule type="cellIs" dxfId="581" priority="152" operator="equal">
      <formula>"maintasks"</formula>
    </cfRule>
  </conditionalFormatting>
  <conditionalFormatting sqref="J553:K560">
    <cfRule type="cellIs" dxfId="580" priority="151" operator="equal">
      <formula>"maintasks"</formula>
    </cfRule>
  </conditionalFormatting>
  <conditionalFormatting sqref="J580:K588 J711:K725 J736:K750 J779:K793 N580:N585 N587:N588">
    <cfRule type="cellIs" dxfId="579" priority="118" operator="equal">
      <formula>"maintasks"</formula>
    </cfRule>
  </conditionalFormatting>
  <conditionalFormatting sqref="J1:L1">
    <cfRule type="containsText" dxfId="578" priority="6" operator="containsText" text="MainTasks">
      <formula>NOT(ISERROR(SEARCH("MainTasks",J1)))</formula>
    </cfRule>
  </conditionalFormatting>
  <conditionalFormatting sqref="K1:K797">
    <cfRule type="containsText" dxfId="577" priority="46" operator="containsText" text="کارهای اصلی">
      <formula>NOT(ISERROR(SEARCH("کارهای اصلی",K1)))</formula>
    </cfRule>
  </conditionalFormatting>
  <conditionalFormatting sqref="K91:K94">
    <cfRule type="cellIs" dxfId="576" priority="47" stopIfTrue="1" operator="equal">
      <formula>"maintasks"</formula>
    </cfRule>
  </conditionalFormatting>
  <conditionalFormatting sqref="K103:K155">
    <cfRule type="cellIs" dxfId="575" priority="91" stopIfTrue="1" operator="equal">
      <formula>"maintasks"</formula>
    </cfRule>
  </conditionalFormatting>
  <conditionalFormatting sqref="K155:K187">
    <cfRule type="containsText" dxfId="574" priority="92" operator="containsText" text="MainTasks">
      <formula>NOT(ISERROR(SEARCH("MainTasks",K155)))</formula>
    </cfRule>
    <cfRule type="cellIs" dxfId="573" priority="93" stopIfTrue="1" operator="equal">
      <formula>"maintasks"</formula>
    </cfRule>
  </conditionalFormatting>
  <conditionalFormatting sqref="K188:K203">
    <cfRule type="cellIs" dxfId="572" priority="90" stopIfTrue="1" operator="equal">
      <formula>"maintasks"</formula>
    </cfRule>
    <cfRule type="containsText" dxfId="571" priority="89" operator="containsText" text="MainTasks">
      <formula>NOT(ISERROR(SEARCH("MainTasks",K188)))</formula>
    </cfRule>
  </conditionalFormatting>
  <conditionalFormatting sqref="K382:K386">
    <cfRule type="cellIs" dxfId="570" priority="71" operator="equal">
      <formula>"maintasks"</formula>
    </cfRule>
  </conditionalFormatting>
  <conditionalFormatting sqref="K382:K387">
    <cfRule type="cellIs" dxfId="569" priority="68" operator="equal">
      <formula>"maintasks"</formula>
    </cfRule>
    <cfRule type="cellIs" dxfId="568" priority="69" operator="equal">
      <formula>"maintasks"</formula>
    </cfRule>
  </conditionalFormatting>
  <conditionalFormatting sqref="K394:K397">
    <cfRule type="cellIs" dxfId="567" priority="72" operator="equal">
      <formula>"maintasks"</formula>
    </cfRule>
  </conditionalFormatting>
  <conditionalFormatting sqref="K394:K398">
    <cfRule type="cellIs" dxfId="566" priority="67" operator="equal">
      <formula>"maintasks"</formula>
    </cfRule>
    <cfRule type="cellIs" dxfId="565" priority="66" operator="equal">
      <formula>"maintasks"</formula>
    </cfRule>
  </conditionalFormatting>
  <conditionalFormatting sqref="K404:K407">
    <cfRule type="cellIs" dxfId="564" priority="64" operator="equal">
      <formula>"maintasks"</formula>
    </cfRule>
    <cfRule type="cellIs" dxfId="563" priority="65" operator="equal">
      <formula>"maintasks"</formula>
    </cfRule>
    <cfRule type="cellIs" dxfId="562" priority="70" operator="equal">
      <formula>"maintasks"</formula>
    </cfRule>
  </conditionalFormatting>
  <conditionalFormatting sqref="K419:K422">
    <cfRule type="cellIs" dxfId="561" priority="88" operator="equal">
      <formula>"maintasks"</formula>
    </cfRule>
  </conditionalFormatting>
  <conditionalFormatting sqref="K419:K423">
    <cfRule type="cellIs" dxfId="560" priority="86" operator="equal">
      <formula>"maintasks"</formula>
    </cfRule>
    <cfRule type="cellIs" dxfId="559" priority="87" operator="equal">
      <formula>"maintasks"</formula>
    </cfRule>
  </conditionalFormatting>
  <conditionalFormatting sqref="K436:K437">
    <cfRule type="cellIs" dxfId="558" priority="85" operator="equal">
      <formula>"maintasks"</formula>
    </cfRule>
  </conditionalFormatting>
  <conditionalFormatting sqref="K436:K438">
    <cfRule type="cellIs" dxfId="557" priority="79" operator="equal">
      <formula>"maintasks"</formula>
    </cfRule>
  </conditionalFormatting>
  <conditionalFormatting sqref="K436:K450">
    <cfRule type="cellIs" dxfId="556" priority="80" operator="equal">
      <formula>"maintasks"</formula>
    </cfRule>
  </conditionalFormatting>
  <conditionalFormatting sqref="K451:K452">
    <cfRule type="cellIs" dxfId="555" priority="84" operator="equal">
      <formula>"maintasks"</formula>
    </cfRule>
  </conditionalFormatting>
  <conditionalFormatting sqref="K452:K453">
    <cfRule type="cellIs" dxfId="554" priority="77" operator="equal">
      <formula>"maintasks"</formula>
    </cfRule>
  </conditionalFormatting>
  <conditionalFormatting sqref="K452:K467">
    <cfRule type="cellIs" dxfId="553" priority="78" operator="equal">
      <formula>"maintasks"</formula>
    </cfRule>
  </conditionalFormatting>
  <conditionalFormatting sqref="K462:K467">
    <cfRule type="cellIs" dxfId="552" priority="83" operator="equal">
      <formula>"maintasks"</formula>
    </cfRule>
  </conditionalFormatting>
  <conditionalFormatting sqref="K462:K468">
    <cfRule type="cellIs" dxfId="551" priority="75" operator="equal">
      <formula>"maintasks"</formula>
    </cfRule>
  </conditionalFormatting>
  <conditionalFormatting sqref="K468:K482">
    <cfRule type="cellIs" dxfId="550" priority="76" operator="equal">
      <formula>"maintasks"</formula>
    </cfRule>
  </conditionalFormatting>
  <conditionalFormatting sqref="K481:K482">
    <cfRule type="cellIs" dxfId="549" priority="82" operator="equal">
      <formula>"maintasks"</formula>
    </cfRule>
  </conditionalFormatting>
  <conditionalFormatting sqref="K481:K483">
    <cfRule type="cellIs" dxfId="548" priority="73" operator="equal">
      <formula>"maintasks"</formula>
    </cfRule>
  </conditionalFormatting>
  <conditionalFormatting sqref="K483:K497">
    <cfRule type="cellIs" dxfId="547" priority="74" operator="equal">
      <formula>"maintasks"</formula>
    </cfRule>
  </conditionalFormatting>
  <conditionalFormatting sqref="K494:K497">
    <cfRule type="cellIs" dxfId="546" priority="81" operator="equal">
      <formula>"maintasks"</formula>
    </cfRule>
  </conditionalFormatting>
  <conditionalFormatting sqref="K494:K498">
    <cfRule type="cellIs" dxfId="545" priority="63" operator="equal">
      <formula>"maintasks"</formula>
    </cfRule>
  </conditionalFormatting>
  <conditionalFormatting sqref="K510:K514">
    <cfRule type="cellIs" dxfId="544" priority="62" operator="equal">
      <formula>"maintasks"</formula>
    </cfRule>
  </conditionalFormatting>
  <conditionalFormatting sqref="K510:K515">
    <cfRule type="cellIs" dxfId="543" priority="55" operator="equal">
      <formula>"maintasks"</formula>
    </cfRule>
    <cfRule type="cellIs" dxfId="542" priority="54" operator="equal">
      <formula>"maintasks"</formula>
    </cfRule>
  </conditionalFormatting>
  <conditionalFormatting sqref="K521:K524">
    <cfRule type="cellIs" dxfId="541" priority="61" operator="equal">
      <formula>"maintasks"</formula>
    </cfRule>
  </conditionalFormatting>
  <conditionalFormatting sqref="K521:K525">
    <cfRule type="cellIs" dxfId="540" priority="52" operator="equal">
      <formula>"maintasks"</formula>
    </cfRule>
    <cfRule type="cellIs" dxfId="539" priority="53" operator="equal">
      <formula>"maintasks"</formula>
    </cfRule>
  </conditionalFormatting>
  <conditionalFormatting sqref="K534:K538">
    <cfRule type="cellIs" dxfId="538" priority="51" operator="equal">
      <formula>"maintasks"</formula>
    </cfRule>
  </conditionalFormatting>
  <conditionalFormatting sqref="K535:K537">
    <cfRule type="cellIs" dxfId="537" priority="60" operator="equal">
      <formula>"maintasks"</formula>
    </cfRule>
  </conditionalFormatting>
  <conditionalFormatting sqref="K535:K538">
    <cfRule type="cellIs" dxfId="536" priority="50" operator="equal">
      <formula>"maintasks"</formula>
    </cfRule>
  </conditionalFormatting>
  <conditionalFormatting sqref="K548:K551">
    <cfRule type="cellIs" dxfId="535" priority="59" operator="equal">
      <formula>"maintasks"</formula>
    </cfRule>
  </conditionalFormatting>
  <conditionalFormatting sqref="K548:K552">
    <cfRule type="cellIs" dxfId="534" priority="48" operator="equal">
      <formula>"maintasks"</formula>
    </cfRule>
    <cfRule type="cellIs" dxfId="533" priority="49" operator="equal">
      <formula>"maintasks"</formula>
    </cfRule>
  </conditionalFormatting>
  <conditionalFormatting sqref="K561:K564">
    <cfRule type="cellIs" dxfId="532" priority="56" operator="equal">
      <formula>"maintasks"</formula>
    </cfRule>
    <cfRule type="cellIs" dxfId="531" priority="58" operator="equal">
      <formula>"maintasks"</formula>
    </cfRule>
    <cfRule type="cellIs" dxfId="530" priority="57" operator="equal">
      <formula>"maintasks"</formula>
    </cfRule>
  </conditionalFormatting>
  <conditionalFormatting sqref="K807:K810">
    <cfRule type="cellIs" dxfId="529" priority="13" operator="equal">
      <formula>"maintasks"</formula>
    </cfRule>
  </conditionalFormatting>
  <conditionalFormatting sqref="K816:K819">
    <cfRule type="cellIs" dxfId="528" priority="11" operator="equal">
      <formula>"maintasks"</formula>
    </cfRule>
  </conditionalFormatting>
  <conditionalFormatting sqref="K825:K837">
    <cfRule type="containsText" dxfId="527" priority="16" operator="containsText" text="MainTasks">
      <formula>NOT(ISERROR(SEARCH("MainTasks",K825)))</formula>
    </cfRule>
  </conditionalFormatting>
  <conditionalFormatting sqref="K825:K1048576">
    <cfRule type="containsText" dxfId="526" priority="15" operator="containsText" text="کارهای اصلی">
      <formula>NOT(ISERROR(SEARCH("کارهای اصلی",K825)))</formula>
    </cfRule>
  </conditionalFormatting>
  <conditionalFormatting sqref="L1">
    <cfRule type="containsText" dxfId="525" priority="5" operator="containsText" text="Main Tasks">
      <formula>NOT(ISERROR(SEARCH("Main Tasks",L1)))</formula>
    </cfRule>
  </conditionalFormatting>
  <conditionalFormatting sqref="M1">
    <cfRule type="cellIs" dxfId="524" priority="269" operator="equal">
      <formula>"maintasks"</formula>
    </cfRule>
  </conditionalFormatting>
  <conditionalFormatting sqref="M2:M23">
    <cfRule type="cellIs" dxfId="523" priority="42" operator="equal">
      <formula>"maintasks"</formula>
    </cfRule>
  </conditionalFormatting>
  <conditionalFormatting sqref="M43:M64">
    <cfRule type="cellIs" dxfId="522" priority="41" operator="equal">
      <formula>"maintasks"</formula>
    </cfRule>
  </conditionalFormatting>
  <conditionalFormatting sqref="M204:M216 O204:O216">
    <cfRule type="cellIs" dxfId="521" priority="250" operator="equal">
      <formula>"maintasks"</formula>
    </cfRule>
  </conditionalFormatting>
  <conditionalFormatting sqref="M218:M231">
    <cfRule type="cellIs" dxfId="520" priority="224" operator="equal">
      <formula>"maintasks"</formula>
    </cfRule>
  </conditionalFormatting>
  <conditionalFormatting sqref="M233:M246">
    <cfRule type="cellIs" dxfId="519" priority="226" operator="equal">
      <formula>"maintasks"</formula>
    </cfRule>
  </conditionalFormatting>
  <conditionalFormatting sqref="M248:M264">
    <cfRule type="cellIs" dxfId="518" priority="217" operator="equal">
      <formula>"maintasks"</formula>
    </cfRule>
  </conditionalFormatting>
  <conditionalFormatting sqref="M266:M267">
    <cfRule type="cellIs" dxfId="517" priority="221" operator="equal">
      <formula>"maintasks"</formula>
    </cfRule>
  </conditionalFormatting>
  <conditionalFormatting sqref="M811:M812 O811:O812">
    <cfRule type="cellIs" dxfId="516" priority="30" operator="equal">
      <formula>"maintasks"</formula>
    </cfRule>
  </conditionalFormatting>
  <conditionalFormatting sqref="M820 O820">
    <cfRule type="cellIs" dxfId="515" priority="23" operator="equal">
      <formula>"maintasks"</formula>
    </cfRule>
  </conditionalFormatting>
  <conditionalFormatting sqref="M232:N232">
    <cfRule type="cellIs" dxfId="514" priority="243" operator="equal">
      <formula>"maintasks"</formula>
    </cfRule>
  </conditionalFormatting>
  <conditionalFormatting sqref="M247:N247">
    <cfRule type="cellIs" dxfId="513" priority="247" operator="equal">
      <formula>"maintasks"</formula>
    </cfRule>
  </conditionalFormatting>
  <conditionalFormatting sqref="M265:N265">
    <cfRule type="cellIs" dxfId="512" priority="222" operator="equal">
      <formula>"maintasks"</formula>
    </cfRule>
  </conditionalFormatting>
  <conditionalFormatting sqref="M31:O42 M72:O83">
    <cfRule type="cellIs" dxfId="511" priority="101" operator="equal">
      <formula>"maintasks"</formula>
    </cfRule>
  </conditionalFormatting>
  <conditionalFormatting sqref="M84:O84">
    <cfRule type="cellIs" dxfId="510" priority="124" operator="equal">
      <formula>"maintasks"</formula>
    </cfRule>
    <cfRule type="cellIs" dxfId="509" priority="125" operator="equal">
      <formula>"maintasks"</formula>
    </cfRule>
  </conditionalFormatting>
  <conditionalFormatting sqref="M85:O94">
    <cfRule type="cellIs" dxfId="508" priority="123" operator="equal">
      <formula>"maintasks"</formula>
    </cfRule>
  </conditionalFormatting>
  <conditionalFormatting sqref="M95:O95">
    <cfRule type="cellIs" dxfId="507" priority="255" operator="equal">
      <formula>"maintasks"</formula>
    </cfRule>
    <cfRule type="cellIs" dxfId="506" priority="254" operator="equal">
      <formula>"maintasks"</formula>
    </cfRule>
  </conditionalFormatting>
  <conditionalFormatting sqref="M96:O101 M102">
    <cfRule type="cellIs" dxfId="505" priority="251" operator="equal">
      <formula>"maintasks"</formula>
    </cfRule>
  </conditionalFormatting>
  <conditionalFormatting sqref="M111:O111 M113:O113">
    <cfRule type="cellIs" dxfId="504" priority="267" operator="equal">
      <formula>"maintasks"</formula>
    </cfRule>
  </conditionalFormatting>
  <conditionalFormatting sqref="M111:O126 M129:O149 M172:O182">
    <cfRule type="cellIs" dxfId="503" priority="268" operator="equal">
      <formula>"maintasks"</formula>
    </cfRule>
  </conditionalFormatting>
  <conditionalFormatting sqref="M127:O131">
    <cfRule type="cellIs" dxfId="502" priority="263" operator="equal">
      <formula>"maintasks"</formula>
    </cfRule>
  </conditionalFormatting>
  <conditionalFormatting sqref="M134:O134">
    <cfRule type="cellIs" dxfId="501" priority="266" operator="equal">
      <formula>"maintasks"</formula>
    </cfRule>
  </conditionalFormatting>
  <conditionalFormatting sqref="M150:O171">
    <cfRule type="cellIs" dxfId="500" priority="259" operator="equal">
      <formula>"maintasks"</formula>
    </cfRule>
  </conditionalFormatting>
  <conditionalFormatting sqref="M155:O155">
    <cfRule type="cellIs" dxfId="499" priority="264" operator="equal">
      <formula>"maintasks"</formula>
    </cfRule>
  </conditionalFormatting>
  <conditionalFormatting sqref="M172:O172">
    <cfRule type="cellIs" dxfId="498" priority="265" operator="equal">
      <formula>"maintasks"</formula>
    </cfRule>
  </conditionalFormatting>
  <conditionalFormatting sqref="M183:O203">
    <cfRule type="cellIs" dxfId="497" priority="233" operator="equal">
      <formula>"maintasks"</formula>
    </cfRule>
  </conditionalFormatting>
  <conditionalFormatting sqref="M203:O203">
    <cfRule type="cellIs" dxfId="496" priority="234" operator="equal">
      <formula>"maintasks"</formula>
    </cfRule>
  </conditionalFormatting>
  <conditionalFormatting sqref="M217:O217">
    <cfRule type="cellIs" dxfId="495" priority="239" operator="equal">
      <formula>"maintasks"</formula>
    </cfRule>
    <cfRule type="cellIs" dxfId="494" priority="238" operator="equal">
      <formula>"maintasks"</formula>
    </cfRule>
  </conditionalFormatting>
  <conditionalFormatting sqref="M232:O232">
    <cfRule type="cellIs" dxfId="493" priority="230" operator="equal">
      <formula>"maintasks"</formula>
    </cfRule>
  </conditionalFormatting>
  <conditionalFormatting sqref="M247:O247">
    <cfRule type="cellIs" dxfId="492" priority="228" operator="equal">
      <formula>"maintasks"</formula>
    </cfRule>
  </conditionalFormatting>
  <conditionalFormatting sqref="M266:O266 N273:O273">
    <cfRule type="cellIs" dxfId="491" priority="223" operator="equal">
      <formula>"maintasks"</formula>
    </cfRule>
  </conditionalFormatting>
  <conditionalFormatting sqref="M268:O268">
    <cfRule type="cellIs" dxfId="490" priority="99" operator="equal">
      <formula>"maintasks"</formula>
    </cfRule>
  </conditionalFormatting>
  <conditionalFormatting sqref="M269:O282">
    <cfRule type="cellIs" dxfId="489" priority="215" operator="equal">
      <formula>"maintasks"</formula>
    </cfRule>
  </conditionalFormatting>
  <conditionalFormatting sqref="M283:O283">
    <cfRule type="cellIs" dxfId="488" priority="98" operator="equal">
      <formula>"maintasks"</formula>
    </cfRule>
  </conditionalFormatting>
  <conditionalFormatting sqref="M284:O298 M300:O328 M330:O352 M354:O372">
    <cfRule type="cellIs" dxfId="487" priority="168" operator="equal">
      <formula>"maintasks"</formula>
    </cfRule>
  </conditionalFormatting>
  <conditionalFormatting sqref="M299:O299">
    <cfRule type="cellIs" dxfId="486" priority="97" operator="equal">
      <formula>"maintasks"</formula>
    </cfRule>
  </conditionalFormatting>
  <conditionalFormatting sqref="M329:O329">
    <cfRule type="cellIs" dxfId="485" priority="96" operator="equal">
      <formula>"maintasks"</formula>
    </cfRule>
  </conditionalFormatting>
  <conditionalFormatting sqref="M353:O353">
    <cfRule type="cellIs" dxfId="484" priority="95" operator="equal">
      <formula>"maintasks"</formula>
    </cfRule>
  </conditionalFormatting>
  <conditionalFormatting sqref="M373:O407">
    <cfRule type="cellIs" dxfId="483" priority="94" operator="equal">
      <formula>"maintasks"</formula>
    </cfRule>
  </conditionalFormatting>
  <conditionalFormatting sqref="M408:O408">
    <cfRule type="cellIs" dxfId="482" priority="174" operator="equal">
      <formula>"maintasks"</formula>
    </cfRule>
    <cfRule type="cellIs" dxfId="481" priority="173" operator="equal">
      <formula>"maintasks"</formula>
    </cfRule>
  </conditionalFormatting>
  <conditionalFormatting sqref="M409:O423">
    <cfRule type="cellIs" dxfId="480" priority="213" operator="equal">
      <formula>"maintasks"</formula>
    </cfRule>
  </conditionalFormatting>
  <conditionalFormatting sqref="M423:O423">
    <cfRule type="cellIs" dxfId="479" priority="212" operator="equal">
      <formula>"maintasks"</formula>
    </cfRule>
  </conditionalFormatting>
  <conditionalFormatting sqref="M424:O452">
    <cfRule type="cellIs" dxfId="478" priority="209" operator="equal">
      <formula>"maintasks"</formula>
    </cfRule>
  </conditionalFormatting>
  <conditionalFormatting sqref="M438:O438">
    <cfRule type="cellIs" dxfId="477" priority="208" operator="equal">
      <formula>"maintasks"</formula>
    </cfRule>
  </conditionalFormatting>
  <conditionalFormatting sqref="M453:O453">
    <cfRule type="cellIs" dxfId="476" priority="206" operator="equal">
      <formula>"maintasks"</formula>
    </cfRule>
  </conditionalFormatting>
  <conditionalFormatting sqref="M453:O467">
    <cfRule type="cellIs" dxfId="475" priority="207" operator="equal">
      <formula>"maintasks"</formula>
    </cfRule>
  </conditionalFormatting>
  <conditionalFormatting sqref="M468:O468">
    <cfRule type="cellIs" dxfId="474" priority="204" operator="equal">
      <formula>"maintasks"</formula>
    </cfRule>
  </conditionalFormatting>
  <conditionalFormatting sqref="M468:O482">
    <cfRule type="cellIs" dxfId="473" priority="205" operator="equal">
      <formula>"maintasks"</formula>
    </cfRule>
  </conditionalFormatting>
  <conditionalFormatting sqref="M483:O483">
    <cfRule type="cellIs" dxfId="472" priority="202" operator="equal">
      <formula>"maintasks"</formula>
    </cfRule>
  </conditionalFormatting>
  <conditionalFormatting sqref="M483:O497">
    <cfRule type="cellIs" dxfId="471" priority="203" operator="equal">
      <formula>"maintasks"</formula>
    </cfRule>
  </conditionalFormatting>
  <conditionalFormatting sqref="M498:O498">
    <cfRule type="cellIs" dxfId="470" priority="160" operator="equal">
      <formula>"maintasks"</formula>
    </cfRule>
  </conditionalFormatting>
  <conditionalFormatting sqref="M498:O507">
    <cfRule type="cellIs" dxfId="469" priority="161" operator="equal">
      <formula>"maintasks"</formula>
    </cfRule>
  </conditionalFormatting>
  <conditionalFormatting sqref="M508:O524">
    <cfRule type="cellIs" dxfId="468" priority="141" operator="equal">
      <formula>"maintasks"</formula>
    </cfRule>
  </conditionalFormatting>
  <conditionalFormatting sqref="M515:O515">
    <cfRule type="cellIs" dxfId="467" priority="140" operator="equal">
      <formula>"maintasks"</formula>
    </cfRule>
  </conditionalFormatting>
  <conditionalFormatting sqref="M525:O525">
    <cfRule type="cellIs" dxfId="466" priority="136" operator="equal">
      <formula>"maintasks"</formula>
    </cfRule>
  </conditionalFormatting>
  <conditionalFormatting sqref="M525:O537">
    <cfRule type="cellIs" dxfId="465" priority="137" operator="equal">
      <formula>"maintasks"</formula>
    </cfRule>
  </conditionalFormatting>
  <conditionalFormatting sqref="M538:O538">
    <cfRule type="cellIs" dxfId="464" priority="132" operator="equal">
      <formula>"maintasks"</formula>
    </cfRule>
  </conditionalFormatting>
  <conditionalFormatting sqref="M538:O551">
    <cfRule type="cellIs" dxfId="463" priority="133" operator="equal">
      <formula>"maintasks"</formula>
    </cfRule>
  </conditionalFormatting>
  <conditionalFormatting sqref="M552:O552">
    <cfRule type="cellIs" dxfId="462" priority="128" operator="equal">
      <formula>"maintasks"</formula>
    </cfRule>
  </conditionalFormatting>
  <conditionalFormatting sqref="M552:O564">
    <cfRule type="cellIs" dxfId="461" priority="129" operator="equal">
      <formula>"maintasks"</formula>
    </cfRule>
  </conditionalFormatting>
  <conditionalFormatting sqref="M795:O802">
    <cfRule type="cellIs" dxfId="460" priority="34" operator="equal">
      <formula>"maintasks"</formula>
    </cfRule>
  </conditionalFormatting>
  <conditionalFormatting sqref="M804:O806">
    <cfRule type="cellIs" dxfId="459" priority="33" operator="equal">
      <formula>"maintasks"</formula>
    </cfRule>
  </conditionalFormatting>
  <conditionalFormatting sqref="M813:O815">
    <cfRule type="cellIs" dxfId="458" priority="26" operator="equal">
      <formula>"maintasks"</formula>
    </cfRule>
  </conditionalFormatting>
  <conditionalFormatting sqref="M821:O824">
    <cfRule type="cellIs" dxfId="457" priority="19" operator="equal">
      <formula>"maintasks"</formula>
    </cfRule>
  </conditionalFormatting>
  <conditionalFormatting sqref="N150:N152">
    <cfRule type="cellIs" dxfId="456" priority="262" operator="equal">
      <formula>"maintasks"</formula>
    </cfRule>
  </conditionalFormatting>
  <conditionalFormatting sqref="N167:N169">
    <cfRule type="cellIs" dxfId="455" priority="258" operator="equal">
      <formula>"maintasks"</formula>
    </cfRule>
  </conditionalFormatting>
  <conditionalFormatting sqref="N183:N185">
    <cfRule type="cellIs" dxfId="454" priority="261" operator="equal">
      <formula>"maintasks"</formula>
    </cfRule>
  </conditionalFormatting>
  <conditionalFormatting sqref="N197:N199">
    <cfRule type="cellIs" dxfId="453" priority="260" operator="equal">
      <formula>"maintasks"</formula>
    </cfRule>
  </conditionalFormatting>
  <conditionalFormatting sqref="N262:N264">
    <cfRule type="cellIs" dxfId="452" priority="219" operator="equal">
      <formula>"maintasks"</formula>
    </cfRule>
  </conditionalFormatting>
  <conditionalFormatting sqref="N382:N386">
    <cfRule type="cellIs" dxfId="451" priority="178" operator="equal">
      <formula>"maintasks"</formula>
    </cfRule>
  </conditionalFormatting>
  <conditionalFormatting sqref="N394:N397">
    <cfRule type="cellIs" dxfId="450" priority="180" operator="equal">
      <formula>"maintasks"</formula>
    </cfRule>
  </conditionalFormatting>
  <conditionalFormatting sqref="N404:N407">
    <cfRule type="cellIs" dxfId="449" priority="176" operator="equal">
      <formula>"maintasks"</formula>
    </cfRule>
  </conditionalFormatting>
  <conditionalFormatting sqref="N419:N422">
    <cfRule type="cellIs" dxfId="448" priority="214" operator="equal">
      <formula>"maintasks"</formula>
    </cfRule>
  </conditionalFormatting>
  <conditionalFormatting sqref="N436:N437">
    <cfRule type="cellIs" dxfId="447" priority="211" operator="equal">
      <formula>"maintasks"</formula>
    </cfRule>
  </conditionalFormatting>
  <conditionalFormatting sqref="N494:N497">
    <cfRule type="cellIs" dxfId="446" priority="210" operator="equal">
      <formula>"maintasks"</formula>
    </cfRule>
  </conditionalFormatting>
  <conditionalFormatting sqref="N510:N514">
    <cfRule type="cellIs" dxfId="445" priority="156" operator="equal">
      <formula>"maintasks"</formula>
    </cfRule>
  </conditionalFormatting>
  <conditionalFormatting sqref="N521:N524">
    <cfRule type="cellIs" dxfId="444" priority="150" operator="equal">
      <formula>"maintasks"</formula>
    </cfRule>
  </conditionalFormatting>
  <conditionalFormatting sqref="N548:N551">
    <cfRule type="cellIs" dxfId="443" priority="147" operator="equal">
      <formula>"maintasks"</formula>
    </cfRule>
  </conditionalFormatting>
  <conditionalFormatting sqref="N561:N564">
    <cfRule type="cellIs" dxfId="442" priority="145" operator="equal">
      <formula>"maintasks"</formula>
    </cfRule>
  </conditionalFormatting>
  <conditionalFormatting sqref="N809:N812">
    <cfRule type="cellIs" dxfId="441" priority="27" operator="equal">
      <formula>"maintasks"</formula>
    </cfRule>
  </conditionalFormatting>
  <conditionalFormatting sqref="N818:N820">
    <cfRule type="cellIs" dxfId="440" priority="21" operator="equal">
      <formula>"maintasks"</formula>
    </cfRule>
  </conditionalFormatting>
  <conditionalFormatting sqref="N2:O13">
    <cfRule type="cellIs" dxfId="439" priority="43" operator="equal">
      <formula>"maintasks"</formula>
    </cfRule>
  </conditionalFormatting>
  <conditionalFormatting sqref="N43:O54">
    <cfRule type="cellIs" dxfId="438" priority="39" operator="equal">
      <formula>"maintasks"</formula>
    </cfRule>
  </conditionalFormatting>
  <conditionalFormatting sqref="N102:O102">
    <cfRule type="cellIs" dxfId="437" priority="40" operator="equal">
      <formula>"maintasks"</formula>
    </cfRule>
  </conditionalFormatting>
  <conditionalFormatting sqref="N267:O267">
    <cfRule type="cellIs" dxfId="436" priority="216" operator="equal">
      <formula>"maintasks"</formula>
    </cfRule>
  </conditionalFormatting>
  <conditionalFormatting sqref="N291:O291">
    <cfRule type="cellIs" dxfId="435" priority="220" operator="equal">
      <formula>"maintasks"</formula>
    </cfRule>
  </conditionalFormatting>
  <conditionalFormatting sqref="N589:O594 N596:O597">
    <cfRule type="cellIs" dxfId="434" priority="117" operator="equal">
      <formula>"maintasks"</formula>
    </cfRule>
  </conditionalFormatting>
  <conditionalFormatting sqref="N599:O617">
    <cfRule type="cellIs" dxfId="433" priority="115" operator="equal">
      <formula>"maintasks"</formula>
    </cfRule>
  </conditionalFormatting>
  <conditionalFormatting sqref="N629:O643">
    <cfRule type="cellIs" dxfId="432" priority="114" operator="equal">
      <formula>"maintasks"</formula>
    </cfRule>
  </conditionalFormatting>
  <conditionalFormatting sqref="N655:O669">
    <cfRule type="cellIs" dxfId="431" priority="112" operator="equal">
      <formula>"maintasks"</formula>
    </cfRule>
  </conditionalFormatting>
  <conditionalFormatting sqref="N685:O699">
    <cfRule type="cellIs" dxfId="430" priority="110" operator="equal">
      <formula>"maintasks"</formula>
    </cfRule>
  </conditionalFormatting>
  <conditionalFormatting sqref="N711:O725">
    <cfRule type="cellIs" dxfId="429" priority="108" operator="equal">
      <formula>"maintasks"</formula>
    </cfRule>
  </conditionalFormatting>
  <conditionalFormatting sqref="N736:O750">
    <cfRule type="cellIs" dxfId="428" priority="106" operator="equal">
      <formula>"maintasks"</formula>
    </cfRule>
  </conditionalFormatting>
  <conditionalFormatting sqref="N779:O793">
    <cfRule type="cellIs" dxfId="427" priority="104" operator="equal">
      <formula>"maintasks"</formula>
    </cfRule>
  </conditionalFormatting>
  <conditionalFormatting sqref="O218:O219">
    <cfRule type="cellIs" dxfId="426" priority="225" operator="equal">
      <formula>"maintasks"</formula>
    </cfRule>
  </conditionalFormatting>
  <conditionalFormatting sqref="O220:O232">
    <cfRule type="cellIs" dxfId="425" priority="231" operator="equal">
      <formula>"maintasks"</formula>
    </cfRule>
  </conditionalFormatting>
  <conditionalFormatting sqref="O233:O234">
    <cfRule type="cellIs" dxfId="424" priority="227" operator="equal">
      <formula>"maintasks"</formula>
    </cfRule>
  </conditionalFormatting>
  <conditionalFormatting sqref="O235:O261">
    <cfRule type="cellIs" dxfId="423" priority="229" operator="equal">
      <formula>"maintasks"</formula>
    </cfRule>
  </conditionalFormatting>
  <conditionalFormatting sqref="O262:O265">
    <cfRule type="cellIs" dxfId="422" priority="218" operator="equal">
      <formula>"maintasks"</formula>
    </cfRule>
  </conditionalFormatting>
  <conditionalFormatting sqref="O512">
    <cfRule type="cellIs" dxfId="421" priority="4" operator="equal">
      <formula>"maintasks"</formula>
    </cfRule>
  </conditionalFormatting>
  <conditionalFormatting sqref="O522">
    <cfRule type="cellIs" dxfId="420" priority="3" operator="equal">
      <formula>"maintasks"</formula>
    </cfRule>
  </conditionalFormatting>
  <conditionalFormatting sqref="O550">
    <cfRule type="cellIs" dxfId="419" priority="2" operator="equal">
      <formula>"maintasks"</formula>
    </cfRule>
  </conditionalFormatting>
  <conditionalFormatting sqref="O563">
    <cfRule type="cellIs" dxfId="418" priority="1" operator="equal">
      <formula>"maintasks"</formula>
    </cfRule>
  </conditionalFormatting>
  <conditionalFormatting sqref="P798:P799">
    <cfRule type="cellIs" dxfId="417" priority="37" operator="equal">
      <formula>"maintasks"</formula>
    </cfRule>
  </conditionalFormatting>
  <conditionalFormatting sqref="P801:P802 M803:P803">
    <cfRule type="cellIs" dxfId="416" priority="38" operator="equal">
      <formula>"maintasks"</formula>
    </cfRule>
  </conditionalFormatting>
  <conditionalFormatting sqref="P806">
    <cfRule type="cellIs" dxfId="415" priority="36" operator="equal">
      <formula>"maintasks"</formula>
    </cfRule>
  </conditionalFormatting>
  <conditionalFormatting sqref="P807:U807">
    <cfRule type="cellIs" dxfId="414" priority="28" operator="equal">
      <formula>"maintasks"</formula>
    </cfRule>
  </conditionalFormatting>
  <conditionalFormatting sqref="P816:U816">
    <cfRule type="cellIs" dxfId="413" priority="20" operator="equal">
      <formula>"maintasks"</formula>
    </cfRule>
  </conditionalFormatting>
  <conditionalFormatting sqref="R798:R799">
    <cfRule type="cellIs" dxfId="412" priority="8" operator="equal">
      <formula>"maintasks"</formula>
    </cfRule>
  </conditionalFormatting>
  <conditionalFormatting sqref="R801:R803">
    <cfRule type="cellIs" dxfId="411" priority="9" operator="equal">
      <formula>"maintasks"</formula>
    </cfRule>
  </conditionalFormatting>
  <conditionalFormatting sqref="R806">
    <cfRule type="cellIs" dxfId="410" priority="7" operator="equal">
      <formula>"maintasks"</formula>
    </cfRule>
  </conditionalFormatting>
  <conditionalFormatting sqref="V589">
    <cfRule type="cellIs" dxfId="409" priority="116" operator="equal">
      <formula>"maintasks"</formula>
    </cfRule>
  </conditionalFormatting>
  <conditionalFormatting sqref="V618">
    <cfRule type="cellIs" dxfId="408" priority="113" operator="equal">
      <formula>"maintasks"</formula>
    </cfRule>
  </conditionalFormatting>
  <conditionalFormatting sqref="V644">
    <cfRule type="cellIs" dxfId="407" priority="111" operator="equal">
      <formula>"maintasks"</formula>
    </cfRule>
  </conditionalFormatting>
  <conditionalFormatting sqref="V670">
    <cfRule type="cellIs" dxfId="406" priority="109" operator="equal">
      <formula>"maintasks"</formula>
    </cfRule>
  </conditionalFormatting>
  <conditionalFormatting sqref="V700">
    <cfRule type="cellIs" dxfId="405" priority="107" operator="equal">
      <formula>"maintasks"</formula>
    </cfRule>
  </conditionalFormatting>
  <conditionalFormatting sqref="V726">
    <cfRule type="cellIs" dxfId="404" priority="105" operator="equal">
      <formula>"maintasks"</formula>
    </cfRule>
  </conditionalFormatting>
  <conditionalFormatting sqref="V769">
    <cfRule type="cellIs" dxfId="403" priority="103" operator="equal">
      <formula>"maintasks"</formula>
    </cfRule>
  </conditionalFormatting>
  <conditionalFormatting sqref="W798">
    <cfRule type="cellIs" dxfId="402" priority="32" operator="equal">
      <formula>"maintasks"</formula>
    </cfRule>
  </conditionalFormatting>
  <conditionalFormatting sqref="W807">
    <cfRule type="cellIs" dxfId="401" priority="25" operator="equal">
      <formula>"maintasks"</formula>
    </cfRule>
  </conditionalFormatting>
  <conditionalFormatting sqref="W816">
    <cfRule type="cellIs" dxfId="400" priority="18" operator="equal">
      <formula>"maintasks"</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33B3AC88-B0A8-438D-BD07-122B0011626D}">
            <x14:dataBar minLength="0" maxLength="100" border="1" negativeBarBorderColorSameAsPositive="0">
              <x14:cfvo type="autoMin"/>
              <x14:cfvo type="autoMax"/>
              <x14:borderColor rgb="FF638EC6"/>
              <x14:negativeFillColor rgb="FFFF0000"/>
              <x14:negativeBorderColor rgb="FFFF0000"/>
              <x14:axisColor rgb="FF000000"/>
            </x14:dataBar>
          </x14:cfRule>
          <xm:sqref>A2:A837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458C-351F-471B-8F2E-30C99A7CA2EB}">
  <sheetPr>
    <tabColor theme="7" tint="0.79998168889431442"/>
  </sheetPr>
  <dimension ref="A1:Y1517"/>
  <sheetViews>
    <sheetView zoomScale="49" zoomScaleNormal="49" workbookViewId="0">
      <pane ySplit="1" topLeftCell="A2" activePane="bottomLeft" state="frozen"/>
      <selection activeCell="D1" sqref="D1"/>
      <selection pane="bottomLeft"/>
    </sheetView>
  </sheetViews>
  <sheetFormatPr defaultColWidth="8.77734375" defaultRowHeight="16.05" customHeight="1" x14ac:dyDescent="0.45"/>
  <cols>
    <col min="1" max="1" width="7.88671875" style="87" customWidth="1"/>
    <col min="2" max="3" width="8.77734375" style="87"/>
    <col min="4" max="4" width="12.33203125" style="778" customWidth="1"/>
    <col min="5" max="5" width="18.44140625" style="87" customWidth="1"/>
    <col min="6" max="6" width="15.5546875" style="343" customWidth="1"/>
    <col min="7" max="7" width="10.6640625" style="87" customWidth="1"/>
    <col min="8" max="8" width="18.6640625" style="343" customWidth="1"/>
    <col min="9" max="9" width="15.6640625" style="87" customWidth="1"/>
    <col min="10" max="10" width="8.77734375" style="87" customWidth="1"/>
    <col min="11" max="11" width="16.6640625" style="343" customWidth="1"/>
    <col min="12" max="12" width="10.77734375" style="779" customWidth="1"/>
    <col min="13" max="13" width="41.109375" style="343" customWidth="1"/>
    <col min="14" max="14" width="47.21875" style="343" customWidth="1"/>
    <col min="15" max="15" width="13.109375" style="343" customWidth="1"/>
    <col min="16" max="16" width="20.5546875" style="343" customWidth="1"/>
    <col min="17" max="17" width="8.77734375" style="779" customWidth="1"/>
    <col min="18" max="18" width="7.5546875" style="343" customWidth="1"/>
    <col min="19" max="23" width="8.77734375" style="87" customWidth="1"/>
    <col min="24" max="16384" width="8.77734375" style="87"/>
  </cols>
  <sheetData>
    <row r="1" spans="1:25" s="274" customFormat="1" ht="28.95" customHeight="1" x14ac:dyDescent="0.3">
      <c r="A1" s="780" t="s">
        <v>0</v>
      </c>
      <c r="B1" s="781" t="s">
        <v>1</v>
      </c>
      <c r="C1" s="781" t="s">
        <v>2</v>
      </c>
      <c r="D1" s="782" t="s">
        <v>3</v>
      </c>
      <c r="E1" s="781" t="s">
        <v>4</v>
      </c>
      <c r="F1" s="781" t="s">
        <v>5</v>
      </c>
      <c r="G1" s="781" t="s">
        <v>917</v>
      </c>
      <c r="H1" s="781" t="s">
        <v>7</v>
      </c>
      <c r="I1" s="781" t="s">
        <v>8</v>
      </c>
      <c r="J1" s="781" t="s">
        <v>10</v>
      </c>
      <c r="K1" s="781" t="s">
        <v>9</v>
      </c>
      <c r="L1" s="783" t="s">
        <v>918</v>
      </c>
      <c r="M1" s="784" t="s">
        <v>12</v>
      </c>
      <c r="N1" s="784" t="s">
        <v>13</v>
      </c>
      <c r="O1" s="784" t="s">
        <v>14</v>
      </c>
      <c r="P1" s="781" t="s">
        <v>919</v>
      </c>
      <c r="Q1" s="783" t="s">
        <v>920</v>
      </c>
      <c r="R1" s="785" t="s">
        <v>17</v>
      </c>
      <c r="S1" s="786" t="s">
        <v>18</v>
      </c>
      <c r="T1" s="780" t="s">
        <v>19</v>
      </c>
      <c r="U1" s="781" t="s">
        <v>921</v>
      </c>
      <c r="V1" s="781" t="s">
        <v>922</v>
      </c>
      <c r="W1" s="781" t="s">
        <v>923</v>
      </c>
    </row>
    <row r="2" spans="1:25" s="274" customFormat="1" ht="16.05" customHeight="1" x14ac:dyDescent="0.3">
      <c r="A2" s="1">
        <v>1</v>
      </c>
      <c r="B2" s="2" t="s">
        <v>924</v>
      </c>
      <c r="C2" s="3" t="s">
        <v>24</v>
      </c>
      <c r="D2" s="275">
        <v>6592</v>
      </c>
      <c r="E2" s="2" t="s">
        <v>925</v>
      </c>
      <c r="F2" s="2" t="s">
        <v>26</v>
      </c>
      <c r="G2" s="3">
        <v>1000</v>
      </c>
      <c r="H2" s="2" t="s">
        <v>27</v>
      </c>
      <c r="I2" s="2" t="s">
        <v>28</v>
      </c>
      <c r="J2" s="3" t="s">
        <v>30</v>
      </c>
      <c r="K2" s="3" t="s">
        <v>29</v>
      </c>
      <c r="L2" s="276">
        <v>0.6</v>
      </c>
      <c r="M2" s="10" t="s">
        <v>31</v>
      </c>
      <c r="N2" s="48" t="s">
        <v>32</v>
      </c>
      <c r="O2" s="48"/>
      <c r="P2" s="277">
        <v>1152686.6481455625</v>
      </c>
      <c r="Q2" s="276">
        <v>0.15</v>
      </c>
      <c r="R2" s="277"/>
      <c r="S2" s="13">
        <f t="shared" ref="S2:S65" si="0">ROUND(IF(OR(P2="",R2=""),0,IF(AND(P2=0,R2=0),1,IF(U2="+",R2/P2,P2/R2))),2)</f>
        <v>0</v>
      </c>
      <c r="T2" s="7">
        <f t="shared" ref="T2:T65" si="1">IF(AND(S2&gt;=60%,S2&lt;100%),S2*((Q2*L2)),IF(S2=100%,((Q2*L2)*S2)*100%,IF(S2&gt;100%,((L2*Q2)*100%)*100%,0)))*100</f>
        <v>0</v>
      </c>
      <c r="U2" s="7" t="s">
        <v>34</v>
      </c>
      <c r="V2" s="278">
        <f>SUM(T2:T37)%</f>
        <v>0</v>
      </c>
      <c r="W2" s="279"/>
      <c r="X2"/>
      <c r="Y2"/>
    </row>
    <row r="3" spans="1:25" s="274" customFormat="1" ht="16.05" customHeight="1" x14ac:dyDescent="0.3">
      <c r="A3" s="1">
        <v>2</v>
      </c>
      <c r="B3" s="15" t="s">
        <v>924</v>
      </c>
      <c r="C3" s="16" t="s">
        <v>24</v>
      </c>
      <c r="D3" s="281">
        <v>6592</v>
      </c>
      <c r="E3" s="15" t="s">
        <v>925</v>
      </c>
      <c r="F3" s="15" t="s">
        <v>26</v>
      </c>
      <c r="G3" s="15">
        <v>1000</v>
      </c>
      <c r="H3" s="15" t="s">
        <v>27</v>
      </c>
      <c r="I3" s="15" t="s">
        <v>28</v>
      </c>
      <c r="J3" s="182" t="s">
        <v>30</v>
      </c>
      <c r="K3" s="16" t="s">
        <v>29</v>
      </c>
      <c r="L3" s="282">
        <v>0.6</v>
      </c>
      <c r="M3" s="22" t="s">
        <v>926</v>
      </c>
      <c r="N3" s="23" t="s">
        <v>927</v>
      </c>
      <c r="O3" s="23"/>
      <c r="P3" s="24">
        <v>621419.69473720191</v>
      </c>
      <c r="Q3" s="283">
        <v>0.15</v>
      </c>
      <c r="R3" s="24"/>
      <c r="S3" s="284">
        <f t="shared" si="0"/>
        <v>0</v>
      </c>
      <c r="T3" s="285">
        <f t="shared" si="1"/>
        <v>0</v>
      </c>
      <c r="U3" s="1" t="s">
        <v>34</v>
      </c>
      <c r="V3" s="26"/>
      <c r="W3" s="15"/>
      <c r="X3"/>
      <c r="Y3"/>
    </row>
    <row r="4" spans="1:25" s="274" customFormat="1" ht="16.05" customHeight="1" x14ac:dyDescent="0.3">
      <c r="A4" s="1">
        <v>3</v>
      </c>
      <c r="B4" s="15" t="s">
        <v>924</v>
      </c>
      <c r="C4" s="16" t="s">
        <v>24</v>
      </c>
      <c r="D4" s="281">
        <v>6592</v>
      </c>
      <c r="E4" s="15" t="s">
        <v>925</v>
      </c>
      <c r="F4" s="15" t="s">
        <v>26</v>
      </c>
      <c r="G4" s="15">
        <v>1000</v>
      </c>
      <c r="H4" s="15" t="s">
        <v>27</v>
      </c>
      <c r="I4" s="15" t="s">
        <v>28</v>
      </c>
      <c r="J4" s="182" t="s">
        <v>30</v>
      </c>
      <c r="K4" s="16" t="s">
        <v>29</v>
      </c>
      <c r="L4" s="282">
        <v>0.6</v>
      </c>
      <c r="M4" s="22" t="s">
        <v>928</v>
      </c>
      <c r="N4" s="23" t="s">
        <v>929</v>
      </c>
      <c r="O4" s="23"/>
      <c r="P4" s="24">
        <v>789737.85000000009</v>
      </c>
      <c r="Q4" s="283">
        <v>0.1</v>
      </c>
      <c r="R4" s="24"/>
      <c r="S4" s="284">
        <f t="shared" si="0"/>
        <v>0</v>
      </c>
      <c r="T4" s="285">
        <f t="shared" si="1"/>
        <v>0</v>
      </c>
      <c r="U4" s="1" t="s">
        <v>34</v>
      </c>
      <c r="V4" s="26"/>
      <c r="W4" s="15"/>
      <c r="X4"/>
      <c r="Y4"/>
    </row>
    <row r="5" spans="1:25" s="274" customFormat="1" ht="16.05" customHeight="1" x14ac:dyDescent="0.3">
      <c r="A5" s="1">
        <v>4</v>
      </c>
      <c r="B5" s="15" t="s">
        <v>924</v>
      </c>
      <c r="C5" s="16" t="s">
        <v>24</v>
      </c>
      <c r="D5" s="281">
        <v>6592</v>
      </c>
      <c r="E5" s="15" t="s">
        <v>925</v>
      </c>
      <c r="F5" s="15" t="s">
        <v>26</v>
      </c>
      <c r="G5" s="15">
        <v>1000</v>
      </c>
      <c r="H5" s="15" t="s">
        <v>27</v>
      </c>
      <c r="I5" s="15" t="s">
        <v>28</v>
      </c>
      <c r="J5" s="182" t="s">
        <v>30</v>
      </c>
      <c r="K5" s="16" t="s">
        <v>29</v>
      </c>
      <c r="L5" s="282">
        <v>0.6</v>
      </c>
      <c r="M5" s="22" t="s">
        <v>39</v>
      </c>
      <c r="N5" s="23" t="s">
        <v>40</v>
      </c>
      <c r="O5" s="23"/>
      <c r="P5" s="24">
        <v>29160000</v>
      </c>
      <c r="Q5" s="283">
        <v>0.05</v>
      </c>
      <c r="R5" s="24"/>
      <c r="S5" s="284">
        <f t="shared" si="0"/>
        <v>0</v>
      </c>
      <c r="T5" s="285">
        <f t="shared" si="1"/>
        <v>0</v>
      </c>
      <c r="U5" s="1" t="s">
        <v>34</v>
      </c>
      <c r="V5" s="26"/>
      <c r="W5" s="15"/>
      <c r="X5"/>
      <c r="Y5"/>
    </row>
    <row r="6" spans="1:25" s="274" customFormat="1" ht="16.05" customHeight="1" x14ac:dyDescent="0.3">
      <c r="A6" s="1">
        <v>5</v>
      </c>
      <c r="B6" s="15" t="s">
        <v>924</v>
      </c>
      <c r="C6" s="16" t="s">
        <v>24</v>
      </c>
      <c r="D6" s="281">
        <v>6592</v>
      </c>
      <c r="E6" s="15" t="s">
        <v>925</v>
      </c>
      <c r="F6" s="15" t="s">
        <v>26</v>
      </c>
      <c r="G6" s="15">
        <v>1000</v>
      </c>
      <c r="H6" s="15" t="s">
        <v>27</v>
      </c>
      <c r="I6" s="15" t="s">
        <v>28</v>
      </c>
      <c r="J6" s="182" t="s">
        <v>30</v>
      </c>
      <c r="K6" s="16" t="s">
        <v>29</v>
      </c>
      <c r="L6" s="282">
        <v>0.6</v>
      </c>
      <c r="M6" s="22" t="s">
        <v>930</v>
      </c>
      <c r="N6" s="23" t="s">
        <v>931</v>
      </c>
      <c r="O6" s="23"/>
      <c r="P6" s="24">
        <v>42860.330649873424</v>
      </c>
      <c r="Q6" s="283">
        <v>0.05</v>
      </c>
      <c r="R6" s="24"/>
      <c r="S6" s="284">
        <f t="shared" si="0"/>
        <v>0</v>
      </c>
      <c r="T6" s="285">
        <f t="shared" si="1"/>
        <v>0</v>
      </c>
      <c r="U6" s="1" t="s">
        <v>34</v>
      </c>
      <c r="V6" s="26"/>
      <c r="W6" s="15"/>
      <c r="X6"/>
      <c r="Y6"/>
    </row>
    <row r="7" spans="1:25" s="274" customFormat="1" ht="16.05" customHeight="1" x14ac:dyDescent="0.3">
      <c r="A7" s="1">
        <v>6</v>
      </c>
      <c r="B7" s="15" t="s">
        <v>924</v>
      </c>
      <c r="C7" s="16" t="s">
        <v>24</v>
      </c>
      <c r="D7" s="281">
        <v>6592</v>
      </c>
      <c r="E7" s="15" t="s">
        <v>925</v>
      </c>
      <c r="F7" s="15" t="s">
        <v>26</v>
      </c>
      <c r="G7" s="15">
        <v>1000</v>
      </c>
      <c r="H7" s="15" t="s">
        <v>27</v>
      </c>
      <c r="I7" s="15" t="s">
        <v>28</v>
      </c>
      <c r="J7" s="182" t="s">
        <v>30</v>
      </c>
      <c r="K7" s="16" t="s">
        <v>29</v>
      </c>
      <c r="L7" s="282">
        <v>0.6</v>
      </c>
      <c r="M7" s="22" t="s">
        <v>43</v>
      </c>
      <c r="N7" s="23" t="s">
        <v>44</v>
      </c>
      <c r="O7" s="23"/>
      <c r="P7" s="24">
        <v>1093076</v>
      </c>
      <c r="Q7" s="283">
        <v>0.15</v>
      </c>
      <c r="R7" s="24"/>
      <c r="S7" s="284">
        <f t="shared" si="0"/>
        <v>0</v>
      </c>
      <c r="T7" s="285">
        <f t="shared" si="1"/>
        <v>0</v>
      </c>
      <c r="U7" s="1" t="s">
        <v>34</v>
      </c>
      <c r="V7" s="26"/>
      <c r="W7" s="15"/>
      <c r="X7"/>
      <c r="Y7"/>
    </row>
    <row r="8" spans="1:25" s="274" customFormat="1" ht="16.05" customHeight="1" x14ac:dyDescent="0.3">
      <c r="A8" s="1">
        <v>7</v>
      </c>
      <c r="B8" s="15" t="s">
        <v>924</v>
      </c>
      <c r="C8" s="16" t="s">
        <v>24</v>
      </c>
      <c r="D8" s="281">
        <v>6592</v>
      </c>
      <c r="E8" s="15" t="s">
        <v>925</v>
      </c>
      <c r="F8" s="15" t="s">
        <v>26</v>
      </c>
      <c r="G8" s="15">
        <v>1000</v>
      </c>
      <c r="H8" s="15" t="s">
        <v>27</v>
      </c>
      <c r="I8" s="15" t="s">
        <v>28</v>
      </c>
      <c r="J8" s="182" t="s">
        <v>30</v>
      </c>
      <c r="K8" s="16" t="s">
        <v>29</v>
      </c>
      <c r="L8" s="282">
        <v>0.6</v>
      </c>
      <c r="M8" s="22" t="s">
        <v>932</v>
      </c>
      <c r="N8" s="23" t="s">
        <v>933</v>
      </c>
      <c r="O8" s="23"/>
      <c r="P8" s="24">
        <v>632149.86058619968</v>
      </c>
      <c r="Q8" s="283">
        <v>0.15</v>
      </c>
      <c r="R8" s="24"/>
      <c r="S8" s="284">
        <f t="shared" si="0"/>
        <v>0</v>
      </c>
      <c r="T8" s="285">
        <f t="shared" si="1"/>
        <v>0</v>
      </c>
      <c r="U8" s="1" t="s">
        <v>34</v>
      </c>
      <c r="V8" s="26"/>
      <c r="W8" s="15"/>
      <c r="X8"/>
      <c r="Y8"/>
    </row>
    <row r="9" spans="1:25" s="274" customFormat="1" ht="16.05" customHeight="1" x14ac:dyDescent="0.3">
      <c r="A9" s="1">
        <v>8</v>
      </c>
      <c r="B9" s="15" t="s">
        <v>924</v>
      </c>
      <c r="C9" s="16" t="s">
        <v>24</v>
      </c>
      <c r="D9" s="281">
        <v>6592</v>
      </c>
      <c r="E9" s="15" t="s">
        <v>925</v>
      </c>
      <c r="F9" s="15" t="s">
        <v>26</v>
      </c>
      <c r="G9" s="15">
        <v>1000</v>
      </c>
      <c r="H9" s="15" t="s">
        <v>27</v>
      </c>
      <c r="I9" s="15" t="s">
        <v>28</v>
      </c>
      <c r="J9" s="182" t="s">
        <v>30</v>
      </c>
      <c r="K9" s="16" t="s">
        <v>29</v>
      </c>
      <c r="L9" s="282">
        <v>0.6</v>
      </c>
      <c r="M9" s="22" t="s">
        <v>49</v>
      </c>
      <c r="N9" s="23" t="s">
        <v>50</v>
      </c>
      <c r="O9" s="23"/>
      <c r="P9" s="24">
        <v>13084225</v>
      </c>
      <c r="Q9" s="283">
        <v>0.05</v>
      </c>
      <c r="R9" s="24"/>
      <c r="S9" s="284">
        <f t="shared" si="0"/>
        <v>0</v>
      </c>
      <c r="T9" s="285">
        <f t="shared" si="1"/>
        <v>0</v>
      </c>
      <c r="U9" s="1" t="s">
        <v>34</v>
      </c>
      <c r="V9" s="26"/>
      <c r="W9" s="15"/>
      <c r="X9"/>
      <c r="Y9"/>
    </row>
    <row r="10" spans="1:25" s="274" customFormat="1" ht="16.05" customHeight="1" x14ac:dyDescent="0.3">
      <c r="A10" s="1">
        <v>9</v>
      </c>
      <c r="B10" s="15" t="s">
        <v>924</v>
      </c>
      <c r="C10" s="16" t="s">
        <v>24</v>
      </c>
      <c r="D10" s="281">
        <v>6592</v>
      </c>
      <c r="E10" s="15" t="s">
        <v>925</v>
      </c>
      <c r="F10" s="15" t="s">
        <v>26</v>
      </c>
      <c r="G10" s="15">
        <v>1000</v>
      </c>
      <c r="H10" s="15" t="s">
        <v>27</v>
      </c>
      <c r="I10" s="15" t="s">
        <v>28</v>
      </c>
      <c r="J10" s="182" t="s">
        <v>30</v>
      </c>
      <c r="K10" s="16" t="s">
        <v>29</v>
      </c>
      <c r="L10" s="282">
        <v>0.6</v>
      </c>
      <c r="M10" s="22" t="s">
        <v>930</v>
      </c>
      <c r="N10" s="23" t="s">
        <v>934</v>
      </c>
      <c r="O10" s="23"/>
      <c r="P10" s="24">
        <v>12008.568758934001</v>
      </c>
      <c r="Q10" s="283">
        <v>0.05</v>
      </c>
      <c r="R10" s="24"/>
      <c r="S10" s="284">
        <f t="shared" si="0"/>
        <v>0</v>
      </c>
      <c r="T10" s="285">
        <f t="shared" si="1"/>
        <v>0</v>
      </c>
      <c r="U10" s="1" t="s">
        <v>34</v>
      </c>
      <c r="V10" s="26"/>
      <c r="W10" s="15"/>
      <c r="X10"/>
      <c r="Y10"/>
    </row>
    <row r="11" spans="1:25" s="274" customFormat="1" ht="16.05" customHeight="1" x14ac:dyDescent="0.3">
      <c r="A11" s="1">
        <v>10</v>
      </c>
      <c r="B11" s="15" t="s">
        <v>924</v>
      </c>
      <c r="C11" s="16" t="s">
        <v>24</v>
      </c>
      <c r="D11" s="281">
        <v>6592</v>
      </c>
      <c r="E11" s="15" t="s">
        <v>925</v>
      </c>
      <c r="F11" s="15" t="s">
        <v>26</v>
      </c>
      <c r="G11" s="15">
        <v>1000</v>
      </c>
      <c r="H11" s="15" t="s">
        <v>27</v>
      </c>
      <c r="I11" s="15" t="s">
        <v>28</v>
      </c>
      <c r="J11" s="182" t="s">
        <v>30</v>
      </c>
      <c r="K11" s="16" t="s">
        <v>29</v>
      </c>
      <c r="L11" s="282">
        <v>0.6</v>
      </c>
      <c r="M11" s="22" t="s">
        <v>53</v>
      </c>
      <c r="N11" s="27" t="s">
        <v>54</v>
      </c>
      <c r="O11" s="27"/>
      <c r="P11" s="28">
        <v>0.26482929302293423</v>
      </c>
      <c r="Q11" s="283">
        <v>0.05</v>
      </c>
      <c r="R11" s="28"/>
      <c r="S11" s="284">
        <f t="shared" si="0"/>
        <v>0</v>
      </c>
      <c r="T11" s="285">
        <f t="shared" si="1"/>
        <v>0</v>
      </c>
      <c r="U11" s="1" t="s">
        <v>34</v>
      </c>
      <c r="V11" s="26"/>
      <c r="W11" s="15"/>
      <c r="X11"/>
      <c r="Y11"/>
    </row>
    <row r="12" spans="1:25" s="274" customFormat="1" ht="16.05" customHeight="1" x14ac:dyDescent="0.3">
      <c r="A12" s="1">
        <v>11</v>
      </c>
      <c r="B12" s="15" t="s">
        <v>924</v>
      </c>
      <c r="C12" s="16" t="s">
        <v>24</v>
      </c>
      <c r="D12" s="281">
        <v>6592</v>
      </c>
      <c r="E12" s="15" t="s">
        <v>925</v>
      </c>
      <c r="F12" s="15" t="s">
        <v>26</v>
      </c>
      <c r="G12" s="15">
        <v>1000</v>
      </c>
      <c r="H12" s="15" t="s">
        <v>27</v>
      </c>
      <c r="I12" s="15" t="s">
        <v>28</v>
      </c>
      <c r="J12" s="182" t="s">
        <v>30</v>
      </c>
      <c r="K12" s="16" t="s">
        <v>29</v>
      </c>
      <c r="L12" s="282">
        <v>0.6</v>
      </c>
      <c r="M12" s="22" t="s">
        <v>55</v>
      </c>
      <c r="N12" s="23" t="s">
        <v>56</v>
      </c>
      <c r="O12" s="23"/>
      <c r="P12" s="28">
        <v>0.1367286186975864</v>
      </c>
      <c r="Q12" s="283">
        <v>0.05</v>
      </c>
      <c r="R12" s="28"/>
      <c r="S12" s="284">
        <f t="shared" si="0"/>
        <v>0</v>
      </c>
      <c r="T12" s="285">
        <f t="shared" si="1"/>
        <v>0</v>
      </c>
      <c r="U12" s="1" t="s">
        <v>34</v>
      </c>
      <c r="V12" s="26"/>
      <c r="W12" s="15"/>
      <c r="X12"/>
      <c r="Y12"/>
    </row>
    <row r="13" spans="1:25" s="274" customFormat="1" ht="16.05" customHeight="1" x14ac:dyDescent="0.3">
      <c r="A13" s="1">
        <v>12</v>
      </c>
      <c r="B13" s="15" t="s">
        <v>924</v>
      </c>
      <c r="C13" s="16" t="s">
        <v>24</v>
      </c>
      <c r="D13" s="281">
        <v>6592</v>
      </c>
      <c r="E13" s="15" t="s">
        <v>925</v>
      </c>
      <c r="F13" s="15" t="s">
        <v>26</v>
      </c>
      <c r="G13" s="15">
        <v>1000</v>
      </c>
      <c r="H13" s="15" t="s">
        <v>27</v>
      </c>
      <c r="I13" s="15" t="s">
        <v>28</v>
      </c>
      <c r="J13" s="16" t="s">
        <v>58</v>
      </c>
      <c r="K13" s="184" t="s">
        <v>57</v>
      </c>
      <c r="L13" s="286">
        <v>0.15</v>
      </c>
      <c r="M13" s="64" t="s">
        <v>59</v>
      </c>
      <c r="N13" s="184" t="s">
        <v>60</v>
      </c>
      <c r="O13" s="34" t="s">
        <v>61</v>
      </c>
      <c r="P13" s="35">
        <v>0.9</v>
      </c>
      <c r="Q13" s="286">
        <v>0.1</v>
      </c>
      <c r="R13" s="35"/>
      <c r="S13" s="37">
        <f t="shared" si="0"/>
        <v>0</v>
      </c>
      <c r="T13" s="30">
        <f t="shared" si="1"/>
        <v>0</v>
      </c>
      <c r="U13" s="30" t="s">
        <v>34</v>
      </c>
      <c r="V13" s="37"/>
      <c r="W13" s="15"/>
      <c r="X13"/>
      <c r="Y13"/>
    </row>
    <row r="14" spans="1:25" s="274" customFormat="1" ht="16.05" customHeight="1" x14ac:dyDescent="0.3">
      <c r="A14" s="1">
        <v>13</v>
      </c>
      <c r="B14" s="15" t="s">
        <v>924</v>
      </c>
      <c r="C14" s="16" t="s">
        <v>24</v>
      </c>
      <c r="D14" s="281">
        <v>6592</v>
      </c>
      <c r="E14" s="15" t="s">
        <v>925</v>
      </c>
      <c r="F14" s="15" t="s">
        <v>26</v>
      </c>
      <c r="G14" s="15">
        <v>1000</v>
      </c>
      <c r="H14" s="15" t="s">
        <v>27</v>
      </c>
      <c r="I14" s="15" t="s">
        <v>28</v>
      </c>
      <c r="J14" s="16" t="s">
        <v>58</v>
      </c>
      <c r="K14" s="184" t="s">
        <v>57</v>
      </c>
      <c r="L14" s="286">
        <v>0.15</v>
      </c>
      <c r="M14" s="184" t="s">
        <v>62</v>
      </c>
      <c r="N14" s="287" t="s">
        <v>63</v>
      </c>
      <c r="O14" s="40" t="s">
        <v>64</v>
      </c>
      <c r="P14" s="35">
        <v>0.9</v>
      </c>
      <c r="Q14" s="286">
        <v>0.06</v>
      </c>
      <c r="R14" s="35"/>
      <c r="S14" s="37">
        <f t="shared" si="0"/>
        <v>0</v>
      </c>
      <c r="T14" s="30">
        <f t="shared" si="1"/>
        <v>0</v>
      </c>
      <c r="U14" s="30" t="s">
        <v>34</v>
      </c>
      <c r="V14" s="37"/>
      <c r="W14" s="15"/>
      <c r="X14"/>
      <c r="Y14"/>
    </row>
    <row r="15" spans="1:25" s="274" customFormat="1" ht="16.05" customHeight="1" x14ac:dyDescent="0.3">
      <c r="A15" s="1">
        <v>14</v>
      </c>
      <c r="B15" s="15" t="s">
        <v>924</v>
      </c>
      <c r="C15" s="16" t="s">
        <v>24</v>
      </c>
      <c r="D15" s="281">
        <v>6592</v>
      </c>
      <c r="E15" s="15" t="s">
        <v>925</v>
      </c>
      <c r="F15" s="15" t="s">
        <v>26</v>
      </c>
      <c r="G15" s="15">
        <v>1000</v>
      </c>
      <c r="H15" s="15" t="s">
        <v>27</v>
      </c>
      <c r="I15" s="15" t="s">
        <v>28</v>
      </c>
      <c r="J15" s="16" t="s">
        <v>58</v>
      </c>
      <c r="K15" s="184" t="s">
        <v>57</v>
      </c>
      <c r="L15" s="286">
        <v>0.15</v>
      </c>
      <c r="M15" s="184" t="s">
        <v>65</v>
      </c>
      <c r="N15" s="64" t="s">
        <v>66</v>
      </c>
      <c r="O15" s="40" t="s">
        <v>67</v>
      </c>
      <c r="P15" s="35">
        <v>0.8</v>
      </c>
      <c r="Q15" s="286">
        <v>0.06</v>
      </c>
      <c r="R15" s="35"/>
      <c r="S15" s="37">
        <f t="shared" si="0"/>
        <v>0</v>
      </c>
      <c r="T15" s="30">
        <f t="shared" si="1"/>
        <v>0</v>
      </c>
      <c r="U15" s="30" t="s">
        <v>34</v>
      </c>
      <c r="V15" s="37"/>
      <c r="W15" s="15"/>
      <c r="X15"/>
      <c r="Y15"/>
    </row>
    <row r="16" spans="1:25" s="274" customFormat="1" ht="16.05" customHeight="1" x14ac:dyDescent="0.3">
      <c r="A16" s="1">
        <v>15</v>
      </c>
      <c r="B16" s="15" t="s">
        <v>924</v>
      </c>
      <c r="C16" s="16" t="s">
        <v>24</v>
      </c>
      <c r="D16" s="281">
        <v>6592</v>
      </c>
      <c r="E16" s="15" t="s">
        <v>925</v>
      </c>
      <c r="F16" s="15" t="s">
        <v>26</v>
      </c>
      <c r="G16" s="15">
        <v>1000</v>
      </c>
      <c r="H16" s="15" t="s">
        <v>27</v>
      </c>
      <c r="I16" s="15" t="s">
        <v>28</v>
      </c>
      <c r="J16" s="16" t="s">
        <v>58</v>
      </c>
      <c r="K16" s="184" t="s">
        <v>57</v>
      </c>
      <c r="L16" s="286">
        <v>0.15</v>
      </c>
      <c r="M16" s="64" t="s">
        <v>68</v>
      </c>
      <c r="N16" s="64" t="s">
        <v>69</v>
      </c>
      <c r="O16" s="40" t="s">
        <v>70</v>
      </c>
      <c r="P16" s="35">
        <v>0.95</v>
      </c>
      <c r="Q16" s="286">
        <v>0.1</v>
      </c>
      <c r="R16" s="35"/>
      <c r="S16" s="37">
        <f t="shared" si="0"/>
        <v>0</v>
      </c>
      <c r="T16" s="30">
        <f t="shared" si="1"/>
        <v>0</v>
      </c>
      <c r="U16" s="30" t="s">
        <v>34</v>
      </c>
      <c r="V16" s="37"/>
      <c r="W16" s="15"/>
    </row>
    <row r="17" spans="1:23" s="274" customFormat="1" ht="16.05" customHeight="1" x14ac:dyDescent="0.3">
      <c r="A17" s="1">
        <v>16</v>
      </c>
      <c r="B17" s="15" t="s">
        <v>924</v>
      </c>
      <c r="C17" s="16" t="s">
        <v>24</v>
      </c>
      <c r="D17" s="281">
        <v>6592</v>
      </c>
      <c r="E17" s="15" t="s">
        <v>925</v>
      </c>
      <c r="F17" s="15" t="s">
        <v>26</v>
      </c>
      <c r="G17" s="15">
        <v>1000</v>
      </c>
      <c r="H17" s="15" t="s">
        <v>27</v>
      </c>
      <c r="I17" s="15" t="s">
        <v>28</v>
      </c>
      <c r="J17" s="16" t="s">
        <v>58</v>
      </c>
      <c r="K17" s="184" t="s">
        <v>57</v>
      </c>
      <c r="L17" s="286">
        <v>0.15</v>
      </c>
      <c r="M17" s="64" t="s">
        <v>71</v>
      </c>
      <c r="N17" s="287" t="s">
        <v>72</v>
      </c>
      <c r="O17" s="41" t="s">
        <v>73</v>
      </c>
      <c r="P17" s="35">
        <v>0.95</v>
      </c>
      <c r="Q17" s="286">
        <v>0.1</v>
      </c>
      <c r="R17" s="35"/>
      <c r="S17" s="37">
        <f t="shared" si="0"/>
        <v>0</v>
      </c>
      <c r="T17" s="30">
        <f t="shared" si="1"/>
        <v>0</v>
      </c>
      <c r="U17" s="30" t="s">
        <v>83</v>
      </c>
      <c r="V17" s="37"/>
      <c r="W17" s="15"/>
    </row>
    <row r="18" spans="1:23" s="274" customFormat="1" ht="16.05" customHeight="1" x14ac:dyDescent="0.3">
      <c r="A18" s="1">
        <v>17</v>
      </c>
      <c r="B18" s="15" t="s">
        <v>924</v>
      </c>
      <c r="C18" s="16" t="s">
        <v>24</v>
      </c>
      <c r="D18" s="281">
        <v>6592</v>
      </c>
      <c r="E18" s="15" t="s">
        <v>925</v>
      </c>
      <c r="F18" s="15" t="s">
        <v>26</v>
      </c>
      <c r="G18" s="15">
        <v>1000</v>
      </c>
      <c r="H18" s="15" t="s">
        <v>27</v>
      </c>
      <c r="I18" s="15" t="s">
        <v>28</v>
      </c>
      <c r="J18" s="16" t="s">
        <v>58</v>
      </c>
      <c r="K18" s="184" t="s">
        <v>57</v>
      </c>
      <c r="L18" s="286">
        <v>0.15</v>
      </c>
      <c r="M18" s="184" t="s">
        <v>74</v>
      </c>
      <c r="N18" s="64" t="s">
        <v>75</v>
      </c>
      <c r="O18" s="40" t="s">
        <v>76</v>
      </c>
      <c r="P18" s="42">
        <v>90</v>
      </c>
      <c r="Q18" s="286">
        <v>0.05</v>
      </c>
      <c r="R18" s="42"/>
      <c r="S18" s="37">
        <f t="shared" si="0"/>
        <v>0</v>
      </c>
      <c r="T18" s="30">
        <f t="shared" si="1"/>
        <v>0</v>
      </c>
      <c r="U18" s="30" t="s">
        <v>34</v>
      </c>
      <c r="V18" s="37"/>
      <c r="W18" s="15"/>
    </row>
    <row r="19" spans="1:23" s="274" customFormat="1" ht="16.05" customHeight="1" x14ac:dyDescent="0.3">
      <c r="A19" s="1">
        <v>18</v>
      </c>
      <c r="B19" s="15" t="s">
        <v>924</v>
      </c>
      <c r="C19" s="16" t="s">
        <v>24</v>
      </c>
      <c r="D19" s="281">
        <v>6592</v>
      </c>
      <c r="E19" s="15" t="s">
        <v>925</v>
      </c>
      <c r="F19" s="15" t="s">
        <v>26</v>
      </c>
      <c r="G19" s="15">
        <v>1000</v>
      </c>
      <c r="H19" s="15" t="s">
        <v>27</v>
      </c>
      <c r="I19" s="15" t="s">
        <v>28</v>
      </c>
      <c r="J19" s="16" t="s">
        <v>58</v>
      </c>
      <c r="K19" s="184" t="s">
        <v>57</v>
      </c>
      <c r="L19" s="286">
        <v>0.15</v>
      </c>
      <c r="M19" s="64" t="s">
        <v>77</v>
      </c>
      <c r="N19" s="287" t="s">
        <v>78</v>
      </c>
      <c r="O19" s="40" t="s">
        <v>79</v>
      </c>
      <c r="P19" s="35">
        <v>0.99</v>
      </c>
      <c r="Q19" s="286">
        <v>0.05</v>
      </c>
      <c r="R19" s="35"/>
      <c r="S19" s="37">
        <f t="shared" si="0"/>
        <v>0</v>
      </c>
      <c r="T19" s="30">
        <f t="shared" si="1"/>
        <v>0</v>
      </c>
      <c r="U19" s="30" t="s">
        <v>34</v>
      </c>
      <c r="V19" s="37"/>
      <c r="W19" s="15"/>
    </row>
    <row r="20" spans="1:23" s="274" customFormat="1" ht="16.05" customHeight="1" x14ac:dyDescent="0.3">
      <c r="A20" s="1">
        <v>19</v>
      </c>
      <c r="B20" s="15" t="s">
        <v>924</v>
      </c>
      <c r="C20" s="16" t="s">
        <v>24</v>
      </c>
      <c r="D20" s="281">
        <v>6592</v>
      </c>
      <c r="E20" s="15" t="s">
        <v>925</v>
      </c>
      <c r="F20" s="15" t="s">
        <v>26</v>
      </c>
      <c r="G20" s="15">
        <v>1000</v>
      </c>
      <c r="H20" s="15" t="s">
        <v>27</v>
      </c>
      <c r="I20" s="15" t="s">
        <v>28</v>
      </c>
      <c r="J20" s="16" t="s">
        <v>58</v>
      </c>
      <c r="K20" s="184" t="s">
        <v>57</v>
      </c>
      <c r="L20" s="286">
        <v>0.15</v>
      </c>
      <c r="M20" s="288" t="s">
        <v>80</v>
      </c>
      <c r="N20" s="288" t="s">
        <v>81</v>
      </c>
      <c r="O20" s="289" t="s">
        <v>82</v>
      </c>
      <c r="P20" s="43">
        <v>0.01</v>
      </c>
      <c r="Q20" s="286">
        <v>0.05</v>
      </c>
      <c r="R20" s="43"/>
      <c r="S20" s="37">
        <f t="shared" si="0"/>
        <v>0</v>
      </c>
      <c r="T20" s="30">
        <f t="shared" si="1"/>
        <v>0</v>
      </c>
      <c r="U20" s="30" t="s">
        <v>83</v>
      </c>
      <c r="V20" s="37"/>
      <c r="W20" s="15"/>
    </row>
    <row r="21" spans="1:23" s="274" customFormat="1" ht="16.05" customHeight="1" x14ac:dyDescent="0.3">
      <c r="A21" s="1">
        <v>20</v>
      </c>
      <c r="B21" s="15" t="s">
        <v>924</v>
      </c>
      <c r="C21" s="16" t="s">
        <v>24</v>
      </c>
      <c r="D21" s="281">
        <v>6592</v>
      </c>
      <c r="E21" s="15" t="s">
        <v>925</v>
      </c>
      <c r="F21" s="15" t="s">
        <v>26</v>
      </c>
      <c r="G21" s="15">
        <v>1000</v>
      </c>
      <c r="H21" s="15" t="s">
        <v>27</v>
      </c>
      <c r="I21" s="15" t="s">
        <v>28</v>
      </c>
      <c r="J21" s="16" t="s">
        <v>58</v>
      </c>
      <c r="K21" s="184" t="s">
        <v>57</v>
      </c>
      <c r="L21" s="286">
        <v>0.15</v>
      </c>
      <c r="M21" s="64" t="s">
        <v>84</v>
      </c>
      <c r="N21" s="64" t="s">
        <v>85</v>
      </c>
      <c r="O21" s="40" t="s">
        <v>86</v>
      </c>
      <c r="P21" s="35">
        <v>0.03</v>
      </c>
      <c r="Q21" s="286">
        <v>0.03</v>
      </c>
      <c r="R21" s="35"/>
      <c r="S21" s="37">
        <f t="shared" si="0"/>
        <v>0</v>
      </c>
      <c r="T21" s="30">
        <f t="shared" si="1"/>
        <v>0</v>
      </c>
      <c r="U21" s="30" t="s">
        <v>83</v>
      </c>
      <c r="V21" s="37"/>
      <c r="W21" s="15"/>
    </row>
    <row r="22" spans="1:23" s="274" customFormat="1" ht="16.05" customHeight="1" x14ac:dyDescent="0.3">
      <c r="A22" s="1">
        <v>21</v>
      </c>
      <c r="B22" s="15" t="s">
        <v>924</v>
      </c>
      <c r="C22" s="16" t="s">
        <v>24</v>
      </c>
      <c r="D22" s="281">
        <v>6592</v>
      </c>
      <c r="E22" s="15" t="s">
        <v>925</v>
      </c>
      <c r="F22" s="15" t="s">
        <v>26</v>
      </c>
      <c r="G22" s="15">
        <v>1000</v>
      </c>
      <c r="H22" s="15" t="s">
        <v>27</v>
      </c>
      <c r="I22" s="15" t="s">
        <v>28</v>
      </c>
      <c r="J22" s="16" t="s">
        <v>58</v>
      </c>
      <c r="K22" s="184" t="s">
        <v>57</v>
      </c>
      <c r="L22" s="286">
        <v>0.15</v>
      </c>
      <c r="M22" s="64" t="s">
        <v>87</v>
      </c>
      <c r="N22" s="64" t="s">
        <v>88</v>
      </c>
      <c r="O22" s="40" t="s">
        <v>89</v>
      </c>
      <c r="P22" s="35">
        <v>0.95</v>
      </c>
      <c r="Q22" s="286">
        <v>0.05</v>
      </c>
      <c r="R22" s="35"/>
      <c r="S22" s="37">
        <f t="shared" si="0"/>
        <v>0</v>
      </c>
      <c r="T22" s="30">
        <f t="shared" si="1"/>
        <v>0</v>
      </c>
      <c r="U22" s="30" t="s">
        <v>34</v>
      </c>
      <c r="V22" s="37"/>
      <c r="W22" s="15"/>
    </row>
    <row r="23" spans="1:23" s="274" customFormat="1" ht="16.05" customHeight="1" x14ac:dyDescent="0.3">
      <c r="A23" s="1">
        <v>22</v>
      </c>
      <c r="B23" s="15" t="s">
        <v>924</v>
      </c>
      <c r="C23" s="16" t="s">
        <v>24</v>
      </c>
      <c r="D23" s="281">
        <v>6592</v>
      </c>
      <c r="E23" s="15" t="s">
        <v>925</v>
      </c>
      <c r="F23" s="15" t="s">
        <v>26</v>
      </c>
      <c r="G23" s="15">
        <v>1000</v>
      </c>
      <c r="H23" s="15" t="s">
        <v>27</v>
      </c>
      <c r="I23" s="15" t="s">
        <v>28</v>
      </c>
      <c r="J23" s="16" t="s">
        <v>58</v>
      </c>
      <c r="K23" s="184" t="s">
        <v>57</v>
      </c>
      <c r="L23" s="286">
        <v>0.15</v>
      </c>
      <c r="M23" s="184" t="s">
        <v>90</v>
      </c>
      <c r="N23" s="64" t="s">
        <v>91</v>
      </c>
      <c r="O23" s="40" t="s">
        <v>92</v>
      </c>
      <c r="P23" s="42">
        <v>2</v>
      </c>
      <c r="Q23" s="286">
        <v>0.05</v>
      </c>
      <c r="R23" s="42"/>
      <c r="S23" s="37">
        <f t="shared" si="0"/>
        <v>0</v>
      </c>
      <c r="T23" s="30">
        <f t="shared" si="1"/>
        <v>0</v>
      </c>
      <c r="U23" s="30" t="s">
        <v>34</v>
      </c>
      <c r="V23" s="37"/>
      <c r="W23" s="15"/>
    </row>
    <row r="24" spans="1:23" s="274" customFormat="1" ht="16.05" customHeight="1" x14ac:dyDescent="0.3">
      <c r="A24" s="1">
        <v>23</v>
      </c>
      <c r="B24" s="15" t="s">
        <v>924</v>
      </c>
      <c r="C24" s="16" t="s">
        <v>24</v>
      </c>
      <c r="D24" s="281">
        <v>6592</v>
      </c>
      <c r="E24" s="15" t="s">
        <v>925</v>
      </c>
      <c r="F24" s="15" t="s">
        <v>26</v>
      </c>
      <c r="G24" s="15">
        <v>1000</v>
      </c>
      <c r="H24" s="15" t="s">
        <v>27</v>
      </c>
      <c r="I24" s="15" t="s">
        <v>28</v>
      </c>
      <c r="J24" s="16" t="s">
        <v>58</v>
      </c>
      <c r="K24" s="184" t="s">
        <v>57</v>
      </c>
      <c r="L24" s="286">
        <v>0.15</v>
      </c>
      <c r="M24" s="184" t="s">
        <v>93</v>
      </c>
      <c r="N24" s="64" t="s">
        <v>94</v>
      </c>
      <c r="O24" s="40" t="s">
        <v>95</v>
      </c>
      <c r="P24" s="35">
        <v>0.75</v>
      </c>
      <c r="Q24" s="286">
        <v>0.05</v>
      </c>
      <c r="R24" s="35"/>
      <c r="S24" s="37">
        <f t="shared" si="0"/>
        <v>0</v>
      </c>
      <c r="T24" s="30">
        <f t="shared" si="1"/>
        <v>0</v>
      </c>
      <c r="U24" s="30" t="s">
        <v>34</v>
      </c>
      <c r="V24" s="37"/>
      <c r="W24" s="15"/>
    </row>
    <row r="25" spans="1:23" s="274" customFormat="1" ht="16.05" customHeight="1" x14ac:dyDescent="0.3">
      <c r="A25" s="1">
        <v>24</v>
      </c>
      <c r="B25" s="15" t="s">
        <v>924</v>
      </c>
      <c r="C25" s="16" t="s">
        <v>24</v>
      </c>
      <c r="D25" s="281">
        <v>6592</v>
      </c>
      <c r="E25" s="15" t="s">
        <v>925</v>
      </c>
      <c r="F25" s="15" t="s">
        <v>26</v>
      </c>
      <c r="G25" s="15">
        <v>1000</v>
      </c>
      <c r="H25" s="15" t="s">
        <v>27</v>
      </c>
      <c r="I25" s="15" t="s">
        <v>28</v>
      </c>
      <c r="J25" s="16" t="s">
        <v>58</v>
      </c>
      <c r="K25" s="184" t="s">
        <v>57</v>
      </c>
      <c r="L25" s="286">
        <v>0.15</v>
      </c>
      <c r="M25" s="64" t="s">
        <v>96</v>
      </c>
      <c r="N25" s="64" t="s">
        <v>97</v>
      </c>
      <c r="O25" s="40" t="s">
        <v>98</v>
      </c>
      <c r="P25" s="42">
        <v>1</v>
      </c>
      <c r="Q25" s="286">
        <v>0.05</v>
      </c>
      <c r="R25" s="42"/>
      <c r="S25" s="37">
        <f t="shared" si="0"/>
        <v>0</v>
      </c>
      <c r="T25" s="30">
        <f t="shared" si="1"/>
        <v>0</v>
      </c>
      <c r="U25" s="30" t="s">
        <v>83</v>
      </c>
      <c r="V25" s="37"/>
      <c r="W25" s="15"/>
    </row>
    <row r="26" spans="1:23" s="274" customFormat="1" ht="16.05" customHeight="1" x14ac:dyDescent="0.3">
      <c r="A26" s="1">
        <v>25</v>
      </c>
      <c r="B26" s="15" t="s">
        <v>924</v>
      </c>
      <c r="C26" s="16" t="s">
        <v>24</v>
      </c>
      <c r="D26" s="281">
        <v>6592</v>
      </c>
      <c r="E26" s="15" t="s">
        <v>925</v>
      </c>
      <c r="F26" s="15" t="s">
        <v>26</v>
      </c>
      <c r="G26" s="15">
        <v>1000</v>
      </c>
      <c r="H26" s="15" t="s">
        <v>27</v>
      </c>
      <c r="I26" s="15" t="s">
        <v>28</v>
      </c>
      <c r="J26" s="16" t="s">
        <v>58</v>
      </c>
      <c r="K26" s="184" t="s">
        <v>57</v>
      </c>
      <c r="L26" s="286">
        <v>0.15</v>
      </c>
      <c r="M26" s="184" t="s">
        <v>99</v>
      </c>
      <c r="N26" s="64" t="s">
        <v>100</v>
      </c>
      <c r="O26" s="40" t="s">
        <v>101</v>
      </c>
      <c r="P26" s="35">
        <v>0.95</v>
      </c>
      <c r="Q26" s="286">
        <v>0.05</v>
      </c>
      <c r="R26" s="35"/>
      <c r="S26" s="37">
        <f t="shared" si="0"/>
        <v>0</v>
      </c>
      <c r="T26" s="30">
        <f t="shared" si="1"/>
        <v>0</v>
      </c>
      <c r="U26" s="30" t="s">
        <v>34</v>
      </c>
      <c r="V26" s="37"/>
      <c r="W26" s="15"/>
    </row>
    <row r="27" spans="1:23" s="274" customFormat="1" ht="16.05" customHeight="1" x14ac:dyDescent="0.3">
      <c r="A27" s="1">
        <v>26</v>
      </c>
      <c r="B27" s="15" t="s">
        <v>924</v>
      </c>
      <c r="C27" s="16" t="s">
        <v>24</v>
      </c>
      <c r="D27" s="281">
        <v>6592</v>
      </c>
      <c r="E27" s="15" t="s">
        <v>925</v>
      </c>
      <c r="F27" s="15" t="s">
        <v>26</v>
      </c>
      <c r="G27" s="15">
        <v>1000</v>
      </c>
      <c r="H27" s="15" t="s">
        <v>27</v>
      </c>
      <c r="I27" s="15" t="s">
        <v>28</v>
      </c>
      <c r="J27" s="16" t="s">
        <v>58</v>
      </c>
      <c r="K27" s="184" t="s">
        <v>57</v>
      </c>
      <c r="L27" s="286">
        <v>0.15</v>
      </c>
      <c r="M27" s="184" t="s">
        <v>102</v>
      </c>
      <c r="N27" s="64" t="s">
        <v>103</v>
      </c>
      <c r="O27" s="40" t="s">
        <v>104</v>
      </c>
      <c r="P27" s="42">
        <v>1</v>
      </c>
      <c r="Q27" s="286">
        <v>0.05</v>
      </c>
      <c r="R27" s="42"/>
      <c r="S27" s="37">
        <f t="shared" si="0"/>
        <v>0</v>
      </c>
      <c r="T27" s="30">
        <f t="shared" si="1"/>
        <v>0</v>
      </c>
      <c r="U27" s="30" t="s">
        <v>34</v>
      </c>
      <c r="V27" s="37"/>
      <c r="W27" s="15"/>
    </row>
    <row r="28" spans="1:23" s="274" customFormat="1" ht="16.05" customHeight="1" x14ac:dyDescent="0.3">
      <c r="A28" s="1">
        <v>27</v>
      </c>
      <c r="B28" s="15" t="s">
        <v>924</v>
      </c>
      <c r="C28" s="16" t="s">
        <v>24</v>
      </c>
      <c r="D28" s="281">
        <v>6592</v>
      </c>
      <c r="E28" s="15" t="s">
        <v>925</v>
      </c>
      <c r="F28" s="15" t="s">
        <v>26</v>
      </c>
      <c r="G28" s="15">
        <v>1000</v>
      </c>
      <c r="H28" s="15" t="s">
        <v>27</v>
      </c>
      <c r="I28" s="15" t="s">
        <v>28</v>
      </c>
      <c r="J28" s="16" t="s">
        <v>58</v>
      </c>
      <c r="K28" s="184" t="s">
        <v>57</v>
      </c>
      <c r="L28" s="286">
        <v>0.15</v>
      </c>
      <c r="M28" s="184" t="s">
        <v>105</v>
      </c>
      <c r="N28" s="64" t="s">
        <v>106</v>
      </c>
      <c r="O28" s="40" t="s">
        <v>107</v>
      </c>
      <c r="P28" s="42">
        <v>1</v>
      </c>
      <c r="Q28" s="286">
        <v>0.05</v>
      </c>
      <c r="R28" s="42"/>
      <c r="S28" s="37">
        <f t="shared" si="0"/>
        <v>0</v>
      </c>
      <c r="T28" s="30">
        <f t="shared" si="1"/>
        <v>0</v>
      </c>
      <c r="U28" s="30" t="s">
        <v>34</v>
      </c>
      <c r="V28" s="37"/>
      <c r="W28" s="15"/>
    </row>
    <row r="29" spans="1:23" s="274" customFormat="1" ht="16.05" customHeight="1" x14ac:dyDescent="0.3">
      <c r="A29" s="1">
        <v>28</v>
      </c>
      <c r="B29" s="15" t="s">
        <v>924</v>
      </c>
      <c r="C29" s="16" t="s">
        <v>24</v>
      </c>
      <c r="D29" s="281">
        <v>6592</v>
      </c>
      <c r="E29" s="15" t="s">
        <v>925</v>
      </c>
      <c r="F29" s="15" t="s">
        <v>26</v>
      </c>
      <c r="G29" s="15">
        <v>1000</v>
      </c>
      <c r="H29" s="15" t="s">
        <v>27</v>
      </c>
      <c r="I29" s="15" t="s">
        <v>28</v>
      </c>
      <c r="J29" s="16" t="s">
        <v>58</v>
      </c>
      <c r="K29" s="184" t="s">
        <v>57</v>
      </c>
      <c r="L29" s="286">
        <v>0.15</v>
      </c>
      <c r="M29" s="290" t="s">
        <v>108</v>
      </c>
      <c r="N29" s="291" t="s">
        <v>109</v>
      </c>
      <c r="O29" s="40"/>
      <c r="P29" s="35">
        <v>0.71</v>
      </c>
      <c r="Q29" s="286">
        <v>0.05</v>
      </c>
      <c r="R29" s="35"/>
      <c r="S29" s="37">
        <f t="shared" si="0"/>
        <v>0</v>
      </c>
      <c r="T29" s="30">
        <f t="shared" si="1"/>
        <v>0</v>
      </c>
      <c r="U29" s="30" t="s">
        <v>34</v>
      </c>
      <c r="V29" s="37"/>
      <c r="W29" s="15"/>
    </row>
    <row r="30" spans="1:23" s="274" customFormat="1" ht="16.05" customHeight="1" x14ac:dyDescent="0.3">
      <c r="A30" s="1">
        <v>29</v>
      </c>
      <c r="B30" s="15" t="s">
        <v>924</v>
      </c>
      <c r="C30" s="16" t="s">
        <v>24</v>
      </c>
      <c r="D30" s="281">
        <v>6592</v>
      </c>
      <c r="E30" s="15" t="s">
        <v>925</v>
      </c>
      <c r="F30" s="15" t="s">
        <v>26</v>
      </c>
      <c r="G30" s="15">
        <v>1000</v>
      </c>
      <c r="H30" s="15" t="s">
        <v>27</v>
      </c>
      <c r="I30" s="15" t="s">
        <v>28</v>
      </c>
      <c r="J30" s="16" t="s">
        <v>111</v>
      </c>
      <c r="K30" s="16" t="s">
        <v>110</v>
      </c>
      <c r="L30" s="283">
        <v>0.25</v>
      </c>
      <c r="M30" s="16" t="s">
        <v>112</v>
      </c>
      <c r="N30" s="16" t="s">
        <v>113</v>
      </c>
      <c r="O30" s="23"/>
      <c r="P30" s="28">
        <v>1</v>
      </c>
      <c r="Q30" s="283">
        <v>0.1</v>
      </c>
      <c r="R30" s="28"/>
      <c r="S30" s="26">
        <f t="shared" si="0"/>
        <v>0</v>
      </c>
      <c r="T30" s="1">
        <f t="shared" si="1"/>
        <v>0</v>
      </c>
      <c r="U30" s="1" t="s">
        <v>34</v>
      </c>
      <c r="V30" s="26"/>
      <c r="W30" s="15"/>
    </row>
    <row r="31" spans="1:23" s="274" customFormat="1" ht="16.05" customHeight="1" x14ac:dyDescent="0.3">
      <c r="A31" s="1">
        <v>30</v>
      </c>
      <c r="B31" s="15" t="s">
        <v>924</v>
      </c>
      <c r="C31" s="16" t="s">
        <v>24</v>
      </c>
      <c r="D31" s="281">
        <v>6592</v>
      </c>
      <c r="E31" s="15" t="s">
        <v>925</v>
      </c>
      <c r="F31" s="15" t="s">
        <v>26</v>
      </c>
      <c r="G31" s="15">
        <v>1000</v>
      </c>
      <c r="H31" s="15" t="s">
        <v>27</v>
      </c>
      <c r="I31" s="15" t="s">
        <v>28</v>
      </c>
      <c r="J31" s="16" t="s">
        <v>111</v>
      </c>
      <c r="K31" s="16" t="s">
        <v>110</v>
      </c>
      <c r="L31" s="283">
        <v>0.25</v>
      </c>
      <c r="M31" s="16" t="s">
        <v>114</v>
      </c>
      <c r="N31" s="16" t="s">
        <v>115</v>
      </c>
      <c r="O31" s="23"/>
      <c r="P31" s="28">
        <v>1</v>
      </c>
      <c r="Q31" s="283">
        <v>0.1</v>
      </c>
      <c r="R31" s="28"/>
      <c r="S31" s="26">
        <f t="shared" si="0"/>
        <v>0</v>
      </c>
      <c r="T31" s="1">
        <f t="shared" si="1"/>
        <v>0</v>
      </c>
      <c r="U31" s="1" t="s">
        <v>34</v>
      </c>
      <c r="V31" s="26"/>
      <c r="W31" s="15"/>
    </row>
    <row r="32" spans="1:23" s="274" customFormat="1" ht="16.05" customHeight="1" x14ac:dyDescent="0.3">
      <c r="A32" s="1">
        <v>31</v>
      </c>
      <c r="B32" s="15" t="s">
        <v>924</v>
      </c>
      <c r="C32" s="16" t="s">
        <v>24</v>
      </c>
      <c r="D32" s="281">
        <v>6592</v>
      </c>
      <c r="E32" s="15" t="s">
        <v>925</v>
      </c>
      <c r="F32" s="15" t="s">
        <v>26</v>
      </c>
      <c r="G32" s="15">
        <v>1000</v>
      </c>
      <c r="H32" s="15" t="s">
        <v>27</v>
      </c>
      <c r="I32" s="15" t="s">
        <v>28</v>
      </c>
      <c r="J32" s="16" t="s">
        <v>111</v>
      </c>
      <c r="K32" s="16" t="s">
        <v>110</v>
      </c>
      <c r="L32" s="283">
        <v>0.25</v>
      </c>
      <c r="M32" s="16" t="s">
        <v>116</v>
      </c>
      <c r="N32" s="16" t="s">
        <v>935</v>
      </c>
      <c r="O32" s="23"/>
      <c r="P32" s="28">
        <v>1</v>
      </c>
      <c r="Q32" s="283">
        <v>0.2</v>
      </c>
      <c r="R32" s="28"/>
      <c r="S32" s="26">
        <f t="shared" si="0"/>
        <v>0</v>
      </c>
      <c r="T32" s="1">
        <f t="shared" si="1"/>
        <v>0</v>
      </c>
      <c r="U32" s="1" t="s">
        <v>34</v>
      </c>
      <c r="V32" s="26"/>
      <c r="W32" s="15"/>
    </row>
    <row r="33" spans="1:23" s="274" customFormat="1" ht="16.05" customHeight="1" x14ac:dyDescent="0.3">
      <c r="A33" s="1">
        <v>32</v>
      </c>
      <c r="B33" s="15" t="s">
        <v>924</v>
      </c>
      <c r="C33" s="16" t="s">
        <v>24</v>
      </c>
      <c r="D33" s="281">
        <v>6592</v>
      </c>
      <c r="E33" s="15" t="s">
        <v>925</v>
      </c>
      <c r="F33" s="15" t="s">
        <v>26</v>
      </c>
      <c r="G33" s="15">
        <v>1000</v>
      </c>
      <c r="H33" s="15" t="s">
        <v>27</v>
      </c>
      <c r="I33" s="15" t="s">
        <v>28</v>
      </c>
      <c r="J33" s="16" t="s">
        <v>111</v>
      </c>
      <c r="K33" s="16" t="s">
        <v>110</v>
      </c>
      <c r="L33" s="283">
        <v>0.25</v>
      </c>
      <c r="M33" s="16" t="s">
        <v>118</v>
      </c>
      <c r="N33" s="16" t="s">
        <v>936</v>
      </c>
      <c r="O33" s="23"/>
      <c r="P33" s="28">
        <v>1</v>
      </c>
      <c r="Q33" s="283">
        <v>0.2</v>
      </c>
      <c r="R33" s="28"/>
      <c r="S33" s="26">
        <f t="shared" si="0"/>
        <v>0</v>
      </c>
      <c r="T33" s="1">
        <f t="shared" si="1"/>
        <v>0</v>
      </c>
      <c r="U33" s="1" t="s">
        <v>34</v>
      </c>
      <c r="V33" s="26"/>
      <c r="W33" s="15"/>
    </row>
    <row r="34" spans="1:23" s="274" customFormat="1" ht="16.05" customHeight="1" x14ac:dyDescent="0.3">
      <c r="A34" s="1">
        <v>33</v>
      </c>
      <c r="B34" s="15" t="s">
        <v>924</v>
      </c>
      <c r="C34" s="16" t="s">
        <v>24</v>
      </c>
      <c r="D34" s="281">
        <v>6592</v>
      </c>
      <c r="E34" s="15" t="s">
        <v>925</v>
      </c>
      <c r="F34" s="15" t="s">
        <v>26</v>
      </c>
      <c r="G34" s="15">
        <v>1000</v>
      </c>
      <c r="H34" s="15" t="s">
        <v>27</v>
      </c>
      <c r="I34" s="15" t="s">
        <v>28</v>
      </c>
      <c r="J34" s="16" t="s">
        <v>111</v>
      </c>
      <c r="K34" s="16" t="s">
        <v>110</v>
      </c>
      <c r="L34" s="283">
        <v>0.25</v>
      </c>
      <c r="M34" s="16" t="s">
        <v>124</v>
      </c>
      <c r="N34" s="16" t="s">
        <v>125</v>
      </c>
      <c r="O34" s="23"/>
      <c r="P34" s="28">
        <v>1</v>
      </c>
      <c r="Q34" s="283">
        <v>0.1</v>
      </c>
      <c r="R34" s="28"/>
      <c r="S34" s="26">
        <f t="shared" si="0"/>
        <v>0</v>
      </c>
      <c r="T34" s="1">
        <f t="shared" si="1"/>
        <v>0</v>
      </c>
      <c r="U34" s="1" t="s">
        <v>34</v>
      </c>
      <c r="V34" s="26"/>
      <c r="W34" s="15"/>
    </row>
    <row r="35" spans="1:23" s="274" customFormat="1" ht="16.05" customHeight="1" x14ac:dyDescent="0.3">
      <c r="A35" s="1">
        <v>34</v>
      </c>
      <c r="B35" s="15" t="s">
        <v>924</v>
      </c>
      <c r="C35" s="16" t="s">
        <v>24</v>
      </c>
      <c r="D35" s="281">
        <v>6592</v>
      </c>
      <c r="E35" s="15" t="s">
        <v>925</v>
      </c>
      <c r="F35" s="15" t="s">
        <v>26</v>
      </c>
      <c r="G35" s="15">
        <v>1000</v>
      </c>
      <c r="H35" s="15" t="s">
        <v>27</v>
      </c>
      <c r="I35" s="15" t="s">
        <v>28</v>
      </c>
      <c r="J35" s="16" t="s">
        <v>111</v>
      </c>
      <c r="K35" s="16" t="s">
        <v>110</v>
      </c>
      <c r="L35" s="283">
        <v>0.25</v>
      </c>
      <c r="M35" s="16" t="s">
        <v>128</v>
      </c>
      <c r="N35" s="16" t="s">
        <v>129</v>
      </c>
      <c r="O35" s="23" t="s">
        <v>130</v>
      </c>
      <c r="P35" s="46">
        <v>3</v>
      </c>
      <c r="Q35" s="283">
        <v>0.1</v>
      </c>
      <c r="R35" s="46"/>
      <c r="S35" s="26">
        <f t="shared" si="0"/>
        <v>0</v>
      </c>
      <c r="T35" s="1">
        <f t="shared" si="1"/>
        <v>0</v>
      </c>
      <c r="U35" s="1" t="s">
        <v>34</v>
      </c>
      <c r="V35" s="26"/>
      <c r="W35" s="15"/>
    </row>
    <row r="36" spans="1:23" s="274" customFormat="1" ht="16.05" customHeight="1" x14ac:dyDescent="0.3">
      <c r="A36" s="1">
        <v>35</v>
      </c>
      <c r="B36" s="15" t="s">
        <v>924</v>
      </c>
      <c r="C36" s="16" t="s">
        <v>24</v>
      </c>
      <c r="D36" s="281">
        <v>6592</v>
      </c>
      <c r="E36" s="15" t="s">
        <v>925</v>
      </c>
      <c r="F36" s="15" t="s">
        <v>26</v>
      </c>
      <c r="G36" s="15">
        <v>1000</v>
      </c>
      <c r="H36" s="15" t="s">
        <v>27</v>
      </c>
      <c r="I36" s="15" t="s">
        <v>28</v>
      </c>
      <c r="J36" s="16" t="s">
        <v>111</v>
      </c>
      <c r="K36" s="16" t="s">
        <v>110</v>
      </c>
      <c r="L36" s="283">
        <v>0.25</v>
      </c>
      <c r="M36" s="16" t="s">
        <v>126</v>
      </c>
      <c r="N36" s="16" t="s">
        <v>127</v>
      </c>
      <c r="O36" s="23"/>
      <c r="P36" s="28">
        <v>1</v>
      </c>
      <c r="Q36" s="283">
        <v>0.1</v>
      </c>
      <c r="R36" s="28"/>
      <c r="S36" s="26">
        <f t="shared" si="0"/>
        <v>0</v>
      </c>
      <c r="T36" s="1">
        <f t="shared" si="1"/>
        <v>0</v>
      </c>
      <c r="U36" s="1" t="s">
        <v>34</v>
      </c>
      <c r="V36" s="26"/>
      <c r="W36" s="15"/>
    </row>
    <row r="37" spans="1:23" s="274" customFormat="1" ht="16.05" customHeight="1" x14ac:dyDescent="0.3">
      <c r="A37" s="1">
        <v>36</v>
      </c>
      <c r="B37" s="15" t="s">
        <v>924</v>
      </c>
      <c r="C37" s="16" t="s">
        <v>24</v>
      </c>
      <c r="D37" s="281">
        <v>6592</v>
      </c>
      <c r="E37" s="16" t="s">
        <v>925</v>
      </c>
      <c r="F37" s="16" t="s">
        <v>26</v>
      </c>
      <c r="G37" s="16">
        <v>1000</v>
      </c>
      <c r="H37" s="16" t="s">
        <v>27</v>
      </c>
      <c r="I37" s="16" t="s">
        <v>28</v>
      </c>
      <c r="J37" s="16" t="s">
        <v>111</v>
      </c>
      <c r="K37" s="16" t="s">
        <v>110</v>
      </c>
      <c r="L37" s="283">
        <v>0.25</v>
      </c>
      <c r="M37" s="16" t="s">
        <v>937</v>
      </c>
      <c r="N37" s="16" t="s">
        <v>938</v>
      </c>
      <c r="O37" s="16"/>
      <c r="P37" s="28">
        <v>1</v>
      </c>
      <c r="Q37" s="292">
        <v>0.1</v>
      </c>
      <c r="R37" s="28"/>
      <c r="S37" s="26">
        <f t="shared" si="0"/>
        <v>0</v>
      </c>
      <c r="T37" s="1">
        <f t="shared" si="1"/>
        <v>0</v>
      </c>
      <c r="U37" s="1" t="s">
        <v>34</v>
      </c>
      <c r="V37" s="26"/>
      <c r="W37" s="16"/>
    </row>
    <row r="38" spans="1:23" s="274" customFormat="1" ht="16.05" customHeight="1" x14ac:dyDescent="0.5">
      <c r="A38" s="1">
        <v>37</v>
      </c>
      <c r="B38" s="293" t="s">
        <v>924</v>
      </c>
      <c r="C38" s="293" t="s">
        <v>24</v>
      </c>
      <c r="D38" s="294">
        <v>5406</v>
      </c>
      <c r="E38" s="295" t="s">
        <v>939</v>
      </c>
      <c r="F38" s="296" t="s">
        <v>940</v>
      </c>
      <c r="G38" s="280">
        <v>6592</v>
      </c>
      <c r="H38" s="296" t="s">
        <v>925</v>
      </c>
      <c r="I38" s="296" t="s">
        <v>28</v>
      </c>
      <c r="J38" s="3" t="s">
        <v>58</v>
      </c>
      <c r="K38" s="16" t="s">
        <v>57</v>
      </c>
      <c r="L38" s="297">
        <v>1</v>
      </c>
      <c r="M38" s="298"/>
      <c r="N38" s="299" t="s">
        <v>941</v>
      </c>
      <c r="O38" s="298"/>
      <c r="P38" s="300">
        <v>1</v>
      </c>
      <c r="Q38" s="297">
        <v>0.05</v>
      </c>
      <c r="R38" s="300"/>
      <c r="S38" s="14">
        <f t="shared" si="0"/>
        <v>0</v>
      </c>
      <c r="T38" s="51">
        <f t="shared" si="1"/>
        <v>0</v>
      </c>
      <c r="U38" s="103" t="s">
        <v>34</v>
      </c>
      <c r="V38" s="301">
        <f>SUM(T38:T56)%</f>
        <v>0</v>
      </c>
      <c r="W38" s="293"/>
    </row>
    <row r="39" spans="1:23" s="274" customFormat="1" ht="16.05" customHeight="1" x14ac:dyDescent="0.5">
      <c r="A39" s="1">
        <v>38</v>
      </c>
      <c r="B39" s="71" t="s">
        <v>924</v>
      </c>
      <c r="C39" s="71" t="s">
        <v>24</v>
      </c>
      <c r="D39" s="302">
        <v>5406</v>
      </c>
      <c r="E39" s="303" t="s">
        <v>939</v>
      </c>
      <c r="F39" s="304" t="s">
        <v>940</v>
      </c>
      <c r="G39" s="305">
        <v>6592</v>
      </c>
      <c r="H39" s="304" t="s">
        <v>925</v>
      </c>
      <c r="I39" s="304" t="s">
        <v>28</v>
      </c>
      <c r="J39" s="184" t="s">
        <v>58</v>
      </c>
      <c r="K39" s="306" t="s">
        <v>57</v>
      </c>
      <c r="L39" s="307">
        <v>1</v>
      </c>
      <c r="M39" s="308"/>
      <c r="N39" s="299" t="s">
        <v>942</v>
      </c>
      <c r="O39" s="299"/>
      <c r="P39" s="309">
        <v>1</v>
      </c>
      <c r="Q39" s="307">
        <v>0.05</v>
      </c>
      <c r="R39" s="309"/>
      <c r="S39" s="66">
        <f t="shared" si="0"/>
        <v>0</v>
      </c>
      <c r="T39" s="67">
        <f t="shared" si="1"/>
        <v>0</v>
      </c>
      <c r="U39" s="62" t="s">
        <v>34</v>
      </c>
      <c r="V39" s="308"/>
      <c r="W39" s="71"/>
    </row>
    <row r="40" spans="1:23" s="274" customFormat="1" ht="16.05" customHeight="1" x14ac:dyDescent="0.5">
      <c r="A40" s="1">
        <v>39</v>
      </c>
      <c r="B40" s="71" t="s">
        <v>924</v>
      </c>
      <c r="C40" s="71" t="s">
        <v>24</v>
      </c>
      <c r="D40" s="302">
        <v>5406</v>
      </c>
      <c r="E40" s="303" t="s">
        <v>939</v>
      </c>
      <c r="F40" s="304" t="s">
        <v>940</v>
      </c>
      <c r="G40" s="305">
        <v>6592</v>
      </c>
      <c r="H40" s="304" t="s">
        <v>925</v>
      </c>
      <c r="I40" s="304" t="s">
        <v>28</v>
      </c>
      <c r="J40" s="184" t="s">
        <v>58</v>
      </c>
      <c r="K40" s="306" t="s">
        <v>57</v>
      </c>
      <c r="L40" s="307">
        <v>1</v>
      </c>
      <c r="M40" s="308"/>
      <c r="N40" s="299" t="s">
        <v>943</v>
      </c>
      <c r="O40" s="299" t="s">
        <v>944</v>
      </c>
      <c r="P40" s="309">
        <v>1</v>
      </c>
      <c r="Q40" s="307">
        <v>0.05</v>
      </c>
      <c r="R40" s="309"/>
      <c r="S40" s="66">
        <f t="shared" si="0"/>
        <v>0</v>
      </c>
      <c r="T40" s="67">
        <f t="shared" si="1"/>
        <v>0</v>
      </c>
      <c r="U40" s="62" t="s">
        <v>34</v>
      </c>
      <c r="V40" s="308"/>
      <c r="W40" s="71"/>
    </row>
    <row r="41" spans="1:23" s="274" customFormat="1" ht="16.05" customHeight="1" x14ac:dyDescent="0.6">
      <c r="A41" s="1">
        <v>40</v>
      </c>
      <c r="B41" s="71" t="s">
        <v>924</v>
      </c>
      <c r="C41" s="71" t="s">
        <v>24</v>
      </c>
      <c r="D41" s="302">
        <v>5406</v>
      </c>
      <c r="E41" s="303" t="s">
        <v>939</v>
      </c>
      <c r="F41" s="304" t="s">
        <v>940</v>
      </c>
      <c r="G41" s="305">
        <v>6592</v>
      </c>
      <c r="H41" s="304" t="s">
        <v>925</v>
      </c>
      <c r="I41" s="304" t="s">
        <v>28</v>
      </c>
      <c r="J41" s="184" t="s">
        <v>58</v>
      </c>
      <c r="K41" s="306" t="s">
        <v>57</v>
      </c>
      <c r="L41" s="307">
        <v>1</v>
      </c>
      <c r="M41" s="308"/>
      <c r="N41" s="299" t="s">
        <v>945</v>
      </c>
      <c r="O41" s="299" t="s">
        <v>946</v>
      </c>
      <c r="P41" s="309">
        <v>1</v>
      </c>
      <c r="Q41" s="307">
        <v>0.05</v>
      </c>
      <c r="R41" s="309"/>
      <c r="S41" s="66">
        <f t="shared" si="0"/>
        <v>0</v>
      </c>
      <c r="T41" s="67">
        <f t="shared" si="1"/>
        <v>0</v>
      </c>
      <c r="U41" s="62" t="s">
        <v>34</v>
      </c>
      <c r="V41" s="308"/>
      <c r="W41" s="71"/>
    </row>
    <row r="42" spans="1:23" s="274" customFormat="1" ht="16.05" customHeight="1" x14ac:dyDescent="0.5">
      <c r="A42" s="1">
        <v>41</v>
      </c>
      <c r="B42" s="71" t="s">
        <v>924</v>
      </c>
      <c r="C42" s="71" t="s">
        <v>24</v>
      </c>
      <c r="D42" s="302">
        <v>5406</v>
      </c>
      <c r="E42" s="303" t="s">
        <v>939</v>
      </c>
      <c r="F42" s="304" t="s">
        <v>940</v>
      </c>
      <c r="G42" s="305">
        <v>6592</v>
      </c>
      <c r="H42" s="304" t="s">
        <v>925</v>
      </c>
      <c r="I42" s="304" t="s">
        <v>28</v>
      </c>
      <c r="J42" s="184" t="s">
        <v>58</v>
      </c>
      <c r="K42" s="306" t="s">
        <v>57</v>
      </c>
      <c r="L42" s="307">
        <v>1</v>
      </c>
      <c r="M42" s="308"/>
      <c r="N42" s="299" t="s">
        <v>947</v>
      </c>
      <c r="O42" s="299" t="s">
        <v>948</v>
      </c>
      <c r="P42" s="309">
        <v>1</v>
      </c>
      <c r="Q42" s="307">
        <v>0.05</v>
      </c>
      <c r="R42" s="309"/>
      <c r="S42" s="66">
        <f t="shared" si="0"/>
        <v>0</v>
      </c>
      <c r="T42" s="67">
        <f t="shared" si="1"/>
        <v>0</v>
      </c>
      <c r="U42" s="62" t="s">
        <v>34</v>
      </c>
      <c r="V42" s="308"/>
      <c r="W42" s="71"/>
    </row>
    <row r="43" spans="1:23" s="274" customFormat="1" ht="16.05" customHeight="1" x14ac:dyDescent="0.5">
      <c r="A43" s="1">
        <v>42</v>
      </c>
      <c r="B43" s="71" t="s">
        <v>924</v>
      </c>
      <c r="C43" s="71" t="s">
        <v>24</v>
      </c>
      <c r="D43" s="302">
        <v>5406</v>
      </c>
      <c r="E43" s="303" t="s">
        <v>939</v>
      </c>
      <c r="F43" s="304" t="s">
        <v>940</v>
      </c>
      <c r="G43" s="305">
        <v>6592</v>
      </c>
      <c r="H43" s="304" t="s">
        <v>925</v>
      </c>
      <c r="I43" s="304" t="s">
        <v>28</v>
      </c>
      <c r="J43" s="184" t="s">
        <v>58</v>
      </c>
      <c r="K43" s="306" t="s">
        <v>57</v>
      </c>
      <c r="L43" s="307">
        <v>1</v>
      </c>
      <c r="M43" s="308"/>
      <c r="N43" s="308" t="s">
        <v>949</v>
      </c>
      <c r="O43" s="308" t="s">
        <v>950</v>
      </c>
      <c r="P43" s="310">
        <v>1</v>
      </c>
      <c r="Q43" s="307">
        <v>0.05</v>
      </c>
      <c r="R43" s="310"/>
      <c r="S43" s="66">
        <f t="shared" si="0"/>
        <v>0</v>
      </c>
      <c r="T43" s="67">
        <f t="shared" si="1"/>
        <v>0</v>
      </c>
      <c r="U43" s="62" t="s">
        <v>34</v>
      </c>
      <c r="V43" s="308"/>
      <c r="W43" s="71"/>
    </row>
    <row r="44" spans="1:23" s="274" customFormat="1" ht="16.05" customHeight="1" x14ac:dyDescent="0.5">
      <c r="A44" s="1">
        <v>43</v>
      </c>
      <c r="B44" s="71" t="s">
        <v>924</v>
      </c>
      <c r="C44" s="71" t="s">
        <v>24</v>
      </c>
      <c r="D44" s="302">
        <v>5406</v>
      </c>
      <c r="E44" s="303" t="s">
        <v>939</v>
      </c>
      <c r="F44" s="304" t="s">
        <v>940</v>
      </c>
      <c r="G44" s="305">
        <v>6592</v>
      </c>
      <c r="H44" s="304" t="s">
        <v>925</v>
      </c>
      <c r="I44" s="304" t="s">
        <v>28</v>
      </c>
      <c r="J44" s="184" t="s">
        <v>58</v>
      </c>
      <c r="K44" s="306" t="s">
        <v>57</v>
      </c>
      <c r="L44" s="307">
        <v>1</v>
      </c>
      <c r="M44" s="308"/>
      <c r="N44" s="308" t="s">
        <v>951</v>
      </c>
      <c r="O44" s="308" t="s">
        <v>952</v>
      </c>
      <c r="P44" s="310">
        <v>1</v>
      </c>
      <c r="Q44" s="307">
        <v>0.05</v>
      </c>
      <c r="R44" s="310"/>
      <c r="S44" s="66">
        <f t="shared" si="0"/>
        <v>0</v>
      </c>
      <c r="T44" s="67">
        <f t="shared" si="1"/>
        <v>0</v>
      </c>
      <c r="U44" s="62" t="s">
        <v>34</v>
      </c>
      <c r="V44" s="308"/>
      <c r="W44" s="71"/>
    </row>
    <row r="45" spans="1:23" s="274" customFormat="1" ht="16.05" customHeight="1" x14ac:dyDescent="0.5">
      <c r="A45" s="1">
        <v>44</v>
      </c>
      <c r="B45" s="71" t="s">
        <v>924</v>
      </c>
      <c r="C45" s="71" t="s">
        <v>24</v>
      </c>
      <c r="D45" s="302">
        <v>5406</v>
      </c>
      <c r="E45" s="303" t="s">
        <v>939</v>
      </c>
      <c r="F45" s="304" t="s">
        <v>940</v>
      </c>
      <c r="G45" s="305">
        <v>6592</v>
      </c>
      <c r="H45" s="304" t="s">
        <v>925</v>
      </c>
      <c r="I45" s="304" t="s">
        <v>28</v>
      </c>
      <c r="J45" s="184" t="s">
        <v>58</v>
      </c>
      <c r="K45" s="306" t="s">
        <v>57</v>
      </c>
      <c r="L45" s="307">
        <v>1</v>
      </c>
      <c r="M45" s="308"/>
      <c r="N45" s="308" t="s">
        <v>953</v>
      </c>
      <c r="O45" s="308" t="s">
        <v>954</v>
      </c>
      <c r="P45" s="310">
        <v>1</v>
      </c>
      <c r="Q45" s="307">
        <v>0.05</v>
      </c>
      <c r="R45" s="310"/>
      <c r="S45" s="66">
        <f t="shared" si="0"/>
        <v>0</v>
      </c>
      <c r="T45" s="67">
        <f t="shared" si="1"/>
        <v>0</v>
      </c>
      <c r="U45" s="62" t="s">
        <v>34</v>
      </c>
      <c r="V45" s="308"/>
      <c r="W45" s="71"/>
    </row>
    <row r="46" spans="1:23" s="274" customFormat="1" ht="16.05" customHeight="1" x14ac:dyDescent="0.5">
      <c r="A46" s="1">
        <v>45</v>
      </c>
      <c r="B46" s="71" t="s">
        <v>924</v>
      </c>
      <c r="C46" s="71" t="s">
        <v>24</v>
      </c>
      <c r="D46" s="302">
        <v>5406</v>
      </c>
      <c r="E46" s="303" t="s">
        <v>939</v>
      </c>
      <c r="F46" s="304" t="s">
        <v>940</v>
      </c>
      <c r="G46" s="305">
        <v>6592</v>
      </c>
      <c r="H46" s="304" t="s">
        <v>925</v>
      </c>
      <c r="I46" s="304" t="s">
        <v>28</v>
      </c>
      <c r="J46" s="184" t="s">
        <v>58</v>
      </c>
      <c r="K46" s="306" t="s">
        <v>57</v>
      </c>
      <c r="L46" s="307">
        <v>1</v>
      </c>
      <c r="M46" s="308"/>
      <c r="N46" s="299" t="s">
        <v>955</v>
      </c>
      <c r="O46" s="299" t="s">
        <v>956</v>
      </c>
      <c r="P46" s="309">
        <v>1</v>
      </c>
      <c r="Q46" s="307">
        <v>0.1</v>
      </c>
      <c r="R46" s="309"/>
      <c r="S46" s="66">
        <f t="shared" si="0"/>
        <v>0</v>
      </c>
      <c r="T46" s="67">
        <f t="shared" si="1"/>
        <v>0</v>
      </c>
      <c r="U46" s="62" t="s">
        <v>34</v>
      </c>
      <c r="V46" s="308"/>
      <c r="W46" s="71"/>
    </row>
    <row r="47" spans="1:23" s="274" customFormat="1" ht="16.05" customHeight="1" x14ac:dyDescent="0.5">
      <c r="A47" s="1">
        <v>46</v>
      </c>
      <c r="B47" s="71" t="s">
        <v>924</v>
      </c>
      <c r="C47" s="71" t="s">
        <v>24</v>
      </c>
      <c r="D47" s="302">
        <v>5406</v>
      </c>
      <c r="E47" s="303" t="s">
        <v>939</v>
      </c>
      <c r="F47" s="304" t="s">
        <v>940</v>
      </c>
      <c r="G47" s="305">
        <v>6592</v>
      </c>
      <c r="H47" s="304" t="s">
        <v>925</v>
      </c>
      <c r="I47" s="304" t="s">
        <v>28</v>
      </c>
      <c r="J47" s="184" t="s">
        <v>58</v>
      </c>
      <c r="K47" s="306" t="s">
        <v>57</v>
      </c>
      <c r="L47" s="307">
        <v>1</v>
      </c>
      <c r="M47" s="308"/>
      <c r="N47" s="308" t="s">
        <v>957</v>
      </c>
      <c r="O47" s="308" t="s">
        <v>958</v>
      </c>
      <c r="P47" s="310">
        <v>1</v>
      </c>
      <c r="Q47" s="307">
        <v>0.05</v>
      </c>
      <c r="R47" s="310"/>
      <c r="S47" s="66">
        <f t="shared" si="0"/>
        <v>0</v>
      </c>
      <c r="T47" s="67">
        <f t="shared" si="1"/>
        <v>0</v>
      </c>
      <c r="U47" s="62" t="s">
        <v>34</v>
      </c>
      <c r="V47" s="308"/>
      <c r="W47" s="71"/>
    </row>
    <row r="48" spans="1:23" s="274" customFormat="1" ht="16.05" customHeight="1" x14ac:dyDescent="0.5">
      <c r="A48" s="1">
        <v>47</v>
      </c>
      <c r="B48" s="71" t="s">
        <v>924</v>
      </c>
      <c r="C48" s="71" t="s">
        <v>24</v>
      </c>
      <c r="D48" s="302">
        <v>5406</v>
      </c>
      <c r="E48" s="303" t="s">
        <v>939</v>
      </c>
      <c r="F48" s="304" t="s">
        <v>940</v>
      </c>
      <c r="G48" s="305">
        <v>6592</v>
      </c>
      <c r="H48" s="304" t="s">
        <v>925</v>
      </c>
      <c r="I48" s="304" t="s">
        <v>28</v>
      </c>
      <c r="J48" s="184" t="s">
        <v>58</v>
      </c>
      <c r="K48" s="306" t="s">
        <v>57</v>
      </c>
      <c r="L48" s="307">
        <v>1</v>
      </c>
      <c r="M48" s="308"/>
      <c r="N48" s="308" t="s">
        <v>959</v>
      </c>
      <c r="O48" s="308" t="s">
        <v>960</v>
      </c>
      <c r="P48" s="310">
        <v>1</v>
      </c>
      <c r="Q48" s="307">
        <v>0.05</v>
      </c>
      <c r="R48" s="310"/>
      <c r="S48" s="66">
        <f t="shared" si="0"/>
        <v>0</v>
      </c>
      <c r="T48" s="67">
        <f t="shared" si="1"/>
        <v>0</v>
      </c>
      <c r="U48" s="62" t="s">
        <v>34</v>
      </c>
      <c r="V48" s="308"/>
      <c r="W48" s="71"/>
    </row>
    <row r="49" spans="1:23" s="274" customFormat="1" ht="16.05" customHeight="1" x14ac:dyDescent="0.5">
      <c r="A49" s="1">
        <v>48</v>
      </c>
      <c r="B49" s="71" t="s">
        <v>924</v>
      </c>
      <c r="C49" s="71" t="s">
        <v>24</v>
      </c>
      <c r="D49" s="302">
        <v>5406</v>
      </c>
      <c r="E49" s="303" t="s">
        <v>939</v>
      </c>
      <c r="F49" s="304" t="s">
        <v>940</v>
      </c>
      <c r="G49" s="305">
        <v>6592</v>
      </c>
      <c r="H49" s="304" t="s">
        <v>925</v>
      </c>
      <c r="I49" s="304" t="s">
        <v>28</v>
      </c>
      <c r="J49" s="184" t="s">
        <v>58</v>
      </c>
      <c r="K49" s="306" t="s">
        <v>57</v>
      </c>
      <c r="L49" s="307">
        <v>1</v>
      </c>
      <c r="M49" s="308"/>
      <c r="N49" s="308" t="s">
        <v>961</v>
      </c>
      <c r="O49" s="308" t="s">
        <v>962</v>
      </c>
      <c r="P49" s="310">
        <v>1</v>
      </c>
      <c r="Q49" s="307">
        <v>0.05</v>
      </c>
      <c r="R49" s="310"/>
      <c r="S49" s="66">
        <f t="shared" si="0"/>
        <v>0</v>
      </c>
      <c r="T49" s="67">
        <f t="shared" si="1"/>
        <v>0</v>
      </c>
      <c r="U49" s="62" t="s">
        <v>34</v>
      </c>
      <c r="V49" s="308"/>
      <c r="W49" s="71"/>
    </row>
    <row r="50" spans="1:23" s="274" customFormat="1" ht="16.05" customHeight="1" x14ac:dyDescent="0.5">
      <c r="A50" s="1">
        <v>49</v>
      </c>
      <c r="B50" s="71" t="s">
        <v>924</v>
      </c>
      <c r="C50" s="71" t="s">
        <v>24</v>
      </c>
      <c r="D50" s="302">
        <v>5406</v>
      </c>
      <c r="E50" s="303" t="s">
        <v>939</v>
      </c>
      <c r="F50" s="304" t="s">
        <v>940</v>
      </c>
      <c r="G50" s="305">
        <v>6592</v>
      </c>
      <c r="H50" s="304" t="s">
        <v>925</v>
      </c>
      <c r="I50" s="304" t="s">
        <v>28</v>
      </c>
      <c r="J50" s="184" t="s">
        <v>58</v>
      </c>
      <c r="K50" s="306" t="s">
        <v>57</v>
      </c>
      <c r="L50" s="307">
        <v>1</v>
      </c>
      <c r="M50" s="308"/>
      <c r="N50" s="308" t="s">
        <v>963</v>
      </c>
      <c r="O50" s="308" t="s">
        <v>964</v>
      </c>
      <c r="P50" s="310">
        <v>1</v>
      </c>
      <c r="Q50" s="307">
        <v>0.05</v>
      </c>
      <c r="R50" s="310"/>
      <c r="S50" s="66">
        <f t="shared" si="0"/>
        <v>0</v>
      </c>
      <c r="T50" s="67">
        <f t="shared" si="1"/>
        <v>0</v>
      </c>
      <c r="U50" s="62" t="s">
        <v>34</v>
      </c>
      <c r="V50" s="308"/>
      <c r="W50" s="71"/>
    </row>
    <row r="51" spans="1:23" s="274" customFormat="1" ht="16.05" customHeight="1" x14ac:dyDescent="0.5">
      <c r="A51" s="1">
        <v>50</v>
      </c>
      <c r="B51" s="71" t="s">
        <v>924</v>
      </c>
      <c r="C51" s="71" t="s">
        <v>24</v>
      </c>
      <c r="D51" s="302">
        <v>5406</v>
      </c>
      <c r="E51" s="303" t="s">
        <v>939</v>
      </c>
      <c r="F51" s="304" t="s">
        <v>940</v>
      </c>
      <c r="G51" s="305">
        <v>6592</v>
      </c>
      <c r="H51" s="304" t="s">
        <v>925</v>
      </c>
      <c r="I51" s="304" t="s">
        <v>28</v>
      </c>
      <c r="J51" s="184" t="s">
        <v>58</v>
      </c>
      <c r="K51" s="306" t="s">
        <v>57</v>
      </c>
      <c r="L51" s="307">
        <v>1</v>
      </c>
      <c r="M51" s="308"/>
      <c r="N51" s="308" t="s">
        <v>965</v>
      </c>
      <c r="O51" s="308" t="s">
        <v>966</v>
      </c>
      <c r="P51" s="310">
        <v>1</v>
      </c>
      <c r="Q51" s="307">
        <v>0.05</v>
      </c>
      <c r="R51" s="310"/>
      <c r="S51" s="66">
        <f t="shared" si="0"/>
        <v>0</v>
      </c>
      <c r="T51" s="67">
        <f t="shared" si="1"/>
        <v>0</v>
      </c>
      <c r="U51" s="62" t="s">
        <v>34</v>
      </c>
      <c r="V51" s="308"/>
      <c r="W51" s="71"/>
    </row>
    <row r="52" spans="1:23" s="274" customFormat="1" ht="16.05" customHeight="1" x14ac:dyDescent="0.5">
      <c r="A52" s="1">
        <v>51</v>
      </c>
      <c r="B52" s="71" t="s">
        <v>924</v>
      </c>
      <c r="C52" s="71" t="s">
        <v>24</v>
      </c>
      <c r="D52" s="302">
        <v>5406</v>
      </c>
      <c r="E52" s="303" t="s">
        <v>939</v>
      </c>
      <c r="F52" s="304" t="s">
        <v>940</v>
      </c>
      <c r="G52" s="305">
        <v>6592</v>
      </c>
      <c r="H52" s="304" t="s">
        <v>925</v>
      </c>
      <c r="I52" s="304" t="s">
        <v>28</v>
      </c>
      <c r="J52" s="184" t="s">
        <v>58</v>
      </c>
      <c r="K52" s="306" t="s">
        <v>57</v>
      </c>
      <c r="L52" s="307">
        <v>1</v>
      </c>
      <c r="M52" s="308"/>
      <c r="N52" s="308" t="s">
        <v>967</v>
      </c>
      <c r="O52" s="308" t="s">
        <v>968</v>
      </c>
      <c r="P52" s="310">
        <v>1</v>
      </c>
      <c r="Q52" s="307">
        <v>0.05</v>
      </c>
      <c r="R52" s="310"/>
      <c r="S52" s="66">
        <f t="shared" si="0"/>
        <v>0</v>
      </c>
      <c r="T52" s="67">
        <f t="shared" si="1"/>
        <v>0</v>
      </c>
      <c r="U52" s="62" t="s">
        <v>34</v>
      </c>
      <c r="V52" s="308"/>
      <c r="W52" s="71"/>
    </row>
    <row r="53" spans="1:23" s="274" customFormat="1" ht="16.05" customHeight="1" x14ac:dyDescent="0.5">
      <c r="A53" s="1">
        <v>52</v>
      </c>
      <c r="B53" s="71" t="s">
        <v>924</v>
      </c>
      <c r="C53" s="71" t="s">
        <v>24</v>
      </c>
      <c r="D53" s="302">
        <v>5406</v>
      </c>
      <c r="E53" s="303" t="s">
        <v>939</v>
      </c>
      <c r="F53" s="304" t="s">
        <v>940</v>
      </c>
      <c r="G53" s="305">
        <v>6592</v>
      </c>
      <c r="H53" s="304" t="s">
        <v>925</v>
      </c>
      <c r="I53" s="304" t="s">
        <v>28</v>
      </c>
      <c r="J53" s="184" t="s">
        <v>58</v>
      </c>
      <c r="K53" s="306" t="s">
        <v>57</v>
      </c>
      <c r="L53" s="307">
        <v>1</v>
      </c>
      <c r="M53" s="308"/>
      <c r="N53" s="299" t="s">
        <v>969</v>
      </c>
      <c r="O53" s="299" t="s">
        <v>970</v>
      </c>
      <c r="P53" s="309">
        <v>1</v>
      </c>
      <c r="Q53" s="307">
        <v>0.05</v>
      </c>
      <c r="R53" s="309"/>
      <c r="S53" s="66">
        <f t="shared" si="0"/>
        <v>0</v>
      </c>
      <c r="T53" s="67">
        <f t="shared" si="1"/>
        <v>0</v>
      </c>
      <c r="U53" s="62" t="s">
        <v>34</v>
      </c>
      <c r="V53" s="308"/>
      <c r="W53" s="71"/>
    </row>
    <row r="54" spans="1:23" s="274" customFormat="1" ht="16.05" customHeight="1" x14ac:dyDescent="0.5">
      <c r="A54" s="1">
        <v>53</v>
      </c>
      <c r="B54" s="71" t="s">
        <v>924</v>
      </c>
      <c r="C54" s="71" t="s">
        <v>24</v>
      </c>
      <c r="D54" s="302">
        <v>5406</v>
      </c>
      <c r="E54" s="303" t="s">
        <v>939</v>
      </c>
      <c r="F54" s="304" t="s">
        <v>940</v>
      </c>
      <c r="G54" s="305">
        <v>6592</v>
      </c>
      <c r="H54" s="304" t="s">
        <v>925</v>
      </c>
      <c r="I54" s="304" t="s">
        <v>28</v>
      </c>
      <c r="J54" s="184" t="s">
        <v>58</v>
      </c>
      <c r="K54" s="306" t="s">
        <v>57</v>
      </c>
      <c r="L54" s="307">
        <v>1</v>
      </c>
      <c r="M54" s="308"/>
      <c r="N54" s="299" t="s">
        <v>971</v>
      </c>
      <c r="O54" s="299" t="s">
        <v>972</v>
      </c>
      <c r="P54" s="309">
        <v>1</v>
      </c>
      <c r="Q54" s="307">
        <v>0.05</v>
      </c>
      <c r="R54" s="309"/>
      <c r="S54" s="66">
        <f t="shared" si="0"/>
        <v>0</v>
      </c>
      <c r="T54" s="67">
        <f t="shared" si="1"/>
        <v>0</v>
      </c>
      <c r="U54" s="62" t="s">
        <v>34</v>
      </c>
      <c r="V54" s="308"/>
      <c r="W54" s="71"/>
    </row>
    <row r="55" spans="1:23" s="274" customFormat="1" ht="16.05" customHeight="1" x14ac:dyDescent="0.5">
      <c r="A55" s="1">
        <v>54</v>
      </c>
      <c r="B55" s="71" t="s">
        <v>924</v>
      </c>
      <c r="C55" s="71" t="s">
        <v>24</v>
      </c>
      <c r="D55" s="302">
        <v>5406</v>
      </c>
      <c r="E55" s="303" t="s">
        <v>939</v>
      </c>
      <c r="F55" s="304" t="s">
        <v>940</v>
      </c>
      <c r="G55" s="305">
        <v>6592</v>
      </c>
      <c r="H55" s="304" t="s">
        <v>925</v>
      </c>
      <c r="I55" s="304" t="s">
        <v>28</v>
      </c>
      <c r="J55" s="184" t="s">
        <v>58</v>
      </c>
      <c r="K55" s="306" t="s">
        <v>57</v>
      </c>
      <c r="L55" s="307">
        <v>1</v>
      </c>
      <c r="M55" s="308"/>
      <c r="N55" s="299" t="s">
        <v>973</v>
      </c>
      <c r="O55" s="299" t="s">
        <v>974</v>
      </c>
      <c r="P55" s="309">
        <v>1</v>
      </c>
      <c r="Q55" s="307">
        <v>0.05</v>
      </c>
      <c r="R55" s="309"/>
      <c r="S55" s="66">
        <f t="shared" si="0"/>
        <v>0</v>
      </c>
      <c r="T55" s="67">
        <f t="shared" si="1"/>
        <v>0</v>
      </c>
      <c r="U55" s="62" t="s">
        <v>34</v>
      </c>
      <c r="V55" s="308"/>
      <c r="W55" s="71"/>
    </row>
    <row r="56" spans="1:23" s="274" customFormat="1" ht="16.05" customHeight="1" x14ac:dyDescent="0.5">
      <c r="A56" s="1">
        <v>55</v>
      </c>
      <c r="B56" s="71" t="s">
        <v>924</v>
      </c>
      <c r="C56" s="71" t="s">
        <v>24</v>
      </c>
      <c r="D56" s="302">
        <v>5406</v>
      </c>
      <c r="E56" s="303" t="s">
        <v>939</v>
      </c>
      <c r="F56" s="304" t="s">
        <v>940</v>
      </c>
      <c r="G56" s="305">
        <v>6592</v>
      </c>
      <c r="H56" s="304" t="s">
        <v>925</v>
      </c>
      <c r="I56" s="304" t="s">
        <v>28</v>
      </c>
      <c r="J56" s="184" t="s">
        <v>58</v>
      </c>
      <c r="K56" s="306" t="s">
        <v>57</v>
      </c>
      <c r="L56" s="307">
        <v>1</v>
      </c>
      <c r="M56" s="308"/>
      <c r="N56" s="299" t="s">
        <v>975</v>
      </c>
      <c r="O56" s="299" t="s">
        <v>976</v>
      </c>
      <c r="P56" s="309">
        <v>1</v>
      </c>
      <c r="Q56" s="307">
        <v>0.05</v>
      </c>
      <c r="R56" s="309"/>
      <c r="S56" s="66">
        <f t="shared" si="0"/>
        <v>0</v>
      </c>
      <c r="T56" s="67">
        <f t="shared" si="1"/>
        <v>0</v>
      </c>
      <c r="U56" s="62" t="s">
        <v>34</v>
      </c>
      <c r="V56" s="308"/>
      <c r="W56" s="71"/>
    </row>
    <row r="57" spans="1:23" s="274" customFormat="1" ht="16.05" customHeight="1" x14ac:dyDescent="0.3">
      <c r="A57" s="1">
        <v>56</v>
      </c>
      <c r="B57" s="3" t="s">
        <v>924</v>
      </c>
      <c r="C57" s="3" t="s">
        <v>24</v>
      </c>
      <c r="D57" s="311">
        <v>6030</v>
      </c>
      <c r="E57" s="312" t="s">
        <v>977</v>
      </c>
      <c r="F57" s="312" t="s">
        <v>978</v>
      </c>
      <c r="G57" s="313">
        <v>6592</v>
      </c>
      <c r="H57" s="312" t="s">
        <v>925</v>
      </c>
      <c r="I57" s="314" t="s">
        <v>28</v>
      </c>
      <c r="J57" s="3" t="s">
        <v>58</v>
      </c>
      <c r="K57" s="16" t="s">
        <v>57</v>
      </c>
      <c r="L57" s="297">
        <v>0.8</v>
      </c>
      <c r="M57" s="315" t="s">
        <v>979</v>
      </c>
      <c r="N57" s="316" t="s">
        <v>980</v>
      </c>
      <c r="O57" s="317"/>
      <c r="P57" s="318">
        <v>1</v>
      </c>
      <c r="Q57" s="297">
        <v>0.1</v>
      </c>
      <c r="R57" s="318"/>
      <c r="S57" s="319">
        <f t="shared" si="0"/>
        <v>0</v>
      </c>
      <c r="T57" s="320">
        <f t="shared" si="1"/>
        <v>0</v>
      </c>
      <c r="U57" s="321" t="s">
        <v>34</v>
      </c>
      <c r="V57" s="322">
        <f>SUM(T57:T73)%</f>
        <v>0</v>
      </c>
      <c r="W57" s="312"/>
    </row>
    <row r="58" spans="1:23" s="274" customFormat="1" ht="16.05" customHeight="1" x14ac:dyDescent="0.3">
      <c r="A58" s="1">
        <v>57</v>
      </c>
      <c r="B58" s="16" t="s">
        <v>924</v>
      </c>
      <c r="C58" s="16" t="s">
        <v>24</v>
      </c>
      <c r="D58" s="323">
        <v>6030</v>
      </c>
      <c r="E58" s="324" t="s">
        <v>977</v>
      </c>
      <c r="F58" s="325" t="s">
        <v>978</v>
      </c>
      <c r="G58" s="326">
        <v>6592</v>
      </c>
      <c r="H58" s="325" t="s">
        <v>925</v>
      </c>
      <c r="I58" s="325" t="s">
        <v>28</v>
      </c>
      <c r="J58" s="184" t="s">
        <v>58</v>
      </c>
      <c r="K58" s="306" t="s">
        <v>57</v>
      </c>
      <c r="L58" s="307">
        <v>0.8</v>
      </c>
      <c r="M58" s="327" t="s">
        <v>981</v>
      </c>
      <c r="N58" s="327" t="s">
        <v>982</v>
      </c>
      <c r="O58" s="290"/>
      <c r="P58" s="328">
        <v>1</v>
      </c>
      <c r="Q58" s="307">
        <v>0.1</v>
      </c>
      <c r="R58" s="328"/>
      <c r="S58" s="329">
        <f t="shared" si="0"/>
        <v>0</v>
      </c>
      <c r="T58" s="330">
        <f t="shared" si="1"/>
        <v>0</v>
      </c>
      <c r="U58" s="329" t="s">
        <v>34</v>
      </c>
      <c r="V58" s="329"/>
      <c r="W58" s="325"/>
    </row>
    <row r="59" spans="1:23" s="274" customFormat="1" ht="16.05" customHeight="1" x14ac:dyDescent="0.3">
      <c r="A59" s="1">
        <v>58</v>
      </c>
      <c r="B59" s="16" t="s">
        <v>924</v>
      </c>
      <c r="C59" s="16" t="s">
        <v>24</v>
      </c>
      <c r="D59" s="323">
        <v>6030</v>
      </c>
      <c r="E59" s="324" t="s">
        <v>977</v>
      </c>
      <c r="F59" s="325" t="s">
        <v>978</v>
      </c>
      <c r="G59" s="325">
        <v>6592</v>
      </c>
      <c r="H59" s="325" t="s">
        <v>925</v>
      </c>
      <c r="I59" s="325" t="s">
        <v>28</v>
      </c>
      <c r="J59" s="184" t="s">
        <v>58</v>
      </c>
      <c r="K59" s="306" t="s">
        <v>57</v>
      </c>
      <c r="L59" s="307">
        <v>0.8</v>
      </c>
      <c r="M59" s="327" t="s">
        <v>983</v>
      </c>
      <c r="N59" s="327" t="s">
        <v>984</v>
      </c>
      <c r="O59" s="328"/>
      <c r="P59" s="328">
        <v>1</v>
      </c>
      <c r="Q59" s="307">
        <v>0.1</v>
      </c>
      <c r="R59" s="328"/>
      <c r="S59" s="329">
        <f t="shared" si="0"/>
        <v>0</v>
      </c>
      <c r="T59" s="330">
        <f t="shared" si="1"/>
        <v>0</v>
      </c>
      <c r="U59" s="329" t="s">
        <v>34</v>
      </c>
      <c r="V59" s="329"/>
      <c r="W59" s="325"/>
    </row>
    <row r="60" spans="1:23" s="274" customFormat="1" ht="16.05" customHeight="1" x14ac:dyDescent="0.3">
      <c r="A60" s="1">
        <v>59</v>
      </c>
      <c r="B60" s="16" t="s">
        <v>924</v>
      </c>
      <c r="C60" s="16" t="s">
        <v>24</v>
      </c>
      <c r="D60" s="323">
        <v>6030</v>
      </c>
      <c r="E60" s="324" t="s">
        <v>977</v>
      </c>
      <c r="F60" s="325" t="s">
        <v>978</v>
      </c>
      <c r="G60" s="325">
        <v>6592</v>
      </c>
      <c r="H60" s="325" t="s">
        <v>925</v>
      </c>
      <c r="I60" s="325" t="s">
        <v>28</v>
      </c>
      <c r="J60" s="184" t="s">
        <v>58</v>
      </c>
      <c r="K60" s="306" t="s">
        <v>57</v>
      </c>
      <c r="L60" s="307">
        <v>0.8</v>
      </c>
      <c r="M60" s="327" t="s">
        <v>985</v>
      </c>
      <c r="N60" s="327" t="s">
        <v>986</v>
      </c>
      <c r="O60" s="331"/>
      <c r="P60" s="328">
        <v>1</v>
      </c>
      <c r="Q60" s="307">
        <v>0.1</v>
      </c>
      <c r="R60" s="328"/>
      <c r="S60" s="329">
        <f t="shared" si="0"/>
        <v>0</v>
      </c>
      <c r="T60" s="330">
        <f t="shared" si="1"/>
        <v>0</v>
      </c>
      <c r="U60" s="329" t="s">
        <v>34</v>
      </c>
      <c r="V60" s="329"/>
      <c r="W60" s="325"/>
    </row>
    <row r="61" spans="1:23" s="274" customFormat="1" ht="16.05" customHeight="1" x14ac:dyDescent="0.3">
      <c r="A61" s="1">
        <v>60</v>
      </c>
      <c r="B61" s="16" t="s">
        <v>924</v>
      </c>
      <c r="C61" s="16" t="s">
        <v>24</v>
      </c>
      <c r="D61" s="323">
        <v>6030</v>
      </c>
      <c r="E61" s="324" t="s">
        <v>977</v>
      </c>
      <c r="F61" s="325" t="s">
        <v>978</v>
      </c>
      <c r="G61" s="325">
        <v>6592</v>
      </c>
      <c r="H61" s="113" t="s">
        <v>925</v>
      </c>
      <c r="I61" s="325" t="s">
        <v>28</v>
      </c>
      <c r="J61" s="184" t="s">
        <v>58</v>
      </c>
      <c r="K61" s="306" t="s">
        <v>57</v>
      </c>
      <c r="L61" s="307">
        <v>0.8</v>
      </c>
      <c r="M61" s="327" t="s">
        <v>987</v>
      </c>
      <c r="N61" s="327" t="s">
        <v>988</v>
      </c>
      <c r="O61" s="290"/>
      <c r="P61" s="328">
        <v>1</v>
      </c>
      <c r="Q61" s="307">
        <v>0.1</v>
      </c>
      <c r="R61" s="328"/>
      <c r="S61" s="329">
        <f t="shared" si="0"/>
        <v>0</v>
      </c>
      <c r="T61" s="330">
        <f t="shared" si="1"/>
        <v>0</v>
      </c>
      <c r="U61" s="329" t="s">
        <v>34</v>
      </c>
      <c r="V61" s="329"/>
      <c r="W61" s="113"/>
    </row>
    <row r="62" spans="1:23" s="274" customFormat="1" ht="16.05" customHeight="1" x14ac:dyDescent="0.3">
      <c r="A62" s="1">
        <v>61</v>
      </c>
      <c r="B62" s="16" t="s">
        <v>924</v>
      </c>
      <c r="C62" s="16" t="s">
        <v>24</v>
      </c>
      <c r="D62" s="323">
        <v>6030</v>
      </c>
      <c r="E62" s="324" t="s">
        <v>977</v>
      </c>
      <c r="F62" s="325" t="s">
        <v>978</v>
      </c>
      <c r="G62" s="325">
        <v>6592</v>
      </c>
      <c r="H62" s="325" t="s">
        <v>925</v>
      </c>
      <c r="I62" s="325" t="s">
        <v>28</v>
      </c>
      <c r="J62" s="184" t="s">
        <v>58</v>
      </c>
      <c r="K62" s="306" t="s">
        <v>57</v>
      </c>
      <c r="L62" s="307">
        <v>0.8</v>
      </c>
      <c r="M62" s="327" t="s">
        <v>989</v>
      </c>
      <c r="N62" s="327" t="s">
        <v>990</v>
      </c>
      <c r="O62" s="290"/>
      <c r="P62" s="328">
        <v>1</v>
      </c>
      <c r="Q62" s="307">
        <v>0.1</v>
      </c>
      <c r="R62" s="328"/>
      <c r="S62" s="329">
        <f t="shared" si="0"/>
        <v>0</v>
      </c>
      <c r="T62" s="330">
        <f t="shared" si="1"/>
        <v>0</v>
      </c>
      <c r="U62" s="329" t="s">
        <v>34</v>
      </c>
      <c r="V62" s="329"/>
      <c r="W62" s="325"/>
    </row>
    <row r="63" spans="1:23" s="274" customFormat="1" ht="16.05" customHeight="1" x14ac:dyDescent="0.3">
      <c r="A63" s="1">
        <v>62</v>
      </c>
      <c r="B63" s="16" t="s">
        <v>924</v>
      </c>
      <c r="C63" s="16" t="s">
        <v>24</v>
      </c>
      <c r="D63" s="323">
        <v>6030</v>
      </c>
      <c r="E63" s="324" t="s">
        <v>977</v>
      </c>
      <c r="F63" s="325" t="s">
        <v>978</v>
      </c>
      <c r="G63" s="325">
        <v>6592</v>
      </c>
      <c r="H63" s="325" t="s">
        <v>925</v>
      </c>
      <c r="I63" s="325" t="s">
        <v>28</v>
      </c>
      <c r="J63" s="184" t="s">
        <v>58</v>
      </c>
      <c r="K63" s="306" t="s">
        <v>57</v>
      </c>
      <c r="L63" s="307">
        <v>0.8</v>
      </c>
      <c r="M63" s="327" t="s">
        <v>991</v>
      </c>
      <c r="N63" s="327" t="s">
        <v>992</v>
      </c>
      <c r="O63" s="331"/>
      <c r="P63" s="328">
        <v>1</v>
      </c>
      <c r="Q63" s="307">
        <v>0.1</v>
      </c>
      <c r="R63" s="328"/>
      <c r="S63" s="329">
        <f t="shared" si="0"/>
        <v>0</v>
      </c>
      <c r="T63" s="330">
        <f t="shared" si="1"/>
        <v>0</v>
      </c>
      <c r="U63" s="329" t="s">
        <v>34</v>
      </c>
      <c r="V63" s="329"/>
      <c r="W63" s="325"/>
    </row>
    <row r="64" spans="1:23" s="274" customFormat="1" ht="16.05" customHeight="1" x14ac:dyDescent="0.3">
      <c r="A64" s="1">
        <v>63</v>
      </c>
      <c r="B64" s="16" t="s">
        <v>924</v>
      </c>
      <c r="C64" s="16" t="s">
        <v>24</v>
      </c>
      <c r="D64" s="323">
        <v>6030</v>
      </c>
      <c r="E64" s="324" t="s">
        <v>977</v>
      </c>
      <c r="F64" s="325" t="s">
        <v>978</v>
      </c>
      <c r="G64" s="325">
        <v>6592</v>
      </c>
      <c r="H64" s="325" t="s">
        <v>925</v>
      </c>
      <c r="I64" s="325" t="s">
        <v>28</v>
      </c>
      <c r="J64" s="184" t="s">
        <v>58</v>
      </c>
      <c r="K64" s="306" t="s">
        <v>57</v>
      </c>
      <c r="L64" s="307">
        <v>0.8</v>
      </c>
      <c r="M64" s="327" t="s">
        <v>993</v>
      </c>
      <c r="N64" s="327" t="s">
        <v>994</v>
      </c>
      <c r="O64" s="331"/>
      <c r="P64" s="328">
        <v>1</v>
      </c>
      <c r="Q64" s="307">
        <v>0.1</v>
      </c>
      <c r="R64" s="328"/>
      <c r="S64" s="329">
        <f t="shared" si="0"/>
        <v>0</v>
      </c>
      <c r="T64" s="330">
        <f t="shared" si="1"/>
        <v>0</v>
      </c>
      <c r="U64" s="329" t="s">
        <v>34</v>
      </c>
      <c r="V64" s="329"/>
      <c r="W64" s="325"/>
    </row>
    <row r="65" spans="1:23" s="274" customFormat="1" ht="16.05" customHeight="1" x14ac:dyDescent="0.3">
      <c r="A65" s="1">
        <v>64</v>
      </c>
      <c r="B65" s="16" t="s">
        <v>924</v>
      </c>
      <c r="C65" s="16" t="s">
        <v>24</v>
      </c>
      <c r="D65" s="323">
        <v>6030</v>
      </c>
      <c r="E65" s="324" t="s">
        <v>977</v>
      </c>
      <c r="F65" s="325" t="s">
        <v>978</v>
      </c>
      <c r="G65" s="325">
        <v>6592</v>
      </c>
      <c r="H65" s="113" t="s">
        <v>925</v>
      </c>
      <c r="I65" s="325" t="s">
        <v>28</v>
      </c>
      <c r="J65" s="184" t="s">
        <v>58</v>
      </c>
      <c r="K65" s="306" t="s">
        <v>57</v>
      </c>
      <c r="L65" s="307">
        <v>0.8</v>
      </c>
      <c r="M65" s="327" t="s">
        <v>995</v>
      </c>
      <c r="N65" s="327" t="s">
        <v>996</v>
      </c>
      <c r="O65" s="331"/>
      <c r="P65" s="328">
        <v>1</v>
      </c>
      <c r="Q65" s="307">
        <v>0.05</v>
      </c>
      <c r="R65" s="328"/>
      <c r="S65" s="329">
        <f t="shared" si="0"/>
        <v>0</v>
      </c>
      <c r="T65" s="330">
        <f t="shared" si="1"/>
        <v>0</v>
      </c>
      <c r="U65" s="329" t="s">
        <v>34</v>
      </c>
      <c r="V65" s="329"/>
      <c r="W65" s="113"/>
    </row>
    <row r="66" spans="1:23" s="274" customFormat="1" ht="16.05" customHeight="1" x14ac:dyDescent="0.3">
      <c r="A66" s="1">
        <v>65</v>
      </c>
      <c r="B66" s="16" t="s">
        <v>924</v>
      </c>
      <c r="C66" s="16" t="s">
        <v>24</v>
      </c>
      <c r="D66" s="323">
        <v>6030</v>
      </c>
      <c r="E66" s="324" t="s">
        <v>977</v>
      </c>
      <c r="F66" s="325" t="s">
        <v>978</v>
      </c>
      <c r="G66" s="325">
        <v>6592</v>
      </c>
      <c r="H66" s="325" t="s">
        <v>925</v>
      </c>
      <c r="I66" s="325" t="s">
        <v>28</v>
      </c>
      <c r="J66" s="184" t="s">
        <v>58</v>
      </c>
      <c r="K66" s="306" t="s">
        <v>57</v>
      </c>
      <c r="L66" s="307">
        <v>0.8</v>
      </c>
      <c r="M66" s="327" t="s">
        <v>997</v>
      </c>
      <c r="N66" s="327" t="s">
        <v>998</v>
      </c>
      <c r="O66" s="331"/>
      <c r="P66" s="328">
        <v>1</v>
      </c>
      <c r="Q66" s="307">
        <v>0.05</v>
      </c>
      <c r="R66" s="328"/>
      <c r="S66" s="329">
        <f t="shared" ref="S66:S129" si="2">ROUND(IF(OR(P66="",R66=""),0,IF(AND(P66=0,R66=0),1,IF(U66="+",R66/P66,P66/R66))),2)</f>
        <v>0</v>
      </c>
      <c r="T66" s="330">
        <f t="shared" ref="T66:T129" si="3">IF(AND(S66&gt;=60%,S66&lt;100%),S66*((Q66*L66)),IF(S66=100%,((Q66*L66)*S66)*100%,IF(S66&gt;100%,((L66*Q66)*100%)*100%,0)))*100</f>
        <v>0</v>
      </c>
      <c r="U66" s="329" t="s">
        <v>34</v>
      </c>
      <c r="V66" s="329"/>
      <c r="W66" s="325"/>
    </row>
    <row r="67" spans="1:23" s="274" customFormat="1" ht="16.05" customHeight="1" x14ac:dyDescent="0.3">
      <c r="A67" s="1">
        <v>66</v>
      </c>
      <c r="B67" s="16" t="s">
        <v>924</v>
      </c>
      <c r="C67" s="16" t="s">
        <v>24</v>
      </c>
      <c r="D67" s="323">
        <v>6030</v>
      </c>
      <c r="E67" s="324" t="s">
        <v>977</v>
      </c>
      <c r="F67" s="325" t="s">
        <v>978</v>
      </c>
      <c r="G67" s="325">
        <v>6592</v>
      </c>
      <c r="H67" s="325" t="s">
        <v>925</v>
      </c>
      <c r="I67" s="325" t="s">
        <v>28</v>
      </c>
      <c r="J67" s="184" t="s">
        <v>58</v>
      </c>
      <c r="K67" s="306" t="s">
        <v>57</v>
      </c>
      <c r="L67" s="307">
        <v>0.8</v>
      </c>
      <c r="M67" s="327" t="s">
        <v>999</v>
      </c>
      <c r="N67" s="327" t="s">
        <v>1000</v>
      </c>
      <c r="O67" s="331"/>
      <c r="P67" s="328">
        <v>1</v>
      </c>
      <c r="Q67" s="307">
        <v>0.05</v>
      </c>
      <c r="R67" s="328"/>
      <c r="S67" s="329">
        <f t="shared" si="2"/>
        <v>0</v>
      </c>
      <c r="T67" s="330">
        <f t="shared" si="3"/>
        <v>0</v>
      </c>
      <c r="U67" s="329" t="s">
        <v>34</v>
      </c>
      <c r="V67" s="329"/>
      <c r="W67" s="325"/>
    </row>
    <row r="68" spans="1:23" s="274" customFormat="1" ht="16.05" customHeight="1" x14ac:dyDescent="0.3">
      <c r="A68" s="1">
        <v>67</v>
      </c>
      <c r="B68" s="16" t="s">
        <v>924</v>
      </c>
      <c r="C68" s="16" t="s">
        <v>24</v>
      </c>
      <c r="D68" s="323">
        <v>6030</v>
      </c>
      <c r="E68" s="324" t="s">
        <v>977</v>
      </c>
      <c r="F68" s="325" t="s">
        <v>978</v>
      </c>
      <c r="G68" s="325">
        <v>6592</v>
      </c>
      <c r="H68" s="325" t="s">
        <v>925</v>
      </c>
      <c r="I68" s="325" t="s">
        <v>28</v>
      </c>
      <c r="J68" s="184" t="s">
        <v>58</v>
      </c>
      <c r="K68" s="306" t="s">
        <v>57</v>
      </c>
      <c r="L68" s="307">
        <v>0.8</v>
      </c>
      <c r="M68" s="327" t="s">
        <v>1001</v>
      </c>
      <c r="N68" s="327" t="s">
        <v>1002</v>
      </c>
      <c r="O68" s="331"/>
      <c r="P68" s="328">
        <v>1</v>
      </c>
      <c r="Q68" s="307">
        <v>0.05</v>
      </c>
      <c r="R68" s="328"/>
      <c r="S68" s="329">
        <f t="shared" si="2"/>
        <v>0</v>
      </c>
      <c r="T68" s="330">
        <f t="shared" si="3"/>
        <v>0</v>
      </c>
      <c r="U68" s="329" t="s">
        <v>34</v>
      </c>
      <c r="V68" s="329"/>
      <c r="W68" s="325"/>
    </row>
    <row r="69" spans="1:23" s="274" customFormat="1" ht="16.05" customHeight="1" x14ac:dyDescent="0.3">
      <c r="A69" s="1">
        <v>68</v>
      </c>
      <c r="B69" s="16" t="s">
        <v>924</v>
      </c>
      <c r="C69" s="16" t="s">
        <v>24</v>
      </c>
      <c r="D69" s="323">
        <v>6030</v>
      </c>
      <c r="E69" s="324" t="s">
        <v>977</v>
      </c>
      <c r="F69" s="325" t="s">
        <v>978</v>
      </c>
      <c r="G69" s="325">
        <v>6592</v>
      </c>
      <c r="H69" s="113" t="s">
        <v>925</v>
      </c>
      <c r="I69" s="325" t="s">
        <v>28</v>
      </c>
      <c r="J69" s="182" t="s">
        <v>111</v>
      </c>
      <c r="K69" s="16" t="s">
        <v>110</v>
      </c>
      <c r="L69" s="332">
        <v>0.2</v>
      </c>
      <c r="M69" s="333" t="s">
        <v>1003</v>
      </c>
      <c r="N69" s="333" t="s">
        <v>1004</v>
      </c>
      <c r="O69" s="334"/>
      <c r="P69" s="138">
        <v>1</v>
      </c>
      <c r="Q69" s="332">
        <v>0.2</v>
      </c>
      <c r="R69" s="138"/>
      <c r="S69" s="335">
        <f t="shared" si="2"/>
        <v>0</v>
      </c>
      <c r="T69" s="336">
        <f t="shared" si="3"/>
        <v>0</v>
      </c>
      <c r="U69" s="335" t="s">
        <v>34</v>
      </c>
      <c r="V69" s="335"/>
      <c r="W69" s="113"/>
    </row>
    <row r="70" spans="1:23" s="274" customFormat="1" ht="16.05" customHeight="1" x14ac:dyDescent="0.3">
      <c r="A70" s="1">
        <v>69</v>
      </c>
      <c r="B70" s="16" t="s">
        <v>924</v>
      </c>
      <c r="C70" s="16" t="s">
        <v>24</v>
      </c>
      <c r="D70" s="323">
        <v>6030</v>
      </c>
      <c r="E70" s="324" t="s">
        <v>977</v>
      </c>
      <c r="F70" s="325" t="s">
        <v>978</v>
      </c>
      <c r="G70" s="325">
        <v>6592</v>
      </c>
      <c r="H70" s="325" t="s">
        <v>925</v>
      </c>
      <c r="I70" s="325" t="s">
        <v>28</v>
      </c>
      <c r="J70" s="182" t="s">
        <v>111</v>
      </c>
      <c r="K70" s="16" t="s">
        <v>110</v>
      </c>
      <c r="L70" s="337">
        <v>0.2</v>
      </c>
      <c r="M70" s="338" t="s">
        <v>1005</v>
      </c>
      <c r="N70" s="338" t="s">
        <v>1006</v>
      </c>
      <c r="O70" s="334"/>
      <c r="P70" s="138">
        <v>1</v>
      </c>
      <c r="Q70" s="337">
        <v>0.2</v>
      </c>
      <c r="R70" s="138"/>
      <c r="S70" s="335">
        <f t="shared" si="2"/>
        <v>0</v>
      </c>
      <c r="T70" s="336">
        <f t="shared" si="3"/>
        <v>0</v>
      </c>
      <c r="U70" s="335" t="s">
        <v>34</v>
      </c>
      <c r="V70" s="335"/>
      <c r="W70" s="325"/>
    </row>
    <row r="71" spans="1:23" s="274" customFormat="1" ht="16.05" customHeight="1" x14ac:dyDescent="0.3">
      <c r="A71" s="1">
        <v>70</v>
      </c>
      <c r="B71" s="16" t="s">
        <v>924</v>
      </c>
      <c r="C71" s="16" t="s">
        <v>24</v>
      </c>
      <c r="D71" s="323">
        <v>6030</v>
      </c>
      <c r="E71" s="324" t="s">
        <v>977</v>
      </c>
      <c r="F71" s="325" t="s">
        <v>978</v>
      </c>
      <c r="G71" s="325">
        <v>6592</v>
      </c>
      <c r="H71" s="325" t="s">
        <v>925</v>
      </c>
      <c r="I71" s="325" t="s">
        <v>28</v>
      </c>
      <c r="J71" s="182" t="s">
        <v>111</v>
      </c>
      <c r="K71" s="16" t="s">
        <v>110</v>
      </c>
      <c r="L71" s="337">
        <v>0.2</v>
      </c>
      <c r="M71" s="338" t="s">
        <v>1007</v>
      </c>
      <c r="N71" s="338" t="s">
        <v>1008</v>
      </c>
      <c r="O71" s="334"/>
      <c r="P71" s="138">
        <v>1</v>
      </c>
      <c r="Q71" s="337">
        <v>0.2</v>
      </c>
      <c r="R71" s="138"/>
      <c r="S71" s="335">
        <f t="shared" si="2"/>
        <v>0</v>
      </c>
      <c r="T71" s="336">
        <f t="shared" si="3"/>
        <v>0</v>
      </c>
      <c r="U71" s="335" t="s">
        <v>34</v>
      </c>
      <c r="V71" s="335"/>
      <c r="W71" s="325"/>
    </row>
    <row r="72" spans="1:23" s="274" customFormat="1" ht="16.05" customHeight="1" x14ac:dyDescent="0.3">
      <c r="A72" s="1">
        <v>71</v>
      </c>
      <c r="B72" s="16" t="s">
        <v>924</v>
      </c>
      <c r="C72" s="16" t="s">
        <v>24</v>
      </c>
      <c r="D72" s="323">
        <v>6030</v>
      </c>
      <c r="E72" s="324" t="s">
        <v>977</v>
      </c>
      <c r="F72" s="325" t="s">
        <v>978</v>
      </c>
      <c r="G72" s="325">
        <v>6592</v>
      </c>
      <c r="H72" s="325" t="s">
        <v>925</v>
      </c>
      <c r="I72" s="325" t="s">
        <v>28</v>
      </c>
      <c r="J72" s="182" t="s">
        <v>111</v>
      </c>
      <c r="K72" s="16" t="s">
        <v>110</v>
      </c>
      <c r="L72" s="337">
        <v>0.2</v>
      </c>
      <c r="M72" s="338" t="s">
        <v>1009</v>
      </c>
      <c r="N72" s="338" t="s">
        <v>1010</v>
      </c>
      <c r="O72" s="334"/>
      <c r="P72" s="138">
        <v>1</v>
      </c>
      <c r="Q72" s="337">
        <v>0.2</v>
      </c>
      <c r="R72" s="138"/>
      <c r="S72" s="335">
        <f t="shared" si="2"/>
        <v>0</v>
      </c>
      <c r="T72" s="336">
        <f t="shared" si="3"/>
        <v>0</v>
      </c>
      <c r="U72" s="335" t="s">
        <v>34</v>
      </c>
      <c r="V72" s="335"/>
      <c r="W72" s="325"/>
    </row>
    <row r="73" spans="1:23" s="274" customFormat="1" ht="16.05" customHeight="1" x14ac:dyDescent="0.3">
      <c r="A73" s="1">
        <v>72</v>
      </c>
      <c r="B73" s="16" t="s">
        <v>924</v>
      </c>
      <c r="C73" s="16" t="s">
        <v>24</v>
      </c>
      <c r="D73" s="323">
        <v>6030</v>
      </c>
      <c r="E73" s="324" t="s">
        <v>977</v>
      </c>
      <c r="F73" s="325" t="s">
        <v>978</v>
      </c>
      <c r="G73" s="325">
        <v>6592</v>
      </c>
      <c r="H73" s="113" t="s">
        <v>925</v>
      </c>
      <c r="I73" s="325" t="s">
        <v>28</v>
      </c>
      <c r="J73" s="182" t="s">
        <v>111</v>
      </c>
      <c r="K73" s="16" t="s">
        <v>110</v>
      </c>
      <c r="L73" s="337">
        <v>0.2</v>
      </c>
      <c r="M73" s="338" t="s">
        <v>1011</v>
      </c>
      <c r="N73" s="338" t="s">
        <v>1012</v>
      </c>
      <c r="O73" s="334"/>
      <c r="P73" s="138">
        <v>1</v>
      </c>
      <c r="Q73" s="337">
        <v>0.2</v>
      </c>
      <c r="R73" s="138"/>
      <c r="S73" s="335">
        <f t="shared" si="2"/>
        <v>0</v>
      </c>
      <c r="T73" s="336">
        <f t="shared" si="3"/>
        <v>0</v>
      </c>
      <c r="U73" s="335" t="s">
        <v>34</v>
      </c>
      <c r="V73" s="335"/>
      <c r="W73" s="113"/>
    </row>
    <row r="74" spans="1:23" s="343" customFormat="1" ht="21" customHeight="1" x14ac:dyDescent="0.45">
      <c r="A74" s="1">
        <v>73</v>
      </c>
      <c r="B74" s="3" t="s">
        <v>924</v>
      </c>
      <c r="C74" s="3" t="s">
        <v>24</v>
      </c>
      <c r="D74" s="275">
        <v>5795</v>
      </c>
      <c r="E74" s="2" t="s">
        <v>1013</v>
      </c>
      <c r="F74" s="2" t="s">
        <v>1014</v>
      </c>
      <c r="G74" s="3">
        <v>3606</v>
      </c>
      <c r="H74" s="2" t="s">
        <v>1015</v>
      </c>
      <c r="I74" s="2" t="s">
        <v>1016</v>
      </c>
      <c r="J74" s="339" t="s">
        <v>58</v>
      </c>
      <c r="K74" s="2" t="s">
        <v>57</v>
      </c>
      <c r="L74" s="276">
        <v>1</v>
      </c>
      <c r="M74" s="340" t="s">
        <v>1017</v>
      </c>
      <c r="N74" s="3" t="s">
        <v>1018</v>
      </c>
      <c r="O74" s="341" t="s">
        <v>1019</v>
      </c>
      <c r="P74" s="342">
        <v>1</v>
      </c>
      <c r="Q74" s="276">
        <v>0.4</v>
      </c>
      <c r="R74" s="342"/>
      <c r="S74" s="120">
        <f t="shared" si="2"/>
        <v>0</v>
      </c>
      <c r="T74" s="119">
        <f t="shared" si="3"/>
        <v>0</v>
      </c>
      <c r="U74" s="342" t="s">
        <v>34</v>
      </c>
      <c r="V74" s="322">
        <f>SUM(T74:T80)%</f>
        <v>0</v>
      </c>
      <c r="W74" s="342"/>
    </row>
    <row r="75" spans="1:23" ht="16.05" customHeight="1" x14ac:dyDescent="0.45">
      <c r="A75" s="1">
        <v>74</v>
      </c>
      <c r="B75" s="15" t="s">
        <v>924</v>
      </c>
      <c r="C75" s="15" t="s">
        <v>24</v>
      </c>
      <c r="D75" s="281">
        <v>5795</v>
      </c>
      <c r="E75" s="15" t="s">
        <v>1013</v>
      </c>
      <c r="F75" s="15" t="s">
        <v>1014</v>
      </c>
      <c r="G75" s="16">
        <v>3606</v>
      </c>
      <c r="H75" s="15" t="s">
        <v>1015</v>
      </c>
      <c r="I75" s="15" t="s">
        <v>1016</v>
      </c>
      <c r="J75" s="344" t="s">
        <v>58</v>
      </c>
      <c r="K75" s="345" t="s">
        <v>57</v>
      </c>
      <c r="L75" s="346">
        <v>1</v>
      </c>
      <c r="M75" s="347"/>
      <c r="N75" s="184" t="s">
        <v>1020</v>
      </c>
      <c r="O75" s="348"/>
      <c r="P75" s="116">
        <v>1</v>
      </c>
      <c r="Q75" s="346">
        <v>0.2</v>
      </c>
      <c r="R75" s="116"/>
      <c r="S75" s="35">
        <f t="shared" si="2"/>
        <v>0</v>
      </c>
      <c r="T75" s="42">
        <f t="shared" si="3"/>
        <v>0</v>
      </c>
      <c r="U75" s="116" t="s">
        <v>34</v>
      </c>
      <c r="V75" s="44"/>
      <c r="W75" s="15"/>
    </row>
    <row r="76" spans="1:23" ht="16.05" customHeight="1" x14ac:dyDescent="0.45">
      <c r="A76" s="1">
        <v>75</v>
      </c>
      <c r="B76" s="15" t="s">
        <v>924</v>
      </c>
      <c r="C76" s="15" t="s">
        <v>24</v>
      </c>
      <c r="D76" s="281">
        <v>5795</v>
      </c>
      <c r="E76" s="15" t="s">
        <v>1013</v>
      </c>
      <c r="F76" s="15" t="s">
        <v>1014</v>
      </c>
      <c r="G76" s="16">
        <v>3606</v>
      </c>
      <c r="H76" s="15" t="s">
        <v>1015</v>
      </c>
      <c r="I76" s="15" t="s">
        <v>1016</v>
      </c>
      <c r="J76" s="344" t="s">
        <v>58</v>
      </c>
      <c r="K76" s="345" t="s">
        <v>57</v>
      </c>
      <c r="L76" s="346">
        <v>1</v>
      </c>
      <c r="M76" s="347" t="s">
        <v>1021</v>
      </c>
      <c r="N76" s="184" t="s">
        <v>1022</v>
      </c>
      <c r="O76" s="344"/>
      <c r="P76" s="116">
        <v>1</v>
      </c>
      <c r="Q76" s="346">
        <v>0.08</v>
      </c>
      <c r="R76" s="116"/>
      <c r="S76" s="35">
        <f t="shared" si="2"/>
        <v>0</v>
      </c>
      <c r="T76" s="42">
        <f t="shared" si="3"/>
        <v>0</v>
      </c>
      <c r="U76" s="116" t="s">
        <v>34</v>
      </c>
      <c r="V76" s="44"/>
      <c r="W76" s="15"/>
    </row>
    <row r="77" spans="1:23" ht="16.05" customHeight="1" x14ac:dyDescent="0.45">
      <c r="A77" s="1">
        <v>76</v>
      </c>
      <c r="B77" s="15" t="s">
        <v>924</v>
      </c>
      <c r="C77" s="15" t="s">
        <v>24</v>
      </c>
      <c r="D77" s="281">
        <v>5795</v>
      </c>
      <c r="E77" s="15" t="s">
        <v>1013</v>
      </c>
      <c r="F77" s="15" t="s">
        <v>1014</v>
      </c>
      <c r="G77" s="16">
        <v>3606</v>
      </c>
      <c r="H77" s="15" t="s">
        <v>1015</v>
      </c>
      <c r="I77" s="15" t="s">
        <v>1016</v>
      </c>
      <c r="J77" s="344" t="s">
        <v>58</v>
      </c>
      <c r="K77" s="345" t="s">
        <v>57</v>
      </c>
      <c r="L77" s="346">
        <v>1</v>
      </c>
      <c r="M77" s="347" t="s">
        <v>1023</v>
      </c>
      <c r="N77" s="184" t="s">
        <v>255</v>
      </c>
      <c r="O77" s="344"/>
      <c r="P77" s="116">
        <v>1</v>
      </c>
      <c r="Q77" s="346">
        <v>0.08</v>
      </c>
      <c r="R77" s="116"/>
      <c r="S77" s="35">
        <f t="shared" si="2"/>
        <v>0</v>
      </c>
      <c r="T77" s="42">
        <f t="shared" si="3"/>
        <v>0</v>
      </c>
      <c r="U77" s="116" t="s">
        <v>34</v>
      </c>
      <c r="V77" s="44"/>
      <c r="W77" s="15"/>
    </row>
    <row r="78" spans="1:23" ht="16.05" customHeight="1" x14ac:dyDescent="0.45">
      <c r="A78" s="1">
        <v>77</v>
      </c>
      <c r="B78" s="15" t="s">
        <v>924</v>
      </c>
      <c r="C78" s="15" t="s">
        <v>24</v>
      </c>
      <c r="D78" s="281">
        <v>5795</v>
      </c>
      <c r="E78" s="15" t="s">
        <v>1013</v>
      </c>
      <c r="F78" s="15" t="s">
        <v>1014</v>
      </c>
      <c r="G78" s="16">
        <v>3606</v>
      </c>
      <c r="H78" s="15" t="s">
        <v>1015</v>
      </c>
      <c r="I78" s="15" t="s">
        <v>1016</v>
      </c>
      <c r="J78" s="344" t="s">
        <v>58</v>
      </c>
      <c r="K78" s="345" t="s">
        <v>57</v>
      </c>
      <c r="L78" s="346">
        <v>1</v>
      </c>
      <c r="M78" s="347" t="s">
        <v>1024</v>
      </c>
      <c r="N78" s="184" t="s">
        <v>1025</v>
      </c>
      <c r="O78" s="348" t="s">
        <v>1026</v>
      </c>
      <c r="P78" s="116">
        <v>1</v>
      </c>
      <c r="Q78" s="346">
        <v>0.08</v>
      </c>
      <c r="R78" s="116"/>
      <c r="S78" s="35">
        <f t="shared" si="2"/>
        <v>0</v>
      </c>
      <c r="T78" s="42">
        <f t="shared" si="3"/>
        <v>0</v>
      </c>
      <c r="U78" s="116" t="s">
        <v>34</v>
      </c>
      <c r="V78" s="44"/>
      <c r="W78" s="15"/>
    </row>
    <row r="79" spans="1:23" ht="16.05" customHeight="1" x14ac:dyDescent="0.45">
      <c r="A79" s="1">
        <v>78</v>
      </c>
      <c r="B79" s="15" t="s">
        <v>924</v>
      </c>
      <c r="C79" s="15" t="s">
        <v>24</v>
      </c>
      <c r="D79" s="281">
        <v>5795</v>
      </c>
      <c r="E79" s="15" t="s">
        <v>1013</v>
      </c>
      <c r="F79" s="15" t="s">
        <v>1014</v>
      </c>
      <c r="G79" s="16">
        <v>3606</v>
      </c>
      <c r="H79" s="15" t="s">
        <v>1015</v>
      </c>
      <c r="I79" s="15" t="s">
        <v>1016</v>
      </c>
      <c r="J79" s="344" t="s">
        <v>58</v>
      </c>
      <c r="K79" s="345" t="s">
        <v>57</v>
      </c>
      <c r="L79" s="346">
        <v>1</v>
      </c>
      <c r="M79" s="347" t="s">
        <v>1027</v>
      </c>
      <c r="N79" s="184" t="s">
        <v>251</v>
      </c>
      <c r="O79" s="344"/>
      <c r="P79" s="116">
        <v>1</v>
      </c>
      <c r="Q79" s="346">
        <v>0.08</v>
      </c>
      <c r="R79" s="116"/>
      <c r="S79" s="35">
        <f t="shared" si="2"/>
        <v>0</v>
      </c>
      <c r="T79" s="42">
        <f t="shared" si="3"/>
        <v>0</v>
      </c>
      <c r="U79" s="116" t="s">
        <v>34</v>
      </c>
      <c r="V79" s="44"/>
      <c r="W79" s="15"/>
    </row>
    <row r="80" spans="1:23" ht="16.05" customHeight="1" x14ac:dyDescent="0.45">
      <c r="A80" s="1">
        <v>79</v>
      </c>
      <c r="B80" s="15" t="s">
        <v>924</v>
      </c>
      <c r="C80" s="15" t="s">
        <v>24</v>
      </c>
      <c r="D80" s="281">
        <v>5795</v>
      </c>
      <c r="E80" s="15" t="s">
        <v>1013</v>
      </c>
      <c r="F80" s="15" t="s">
        <v>1014</v>
      </c>
      <c r="G80" s="16">
        <v>3606</v>
      </c>
      <c r="H80" s="15" t="s">
        <v>1015</v>
      </c>
      <c r="I80" s="15" t="s">
        <v>1016</v>
      </c>
      <c r="J80" s="344" t="s">
        <v>58</v>
      </c>
      <c r="K80" s="345" t="s">
        <v>57</v>
      </c>
      <c r="L80" s="346">
        <v>1</v>
      </c>
      <c r="M80" s="347" t="s">
        <v>1028</v>
      </c>
      <c r="N80" s="184" t="s">
        <v>1029</v>
      </c>
      <c r="O80" s="344"/>
      <c r="P80" s="116">
        <v>1</v>
      </c>
      <c r="Q80" s="346">
        <v>0.08</v>
      </c>
      <c r="R80" s="116"/>
      <c r="S80" s="35">
        <f t="shared" si="2"/>
        <v>0</v>
      </c>
      <c r="T80" s="42">
        <f t="shared" si="3"/>
        <v>0</v>
      </c>
      <c r="U80" s="116" t="s">
        <v>34</v>
      </c>
      <c r="V80" s="44"/>
      <c r="W80" s="15"/>
    </row>
    <row r="81" spans="1:23" ht="16.05" customHeight="1" x14ac:dyDescent="0.45">
      <c r="A81" s="1">
        <v>80</v>
      </c>
      <c r="B81" s="2" t="s">
        <v>924</v>
      </c>
      <c r="C81" s="2" t="s">
        <v>24</v>
      </c>
      <c r="D81" s="275">
        <v>3885</v>
      </c>
      <c r="E81" s="2" t="s">
        <v>1030</v>
      </c>
      <c r="F81" s="2" t="s">
        <v>1014</v>
      </c>
      <c r="G81" s="3">
        <v>3606</v>
      </c>
      <c r="H81" s="2" t="s">
        <v>1015</v>
      </c>
      <c r="I81" s="2" t="s">
        <v>1016</v>
      </c>
      <c r="J81" s="339" t="s">
        <v>58</v>
      </c>
      <c r="K81" s="2" t="s">
        <v>57</v>
      </c>
      <c r="L81" s="276">
        <v>1</v>
      </c>
      <c r="M81" s="340" t="s">
        <v>1017</v>
      </c>
      <c r="N81" s="3" t="s">
        <v>1018</v>
      </c>
      <c r="O81" s="341" t="s">
        <v>1031</v>
      </c>
      <c r="P81" s="342">
        <v>1</v>
      </c>
      <c r="Q81" s="276">
        <v>0.4</v>
      </c>
      <c r="R81" s="342"/>
      <c r="S81" s="120">
        <f t="shared" si="2"/>
        <v>0</v>
      </c>
      <c r="T81" s="119">
        <f t="shared" si="3"/>
        <v>0</v>
      </c>
      <c r="U81" s="342" t="s">
        <v>34</v>
      </c>
      <c r="V81" s="278">
        <f>SUM(T81:T87)%</f>
        <v>0</v>
      </c>
      <c r="W81" s="2"/>
    </row>
    <row r="82" spans="1:23" ht="16.05" customHeight="1" x14ac:dyDescent="0.45">
      <c r="A82" s="1">
        <v>81</v>
      </c>
      <c r="B82" s="15" t="s">
        <v>924</v>
      </c>
      <c r="C82" s="15" t="s">
        <v>24</v>
      </c>
      <c r="D82" s="281">
        <v>3885</v>
      </c>
      <c r="E82" s="15" t="s">
        <v>1030</v>
      </c>
      <c r="F82" s="15" t="s">
        <v>1014</v>
      </c>
      <c r="G82" s="16">
        <v>3606</v>
      </c>
      <c r="H82" s="15" t="s">
        <v>1015</v>
      </c>
      <c r="I82" s="15" t="s">
        <v>1016</v>
      </c>
      <c r="J82" s="344" t="s">
        <v>58</v>
      </c>
      <c r="K82" s="345" t="s">
        <v>57</v>
      </c>
      <c r="L82" s="346">
        <v>1</v>
      </c>
      <c r="M82" s="347"/>
      <c r="N82" s="184" t="s">
        <v>1020</v>
      </c>
      <c r="O82" s="348"/>
      <c r="P82" s="116">
        <v>1</v>
      </c>
      <c r="Q82" s="346">
        <v>0.2</v>
      </c>
      <c r="R82" s="116"/>
      <c r="S82" s="35">
        <f t="shared" si="2"/>
        <v>0</v>
      </c>
      <c r="T82" s="42">
        <f t="shared" si="3"/>
        <v>0</v>
      </c>
      <c r="U82" s="116" t="s">
        <v>34</v>
      </c>
      <c r="V82" s="44"/>
      <c r="W82" s="15"/>
    </row>
    <row r="83" spans="1:23" ht="16.05" customHeight="1" x14ac:dyDescent="0.45">
      <c r="A83" s="1">
        <v>82</v>
      </c>
      <c r="B83" s="15" t="s">
        <v>924</v>
      </c>
      <c r="C83" s="15" t="s">
        <v>24</v>
      </c>
      <c r="D83" s="281">
        <v>3885</v>
      </c>
      <c r="E83" s="15" t="s">
        <v>1030</v>
      </c>
      <c r="F83" s="15" t="s">
        <v>1014</v>
      </c>
      <c r="G83" s="16">
        <v>3606</v>
      </c>
      <c r="H83" s="15" t="s">
        <v>1015</v>
      </c>
      <c r="I83" s="15" t="s">
        <v>1016</v>
      </c>
      <c r="J83" s="344" t="s">
        <v>58</v>
      </c>
      <c r="K83" s="345" t="s">
        <v>57</v>
      </c>
      <c r="L83" s="346">
        <v>1</v>
      </c>
      <c r="M83" s="347" t="s">
        <v>1021</v>
      </c>
      <c r="N83" s="184" t="s">
        <v>1022</v>
      </c>
      <c r="O83" s="344"/>
      <c r="P83" s="116">
        <v>1</v>
      </c>
      <c r="Q83" s="346">
        <v>0.08</v>
      </c>
      <c r="R83" s="116"/>
      <c r="S83" s="35">
        <f t="shared" si="2"/>
        <v>0</v>
      </c>
      <c r="T83" s="42">
        <f t="shared" si="3"/>
        <v>0</v>
      </c>
      <c r="U83" s="116" t="s">
        <v>34</v>
      </c>
      <c r="V83" s="44"/>
      <c r="W83" s="15"/>
    </row>
    <row r="84" spans="1:23" ht="16.05" customHeight="1" x14ac:dyDescent="0.45">
      <c r="A84" s="1">
        <v>83</v>
      </c>
      <c r="B84" s="15" t="s">
        <v>924</v>
      </c>
      <c r="C84" s="15" t="s">
        <v>24</v>
      </c>
      <c r="D84" s="281">
        <v>3885</v>
      </c>
      <c r="E84" s="15" t="s">
        <v>1030</v>
      </c>
      <c r="F84" s="15" t="s">
        <v>1014</v>
      </c>
      <c r="G84" s="16">
        <v>3606</v>
      </c>
      <c r="H84" s="15" t="s">
        <v>1015</v>
      </c>
      <c r="I84" s="15" t="s">
        <v>1016</v>
      </c>
      <c r="J84" s="344" t="s">
        <v>58</v>
      </c>
      <c r="K84" s="345" t="s">
        <v>57</v>
      </c>
      <c r="L84" s="346">
        <v>1</v>
      </c>
      <c r="M84" s="347" t="s">
        <v>1023</v>
      </c>
      <c r="N84" s="184" t="s">
        <v>255</v>
      </c>
      <c r="O84" s="344"/>
      <c r="P84" s="116">
        <v>1</v>
      </c>
      <c r="Q84" s="346">
        <v>0.08</v>
      </c>
      <c r="R84" s="116"/>
      <c r="S84" s="35">
        <f t="shared" si="2"/>
        <v>0</v>
      </c>
      <c r="T84" s="42">
        <f t="shared" si="3"/>
        <v>0</v>
      </c>
      <c r="U84" s="116" t="s">
        <v>34</v>
      </c>
      <c r="V84" s="44"/>
      <c r="W84" s="15"/>
    </row>
    <row r="85" spans="1:23" ht="16.05" customHeight="1" x14ac:dyDescent="0.45">
      <c r="A85" s="1">
        <v>84</v>
      </c>
      <c r="B85" s="15" t="s">
        <v>924</v>
      </c>
      <c r="C85" s="15" t="s">
        <v>24</v>
      </c>
      <c r="D85" s="281">
        <v>3885</v>
      </c>
      <c r="E85" s="15" t="s">
        <v>1030</v>
      </c>
      <c r="F85" s="15" t="s">
        <v>1014</v>
      </c>
      <c r="G85" s="16">
        <v>3606</v>
      </c>
      <c r="H85" s="15" t="s">
        <v>1015</v>
      </c>
      <c r="I85" s="15" t="s">
        <v>1016</v>
      </c>
      <c r="J85" s="344" t="s">
        <v>58</v>
      </c>
      <c r="K85" s="345" t="s">
        <v>57</v>
      </c>
      <c r="L85" s="346">
        <v>1</v>
      </c>
      <c r="M85" s="347" t="s">
        <v>1024</v>
      </c>
      <c r="N85" s="184" t="s">
        <v>1025</v>
      </c>
      <c r="O85" s="348" t="s">
        <v>1026</v>
      </c>
      <c r="P85" s="116">
        <v>1</v>
      </c>
      <c r="Q85" s="346">
        <v>0.08</v>
      </c>
      <c r="R85" s="116"/>
      <c r="S85" s="35">
        <f t="shared" si="2"/>
        <v>0</v>
      </c>
      <c r="T85" s="42">
        <f t="shared" si="3"/>
        <v>0</v>
      </c>
      <c r="U85" s="116" t="s">
        <v>34</v>
      </c>
      <c r="V85" s="44"/>
      <c r="W85" s="15"/>
    </row>
    <row r="86" spans="1:23" ht="16.05" customHeight="1" x14ac:dyDescent="0.45">
      <c r="A86" s="1">
        <v>85</v>
      </c>
      <c r="B86" s="15" t="s">
        <v>924</v>
      </c>
      <c r="C86" s="15" t="s">
        <v>24</v>
      </c>
      <c r="D86" s="281">
        <v>3885</v>
      </c>
      <c r="E86" s="15" t="s">
        <v>1030</v>
      </c>
      <c r="F86" s="15" t="s">
        <v>1014</v>
      </c>
      <c r="G86" s="16">
        <v>3606</v>
      </c>
      <c r="H86" s="15" t="s">
        <v>1015</v>
      </c>
      <c r="I86" s="15" t="s">
        <v>1016</v>
      </c>
      <c r="J86" s="344" t="s">
        <v>58</v>
      </c>
      <c r="K86" s="345" t="s">
        <v>57</v>
      </c>
      <c r="L86" s="346">
        <v>1</v>
      </c>
      <c r="M86" s="347" t="s">
        <v>1027</v>
      </c>
      <c r="N86" s="184" t="s">
        <v>251</v>
      </c>
      <c r="O86" s="344"/>
      <c r="P86" s="116">
        <v>1</v>
      </c>
      <c r="Q86" s="346">
        <v>0.08</v>
      </c>
      <c r="R86" s="116"/>
      <c r="S86" s="35">
        <f t="shared" si="2"/>
        <v>0</v>
      </c>
      <c r="T86" s="42">
        <f t="shared" si="3"/>
        <v>0</v>
      </c>
      <c r="U86" s="116" t="s">
        <v>34</v>
      </c>
      <c r="V86" s="44"/>
      <c r="W86" s="15"/>
    </row>
    <row r="87" spans="1:23" ht="16.05" customHeight="1" x14ac:dyDescent="0.45">
      <c r="A87" s="1">
        <v>86</v>
      </c>
      <c r="B87" s="15" t="s">
        <v>924</v>
      </c>
      <c r="C87" s="15" t="s">
        <v>24</v>
      </c>
      <c r="D87" s="281">
        <v>3885</v>
      </c>
      <c r="E87" s="15" t="s">
        <v>1030</v>
      </c>
      <c r="F87" s="15" t="s">
        <v>1014</v>
      </c>
      <c r="G87" s="16">
        <v>3606</v>
      </c>
      <c r="H87" s="15" t="s">
        <v>1015</v>
      </c>
      <c r="I87" s="15" t="s">
        <v>1016</v>
      </c>
      <c r="J87" s="344" t="s">
        <v>58</v>
      </c>
      <c r="K87" s="345" t="s">
        <v>57</v>
      </c>
      <c r="L87" s="346">
        <v>1</v>
      </c>
      <c r="M87" s="347" t="s">
        <v>1028</v>
      </c>
      <c r="N87" s="184" t="s">
        <v>1029</v>
      </c>
      <c r="O87" s="344"/>
      <c r="P87" s="116">
        <v>1</v>
      </c>
      <c r="Q87" s="346">
        <v>0.08</v>
      </c>
      <c r="R87" s="116"/>
      <c r="S87" s="35">
        <f t="shared" si="2"/>
        <v>0</v>
      </c>
      <c r="T87" s="42">
        <f t="shared" si="3"/>
        <v>0</v>
      </c>
      <c r="U87" s="116" t="s">
        <v>34</v>
      </c>
      <c r="V87" s="44"/>
      <c r="W87" s="15"/>
    </row>
    <row r="88" spans="1:23" ht="16.05" customHeight="1" x14ac:dyDescent="0.45">
      <c r="A88" s="1">
        <v>87</v>
      </c>
      <c r="B88" s="2" t="s">
        <v>924</v>
      </c>
      <c r="C88" s="2" t="s">
        <v>24</v>
      </c>
      <c r="D88" s="275">
        <v>6012</v>
      </c>
      <c r="E88" s="2" t="s">
        <v>1032</v>
      </c>
      <c r="F88" s="2" t="s">
        <v>1014</v>
      </c>
      <c r="G88" s="3">
        <v>3606</v>
      </c>
      <c r="H88" s="2" t="s">
        <v>1015</v>
      </c>
      <c r="I88" s="2" t="s">
        <v>1016</v>
      </c>
      <c r="J88" s="339" t="s">
        <v>58</v>
      </c>
      <c r="K88" s="2" t="s">
        <v>57</v>
      </c>
      <c r="L88" s="276">
        <v>1</v>
      </c>
      <c r="M88" s="340" t="s">
        <v>1017</v>
      </c>
      <c r="N88" s="3" t="s">
        <v>1018</v>
      </c>
      <c r="O88" s="341" t="s">
        <v>1019</v>
      </c>
      <c r="P88" s="342">
        <v>1</v>
      </c>
      <c r="Q88" s="276">
        <v>0.4</v>
      </c>
      <c r="R88" s="342"/>
      <c r="S88" s="120">
        <f t="shared" si="2"/>
        <v>0</v>
      </c>
      <c r="T88" s="119">
        <f t="shared" si="3"/>
        <v>0</v>
      </c>
      <c r="U88" s="342" t="s">
        <v>34</v>
      </c>
      <c r="V88" s="278">
        <f>SUM(T88:T94)%</f>
        <v>0</v>
      </c>
      <c r="W88" s="2"/>
    </row>
    <row r="89" spans="1:23" ht="16.05" customHeight="1" x14ac:dyDescent="0.45">
      <c r="A89" s="1">
        <v>88</v>
      </c>
      <c r="B89" s="15" t="s">
        <v>924</v>
      </c>
      <c r="C89" s="15" t="s">
        <v>24</v>
      </c>
      <c r="D89" s="281">
        <v>6012</v>
      </c>
      <c r="E89" s="15" t="s">
        <v>1032</v>
      </c>
      <c r="F89" s="15" t="s">
        <v>1014</v>
      </c>
      <c r="G89" s="16">
        <v>3606</v>
      </c>
      <c r="H89" s="15" t="s">
        <v>1015</v>
      </c>
      <c r="I89" s="15" t="s">
        <v>1016</v>
      </c>
      <c r="J89" s="344" t="s">
        <v>58</v>
      </c>
      <c r="K89" s="345" t="s">
        <v>57</v>
      </c>
      <c r="L89" s="346">
        <v>1</v>
      </c>
      <c r="M89" s="347"/>
      <c r="N89" s="184" t="s">
        <v>1020</v>
      </c>
      <c r="O89" s="348"/>
      <c r="P89" s="116">
        <v>1</v>
      </c>
      <c r="Q89" s="346">
        <v>0.2</v>
      </c>
      <c r="R89" s="116"/>
      <c r="S89" s="35">
        <f t="shared" si="2"/>
        <v>0</v>
      </c>
      <c r="T89" s="42">
        <f t="shared" si="3"/>
        <v>0</v>
      </c>
      <c r="U89" s="116" t="s">
        <v>34</v>
      </c>
      <c r="V89" s="44"/>
      <c r="W89" s="15"/>
    </row>
    <row r="90" spans="1:23" ht="16.05" customHeight="1" x14ac:dyDescent="0.45">
      <c r="A90" s="1">
        <v>89</v>
      </c>
      <c r="B90" s="15" t="s">
        <v>924</v>
      </c>
      <c r="C90" s="15" t="s">
        <v>24</v>
      </c>
      <c r="D90" s="281">
        <v>6012</v>
      </c>
      <c r="E90" s="15" t="s">
        <v>1032</v>
      </c>
      <c r="F90" s="15" t="s">
        <v>1014</v>
      </c>
      <c r="G90" s="16">
        <v>3606</v>
      </c>
      <c r="H90" s="15" t="s">
        <v>1015</v>
      </c>
      <c r="I90" s="15" t="s">
        <v>1016</v>
      </c>
      <c r="J90" s="344" t="s">
        <v>58</v>
      </c>
      <c r="K90" s="345" t="s">
        <v>57</v>
      </c>
      <c r="L90" s="346">
        <v>1</v>
      </c>
      <c r="M90" s="347" t="s">
        <v>1021</v>
      </c>
      <c r="N90" s="184" t="s">
        <v>1022</v>
      </c>
      <c r="O90" s="344"/>
      <c r="P90" s="116">
        <v>1</v>
      </c>
      <c r="Q90" s="346">
        <v>0.08</v>
      </c>
      <c r="R90" s="116"/>
      <c r="S90" s="35">
        <f t="shared" si="2"/>
        <v>0</v>
      </c>
      <c r="T90" s="42">
        <f t="shared" si="3"/>
        <v>0</v>
      </c>
      <c r="U90" s="116" t="s">
        <v>34</v>
      </c>
      <c r="V90" s="44"/>
      <c r="W90" s="15"/>
    </row>
    <row r="91" spans="1:23" ht="16.05" customHeight="1" x14ac:dyDescent="0.45">
      <c r="A91" s="1">
        <v>90</v>
      </c>
      <c r="B91" s="15" t="s">
        <v>924</v>
      </c>
      <c r="C91" s="15" t="s">
        <v>24</v>
      </c>
      <c r="D91" s="281">
        <v>6012</v>
      </c>
      <c r="E91" s="15" t="s">
        <v>1032</v>
      </c>
      <c r="F91" s="15" t="s">
        <v>1014</v>
      </c>
      <c r="G91" s="16">
        <v>3606</v>
      </c>
      <c r="H91" s="15" t="s">
        <v>1015</v>
      </c>
      <c r="I91" s="15" t="s">
        <v>1016</v>
      </c>
      <c r="J91" s="344" t="s">
        <v>58</v>
      </c>
      <c r="K91" s="345" t="s">
        <v>57</v>
      </c>
      <c r="L91" s="346">
        <v>1</v>
      </c>
      <c r="M91" s="347" t="s">
        <v>1023</v>
      </c>
      <c r="N91" s="184" t="s">
        <v>255</v>
      </c>
      <c r="O91" s="344"/>
      <c r="P91" s="116">
        <v>1</v>
      </c>
      <c r="Q91" s="346">
        <v>0.08</v>
      </c>
      <c r="R91" s="116"/>
      <c r="S91" s="35">
        <f t="shared" si="2"/>
        <v>0</v>
      </c>
      <c r="T91" s="42">
        <f t="shared" si="3"/>
        <v>0</v>
      </c>
      <c r="U91" s="116" t="s">
        <v>34</v>
      </c>
      <c r="V91" s="44"/>
      <c r="W91" s="15"/>
    </row>
    <row r="92" spans="1:23" ht="16.05" customHeight="1" x14ac:dyDescent="0.45">
      <c r="A92" s="1">
        <v>91</v>
      </c>
      <c r="B92" s="15" t="s">
        <v>924</v>
      </c>
      <c r="C92" s="15" t="s">
        <v>24</v>
      </c>
      <c r="D92" s="281">
        <v>6012</v>
      </c>
      <c r="E92" s="15" t="s">
        <v>1032</v>
      </c>
      <c r="F92" s="15" t="s">
        <v>1014</v>
      </c>
      <c r="G92" s="16">
        <v>3606</v>
      </c>
      <c r="H92" s="15" t="s">
        <v>1015</v>
      </c>
      <c r="I92" s="15" t="s">
        <v>1016</v>
      </c>
      <c r="J92" s="344" t="s">
        <v>58</v>
      </c>
      <c r="K92" s="345" t="s">
        <v>57</v>
      </c>
      <c r="L92" s="346">
        <v>1</v>
      </c>
      <c r="M92" s="347" t="s">
        <v>1024</v>
      </c>
      <c r="N92" s="184" t="s">
        <v>1025</v>
      </c>
      <c r="O92" s="348" t="s">
        <v>1026</v>
      </c>
      <c r="P92" s="116">
        <v>1</v>
      </c>
      <c r="Q92" s="346">
        <v>0.08</v>
      </c>
      <c r="R92" s="116"/>
      <c r="S92" s="35">
        <f t="shared" si="2"/>
        <v>0</v>
      </c>
      <c r="T92" s="42">
        <f t="shared" si="3"/>
        <v>0</v>
      </c>
      <c r="U92" s="116" t="s">
        <v>34</v>
      </c>
      <c r="V92" s="44"/>
      <c r="W92" s="15"/>
    </row>
    <row r="93" spans="1:23" ht="16.05" customHeight="1" x14ac:dyDescent="0.45">
      <c r="A93" s="1">
        <v>92</v>
      </c>
      <c r="B93" s="15" t="s">
        <v>924</v>
      </c>
      <c r="C93" s="15" t="s">
        <v>24</v>
      </c>
      <c r="D93" s="281">
        <v>6012</v>
      </c>
      <c r="E93" s="15" t="s">
        <v>1032</v>
      </c>
      <c r="F93" s="15" t="s">
        <v>1014</v>
      </c>
      <c r="G93" s="16">
        <v>3606</v>
      </c>
      <c r="H93" s="15" t="s">
        <v>1015</v>
      </c>
      <c r="I93" s="15" t="s">
        <v>1016</v>
      </c>
      <c r="J93" s="344" t="s">
        <v>58</v>
      </c>
      <c r="K93" s="345" t="s">
        <v>57</v>
      </c>
      <c r="L93" s="346">
        <v>1</v>
      </c>
      <c r="M93" s="347" t="s">
        <v>1027</v>
      </c>
      <c r="N93" s="184" t="s">
        <v>251</v>
      </c>
      <c r="O93" s="344"/>
      <c r="P93" s="116">
        <v>1</v>
      </c>
      <c r="Q93" s="346">
        <v>0.08</v>
      </c>
      <c r="R93" s="116"/>
      <c r="S93" s="35">
        <f t="shared" si="2"/>
        <v>0</v>
      </c>
      <c r="T93" s="42">
        <f t="shared" si="3"/>
        <v>0</v>
      </c>
      <c r="U93" s="116" t="s">
        <v>34</v>
      </c>
      <c r="V93" s="44"/>
      <c r="W93" s="15"/>
    </row>
    <row r="94" spans="1:23" ht="16.05" customHeight="1" x14ac:dyDescent="0.45">
      <c r="A94" s="1">
        <v>93</v>
      </c>
      <c r="B94" s="15" t="s">
        <v>924</v>
      </c>
      <c r="C94" s="15" t="s">
        <v>24</v>
      </c>
      <c r="D94" s="281">
        <v>6012</v>
      </c>
      <c r="E94" s="15" t="s">
        <v>1032</v>
      </c>
      <c r="F94" s="15" t="s">
        <v>1014</v>
      </c>
      <c r="G94" s="16">
        <v>3606</v>
      </c>
      <c r="H94" s="15" t="s">
        <v>1015</v>
      </c>
      <c r="I94" s="15" t="s">
        <v>1016</v>
      </c>
      <c r="J94" s="344" t="s">
        <v>58</v>
      </c>
      <c r="K94" s="345" t="s">
        <v>57</v>
      </c>
      <c r="L94" s="346">
        <v>1</v>
      </c>
      <c r="M94" s="347" t="s">
        <v>1028</v>
      </c>
      <c r="N94" s="184" t="s">
        <v>1029</v>
      </c>
      <c r="O94" s="344"/>
      <c r="P94" s="116">
        <v>1</v>
      </c>
      <c r="Q94" s="346">
        <v>0.08</v>
      </c>
      <c r="R94" s="116"/>
      <c r="S94" s="35">
        <f t="shared" si="2"/>
        <v>0</v>
      </c>
      <c r="T94" s="42">
        <f t="shared" si="3"/>
        <v>0</v>
      </c>
      <c r="U94" s="116" t="s">
        <v>34</v>
      </c>
      <c r="V94" s="44"/>
      <c r="W94" s="15"/>
    </row>
    <row r="95" spans="1:23" ht="36" customHeight="1" x14ac:dyDescent="0.45">
      <c r="A95" s="1">
        <v>94</v>
      </c>
      <c r="B95" s="91" t="s">
        <v>924</v>
      </c>
      <c r="C95" s="91" t="s">
        <v>24</v>
      </c>
      <c r="D95" s="349">
        <v>6015</v>
      </c>
      <c r="E95" s="91" t="s">
        <v>1033</v>
      </c>
      <c r="F95" s="91" t="s">
        <v>1034</v>
      </c>
      <c r="G95" s="99">
        <v>6592</v>
      </c>
      <c r="H95" s="91" t="s">
        <v>925</v>
      </c>
      <c r="I95" s="91" t="s">
        <v>1035</v>
      </c>
      <c r="J95" s="91" t="s">
        <v>58</v>
      </c>
      <c r="K95" s="3" t="s">
        <v>57</v>
      </c>
      <c r="L95" s="350">
        <v>0.5</v>
      </c>
      <c r="M95" s="351" t="s">
        <v>96</v>
      </c>
      <c r="N95" s="351" t="s">
        <v>97</v>
      </c>
      <c r="O95" s="352" t="s">
        <v>98</v>
      </c>
      <c r="P95" s="353">
        <v>1</v>
      </c>
      <c r="Q95" s="350">
        <v>0.25</v>
      </c>
      <c r="R95" s="353"/>
      <c r="S95" s="354">
        <f t="shared" si="2"/>
        <v>0</v>
      </c>
      <c r="T95" s="355">
        <f t="shared" si="3"/>
        <v>0</v>
      </c>
      <c r="U95" s="354" t="s">
        <v>83</v>
      </c>
      <c r="V95" s="356">
        <f>SUM(T95:T104)%</f>
        <v>0</v>
      </c>
      <c r="W95" s="91"/>
    </row>
    <row r="96" spans="1:23" ht="36" customHeight="1" x14ac:dyDescent="0.45">
      <c r="A96" s="1">
        <v>95</v>
      </c>
      <c r="B96" s="357" t="s">
        <v>924</v>
      </c>
      <c r="C96" s="357" t="s">
        <v>24</v>
      </c>
      <c r="D96" s="358">
        <v>6015</v>
      </c>
      <c r="E96" s="357" t="s">
        <v>1033</v>
      </c>
      <c r="F96" s="357" t="s">
        <v>1034</v>
      </c>
      <c r="G96" s="113">
        <v>6592</v>
      </c>
      <c r="H96" s="357" t="s">
        <v>925</v>
      </c>
      <c r="I96" s="357" t="s">
        <v>1035</v>
      </c>
      <c r="J96" s="64" t="s">
        <v>58</v>
      </c>
      <c r="K96" s="359" t="s">
        <v>57</v>
      </c>
      <c r="L96" s="360">
        <v>0.5</v>
      </c>
      <c r="M96" s="361" t="s">
        <v>423</v>
      </c>
      <c r="N96" s="361" t="s">
        <v>1036</v>
      </c>
      <c r="O96" s="362" t="s">
        <v>1037</v>
      </c>
      <c r="P96" s="363">
        <v>1</v>
      </c>
      <c r="Q96" s="360">
        <v>0.25</v>
      </c>
      <c r="R96" s="363"/>
      <c r="S96" s="363">
        <f t="shared" si="2"/>
        <v>0</v>
      </c>
      <c r="T96" s="364">
        <f t="shared" si="3"/>
        <v>0</v>
      </c>
      <c r="U96" s="365" t="s">
        <v>34</v>
      </c>
      <c r="V96" s="365"/>
      <c r="W96" s="357"/>
    </row>
    <row r="97" spans="1:23" ht="36" customHeight="1" x14ac:dyDescent="0.45">
      <c r="A97" s="1">
        <v>96</v>
      </c>
      <c r="B97" s="357" t="s">
        <v>924</v>
      </c>
      <c r="C97" s="357" t="s">
        <v>24</v>
      </c>
      <c r="D97" s="358">
        <v>6015</v>
      </c>
      <c r="E97" s="357" t="s">
        <v>1033</v>
      </c>
      <c r="F97" s="357" t="s">
        <v>1034</v>
      </c>
      <c r="G97" s="113">
        <v>6592</v>
      </c>
      <c r="H97" s="357" t="s">
        <v>925</v>
      </c>
      <c r="I97" s="357" t="s">
        <v>1035</v>
      </c>
      <c r="J97" s="64" t="s">
        <v>58</v>
      </c>
      <c r="K97" s="359" t="s">
        <v>57</v>
      </c>
      <c r="L97" s="360">
        <v>0.5</v>
      </c>
      <c r="M97" s="361" t="s">
        <v>1038</v>
      </c>
      <c r="N97" s="361" t="s">
        <v>1039</v>
      </c>
      <c r="O97" s="362" t="s">
        <v>1040</v>
      </c>
      <c r="P97" s="363">
        <v>1</v>
      </c>
      <c r="Q97" s="360">
        <v>0.25</v>
      </c>
      <c r="R97" s="363"/>
      <c r="S97" s="365">
        <f t="shared" si="2"/>
        <v>0</v>
      </c>
      <c r="T97" s="366">
        <f t="shared" si="3"/>
        <v>0</v>
      </c>
      <c r="U97" s="365" t="s">
        <v>34</v>
      </c>
      <c r="V97" s="365"/>
      <c r="W97" s="357"/>
    </row>
    <row r="98" spans="1:23" ht="36" customHeight="1" x14ac:dyDescent="0.45">
      <c r="A98" s="1">
        <v>97</v>
      </c>
      <c r="B98" s="357" t="s">
        <v>924</v>
      </c>
      <c r="C98" s="16" t="s">
        <v>24</v>
      </c>
      <c r="D98" s="281">
        <v>6015</v>
      </c>
      <c r="E98" s="16" t="s">
        <v>1033</v>
      </c>
      <c r="F98" s="16" t="s">
        <v>1034</v>
      </c>
      <c r="G98" s="113">
        <v>6592</v>
      </c>
      <c r="H98" s="16" t="s">
        <v>925</v>
      </c>
      <c r="I98" s="16" t="s">
        <v>1035</v>
      </c>
      <c r="J98" s="184" t="s">
        <v>58</v>
      </c>
      <c r="K98" s="359" t="s">
        <v>57</v>
      </c>
      <c r="L98" s="346">
        <v>0.5</v>
      </c>
      <c r="M98" s="367" t="s">
        <v>1041</v>
      </c>
      <c r="N98" s="361" t="s">
        <v>1042</v>
      </c>
      <c r="O98" s="362" t="s">
        <v>1043</v>
      </c>
      <c r="P98" s="363">
        <v>0.2</v>
      </c>
      <c r="Q98" s="346">
        <v>0.25</v>
      </c>
      <c r="R98" s="363"/>
      <c r="S98" s="363">
        <f t="shared" si="2"/>
        <v>0</v>
      </c>
      <c r="T98" s="364">
        <f t="shared" si="3"/>
        <v>0</v>
      </c>
      <c r="U98" s="365" t="s">
        <v>34</v>
      </c>
      <c r="V98" s="365"/>
      <c r="W98" s="16"/>
    </row>
    <row r="99" spans="1:23" ht="36" customHeight="1" x14ac:dyDescent="0.45">
      <c r="A99" s="1">
        <v>98</v>
      </c>
      <c r="B99" s="357" t="s">
        <v>924</v>
      </c>
      <c r="C99" s="57" t="s">
        <v>24</v>
      </c>
      <c r="D99" s="358">
        <v>6015</v>
      </c>
      <c r="E99" s="59" t="s">
        <v>1033</v>
      </c>
      <c r="F99" s="113" t="s">
        <v>1034</v>
      </c>
      <c r="G99" s="71">
        <v>6592</v>
      </c>
      <c r="H99" s="113" t="s">
        <v>925</v>
      </c>
      <c r="I99" s="113" t="s">
        <v>1035</v>
      </c>
      <c r="J99" s="334" t="s">
        <v>111</v>
      </c>
      <c r="K99" s="334" t="s">
        <v>110</v>
      </c>
      <c r="L99" s="368">
        <v>0.5</v>
      </c>
      <c r="M99" s="369" t="s">
        <v>1044</v>
      </c>
      <c r="N99" s="370" t="s">
        <v>1045</v>
      </c>
      <c r="O99" s="371"/>
      <c r="P99" s="372">
        <v>1</v>
      </c>
      <c r="Q99" s="368">
        <v>0.1</v>
      </c>
      <c r="R99" s="372"/>
      <c r="S99" s="373">
        <f t="shared" si="2"/>
        <v>0</v>
      </c>
      <c r="T99" s="374">
        <f t="shared" si="3"/>
        <v>0</v>
      </c>
      <c r="U99" s="373" t="s">
        <v>34</v>
      </c>
      <c r="V99" s="373"/>
      <c r="W99" s="113"/>
    </row>
    <row r="100" spans="1:23" ht="36" customHeight="1" x14ac:dyDescent="0.45">
      <c r="A100" s="1">
        <v>99</v>
      </c>
      <c r="B100" s="357" t="s">
        <v>924</v>
      </c>
      <c r="C100" s="57" t="s">
        <v>24</v>
      </c>
      <c r="D100" s="358">
        <v>6015</v>
      </c>
      <c r="E100" s="59" t="s">
        <v>1033</v>
      </c>
      <c r="F100" s="113" t="s">
        <v>1034</v>
      </c>
      <c r="G100" s="71">
        <v>6592</v>
      </c>
      <c r="H100" s="113" t="s">
        <v>925</v>
      </c>
      <c r="I100" s="113" t="s">
        <v>1035</v>
      </c>
      <c r="J100" s="334" t="s">
        <v>111</v>
      </c>
      <c r="K100" s="334" t="s">
        <v>110</v>
      </c>
      <c r="L100" s="368">
        <v>0.5</v>
      </c>
      <c r="M100" s="375" t="s">
        <v>1046</v>
      </c>
      <c r="N100" s="376" t="s">
        <v>1047</v>
      </c>
      <c r="O100" s="377"/>
      <c r="P100" s="378">
        <v>6</v>
      </c>
      <c r="Q100" s="368">
        <v>0.2</v>
      </c>
      <c r="R100" s="378"/>
      <c r="S100" s="379">
        <f t="shared" si="2"/>
        <v>0</v>
      </c>
      <c r="T100" s="380">
        <f t="shared" si="3"/>
        <v>0</v>
      </c>
      <c r="U100" s="381" t="s">
        <v>34</v>
      </c>
      <c r="V100" s="381"/>
      <c r="W100" s="113"/>
    </row>
    <row r="101" spans="1:23" ht="36" customHeight="1" x14ac:dyDescent="0.45">
      <c r="A101" s="1">
        <v>100</v>
      </c>
      <c r="B101" s="357" t="s">
        <v>924</v>
      </c>
      <c r="C101" s="57" t="s">
        <v>24</v>
      </c>
      <c r="D101" s="358">
        <v>6015</v>
      </c>
      <c r="E101" s="59" t="s">
        <v>1033</v>
      </c>
      <c r="F101" s="113" t="s">
        <v>1034</v>
      </c>
      <c r="G101" s="71">
        <v>6592</v>
      </c>
      <c r="H101" s="113" t="s">
        <v>925</v>
      </c>
      <c r="I101" s="113" t="s">
        <v>1035</v>
      </c>
      <c r="J101" s="334" t="s">
        <v>111</v>
      </c>
      <c r="K101" s="334" t="s">
        <v>110</v>
      </c>
      <c r="L101" s="368">
        <v>0.5</v>
      </c>
      <c r="M101" s="382" t="s">
        <v>1048</v>
      </c>
      <c r="N101" s="383" t="s">
        <v>1049</v>
      </c>
      <c r="O101" s="384" t="s">
        <v>1050</v>
      </c>
      <c r="P101" s="385">
        <v>1</v>
      </c>
      <c r="Q101" s="368">
        <v>0.2</v>
      </c>
      <c r="R101" s="385"/>
      <c r="S101" s="74">
        <f t="shared" si="2"/>
        <v>0</v>
      </c>
      <c r="T101" s="386">
        <f t="shared" si="3"/>
        <v>0</v>
      </c>
      <c r="U101" s="387" t="s">
        <v>34</v>
      </c>
      <c r="V101" s="387"/>
      <c r="W101" s="113"/>
    </row>
    <row r="102" spans="1:23" ht="36" customHeight="1" x14ac:dyDescent="0.45">
      <c r="A102" s="1">
        <v>101</v>
      </c>
      <c r="B102" s="357" t="s">
        <v>924</v>
      </c>
      <c r="C102" s="57" t="s">
        <v>24</v>
      </c>
      <c r="D102" s="358">
        <v>6015</v>
      </c>
      <c r="E102" s="59" t="s">
        <v>1033</v>
      </c>
      <c r="F102" s="113" t="s">
        <v>1034</v>
      </c>
      <c r="G102" s="71">
        <v>6592</v>
      </c>
      <c r="H102" s="113" t="s">
        <v>925</v>
      </c>
      <c r="I102" s="113" t="s">
        <v>1035</v>
      </c>
      <c r="J102" s="334" t="s">
        <v>111</v>
      </c>
      <c r="K102" s="334" t="s">
        <v>110</v>
      </c>
      <c r="L102" s="368">
        <v>0.5</v>
      </c>
      <c r="M102" s="382" t="s">
        <v>1051</v>
      </c>
      <c r="N102" s="334" t="s">
        <v>1052</v>
      </c>
      <c r="O102" s="137"/>
      <c r="P102" s="385">
        <v>1</v>
      </c>
      <c r="Q102" s="368">
        <v>0.2</v>
      </c>
      <c r="R102" s="385"/>
      <c r="S102" s="74">
        <f t="shared" si="2"/>
        <v>0</v>
      </c>
      <c r="T102" s="386">
        <f t="shared" si="3"/>
        <v>0</v>
      </c>
      <c r="U102" s="387" t="s">
        <v>34</v>
      </c>
      <c r="V102" s="387"/>
      <c r="W102" s="113"/>
    </row>
    <row r="103" spans="1:23" ht="36" customHeight="1" x14ac:dyDescent="0.45">
      <c r="A103" s="1">
        <v>102</v>
      </c>
      <c r="B103" s="357" t="s">
        <v>924</v>
      </c>
      <c r="C103" s="57" t="s">
        <v>24</v>
      </c>
      <c r="D103" s="358">
        <v>6015</v>
      </c>
      <c r="E103" s="59" t="s">
        <v>1033</v>
      </c>
      <c r="F103" s="113" t="s">
        <v>1034</v>
      </c>
      <c r="G103" s="71">
        <v>6592</v>
      </c>
      <c r="H103" s="113" t="s">
        <v>925</v>
      </c>
      <c r="I103" s="113" t="s">
        <v>1035</v>
      </c>
      <c r="J103" s="334" t="s">
        <v>111</v>
      </c>
      <c r="K103" s="334" t="s">
        <v>110</v>
      </c>
      <c r="L103" s="368">
        <v>0.5</v>
      </c>
      <c r="M103" s="382" t="s">
        <v>1053</v>
      </c>
      <c r="N103" s="334" t="s">
        <v>1054</v>
      </c>
      <c r="O103" s="137"/>
      <c r="P103" s="385">
        <v>1</v>
      </c>
      <c r="Q103" s="368">
        <v>0.2</v>
      </c>
      <c r="R103" s="385"/>
      <c r="S103" s="74">
        <f t="shared" si="2"/>
        <v>0</v>
      </c>
      <c r="T103" s="386">
        <f t="shared" si="3"/>
        <v>0</v>
      </c>
      <c r="U103" s="387" t="s">
        <v>34</v>
      </c>
      <c r="V103" s="387"/>
      <c r="W103" s="113"/>
    </row>
    <row r="104" spans="1:23" ht="36" customHeight="1" x14ac:dyDescent="0.45">
      <c r="A104" s="1">
        <v>103</v>
      </c>
      <c r="B104" s="357" t="s">
        <v>924</v>
      </c>
      <c r="C104" s="57" t="s">
        <v>24</v>
      </c>
      <c r="D104" s="358">
        <v>6015</v>
      </c>
      <c r="E104" s="59" t="s">
        <v>1033</v>
      </c>
      <c r="F104" s="113" t="s">
        <v>1034</v>
      </c>
      <c r="G104" s="71">
        <v>6592</v>
      </c>
      <c r="H104" s="113" t="s">
        <v>925</v>
      </c>
      <c r="I104" s="113" t="s">
        <v>1035</v>
      </c>
      <c r="J104" s="334" t="s">
        <v>111</v>
      </c>
      <c r="K104" s="334" t="s">
        <v>110</v>
      </c>
      <c r="L104" s="368">
        <v>0.5</v>
      </c>
      <c r="M104" s="334" t="s">
        <v>1055</v>
      </c>
      <c r="N104" s="334" t="s">
        <v>1056</v>
      </c>
      <c r="O104" s="137"/>
      <c r="P104" s="385">
        <v>1</v>
      </c>
      <c r="Q104" s="368">
        <v>0.1</v>
      </c>
      <c r="R104" s="385"/>
      <c r="S104" s="74">
        <f t="shared" si="2"/>
        <v>0</v>
      </c>
      <c r="T104" s="386">
        <f t="shared" si="3"/>
        <v>0</v>
      </c>
      <c r="U104" s="387" t="s">
        <v>34</v>
      </c>
      <c r="V104" s="387"/>
      <c r="W104" s="113"/>
    </row>
    <row r="105" spans="1:23" ht="16.05" customHeight="1" x14ac:dyDescent="0.45">
      <c r="A105" s="1">
        <v>104</v>
      </c>
      <c r="B105" s="2" t="s">
        <v>924</v>
      </c>
      <c r="C105" s="2" t="s">
        <v>24</v>
      </c>
      <c r="D105" s="349">
        <v>6443</v>
      </c>
      <c r="E105" s="99" t="s">
        <v>1057</v>
      </c>
      <c r="F105" s="99" t="s">
        <v>1058</v>
      </c>
      <c r="G105" s="99">
        <v>6015</v>
      </c>
      <c r="H105" s="99" t="s">
        <v>1059</v>
      </c>
      <c r="I105" s="99" t="s">
        <v>1035</v>
      </c>
      <c r="J105" s="99" t="s">
        <v>58</v>
      </c>
      <c r="K105" s="388" t="s">
        <v>57</v>
      </c>
      <c r="L105" s="350">
        <v>0.8</v>
      </c>
      <c r="M105" s="3" t="s">
        <v>1060</v>
      </c>
      <c r="N105" s="3" t="s">
        <v>1061</v>
      </c>
      <c r="O105" s="389"/>
      <c r="P105" s="95">
        <v>0.1</v>
      </c>
      <c r="Q105" s="350">
        <v>0.2</v>
      </c>
      <c r="R105" s="95"/>
      <c r="S105" s="148">
        <f t="shared" si="2"/>
        <v>0</v>
      </c>
      <c r="T105" s="168">
        <f t="shared" si="3"/>
        <v>0</v>
      </c>
      <c r="U105" s="148" t="s">
        <v>83</v>
      </c>
      <c r="V105" s="278">
        <f>SUM(T105:T114)%</f>
        <v>0</v>
      </c>
      <c r="W105" s="99"/>
    </row>
    <row r="106" spans="1:23" ht="16.05" customHeight="1" x14ac:dyDescent="0.45">
      <c r="A106" s="1">
        <v>105</v>
      </c>
      <c r="B106" s="15" t="s">
        <v>924</v>
      </c>
      <c r="C106" s="57" t="s">
        <v>24</v>
      </c>
      <c r="D106" s="358">
        <v>6443</v>
      </c>
      <c r="E106" s="113" t="s">
        <v>1057</v>
      </c>
      <c r="F106" s="113" t="s">
        <v>1058</v>
      </c>
      <c r="G106" s="113">
        <v>6015</v>
      </c>
      <c r="H106" s="113" t="s">
        <v>1059</v>
      </c>
      <c r="I106" s="113" t="s">
        <v>1035</v>
      </c>
      <c r="J106" s="390" t="s">
        <v>58</v>
      </c>
      <c r="K106" s="390" t="s">
        <v>57</v>
      </c>
      <c r="L106" s="360">
        <v>0.8</v>
      </c>
      <c r="M106" s="184" t="s">
        <v>1062</v>
      </c>
      <c r="N106" s="184" t="s">
        <v>1063</v>
      </c>
      <c r="O106" s="34"/>
      <c r="P106" s="391">
        <v>0.01</v>
      </c>
      <c r="Q106" s="360">
        <v>0.3</v>
      </c>
      <c r="R106" s="391"/>
      <c r="S106" s="153">
        <f t="shared" si="2"/>
        <v>0</v>
      </c>
      <c r="T106" s="152">
        <f t="shared" si="3"/>
        <v>0</v>
      </c>
      <c r="U106" s="153" t="s">
        <v>83</v>
      </c>
      <c r="V106" s="153"/>
      <c r="W106" s="113"/>
    </row>
    <row r="107" spans="1:23" ht="16.05" customHeight="1" x14ac:dyDescent="0.45">
      <c r="A107" s="1">
        <v>106</v>
      </c>
      <c r="B107" s="15" t="s">
        <v>924</v>
      </c>
      <c r="C107" s="57" t="s">
        <v>24</v>
      </c>
      <c r="D107" s="358">
        <v>6443</v>
      </c>
      <c r="E107" s="113" t="s">
        <v>1057</v>
      </c>
      <c r="F107" s="113" t="s">
        <v>1058</v>
      </c>
      <c r="G107" s="113">
        <v>6015</v>
      </c>
      <c r="H107" s="113" t="s">
        <v>1059</v>
      </c>
      <c r="I107" s="113" t="s">
        <v>1035</v>
      </c>
      <c r="J107" s="390" t="s">
        <v>58</v>
      </c>
      <c r="K107" s="390" t="s">
        <v>57</v>
      </c>
      <c r="L107" s="360">
        <v>0.8</v>
      </c>
      <c r="M107" s="184" t="s">
        <v>1064</v>
      </c>
      <c r="N107" s="184" t="s">
        <v>1065</v>
      </c>
      <c r="O107" s="34"/>
      <c r="P107" s="392">
        <v>0.1</v>
      </c>
      <c r="Q107" s="360">
        <v>0.2</v>
      </c>
      <c r="R107" s="392"/>
      <c r="S107" s="153">
        <f t="shared" si="2"/>
        <v>0</v>
      </c>
      <c r="T107" s="152">
        <f t="shared" si="3"/>
        <v>0</v>
      </c>
      <c r="U107" s="153" t="s">
        <v>34</v>
      </c>
      <c r="V107" s="153"/>
      <c r="W107" s="113"/>
    </row>
    <row r="108" spans="1:23" ht="16.05" customHeight="1" x14ac:dyDescent="0.45">
      <c r="A108" s="1">
        <v>107</v>
      </c>
      <c r="B108" s="15" t="s">
        <v>924</v>
      </c>
      <c r="C108" s="57" t="s">
        <v>24</v>
      </c>
      <c r="D108" s="358">
        <v>6443</v>
      </c>
      <c r="E108" s="113" t="s">
        <v>1057</v>
      </c>
      <c r="F108" s="113" t="s">
        <v>1058</v>
      </c>
      <c r="G108" s="113">
        <v>6015</v>
      </c>
      <c r="H108" s="113" t="s">
        <v>1059</v>
      </c>
      <c r="I108" s="113" t="s">
        <v>1035</v>
      </c>
      <c r="J108" s="390" t="s">
        <v>58</v>
      </c>
      <c r="K108" s="390" t="s">
        <v>57</v>
      </c>
      <c r="L108" s="360">
        <v>0.8</v>
      </c>
      <c r="M108" s="184" t="s">
        <v>1066</v>
      </c>
      <c r="N108" s="184" t="s">
        <v>1067</v>
      </c>
      <c r="O108" s="34"/>
      <c r="P108" s="393">
        <v>4</v>
      </c>
      <c r="Q108" s="360">
        <v>0.2</v>
      </c>
      <c r="R108" s="393"/>
      <c r="S108" s="153">
        <f t="shared" si="2"/>
        <v>0</v>
      </c>
      <c r="T108" s="152">
        <f t="shared" si="3"/>
        <v>0</v>
      </c>
      <c r="U108" s="153" t="s">
        <v>34</v>
      </c>
      <c r="V108" s="153"/>
      <c r="W108" s="113"/>
    </row>
    <row r="109" spans="1:23" ht="16.05" customHeight="1" x14ac:dyDescent="0.45">
      <c r="A109" s="1">
        <v>108</v>
      </c>
      <c r="B109" s="15" t="s">
        <v>924</v>
      </c>
      <c r="C109" s="57" t="s">
        <v>24</v>
      </c>
      <c r="D109" s="358">
        <v>6443</v>
      </c>
      <c r="E109" s="113" t="s">
        <v>1057</v>
      </c>
      <c r="F109" s="113" t="s">
        <v>1058</v>
      </c>
      <c r="G109" s="113">
        <v>6015</v>
      </c>
      <c r="H109" s="113" t="s">
        <v>1059</v>
      </c>
      <c r="I109" s="113" t="s">
        <v>1035</v>
      </c>
      <c r="J109" s="390" t="s">
        <v>58</v>
      </c>
      <c r="K109" s="390" t="s">
        <v>57</v>
      </c>
      <c r="L109" s="360">
        <v>0.8</v>
      </c>
      <c r="M109" s="184" t="s">
        <v>1068</v>
      </c>
      <c r="N109" s="184" t="s">
        <v>1069</v>
      </c>
      <c r="O109" s="34"/>
      <c r="P109" s="184">
        <v>15</v>
      </c>
      <c r="Q109" s="360">
        <v>0.1</v>
      </c>
      <c r="R109" s="184"/>
      <c r="S109" s="153">
        <f t="shared" si="2"/>
        <v>0</v>
      </c>
      <c r="T109" s="152">
        <f t="shared" si="3"/>
        <v>0</v>
      </c>
      <c r="U109" s="153" t="s">
        <v>34</v>
      </c>
      <c r="V109" s="153"/>
      <c r="W109" s="113"/>
    </row>
    <row r="110" spans="1:23" ht="16.05" customHeight="1" x14ac:dyDescent="0.45">
      <c r="A110" s="1">
        <v>109</v>
      </c>
      <c r="B110" s="15" t="s">
        <v>924</v>
      </c>
      <c r="C110" s="57" t="s">
        <v>24</v>
      </c>
      <c r="D110" s="358">
        <v>6443</v>
      </c>
      <c r="E110" s="113" t="s">
        <v>1057</v>
      </c>
      <c r="F110" s="113" t="s">
        <v>1058</v>
      </c>
      <c r="G110" s="113">
        <v>6015</v>
      </c>
      <c r="H110" s="113" t="s">
        <v>1059</v>
      </c>
      <c r="I110" s="113" t="s">
        <v>1035</v>
      </c>
      <c r="J110" s="113" t="s">
        <v>111</v>
      </c>
      <c r="K110" s="334" t="s">
        <v>110</v>
      </c>
      <c r="L110" s="368">
        <v>0.2</v>
      </c>
      <c r="M110" s="334" t="s">
        <v>1070</v>
      </c>
      <c r="N110" s="334" t="s">
        <v>1071</v>
      </c>
      <c r="O110" s="137"/>
      <c r="P110" s="394">
        <v>4</v>
      </c>
      <c r="Q110" s="368">
        <v>0.2</v>
      </c>
      <c r="R110" s="394"/>
      <c r="S110" s="74">
        <f t="shared" si="2"/>
        <v>0</v>
      </c>
      <c r="T110" s="386">
        <f t="shared" si="3"/>
        <v>0</v>
      </c>
      <c r="U110" s="74" t="s">
        <v>34</v>
      </c>
      <c r="V110" s="74"/>
      <c r="W110" s="113"/>
    </row>
    <row r="111" spans="1:23" ht="16.05" customHeight="1" x14ac:dyDescent="0.45">
      <c r="A111" s="1">
        <v>110</v>
      </c>
      <c r="B111" s="15" t="s">
        <v>924</v>
      </c>
      <c r="C111" s="57" t="s">
        <v>24</v>
      </c>
      <c r="D111" s="358">
        <v>6443</v>
      </c>
      <c r="E111" s="113" t="s">
        <v>1057</v>
      </c>
      <c r="F111" s="113" t="s">
        <v>1058</v>
      </c>
      <c r="G111" s="113">
        <v>6015</v>
      </c>
      <c r="H111" s="113" t="s">
        <v>1059</v>
      </c>
      <c r="I111" s="113" t="s">
        <v>1035</v>
      </c>
      <c r="J111" s="113" t="s">
        <v>111</v>
      </c>
      <c r="K111" s="334" t="s">
        <v>110</v>
      </c>
      <c r="L111" s="368">
        <v>0.2</v>
      </c>
      <c r="M111" s="334" t="s">
        <v>1072</v>
      </c>
      <c r="N111" s="334" t="s">
        <v>1073</v>
      </c>
      <c r="O111" s="137"/>
      <c r="P111" s="394">
        <v>4</v>
      </c>
      <c r="Q111" s="368">
        <v>0.2</v>
      </c>
      <c r="R111" s="394"/>
      <c r="S111" s="74">
        <f t="shared" si="2"/>
        <v>0</v>
      </c>
      <c r="T111" s="386">
        <f t="shared" si="3"/>
        <v>0</v>
      </c>
      <c r="U111" s="74" t="s">
        <v>34</v>
      </c>
      <c r="V111" s="74"/>
      <c r="W111" s="113"/>
    </row>
    <row r="112" spans="1:23" ht="16.05" customHeight="1" x14ac:dyDescent="0.45">
      <c r="A112" s="1">
        <v>111</v>
      </c>
      <c r="B112" s="15" t="s">
        <v>924</v>
      </c>
      <c r="C112" s="57" t="s">
        <v>24</v>
      </c>
      <c r="D112" s="358">
        <v>6443</v>
      </c>
      <c r="E112" s="113" t="s">
        <v>1057</v>
      </c>
      <c r="F112" s="113" t="s">
        <v>1058</v>
      </c>
      <c r="G112" s="113">
        <v>6015</v>
      </c>
      <c r="H112" s="113" t="s">
        <v>1059</v>
      </c>
      <c r="I112" s="113" t="s">
        <v>1035</v>
      </c>
      <c r="J112" s="113" t="s">
        <v>111</v>
      </c>
      <c r="K112" s="334" t="s">
        <v>110</v>
      </c>
      <c r="L112" s="368">
        <v>0.2</v>
      </c>
      <c r="M112" s="334" t="s">
        <v>1074</v>
      </c>
      <c r="N112" s="334" t="s">
        <v>1075</v>
      </c>
      <c r="O112" s="395"/>
      <c r="P112" s="357">
        <v>4</v>
      </c>
      <c r="Q112" s="368">
        <v>0.2</v>
      </c>
      <c r="R112" s="357"/>
      <c r="S112" s="74">
        <f t="shared" si="2"/>
        <v>0</v>
      </c>
      <c r="T112" s="386">
        <f t="shared" si="3"/>
        <v>0</v>
      </c>
      <c r="U112" s="74" t="s">
        <v>34</v>
      </c>
      <c r="V112" s="74"/>
      <c r="W112" s="113"/>
    </row>
    <row r="113" spans="1:23" ht="16.05" customHeight="1" x14ac:dyDescent="0.45">
      <c r="A113" s="1">
        <v>112</v>
      </c>
      <c r="B113" s="15" t="s">
        <v>924</v>
      </c>
      <c r="C113" s="57" t="s">
        <v>24</v>
      </c>
      <c r="D113" s="358">
        <v>6443</v>
      </c>
      <c r="E113" s="113" t="s">
        <v>1057</v>
      </c>
      <c r="F113" s="113" t="s">
        <v>1058</v>
      </c>
      <c r="G113" s="113">
        <v>6015</v>
      </c>
      <c r="H113" s="113" t="s">
        <v>1059</v>
      </c>
      <c r="I113" s="113" t="s">
        <v>1035</v>
      </c>
      <c r="J113" s="113" t="s">
        <v>111</v>
      </c>
      <c r="K113" s="334" t="s">
        <v>110</v>
      </c>
      <c r="L113" s="368">
        <v>0.2</v>
      </c>
      <c r="M113" s="334" t="s">
        <v>1076</v>
      </c>
      <c r="N113" s="334" t="s">
        <v>1077</v>
      </c>
      <c r="O113" s="395"/>
      <c r="P113" s="357">
        <v>2</v>
      </c>
      <c r="Q113" s="368">
        <v>0.2</v>
      </c>
      <c r="R113" s="357"/>
      <c r="S113" s="74">
        <f t="shared" si="2"/>
        <v>0</v>
      </c>
      <c r="T113" s="155">
        <f t="shared" si="3"/>
        <v>0</v>
      </c>
      <c r="U113" s="74" t="s">
        <v>34</v>
      </c>
      <c r="V113" s="74"/>
      <c r="W113" s="113"/>
    </row>
    <row r="114" spans="1:23" ht="16.05" customHeight="1" x14ac:dyDescent="0.45">
      <c r="A114" s="1">
        <v>113</v>
      </c>
      <c r="B114" s="15" t="s">
        <v>924</v>
      </c>
      <c r="C114" s="57" t="s">
        <v>24</v>
      </c>
      <c r="D114" s="358">
        <v>6443</v>
      </c>
      <c r="E114" s="113" t="s">
        <v>1057</v>
      </c>
      <c r="F114" s="113" t="s">
        <v>1058</v>
      </c>
      <c r="G114" s="113">
        <v>6015</v>
      </c>
      <c r="H114" s="113" t="s">
        <v>1059</v>
      </c>
      <c r="I114" s="113" t="s">
        <v>1035</v>
      </c>
      <c r="J114" s="113" t="s">
        <v>111</v>
      </c>
      <c r="K114" s="334" t="s">
        <v>110</v>
      </c>
      <c r="L114" s="368">
        <v>0.2</v>
      </c>
      <c r="M114" s="334" t="s">
        <v>1078</v>
      </c>
      <c r="N114" s="334" t="s">
        <v>1079</v>
      </c>
      <c r="O114" s="137"/>
      <c r="P114" s="357">
        <v>10</v>
      </c>
      <c r="Q114" s="368">
        <v>0.2</v>
      </c>
      <c r="R114" s="357"/>
      <c r="S114" s="74">
        <f t="shared" si="2"/>
        <v>0</v>
      </c>
      <c r="T114" s="386">
        <f t="shared" si="3"/>
        <v>0</v>
      </c>
      <c r="U114" s="74" t="s">
        <v>34</v>
      </c>
      <c r="V114" s="74"/>
      <c r="W114" s="113"/>
    </row>
    <row r="115" spans="1:23" ht="16.05" customHeight="1" x14ac:dyDescent="0.45">
      <c r="A115" s="1">
        <v>114</v>
      </c>
      <c r="B115" s="2" t="s">
        <v>924</v>
      </c>
      <c r="C115" s="2" t="s">
        <v>24</v>
      </c>
      <c r="D115" s="349">
        <v>3658</v>
      </c>
      <c r="E115" s="99" t="s">
        <v>1080</v>
      </c>
      <c r="F115" s="99" t="s">
        <v>1081</v>
      </c>
      <c r="G115" s="99">
        <v>6592</v>
      </c>
      <c r="H115" s="99" t="s">
        <v>925</v>
      </c>
      <c r="I115" s="99" t="s">
        <v>870</v>
      </c>
      <c r="J115" s="99" t="s">
        <v>58</v>
      </c>
      <c r="K115" s="99" t="s">
        <v>57</v>
      </c>
      <c r="L115" s="350">
        <v>1</v>
      </c>
      <c r="M115" s="280" t="s">
        <v>871</v>
      </c>
      <c r="N115" s="280"/>
      <c r="O115" s="280" t="s">
        <v>872</v>
      </c>
      <c r="P115" s="94">
        <v>4</v>
      </c>
      <c r="Q115" s="350">
        <v>9.7087378640776711E-2</v>
      </c>
      <c r="R115" s="94"/>
      <c r="S115" s="148">
        <f t="shared" si="2"/>
        <v>0</v>
      </c>
      <c r="T115" s="148">
        <f t="shared" si="3"/>
        <v>0</v>
      </c>
      <c r="U115" s="148" t="s">
        <v>34</v>
      </c>
      <c r="V115" s="278">
        <f>SUM(T115:T118)%</f>
        <v>0</v>
      </c>
      <c r="W115" s="99"/>
    </row>
    <row r="116" spans="1:23" ht="16.05" customHeight="1" x14ac:dyDescent="0.45">
      <c r="A116" s="1">
        <v>115</v>
      </c>
      <c r="B116" s="15" t="s">
        <v>924</v>
      </c>
      <c r="C116" s="182" t="s">
        <v>24</v>
      </c>
      <c r="D116" s="358">
        <v>3658</v>
      </c>
      <c r="E116" s="113" t="s">
        <v>1080</v>
      </c>
      <c r="F116" s="113" t="s">
        <v>1081</v>
      </c>
      <c r="G116" s="113">
        <v>6592</v>
      </c>
      <c r="H116" s="113" t="s">
        <v>925</v>
      </c>
      <c r="I116" s="113" t="s">
        <v>870</v>
      </c>
      <c r="J116" s="390" t="s">
        <v>58</v>
      </c>
      <c r="K116" s="390" t="s">
        <v>57</v>
      </c>
      <c r="L116" s="360">
        <v>1</v>
      </c>
      <c r="M116" s="396" t="s">
        <v>873</v>
      </c>
      <c r="N116" s="396"/>
      <c r="O116" s="396" t="s">
        <v>874</v>
      </c>
      <c r="P116" s="185">
        <v>250</v>
      </c>
      <c r="Q116" s="360">
        <v>0.4</v>
      </c>
      <c r="R116" s="185"/>
      <c r="S116" s="153">
        <f t="shared" si="2"/>
        <v>0</v>
      </c>
      <c r="T116" s="153">
        <f t="shared" si="3"/>
        <v>0</v>
      </c>
      <c r="U116" s="153" t="s">
        <v>34</v>
      </c>
      <c r="V116" s="153"/>
      <c r="W116" s="113"/>
    </row>
    <row r="117" spans="1:23" ht="16.05" customHeight="1" x14ac:dyDescent="0.45">
      <c r="A117" s="1">
        <v>116</v>
      </c>
      <c r="B117" s="15" t="s">
        <v>924</v>
      </c>
      <c r="C117" s="182" t="s">
        <v>24</v>
      </c>
      <c r="D117" s="358">
        <v>3658</v>
      </c>
      <c r="E117" s="113" t="s">
        <v>1080</v>
      </c>
      <c r="F117" s="113" t="s">
        <v>1081</v>
      </c>
      <c r="G117" s="113">
        <v>6592</v>
      </c>
      <c r="H117" s="113" t="s">
        <v>925</v>
      </c>
      <c r="I117" s="113" t="s">
        <v>870</v>
      </c>
      <c r="J117" s="390" t="s">
        <v>58</v>
      </c>
      <c r="K117" s="390" t="s">
        <v>57</v>
      </c>
      <c r="L117" s="360">
        <v>1</v>
      </c>
      <c r="M117" s="396" t="s">
        <v>875</v>
      </c>
      <c r="N117" s="396"/>
      <c r="O117" s="396"/>
      <c r="P117" s="185">
        <v>0</v>
      </c>
      <c r="Q117" s="360">
        <v>0.1</v>
      </c>
      <c r="R117" s="185"/>
      <c r="S117" s="153">
        <f t="shared" si="2"/>
        <v>0</v>
      </c>
      <c r="T117" s="153">
        <f t="shared" si="3"/>
        <v>0</v>
      </c>
      <c r="U117" s="153" t="s">
        <v>83</v>
      </c>
      <c r="V117" s="153"/>
      <c r="W117" s="113"/>
    </row>
    <row r="118" spans="1:23" ht="16.05" customHeight="1" x14ac:dyDescent="0.45">
      <c r="A118" s="1">
        <v>117</v>
      </c>
      <c r="B118" s="15" t="s">
        <v>924</v>
      </c>
      <c r="C118" s="182" t="s">
        <v>24</v>
      </c>
      <c r="D118" s="358">
        <v>3658</v>
      </c>
      <c r="E118" s="113" t="s">
        <v>1080</v>
      </c>
      <c r="F118" s="113" t="s">
        <v>1081</v>
      </c>
      <c r="G118" s="113">
        <v>6592</v>
      </c>
      <c r="H118" s="113" t="s">
        <v>925</v>
      </c>
      <c r="I118" s="113" t="s">
        <v>870</v>
      </c>
      <c r="J118" s="390" t="s">
        <v>58</v>
      </c>
      <c r="K118" s="390" t="s">
        <v>57</v>
      </c>
      <c r="L118" s="360">
        <v>1</v>
      </c>
      <c r="M118" s="396" t="s">
        <v>876</v>
      </c>
      <c r="N118" s="396"/>
      <c r="O118" s="396" t="s">
        <v>1082</v>
      </c>
      <c r="P118" s="64">
        <v>60</v>
      </c>
      <c r="Q118" s="360">
        <v>0.4</v>
      </c>
      <c r="R118" s="64"/>
      <c r="S118" s="153">
        <f t="shared" si="2"/>
        <v>0</v>
      </c>
      <c r="T118" s="153">
        <f t="shared" si="3"/>
        <v>0</v>
      </c>
      <c r="U118" s="153" t="s">
        <v>83</v>
      </c>
      <c r="V118" s="153"/>
      <c r="W118" s="113"/>
    </row>
    <row r="119" spans="1:23" ht="16.05" customHeight="1" x14ac:dyDescent="0.45">
      <c r="A119" s="1">
        <v>118</v>
      </c>
      <c r="B119" s="2" t="s">
        <v>924</v>
      </c>
      <c r="C119" s="2" t="s">
        <v>24</v>
      </c>
      <c r="D119" s="349">
        <v>6276</v>
      </c>
      <c r="E119" s="99" t="s">
        <v>1083</v>
      </c>
      <c r="F119" s="99" t="s">
        <v>1084</v>
      </c>
      <c r="G119" s="99">
        <v>3658</v>
      </c>
      <c r="H119" s="99" t="s">
        <v>1080</v>
      </c>
      <c r="I119" s="99" t="s">
        <v>870</v>
      </c>
      <c r="J119" s="99" t="s">
        <v>58</v>
      </c>
      <c r="K119" s="99" t="s">
        <v>57</v>
      </c>
      <c r="L119" s="350">
        <v>1</v>
      </c>
      <c r="M119" s="3" t="s">
        <v>1085</v>
      </c>
      <c r="N119" s="3"/>
      <c r="O119" s="3"/>
      <c r="P119" s="397">
        <v>8</v>
      </c>
      <c r="Q119" s="350">
        <v>0.1</v>
      </c>
      <c r="R119" s="397"/>
      <c r="S119" s="148">
        <f t="shared" si="2"/>
        <v>0</v>
      </c>
      <c r="T119" s="148">
        <f t="shared" si="3"/>
        <v>0</v>
      </c>
      <c r="U119" s="148" t="s">
        <v>83</v>
      </c>
      <c r="V119" s="278">
        <f>SUM(T119:T123)%</f>
        <v>0</v>
      </c>
      <c r="W119" s="99"/>
    </row>
    <row r="120" spans="1:23" ht="16.05" customHeight="1" x14ac:dyDescent="0.45">
      <c r="A120" s="1">
        <v>119</v>
      </c>
      <c r="B120" s="15" t="s">
        <v>924</v>
      </c>
      <c r="C120" s="182" t="s">
        <v>24</v>
      </c>
      <c r="D120" s="358">
        <v>6276</v>
      </c>
      <c r="E120" s="113" t="s">
        <v>1083</v>
      </c>
      <c r="F120" s="113" t="s">
        <v>1084</v>
      </c>
      <c r="G120" s="113">
        <v>3658</v>
      </c>
      <c r="H120" s="113" t="s">
        <v>1080</v>
      </c>
      <c r="I120" s="113" t="s">
        <v>870</v>
      </c>
      <c r="J120" s="290" t="s">
        <v>58</v>
      </c>
      <c r="K120" s="290" t="s">
        <v>57</v>
      </c>
      <c r="L120" s="360">
        <v>1</v>
      </c>
      <c r="M120" s="184" t="s">
        <v>1086</v>
      </c>
      <c r="N120" s="184"/>
      <c r="O120" s="184"/>
      <c r="P120" s="179">
        <v>0.7</v>
      </c>
      <c r="Q120" s="360">
        <v>0.2</v>
      </c>
      <c r="R120" s="179"/>
      <c r="S120" s="153">
        <f t="shared" si="2"/>
        <v>0</v>
      </c>
      <c r="T120" s="153">
        <f t="shared" si="3"/>
        <v>0</v>
      </c>
      <c r="U120" s="153" t="s">
        <v>34</v>
      </c>
      <c r="V120" s="153"/>
      <c r="W120" s="113"/>
    </row>
    <row r="121" spans="1:23" ht="16.05" customHeight="1" x14ac:dyDescent="0.45">
      <c r="A121" s="1">
        <v>120</v>
      </c>
      <c r="B121" s="15" t="s">
        <v>924</v>
      </c>
      <c r="C121" s="182" t="s">
        <v>24</v>
      </c>
      <c r="D121" s="358">
        <v>6276</v>
      </c>
      <c r="E121" s="113" t="s">
        <v>1083</v>
      </c>
      <c r="F121" s="113" t="s">
        <v>1084</v>
      </c>
      <c r="G121" s="113">
        <v>3658</v>
      </c>
      <c r="H121" s="113" t="s">
        <v>1080</v>
      </c>
      <c r="I121" s="113" t="s">
        <v>870</v>
      </c>
      <c r="J121" s="290" t="s">
        <v>58</v>
      </c>
      <c r="K121" s="290" t="s">
        <v>57</v>
      </c>
      <c r="L121" s="360">
        <v>1</v>
      </c>
      <c r="M121" s="184" t="s">
        <v>1087</v>
      </c>
      <c r="N121" s="184"/>
      <c r="O121" s="184" t="s">
        <v>1082</v>
      </c>
      <c r="P121" s="398">
        <v>60</v>
      </c>
      <c r="Q121" s="360">
        <v>0.2</v>
      </c>
      <c r="R121" s="398"/>
      <c r="S121" s="153">
        <f t="shared" si="2"/>
        <v>0</v>
      </c>
      <c r="T121" s="153">
        <f t="shared" si="3"/>
        <v>0</v>
      </c>
      <c r="U121" s="153" t="s">
        <v>83</v>
      </c>
      <c r="V121" s="153"/>
      <c r="W121" s="113"/>
    </row>
    <row r="122" spans="1:23" ht="16.05" customHeight="1" x14ac:dyDescent="0.45">
      <c r="A122" s="1">
        <v>121</v>
      </c>
      <c r="B122" s="15" t="s">
        <v>924</v>
      </c>
      <c r="C122" s="182" t="s">
        <v>24</v>
      </c>
      <c r="D122" s="358">
        <v>6276</v>
      </c>
      <c r="E122" s="113" t="s">
        <v>1083</v>
      </c>
      <c r="F122" s="113" t="s">
        <v>1084</v>
      </c>
      <c r="G122" s="113">
        <v>3658</v>
      </c>
      <c r="H122" s="113" t="s">
        <v>1080</v>
      </c>
      <c r="I122" s="113" t="s">
        <v>870</v>
      </c>
      <c r="J122" s="290" t="s">
        <v>58</v>
      </c>
      <c r="K122" s="290" t="s">
        <v>57</v>
      </c>
      <c r="L122" s="360">
        <v>1</v>
      </c>
      <c r="M122" s="184" t="s">
        <v>1088</v>
      </c>
      <c r="N122" s="184"/>
      <c r="O122" s="184"/>
      <c r="P122" s="179">
        <v>0.8</v>
      </c>
      <c r="Q122" s="360">
        <v>0.3</v>
      </c>
      <c r="R122" s="179"/>
      <c r="S122" s="153">
        <f t="shared" si="2"/>
        <v>0</v>
      </c>
      <c r="T122" s="153">
        <f t="shared" si="3"/>
        <v>0</v>
      </c>
      <c r="U122" s="153" t="s">
        <v>34</v>
      </c>
      <c r="V122" s="153"/>
      <c r="W122" s="113"/>
    </row>
    <row r="123" spans="1:23" ht="16.05" customHeight="1" x14ac:dyDescent="0.45">
      <c r="A123" s="1">
        <v>122</v>
      </c>
      <c r="B123" s="15" t="s">
        <v>924</v>
      </c>
      <c r="C123" s="182" t="s">
        <v>24</v>
      </c>
      <c r="D123" s="358">
        <v>6276</v>
      </c>
      <c r="E123" s="113" t="s">
        <v>1083</v>
      </c>
      <c r="F123" s="113" t="s">
        <v>1084</v>
      </c>
      <c r="G123" s="113">
        <v>3658</v>
      </c>
      <c r="H123" s="113" t="s">
        <v>1080</v>
      </c>
      <c r="I123" s="113" t="s">
        <v>870</v>
      </c>
      <c r="J123" s="290" t="s">
        <v>58</v>
      </c>
      <c r="K123" s="290" t="s">
        <v>57</v>
      </c>
      <c r="L123" s="360">
        <v>1</v>
      </c>
      <c r="M123" s="184" t="s">
        <v>1089</v>
      </c>
      <c r="N123" s="184"/>
      <c r="O123" s="184"/>
      <c r="P123" s="398">
        <v>10</v>
      </c>
      <c r="Q123" s="360">
        <v>0.2</v>
      </c>
      <c r="R123" s="398"/>
      <c r="S123" s="153">
        <f t="shared" si="2"/>
        <v>0</v>
      </c>
      <c r="T123" s="153">
        <f t="shared" si="3"/>
        <v>0</v>
      </c>
      <c r="U123" s="153" t="s">
        <v>83</v>
      </c>
      <c r="V123" s="153"/>
      <c r="W123" s="113"/>
    </row>
    <row r="124" spans="1:23" ht="16.05" customHeight="1" x14ac:dyDescent="0.45">
      <c r="A124" s="1">
        <v>123</v>
      </c>
      <c r="B124" s="2" t="s">
        <v>924</v>
      </c>
      <c r="C124" s="2" t="s">
        <v>24</v>
      </c>
      <c r="D124" s="275">
        <v>6266</v>
      </c>
      <c r="E124" s="2" t="s">
        <v>1080</v>
      </c>
      <c r="F124" s="99" t="s">
        <v>1084</v>
      </c>
      <c r="G124" s="2">
        <v>3658</v>
      </c>
      <c r="H124" s="99" t="s">
        <v>1080</v>
      </c>
      <c r="I124" s="99" t="s">
        <v>870</v>
      </c>
      <c r="J124" s="99" t="s">
        <v>58</v>
      </c>
      <c r="K124" s="99" t="s">
        <v>57</v>
      </c>
      <c r="L124" s="350">
        <v>1</v>
      </c>
      <c r="M124" s="3" t="s">
        <v>1085</v>
      </c>
      <c r="N124" s="3"/>
      <c r="O124" s="3"/>
      <c r="P124" s="397">
        <v>8</v>
      </c>
      <c r="Q124" s="350">
        <v>0.1</v>
      </c>
      <c r="R124" s="397"/>
      <c r="S124" s="148">
        <f t="shared" si="2"/>
        <v>0</v>
      </c>
      <c r="T124" s="148">
        <f t="shared" si="3"/>
        <v>0</v>
      </c>
      <c r="U124" s="148" t="s">
        <v>83</v>
      </c>
      <c r="V124" s="278">
        <f>SUM(T124:T128)%</f>
        <v>0</v>
      </c>
      <c r="W124" s="99"/>
    </row>
    <row r="125" spans="1:23" ht="16.05" customHeight="1" x14ac:dyDescent="0.45">
      <c r="A125" s="1">
        <v>124</v>
      </c>
      <c r="B125" s="15" t="s">
        <v>924</v>
      </c>
      <c r="C125" s="182" t="s">
        <v>24</v>
      </c>
      <c r="D125" s="281">
        <v>6266</v>
      </c>
      <c r="E125" s="15" t="s">
        <v>1080</v>
      </c>
      <c r="F125" s="113" t="s">
        <v>1084</v>
      </c>
      <c r="G125" s="15">
        <v>3658</v>
      </c>
      <c r="H125" s="113" t="s">
        <v>1080</v>
      </c>
      <c r="I125" s="113" t="s">
        <v>870</v>
      </c>
      <c r="J125" s="390" t="s">
        <v>58</v>
      </c>
      <c r="K125" s="390" t="s">
        <v>57</v>
      </c>
      <c r="L125" s="360">
        <v>1</v>
      </c>
      <c r="M125" s="184" t="s">
        <v>1086</v>
      </c>
      <c r="N125" s="184"/>
      <c r="O125" s="184"/>
      <c r="P125" s="179">
        <v>0.7</v>
      </c>
      <c r="Q125" s="360">
        <v>0.2</v>
      </c>
      <c r="R125" s="179"/>
      <c r="S125" s="153">
        <f t="shared" si="2"/>
        <v>0</v>
      </c>
      <c r="T125" s="153">
        <f t="shared" si="3"/>
        <v>0</v>
      </c>
      <c r="U125" s="153" t="s">
        <v>34</v>
      </c>
      <c r="V125" s="153"/>
      <c r="W125" s="113"/>
    </row>
    <row r="126" spans="1:23" ht="16.05" customHeight="1" x14ac:dyDescent="0.45">
      <c r="A126" s="1">
        <v>125</v>
      </c>
      <c r="B126" s="15" t="s">
        <v>924</v>
      </c>
      <c r="C126" s="182" t="s">
        <v>24</v>
      </c>
      <c r="D126" s="281">
        <v>6266</v>
      </c>
      <c r="E126" s="15" t="s">
        <v>1080</v>
      </c>
      <c r="F126" s="113" t="s">
        <v>1084</v>
      </c>
      <c r="G126" s="15">
        <v>3658</v>
      </c>
      <c r="H126" s="113" t="s">
        <v>1080</v>
      </c>
      <c r="I126" s="113" t="s">
        <v>870</v>
      </c>
      <c r="J126" s="390" t="s">
        <v>58</v>
      </c>
      <c r="K126" s="390" t="s">
        <v>57</v>
      </c>
      <c r="L126" s="360">
        <v>1</v>
      </c>
      <c r="M126" s="184" t="s">
        <v>1087</v>
      </c>
      <c r="N126" s="184"/>
      <c r="O126" s="184" t="s">
        <v>1082</v>
      </c>
      <c r="P126" s="398">
        <v>60</v>
      </c>
      <c r="Q126" s="360">
        <v>0.2</v>
      </c>
      <c r="R126" s="398"/>
      <c r="S126" s="153">
        <f t="shared" si="2"/>
        <v>0</v>
      </c>
      <c r="T126" s="153">
        <f t="shared" si="3"/>
        <v>0</v>
      </c>
      <c r="U126" s="153" t="s">
        <v>83</v>
      </c>
      <c r="V126" s="153"/>
      <c r="W126" s="113"/>
    </row>
    <row r="127" spans="1:23" ht="16.05" customHeight="1" x14ac:dyDescent="0.45">
      <c r="A127" s="1">
        <v>126</v>
      </c>
      <c r="B127" s="15" t="s">
        <v>924</v>
      </c>
      <c r="C127" s="182" t="s">
        <v>24</v>
      </c>
      <c r="D127" s="281">
        <v>6266</v>
      </c>
      <c r="E127" s="15" t="s">
        <v>1080</v>
      </c>
      <c r="F127" s="113" t="s">
        <v>1084</v>
      </c>
      <c r="G127" s="15">
        <v>3658</v>
      </c>
      <c r="H127" s="113" t="s">
        <v>1080</v>
      </c>
      <c r="I127" s="113" t="s">
        <v>870</v>
      </c>
      <c r="J127" s="390" t="s">
        <v>58</v>
      </c>
      <c r="K127" s="390" t="s">
        <v>57</v>
      </c>
      <c r="L127" s="360">
        <v>1</v>
      </c>
      <c r="M127" s="184" t="s">
        <v>1088</v>
      </c>
      <c r="N127" s="184"/>
      <c r="O127" s="184"/>
      <c r="P127" s="179">
        <v>0.8</v>
      </c>
      <c r="Q127" s="360">
        <v>0.3</v>
      </c>
      <c r="R127" s="179"/>
      <c r="S127" s="153">
        <f t="shared" si="2"/>
        <v>0</v>
      </c>
      <c r="T127" s="153">
        <f t="shared" si="3"/>
        <v>0</v>
      </c>
      <c r="U127" s="153" t="s">
        <v>34</v>
      </c>
      <c r="V127" s="153"/>
      <c r="W127" s="113"/>
    </row>
    <row r="128" spans="1:23" ht="16.05" customHeight="1" x14ac:dyDescent="0.45">
      <c r="A128" s="1">
        <v>127</v>
      </c>
      <c r="B128" s="15" t="s">
        <v>924</v>
      </c>
      <c r="C128" s="182" t="s">
        <v>24</v>
      </c>
      <c r="D128" s="281">
        <v>6266</v>
      </c>
      <c r="E128" s="15" t="s">
        <v>1080</v>
      </c>
      <c r="F128" s="113" t="s">
        <v>1084</v>
      </c>
      <c r="G128" s="15">
        <v>3658</v>
      </c>
      <c r="H128" s="113" t="s">
        <v>1080</v>
      </c>
      <c r="I128" s="113" t="s">
        <v>870</v>
      </c>
      <c r="J128" s="390" t="s">
        <v>58</v>
      </c>
      <c r="K128" s="390" t="s">
        <v>57</v>
      </c>
      <c r="L128" s="360">
        <v>1</v>
      </c>
      <c r="M128" s="184" t="s">
        <v>1089</v>
      </c>
      <c r="N128" s="184"/>
      <c r="O128" s="184"/>
      <c r="P128" s="398">
        <v>10</v>
      </c>
      <c r="Q128" s="360">
        <v>0.2</v>
      </c>
      <c r="R128" s="398"/>
      <c r="S128" s="153">
        <f t="shared" si="2"/>
        <v>0</v>
      </c>
      <c r="T128" s="153">
        <f t="shared" si="3"/>
        <v>0</v>
      </c>
      <c r="U128" s="153" t="s">
        <v>83</v>
      </c>
      <c r="V128" s="153"/>
      <c r="W128" s="113"/>
    </row>
    <row r="129" spans="1:23" ht="16.05" customHeight="1" x14ac:dyDescent="0.45">
      <c r="A129" s="1">
        <v>128</v>
      </c>
      <c r="B129" s="2" t="s">
        <v>924</v>
      </c>
      <c r="C129" s="2" t="s">
        <v>24</v>
      </c>
      <c r="D129" s="349">
        <v>5190</v>
      </c>
      <c r="E129" s="99" t="s">
        <v>1090</v>
      </c>
      <c r="F129" s="99" t="s">
        <v>1084</v>
      </c>
      <c r="G129" s="99">
        <v>3658</v>
      </c>
      <c r="H129" s="99" t="s">
        <v>1080</v>
      </c>
      <c r="I129" s="99" t="s">
        <v>870</v>
      </c>
      <c r="J129" s="99" t="s">
        <v>58</v>
      </c>
      <c r="K129" s="99" t="s">
        <v>57</v>
      </c>
      <c r="L129" s="350">
        <v>1</v>
      </c>
      <c r="M129" s="3" t="s">
        <v>1085</v>
      </c>
      <c r="N129" s="3"/>
      <c r="O129" s="3"/>
      <c r="P129" s="397">
        <v>8</v>
      </c>
      <c r="Q129" s="350">
        <v>0.1</v>
      </c>
      <c r="R129" s="397"/>
      <c r="S129" s="148">
        <f t="shared" si="2"/>
        <v>0</v>
      </c>
      <c r="T129" s="148">
        <f t="shared" si="3"/>
        <v>0</v>
      </c>
      <c r="U129" s="148" t="s">
        <v>83</v>
      </c>
      <c r="V129" s="278">
        <f>SUM(T129:T133)%</f>
        <v>0</v>
      </c>
      <c r="W129" s="99"/>
    </row>
    <row r="130" spans="1:23" ht="16.05" customHeight="1" x14ac:dyDescent="0.45">
      <c r="A130" s="1">
        <v>129</v>
      </c>
      <c r="B130" s="15" t="s">
        <v>924</v>
      </c>
      <c r="C130" s="182" t="s">
        <v>24</v>
      </c>
      <c r="D130" s="358">
        <v>5190</v>
      </c>
      <c r="E130" s="113" t="s">
        <v>1090</v>
      </c>
      <c r="F130" s="113" t="s">
        <v>1084</v>
      </c>
      <c r="G130" s="113">
        <v>3658</v>
      </c>
      <c r="H130" s="113" t="s">
        <v>1080</v>
      </c>
      <c r="I130" s="113" t="s">
        <v>870</v>
      </c>
      <c r="J130" s="390" t="s">
        <v>58</v>
      </c>
      <c r="K130" s="390" t="s">
        <v>57</v>
      </c>
      <c r="L130" s="360">
        <v>1</v>
      </c>
      <c r="M130" s="184" t="s">
        <v>1086</v>
      </c>
      <c r="N130" s="184"/>
      <c r="O130" s="184"/>
      <c r="P130" s="179">
        <v>0.7</v>
      </c>
      <c r="Q130" s="360">
        <v>0.2</v>
      </c>
      <c r="R130" s="179"/>
      <c r="S130" s="153">
        <f t="shared" ref="S130:S193" si="4">ROUND(IF(OR(P130="",R130=""),0,IF(AND(P130=0,R130=0),1,IF(U130="+",R130/P130,P130/R130))),2)</f>
        <v>0</v>
      </c>
      <c r="T130" s="153">
        <f t="shared" ref="T130:T193" si="5">IF(AND(S130&gt;=60%,S130&lt;100%),S130*((Q130*L130)),IF(S130=100%,((Q130*L130)*S130)*100%,IF(S130&gt;100%,((L130*Q130)*100%)*100%,0)))*100</f>
        <v>0</v>
      </c>
      <c r="U130" s="153" t="s">
        <v>34</v>
      </c>
      <c r="V130" s="153"/>
      <c r="W130" s="113"/>
    </row>
    <row r="131" spans="1:23" ht="16.05" customHeight="1" x14ac:dyDescent="0.45">
      <c r="A131" s="1">
        <v>130</v>
      </c>
      <c r="B131" s="15" t="s">
        <v>924</v>
      </c>
      <c r="C131" s="182" t="s">
        <v>24</v>
      </c>
      <c r="D131" s="358">
        <v>5190</v>
      </c>
      <c r="E131" s="113" t="s">
        <v>1090</v>
      </c>
      <c r="F131" s="113" t="s">
        <v>1084</v>
      </c>
      <c r="G131" s="113">
        <v>3658</v>
      </c>
      <c r="H131" s="113" t="s">
        <v>1080</v>
      </c>
      <c r="I131" s="113" t="s">
        <v>870</v>
      </c>
      <c r="J131" s="390" t="s">
        <v>58</v>
      </c>
      <c r="K131" s="390" t="s">
        <v>57</v>
      </c>
      <c r="L131" s="360">
        <v>1</v>
      </c>
      <c r="M131" s="184" t="s">
        <v>1087</v>
      </c>
      <c r="N131" s="184"/>
      <c r="O131" s="184" t="s">
        <v>1082</v>
      </c>
      <c r="P131" s="398">
        <v>60</v>
      </c>
      <c r="Q131" s="360">
        <v>0.2</v>
      </c>
      <c r="R131" s="398"/>
      <c r="S131" s="153">
        <f t="shared" si="4"/>
        <v>0</v>
      </c>
      <c r="T131" s="153">
        <f t="shared" si="5"/>
        <v>0</v>
      </c>
      <c r="U131" s="153" t="s">
        <v>83</v>
      </c>
      <c r="V131" s="153"/>
      <c r="W131" s="113"/>
    </row>
    <row r="132" spans="1:23" ht="16.05" customHeight="1" x14ac:dyDescent="0.45">
      <c r="A132" s="1">
        <v>131</v>
      </c>
      <c r="B132" s="15" t="s">
        <v>924</v>
      </c>
      <c r="C132" s="182" t="s">
        <v>24</v>
      </c>
      <c r="D132" s="358">
        <v>5190</v>
      </c>
      <c r="E132" s="113" t="s">
        <v>1090</v>
      </c>
      <c r="F132" s="113" t="s">
        <v>1084</v>
      </c>
      <c r="G132" s="113">
        <v>3658</v>
      </c>
      <c r="H132" s="113" t="s">
        <v>1080</v>
      </c>
      <c r="I132" s="113" t="s">
        <v>870</v>
      </c>
      <c r="J132" s="390" t="s">
        <v>58</v>
      </c>
      <c r="K132" s="390" t="s">
        <v>57</v>
      </c>
      <c r="L132" s="360">
        <v>1</v>
      </c>
      <c r="M132" s="184" t="s">
        <v>1088</v>
      </c>
      <c r="N132" s="184"/>
      <c r="O132" s="184"/>
      <c r="P132" s="179">
        <v>0.8</v>
      </c>
      <c r="Q132" s="360">
        <v>0.3</v>
      </c>
      <c r="R132" s="179"/>
      <c r="S132" s="153">
        <f t="shared" si="4"/>
        <v>0</v>
      </c>
      <c r="T132" s="153">
        <f t="shared" si="5"/>
        <v>0</v>
      </c>
      <c r="U132" s="153" t="s">
        <v>34</v>
      </c>
      <c r="V132" s="153"/>
      <c r="W132" s="113"/>
    </row>
    <row r="133" spans="1:23" ht="16.05" customHeight="1" x14ac:dyDescent="0.45">
      <c r="A133" s="1">
        <v>132</v>
      </c>
      <c r="B133" s="15" t="s">
        <v>924</v>
      </c>
      <c r="C133" s="182" t="s">
        <v>24</v>
      </c>
      <c r="D133" s="358">
        <v>5190</v>
      </c>
      <c r="E133" s="113" t="s">
        <v>1090</v>
      </c>
      <c r="F133" s="113" t="s">
        <v>1084</v>
      </c>
      <c r="G133" s="113">
        <v>3658</v>
      </c>
      <c r="H133" s="113" t="s">
        <v>1080</v>
      </c>
      <c r="I133" s="113" t="s">
        <v>870</v>
      </c>
      <c r="J133" s="390" t="s">
        <v>58</v>
      </c>
      <c r="K133" s="390" t="s">
        <v>57</v>
      </c>
      <c r="L133" s="360">
        <v>1</v>
      </c>
      <c r="M133" s="184" t="s">
        <v>1089</v>
      </c>
      <c r="N133" s="184"/>
      <c r="O133" s="184"/>
      <c r="P133" s="398">
        <v>10</v>
      </c>
      <c r="Q133" s="360">
        <v>0.2</v>
      </c>
      <c r="R133" s="398"/>
      <c r="S133" s="153">
        <f t="shared" si="4"/>
        <v>0</v>
      </c>
      <c r="T133" s="153">
        <f t="shared" si="5"/>
        <v>0</v>
      </c>
      <c r="U133" s="153" t="s">
        <v>83</v>
      </c>
      <c r="V133" s="153"/>
      <c r="W133" s="113"/>
    </row>
    <row r="134" spans="1:23" ht="16.05" customHeight="1" x14ac:dyDescent="0.45">
      <c r="A134" s="1">
        <v>133</v>
      </c>
      <c r="B134" s="99" t="s">
        <v>924</v>
      </c>
      <c r="C134" s="2" t="s">
        <v>24</v>
      </c>
      <c r="D134" s="349">
        <v>5052</v>
      </c>
      <c r="E134" s="99" t="s">
        <v>1091</v>
      </c>
      <c r="F134" s="99" t="s">
        <v>1092</v>
      </c>
      <c r="G134" s="91">
        <v>3264</v>
      </c>
      <c r="H134" s="99" t="s">
        <v>1093</v>
      </c>
      <c r="I134" s="99" t="s">
        <v>1094</v>
      </c>
      <c r="J134" s="388" t="s">
        <v>58</v>
      </c>
      <c r="K134" s="3" t="s">
        <v>57</v>
      </c>
      <c r="L134" s="350">
        <v>0.5</v>
      </c>
      <c r="M134" s="3"/>
      <c r="N134" s="3" t="s">
        <v>1095</v>
      </c>
      <c r="O134" s="389"/>
      <c r="P134" s="94">
        <v>3</v>
      </c>
      <c r="Q134" s="350">
        <v>0.2</v>
      </c>
      <c r="R134" s="94"/>
      <c r="S134" s="148">
        <f t="shared" si="4"/>
        <v>0</v>
      </c>
      <c r="T134" s="168">
        <f t="shared" si="5"/>
        <v>0</v>
      </c>
      <c r="U134" s="148" t="s">
        <v>34</v>
      </c>
      <c r="V134" s="278">
        <f>SUM(T134:T141)%</f>
        <v>0</v>
      </c>
      <c r="W134" s="99"/>
    </row>
    <row r="135" spans="1:23" ht="16.05" customHeight="1" x14ac:dyDescent="0.45">
      <c r="A135" s="1">
        <v>134</v>
      </c>
      <c r="B135" s="113" t="s">
        <v>924</v>
      </c>
      <c r="C135" s="57" t="s">
        <v>24</v>
      </c>
      <c r="D135" s="358">
        <v>5052</v>
      </c>
      <c r="E135" s="113" t="s">
        <v>1091</v>
      </c>
      <c r="F135" s="113" t="s">
        <v>1092</v>
      </c>
      <c r="G135" s="113">
        <v>3264</v>
      </c>
      <c r="H135" s="113" t="s">
        <v>1093</v>
      </c>
      <c r="I135" s="113" t="s">
        <v>1094</v>
      </c>
      <c r="J135" s="390" t="s">
        <v>58</v>
      </c>
      <c r="K135" s="359" t="s">
        <v>57</v>
      </c>
      <c r="L135" s="360">
        <v>0.5</v>
      </c>
      <c r="M135" s="184"/>
      <c r="N135" s="184" t="s">
        <v>1096</v>
      </c>
      <c r="O135" s="34"/>
      <c r="P135" s="399">
        <v>2100</v>
      </c>
      <c r="Q135" s="360">
        <v>0.25</v>
      </c>
      <c r="R135" s="399"/>
      <c r="S135" s="153">
        <f t="shared" si="4"/>
        <v>0</v>
      </c>
      <c r="T135" s="152">
        <f t="shared" si="5"/>
        <v>0</v>
      </c>
      <c r="U135" s="153" t="s">
        <v>34</v>
      </c>
      <c r="V135" s="153"/>
      <c r="W135" s="113"/>
    </row>
    <row r="136" spans="1:23" ht="16.05" customHeight="1" x14ac:dyDescent="0.45">
      <c r="A136" s="1">
        <v>135</v>
      </c>
      <c r="B136" s="113" t="s">
        <v>924</v>
      </c>
      <c r="C136" s="57" t="s">
        <v>24</v>
      </c>
      <c r="D136" s="358">
        <v>5052</v>
      </c>
      <c r="E136" s="113" t="s">
        <v>1091</v>
      </c>
      <c r="F136" s="113" t="s">
        <v>1092</v>
      </c>
      <c r="G136" s="113">
        <v>3264</v>
      </c>
      <c r="H136" s="113" t="s">
        <v>1093</v>
      </c>
      <c r="I136" s="113" t="s">
        <v>1094</v>
      </c>
      <c r="J136" s="390" t="s">
        <v>58</v>
      </c>
      <c r="K136" s="184" t="s">
        <v>57</v>
      </c>
      <c r="L136" s="360">
        <v>0.5</v>
      </c>
      <c r="M136" s="184"/>
      <c r="N136" s="184" t="s">
        <v>1097</v>
      </c>
      <c r="O136" s="34"/>
      <c r="P136" s="400">
        <v>25000000000</v>
      </c>
      <c r="Q136" s="360">
        <v>0.25</v>
      </c>
      <c r="R136" s="400"/>
      <c r="S136" s="153">
        <f t="shared" si="4"/>
        <v>0</v>
      </c>
      <c r="T136" s="152">
        <f t="shared" si="5"/>
        <v>0</v>
      </c>
      <c r="U136" s="153" t="s">
        <v>34</v>
      </c>
      <c r="V136" s="153"/>
      <c r="W136" s="113"/>
    </row>
    <row r="137" spans="1:23" ht="16.05" customHeight="1" x14ac:dyDescent="0.45">
      <c r="A137" s="1">
        <v>136</v>
      </c>
      <c r="B137" s="113" t="s">
        <v>924</v>
      </c>
      <c r="C137" s="57" t="s">
        <v>24</v>
      </c>
      <c r="D137" s="358">
        <v>5052</v>
      </c>
      <c r="E137" s="113" t="s">
        <v>1091</v>
      </c>
      <c r="F137" s="113" t="s">
        <v>1092</v>
      </c>
      <c r="G137" s="113">
        <v>3264</v>
      </c>
      <c r="H137" s="113" t="s">
        <v>1093</v>
      </c>
      <c r="I137" s="113" t="s">
        <v>1094</v>
      </c>
      <c r="J137" s="390" t="s">
        <v>58</v>
      </c>
      <c r="K137" s="184" t="s">
        <v>57</v>
      </c>
      <c r="L137" s="360">
        <v>0.5</v>
      </c>
      <c r="M137" s="184"/>
      <c r="N137" s="184" t="s">
        <v>1098</v>
      </c>
      <c r="O137" s="34"/>
      <c r="P137" s="401">
        <v>400000</v>
      </c>
      <c r="Q137" s="360">
        <v>0.3</v>
      </c>
      <c r="R137" s="401"/>
      <c r="S137" s="153">
        <f t="shared" si="4"/>
        <v>0</v>
      </c>
      <c r="T137" s="152">
        <f t="shared" si="5"/>
        <v>0</v>
      </c>
      <c r="U137" s="153" t="s">
        <v>34</v>
      </c>
      <c r="V137" s="153"/>
      <c r="W137" s="113"/>
    </row>
    <row r="138" spans="1:23" ht="16.05" customHeight="1" x14ac:dyDescent="0.45">
      <c r="A138" s="1">
        <v>137</v>
      </c>
      <c r="B138" s="113" t="s">
        <v>924</v>
      </c>
      <c r="C138" s="57" t="s">
        <v>24</v>
      </c>
      <c r="D138" s="358">
        <v>5052</v>
      </c>
      <c r="E138" s="113" t="s">
        <v>1091</v>
      </c>
      <c r="F138" s="113" t="s">
        <v>1092</v>
      </c>
      <c r="G138" s="113">
        <v>3264</v>
      </c>
      <c r="H138" s="113" t="s">
        <v>1093</v>
      </c>
      <c r="I138" s="113" t="s">
        <v>1094</v>
      </c>
      <c r="J138" s="113" t="s">
        <v>111</v>
      </c>
      <c r="K138" s="334" t="s">
        <v>110</v>
      </c>
      <c r="L138" s="368">
        <v>0.5</v>
      </c>
      <c r="M138" s="334"/>
      <c r="N138" s="334" t="s">
        <v>1099</v>
      </c>
      <c r="O138" s="137"/>
      <c r="P138" s="394">
        <v>10</v>
      </c>
      <c r="Q138" s="368">
        <v>0.2</v>
      </c>
      <c r="R138" s="394"/>
      <c r="S138" s="74">
        <f t="shared" si="4"/>
        <v>0</v>
      </c>
      <c r="T138" s="386">
        <f t="shared" si="5"/>
        <v>0</v>
      </c>
      <c r="U138" s="74" t="s">
        <v>34</v>
      </c>
      <c r="V138" s="74"/>
      <c r="W138" s="113"/>
    </row>
    <row r="139" spans="1:23" ht="16.05" customHeight="1" x14ac:dyDescent="0.45">
      <c r="A139" s="1">
        <v>138</v>
      </c>
      <c r="B139" s="113" t="s">
        <v>924</v>
      </c>
      <c r="C139" s="57" t="s">
        <v>24</v>
      </c>
      <c r="D139" s="358">
        <v>5052</v>
      </c>
      <c r="E139" s="113" t="s">
        <v>1091</v>
      </c>
      <c r="F139" s="113" t="s">
        <v>1092</v>
      </c>
      <c r="G139" s="113">
        <v>3264</v>
      </c>
      <c r="H139" s="113" t="s">
        <v>1093</v>
      </c>
      <c r="I139" s="113" t="s">
        <v>1094</v>
      </c>
      <c r="J139" s="113" t="s">
        <v>111</v>
      </c>
      <c r="K139" s="334" t="s">
        <v>110</v>
      </c>
      <c r="L139" s="368">
        <v>0.5</v>
      </c>
      <c r="M139" s="334"/>
      <c r="N139" s="334" t="s">
        <v>1100</v>
      </c>
      <c r="O139" s="137"/>
      <c r="P139" s="394">
        <v>2</v>
      </c>
      <c r="Q139" s="368">
        <v>0.3</v>
      </c>
      <c r="R139" s="394"/>
      <c r="S139" s="74">
        <f t="shared" si="4"/>
        <v>0</v>
      </c>
      <c r="T139" s="386">
        <f t="shared" si="5"/>
        <v>0</v>
      </c>
      <c r="U139" s="74" t="s">
        <v>34</v>
      </c>
      <c r="V139" s="74"/>
      <c r="W139" s="113"/>
    </row>
    <row r="140" spans="1:23" ht="16.05" customHeight="1" x14ac:dyDescent="0.45">
      <c r="A140" s="1">
        <v>139</v>
      </c>
      <c r="B140" s="113" t="s">
        <v>924</v>
      </c>
      <c r="C140" s="57" t="s">
        <v>24</v>
      </c>
      <c r="D140" s="358">
        <v>5052</v>
      </c>
      <c r="E140" s="113" t="s">
        <v>1091</v>
      </c>
      <c r="F140" s="113" t="s">
        <v>1092</v>
      </c>
      <c r="G140" s="113">
        <v>3264</v>
      </c>
      <c r="H140" s="113" t="s">
        <v>1093</v>
      </c>
      <c r="I140" s="113" t="s">
        <v>1094</v>
      </c>
      <c r="J140" s="113" t="s">
        <v>111</v>
      </c>
      <c r="K140" s="334" t="s">
        <v>110</v>
      </c>
      <c r="L140" s="368">
        <v>0.5</v>
      </c>
      <c r="M140" s="334"/>
      <c r="N140" s="334" t="s">
        <v>1101</v>
      </c>
      <c r="O140" s="395"/>
      <c r="P140" s="357">
        <v>10</v>
      </c>
      <c r="Q140" s="368">
        <v>0.2</v>
      </c>
      <c r="R140" s="357"/>
      <c r="S140" s="74">
        <f t="shared" si="4"/>
        <v>0</v>
      </c>
      <c r="T140" s="386">
        <f t="shared" si="5"/>
        <v>0</v>
      </c>
      <c r="U140" s="74" t="s">
        <v>34</v>
      </c>
      <c r="V140" s="74"/>
      <c r="W140" s="113"/>
    </row>
    <row r="141" spans="1:23" ht="16.05" customHeight="1" x14ac:dyDescent="0.45">
      <c r="A141" s="1">
        <v>140</v>
      </c>
      <c r="B141" s="113" t="s">
        <v>924</v>
      </c>
      <c r="C141" s="57" t="s">
        <v>24</v>
      </c>
      <c r="D141" s="358">
        <v>5052</v>
      </c>
      <c r="E141" s="113" t="s">
        <v>1091</v>
      </c>
      <c r="F141" s="113" t="s">
        <v>1092</v>
      </c>
      <c r="G141" s="113">
        <v>3264</v>
      </c>
      <c r="H141" s="113" t="s">
        <v>1093</v>
      </c>
      <c r="I141" s="113" t="s">
        <v>1094</v>
      </c>
      <c r="J141" s="113" t="s">
        <v>111</v>
      </c>
      <c r="K141" s="334" t="s">
        <v>110</v>
      </c>
      <c r="L141" s="368">
        <v>0.5</v>
      </c>
      <c r="M141" s="334"/>
      <c r="N141" s="334" t="s">
        <v>1102</v>
      </c>
      <c r="O141" s="395"/>
      <c r="P141" s="357">
        <v>2</v>
      </c>
      <c r="Q141" s="368">
        <v>0.3</v>
      </c>
      <c r="R141" s="357"/>
      <c r="S141" s="74">
        <f t="shared" si="4"/>
        <v>0</v>
      </c>
      <c r="T141" s="386">
        <f t="shared" si="5"/>
        <v>0</v>
      </c>
      <c r="U141" s="74" t="s">
        <v>34</v>
      </c>
      <c r="V141" s="74"/>
      <c r="W141" s="113"/>
    </row>
    <row r="142" spans="1:23" ht="16.05" customHeight="1" x14ac:dyDescent="0.45">
      <c r="A142" s="1">
        <v>141</v>
      </c>
      <c r="B142" s="99" t="s">
        <v>924</v>
      </c>
      <c r="C142" s="2" t="s">
        <v>24</v>
      </c>
      <c r="D142" s="349">
        <v>5757</v>
      </c>
      <c r="E142" s="99" t="s">
        <v>1103</v>
      </c>
      <c r="F142" s="99" t="s">
        <v>1104</v>
      </c>
      <c r="G142" s="99">
        <v>3264</v>
      </c>
      <c r="H142" s="99" t="s">
        <v>1093</v>
      </c>
      <c r="I142" s="99" t="s">
        <v>1094</v>
      </c>
      <c r="J142" s="390" t="s">
        <v>58</v>
      </c>
      <c r="K142" s="359" t="s">
        <v>57</v>
      </c>
      <c r="L142" s="350">
        <v>0.5</v>
      </c>
      <c r="M142" s="3"/>
      <c r="N142" s="3" t="s">
        <v>1105</v>
      </c>
      <c r="O142" s="389"/>
      <c r="P142" s="402">
        <v>2100</v>
      </c>
      <c r="Q142" s="350">
        <v>0.3</v>
      </c>
      <c r="R142" s="402"/>
      <c r="S142" s="148">
        <f t="shared" si="4"/>
        <v>0</v>
      </c>
      <c r="T142" s="168">
        <f t="shared" si="5"/>
        <v>0</v>
      </c>
      <c r="U142" s="148" t="s">
        <v>34</v>
      </c>
      <c r="V142" s="278">
        <f>SUM(T142:T149)%</f>
        <v>0</v>
      </c>
      <c r="W142" s="99"/>
    </row>
    <row r="143" spans="1:23" ht="16.05" customHeight="1" x14ac:dyDescent="0.45">
      <c r="A143" s="1">
        <v>142</v>
      </c>
      <c r="B143" s="113" t="s">
        <v>924</v>
      </c>
      <c r="C143" s="57" t="s">
        <v>24</v>
      </c>
      <c r="D143" s="358">
        <v>5757</v>
      </c>
      <c r="E143" s="113" t="s">
        <v>1103</v>
      </c>
      <c r="F143" s="113" t="s">
        <v>1104</v>
      </c>
      <c r="G143" s="113">
        <v>3264</v>
      </c>
      <c r="H143" s="113" t="s">
        <v>1093</v>
      </c>
      <c r="I143" s="113" t="s">
        <v>1094</v>
      </c>
      <c r="J143" s="390" t="s">
        <v>58</v>
      </c>
      <c r="K143" s="359" t="s">
        <v>57</v>
      </c>
      <c r="L143" s="360">
        <v>0.5</v>
      </c>
      <c r="M143" s="184"/>
      <c r="N143" s="184" t="s">
        <v>1106</v>
      </c>
      <c r="O143" s="34"/>
      <c r="P143" s="153">
        <v>0.9</v>
      </c>
      <c r="Q143" s="360">
        <v>0.2</v>
      </c>
      <c r="R143" s="153"/>
      <c r="S143" s="153">
        <f t="shared" si="4"/>
        <v>0</v>
      </c>
      <c r="T143" s="152">
        <f t="shared" si="5"/>
        <v>0</v>
      </c>
      <c r="U143" s="153" t="s">
        <v>34</v>
      </c>
      <c r="V143" s="153"/>
      <c r="W143" s="113"/>
    </row>
    <row r="144" spans="1:23" ht="16.05" customHeight="1" x14ac:dyDescent="0.45">
      <c r="A144" s="1">
        <v>143</v>
      </c>
      <c r="B144" s="113" t="s">
        <v>924</v>
      </c>
      <c r="C144" s="57" t="s">
        <v>24</v>
      </c>
      <c r="D144" s="358">
        <v>5757</v>
      </c>
      <c r="E144" s="113" t="s">
        <v>1103</v>
      </c>
      <c r="F144" s="113" t="s">
        <v>1104</v>
      </c>
      <c r="G144" s="113">
        <v>3264</v>
      </c>
      <c r="H144" s="113" t="s">
        <v>1093</v>
      </c>
      <c r="I144" s="113" t="s">
        <v>1094</v>
      </c>
      <c r="J144" s="390" t="s">
        <v>58</v>
      </c>
      <c r="K144" s="184" t="s">
        <v>57</v>
      </c>
      <c r="L144" s="360">
        <v>0.5</v>
      </c>
      <c r="M144" s="184"/>
      <c r="N144" s="184" t="s">
        <v>1107</v>
      </c>
      <c r="O144" s="34"/>
      <c r="P144" s="153">
        <v>0.15</v>
      </c>
      <c r="Q144" s="360">
        <v>0.2</v>
      </c>
      <c r="R144" s="153"/>
      <c r="S144" s="153">
        <f t="shared" si="4"/>
        <v>0</v>
      </c>
      <c r="T144" s="152">
        <f t="shared" si="5"/>
        <v>0</v>
      </c>
      <c r="U144" s="153" t="s">
        <v>34</v>
      </c>
      <c r="V144" s="153"/>
      <c r="W144" s="113"/>
    </row>
    <row r="145" spans="1:23" ht="16.05" customHeight="1" x14ac:dyDescent="0.45">
      <c r="A145" s="1">
        <v>144</v>
      </c>
      <c r="B145" s="113" t="s">
        <v>924</v>
      </c>
      <c r="C145" s="57" t="s">
        <v>24</v>
      </c>
      <c r="D145" s="358">
        <v>5757</v>
      </c>
      <c r="E145" s="113" t="s">
        <v>1103</v>
      </c>
      <c r="F145" s="113" t="s">
        <v>1104</v>
      </c>
      <c r="G145" s="113">
        <v>3264</v>
      </c>
      <c r="H145" s="113" t="s">
        <v>1093</v>
      </c>
      <c r="I145" s="113" t="s">
        <v>1094</v>
      </c>
      <c r="J145" s="390" t="s">
        <v>58</v>
      </c>
      <c r="K145" s="184" t="s">
        <v>57</v>
      </c>
      <c r="L145" s="360">
        <v>0.5</v>
      </c>
      <c r="M145" s="184"/>
      <c r="N145" s="184" t="s">
        <v>1108</v>
      </c>
      <c r="O145" s="34"/>
      <c r="P145" s="399">
        <v>300</v>
      </c>
      <c r="Q145" s="360">
        <v>0.3</v>
      </c>
      <c r="R145" s="399"/>
      <c r="S145" s="153">
        <f t="shared" si="4"/>
        <v>0</v>
      </c>
      <c r="T145" s="152">
        <f t="shared" si="5"/>
        <v>0</v>
      </c>
      <c r="U145" s="153" t="s">
        <v>34</v>
      </c>
      <c r="V145" s="153"/>
      <c r="W145" s="113"/>
    </row>
    <row r="146" spans="1:23" ht="16.05" customHeight="1" x14ac:dyDescent="0.45">
      <c r="A146" s="1">
        <v>145</v>
      </c>
      <c r="B146" s="113" t="s">
        <v>924</v>
      </c>
      <c r="C146" s="57" t="s">
        <v>24</v>
      </c>
      <c r="D146" s="358">
        <v>5757</v>
      </c>
      <c r="E146" s="113" t="s">
        <v>1103</v>
      </c>
      <c r="F146" s="113" t="s">
        <v>1104</v>
      </c>
      <c r="G146" s="113">
        <v>3264</v>
      </c>
      <c r="H146" s="113" t="s">
        <v>1093</v>
      </c>
      <c r="I146" s="113" t="s">
        <v>1094</v>
      </c>
      <c r="J146" s="113" t="s">
        <v>111</v>
      </c>
      <c r="K146" s="334" t="s">
        <v>110</v>
      </c>
      <c r="L146" s="368">
        <v>0.5</v>
      </c>
      <c r="M146" s="334"/>
      <c r="N146" s="334" t="s">
        <v>1109</v>
      </c>
      <c r="O146" s="137"/>
      <c r="P146" s="403">
        <v>10</v>
      </c>
      <c r="Q146" s="368">
        <v>0.25</v>
      </c>
      <c r="R146" s="403"/>
      <c r="S146" s="74">
        <f t="shared" si="4"/>
        <v>0</v>
      </c>
      <c r="T146" s="161">
        <f t="shared" si="5"/>
        <v>0</v>
      </c>
      <c r="U146" s="74" t="s">
        <v>34</v>
      </c>
      <c r="V146" s="160"/>
      <c r="W146" s="113"/>
    </row>
    <row r="147" spans="1:23" ht="16.05" customHeight="1" x14ac:dyDescent="0.45">
      <c r="A147" s="1">
        <v>146</v>
      </c>
      <c r="B147" s="113" t="s">
        <v>924</v>
      </c>
      <c r="C147" s="57" t="s">
        <v>24</v>
      </c>
      <c r="D147" s="358">
        <v>5757</v>
      </c>
      <c r="E147" s="113" t="s">
        <v>1103</v>
      </c>
      <c r="F147" s="113" t="s">
        <v>1104</v>
      </c>
      <c r="G147" s="113">
        <v>3264</v>
      </c>
      <c r="H147" s="113" t="s">
        <v>1093</v>
      </c>
      <c r="I147" s="113" t="s">
        <v>1094</v>
      </c>
      <c r="J147" s="113" t="s">
        <v>111</v>
      </c>
      <c r="K147" s="334" t="s">
        <v>110</v>
      </c>
      <c r="L147" s="368">
        <v>0.5</v>
      </c>
      <c r="M147" s="334"/>
      <c r="N147" s="334" t="s">
        <v>1110</v>
      </c>
      <c r="O147" s="137"/>
      <c r="P147" s="394">
        <v>10</v>
      </c>
      <c r="Q147" s="368">
        <v>0.25</v>
      </c>
      <c r="R147" s="394"/>
      <c r="S147" s="74">
        <f t="shared" si="4"/>
        <v>0</v>
      </c>
      <c r="T147" s="161">
        <f t="shared" si="5"/>
        <v>0</v>
      </c>
      <c r="U147" s="74" t="s">
        <v>34</v>
      </c>
      <c r="V147" s="160"/>
      <c r="W147" s="113"/>
    </row>
    <row r="148" spans="1:23" ht="16.05" customHeight="1" x14ac:dyDescent="0.45">
      <c r="A148" s="1">
        <v>147</v>
      </c>
      <c r="B148" s="113" t="s">
        <v>924</v>
      </c>
      <c r="C148" s="57" t="s">
        <v>24</v>
      </c>
      <c r="D148" s="358">
        <v>5757</v>
      </c>
      <c r="E148" s="113" t="s">
        <v>1103</v>
      </c>
      <c r="F148" s="113" t="s">
        <v>1104</v>
      </c>
      <c r="G148" s="113">
        <v>3264</v>
      </c>
      <c r="H148" s="113" t="s">
        <v>1093</v>
      </c>
      <c r="I148" s="113" t="s">
        <v>1094</v>
      </c>
      <c r="J148" s="113" t="s">
        <v>111</v>
      </c>
      <c r="K148" s="334" t="s">
        <v>110</v>
      </c>
      <c r="L148" s="368">
        <v>0.5</v>
      </c>
      <c r="M148" s="334"/>
      <c r="N148" s="334" t="s">
        <v>1111</v>
      </c>
      <c r="O148" s="395"/>
      <c r="P148" s="404">
        <v>10</v>
      </c>
      <c r="Q148" s="368">
        <v>0.3</v>
      </c>
      <c r="R148" s="404"/>
      <c r="S148" s="74">
        <f t="shared" si="4"/>
        <v>0</v>
      </c>
      <c r="T148" s="161">
        <f t="shared" si="5"/>
        <v>0</v>
      </c>
      <c r="U148" s="74" t="s">
        <v>34</v>
      </c>
      <c r="V148" s="160"/>
      <c r="W148" s="113"/>
    </row>
    <row r="149" spans="1:23" ht="16.05" customHeight="1" x14ac:dyDescent="0.45">
      <c r="A149" s="1">
        <v>148</v>
      </c>
      <c r="B149" s="113" t="s">
        <v>924</v>
      </c>
      <c r="C149" s="57" t="s">
        <v>24</v>
      </c>
      <c r="D149" s="358">
        <v>5757</v>
      </c>
      <c r="E149" s="113" t="s">
        <v>1103</v>
      </c>
      <c r="F149" s="113" t="s">
        <v>1104</v>
      </c>
      <c r="G149" s="113">
        <v>3264</v>
      </c>
      <c r="H149" s="113" t="s">
        <v>1093</v>
      </c>
      <c r="I149" s="113" t="s">
        <v>1094</v>
      </c>
      <c r="J149" s="113" t="s">
        <v>111</v>
      </c>
      <c r="K149" s="334" t="s">
        <v>110</v>
      </c>
      <c r="L149" s="368">
        <v>0.5</v>
      </c>
      <c r="M149" s="334"/>
      <c r="N149" s="182" t="s">
        <v>1112</v>
      </c>
      <c r="O149" s="395"/>
      <c r="P149" s="357">
        <v>10</v>
      </c>
      <c r="Q149" s="368">
        <v>0.2</v>
      </c>
      <c r="R149" s="357"/>
      <c r="S149" s="74">
        <f t="shared" si="4"/>
        <v>0</v>
      </c>
      <c r="T149" s="161">
        <f t="shared" si="5"/>
        <v>0</v>
      </c>
      <c r="U149" s="74" t="s">
        <v>34</v>
      </c>
      <c r="V149" s="160"/>
      <c r="W149" s="113"/>
    </row>
    <row r="150" spans="1:23" ht="16.05" customHeight="1" x14ac:dyDescent="0.45">
      <c r="A150" s="1">
        <v>149</v>
      </c>
      <c r="B150" s="99" t="s">
        <v>924</v>
      </c>
      <c r="C150" s="2" t="s">
        <v>24</v>
      </c>
      <c r="D150" s="349">
        <v>5254</v>
      </c>
      <c r="E150" s="99" t="s">
        <v>1113</v>
      </c>
      <c r="F150" s="99" t="s">
        <v>1114</v>
      </c>
      <c r="G150" s="99">
        <v>3264</v>
      </c>
      <c r="H150" s="99" t="s">
        <v>1093</v>
      </c>
      <c r="I150" s="99" t="s">
        <v>1094</v>
      </c>
      <c r="J150" s="390" t="s">
        <v>58</v>
      </c>
      <c r="K150" s="359" t="s">
        <v>57</v>
      </c>
      <c r="L150" s="350">
        <v>0.5</v>
      </c>
      <c r="M150" s="3"/>
      <c r="N150" s="3" t="s">
        <v>1115</v>
      </c>
      <c r="O150" s="389"/>
      <c r="P150" s="148">
        <v>1</v>
      </c>
      <c r="Q150" s="350">
        <v>0.3</v>
      </c>
      <c r="R150" s="148"/>
      <c r="S150" s="148">
        <f t="shared" si="4"/>
        <v>0</v>
      </c>
      <c r="T150" s="168">
        <f t="shared" si="5"/>
        <v>0</v>
      </c>
      <c r="U150" s="148" t="s">
        <v>34</v>
      </c>
      <c r="V150" s="278">
        <f>SUM(T150:T158)%</f>
        <v>0</v>
      </c>
      <c r="W150" s="99"/>
    </row>
    <row r="151" spans="1:23" ht="16.05" customHeight="1" x14ac:dyDescent="0.45">
      <c r="A151" s="1">
        <v>150</v>
      </c>
      <c r="B151" s="113" t="s">
        <v>924</v>
      </c>
      <c r="C151" s="57" t="s">
        <v>24</v>
      </c>
      <c r="D151" s="358">
        <v>5254</v>
      </c>
      <c r="E151" s="113" t="s">
        <v>1113</v>
      </c>
      <c r="F151" s="113" t="s">
        <v>1114</v>
      </c>
      <c r="G151" s="113">
        <v>3264</v>
      </c>
      <c r="H151" s="113" t="s">
        <v>1093</v>
      </c>
      <c r="I151" s="113" t="s">
        <v>1094</v>
      </c>
      <c r="J151" s="390" t="s">
        <v>58</v>
      </c>
      <c r="K151" s="359" t="s">
        <v>57</v>
      </c>
      <c r="L151" s="360">
        <v>0.5</v>
      </c>
      <c r="M151" s="184"/>
      <c r="N151" s="184" t="s">
        <v>1116</v>
      </c>
      <c r="O151" s="34"/>
      <c r="P151" s="401">
        <v>150</v>
      </c>
      <c r="Q151" s="360">
        <v>0.25</v>
      </c>
      <c r="R151" s="401"/>
      <c r="S151" s="153">
        <f t="shared" si="4"/>
        <v>0</v>
      </c>
      <c r="T151" s="152">
        <f t="shared" si="5"/>
        <v>0</v>
      </c>
      <c r="U151" s="153" t="s">
        <v>34</v>
      </c>
      <c r="V151" s="153"/>
      <c r="W151" s="113"/>
    </row>
    <row r="152" spans="1:23" ht="16.05" customHeight="1" x14ac:dyDescent="0.45">
      <c r="A152" s="1">
        <v>151</v>
      </c>
      <c r="B152" s="113" t="s">
        <v>924</v>
      </c>
      <c r="C152" s="57" t="s">
        <v>24</v>
      </c>
      <c r="D152" s="358">
        <v>5254</v>
      </c>
      <c r="E152" s="113" t="s">
        <v>1113</v>
      </c>
      <c r="F152" s="113" t="s">
        <v>1114</v>
      </c>
      <c r="G152" s="113">
        <v>3264</v>
      </c>
      <c r="H152" s="113" t="s">
        <v>1093</v>
      </c>
      <c r="I152" s="113" t="s">
        <v>1094</v>
      </c>
      <c r="J152" s="390" t="s">
        <v>58</v>
      </c>
      <c r="K152" s="184" t="s">
        <v>57</v>
      </c>
      <c r="L152" s="360">
        <v>0.5</v>
      </c>
      <c r="M152" s="184"/>
      <c r="N152" s="184" t="s">
        <v>1117</v>
      </c>
      <c r="O152" s="34"/>
      <c r="P152" s="153">
        <v>0.85</v>
      </c>
      <c r="Q152" s="360">
        <v>0.25</v>
      </c>
      <c r="R152" s="153"/>
      <c r="S152" s="153">
        <f t="shared" si="4"/>
        <v>0</v>
      </c>
      <c r="T152" s="152">
        <f t="shared" si="5"/>
        <v>0</v>
      </c>
      <c r="U152" s="153" t="s">
        <v>34</v>
      </c>
      <c r="V152" s="153"/>
      <c r="W152" s="113"/>
    </row>
    <row r="153" spans="1:23" ht="16.05" customHeight="1" x14ac:dyDescent="0.45">
      <c r="A153" s="1">
        <v>152</v>
      </c>
      <c r="B153" s="113" t="s">
        <v>924</v>
      </c>
      <c r="C153" s="57" t="s">
        <v>24</v>
      </c>
      <c r="D153" s="358">
        <v>5254</v>
      </c>
      <c r="E153" s="113" t="s">
        <v>1113</v>
      </c>
      <c r="F153" s="113" t="s">
        <v>1114</v>
      </c>
      <c r="G153" s="113">
        <v>3264</v>
      </c>
      <c r="H153" s="113" t="s">
        <v>1093</v>
      </c>
      <c r="I153" s="113" t="s">
        <v>1094</v>
      </c>
      <c r="J153" s="390" t="s">
        <v>58</v>
      </c>
      <c r="K153" s="184" t="s">
        <v>57</v>
      </c>
      <c r="L153" s="360">
        <v>0.5</v>
      </c>
      <c r="M153" s="184"/>
      <c r="N153" s="184" t="s">
        <v>1118</v>
      </c>
      <c r="O153" s="34"/>
      <c r="P153" s="405">
        <v>75</v>
      </c>
      <c r="Q153" s="360">
        <v>0.2</v>
      </c>
      <c r="R153" s="405"/>
      <c r="S153" s="153">
        <f t="shared" si="4"/>
        <v>0</v>
      </c>
      <c r="T153" s="152">
        <f t="shared" si="5"/>
        <v>0</v>
      </c>
      <c r="U153" s="153" t="s">
        <v>34</v>
      </c>
      <c r="V153" s="153"/>
      <c r="W153" s="113"/>
    </row>
    <row r="154" spans="1:23" ht="16.05" customHeight="1" x14ac:dyDescent="0.45">
      <c r="A154" s="1">
        <v>153</v>
      </c>
      <c r="B154" s="113" t="s">
        <v>924</v>
      </c>
      <c r="C154" s="57" t="s">
        <v>24</v>
      </c>
      <c r="D154" s="358">
        <v>5254</v>
      </c>
      <c r="E154" s="113" t="s">
        <v>1113</v>
      </c>
      <c r="F154" s="113" t="s">
        <v>1114</v>
      </c>
      <c r="G154" s="113">
        <v>3264</v>
      </c>
      <c r="H154" s="113" t="s">
        <v>1093</v>
      </c>
      <c r="I154" s="113" t="s">
        <v>1094</v>
      </c>
      <c r="J154" s="113" t="s">
        <v>111</v>
      </c>
      <c r="K154" s="334" t="s">
        <v>110</v>
      </c>
      <c r="L154" s="368">
        <v>0.5</v>
      </c>
      <c r="M154" s="334"/>
      <c r="N154" s="334" t="s">
        <v>1119</v>
      </c>
      <c r="O154" s="137"/>
      <c r="P154" s="394">
        <v>15</v>
      </c>
      <c r="Q154" s="368">
        <v>0.1</v>
      </c>
      <c r="R154" s="394"/>
      <c r="S154" s="74">
        <f t="shared" si="4"/>
        <v>0</v>
      </c>
      <c r="T154" s="386">
        <f t="shared" si="5"/>
        <v>0</v>
      </c>
      <c r="U154" s="74" t="s">
        <v>34</v>
      </c>
      <c r="V154" s="74"/>
      <c r="W154" s="113"/>
    </row>
    <row r="155" spans="1:23" ht="16.05" customHeight="1" x14ac:dyDescent="0.45">
      <c r="A155" s="1">
        <v>154</v>
      </c>
      <c r="B155" s="113" t="s">
        <v>924</v>
      </c>
      <c r="C155" s="57" t="s">
        <v>24</v>
      </c>
      <c r="D155" s="358">
        <v>5254</v>
      </c>
      <c r="E155" s="113" t="s">
        <v>1113</v>
      </c>
      <c r="F155" s="113" t="s">
        <v>1114</v>
      </c>
      <c r="G155" s="113">
        <v>3264</v>
      </c>
      <c r="H155" s="113" t="s">
        <v>1093</v>
      </c>
      <c r="I155" s="113" t="s">
        <v>1094</v>
      </c>
      <c r="J155" s="113" t="s">
        <v>111</v>
      </c>
      <c r="K155" s="334" t="s">
        <v>110</v>
      </c>
      <c r="L155" s="368">
        <v>0.5</v>
      </c>
      <c r="M155" s="334"/>
      <c r="N155" s="182" t="s">
        <v>1120</v>
      </c>
      <c r="O155" s="395"/>
      <c r="P155" s="394">
        <v>350</v>
      </c>
      <c r="Q155" s="368">
        <v>0.2</v>
      </c>
      <c r="R155" s="394"/>
      <c r="S155" s="74">
        <f t="shared" si="4"/>
        <v>0</v>
      </c>
      <c r="T155" s="386">
        <f t="shared" si="5"/>
        <v>0</v>
      </c>
      <c r="U155" s="74" t="s">
        <v>34</v>
      </c>
      <c r="V155" s="74"/>
      <c r="W155" s="113"/>
    </row>
    <row r="156" spans="1:23" ht="16.05" customHeight="1" x14ac:dyDescent="0.45">
      <c r="A156" s="1">
        <v>155</v>
      </c>
      <c r="B156" s="113" t="s">
        <v>924</v>
      </c>
      <c r="C156" s="57" t="s">
        <v>24</v>
      </c>
      <c r="D156" s="358">
        <v>5254</v>
      </c>
      <c r="E156" s="113" t="s">
        <v>1113</v>
      </c>
      <c r="F156" s="113" t="s">
        <v>1114</v>
      </c>
      <c r="G156" s="113">
        <v>3264</v>
      </c>
      <c r="H156" s="113" t="s">
        <v>1093</v>
      </c>
      <c r="I156" s="113" t="s">
        <v>1094</v>
      </c>
      <c r="J156" s="113" t="s">
        <v>111</v>
      </c>
      <c r="K156" s="334" t="s">
        <v>110</v>
      </c>
      <c r="L156" s="368">
        <v>0.5</v>
      </c>
      <c r="M156" s="334"/>
      <c r="N156" s="334" t="s">
        <v>1121</v>
      </c>
      <c r="O156" s="395"/>
      <c r="P156" s="387">
        <v>1</v>
      </c>
      <c r="Q156" s="368">
        <v>0.25</v>
      </c>
      <c r="R156" s="387"/>
      <c r="S156" s="74">
        <f t="shared" si="4"/>
        <v>0</v>
      </c>
      <c r="T156" s="386">
        <f t="shared" si="5"/>
        <v>0</v>
      </c>
      <c r="U156" s="74" t="s">
        <v>34</v>
      </c>
      <c r="V156" s="74"/>
      <c r="W156" s="113"/>
    </row>
    <row r="157" spans="1:23" ht="16.05" customHeight="1" x14ac:dyDescent="0.45">
      <c r="A157" s="1">
        <v>156</v>
      </c>
      <c r="B157" s="113" t="s">
        <v>924</v>
      </c>
      <c r="C157" s="57" t="s">
        <v>24</v>
      </c>
      <c r="D157" s="358">
        <v>5254</v>
      </c>
      <c r="E157" s="113" t="s">
        <v>1113</v>
      </c>
      <c r="F157" s="113" t="s">
        <v>1114</v>
      </c>
      <c r="G157" s="113">
        <v>3264</v>
      </c>
      <c r="H157" s="113" t="s">
        <v>1093</v>
      </c>
      <c r="I157" s="113" t="s">
        <v>1094</v>
      </c>
      <c r="J157" s="113" t="s">
        <v>111</v>
      </c>
      <c r="K157" s="334" t="s">
        <v>110</v>
      </c>
      <c r="L157" s="368">
        <v>0.5</v>
      </c>
      <c r="M157" s="334"/>
      <c r="N157" s="334" t="s">
        <v>1122</v>
      </c>
      <c r="O157" s="137"/>
      <c r="P157" s="406">
        <v>100</v>
      </c>
      <c r="Q157" s="368">
        <v>0.2</v>
      </c>
      <c r="R157" s="406"/>
      <c r="S157" s="74">
        <f t="shared" si="4"/>
        <v>0</v>
      </c>
      <c r="T157" s="386">
        <f t="shared" si="5"/>
        <v>0</v>
      </c>
      <c r="U157" s="74" t="s">
        <v>34</v>
      </c>
      <c r="V157" s="74"/>
      <c r="W157" s="113"/>
    </row>
    <row r="158" spans="1:23" ht="16.05" customHeight="1" x14ac:dyDescent="0.45">
      <c r="A158" s="1">
        <v>157</v>
      </c>
      <c r="B158" s="113" t="s">
        <v>924</v>
      </c>
      <c r="C158" s="57" t="s">
        <v>24</v>
      </c>
      <c r="D158" s="358">
        <v>5254</v>
      </c>
      <c r="E158" s="113" t="s">
        <v>1113</v>
      </c>
      <c r="F158" s="113" t="s">
        <v>1114</v>
      </c>
      <c r="G158" s="113">
        <v>3264</v>
      </c>
      <c r="H158" s="113" t="s">
        <v>1093</v>
      </c>
      <c r="I158" s="113" t="s">
        <v>1094</v>
      </c>
      <c r="J158" s="113" t="s">
        <v>111</v>
      </c>
      <c r="K158" s="334" t="s">
        <v>110</v>
      </c>
      <c r="L158" s="368">
        <v>0.5</v>
      </c>
      <c r="M158" s="334"/>
      <c r="N158" s="333" t="s">
        <v>1123</v>
      </c>
      <c r="O158" s="395"/>
      <c r="P158" s="387">
        <v>1</v>
      </c>
      <c r="Q158" s="368">
        <v>0.25</v>
      </c>
      <c r="R158" s="387"/>
      <c r="S158" s="74">
        <f t="shared" si="4"/>
        <v>0</v>
      </c>
      <c r="T158" s="386">
        <f t="shared" si="5"/>
        <v>0</v>
      </c>
      <c r="U158" s="74" t="s">
        <v>34</v>
      </c>
      <c r="V158" s="160"/>
      <c r="W158" s="113"/>
    </row>
    <row r="159" spans="1:23" ht="16.05" customHeight="1" x14ac:dyDescent="0.45">
      <c r="A159" s="1">
        <v>158</v>
      </c>
      <c r="B159" s="99" t="s">
        <v>924</v>
      </c>
      <c r="C159" s="2" t="s">
        <v>24</v>
      </c>
      <c r="D159" s="349">
        <v>5478</v>
      </c>
      <c r="E159" s="99" t="s">
        <v>1124</v>
      </c>
      <c r="F159" s="99" t="s">
        <v>1125</v>
      </c>
      <c r="G159" s="99">
        <v>3264</v>
      </c>
      <c r="H159" s="99" t="s">
        <v>1093</v>
      </c>
      <c r="I159" s="99" t="s">
        <v>1094</v>
      </c>
      <c r="J159" s="390" t="s">
        <v>58</v>
      </c>
      <c r="K159" s="359" t="s">
        <v>57</v>
      </c>
      <c r="L159" s="350">
        <v>0.5</v>
      </c>
      <c r="M159" s="3"/>
      <c r="N159" s="3" t="s">
        <v>1098</v>
      </c>
      <c r="O159" s="48"/>
      <c r="P159" s="402">
        <v>400000</v>
      </c>
      <c r="Q159" s="350">
        <v>0.4</v>
      </c>
      <c r="R159" s="402"/>
      <c r="S159" s="148">
        <f t="shared" si="4"/>
        <v>0</v>
      </c>
      <c r="T159" s="168">
        <f t="shared" si="5"/>
        <v>0</v>
      </c>
      <c r="U159" s="148" t="s">
        <v>83</v>
      </c>
      <c r="V159" s="278">
        <f>SUM(T159:T165)%</f>
        <v>0</v>
      </c>
      <c r="W159" s="99"/>
    </row>
    <row r="160" spans="1:23" ht="16.05" customHeight="1" x14ac:dyDescent="0.45">
      <c r="A160" s="1">
        <v>159</v>
      </c>
      <c r="B160" s="113" t="s">
        <v>924</v>
      </c>
      <c r="C160" s="57" t="s">
        <v>24</v>
      </c>
      <c r="D160" s="358">
        <v>5478</v>
      </c>
      <c r="E160" s="113" t="s">
        <v>1124</v>
      </c>
      <c r="F160" s="113" t="s">
        <v>1125</v>
      </c>
      <c r="G160" s="113">
        <v>3264</v>
      </c>
      <c r="H160" s="113" t="s">
        <v>1093</v>
      </c>
      <c r="I160" s="113" t="s">
        <v>1094</v>
      </c>
      <c r="J160" s="390" t="s">
        <v>58</v>
      </c>
      <c r="K160" s="359" t="s">
        <v>57</v>
      </c>
      <c r="L160" s="360">
        <v>0.5</v>
      </c>
      <c r="M160" s="184"/>
      <c r="N160" s="184" t="s">
        <v>1126</v>
      </c>
      <c r="O160" s="34"/>
      <c r="P160" s="399">
        <v>4</v>
      </c>
      <c r="Q160" s="360">
        <v>0.3</v>
      </c>
      <c r="R160" s="399"/>
      <c r="S160" s="153">
        <f t="shared" si="4"/>
        <v>0</v>
      </c>
      <c r="T160" s="152">
        <f t="shared" si="5"/>
        <v>0</v>
      </c>
      <c r="U160" s="153" t="s">
        <v>34</v>
      </c>
      <c r="V160" s="153"/>
      <c r="W160" s="113"/>
    </row>
    <row r="161" spans="1:23" ht="16.05" customHeight="1" x14ac:dyDescent="0.45">
      <c r="A161" s="1">
        <v>160</v>
      </c>
      <c r="B161" s="113" t="s">
        <v>924</v>
      </c>
      <c r="C161" s="57" t="s">
        <v>24</v>
      </c>
      <c r="D161" s="358">
        <v>5478</v>
      </c>
      <c r="E161" s="113" t="s">
        <v>1124</v>
      </c>
      <c r="F161" s="113" t="s">
        <v>1125</v>
      </c>
      <c r="G161" s="113">
        <v>3264</v>
      </c>
      <c r="H161" s="113" t="s">
        <v>1093</v>
      </c>
      <c r="I161" s="113" t="s">
        <v>1094</v>
      </c>
      <c r="J161" s="390" t="s">
        <v>58</v>
      </c>
      <c r="K161" s="184" t="s">
        <v>57</v>
      </c>
      <c r="L161" s="360">
        <v>0.5</v>
      </c>
      <c r="M161" s="184"/>
      <c r="N161" s="184" t="s">
        <v>1127</v>
      </c>
      <c r="O161" s="34"/>
      <c r="P161" s="399">
        <v>600</v>
      </c>
      <c r="Q161" s="360">
        <v>0.3</v>
      </c>
      <c r="R161" s="399"/>
      <c r="S161" s="153">
        <f t="shared" si="4"/>
        <v>0</v>
      </c>
      <c r="T161" s="152">
        <f t="shared" si="5"/>
        <v>0</v>
      </c>
      <c r="U161" s="153" t="s">
        <v>34</v>
      </c>
      <c r="V161" s="153"/>
      <c r="W161" s="113"/>
    </row>
    <row r="162" spans="1:23" ht="16.05" customHeight="1" x14ac:dyDescent="0.45">
      <c r="A162" s="1">
        <v>161</v>
      </c>
      <c r="B162" s="113" t="s">
        <v>924</v>
      </c>
      <c r="C162" s="57" t="s">
        <v>24</v>
      </c>
      <c r="D162" s="358">
        <v>5478</v>
      </c>
      <c r="E162" s="113" t="s">
        <v>1124</v>
      </c>
      <c r="F162" s="113" t="s">
        <v>1125</v>
      </c>
      <c r="G162" s="113">
        <v>3264</v>
      </c>
      <c r="H162" s="113" t="s">
        <v>1093</v>
      </c>
      <c r="I162" s="113" t="s">
        <v>1094</v>
      </c>
      <c r="J162" s="113" t="s">
        <v>111</v>
      </c>
      <c r="K162" s="334" t="s">
        <v>110</v>
      </c>
      <c r="L162" s="368">
        <v>0.5</v>
      </c>
      <c r="M162" s="334"/>
      <c r="N162" s="334" t="s">
        <v>1128</v>
      </c>
      <c r="O162" s="137"/>
      <c r="P162" s="403">
        <v>3</v>
      </c>
      <c r="Q162" s="368">
        <v>0.3</v>
      </c>
      <c r="R162" s="403"/>
      <c r="S162" s="74">
        <f t="shared" si="4"/>
        <v>0</v>
      </c>
      <c r="T162" s="386">
        <f t="shared" si="5"/>
        <v>0</v>
      </c>
      <c r="U162" s="74" t="s">
        <v>34</v>
      </c>
      <c r="V162" s="74"/>
      <c r="W162" s="113"/>
    </row>
    <row r="163" spans="1:23" ht="16.05" customHeight="1" x14ac:dyDescent="0.45">
      <c r="A163" s="1">
        <v>162</v>
      </c>
      <c r="B163" s="113" t="s">
        <v>924</v>
      </c>
      <c r="C163" s="57" t="s">
        <v>24</v>
      </c>
      <c r="D163" s="358">
        <v>5478</v>
      </c>
      <c r="E163" s="113" t="s">
        <v>1124</v>
      </c>
      <c r="F163" s="113" t="s">
        <v>1125</v>
      </c>
      <c r="G163" s="113">
        <v>3264</v>
      </c>
      <c r="H163" s="113" t="s">
        <v>1093</v>
      </c>
      <c r="I163" s="113" t="s">
        <v>1094</v>
      </c>
      <c r="J163" s="113" t="s">
        <v>111</v>
      </c>
      <c r="K163" s="334" t="s">
        <v>110</v>
      </c>
      <c r="L163" s="368">
        <v>0.5</v>
      </c>
      <c r="M163" s="334"/>
      <c r="N163" s="334" t="s">
        <v>1129</v>
      </c>
      <c r="O163" s="137"/>
      <c r="P163" s="394">
        <v>1</v>
      </c>
      <c r="Q163" s="368">
        <v>0.2</v>
      </c>
      <c r="R163" s="394"/>
      <c r="S163" s="74">
        <f t="shared" si="4"/>
        <v>0</v>
      </c>
      <c r="T163" s="386">
        <f t="shared" si="5"/>
        <v>0</v>
      </c>
      <c r="U163" s="74" t="s">
        <v>34</v>
      </c>
      <c r="V163" s="74"/>
      <c r="W163" s="113"/>
    </row>
    <row r="164" spans="1:23" ht="16.05" customHeight="1" x14ac:dyDescent="0.45">
      <c r="A164" s="1">
        <v>163</v>
      </c>
      <c r="B164" s="113" t="s">
        <v>924</v>
      </c>
      <c r="C164" s="57" t="s">
        <v>24</v>
      </c>
      <c r="D164" s="358">
        <v>5478</v>
      </c>
      <c r="E164" s="113" t="s">
        <v>1124</v>
      </c>
      <c r="F164" s="113" t="s">
        <v>1125</v>
      </c>
      <c r="G164" s="113">
        <v>3264</v>
      </c>
      <c r="H164" s="113" t="s">
        <v>1093</v>
      </c>
      <c r="I164" s="113" t="s">
        <v>1094</v>
      </c>
      <c r="J164" s="113" t="s">
        <v>111</v>
      </c>
      <c r="K164" s="334" t="s">
        <v>110</v>
      </c>
      <c r="L164" s="368">
        <v>0.5</v>
      </c>
      <c r="M164" s="334"/>
      <c r="N164" s="334" t="s">
        <v>1130</v>
      </c>
      <c r="O164" s="395"/>
      <c r="P164" s="394">
        <v>30</v>
      </c>
      <c r="Q164" s="368">
        <v>0.2</v>
      </c>
      <c r="R164" s="394"/>
      <c r="S164" s="74">
        <f t="shared" si="4"/>
        <v>0</v>
      </c>
      <c r="T164" s="386">
        <f t="shared" si="5"/>
        <v>0</v>
      </c>
      <c r="U164" s="74" t="s">
        <v>34</v>
      </c>
      <c r="V164" s="74"/>
      <c r="W164" s="113"/>
    </row>
    <row r="165" spans="1:23" ht="16.05" customHeight="1" x14ac:dyDescent="0.45">
      <c r="A165" s="1">
        <v>164</v>
      </c>
      <c r="B165" s="113" t="s">
        <v>924</v>
      </c>
      <c r="C165" s="57" t="s">
        <v>24</v>
      </c>
      <c r="D165" s="358">
        <v>5478</v>
      </c>
      <c r="E165" s="113" t="s">
        <v>1124</v>
      </c>
      <c r="F165" s="113" t="s">
        <v>1125</v>
      </c>
      <c r="G165" s="113">
        <v>3264</v>
      </c>
      <c r="H165" s="113" t="s">
        <v>1093</v>
      </c>
      <c r="I165" s="113" t="s">
        <v>1094</v>
      </c>
      <c r="J165" s="113" t="s">
        <v>111</v>
      </c>
      <c r="K165" s="334" t="s">
        <v>110</v>
      </c>
      <c r="L165" s="368">
        <v>0.5</v>
      </c>
      <c r="M165" s="334"/>
      <c r="N165" s="334" t="s">
        <v>1131</v>
      </c>
      <c r="O165" s="395"/>
      <c r="P165" s="357">
        <v>20</v>
      </c>
      <c r="Q165" s="368">
        <v>0.3</v>
      </c>
      <c r="R165" s="357"/>
      <c r="S165" s="74">
        <f t="shared" si="4"/>
        <v>0</v>
      </c>
      <c r="T165" s="386">
        <f t="shared" si="5"/>
        <v>0</v>
      </c>
      <c r="U165" s="74" t="s">
        <v>34</v>
      </c>
      <c r="V165" s="74"/>
      <c r="W165" s="113"/>
    </row>
    <row r="166" spans="1:23" ht="16.05" customHeight="1" x14ac:dyDescent="0.45">
      <c r="A166" s="1">
        <v>165</v>
      </c>
      <c r="B166" s="407" t="s">
        <v>924</v>
      </c>
      <c r="C166" s="2" t="s">
        <v>24</v>
      </c>
      <c r="D166" s="349">
        <v>3379</v>
      </c>
      <c r="E166" s="99" t="s">
        <v>1132</v>
      </c>
      <c r="F166" s="99" t="s">
        <v>1133</v>
      </c>
      <c r="G166" s="91">
        <v>6592</v>
      </c>
      <c r="H166" s="99" t="s">
        <v>925</v>
      </c>
      <c r="I166" s="99" t="s">
        <v>1134</v>
      </c>
      <c r="J166" s="3" t="s">
        <v>58</v>
      </c>
      <c r="K166" s="3" t="s">
        <v>57</v>
      </c>
      <c r="L166" s="350">
        <v>0.8</v>
      </c>
      <c r="M166" s="408" t="s">
        <v>1135</v>
      </c>
      <c r="N166" s="409" t="s">
        <v>1136</v>
      </c>
      <c r="O166" s="410"/>
      <c r="P166" s="103">
        <v>0.95</v>
      </c>
      <c r="Q166" s="350">
        <v>0.2</v>
      </c>
      <c r="R166" s="103"/>
      <c r="S166" s="120">
        <f t="shared" si="4"/>
        <v>0</v>
      </c>
      <c r="T166" s="119">
        <f t="shared" si="5"/>
        <v>0</v>
      </c>
      <c r="U166" s="103" t="s">
        <v>34</v>
      </c>
      <c r="V166" s="411">
        <f>SUM(T166:T178)%</f>
        <v>0</v>
      </c>
      <c r="W166" s="99"/>
    </row>
    <row r="167" spans="1:23" ht="16.05" customHeight="1" x14ac:dyDescent="0.45">
      <c r="A167" s="1">
        <v>166</v>
      </c>
      <c r="B167" s="412" t="s">
        <v>924</v>
      </c>
      <c r="C167" s="57" t="s">
        <v>24</v>
      </c>
      <c r="D167" s="413">
        <v>3379</v>
      </c>
      <c r="E167" s="59" t="s">
        <v>1132</v>
      </c>
      <c r="F167" s="59" t="s">
        <v>1133</v>
      </c>
      <c r="G167" s="414">
        <v>6592</v>
      </c>
      <c r="H167" s="59" t="s">
        <v>925</v>
      </c>
      <c r="I167" s="59" t="s">
        <v>1134</v>
      </c>
      <c r="J167" s="184" t="s">
        <v>58</v>
      </c>
      <c r="K167" s="184" t="s">
        <v>57</v>
      </c>
      <c r="L167" s="360">
        <v>0.8</v>
      </c>
      <c r="M167" s="415" t="s">
        <v>1137</v>
      </c>
      <c r="N167" s="416" t="s">
        <v>1138</v>
      </c>
      <c r="O167" s="417"/>
      <c r="P167" s="62">
        <v>0.95</v>
      </c>
      <c r="Q167" s="360">
        <v>0.14000000000000001</v>
      </c>
      <c r="R167" s="62"/>
      <c r="S167" s="35">
        <f t="shared" si="4"/>
        <v>0</v>
      </c>
      <c r="T167" s="42">
        <f t="shared" si="5"/>
        <v>0</v>
      </c>
      <c r="U167" s="62" t="s">
        <v>34</v>
      </c>
      <c r="V167" s="66"/>
      <c r="W167" s="59"/>
    </row>
    <row r="168" spans="1:23" ht="16.05" customHeight="1" x14ac:dyDescent="0.45">
      <c r="A168" s="1">
        <v>167</v>
      </c>
      <c r="B168" s="412" t="s">
        <v>924</v>
      </c>
      <c r="C168" s="57" t="s">
        <v>24</v>
      </c>
      <c r="D168" s="413">
        <v>3379</v>
      </c>
      <c r="E168" s="59" t="s">
        <v>1132</v>
      </c>
      <c r="F168" s="59" t="s">
        <v>1133</v>
      </c>
      <c r="G168" s="414">
        <v>6592</v>
      </c>
      <c r="H168" s="59" t="s">
        <v>925</v>
      </c>
      <c r="I168" s="59" t="s">
        <v>1134</v>
      </c>
      <c r="J168" s="184" t="s">
        <v>58</v>
      </c>
      <c r="K168" s="184" t="s">
        <v>57</v>
      </c>
      <c r="L168" s="360">
        <v>0.8</v>
      </c>
      <c r="M168" s="415" t="s">
        <v>1139</v>
      </c>
      <c r="N168" s="416" t="s">
        <v>1140</v>
      </c>
      <c r="O168" s="417"/>
      <c r="P168" s="62">
        <v>0.95</v>
      </c>
      <c r="Q168" s="360">
        <v>0.06</v>
      </c>
      <c r="R168" s="62"/>
      <c r="S168" s="35">
        <f t="shared" si="4"/>
        <v>0</v>
      </c>
      <c r="T168" s="42">
        <f t="shared" si="5"/>
        <v>0</v>
      </c>
      <c r="U168" s="62" t="s">
        <v>34</v>
      </c>
      <c r="V168" s="66"/>
      <c r="W168" s="59"/>
    </row>
    <row r="169" spans="1:23" ht="16.05" customHeight="1" x14ac:dyDescent="0.45">
      <c r="A169" s="1">
        <v>168</v>
      </c>
      <c r="B169" s="412" t="s">
        <v>924</v>
      </c>
      <c r="C169" s="57" t="s">
        <v>24</v>
      </c>
      <c r="D169" s="413">
        <v>3379</v>
      </c>
      <c r="E169" s="59" t="s">
        <v>1132</v>
      </c>
      <c r="F169" s="59" t="s">
        <v>1133</v>
      </c>
      <c r="G169" s="414">
        <v>6592</v>
      </c>
      <c r="H169" s="59" t="s">
        <v>925</v>
      </c>
      <c r="I169" s="59" t="s">
        <v>1134</v>
      </c>
      <c r="J169" s="184" t="s">
        <v>58</v>
      </c>
      <c r="K169" s="184" t="s">
        <v>57</v>
      </c>
      <c r="L169" s="360">
        <v>0.8</v>
      </c>
      <c r="M169" s="415" t="s">
        <v>1141</v>
      </c>
      <c r="N169" s="416" t="s">
        <v>1142</v>
      </c>
      <c r="O169" s="417"/>
      <c r="P169" s="62">
        <v>0.9</v>
      </c>
      <c r="Q169" s="360">
        <v>0.1</v>
      </c>
      <c r="R169" s="62"/>
      <c r="S169" s="35">
        <f t="shared" si="4"/>
        <v>0</v>
      </c>
      <c r="T169" s="42">
        <f t="shared" si="5"/>
        <v>0</v>
      </c>
      <c r="U169" s="62" t="s">
        <v>34</v>
      </c>
      <c r="V169" s="66"/>
      <c r="W169" s="59"/>
    </row>
    <row r="170" spans="1:23" ht="16.05" customHeight="1" x14ac:dyDescent="0.45">
      <c r="A170" s="1">
        <v>169</v>
      </c>
      <c r="B170" s="412" t="s">
        <v>924</v>
      </c>
      <c r="C170" s="57" t="s">
        <v>24</v>
      </c>
      <c r="D170" s="413">
        <v>3379</v>
      </c>
      <c r="E170" s="59" t="s">
        <v>1132</v>
      </c>
      <c r="F170" s="59" t="s">
        <v>1133</v>
      </c>
      <c r="G170" s="414">
        <v>6592</v>
      </c>
      <c r="H170" s="59" t="s">
        <v>925</v>
      </c>
      <c r="I170" s="59" t="s">
        <v>1134</v>
      </c>
      <c r="J170" s="184" t="s">
        <v>58</v>
      </c>
      <c r="K170" s="184" t="s">
        <v>57</v>
      </c>
      <c r="L170" s="360">
        <v>0.8</v>
      </c>
      <c r="M170" s="415" t="s">
        <v>1143</v>
      </c>
      <c r="N170" s="416" t="s">
        <v>1144</v>
      </c>
      <c r="O170" s="417"/>
      <c r="P170" s="62">
        <v>0.9</v>
      </c>
      <c r="Q170" s="360">
        <v>0.1</v>
      </c>
      <c r="R170" s="62"/>
      <c r="S170" s="35">
        <f t="shared" si="4"/>
        <v>0</v>
      </c>
      <c r="T170" s="42">
        <f t="shared" si="5"/>
        <v>0</v>
      </c>
      <c r="U170" s="62" t="s">
        <v>34</v>
      </c>
      <c r="V170" s="66"/>
      <c r="W170" s="59"/>
    </row>
    <row r="171" spans="1:23" ht="16.05" customHeight="1" x14ac:dyDescent="0.45">
      <c r="A171" s="1">
        <v>170</v>
      </c>
      <c r="B171" s="412" t="s">
        <v>924</v>
      </c>
      <c r="C171" s="57" t="s">
        <v>24</v>
      </c>
      <c r="D171" s="413">
        <v>3379</v>
      </c>
      <c r="E171" s="59" t="s">
        <v>1132</v>
      </c>
      <c r="F171" s="59" t="s">
        <v>1133</v>
      </c>
      <c r="G171" s="414">
        <v>6592</v>
      </c>
      <c r="H171" s="59" t="s">
        <v>925</v>
      </c>
      <c r="I171" s="59" t="s">
        <v>1134</v>
      </c>
      <c r="J171" s="184" t="s">
        <v>58</v>
      </c>
      <c r="K171" s="184" t="s">
        <v>57</v>
      </c>
      <c r="L171" s="360">
        <v>0.8</v>
      </c>
      <c r="M171" s="415" t="s">
        <v>665</v>
      </c>
      <c r="N171" s="416" t="s">
        <v>1145</v>
      </c>
      <c r="O171" s="417"/>
      <c r="P171" s="62">
        <v>0.9</v>
      </c>
      <c r="Q171" s="360">
        <v>0.1</v>
      </c>
      <c r="R171" s="62"/>
      <c r="S171" s="35">
        <f t="shared" si="4"/>
        <v>0</v>
      </c>
      <c r="T171" s="42">
        <f t="shared" si="5"/>
        <v>0</v>
      </c>
      <c r="U171" s="62" t="s">
        <v>34</v>
      </c>
      <c r="V171" s="66"/>
      <c r="W171" s="59"/>
    </row>
    <row r="172" spans="1:23" ht="16.05" customHeight="1" x14ac:dyDescent="0.45">
      <c r="A172" s="1">
        <v>171</v>
      </c>
      <c r="B172" s="412" t="s">
        <v>924</v>
      </c>
      <c r="C172" s="57" t="s">
        <v>24</v>
      </c>
      <c r="D172" s="413">
        <v>3379</v>
      </c>
      <c r="E172" s="59" t="s">
        <v>1132</v>
      </c>
      <c r="F172" s="59" t="s">
        <v>1133</v>
      </c>
      <c r="G172" s="414">
        <v>6592</v>
      </c>
      <c r="H172" s="59" t="s">
        <v>925</v>
      </c>
      <c r="I172" s="59" t="s">
        <v>1134</v>
      </c>
      <c r="J172" s="184" t="s">
        <v>58</v>
      </c>
      <c r="K172" s="184" t="s">
        <v>57</v>
      </c>
      <c r="L172" s="360">
        <v>0.8</v>
      </c>
      <c r="M172" s="415" t="s">
        <v>1146</v>
      </c>
      <c r="N172" s="416" t="s">
        <v>1147</v>
      </c>
      <c r="O172" s="417"/>
      <c r="P172" s="62">
        <v>1</v>
      </c>
      <c r="Q172" s="360">
        <v>0.1</v>
      </c>
      <c r="R172" s="62"/>
      <c r="S172" s="35">
        <f t="shared" si="4"/>
        <v>0</v>
      </c>
      <c r="T172" s="42">
        <f t="shared" si="5"/>
        <v>0</v>
      </c>
      <c r="U172" s="62" t="s">
        <v>34</v>
      </c>
      <c r="V172" s="66"/>
      <c r="W172" s="59"/>
    </row>
    <row r="173" spans="1:23" ht="16.05" customHeight="1" x14ac:dyDescent="0.45">
      <c r="A173" s="1">
        <v>172</v>
      </c>
      <c r="B173" s="412" t="s">
        <v>924</v>
      </c>
      <c r="C173" s="57" t="s">
        <v>24</v>
      </c>
      <c r="D173" s="413">
        <v>3379</v>
      </c>
      <c r="E173" s="59" t="s">
        <v>1132</v>
      </c>
      <c r="F173" s="59" t="s">
        <v>1133</v>
      </c>
      <c r="G173" s="414">
        <v>6592</v>
      </c>
      <c r="H173" s="59" t="s">
        <v>925</v>
      </c>
      <c r="I173" s="59" t="s">
        <v>1134</v>
      </c>
      <c r="J173" s="184" t="s">
        <v>58</v>
      </c>
      <c r="K173" s="184" t="s">
        <v>57</v>
      </c>
      <c r="L173" s="360">
        <v>0.8</v>
      </c>
      <c r="M173" s="415" t="s">
        <v>680</v>
      </c>
      <c r="N173" s="416" t="s">
        <v>681</v>
      </c>
      <c r="O173" s="417" t="s">
        <v>1148</v>
      </c>
      <c r="P173" s="62">
        <v>0.05</v>
      </c>
      <c r="Q173" s="360">
        <v>0.2</v>
      </c>
      <c r="R173" s="62"/>
      <c r="S173" s="35">
        <f t="shared" si="4"/>
        <v>0</v>
      </c>
      <c r="T173" s="42">
        <f t="shared" si="5"/>
        <v>0</v>
      </c>
      <c r="U173" s="62" t="s">
        <v>83</v>
      </c>
      <c r="V173" s="66"/>
      <c r="W173" s="59"/>
    </row>
    <row r="174" spans="1:23" ht="16.05" customHeight="1" x14ac:dyDescent="0.45">
      <c r="A174" s="1">
        <v>173</v>
      </c>
      <c r="B174" s="412" t="s">
        <v>924</v>
      </c>
      <c r="C174" s="57" t="s">
        <v>24</v>
      </c>
      <c r="D174" s="413">
        <v>3379</v>
      </c>
      <c r="E174" s="59" t="s">
        <v>1132</v>
      </c>
      <c r="F174" s="59" t="s">
        <v>1133</v>
      </c>
      <c r="G174" s="414">
        <v>6592</v>
      </c>
      <c r="H174" s="59" t="s">
        <v>925</v>
      </c>
      <c r="I174" s="59" t="s">
        <v>1134</v>
      </c>
      <c r="J174" s="182" t="s">
        <v>111</v>
      </c>
      <c r="K174" s="182" t="s">
        <v>110</v>
      </c>
      <c r="L174" s="418">
        <v>0.2</v>
      </c>
      <c r="M174" s="419" t="s">
        <v>1149</v>
      </c>
      <c r="N174" s="420" t="s">
        <v>1150</v>
      </c>
      <c r="O174" s="421"/>
      <c r="P174" s="422">
        <v>1</v>
      </c>
      <c r="Q174" s="418">
        <v>0.2</v>
      </c>
      <c r="R174" s="422"/>
      <c r="S174" s="134">
        <f t="shared" si="4"/>
        <v>0</v>
      </c>
      <c r="T174" s="133">
        <f t="shared" si="5"/>
        <v>0</v>
      </c>
      <c r="U174" s="422" t="s">
        <v>34</v>
      </c>
      <c r="V174" s="143"/>
      <c r="W174" s="59"/>
    </row>
    <row r="175" spans="1:23" ht="16.05" customHeight="1" x14ac:dyDescent="0.45">
      <c r="A175" s="1">
        <v>174</v>
      </c>
      <c r="B175" s="412" t="s">
        <v>924</v>
      </c>
      <c r="C175" s="57" t="s">
        <v>24</v>
      </c>
      <c r="D175" s="413">
        <v>3379</v>
      </c>
      <c r="E175" s="59" t="s">
        <v>1132</v>
      </c>
      <c r="F175" s="59" t="s">
        <v>1133</v>
      </c>
      <c r="G175" s="414">
        <v>6592</v>
      </c>
      <c r="H175" s="59" t="s">
        <v>925</v>
      </c>
      <c r="I175" s="59" t="s">
        <v>1134</v>
      </c>
      <c r="J175" s="182" t="s">
        <v>111</v>
      </c>
      <c r="K175" s="182" t="s">
        <v>110</v>
      </c>
      <c r="L175" s="418">
        <v>0.2</v>
      </c>
      <c r="M175" s="419" t="s">
        <v>1151</v>
      </c>
      <c r="N175" s="420" t="s">
        <v>1152</v>
      </c>
      <c r="O175" s="421" t="s">
        <v>1153</v>
      </c>
      <c r="P175" s="422">
        <v>1</v>
      </c>
      <c r="Q175" s="418">
        <v>0.2</v>
      </c>
      <c r="R175" s="422"/>
      <c r="S175" s="134">
        <f t="shared" si="4"/>
        <v>0</v>
      </c>
      <c r="T175" s="133">
        <f t="shared" si="5"/>
        <v>0</v>
      </c>
      <c r="U175" s="422" t="s">
        <v>34</v>
      </c>
      <c r="V175" s="143"/>
      <c r="W175" s="59"/>
    </row>
    <row r="176" spans="1:23" ht="16.05" customHeight="1" x14ac:dyDescent="0.45">
      <c r="A176" s="1">
        <v>175</v>
      </c>
      <c r="B176" s="412" t="s">
        <v>924</v>
      </c>
      <c r="C176" s="57" t="s">
        <v>24</v>
      </c>
      <c r="D176" s="413">
        <v>3379</v>
      </c>
      <c r="E176" s="59" t="s">
        <v>1132</v>
      </c>
      <c r="F176" s="59" t="s">
        <v>1133</v>
      </c>
      <c r="G176" s="414">
        <v>6592</v>
      </c>
      <c r="H176" s="59" t="s">
        <v>925</v>
      </c>
      <c r="I176" s="59" t="s">
        <v>1134</v>
      </c>
      <c r="J176" s="182" t="s">
        <v>111</v>
      </c>
      <c r="K176" s="182" t="s">
        <v>110</v>
      </c>
      <c r="L176" s="418">
        <v>0.2</v>
      </c>
      <c r="M176" s="419"/>
      <c r="N176" s="420" t="s">
        <v>1154</v>
      </c>
      <c r="O176" s="421"/>
      <c r="P176" s="422">
        <v>1</v>
      </c>
      <c r="Q176" s="418">
        <v>0.2</v>
      </c>
      <c r="R176" s="422"/>
      <c r="S176" s="134">
        <f t="shared" si="4"/>
        <v>0</v>
      </c>
      <c r="T176" s="133">
        <f t="shared" si="5"/>
        <v>0</v>
      </c>
      <c r="U176" s="422" t="s">
        <v>34</v>
      </c>
      <c r="V176" s="143"/>
      <c r="W176" s="59"/>
    </row>
    <row r="177" spans="1:23" ht="16.05" customHeight="1" x14ac:dyDescent="0.45">
      <c r="A177" s="1">
        <v>176</v>
      </c>
      <c r="B177" s="412" t="s">
        <v>924</v>
      </c>
      <c r="C177" s="57" t="s">
        <v>24</v>
      </c>
      <c r="D177" s="413">
        <v>3379</v>
      </c>
      <c r="E177" s="59" t="s">
        <v>1132</v>
      </c>
      <c r="F177" s="59" t="s">
        <v>1133</v>
      </c>
      <c r="G177" s="414">
        <v>6592</v>
      </c>
      <c r="H177" s="59" t="s">
        <v>925</v>
      </c>
      <c r="I177" s="59" t="s">
        <v>1134</v>
      </c>
      <c r="J177" s="182" t="s">
        <v>111</v>
      </c>
      <c r="K177" s="182" t="s">
        <v>110</v>
      </c>
      <c r="L177" s="418">
        <v>0.2</v>
      </c>
      <c r="M177" s="419"/>
      <c r="N177" s="420" t="s">
        <v>1155</v>
      </c>
      <c r="O177" s="421"/>
      <c r="P177" s="422">
        <v>1</v>
      </c>
      <c r="Q177" s="418">
        <v>0.2</v>
      </c>
      <c r="R177" s="422"/>
      <c r="S177" s="134">
        <f t="shared" si="4"/>
        <v>0</v>
      </c>
      <c r="T177" s="133">
        <f t="shared" si="5"/>
        <v>0</v>
      </c>
      <c r="U177" s="422" t="s">
        <v>34</v>
      </c>
      <c r="V177" s="143"/>
      <c r="W177" s="59"/>
    </row>
    <row r="178" spans="1:23" ht="16.05" customHeight="1" x14ac:dyDescent="0.45">
      <c r="A178" s="1">
        <v>177</v>
      </c>
      <c r="B178" s="412" t="s">
        <v>924</v>
      </c>
      <c r="C178" s="57" t="s">
        <v>24</v>
      </c>
      <c r="D178" s="413">
        <v>3379</v>
      </c>
      <c r="E178" s="59" t="s">
        <v>1132</v>
      </c>
      <c r="F178" s="59" t="s">
        <v>1133</v>
      </c>
      <c r="G178" s="414">
        <v>6592</v>
      </c>
      <c r="H178" s="59" t="s">
        <v>925</v>
      </c>
      <c r="I178" s="59" t="s">
        <v>1134</v>
      </c>
      <c r="J178" s="182" t="s">
        <v>111</v>
      </c>
      <c r="K178" s="182" t="s">
        <v>110</v>
      </c>
      <c r="L178" s="418">
        <v>0.2</v>
      </c>
      <c r="M178" s="419" t="s">
        <v>1156</v>
      </c>
      <c r="N178" s="420" t="s">
        <v>1157</v>
      </c>
      <c r="O178" s="421"/>
      <c r="P178" s="422">
        <v>1</v>
      </c>
      <c r="Q178" s="418">
        <v>0.2</v>
      </c>
      <c r="R178" s="422"/>
      <c r="S178" s="134">
        <f t="shared" si="4"/>
        <v>0</v>
      </c>
      <c r="T178" s="133">
        <f t="shared" si="5"/>
        <v>0</v>
      </c>
      <c r="U178" s="422" t="s">
        <v>34</v>
      </c>
      <c r="V178" s="143"/>
      <c r="W178" s="59"/>
    </row>
    <row r="179" spans="1:23" ht="16.05" customHeight="1" x14ac:dyDescent="0.45">
      <c r="A179" s="1">
        <v>178</v>
      </c>
      <c r="B179" s="407" t="s">
        <v>924</v>
      </c>
      <c r="C179" s="2" t="s">
        <v>24</v>
      </c>
      <c r="D179" s="423">
        <v>5306</v>
      </c>
      <c r="E179" s="120" t="s">
        <v>1158</v>
      </c>
      <c r="F179" s="120" t="s">
        <v>1159</v>
      </c>
      <c r="G179" s="119">
        <v>3379</v>
      </c>
      <c r="H179" s="120" t="s">
        <v>1132</v>
      </c>
      <c r="I179" s="120" t="s">
        <v>1134</v>
      </c>
      <c r="J179" s="3" t="s">
        <v>58</v>
      </c>
      <c r="K179" s="3" t="s">
        <v>57</v>
      </c>
      <c r="L179" s="276">
        <v>0.6</v>
      </c>
      <c r="M179" s="3" t="s">
        <v>658</v>
      </c>
      <c r="N179" s="3" t="s">
        <v>659</v>
      </c>
      <c r="O179" s="3" t="s">
        <v>1160</v>
      </c>
      <c r="P179" s="14">
        <v>0.9</v>
      </c>
      <c r="Q179" s="276">
        <v>0.2</v>
      </c>
      <c r="R179" s="14"/>
      <c r="S179" s="14">
        <f t="shared" si="4"/>
        <v>0</v>
      </c>
      <c r="T179" s="51">
        <f t="shared" si="5"/>
        <v>0</v>
      </c>
      <c r="U179" s="14" t="s">
        <v>34</v>
      </c>
      <c r="V179" s="411">
        <f>SUM(T179:T187)%</f>
        <v>0</v>
      </c>
      <c r="W179" s="120"/>
    </row>
    <row r="180" spans="1:23" ht="16.05" customHeight="1" x14ac:dyDescent="0.45">
      <c r="A180" s="1">
        <v>179</v>
      </c>
      <c r="B180" s="412" t="s">
        <v>924</v>
      </c>
      <c r="C180" s="57" t="s">
        <v>24</v>
      </c>
      <c r="D180" s="424">
        <v>5306</v>
      </c>
      <c r="E180" s="134" t="s">
        <v>1158</v>
      </c>
      <c r="F180" s="134" t="s">
        <v>1159</v>
      </c>
      <c r="G180" s="133">
        <v>3379</v>
      </c>
      <c r="H180" s="134" t="s">
        <v>1132</v>
      </c>
      <c r="I180" s="134" t="s">
        <v>1134</v>
      </c>
      <c r="J180" s="184" t="s">
        <v>58</v>
      </c>
      <c r="K180" s="184" t="s">
        <v>57</v>
      </c>
      <c r="L180" s="346">
        <v>0.6</v>
      </c>
      <c r="M180" s="184" t="s">
        <v>1161</v>
      </c>
      <c r="N180" s="184" t="s">
        <v>1162</v>
      </c>
      <c r="O180" s="184" t="s">
        <v>1163</v>
      </c>
      <c r="P180" s="66">
        <v>1</v>
      </c>
      <c r="Q180" s="346">
        <v>0.2</v>
      </c>
      <c r="R180" s="66"/>
      <c r="S180" s="66">
        <f t="shared" si="4"/>
        <v>0</v>
      </c>
      <c r="T180" s="67">
        <f t="shared" si="5"/>
        <v>0</v>
      </c>
      <c r="U180" s="66" t="s">
        <v>34</v>
      </c>
      <c r="V180" s="66"/>
      <c r="W180" s="134"/>
    </row>
    <row r="181" spans="1:23" ht="16.05" customHeight="1" x14ac:dyDescent="0.45">
      <c r="A181" s="1">
        <v>180</v>
      </c>
      <c r="B181" s="412" t="s">
        <v>924</v>
      </c>
      <c r="C181" s="57" t="s">
        <v>24</v>
      </c>
      <c r="D181" s="424">
        <v>5306</v>
      </c>
      <c r="E181" s="134" t="s">
        <v>1158</v>
      </c>
      <c r="F181" s="134" t="s">
        <v>1159</v>
      </c>
      <c r="G181" s="133">
        <v>3379</v>
      </c>
      <c r="H181" s="134" t="s">
        <v>1132</v>
      </c>
      <c r="I181" s="134" t="s">
        <v>1134</v>
      </c>
      <c r="J181" s="184" t="s">
        <v>58</v>
      </c>
      <c r="K181" s="184" t="s">
        <v>57</v>
      </c>
      <c r="L181" s="346">
        <v>0.6</v>
      </c>
      <c r="M181" s="184" t="s">
        <v>680</v>
      </c>
      <c r="N181" s="184" t="s">
        <v>681</v>
      </c>
      <c r="O181" s="184" t="s">
        <v>680</v>
      </c>
      <c r="P181" s="66">
        <v>1</v>
      </c>
      <c r="Q181" s="346">
        <v>0.2</v>
      </c>
      <c r="R181" s="66"/>
      <c r="S181" s="66">
        <f t="shared" si="4"/>
        <v>0</v>
      </c>
      <c r="T181" s="67">
        <f t="shared" si="5"/>
        <v>0</v>
      </c>
      <c r="U181" s="66" t="s">
        <v>34</v>
      </c>
      <c r="V181" s="66"/>
      <c r="W181" s="134"/>
    </row>
    <row r="182" spans="1:23" ht="16.05" customHeight="1" x14ac:dyDescent="0.45">
      <c r="A182" s="1">
        <v>181</v>
      </c>
      <c r="B182" s="412" t="s">
        <v>924</v>
      </c>
      <c r="C182" s="57" t="s">
        <v>24</v>
      </c>
      <c r="D182" s="424">
        <v>5306</v>
      </c>
      <c r="E182" s="134" t="s">
        <v>1158</v>
      </c>
      <c r="F182" s="134" t="s">
        <v>1159</v>
      </c>
      <c r="G182" s="133">
        <v>3379</v>
      </c>
      <c r="H182" s="134" t="s">
        <v>1132</v>
      </c>
      <c r="I182" s="134" t="s">
        <v>1134</v>
      </c>
      <c r="J182" s="184" t="s">
        <v>58</v>
      </c>
      <c r="K182" s="184" t="s">
        <v>57</v>
      </c>
      <c r="L182" s="346">
        <v>0.6</v>
      </c>
      <c r="M182" s="64" t="s">
        <v>682</v>
      </c>
      <c r="N182" s="184" t="s">
        <v>683</v>
      </c>
      <c r="O182" s="184" t="s">
        <v>1164</v>
      </c>
      <c r="P182" s="127">
        <v>0.9</v>
      </c>
      <c r="Q182" s="346">
        <v>0.2</v>
      </c>
      <c r="R182" s="127"/>
      <c r="S182" s="66">
        <f t="shared" si="4"/>
        <v>0</v>
      </c>
      <c r="T182" s="67">
        <f t="shared" si="5"/>
        <v>0</v>
      </c>
      <c r="U182" s="66" t="s">
        <v>34</v>
      </c>
      <c r="V182" s="66"/>
      <c r="W182" s="134"/>
    </row>
    <row r="183" spans="1:23" ht="16.05" customHeight="1" x14ac:dyDescent="0.45">
      <c r="A183" s="1">
        <v>182</v>
      </c>
      <c r="B183" s="412" t="s">
        <v>924</v>
      </c>
      <c r="C183" s="57" t="s">
        <v>24</v>
      </c>
      <c r="D183" s="424">
        <v>5306</v>
      </c>
      <c r="E183" s="134" t="s">
        <v>1158</v>
      </c>
      <c r="F183" s="134" t="s">
        <v>1159</v>
      </c>
      <c r="G183" s="133">
        <v>3379</v>
      </c>
      <c r="H183" s="134" t="s">
        <v>1132</v>
      </c>
      <c r="I183" s="134" t="s">
        <v>1134</v>
      </c>
      <c r="J183" s="184" t="s">
        <v>58</v>
      </c>
      <c r="K183" s="184" t="s">
        <v>57</v>
      </c>
      <c r="L183" s="346">
        <v>0.6</v>
      </c>
      <c r="M183" s="184" t="s">
        <v>684</v>
      </c>
      <c r="N183" s="184" t="s">
        <v>685</v>
      </c>
      <c r="O183" s="184" t="s">
        <v>1165</v>
      </c>
      <c r="P183" s="66">
        <v>1</v>
      </c>
      <c r="Q183" s="346">
        <v>0.2</v>
      </c>
      <c r="R183" s="66"/>
      <c r="S183" s="66">
        <f t="shared" si="4"/>
        <v>0</v>
      </c>
      <c r="T183" s="67">
        <f t="shared" si="5"/>
        <v>0</v>
      </c>
      <c r="U183" s="66" t="s">
        <v>34</v>
      </c>
      <c r="V183" s="66"/>
      <c r="W183" s="134"/>
    </row>
    <row r="184" spans="1:23" ht="16.05" customHeight="1" x14ac:dyDescent="0.45">
      <c r="A184" s="1">
        <v>183</v>
      </c>
      <c r="B184" s="412" t="s">
        <v>924</v>
      </c>
      <c r="C184" s="57" t="s">
        <v>24</v>
      </c>
      <c r="D184" s="424">
        <v>5306</v>
      </c>
      <c r="E184" s="134" t="s">
        <v>1158</v>
      </c>
      <c r="F184" s="134" t="s">
        <v>1159</v>
      </c>
      <c r="G184" s="133">
        <v>3379</v>
      </c>
      <c r="H184" s="134" t="s">
        <v>1132</v>
      </c>
      <c r="I184" s="134" t="s">
        <v>1134</v>
      </c>
      <c r="J184" s="182" t="s">
        <v>111</v>
      </c>
      <c r="K184" s="182" t="s">
        <v>110</v>
      </c>
      <c r="L184" s="425">
        <v>0.4</v>
      </c>
      <c r="M184" s="182" t="s">
        <v>1166</v>
      </c>
      <c r="N184" s="182" t="s">
        <v>1167</v>
      </c>
      <c r="O184" s="426" t="s">
        <v>1168</v>
      </c>
      <c r="P184" s="143">
        <v>1</v>
      </c>
      <c r="Q184" s="425">
        <v>0.25</v>
      </c>
      <c r="R184" s="143"/>
      <c r="S184" s="143">
        <f t="shared" si="4"/>
        <v>0</v>
      </c>
      <c r="T184" s="142">
        <f t="shared" si="5"/>
        <v>0</v>
      </c>
      <c r="U184" s="143" t="s">
        <v>34</v>
      </c>
      <c r="V184" s="143"/>
      <c r="W184" s="134"/>
    </row>
    <row r="185" spans="1:23" ht="16.05" customHeight="1" x14ac:dyDescent="0.45">
      <c r="A185" s="1">
        <v>184</v>
      </c>
      <c r="B185" s="412" t="s">
        <v>924</v>
      </c>
      <c r="C185" s="57" t="s">
        <v>24</v>
      </c>
      <c r="D185" s="424">
        <v>5306</v>
      </c>
      <c r="E185" s="134" t="s">
        <v>1158</v>
      </c>
      <c r="F185" s="134" t="s">
        <v>1159</v>
      </c>
      <c r="G185" s="133">
        <v>3379</v>
      </c>
      <c r="H185" s="134" t="s">
        <v>1132</v>
      </c>
      <c r="I185" s="134" t="s">
        <v>1134</v>
      </c>
      <c r="J185" s="182" t="s">
        <v>111</v>
      </c>
      <c r="K185" s="182" t="s">
        <v>110</v>
      </c>
      <c r="L185" s="425">
        <v>0.4</v>
      </c>
      <c r="M185" s="182" t="s">
        <v>1169</v>
      </c>
      <c r="N185" s="182" t="s">
        <v>1170</v>
      </c>
      <c r="O185" s="334" t="s">
        <v>1171</v>
      </c>
      <c r="P185" s="143">
        <v>1</v>
      </c>
      <c r="Q185" s="425">
        <v>0.25</v>
      </c>
      <c r="R185" s="143"/>
      <c r="S185" s="143">
        <f t="shared" si="4"/>
        <v>0</v>
      </c>
      <c r="T185" s="142">
        <f t="shared" si="5"/>
        <v>0</v>
      </c>
      <c r="U185" s="143" t="s">
        <v>34</v>
      </c>
      <c r="V185" s="143"/>
      <c r="W185" s="134"/>
    </row>
    <row r="186" spans="1:23" ht="16.05" customHeight="1" x14ac:dyDescent="0.45">
      <c r="A186" s="1">
        <v>185</v>
      </c>
      <c r="B186" s="412" t="s">
        <v>924</v>
      </c>
      <c r="C186" s="57" t="s">
        <v>24</v>
      </c>
      <c r="D186" s="424">
        <v>5306</v>
      </c>
      <c r="E186" s="134" t="s">
        <v>1158</v>
      </c>
      <c r="F186" s="134" t="s">
        <v>1159</v>
      </c>
      <c r="G186" s="133">
        <v>3379</v>
      </c>
      <c r="H186" s="134" t="s">
        <v>1132</v>
      </c>
      <c r="I186" s="134" t="s">
        <v>1134</v>
      </c>
      <c r="J186" s="182" t="s">
        <v>111</v>
      </c>
      <c r="K186" s="182" t="s">
        <v>110</v>
      </c>
      <c r="L186" s="425">
        <v>0.4</v>
      </c>
      <c r="M186" s="182" t="s">
        <v>1172</v>
      </c>
      <c r="N186" s="334" t="s">
        <v>561</v>
      </c>
      <c r="O186" s="334" t="s">
        <v>1173</v>
      </c>
      <c r="P186" s="143">
        <v>1</v>
      </c>
      <c r="Q186" s="425">
        <v>0.25</v>
      </c>
      <c r="R186" s="143"/>
      <c r="S186" s="143">
        <f t="shared" si="4"/>
        <v>0</v>
      </c>
      <c r="T186" s="142">
        <f t="shared" si="5"/>
        <v>0</v>
      </c>
      <c r="U186" s="143" t="s">
        <v>34</v>
      </c>
      <c r="V186" s="143"/>
      <c r="W186" s="134"/>
    </row>
    <row r="187" spans="1:23" ht="16.05" customHeight="1" x14ac:dyDescent="0.45">
      <c r="A187" s="1">
        <v>186</v>
      </c>
      <c r="B187" s="412" t="s">
        <v>924</v>
      </c>
      <c r="C187" s="57" t="s">
        <v>24</v>
      </c>
      <c r="D187" s="424">
        <v>5306</v>
      </c>
      <c r="E187" s="134" t="s">
        <v>1158</v>
      </c>
      <c r="F187" s="134" t="s">
        <v>1159</v>
      </c>
      <c r="G187" s="133">
        <v>3379</v>
      </c>
      <c r="H187" s="134" t="s">
        <v>1132</v>
      </c>
      <c r="I187" s="134" t="s">
        <v>1134</v>
      </c>
      <c r="J187" s="182" t="s">
        <v>111</v>
      </c>
      <c r="K187" s="182" t="s">
        <v>110</v>
      </c>
      <c r="L187" s="425">
        <v>0.4</v>
      </c>
      <c r="M187" s="182" t="s">
        <v>689</v>
      </c>
      <c r="N187" s="182" t="s">
        <v>690</v>
      </c>
      <c r="O187" s="182" t="s">
        <v>1174</v>
      </c>
      <c r="P187" s="284">
        <v>1</v>
      </c>
      <c r="Q187" s="425">
        <v>0.25</v>
      </c>
      <c r="R187" s="284"/>
      <c r="S187" s="143">
        <f t="shared" si="4"/>
        <v>0</v>
      </c>
      <c r="T187" s="142">
        <f t="shared" si="5"/>
        <v>0</v>
      </c>
      <c r="U187" s="142" t="s">
        <v>34</v>
      </c>
      <c r="V187" s="143"/>
      <c r="W187" s="134"/>
    </row>
    <row r="188" spans="1:23" ht="16.05" customHeight="1" x14ac:dyDescent="0.45">
      <c r="A188" s="1">
        <v>187</v>
      </c>
      <c r="B188" s="407" t="s">
        <v>924</v>
      </c>
      <c r="C188" s="2" t="s">
        <v>24</v>
      </c>
      <c r="D188" s="275">
        <v>3182</v>
      </c>
      <c r="E188" s="2" t="s">
        <v>1175</v>
      </c>
      <c r="F188" s="2" t="s">
        <v>692</v>
      </c>
      <c r="G188" s="7">
        <v>3379</v>
      </c>
      <c r="H188" s="2" t="s">
        <v>1132</v>
      </c>
      <c r="I188" s="2" t="s">
        <v>1134</v>
      </c>
      <c r="J188" s="3" t="s">
        <v>58</v>
      </c>
      <c r="K188" s="3" t="s">
        <v>57</v>
      </c>
      <c r="L188" s="276">
        <v>0.6</v>
      </c>
      <c r="M188" s="3" t="s">
        <v>693</v>
      </c>
      <c r="N188" s="3" t="s">
        <v>653</v>
      </c>
      <c r="O188" s="3"/>
      <c r="P188" s="14">
        <v>1</v>
      </c>
      <c r="Q188" s="276">
        <v>0.2</v>
      </c>
      <c r="R188" s="14"/>
      <c r="S188" s="14">
        <f t="shared" si="4"/>
        <v>0</v>
      </c>
      <c r="T188" s="51">
        <f t="shared" si="5"/>
        <v>0</v>
      </c>
      <c r="U188" s="14" t="s">
        <v>34</v>
      </c>
      <c r="V188" s="411">
        <f>SUM(T188:T199)%</f>
        <v>0</v>
      </c>
      <c r="W188" s="2"/>
    </row>
    <row r="189" spans="1:23" ht="16.05" customHeight="1" x14ac:dyDescent="0.45">
      <c r="A189" s="1">
        <v>188</v>
      </c>
      <c r="B189" s="412" t="s">
        <v>924</v>
      </c>
      <c r="C189" s="57" t="s">
        <v>24</v>
      </c>
      <c r="D189" s="427">
        <v>3182</v>
      </c>
      <c r="E189" s="57" t="s">
        <v>1175</v>
      </c>
      <c r="F189" s="57" t="s">
        <v>692</v>
      </c>
      <c r="G189" s="285">
        <v>3379</v>
      </c>
      <c r="H189" s="57" t="s">
        <v>1132</v>
      </c>
      <c r="I189" s="57" t="s">
        <v>1134</v>
      </c>
      <c r="J189" s="184" t="s">
        <v>58</v>
      </c>
      <c r="K189" s="184" t="s">
        <v>57</v>
      </c>
      <c r="L189" s="346">
        <v>0.6</v>
      </c>
      <c r="M189" s="184" t="s">
        <v>1176</v>
      </c>
      <c r="N189" s="184" t="s">
        <v>1177</v>
      </c>
      <c r="O189" s="184"/>
      <c r="P189" s="66">
        <v>1</v>
      </c>
      <c r="Q189" s="346">
        <v>0.2</v>
      </c>
      <c r="R189" s="66"/>
      <c r="S189" s="66">
        <f t="shared" si="4"/>
        <v>0</v>
      </c>
      <c r="T189" s="67">
        <f t="shared" si="5"/>
        <v>0</v>
      </c>
      <c r="U189" s="66" t="s">
        <v>34</v>
      </c>
      <c r="V189" s="66"/>
      <c r="W189" s="57"/>
    </row>
    <row r="190" spans="1:23" ht="16.05" customHeight="1" x14ac:dyDescent="0.45">
      <c r="A190" s="1">
        <v>189</v>
      </c>
      <c r="B190" s="412" t="s">
        <v>924</v>
      </c>
      <c r="C190" s="57" t="s">
        <v>24</v>
      </c>
      <c r="D190" s="427">
        <v>3182</v>
      </c>
      <c r="E190" s="57" t="s">
        <v>1175</v>
      </c>
      <c r="F190" s="57" t="s">
        <v>692</v>
      </c>
      <c r="G190" s="285">
        <v>3379</v>
      </c>
      <c r="H190" s="57" t="s">
        <v>1132</v>
      </c>
      <c r="I190" s="57" t="s">
        <v>1134</v>
      </c>
      <c r="J190" s="184" t="s">
        <v>58</v>
      </c>
      <c r="K190" s="184" t="s">
        <v>57</v>
      </c>
      <c r="L190" s="346">
        <v>0.6</v>
      </c>
      <c r="M190" s="184" t="s">
        <v>696</v>
      </c>
      <c r="N190" s="184" t="s">
        <v>697</v>
      </c>
      <c r="O190" s="184"/>
      <c r="P190" s="66">
        <v>0.8</v>
      </c>
      <c r="Q190" s="346">
        <v>0.1</v>
      </c>
      <c r="R190" s="66"/>
      <c r="S190" s="66">
        <f t="shared" si="4"/>
        <v>0</v>
      </c>
      <c r="T190" s="67">
        <f t="shared" si="5"/>
        <v>0</v>
      </c>
      <c r="U190" s="66" t="s">
        <v>34</v>
      </c>
      <c r="V190" s="66"/>
      <c r="W190" s="57"/>
    </row>
    <row r="191" spans="1:23" ht="16.05" customHeight="1" x14ac:dyDescent="0.45">
      <c r="A191" s="1">
        <v>190</v>
      </c>
      <c r="B191" s="412" t="s">
        <v>924</v>
      </c>
      <c r="C191" s="57" t="s">
        <v>24</v>
      </c>
      <c r="D191" s="427">
        <v>3182</v>
      </c>
      <c r="E191" s="57" t="s">
        <v>1175</v>
      </c>
      <c r="F191" s="57" t="s">
        <v>692</v>
      </c>
      <c r="G191" s="285">
        <v>3379</v>
      </c>
      <c r="H191" s="57" t="s">
        <v>1132</v>
      </c>
      <c r="I191" s="57" t="s">
        <v>1134</v>
      </c>
      <c r="J191" s="184" t="s">
        <v>58</v>
      </c>
      <c r="K191" s="184" t="s">
        <v>57</v>
      </c>
      <c r="L191" s="346">
        <v>0.6</v>
      </c>
      <c r="M191" s="184" t="s">
        <v>709</v>
      </c>
      <c r="N191" s="184" t="s">
        <v>661</v>
      </c>
      <c r="O191" s="184"/>
      <c r="P191" s="127">
        <v>1</v>
      </c>
      <c r="Q191" s="346">
        <v>0.1</v>
      </c>
      <c r="R191" s="127"/>
      <c r="S191" s="66">
        <f t="shared" si="4"/>
        <v>0</v>
      </c>
      <c r="T191" s="67">
        <f t="shared" si="5"/>
        <v>0</v>
      </c>
      <c r="U191" s="66" t="s">
        <v>34</v>
      </c>
      <c r="V191" s="66"/>
      <c r="W191" s="57"/>
    </row>
    <row r="192" spans="1:23" ht="16.05" customHeight="1" x14ac:dyDescent="0.45">
      <c r="A192" s="1">
        <v>191</v>
      </c>
      <c r="B192" s="412" t="s">
        <v>924</v>
      </c>
      <c r="C192" s="57" t="s">
        <v>24</v>
      </c>
      <c r="D192" s="427">
        <v>3182</v>
      </c>
      <c r="E192" s="57" t="s">
        <v>1175</v>
      </c>
      <c r="F192" s="57" t="s">
        <v>692</v>
      </c>
      <c r="G192" s="285">
        <v>3379</v>
      </c>
      <c r="H192" s="57" t="s">
        <v>1132</v>
      </c>
      <c r="I192" s="57" t="s">
        <v>1134</v>
      </c>
      <c r="J192" s="184" t="s">
        <v>58</v>
      </c>
      <c r="K192" s="184" t="s">
        <v>57</v>
      </c>
      <c r="L192" s="346">
        <v>0.6</v>
      </c>
      <c r="M192" s="184" t="s">
        <v>1178</v>
      </c>
      <c r="N192" s="184" t="s">
        <v>1179</v>
      </c>
      <c r="O192" s="184"/>
      <c r="P192" s="66">
        <v>0.9</v>
      </c>
      <c r="Q192" s="346">
        <v>0.1</v>
      </c>
      <c r="R192" s="66"/>
      <c r="S192" s="66">
        <f t="shared" si="4"/>
        <v>0</v>
      </c>
      <c r="T192" s="67">
        <f t="shared" si="5"/>
        <v>0</v>
      </c>
      <c r="U192" s="66" t="s">
        <v>34</v>
      </c>
      <c r="V192" s="66"/>
      <c r="W192" s="57"/>
    </row>
    <row r="193" spans="1:23" ht="16.05" customHeight="1" x14ac:dyDescent="0.45">
      <c r="A193" s="1">
        <v>192</v>
      </c>
      <c r="B193" s="412" t="s">
        <v>924</v>
      </c>
      <c r="C193" s="57" t="s">
        <v>24</v>
      </c>
      <c r="D193" s="427">
        <v>3182</v>
      </c>
      <c r="E193" s="57" t="s">
        <v>1175</v>
      </c>
      <c r="F193" s="57" t="s">
        <v>692</v>
      </c>
      <c r="G193" s="285">
        <v>3379</v>
      </c>
      <c r="H193" s="57" t="s">
        <v>1132</v>
      </c>
      <c r="I193" s="57" t="s">
        <v>1134</v>
      </c>
      <c r="J193" s="184" t="s">
        <v>58</v>
      </c>
      <c r="K193" s="184" t="s">
        <v>57</v>
      </c>
      <c r="L193" s="346">
        <v>0.6</v>
      </c>
      <c r="M193" s="184" t="s">
        <v>700</v>
      </c>
      <c r="N193" s="184" t="s">
        <v>701</v>
      </c>
      <c r="O193" s="184"/>
      <c r="P193" s="66">
        <v>0.999</v>
      </c>
      <c r="Q193" s="346">
        <v>0.2</v>
      </c>
      <c r="R193" s="66"/>
      <c r="S193" s="66">
        <f t="shared" si="4"/>
        <v>0</v>
      </c>
      <c r="T193" s="67">
        <f t="shared" si="5"/>
        <v>0</v>
      </c>
      <c r="U193" s="66" t="s">
        <v>34</v>
      </c>
      <c r="V193" s="66"/>
      <c r="W193" s="57"/>
    </row>
    <row r="194" spans="1:23" ht="16.05" customHeight="1" x14ac:dyDescent="0.45">
      <c r="A194" s="1">
        <v>193</v>
      </c>
      <c r="B194" s="412" t="s">
        <v>924</v>
      </c>
      <c r="C194" s="57" t="s">
        <v>24</v>
      </c>
      <c r="D194" s="427">
        <v>3182</v>
      </c>
      <c r="E194" s="57" t="s">
        <v>1175</v>
      </c>
      <c r="F194" s="57" t="s">
        <v>692</v>
      </c>
      <c r="G194" s="285">
        <v>3379</v>
      </c>
      <c r="H194" s="57" t="s">
        <v>1132</v>
      </c>
      <c r="I194" s="57" t="s">
        <v>1134</v>
      </c>
      <c r="J194" s="184" t="s">
        <v>58</v>
      </c>
      <c r="K194" s="184" t="s">
        <v>57</v>
      </c>
      <c r="L194" s="346">
        <v>0.6</v>
      </c>
      <c r="M194" s="184" t="s">
        <v>1180</v>
      </c>
      <c r="N194" s="184" t="s">
        <v>702</v>
      </c>
      <c r="O194" s="184"/>
      <c r="P194" s="66">
        <v>1</v>
      </c>
      <c r="Q194" s="346">
        <v>0.1</v>
      </c>
      <c r="R194" s="66"/>
      <c r="S194" s="66">
        <f t="shared" ref="S194:S257" si="6">ROUND(IF(OR(P194="",R194=""),0,IF(AND(P194=0,R194=0),1,IF(U194="+",R194/P194,P194/R194))),2)</f>
        <v>0</v>
      </c>
      <c r="T194" s="67">
        <f t="shared" ref="T194:T257" si="7">IF(AND(S194&gt;=60%,S194&lt;100%),S194*((Q194*L194)),IF(S194=100%,((Q194*L194)*S194)*100%,IF(S194&gt;100%,((L194*Q194)*100%)*100%,0)))*100</f>
        <v>0</v>
      </c>
      <c r="U194" s="66" t="s">
        <v>34</v>
      </c>
      <c r="V194" s="66"/>
      <c r="W194" s="57"/>
    </row>
    <row r="195" spans="1:23" ht="16.05" customHeight="1" x14ac:dyDescent="0.45">
      <c r="A195" s="1">
        <v>194</v>
      </c>
      <c r="B195" s="412" t="s">
        <v>924</v>
      </c>
      <c r="C195" s="57" t="s">
        <v>24</v>
      </c>
      <c r="D195" s="427">
        <v>3182</v>
      </c>
      <c r="E195" s="57" t="s">
        <v>1175</v>
      </c>
      <c r="F195" s="57" t="s">
        <v>692</v>
      </c>
      <c r="G195" s="285">
        <v>3379</v>
      </c>
      <c r="H195" s="57" t="s">
        <v>1132</v>
      </c>
      <c r="I195" s="57" t="s">
        <v>1134</v>
      </c>
      <c r="J195" s="182" t="s">
        <v>111</v>
      </c>
      <c r="K195" s="182" t="s">
        <v>110</v>
      </c>
      <c r="L195" s="425">
        <v>0.4</v>
      </c>
      <c r="M195" s="182" t="s">
        <v>1181</v>
      </c>
      <c r="N195" s="334" t="s">
        <v>1182</v>
      </c>
      <c r="O195" s="334" t="s">
        <v>556</v>
      </c>
      <c r="P195" s="143">
        <v>1</v>
      </c>
      <c r="Q195" s="425">
        <v>0.2</v>
      </c>
      <c r="R195" s="143"/>
      <c r="S195" s="143">
        <f t="shared" si="6"/>
        <v>0</v>
      </c>
      <c r="T195" s="142">
        <f t="shared" si="7"/>
        <v>0</v>
      </c>
      <c r="U195" s="143" t="s">
        <v>34</v>
      </c>
      <c r="V195" s="143"/>
      <c r="W195" s="57"/>
    </row>
    <row r="196" spans="1:23" ht="16.05" customHeight="1" x14ac:dyDescent="0.45">
      <c r="A196" s="1">
        <v>195</v>
      </c>
      <c r="B196" s="412" t="s">
        <v>924</v>
      </c>
      <c r="C196" s="57" t="s">
        <v>24</v>
      </c>
      <c r="D196" s="427">
        <v>3182</v>
      </c>
      <c r="E196" s="57" t="s">
        <v>1175</v>
      </c>
      <c r="F196" s="57" t="s">
        <v>692</v>
      </c>
      <c r="G196" s="285">
        <v>3379</v>
      </c>
      <c r="H196" s="57" t="s">
        <v>1132</v>
      </c>
      <c r="I196" s="57" t="s">
        <v>1134</v>
      </c>
      <c r="J196" s="182" t="s">
        <v>111</v>
      </c>
      <c r="K196" s="182" t="s">
        <v>110</v>
      </c>
      <c r="L196" s="425">
        <v>0.4</v>
      </c>
      <c r="M196" s="182" t="s">
        <v>1183</v>
      </c>
      <c r="N196" s="334" t="s">
        <v>561</v>
      </c>
      <c r="O196" s="334" t="s">
        <v>562</v>
      </c>
      <c r="P196" s="143">
        <v>1</v>
      </c>
      <c r="Q196" s="425">
        <v>0.2</v>
      </c>
      <c r="R196" s="143"/>
      <c r="S196" s="143">
        <f t="shared" si="6"/>
        <v>0</v>
      </c>
      <c r="T196" s="142">
        <f t="shared" si="7"/>
        <v>0</v>
      </c>
      <c r="U196" s="143" t="s">
        <v>34</v>
      </c>
      <c r="V196" s="143"/>
      <c r="W196" s="57"/>
    </row>
    <row r="197" spans="1:23" ht="16.05" customHeight="1" x14ac:dyDescent="0.45">
      <c r="A197" s="1">
        <v>196</v>
      </c>
      <c r="B197" s="412" t="s">
        <v>924</v>
      </c>
      <c r="C197" s="57" t="s">
        <v>24</v>
      </c>
      <c r="D197" s="427">
        <v>3182</v>
      </c>
      <c r="E197" s="57" t="s">
        <v>1175</v>
      </c>
      <c r="F197" s="57" t="s">
        <v>692</v>
      </c>
      <c r="G197" s="285">
        <v>3379</v>
      </c>
      <c r="H197" s="57" t="s">
        <v>1132</v>
      </c>
      <c r="I197" s="57" t="s">
        <v>1134</v>
      </c>
      <c r="J197" s="182" t="s">
        <v>111</v>
      </c>
      <c r="K197" s="182" t="s">
        <v>110</v>
      </c>
      <c r="L197" s="425">
        <v>0.4</v>
      </c>
      <c r="M197" s="334" t="s">
        <v>1184</v>
      </c>
      <c r="N197" s="334" t="s">
        <v>1185</v>
      </c>
      <c r="O197" s="134"/>
      <c r="P197" s="143">
        <v>1</v>
      </c>
      <c r="Q197" s="425">
        <v>0.2</v>
      </c>
      <c r="R197" s="143"/>
      <c r="S197" s="143">
        <f t="shared" si="6"/>
        <v>0</v>
      </c>
      <c r="T197" s="142">
        <f t="shared" si="7"/>
        <v>0</v>
      </c>
      <c r="U197" s="143" t="s">
        <v>34</v>
      </c>
      <c r="V197" s="143"/>
      <c r="W197" s="57"/>
    </row>
    <row r="198" spans="1:23" ht="16.05" customHeight="1" x14ac:dyDescent="0.45">
      <c r="A198" s="1">
        <v>197</v>
      </c>
      <c r="B198" s="412" t="s">
        <v>924</v>
      </c>
      <c r="C198" s="57" t="s">
        <v>24</v>
      </c>
      <c r="D198" s="427">
        <v>3182</v>
      </c>
      <c r="E198" s="57" t="s">
        <v>1175</v>
      </c>
      <c r="F198" s="57" t="s">
        <v>692</v>
      </c>
      <c r="G198" s="285">
        <v>3379</v>
      </c>
      <c r="H198" s="57" t="s">
        <v>1132</v>
      </c>
      <c r="I198" s="57" t="s">
        <v>1134</v>
      </c>
      <c r="J198" s="182" t="s">
        <v>111</v>
      </c>
      <c r="K198" s="182" t="s">
        <v>110</v>
      </c>
      <c r="L198" s="425">
        <v>0.4</v>
      </c>
      <c r="M198" s="182" t="s">
        <v>419</v>
      </c>
      <c r="N198" s="334" t="s">
        <v>555</v>
      </c>
      <c r="O198" s="134"/>
      <c r="P198" s="143">
        <v>1</v>
      </c>
      <c r="Q198" s="425">
        <v>0.2</v>
      </c>
      <c r="R198" s="143"/>
      <c r="S198" s="143">
        <f t="shared" si="6"/>
        <v>0</v>
      </c>
      <c r="T198" s="142">
        <f t="shared" si="7"/>
        <v>0</v>
      </c>
      <c r="U198" s="143" t="s">
        <v>34</v>
      </c>
      <c r="V198" s="143"/>
      <c r="W198" s="57"/>
    </row>
    <row r="199" spans="1:23" ht="16.05" customHeight="1" x14ac:dyDescent="0.45">
      <c r="A199" s="1">
        <v>198</v>
      </c>
      <c r="B199" s="412" t="s">
        <v>924</v>
      </c>
      <c r="C199" s="57" t="s">
        <v>24</v>
      </c>
      <c r="D199" s="427">
        <v>3182</v>
      </c>
      <c r="E199" s="57" t="s">
        <v>1175</v>
      </c>
      <c r="F199" s="57" t="s">
        <v>692</v>
      </c>
      <c r="G199" s="285">
        <v>3379</v>
      </c>
      <c r="H199" s="57" t="s">
        <v>1132</v>
      </c>
      <c r="I199" s="57" t="s">
        <v>1134</v>
      </c>
      <c r="J199" s="182" t="s">
        <v>111</v>
      </c>
      <c r="K199" s="182" t="s">
        <v>110</v>
      </c>
      <c r="L199" s="425">
        <v>0.4</v>
      </c>
      <c r="M199" s="182" t="s">
        <v>1186</v>
      </c>
      <c r="N199" s="334" t="s">
        <v>1187</v>
      </c>
      <c r="O199" s="134"/>
      <c r="P199" s="143">
        <v>1</v>
      </c>
      <c r="Q199" s="425">
        <v>0.2</v>
      </c>
      <c r="R199" s="143"/>
      <c r="S199" s="143">
        <f t="shared" si="6"/>
        <v>0</v>
      </c>
      <c r="T199" s="142">
        <f t="shared" si="7"/>
        <v>0</v>
      </c>
      <c r="U199" s="143" t="s">
        <v>34</v>
      </c>
      <c r="V199" s="143"/>
      <c r="W199" s="57"/>
    </row>
    <row r="200" spans="1:23" ht="16.05" customHeight="1" x14ac:dyDescent="0.45">
      <c r="A200" s="1">
        <v>199</v>
      </c>
      <c r="B200" s="407" t="s">
        <v>924</v>
      </c>
      <c r="C200" s="2" t="s">
        <v>24</v>
      </c>
      <c r="D200" s="275">
        <v>5686</v>
      </c>
      <c r="E200" s="2" t="s">
        <v>1188</v>
      </c>
      <c r="F200" s="2" t="s">
        <v>704</v>
      </c>
      <c r="G200" s="7">
        <v>3379</v>
      </c>
      <c r="H200" s="2" t="s">
        <v>1132</v>
      </c>
      <c r="I200" s="2" t="s">
        <v>1134</v>
      </c>
      <c r="J200" s="3" t="s">
        <v>58</v>
      </c>
      <c r="K200" s="3" t="s">
        <v>57</v>
      </c>
      <c r="L200" s="276">
        <v>0.6</v>
      </c>
      <c r="M200" s="3" t="s">
        <v>705</v>
      </c>
      <c r="N200" s="3" t="s">
        <v>706</v>
      </c>
      <c r="O200" s="3"/>
      <c r="P200" s="14">
        <v>1</v>
      </c>
      <c r="Q200" s="276">
        <v>0.2</v>
      </c>
      <c r="R200" s="14"/>
      <c r="S200" s="14">
        <f t="shared" si="6"/>
        <v>0</v>
      </c>
      <c r="T200" s="51">
        <f t="shared" si="7"/>
        <v>0</v>
      </c>
      <c r="U200" s="14" t="s">
        <v>34</v>
      </c>
      <c r="V200" s="411">
        <f>SUM(T200:T212)%</f>
        <v>0</v>
      </c>
      <c r="W200" s="2"/>
    </row>
    <row r="201" spans="1:23" ht="16.05" customHeight="1" x14ac:dyDescent="0.45">
      <c r="A201" s="1">
        <v>200</v>
      </c>
      <c r="B201" s="412" t="s">
        <v>924</v>
      </c>
      <c r="C201" s="57" t="s">
        <v>24</v>
      </c>
      <c r="D201" s="427">
        <v>5686</v>
      </c>
      <c r="E201" s="57" t="s">
        <v>1188</v>
      </c>
      <c r="F201" s="57" t="s">
        <v>704</v>
      </c>
      <c r="G201" s="285">
        <v>3379</v>
      </c>
      <c r="H201" s="57" t="s">
        <v>1132</v>
      </c>
      <c r="I201" s="57" t="s">
        <v>1134</v>
      </c>
      <c r="J201" s="184" t="s">
        <v>58</v>
      </c>
      <c r="K201" s="184" t="s">
        <v>57</v>
      </c>
      <c r="L201" s="346">
        <v>0.6</v>
      </c>
      <c r="M201" s="184" t="s">
        <v>1189</v>
      </c>
      <c r="N201" s="184" t="s">
        <v>708</v>
      </c>
      <c r="O201" s="184"/>
      <c r="P201" s="66">
        <v>1</v>
      </c>
      <c r="Q201" s="346">
        <v>0.2</v>
      </c>
      <c r="R201" s="66"/>
      <c r="S201" s="66">
        <f t="shared" si="6"/>
        <v>0</v>
      </c>
      <c r="T201" s="67">
        <f t="shared" si="7"/>
        <v>0</v>
      </c>
      <c r="U201" s="66" t="s">
        <v>34</v>
      </c>
      <c r="V201" s="66"/>
      <c r="W201" s="57"/>
    </row>
    <row r="202" spans="1:23" ht="16.05" customHeight="1" x14ac:dyDescent="0.45">
      <c r="A202" s="1">
        <v>201</v>
      </c>
      <c r="B202" s="412" t="s">
        <v>924</v>
      </c>
      <c r="C202" s="57" t="s">
        <v>24</v>
      </c>
      <c r="D202" s="427">
        <v>5686</v>
      </c>
      <c r="E202" s="57" t="s">
        <v>1188</v>
      </c>
      <c r="F202" s="57" t="s">
        <v>704</v>
      </c>
      <c r="G202" s="285">
        <v>3379</v>
      </c>
      <c r="H202" s="57" t="s">
        <v>1132</v>
      </c>
      <c r="I202" s="57" t="s">
        <v>1134</v>
      </c>
      <c r="J202" s="184" t="s">
        <v>58</v>
      </c>
      <c r="K202" s="184" t="s">
        <v>57</v>
      </c>
      <c r="L202" s="346">
        <v>0.6</v>
      </c>
      <c r="M202" s="184" t="s">
        <v>696</v>
      </c>
      <c r="N202" s="184" t="s">
        <v>697</v>
      </c>
      <c r="O202" s="184"/>
      <c r="P202" s="66">
        <v>0.8</v>
      </c>
      <c r="Q202" s="346">
        <v>0.1</v>
      </c>
      <c r="R202" s="66"/>
      <c r="S202" s="66">
        <f t="shared" si="6"/>
        <v>0</v>
      </c>
      <c r="T202" s="67">
        <f t="shared" si="7"/>
        <v>0</v>
      </c>
      <c r="U202" s="66" t="s">
        <v>34</v>
      </c>
      <c r="V202" s="66"/>
      <c r="W202" s="57"/>
    </row>
    <row r="203" spans="1:23" ht="16.05" customHeight="1" x14ac:dyDescent="0.45">
      <c r="A203" s="1">
        <v>202</v>
      </c>
      <c r="B203" s="412" t="s">
        <v>924</v>
      </c>
      <c r="C203" s="57" t="s">
        <v>24</v>
      </c>
      <c r="D203" s="427">
        <v>5686</v>
      </c>
      <c r="E203" s="57" t="s">
        <v>1188</v>
      </c>
      <c r="F203" s="57" t="s">
        <v>704</v>
      </c>
      <c r="G203" s="285">
        <v>3379</v>
      </c>
      <c r="H203" s="57" t="s">
        <v>1132</v>
      </c>
      <c r="I203" s="57" t="s">
        <v>1134</v>
      </c>
      <c r="J203" s="184" t="s">
        <v>58</v>
      </c>
      <c r="K203" s="184" t="s">
        <v>57</v>
      </c>
      <c r="L203" s="346">
        <v>0.6</v>
      </c>
      <c r="M203" s="184" t="s">
        <v>709</v>
      </c>
      <c r="N203" s="184" t="s">
        <v>661</v>
      </c>
      <c r="O203" s="184"/>
      <c r="P203" s="127">
        <v>1</v>
      </c>
      <c r="Q203" s="346">
        <v>0.1</v>
      </c>
      <c r="R203" s="127"/>
      <c r="S203" s="66">
        <f t="shared" si="6"/>
        <v>0</v>
      </c>
      <c r="T203" s="67">
        <f t="shared" si="7"/>
        <v>0</v>
      </c>
      <c r="U203" s="66" t="s">
        <v>34</v>
      </c>
      <c r="V203" s="66"/>
      <c r="W203" s="57"/>
    </row>
    <row r="204" spans="1:23" ht="16.05" customHeight="1" x14ac:dyDescent="0.45">
      <c r="A204" s="1">
        <v>203</v>
      </c>
      <c r="B204" s="412" t="s">
        <v>924</v>
      </c>
      <c r="C204" s="57" t="s">
        <v>24</v>
      </c>
      <c r="D204" s="427">
        <v>5686</v>
      </c>
      <c r="E204" s="57" t="s">
        <v>1188</v>
      </c>
      <c r="F204" s="57" t="s">
        <v>704</v>
      </c>
      <c r="G204" s="285">
        <v>3379</v>
      </c>
      <c r="H204" s="57" t="s">
        <v>1132</v>
      </c>
      <c r="I204" s="57" t="s">
        <v>1134</v>
      </c>
      <c r="J204" s="184" t="s">
        <v>58</v>
      </c>
      <c r="K204" s="184" t="s">
        <v>57</v>
      </c>
      <c r="L204" s="346">
        <v>0.6</v>
      </c>
      <c r="M204" s="184" t="s">
        <v>1178</v>
      </c>
      <c r="N204" s="184" t="s">
        <v>1179</v>
      </c>
      <c r="O204" s="184"/>
      <c r="P204" s="66">
        <v>0.9</v>
      </c>
      <c r="Q204" s="346">
        <v>0.1</v>
      </c>
      <c r="R204" s="66"/>
      <c r="S204" s="66">
        <f t="shared" si="6"/>
        <v>0</v>
      </c>
      <c r="T204" s="67">
        <f t="shared" si="7"/>
        <v>0</v>
      </c>
      <c r="U204" s="66" t="s">
        <v>34</v>
      </c>
      <c r="V204" s="66"/>
      <c r="W204" s="57"/>
    </row>
    <row r="205" spans="1:23" ht="16.05" customHeight="1" x14ac:dyDescent="0.45">
      <c r="A205" s="1">
        <v>204</v>
      </c>
      <c r="B205" s="412" t="s">
        <v>924</v>
      </c>
      <c r="C205" s="57" t="s">
        <v>24</v>
      </c>
      <c r="D205" s="427">
        <v>5686</v>
      </c>
      <c r="E205" s="57" t="s">
        <v>1188</v>
      </c>
      <c r="F205" s="57" t="s">
        <v>704</v>
      </c>
      <c r="G205" s="285">
        <v>3379</v>
      </c>
      <c r="H205" s="57" t="s">
        <v>1132</v>
      </c>
      <c r="I205" s="57" t="s">
        <v>1134</v>
      </c>
      <c r="J205" s="184" t="s">
        <v>58</v>
      </c>
      <c r="K205" s="184" t="s">
        <v>57</v>
      </c>
      <c r="L205" s="346">
        <v>0.6</v>
      </c>
      <c r="M205" s="184" t="s">
        <v>712</v>
      </c>
      <c r="N205" s="184" t="s">
        <v>713</v>
      </c>
      <c r="O205" s="184"/>
      <c r="P205" s="66">
        <v>0.999</v>
      </c>
      <c r="Q205" s="346">
        <v>0.2</v>
      </c>
      <c r="R205" s="66"/>
      <c r="S205" s="66">
        <f t="shared" si="6"/>
        <v>0</v>
      </c>
      <c r="T205" s="67">
        <f t="shared" si="7"/>
        <v>0</v>
      </c>
      <c r="U205" s="66" t="s">
        <v>34</v>
      </c>
      <c r="V205" s="66"/>
      <c r="W205" s="57"/>
    </row>
    <row r="206" spans="1:23" ht="16.05" customHeight="1" x14ac:dyDescent="0.45">
      <c r="A206" s="1">
        <v>205</v>
      </c>
      <c r="B206" s="412" t="s">
        <v>924</v>
      </c>
      <c r="C206" s="57" t="s">
        <v>24</v>
      </c>
      <c r="D206" s="427">
        <v>5686</v>
      </c>
      <c r="E206" s="57" t="s">
        <v>1188</v>
      </c>
      <c r="F206" s="57" t="s">
        <v>704</v>
      </c>
      <c r="G206" s="285">
        <v>3379</v>
      </c>
      <c r="H206" s="57" t="s">
        <v>1132</v>
      </c>
      <c r="I206" s="57" t="s">
        <v>1134</v>
      </c>
      <c r="J206" s="184" t="s">
        <v>58</v>
      </c>
      <c r="K206" s="184" t="s">
        <v>57</v>
      </c>
      <c r="L206" s="346">
        <v>0.6</v>
      </c>
      <c r="M206" s="184" t="s">
        <v>1180</v>
      </c>
      <c r="N206" s="184" t="s">
        <v>702</v>
      </c>
      <c r="O206" s="184"/>
      <c r="P206" s="66">
        <v>1</v>
      </c>
      <c r="Q206" s="346">
        <v>0.1</v>
      </c>
      <c r="R206" s="66"/>
      <c r="S206" s="66">
        <f t="shared" si="6"/>
        <v>0</v>
      </c>
      <c r="T206" s="67">
        <f t="shared" si="7"/>
        <v>0</v>
      </c>
      <c r="U206" s="66" t="s">
        <v>34</v>
      </c>
      <c r="V206" s="66"/>
      <c r="W206" s="57"/>
    </row>
    <row r="207" spans="1:23" ht="16.05" customHeight="1" x14ac:dyDescent="0.45">
      <c r="A207" s="1">
        <v>206</v>
      </c>
      <c r="B207" s="412" t="s">
        <v>924</v>
      </c>
      <c r="C207" s="57" t="s">
        <v>24</v>
      </c>
      <c r="D207" s="427">
        <v>5686</v>
      </c>
      <c r="E207" s="57" t="s">
        <v>1188</v>
      </c>
      <c r="F207" s="57" t="s">
        <v>704</v>
      </c>
      <c r="G207" s="285">
        <v>3379</v>
      </c>
      <c r="H207" s="57" t="s">
        <v>1132</v>
      </c>
      <c r="I207" s="57" t="s">
        <v>1134</v>
      </c>
      <c r="J207" s="182" t="s">
        <v>111</v>
      </c>
      <c r="K207" s="182" t="s">
        <v>110</v>
      </c>
      <c r="L207" s="425">
        <v>0.4</v>
      </c>
      <c r="M207" s="182" t="s">
        <v>1190</v>
      </c>
      <c r="N207" s="334" t="s">
        <v>1191</v>
      </c>
      <c r="O207" s="134"/>
      <c r="P207" s="143">
        <v>1</v>
      </c>
      <c r="Q207" s="425">
        <v>0.1</v>
      </c>
      <c r="R207" s="143"/>
      <c r="S207" s="143">
        <f t="shared" si="6"/>
        <v>0</v>
      </c>
      <c r="T207" s="142">
        <f t="shared" si="7"/>
        <v>0</v>
      </c>
      <c r="U207" s="143" t="s">
        <v>34</v>
      </c>
      <c r="V207" s="143"/>
      <c r="W207" s="57"/>
    </row>
    <row r="208" spans="1:23" ht="16.05" customHeight="1" x14ac:dyDescent="0.45">
      <c r="A208" s="1">
        <v>207</v>
      </c>
      <c r="B208" s="412" t="s">
        <v>924</v>
      </c>
      <c r="C208" s="57" t="s">
        <v>24</v>
      </c>
      <c r="D208" s="427">
        <v>5686</v>
      </c>
      <c r="E208" s="57" t="s">
        <v>1188</v>
      </c>
      <c r="F208" s="57" t="s">
        <v>704</v>
      </c>
      <c r="G208" s="285">
        <v>3379</v>
      </c>
      <c r="H208" s="57" t="s">
        <v>1132</v>
      </c>
      <c r="I208" s="57" t="s">
        <v>1134</v>
      </c>
      <c r="J208" s="182" t="s">
        <v>111</v>
      </c>
      <c r="K208" s="182" t="s">
        <v>110</v>
      </c>
      <c r="L208" s="425">
        <v>0.4</v>
      </c>
      <c r="M208" s="182" t="s">
        <v>1192</v>
      </c>
      <c r="N208" s="334" t="s">
        <v>561</v>
      </c>
      <c r="O208" s="334" t="s">
        <v>562</v>
      </c>
      <c r="P208" s="143">
        <v>1</v>
      </c>
      <c r="Q208" s="425">
        <v>0.2</v>
      </c>
      <c r="R208" s="143"/>
      <c r="S208" s="143">
        <f t="shared" si="6"/>
        <v>0</v>
      </c>
      <c r="T208" s="142">
        <f t="shared" si="7"/>
        <v>0</v>
      </c>
      <c r="U208" s="143" t="s">
        <v>34</v>
      </c>
      <c r="V208" s="143"/>
      <c r="W208" s="57"/>
    </row>
    <row r="209" spans="1:23" ht="16.05" customHeight="1" x14ac:dyDescent="0.45">
      <c r="A209" s="1">
        <v>208</v>
      </c>
      <c r="B209" s="412" t="s">
        <v>924</v>
      </c>
      <c r="C209" s="57" t="s">
        <v>24</v>
      </c>
      <c r="D209" s="427">
        <v>5686</v>
      </c>
      <c r="E209" s="57" t="s">
        <v>1188</v>
      </c>
      <c r="F209" s="57" t="s">
        <v>704</v>
      </c>
      <c r="G209" s="285">
        <v>3379</v>
      </c>
      <c r="H209" s="57" t="s">
        <v>1132</v>
      </c>
      <c r="I209" s="57" t="s">
        <v>1134</v>
      </c>
      <c r="J209" s="182" t="s">
        <v>111</v>
      </c>
      <c r="K209" s="182" t="s">
        <v>110</v>
      </c>
      <c r="L209" s="425">
        <v>0.4</v>
      </c>
      <c r="M209" s="182" t="s">
        <v>419</v>
      </c>
      <c r="N209" s="334" t="s">
        <v>555</v>
      </c>
      <c r="O209" s="334" t="s">
        <v>556</v>
      </c>
      <c r="P209" s="143">
        <v>1</v>
      </c>
      <c r="Q209" s="425">
        <v>0.2</v>
      </c>
      <c r="R209" s="143"/>
      <c r="S209" s="143">
        <f t="shared" si="6"/>
        <v>0</v>
      </c>
      <c r="T209" s="142">
        <f t="shared" si="7"/>
        <v>0</v>
      </c>
      <c r="U209" s="143" t="s">
        <v>34</v>
      </c>
      <c r="V209" s="143"/>
      <c r="W209" s="57"/>
    </row>
    <row r="210" spans="1:23" ht="16.05" customHeight="1" x14ac:dyDescent="0.45">
      <c r="A210" s="1">
        <v>209</v>
      </c>
      <c r="B210" s="412" t="s">
        <v>924</v>
      </c>
      <c r="C210" s="57" t="s">
        <v>24</v>
      </c>
      <c r="D210" s="427">
        <v>5686</v>
      </c>
      <c r="E210" s="57" t="s">
        <v>1188</v>
      </c>
      <c r="F210" s="57" t="s">
        <v>704</v>
      </c>
      <c r="G210" s="285">
        <v>3379</v>
      </c>
      <c r="H210" s="57" t="s">
        <v>1132</v>
      </c>
      <c r="I210" s="57" t="s">
        <v>1134</v>
      </c>
      <c r="J210" s="182" t="s">
        <v>111</v>
      </c>
      <c r="K210" s="182" t="s">
        <v>110</v>
      </c>
      <c r="L210" s="425">
        <v>0.4</v>
      </c>
      <c r="M210" s="334" t="s">
        <v>714</v>
      </c>
      <c r="N210" s="334" t="s">
        <v>715</v>
      </c>
      <c r="O210" s="134"/>
      <c r="P210" s="143">
        <v>1</v>
      </c>
      <c r="Q210" s="425">
        <v>0.15</v>
      </c>
      <c r="R210" s="143"/>
      <c r="S210" s="143">
        <f t="shared" si="6"/>
        <v>0</v>
      </c>
      <c r="T210" s="142">
        <f t="shared" si="7"/>
        <v>0</v>
      </c>
      <c r="U210" s="143" t="s">
        <v>34</v>
      </c>
      <c r="V210" s="143"/>
      <c r="W210" s="57"/>
    </row>
    <row r="211" spans="1:23" ht="16.05" customHeight="1" x14ac:dyDescent="0.45">
      <c r="A211" s="1">
        <v>210</v>
      </c>
      <c r="B211" s="412" t="s">
        <v>924</v>
      </c>
      <c r="C211" s="57" t="s">
        <v>24</v>
      </c>
      <c r="D211" s="427">
        <v>5686</v>
      </c>
      <c r="E211" s="57" t="s">
        <v>1188</v>
      </c>
      <c r="F211" s="57" t="s">
        <v>704</v>
      </c>
      <c r="G211" s="285">
        <v>3379</v>
      </c>
      <c r="H211" s="57" t="s">
        <v>1132</v>
      </c>
      <c r="I211" s="57" t="s">
        <v>1134</v>
      </c>
      <c r="J211" s="182" t="s">
        <v>111</v>
      </c>
      <c r="K211" s="182" t="s">
        <v>110</v>
      </c>
      <c r="L211" s="425">
        <v>0.4</v>
      </c>
      <c r="M211" s="334" t="s">
        <v>1184</v>
      </c>
      <c r="N211" s="334" t="s">
        <v>1185</v>
      </c>
      <c r="O211" s="134"/>
      <c r="P211" s="143">
        <v>1</v>
      </c>
      <c r="Q211" s="425">
        <v>0.2</v>
      </c>
      <c r="R211" s="143"/>
      <c r="S211" s="143">
        <f t="shared" si="6"/>
        <v>0</v>
      </c>
      <c r="T211" s="142">
        <f t="shared" si="7"/>
        <v>0</v>
      </c>
      <c r="U211" s="143" t="s">
        <v>34</v>
      </c>
      <c r="V211" s="143"/>
      <c r="W211" s="57"/>
    </row>
    <row r="212" spans="1:23" ht="16.05" customHeight="1" x14ac:dyDescent="0.45">
      <c r="A212" s="1">
        <v>211</v>
      </c>
      <c r="B212" s="412" t="s">
        <v>924</v>
      </c>
      <c r="C212" s="57" t="s">
        <v>24</v>
      </c>
      <c r="D212" s="427">
        <v>5686</v>
      </c>
      <c r="E212" s="57" t="s">
        <v>1188</v>
      </c>
      <c r="F212" s="57" t="s">
        <v>704</v>
      </c>
      <c r="G212" s="285">
        <v>3379</v>
      </c>
      <c r="H212" s="57" t="s">
        <v>1132</v>
      </c>
      <c r="I212" s="57" t="s">
        <v>1134</v>
      </c>
      <c r="J212" s="182" t="s">
        <v>111</v>
      </c>
      <c r="K212" s="182" t="s">
        <v>110</v>
      </c>
      <c r="L212" s="425">
        <v>0.4</v>
      </c>
      <c r="M212" s="182" t="s">
        <v>1166</v>
      </c>
      <c r="N212" s="334" t="s">
        <v>1187</v>
      </c>
      <c r="O212" s="134"/>
      <c r="P212" s="143">
        <v>1</v>
      </c>
      <c r="Q212" s="425">
        <v>0.15</v>
      </c>
      <c r="R212" s="143"/>
      <c r="S212" s="143">
        <f t="shared" si="6"/>
        <v>0</v>
      </c>
      <c r="T212" s="142">
        <f t="shared" si="7"/>
        <v>0</v>
      </c>
      <c r="U212" s="143" t="s">
        <v>34</v>
      </c>
      <c r="V212" s="143"/>
      <c r="W212" s="57"/>
    </row>
    <row r="213" spans="1:23" ht="16.05" customHeight="1" x14ac:dyDescent="0.45">
      <c r="A213" s="1">
        <v>212</v>
      </c>
      <c r="B213" s="407" t="s">
        <v>924</v>
      </c>
      <c r="C213" s="2" t="s">
        <v>24</v>
      </c>
      <c r="D213" s="275">
        <v>3626</v>
      </c>
      <c r="E213" s="2" t="s">
        <v>1193</v>
      </c>
      <c r="F213" s="2" t="s">
        <v>717</v>
      </c>
      <c r="G213" s="7">
        <v>3379</v>
      </c>
      <c r="H213" s="2" t="s">
        <v>1132</v>
      </c>
      <c r="I213" s="2" t="s">
        <v>1134</v>
      </c>
      <c r="J213" s="3" t="s">
        <v>58</v>
      </c>
      <c r="K213" s="3" t="s">
        <v>57</v>
      </c>
      <c r="L213" s="276">
        <v>0.6</v>
      </c>
      <c r="M213" s="91" t="s">
        <v>718</v>
      </c>
      <c r="N213" s="120" t="s">
        <v>719</v>
      </c>
      <c r="O213" s="120"/>
      <c r="P213" s="97">
        <v>1</v>
      </c>
      <c r="Q213" s="276">
        <v>0.2</v>
      </c>
      <c r="R213" s="97"/>
      <c r="S213" s="14">
        <f t="shared" si="6"/>
        <v>0</v>
      </c>
      <c r="T213" s="51">
        <f t="shared" si="7"/>
        <v>0</v>
      </c>
      <c r="U213" s="14" t="s">
        <v>34</v>
      </c>
      <c r="V213" s="411">
        <f>SUM(T213:T224)%</f>
        <v>0</v>
      </c>
      <c r="W213" s="2"/>
    </row>
    <row r="214" spans="1:23" ht="16.05" customHeight="1" x14ac:dyDescent="0.45">
      <c r="A214" s="1">
        <v>213</v>
      </c>
      <c r="B214" s="412" t="s">
        <v>924</v>
      </c>
      <c r="C214" s="57" t="s">
        <v>24</v>
      </c>
      <c r="D214" s="427">
        <v>3626</v>
      </c>
      <c r="E214" s="57" t="s">
        <v>1193</v>
      </c>
      <c r="F214" s="57" t="s">
        <v>717</v>
      </c>
      <c r="G214" s="285">
        <v>3379</v>
      </c>
      <c r="H214" s="57" t="s">
        <v>1132</v>
      </c>
      <c r="I214" s="57" t="s">
        <v>1134</v>
      </c>
      <c r="J214" s="184" t="s">
        <v>58</v>
      </c>
      <c r="K214" s="184" t="s">
        <v>57</v>
      </c>
      <c r="L214" s="346">
        <v>0.6</v>
      </c>
      <c r="M214" s="184" t="s">
        <v>1194</v>
      </c>
      <c r="N214" s="184" t="s">
        <v>1195</v>
      </c>
      <c r="O214" s="35"/>
      <c r="P214" s="66">
        <v>1</v>
      </c>
      <c r="Q214" s="346">
        <v>0.1</v>
      </c>
      <c r="R214" s="66"/>
      <c r="S214" s="66">
        <f t="shared" si="6"/>
        <v>0</v>
      </c>
      <c r="T214" s="67">
        <f t="shared" si="7"/>
        <v>0</v>
      </c>
      <c r="U214" s="66" t="s">
        <v>34</v>
      </c>
      <c r="V214" s="66"/>
      <c r="W214" s="57"/>
    </row>
    <row r="215" spans="1:23" ht="16.05" customHeight="1" x14ac:dyDescent="0.45">
      <c r="A215" s="1">
        <v>214</v>
      </c>
      <c r="B215" s="412" t="s">
        <v>924</v>
      </c>
      <c r="C215" s="57" t="s">
        <v>24</v>
      </c>
      <c r="D215" s="427">
        <v>3626</v>
      </c>
      <c r="E215" s="57" t="s">
        <v>1193</v>
      </c>
      <c r="F215" s="57" t="s">
        <v>717</v>
      </c>
      <c r="G215" s="285">
        <v>3379</v>
      </c>
      <c r="H215" s="57" t="s">
        <v>1132</v>
      </c>
      <c r="I215" s="57" t="s">
        <v>1134</v>
      </c>
      <c r="J215" s="184" t="s">
        <v>58</v>
      </c>
      <c r="K215" s="184" t="s">
        <v>57</v>
      </c>
      <c r="L215" s="346">
        <v>0.6</v>
      </c>
      <c r="M215" s="184" t="s">
        <v>696</v>
      </c>
      <c r="N215" s="184" t="s">
        <v>697</v>
      </c>
      <c r="O215" s="35"/>
      <c r="P215" s="66">
        <v>1</v>
      </c>
      <c r="Q215" s="346">
        <v>0.2</v>
      </c>
      <c r="R215" s="66"/>
      <c r="S215" s="66">
        <f t="shared" si="6"/>
        <v>0</v>
      </c>
      <c r="T215" s="67">
        <f t="shared" si="7"/>
        <v>0</v>
      </c>
      <c r="U215" s="66" t="s">
        <v>34</v>
      </c>
      <c r="V215" s="66"/>
      <c r="W215" s="57"/>
    </row>
    <row r="216" spans="1:23" ht="16.05" customHeight="1" x14ac:dyDescent="0.45">
      <c r="A216" s="1">
        <v>215</v>
      </c>
      <c r="B216" s="412" t="s">
        <v>924</v>
      </c>
      <c r="C216" s="57" t="s">
        <v>24</v>
      </c>
      <c r="D216" s="427">
        <v>3626</v>
      </c>
      <c r="E216" s="57" t="s">
        <v>1193</v>
      </c>
      <c r="F216" s="57" t="s">
        <v>717</v>
      </c>
      <c r="G216" s="285">
        <v>3379</v>
      </c>
      <c r="H216" s="57" t="s">
        <v>1132</v>
      </c>
      <c r="I216" s="57" t="s">
        <v>1134</v>
      </c>
      <c r="J216" s="184" t="s">
        <v>58</v>
      </c>
      <c r="K216" s="184" t="s">
        <v>57</v>
      </c>
      <c r="L216" s="346">
        <v>0.6</v>
      </c>
      <c r="M216" s="184" t="s">
        <v>1196</v>
      </c>
      <c r="N216" s="184" t="s">
        <v>681</v>
      </c>
      <c r="O216" s="184" t="s">
        <v>1197</v>
      </c>
      <c r="P216" s="66">
        <v>1</v>
      </c>
      <c r="Q216" s="346">
        <v>0.2</v>
      </c>
      <c r="R216" s="66"/>
      <c r="S216" s="66">
        <f t="shared" si="6"/>
        <v>0</v>
      </c>
      <c r="T216" s="67">
        <f t="shared" si="7"/>
        <v>0</v>
      </c>
      <c r="U216" s="66" t="s">
        <v>34</v>
      </c>
      <c r="V216" s="66"/>
      <c r="W216" s="57"/>
    </row>
    <row r="217" spans="1:23" ht="16.05" customHeight="1" x14ac:dyDescent="0.45">
      <c r="A217" s="1">
        <v>216</v>
      </c>
      <c r="B217" s="412" t="s">
        <v>924</v>
      </c>
      <c r="C217" s="57" t="s">
        <v>24</v>
      </c>
      <c r="D217" s="427">
        <v>3626</v>
      </c>
      <c r="E217" s="57" t="s">
        <v>1193</v>
      </c>
      <c r="F217" s="57" t="s">
        <v>717</v>
      </c>
      <c r="G217" s="285">
        <v>3379</v>
      </c>
      <c r="H217" s="57" t="s">
        <v>1132</v>
      </c>
      <c r="I217" s="57" t="s">
        <v>1134</v>
      </c>
      <c r="J217" s="184" t="s">
        <v>58</v>
      </c>
      <c r="K217" s="184" t="s">
        <v>57</v>
      </c>
      <c r="L217" s="346">
        <v>0.6</v>
      </c>
      <c r="M217" s="184" t="s">
        <v>721</v>
      </c>
      <c r="N217" s="184" t="s">
        <v>722</v>
      </c>
      <c r="O217" s="35"/>
      <c r="P217" s="66">
        <v>0.999</v>
      </c>
      <c r="Q217" s="346">
        <v>0.2</v>
      </c>
      <c r="R217" s="66"/>
      <c r="S217" s="66">
        <f t="shared" si="6"/>
        <v>0</v>
      </c>
      <c r="T217" s="67">
        <f t="shared" si="7"/>
        <v>0</v>
      </c>
      <c r="U217" s="66" t="s">
        <v>34</v>
      </c>
      <c r="V217" s="66"/>
      <c r="W217" s="57"/>
    </row>
    <row r="218" spans="1:23" ht="16.05" customHeight="1" x14ac:dyDescent="0.45">
      <c r="A218" s="1">
        <v>217</v>
      </c>
      <c r="B218" s="412" t="s">
        <v>924</v>
      </c>
      <c r="C218" s="57" t="s">
        <v>24</v>
      </c>
      <c r="D218" s="427">
        <v>3626</v>
      </c>
      <c r="E218" s="57" t="s">
        <v>1193</v>
      </c>
      <c r="F218" s="57" t="s">
        <v>717</v>
      </c>
      <c r="G218" s="285">
        <v>3379</v>
      </c>
      <c r="H218" s="57" t="s">
        <v>1132</v>
      </c>
      <c r="I218" s="57" t="s">
        <v>1134</v>
      </c>
      <c r="J218" s="184" t="s">
        <v>58</v>
      </c>
      <c r="K218" s="184" t="s">
        <v>57</v>
      </c>
      <c r="L218" s="346">
        <v>0.6</v>
      </c>
      <c r="M218" s="184" t="s">
        <v>1180</v>
      </c>
      <c r="N218" s="184" t="s">
        <v>702</v>
      </c>
      <c r="O218" s="35"/>
      <c r="P218" s="66">
        <v>1</v>
      </c>
      <c r="Q218" s="346">
        <v>0.1</v>
      </c>
      <c r="R218" s="66"/>
      <c r="S218" s="66">
        <f t="shared" si="6"/>
        <v>0</v>
      </c>
      <c r="T218" s="67">
        <f t="shared" si="7"/>
        <v>0</v>
      </c>
      <c r="U218" s="66" t="s">
        <v>34</v>
      </c>
      <c r="V218" s="66"/>
      <c r="W218" s="57"/>
    </row>
    <row r="219" spans="1:23" ht="16.05" customHeight="1" x14ac:dyDescent="0.45">
      <c r="A219" s="1">
        <v>218</v>
      </c>
      <c r="B219" s="412" t="s">
        <v>924</v>
      </c>
      <c r="C219" s="57" t="s">
        <v>24</v>
      </c>
      <c r="D219" s="427">
        <v>3626</v>
      </c>
      <c r="E219" s="57" t="s">
        <v>1193</v>
      </c>
      <c r="F219" s="57" t="s">
        <v>717</v>
      </c>
      <c r="G219" s="285">
        <v>3379</v>
      </c>
      <c r="H219" s="57" t="s">
        <v>1132</v>
      </c>
      <c r="I219" s="57" t="s">
        <v>1134</v>
      </c>
      <c r="J219" s="182" t="s">
        <v>111</v>
      </c>
      <c r="K219" s="182" t="s">
        <v>110</v>
      </c>
      <c r="L219" s="425">
        <v>0.4</v>
      </c>
      <c r="M219" s="182" t="s">
        <v>1192</v>
      </c>
      <c r="N219" s="334" t="s">
        <v>561</v>
      </c>
      <c r="O219" s="334" t="s">
        <v>562</v>
      </c>
      <c r="P219" s="143">
        <v>1</v>
      </c>
      <c r="Q219" s="425">
        <v>0.2</v>
      </c>
      <c r="R219" s="143"/>
      <c r="S219" s="143">
        <f t="shared" si="6"/>
        <v>0</v>
      </c>
      <c r="T219" s="142">
        <f t="shared" si="7"/>
        <v>0</v>
      </c>
      <c r="U219" s="143" t="s">
        <v>34</v>
      </c>
      <c r="V219" s="143"/>
      <c r="W219" s="57"/>
    </row>
    <row r="220" spans="1:23" ht="16.05" customHeight="1" x14ac:dyDescent="0.45">
      <c r="A220" s="1">
        <v>219</v>
      </c>
      <c r="B220" s="412" t="s">
        <v>924</v>
      </c>
      <c r="C220" s="57" t="s">
        <v>24</v>
      </c>
      <c r="D220" s="427">
        <v>3626</v>
      </c>
      <c r="E220" s="57" t="s">
        <v>1193</v>
      </c>
      <c r="F220" s="57" t="s">
        <v>717</v>
      </c>
      <c r="G220" s="285">
        <v>3379</v>
      </c>
      <c r="H220" s="57" t="s">
        <v>1132</v>
      </c>
      <c r="I220" s="57" t="s">
        <v>1134</v>
      </c>
      <c r="J220" s="182" t="s">
        <v>111</v>
      </c>
      <c r="K220" s="182" t="s">
        <v>110</v>
      </c>
      <c r="L220" s="425">
        <v>0.4</v>
      </c>
      <c r="M220" s="334" t="s">
        <v>1184</v>
      </c>
      <c r="N220" s="334" t="s">
        <v>1185</v>
      </c>
      <c r="O220" s="134"/>
      <c r="P220" s="143">
        <v>1</v>
      </c>
      <c r="Q220" s="425">
        <v>0.2</v>
      </c>
      <c r="R220" s="143"/>
      <c r="S220" s="143">
        <f t="shared" si="6"/>
        <v>0</v>
      </c>
      <c r="T220" s="142">
        <f t="shared" si="7"/>
        <v>0</v>
      </c>
      <c r="U220" s="143" t="s">
        <v>34</v>
      </c>
      <c r="V220" s="143"/>
      <c r="W220" s="57"/>
    </row>
    <row r="221" spans="1:23" ht="16.05" customHeight="1" x14ac:dyDescent="0.45">
      <c r="A221" s="1">
        <v>220</v>
      </c>
      <c r="B221" s="412" t="s">
        <v>924</v>
      </c>
      <c r="C221" s="57" t="s">
        <v>24</v>
      </c>
      <c r="D221" s="427">
        <v>3626</v>
      </c>
      <c r="E221" s="57" t="s">
        <v>1193</v>
      </c>
      <c r="F221" s="57" t="s">
        <v>717</v>
      </c>
      <c r="G221" s="285">
        <v>3379</v>
      </c>
      <c r="H221" s="57" t="s">
        <v>1132</v>
      </c>
      <c r="I221" s="57" t="s">
        <v>1134</v>
      </c>
      <c r="J221" s="182" t="s">
        <v>111</v>
      </c>
      <c r="K221" s="182" t="s">
        <v>110</v>
      </c>
      <c r="L221" s="425">
        <v>0.4</v>
      </c>
      <c r="M221" s="334" t="s">
        <v>1198</v>
      </c>
      <c r="N221" s="156" t="s">
        <v>1199</v>
      </c>
      <c r="O221" s="134"/>
      <c r="P221" s="143">
        <v>1</v>
      </c>
      <c r="Q221" s="425">
        <v>0.1</v>
      </c>
      <c r="R221" s="143"/>
      <c r="S221" s="143">
        <f t="shared" si="6"/>
        <v>0</v>
      </c>
      <c r="T221" s="142">
        <f t="shared" si="7"/>
        <v>0</v>
      </c>
      <c r="U221" s="143" t="s">
        <v>34</v>
      </c>
      <c r="V221" s="143"/>
      <c r="W221" s="57"/>
    </row>
    <row r="222" spans="1:23" ht="16.05" customHeight="1" x14ac:dyDescent="0.45">
      <c r="A222" s="1">
        <v>221</v>
      </c>
      <c r="B222" s="412" t="s">
        <v>924</v>
      </c>
      <c r="C222" s="57" t="s">
        <v>24</v>
      </c>
      <c r="D222" s="427">
        <v>3626</v>
      </c>
      <c r="E222" s="57" t="s">
        <v>1193</v>
      </c>
      <c r="F222" s="57" t="s">
        <v>717</v>
      </c>
      <c r="G222" s="285">
        <v>3379</v>
      </c>
      <c r="H222" s="57" t="s">
        <v>1132</v>
      </c>
      <c r="I222" s="57" t="s">
        <v>1134</v>
      </c>
      <c r="J222" s="182" t="s">
        <v>111</v>
      </c>
      <c r="K222" s="182" t="s">
        <v>110</v>
      </c>
      <c r="L222" s="425">
        <v>0.4</v>
      </c>
      <c r="M222" s="182" t="s">
        <v>419</v>
      </c>
      <c r="N222" s="134" t="s">
        <v>555</v>
      </c>
      <c r="O222" s="334" t="s">
        <v>556</v>
      </c>
      <c r="P222" s="143">
        <v>1</v>
      </c>
      <c r="Q222" s="425">
        <v>0.2</v>
      </c>
      <c r="R222" s="143"/>
      <c r="S222" s="143">
        <f t="shared" si="6"/>
        <v>0</v>
      </c>
      <c r="T222" s="142">
        <f t="shared" si="7"/>
        <v>0</v>
      </c>
      <c r="U222" s="143" t="s">
        <v>34</v>
      </c>
      <c r="V222" s="143"/>
      <c r="W222" s="57"/>
    </row>
    <row r="223" spans="1:23" ht="16.05" customHeight="1" x14ac:dyDescent="0.45">
      <c r="A223" s="1">
        <v>222</v>
      </c>
      <c r="B223" s="412" t="s">
        <v>924</v>
      </c>
      <c r="C223" s="57" t="s">
        <v>24</v>
      </c>
      <c r="D223" s="427">
        <v>3626</v>
      </c>
      <c r="E223" s="57" t="s">
        <v>1193</v>
      </c>
      <c r="F223" s="57" t="s">
        <v>717</v>
      </c>
      <c r="G223" s="285">
        <v>3379</v>
      </c>
      <c r="H223" s="57" t="s">
        <v>1132</v>
      </c>
      <c r="I223" s="57" t="s">
        <v>1134</v>
      </c>
      <c r="J223" s="182" t="s">
        <v>111</v>
      </c>
      <c r="K223" s="182" t="s">
        <v>110</v>
      </c>
      <c r="L223" s="425">
        <v>0.4</v>
      </c>
      <c r="M223" s="334" t="s">
        <v>1200</v>
      </c>
      <c r="N223" s="134" t="s">
        <v>1201</v>
      </c>
      <c r="O223" s="134"/>
      <c r="P223" s="143">
        <v>1</v>
      </c>
      <c r="Q223" s="425">
        <v>0.2</v>
      </c>
      <c r="R223" s="143"/>
      <c r="S223" s="143">
        <f t="shared" si="6"/>
        <v>0</v>
      </c>
      <c r="T223" s="142">
        <f t="shared" si="7"/>
        <v>0</v>
      </c>
      <c r="U223" s="143" t="s">
        <v>34</v>
      </c>
      <c r="V223" s="143"/>
      <c r="W223" s="57"/>
    </row>
    <row r="224" spans="1:23" ht="16.05" customHeight="1" x14ac:dyDescent="0.45">
      <c r="A224" s="1">
        <v>223</v>
      </c>
      <c r="B224" s="412" t="s">
        <v>924</v>
      </c>
      <c r="C224" s="57" t="s">
        <v>24</v>
      </c>
      <c r="D224" s="427">
        <v>3626</v>
      </c>
      <c r="E224" s="57" t="s">
        <v>1193</v>
      </c>
      <c r="F224" s="57" t="s">
        <v>717</v>
      </c>
      <c r="G224" s="285">
        <v>3379</v>
      </c>
      <c r="H224" s="57" t="s">
        <v>1132</v>
      </c>
      <c r="I224" s="57" t="s">
        <v>1134</v>
      </c>
      <c r="J224" s="182" t="s">
        <v>111</v>
      </c>
      <c r="K224" s="182" t="s">
        <v>110</v>
      </c>
      <c r="L224" s="425">
        <v>0.4</v>
      </c>
      <c r="M224" s="334" t="s">
        <v>1202</v>
      </c>
      <c r="N224" s="156" t="s">
        <v>1203</v>
      </c>
      <c r="O224" s="134"/>
      <c r="P224" s="143">
        <v>1</v>
      </c>
      <c r="Q224" s="425">
        <v>0.1</v>
      </c>
      <c r="R224" s="143"/>
      <c r="S224" s="143">
        <f t="shared" si="6"/>
        <v>0</v>
      </c>
      <c r="T224" s="142">
        <f t="shared" si="7"/>
        <v>0</v>
      </c>
      <c r="U224" s="143" t="s">
        <v>34</v>
      </c>
      <c r="V224" s="143"/>
      <c r="W224" s="57"/>
    </row>
    <row r="225" spans="1:23" ht="16.05" customHeight="1" x14ac:dyDescent="0.45">
      <c r="A225" s="1">
        <v>224</v>
      </c>
      <c r="B225" s="407" t="s">
        <v>924</v>
      </c>
      <c r="C225" s="2" t="s">
        <v>24</v>
      </c>
      <c r="D225" s="275">
        <v>5206</v>
      </c>
      <c r="E225" s="2" t="s">
        <v>1204</v>
      </c>
      <c r="F225" s="2" t="s">
        <v>1205</v>
      </c>
      <c r="G225" s="7">
        <v>3379</v>
      </c>
      <c r="H225" s="2" t="s">
        <v>1132</v>
      </c>
      <c r="I225" s="2" t="s">
        <v>1134</v>
      </c>
      <c r="J225" s="3" t="s">
        <v>58</v>
      </c>
      <c r="K225" s="3" t="s">
        <v>57</v>
      </c>
      <c r="L225" s="276">
        <v>0.6</v>
      </c>
      <c r="M225" s="3" t="s">
        <v>693</v>
      </c>
      <c r="N225" s="3" t="s">
        <v>653</v>
      </c>
      <c r="O225" s="3"/>
      <c r="P225" s="14">
        <v>1</v>
      </c>
      <c r="Q225" s="276">
        <v>0.2</v>
      </c>
      <c r="R225" s="14"/>
      <c r="S225" s="14">
        <f t="shared" si="6"/>
        <v>0</v>
      </c>
      <c r="T225" s="51">
        <f t="shared" si="7"/>
        <v>0</v>
      </c>
      <c r="U225" s="14" t="s">
        <v>34</v>
      </c>
      <c r="V225" s="411">
        <f>SUM(T225:T236)%</f>
        <v>0</v>
      </c>
      <c r="W225" s="2"/>
    </row>
    <row r="226" spans="1:23" ht="16.05" customHeight="1" x14ac:dyDescent="0.45">
      <c r="A226" s="1">
        <v>225</v>
      </c>
      <c r="B226" s="412" t="s">
        <v>924</v>
      </c>
      <c r="C226" s="57" t="s">
        <v>24</v>
      </c>
      <c r="D226" s="427">
        <v>5206</v>
      </c>
      <c r="E226" s="57" t="s">
        <v>1204</v>
      </c>
      <c r="F226" s="57" t="s">
        <v>1205</v>
      </c>
      <c r="G226" s="285">
        <v>3379</v>
      </c>
      <c r="H226" s="57" t="s">
        <v>1132</v>
      </c>
      <c r="I226" s="57" t="s">
        <v>1134</v>
      </c>
      <c r="J226" s="184" t="s">
        <v>58</v>
      </c>
      <c r="K226" s="184" t="s">
        <v>57</v>
      </c>
      <c r="L226" s="346">
        <v>0.6</v>
      </c>
      <c r="M226" s="184" t="s">
        <v>1206</v>
      </c>
      <c r="N226" s="184" t="s">
        <v>1207</v>
      </c>
      <c r="O226" s="184"/>
      <c r="P226" s="66">
        <v>1</v>
      </c>
      <c r="Q226" s="346">
        <v>0.2</v>
      </c>
      <c r="R226" s="66"/>
      <c r="S226" s="66">
        <f t="shared" si="6"/>
        <v>0</v>
      </c>
      <c r="T226" s="67">
        <f t="shared" si="7"/>
        <v>0</v>
      </c>
      <c r="U226" s="66" t="s">
        <v>34</v>
      </c>
      <c r="V226" s="66"/>
      <c r="W226" s="57"/>
    </row>
    <row r="227" spans="1:23" ht="16.05" customHeight="1" x14ac:dyDescent="0.45">
      <c r="A227" s="1">
        <v>226</v>
      </c>
      <c r="B227" s="412" t="s">
        <v>924</v>
      </c>
      <c r="C227" s="57" t="s">
        <v>24</v>
      </c>
      <c r="D227" s="427">
        <v>5206</v>
      </c>
      <c r="E227" s="57" t="s">
        <v>1204</v>
      </c>
      <c r="F227" s="57" t="s">
        <v>1205</v>
      </c>
      <c r="G227" s="285">
        <v>3379</v>
      </c>
      <c r="H227" s="57" t="s">
        <v>1132</v>
      </c>
      <c r="I227" s="57" t="s">
        <v>1134</v>
      </c>
      <c r="J227" s="184" t="s">
        <v>58</v>
      </c>
      <c r="K227" s="184" t="s">
        <v>57</v>
      </c>
      <c r="L227" s="346">
        <v>0.6</v>
      </c>
      <c r="M227" s="184" t="s">
        <v>1208</v>
      </c>
      <c r="N227" s="184" t="s">
        <v>1209</v>
      </c>
      <c r="O227" s="184"/>
      <c r="P227" s="66">
        <v>0.8</v>
      </c>
      <c r="Q227" s="346">
        <v>0.1</v>
      </c>
      <c r="R227" s="66"/>
      <c r="S227" s="66">
        <f t="shared" si="6"/>
        <v>0</v>
      </c>
      <c r="T227" s="67">
        <f t="shared" si="7"/>
        <v>0</v>
      </c>
      <c r="U227" s="66" t="s">
        <v>34</v>
      </c>
      <c r="V227" s="66"/>
      <c r="W227" s="57"/>
    </row>
    <row r="228" spans="1:23" ht="16.05" customHeight="1" x14ac:dyDescent="0.45">
      <c r="A228" s="1">
        <v>227</v>
      </c>
      <c r="B228" s="412" t="s">
        <v>924</v>
      </c>
      <c r="C228" s="57" t="s">
        <v>24</v>
      </c>
      <c r="D228" s="427">
        <v>5206</v>
      </c>
      <c r="E228" s="57" t="s">
        <v>1204</v>
      </c>
      <c r="F228" s="57" t="s">
        <v>1205</v>
      </c>
      <c r="G228" s="285">
        <v>3379</v>
      </c>
      <c r="H228" s="57" t="s">
        <v>1132</v>
      </c>
      <c r="I228" s="57" t="s">
        <v>1134</v>
      </c>
      <c r="J228" s="184" t="s">
        <v>58</v>
      </c>
      <c r="K228" s="184" t="s">
        <v>57</v>
      </c>
      <c r="L228" s="346">
        <v>0.6</v>
      </c>
      <c r="M228" s="184" t="s">
        <v>1210</v>
      </c>
      <c r="N228" s="184" t="s">
        <v>1211</v>
      </c>
      <c r="O228" s="184"/>
      <c r="P228" s="127">
        <v>1</v>
      </c>
      <c r="Q228" s="346">
        <v>0.1</v>
      </c>
      <c r="R228" s="127"/>
      <c r="S228" s="66">
        <f t="shared" si="6"/>
        <v>0</v>
      </c>
      <c r="T228" s="67">
        <f t="shared" si="7"/>
        <v>0</v>
      </c>
      <c r="U228" s="66" t="s">
        <v>34</v>
      </c>
      <c r="V228" s="66"/>
      <c r="W228" s="57"/>
    </row>
    <row r="229" spans="1:23" ht="16.05" customHeight="1" x14ac:dyDescent="0.45">
      <c r="A229" s="1">
        <v>228</v>
      </c>
      <c r="B229" s="412" t="s">
        <v>924</v>
      </c>
      <c r="C229" s="57" t="s">
        <v>24</v>
      </c>
      <c r="D229" s="427">
        <v>5206</v>
      </c>
      <c r="E229" s="57" t="s">
        <v>1204</v>
      </c>
      <c r="F229" s="57" t="s">
        <v>1205</v>
      </c>
      <c r="G229" s="285">
        <v>3379</v>
      </c>
      <c r="H229" s="57" t="s">
        <v>1132</v>
      </c>
      <c r="I229" s="57" t="s">
        <v>1134</v>
      </c>
      <c r="J229" s="184" t="s">
        <v>58</v>
      </c>
      <c r="K229" s="184" t="s">
        <v>57</v>
      </c>
      <c r="L229" s="346">
        <v>0.6</v>
      </c>
      <c r="M229" s="184" t="s">
        <v>1212</v>
      </c>
      <c r="N229" s="184" t="s">
        <v>1213</v>
      </c>
      <c r="O229" s="184"/>
      <c r="P229" s="66">
        <v>0.9</v>
      </c>
      <c r="Q229" s="346">
        <v>0.1</v>
      </c>
      <c r="R229" s="66"/>
      <c r="S229" s="66">
        <f t="shared" si="6"/>
        <v>0</v>
      </c>
      <c r="T229" s="67">
        <f t="shared" si="7"/>
        <v>0</v>
      </c>
      <c r="U229" s="66" t="s">
        <v>34</v>
      </c>
      <c r="V229" s="66"/>
      <c r="W229" s="57"/>
    </row>
    <row r="230" spans="1:23" ht="16.05" customHeight="1" x14ac:dyDescent="0.45">
      <c r="A230" s="1">
        <v>229</v>
      </c>
      <c r="B230" s="412" t="s">
        <v>924</v>
      </c>
      <c r="C230" s="57" t="s">
        <v>24</v>
      </c>
      <c r="D230" s="427">
        <v>5206</v>
      </c>
      <c r="E230" s="57" t="s">
        <v>1204</v>
      </c>
      <c r="F230" s="57" t="s">
        <v>1205</v>
      </c>
      <c r="G230" s="285">
        <v>3379</v>
      </c>
      <c r="H230" s="57" t="s">
        <v>1132</v>
      </c>
      <c r="I230" s="57" t="s">
        <v>1134</v>
      </c>
      <c r="J230" s="184" t="s">
        <v>58</v>
      </c>
      <c r="K230" s="184" t="s">
        <v>57</v>
      </c>
      <c r="L230" s="346">
        <v>0.6</v>
      </c>
      <c r="M230" s="184" t="s">
        <v>1214</v>
      </c>
      <c r="N230" s="184" t="s">
        <v>701</v>
      </c>
      <c r="O230" s="184"/>
      <c r="P230" s="66">
        <v>0.999</v>
      </c>
      <c r="Q230" s="346">
        <v>0.2</v>
      </c>
      <c r="R230" s="66"/>
      <c r="S230" s="66">
        <f t="shared" si="6"/>
        <v>0</v>
      </c>
      <c r="T230" s="67">
        <f t="shared" si="7"/>
        <v>0</v>
      </c>
      <c r="U230" s="66" t="s">
        <v>34</v>
      </c>
      <c r="V230" s="66"/>
      <c r="W230" s="57"/>
    </row>
    <row r="231" spans="1:23" ht="16.05" customHeight="1" x14ac:dyDescent="0.45">
      <c r="A231" s="1">
        <v>230</v>
      </c>
      <c r="B231" s="412" t="s">
        <v>924</v>
      </c>
      <c r="C231" s="57" t="s">
        <v>24</v>
      </c>
      <c r="D231" s="427">
        <v>5206</v>
      </c>
      <c r="E231" s="57" t="s">
        <v>1204</v>
      </c>
      <c r="F231" s="57" t="s">
        <v>1205</v>
      </c>
      <c r="G231" s="285">
        <v>3379</v>
      </c>
      <c r="H231" s="57" t="s">
        <v>1132</v>
      </c>
      <c r="I231" s="57" t="s">
        <v>1134</v>
      </c>
      <c r="J231" s="184" t="s">
        <v>58</v>
      </c>
      <c r="K231" s="184" t="s">
        <v>57</v>
      </c>
      <c r="L231" s="346">
        <v>0.6</v>
      </c>
      <c r="M231" s="184" t="s">
        <v>1180</v>
      </c>
      <c r="N231" s="184" t="s">
        <v>702</v>
      </c>
      <c r="O231" s="184"/>
      <c r="P231" s="66">
        <v>1</v>
      </c>
      <c r="Q231" s="346">
        <v>0.1</v>
      </c>
      <c r="R231" s="66"/>
      <c r="S231" s="66">
        <f t="shared" si="6"/>
        <v>0</v>
      </c>
      <c r="T231" s="67">
        <f t="shared" si="7"/>
        <v>0</v>
      </c>
      <c r="U231" s="66" t="s">
        <v>34</v>
      </c>
      <c r="V231" s="66"/>
      <c r="W231" s="57"/>
    </row>
    <row r="232" spans="1:23" ht="16.05" customHeight="1" x14ac:dyDescent="0.45">
      <c r="A232" s="1">
        <v>231</v>
      </c>
      <c r="B232" s="412" t="s">
        <v>924</v>
      </c>
      <c r="C232" s="57" t="s">
        <v>24</v>
      </c>
      <c r="D232" s="427">
        <v>5206</v>
      </c>
      <c r="E232" s="57" t="s">
        <v>1204</v>
      </c>
      <c r="F232" s="57" t="s">
        <v>1205</v>
      </c>
      <c r="G232" s="285">
        <v>3379</v>
      </c>
      <c r="H232" s="57" t="s">
        <v>1132</v>
      </c>
      <c r="I232" s="57" t="s">
        <v>1134</v>
      </c>
      <c r="J232" s="182" t="s">
        <v>111</v>
      </c>
      <c r="K232" s="182" t="s">
        <v>110</v>
      </c>
      <c r="L232" s="425">
        <v>0.4</v>
      </c>
      <c r="M232" s="182" t="s">
        <v>1215</v>
      </c>
      <c r="N232" s="334" t="s">
        <v>1182</v>
      </c>
      <c r="O232" s="334" t="s">
        <v>556</v>
      </c>
      <c r="P232" s="143">
        <v>1</v>
      </c>
      <c r="Q232" s="425">
        <v>0.2</v>
      </c>
      <c r="R232" s="143"/>
      <c r="S232" s="143">
        <f t="shared" si="6"/>
        <v>0</v>
      </c>
      <c r="T232" s="142">
        <f t="shared" si="7"/>
        <v>0</v>
      </c>
      <c r="U232" s="143" t="s">
        <v>34</v>
      </c>
      <c r="V232" s="143"/>
      <c r="W232" s="57"/>
    </row>
    <row r="233" spans="1:23" ht="16.05" customHeight="1" x14ac:dyDescent="0.45">
      <c r="A233" s="1">
        <v>232</v>
      </c>
      <c r="B233" s="412" t="s">
        <v>924</v>
      </c>
      <c r="C233" s="57" t="s">
        <v>24</v>
      </c>
      <c r="D233" s="427">
        <v>5206</v>
      </c>
      <c r="E233" s="57" t="s">
        <v>1204</v>
      </c>
      <c r="F233" s="57" t="s">
        <v>1205</v>
      </c>
      <c r="G233" s="285">
        <v>3379</v>
      </c>
      <c r="H233" s="57" t="s">
        <v>1132</v>
      </c>
      <c r="I233" s="57" t="s">
        <v>1134</v>
      </c>
      <c r="J233" s="182" t="s">
        <v>111</v>
      </c>
      <c r="K233" s="182" t="s">
        <v>110</v>
      </c>
      <c r="L233" s="425">
        <v>0.4</v>
      </c>
      <c r="M233" s="182" t="s">
        <v>1216</v>
      </c>
      <c r="N233" s="334" t="s">
        <v>561</v>
      </c>
      <c r="O233" s="334" t="s">
        <v>562</v>
      </c>
      <c r="P233" s="143">
        <v>1</v>
      </c>
      <c r="Q233" s="425">
        <v>0.2</v>
      </c>
      <c r="R233" s="143"/>
      <c r="S233" s="143">
        <f t="shared" si="6"/>
        <v>0</v>
      </c>
      <c r="T233" s="142">
        <f t="shared" si="7"/>
        <v>0</v>
      </c>
      <c r="U233" s="143" t="s">
        <v>34</v>
      </c>
      <c r="V233" s="143"/>
      <c r="W233" s="57"/>
    </row>
    <row r="234" spans="1:23" ht="16.05" customHeight="1" x14ac:dyDescent="0.45">
      <c r="A234" s="1">
        <v>233</v>
      </c>
      <c r="B234" s="412" t="s">
        <v>924</v>
      </c>
      <c r="C234" s="57" t="s">
        <v>24</v>
      </c>
      <c r="D234" s="427">
        <v>5206</v>
      </c>
      <c r="E234" s="57" t="s">
        <v>1204</v>
      </c>
      <c r="F234" s="57" t="s">
        <v>1205</v>
      </c>
      <c r="G234" s="285">
        <v>3379</v>
      </c>
      <c r="H234" s="57" t="s">
        <v>1132</v>
      </c>
      <c r="I234" s="57" t="s">
        <v>1134</v>
      </c>
      <c r="J234" s="182" t="s">
        <v>111</v>
      </c>
      <c r="K234" s="182" t="s">
        <v>110</v>
      </c>
      <c r="L234" s="425">
        <v>0.4</v>
      </c>
      <c r="M234" s="334" t="s">
        <v>1184</v>
      </c>
      <c r="N234" s="334" t="s">
        <v>1185</v>
      </c>
      <c r="O234" s="134"/>
      <c r="P234" s="143">
        <v>1</v>
      </c>
      <c r="Q234" s="425">
        <v>0.2</v>
      </c>
      <c r="R234" s="143"/>
      <c r="S234" s="143">
        <f t="shared" si="6"/>
        <v>0</v>
      </c>
      <c r="T234" s="142">
        <f t="shared" si="7"/>
        <v>0</v>
      </c>
      <c r="U234" s="143" t="s">
        <v>34</v>
      </c>
      <c r="V234" s="143"/>
      <c r="W234" s="57"/>
    </row>
    <row r="235" spans="1:23" ht="16.05" customHeight="1" x14ac:dyDescent="0.45">
      <c r="A235" s="1">
        <v>234</v>
      </c>
      <c r="B235" s="412" t="s">
        <v>924</v>
      </c>
      <c r="C235" s="57" t="s">
        <v>24</v>
      </c>
      <c r="D235" s="427">
        <v>5206</v>
      </c>
      <c r="E235" s="57" t="s">
        <v>1204</v>
      </c>
      <c r="F235" s="57" t="s">
        <v>1205</v>
      </c>
      <c r="G235" s="285">
        <v>3379</v>
      </c>
      <c r="H235" s="57" t="s">
        <v>1132</v>
      </c>
      <c r="I235" s="57" t="s">
        <v>1134</v>
      </c>
      <c r="J235" s="182" t="s">
        <v>111</v>
      </c>
      <c r="K235" s="182" t="s">
        <v>110</v>
      </c>
      <c r="L235" s="425">
        <v>0.4</v>
      </c>
      <c r="M235" s="182" t="s">
        <v>419</v>
      </c>
      <c r="N235" s="334" t="s">
        <v>555</v>
      </c>
      <c r="O235" s="134"/>
      <c r="P235" s="143">
        <v>1</v>
      </c>
      <c r="Q235" s="425">
        <v>0.2</v>
      </c>
      <c r="R235" s="143"/>
      <c r="S235" s="143">
        <f t="shared" si="6"/>
        <v>0</v>
      </c>
      <c r="T235" s="142">
        <f t="shared" si="7"/>
        <v>0</v>
      </c>
      <c r="U235" s="143" t="s">
        <v>34</v>
      </c>
      <c r="V235" s="143"/>
      <c r="W235" s="57"/>
    </row>
    <row r="236" spans="1:23" ht="16.05" customHeight="1" x14ac:dyDescent="0.45">
      <c r="A236" s="1">
        <v>235</v>
      </c>
      <c r="B236" s="412" t="s">
        <v>924</v>
      </c>
      <c r="C236" s="57" t="s">
        <v>24</v>
      </c>
      <c r="D236" s="427">
        <v>5206</v>
      </c>
      <c r="E236" s="57" t="s">
        <v>1204</v>
      </c>
      <c r="F236" s="57" t="s">
        <v>1205</v>
      </c>
      <c r="G236" s="285">
        <v>3379</v>
      </c>
      <c r="H236" s="57" t="s">
        <v>1132</v>
      </c>
      <c r="I236" s="57" t="s">
        <v>1134</v>
      </c>
      <c r="J236" s="182" t="s">
        <v>111</v>
      </c>
      <c r="K236" s="182" t="s">
        <v>110</v>
      </c>
      <c r="L236" s="425">
        <v>0.4</v>
      </c>
      <c r="M236" s="182" t="s">
        <v>1217</v>
      </c>
      <c r="N236" s="334" t="s">
        <v>1187</v>
      </c>
      <c r="O236" s="134"/>
      <c r="P236" s="143">
        <v>1</v>
      </c>
      <c r="Q236" s="425">
        <v>0.2</v>
      </c>
      <c r="R236" s="143"/>
      <c r="S236" s="143">
        <f t="shared" si="6"/>
        <v>0</v>
      </c>
      <c r="T236" s="142">
        <f t="shared" si="7"/>
        <v>0</v>
      </c>
      <c r="U236" s="143" t="s">
        <v>34</v>
      </c>
      <c r="V236" s="143"/>
      <c r="W236" s="57"/>
    </row>
    <row r="237" spans="1:23" ht="16.05" customHeight="1" x14ac:dyDescent="0.45">
      <c r="A237" s="1">
        <v>236</v>
      </c>
      <c r="B237" s="407" t="s">
        <v>924</v>
      </c>
      <c r="C237" s="2" t="s">
        <v>24</v>
      </c>
      <c r="D237" s="275">
        <v>5601</v>
      </c>
      <c r="E237" s="2" t="s">
        <v>1218</v>
      </c>
      <c r="F237" s="2" t="s">
        <v>1219</v>
      </c>
      <c r="G237" s="7">
        <v>3379</v>
      </c>
      <c r="H237" s="2" t="s">
        <v>1132</v>
      </c>
      <c r="I237" s="2" t="s">
        <v>1134</v>
      </c>
      <c r="J237" s="3" t="s">
        <v>58</v>
      </c>
      <c r="K237" s="3" t="s">
        <v>57</v>
      </c>
      <c r="L237" s="276">
        <v>0.6</v>
      </c>
      <c r="M237" s="3" t="s">
        <v>1220</v>
      </c>
      <c r="N237" s="3" t="s">
        <v>1221</v>
      </c>
      <c r="O237" s="3"/>
      <c r="P237" s="14">
        <v>1</v>
      </c>
      <c r="Q237" s="276">
        <v>0.2</v>
      </c>
      <c r="R237" s="14"/>
      <c r="S237" s="14">
        <f t="shared" si="6"/>
        <v>0</v>
      </c>
      <c r="T237" s="51">
        <f t="shared" si="7"/>
        <v>0</v>
      </c>
      <c r="U237" s="14" t="s">
        <v>34</v>
      </c>
      <c r="V237" s="411">
        <f>SUM(T237:T247)%</f>
        <v>0</v>
      </c>
      <c r="W237" s="2"/>
    </row>
    <row r="238" spans="1:23" ht="16.05" customHeight="1" x14ac:dyDescent="0.45">
      <c r="A238" s="1">
        <v>237</v>
      </c>
      <c r="B238" s="412" t="s">
        <v>924</v>
      </c>
      <c r="C238" s="57" t="s">
        <v>24</v>
      </c>
      <c r="D238" s="427">
        <v>5601</v>
      </c>
      <c r="E238" s="57" t="s">
        <v>1218</v>
      </c>
      <c r="F238" s="57" t="s">
        <v>1219</v>
      </c>
      <c r="G238" s="285">
        <v>3379</v>
      </c>
      <c r="H238" s="57" t="s">
        <v>1132</v>
      </c>
      <c r="I238" s="57" t="s">
        <v>1134</v>
      </c>
      <c r="J238" s="184" t="s">
        <v>58</v>
      </c>
      <c r="K238" s="184" t="s">
        <v>57</v>
      </c>
      <c r="L238" s="346">
        <v>0.6</v>
      </c>
      <c r="M238" s="184" t="s">
        <v>1222</v>
      </c>
      <c r="N238" s="184" t="s">
        <v>1223</v>
      </c>
      <c r="O238" s="184"/>
      <c r="P238" s="66">
        <v>0.8</v>
      </c>
      <c r="Q238" s="346">
        <v>0.1</v>
      </c>
      <c r="R238" s="66"/>
      <c r="S238" s="66">
        <f t="shared" si="6"/>
        <v>0</v>
      </c>
      <c r="T238" s="67">
        <f t="shared" si="7"/>
        <v>0</v>
      </c>
      <c r="U238" s="66" t="s">
        <v>34</v>
      </c>
      <c r="V238" s="66"/>
      <c r="W238" s="57"/>
    </row>
    <row r="239" spans="1:23" ht="16.05" customHeight="1" x14ac:dyDescent="0.45">
      <c r="A239" s="1">
        <v>238</v>
      </c>
      <c r="B239" s="412" t="s">
        <v>924</v>
      </c>
      <c r="C239" s="57" t="s">
        <v>24</v>
      </c>
      <c r="D239" s="427">
        <v>5601</v>
      </c>
      <c r="E239" s="57" t="s">
        <v>1218</v>
      </c>
      <c r="F239" s="57" t="s">
        <v>1219</v>
      </c>
      <c r="G239" s="285">
        <v>3379</v>
      </c>
      <c r="H239" s="57" t="s">
        <v>1132</v>
      </c>
      <c r="I239" s="57" t="s">
        <v>1134</v>
      </c>
      <c r="J239" s="184" t="s">
        <v>58</v>
      </c>
      <c r="K239" s="184" t="s">
        <v>57</v>
      </c>
      <c r="L239" s="346">
        <v>0.6</v>
      </c>
      <c r="M239" s="184" t="s">
        <v>1224</v>
      </c>
      <c r="N239" s="184" t="s">
        <v>1225</v>
      </c>
      <c r="O239" s="184"/>
      <c r="P239" s="127">
        <v>1</v>
      </c>
      <c r="Q239" s="346">
        <v>0.1</v>
      </c>
      <c r="R239" s="127"/>
      <c r="S239" s="66">
        <f t="shared" si="6"/>
        <v>0</v>
      </c>
      <c r="T239" s="67">
        <f t="shared" si="7"/>
        <v>0</v>
      </c>
      <c r="U239" s="66" t="s">
        <v>34</v>
      </c>
      <c r="V239" s="66"/>
      <c r="W239" s="57"/>
    </row>
    <row r="240" spans="1:23" ht="16.05" customHeight="1" x14ac:dyDescent="0.45">
      <c r="A240" s="1">
        <v>239</v>
      </c>
      <c r="B240" s="412" t="s">
        <v>924</v>
      </c>
      <c r="C240" s="57" t="s">
        <v>24</v>
      </c>
      <c r="D240" s="427">
        <v>5601</v>
      </c>
      <c r="E240" s="57" t="s">
        <v>1218</v>
      </c>
      <c r="F240" s="57" t="s">
        <v>1219</v>
      </c>
      <c r="G240" s="285">
        <v>3379</v>
      </c>
      <c r="H240" s="57" t="s">
        <v>1132</v>
      </c>
      <c r="I240" s="57" t="s">
        <v>1134</v>
      </c>
      <c r="J240" s="184" t="s">
        <v>58</v>
      </c>
      <c r="K240" s="184" t="s">
        <v>57</v>
      </c>
      <c r="L240" s="346">
        <v>0.6</v>
      </c>
      <c r="M240" s="184" t="s">
        <v>1226</v>
      </c>
      <c r="N240" s="184" t="s">
        <v>1227</v>
      </c>
      <c r="O240" s="184"/>
      <c r="P240" s="66">
        <v>0.9</v>
      </c>
      <c r="Q240" s="346">
        <v>0.2</v>
      </c>
      <c r="R240" s="66"/>
      <c r="S240" s="66">
        <f t="shared" si="6"/>
        <v>0</v>
      </c>
      <c r="T240" s="67">
        <f t="shared" si="7"/>
        <v>0</v>
      </c>
      <c r="U240" s="66" t="s">
        <v>34</v>
      </c>
      <c r="V240" s="66"/>
      <c r="W240" s="57"/>
    </row>
    <row r="241" spans="1:23" ht="16.05" customHeight="1" x14ac:dyDescent="0.45">
      <c r="A241" s="1">
        <v>240</v>
      </c>
      <c r="B241" s="412" t="s">
        <v>924</v>
      </c>
      <c r="C241" s="57" t="s">
        <v>24</v>
      </c>
      <c r="D241" s="427">
        <v>5601</v>
      </c>
      <c r="E241" s="57" t="s">
        <v>1218</v>
      </c>
      <c r="F241" s="57" t="s">
        <v>1219</v>
      </c>
      <c r="G241" s="285">
        <v>3379</v>
      </c>
      <c r="H241" s="57" t="s">
        <v>1132</v>
      </c>
      <c r="I241" s="57" t="s">
        <v>1134</v>
      </c>
      <c r="J241" s="184" t="s">
        <v>58</v>
      </c>
      <c r="K241" s="184" t="s">
        <v>57</v>
      </c>
      <c r="L241" s="346">
        <v>0.6</v>
      </c>
      <c r="M241" s="184" t="s">
        <v>1228</v>
      </c>
      <c r="N241" s="184" t="s">
        <v>701</v>
      </c>
      <c r="O241" s="184"/>
      <c r="P241" s="66">
        <v>0.999</v>
      </c>
      <c r="Q241" s="346">
        <v>0.3</v>
      </c>
      <c r="R241" s="66"/>
      <c r="S241" s="66">
        <f t="shared" si="6"/>
        <v>0</v>
      </c>
      <c r="T241" s="67">
        <f t="shared" si="7"/>
        <v>0</v>
      </c>
      <c r="U241" s="66" t="s">
        <v>34</v>
      </c>
      <c r="V241" s="66"/>
      <c r="W241" s="57"/>
    </row>
    <row r="242" spans="1:23" ht="16.05" customHeight="1" x14ac:dyDescent="0.45">
      <c r="A242" s="1">
        <v>241</v>
      </c>
      <c r="B242" s="412" t="s">
        <v>924</v>
      </c>
      <c r="C242" s="57" t="s">
        <v>24</v>
      </c>
      <c r="D242" s="427">
        <v>5601</v>
      </c>
      <c r="E242" s="57" t="s">
        <v>1218</v>
      </c>
      <c r="F242" s="57" t="s">
        <v>1219</v>
      </c>
      <c r="G242" s="285">
        <v>3379</v>
      </c>
      <c r="H242" s="57" t="s">
        <v>1132</v>
      </c>
      <c r="I242" s="57" t="s">
        <v>1134</v>
      </c>
      <c r="J242" s="184" t="s">
        <v>58</v>
      </c>
      <c r="K242" s="184" t="s">
        <v>57</v>
      </c>
      <c r="L242" s="346">
        <v>0.6</v>
      </c>
      <c r="M242" s="184" t="s">
        <v>1180</v>
      </c>
      <c r="N242" s="184" t="s">
        <v>702</v>
      </c>
      <c r="O242" s="184"/>
      <c r="P242" s="66">
        <v>1</v>
      </c>
      <c r="Q242" s="346">
        <v>0.1</v>
      </c>
      <c r="R242" s="66"/>
      <c r="S242" s="66">
        <f t="shared" si="6"/>
        <v>0</v>
      </c>
      <c r="T242" s="67">
        <f t="shared" si="7"/>
        <v>0</v>
      </c>
      <c r="U242" s="66" t="s">
        <v>34</v>
      </c>
      <c r="V242" s="66"/>
      <c r="W242" s="57"/>
    </row>
    <row r="243" spans="1:23" ht="16.05" customHeight="1" x14ac:dyDescent="0.45">
      <c r="A243" s="1">
        <v>242</v>
      </c>
      <c r="B243" s="412" t="s">
        <v>924</v>
      </c>
      <c r="C243" s="57" t="s">
        <v>24</v>
      </c>
      <c r="D243" s="427">
        <v>5601</v>
      </c>
      <c r="E243" s="57" t="s">
        <v>1218</v>
      </c>
      <c r="F243" s="57" t="s">
        <v>1219</v>
      </c>
      <c r="G243" s="285">
        <v>3379</v>
      </c>
      <c r="H243" s="57" t="s">
        <v>1132</v>
      </c>
      <c r="I243" s="57" t="s">
        <v>1134</v>
      </c>
      <c r="J243" s="182" t="s">
        <v>111</v>
      </c>
      <c r="K243" s="182" t="s">
        <v>110</v>
      </c>
      <c r="L243" s="425">
        <v>0.4</v>
      </c>
      <c r="M243" s="182" t="s">
        <v>1181</v>
      </c>
      <c r="N243" s="334" t="s">
        <v>1182</v>
      </c>
      <c r="O243" s="334" t="s">
        <v>556</v>
      </c>
      <c r="P243" s="143">
        <v>1</v>
      </c>
      <c r="Q243" s="425">
        <v>0.2</v>
      </c>
      <c r="R243" s="143"/>
      <c r="S243" s="143">
        <f t="shared" si="6"/>
        <v>0</v>
      </c>
      <c r="T243" s="142">
        <f t="shared" si="7"/>
        <v>0</v>
      </c>
      <c r="U243" s="143" t="s">
        <v>34</v>
      </c>
      <c r="V243" s="143"/>
      <c r="W243" s="57"/>
    </row>
    <row r="244" spans="1:23" ht="16.05" customHeight="1" x14ac:dyDescent="0.45">
      <c r="A244" s="1">
        <v>243</v>
      </c>
      <c r="B244" s="412" t="s">
        <v>924</v>
      </c>
      <c r="C244" s="57" t="s">
        <v>24</v>
      </c>
      <c r="D244" s="427">
        <v>5601</v>
      </c>
      <c r="E244" s="57" t="s">
        <v>1218</v>
      </c>
      <c r="F244" s="57" t="s">
        <v>1219</v>
      </c>
      <c r="G244" s="285">
        <v>3379</v>
      </c>
      <c r="H244" s="57" t="s">
        <v>1132</v>
      </c>
      <c r="I244" s="57" t="s">
        <v>1134</v>
      </c>
      <c r="J244" s="182" t="s">
        <v>111</v>
      </c>
      <c r="K244" s="182" t="s">
        <v>110</v>
      </c>
      <c r="L244" s="425">
        <v>0.4</v>
      </c>
      <c r="M244" s="182" t="s">
        <v>1229</v>
      </c>
      <c r="N244" s="334" t="s">
        <v>561</v>
      </c>
      <c r="O244" s="334" t="s">
        <v>562</v>
      </c>
      <c r="P244" s="143">
        <v>1</v>
      </c>
      <c r="Q244" s="425">
        <v>0.2</v>
      </c>
      <c r="R244" s="143"/>
      <c r="S244" s="143">
        <f t="shared" si="6"/>
        <v>0</v>
      </c>
      <c r="T244" s="142">
        <f t="shared" si="7"/>
        <v>0</v>
      </c>
      <c r="U244" s="143" t="s">
        <v>34</v>
      </c>
      <c r="V244" s="143"/>
      <c r="W244" s="57"/>
    </row>
    <row r="245" spans="1:23" ht="16.05" customHeight="1" x14ac:dyDescent="0.45">
      <c r="A245" s="1">
        <v>244</v>
      </c>
      <c r="B245" s="412" t="s">
        <v>924</v>
      </c>
      <c r="C245" s="57" t="s">
        <v>24</v>
      </c>
      <c r="D245" s="427">
        <v>5601</v>
      </c>
      <c r="E245" s="57" t="s">
        <v>1218</v>
      </c>
      <c r="F245" s="57" t="s">
        <v>1219</v>
      </c>
      <c r="G245" s="285">
        <v>3379</v>
      </c>
      <c r="H245" s="57" t="s">
        <v>1132</v>
      </c>
      <c r="I245" s="57" t="s">
        <v>1134</v>
      </c>
      <c r="J245" s="182" t="s">
        <v>111</v>
      </c>
      <c r="K245" s="182" t="s">
        <v>110</v>
      </c>
      <c r="L245" s="425">
        <v>0.4</v>
      </c>
      <c r="M245" s="334" t="s">
        <v>1184</v>
      </c>
      <c r="N245" s="334" t="s">
        <v>1185</v>
      </c>
      <c r="O245" s="134"/>
      <c r="P245" s="143">
        <v>1</v>
      </c>
      <c r="Q245" s="425">
        <v>0.2</v>
      </c>
      <c r="R245" s="143"/>
      <c r="S245" s="143">
        <f t="shared" si="6"/>
        <v>0</v>
      </c>
      <c r="T245" s="142">
        <f t="shared" si="7"/>
        <v>0</v>
      </c>
      <c r="U245" s="143" t="s">
        <v>34</v>
      </c>
      <c r="V245" s="143"/>
      <c r="W245" s="57"/>
    </row>
    <row r="246" spans="1:23" ht="16.05" customHeight="1" x14ac:dyDescent="0.45">
      <c r="A246" s="1">
        <v>245</v>
      </c>
      <c r="B246" s="412" t="s">
        <v>924</v>
      </c>
      <c r="C246" s="57" t="s">
        <v>24</v>
      </c>
      <c r="D246" s="427">
        <v>5601</v>
      </c>
      <c r="E246" s="57" t="s">
        <v>1218</v>
      </c>
      <c r="F246" s="57" t="s">
        <v>1219</v>
      </c>
      <c r="G246" s="285">
        <v>3379</v>
      </c>
      <c r="H246" s="57" t="s">
        <v>1132</v>
      </c>
      <c r="I246" s="57" t="s">
        <v>1134</v>
      </c>
      <c r="J246" s="182" t="s">
        <v>111</v>
      </c>
      <c r="K246" s="182" t="s">
        <v>110</v>
      </c>
      <c r="L246" s="425">
        <v>0.4</v>
      </c>
      <c r="M246" s="182" t="s">
        <v>419</v>
      </c>
      <c r="N246" s="334" t="s">
        <v>555</v>
      </c>
      <c r="O246" s="134"/>
      <c r="P246" s="143">
        <v>1</v>
      </c>
      <c r="Q246" s="425">
        <v>0.2</v>
      </c>
      <c r="R246" s="143"/>
      <c r="S246" s="143">
        <f t="shared" si="6"/>
        <v>0</v>
      </c>
      <c r="T246" s="142">
        <f t="shared" si="7"/>
        <v>0</v>
      </c>
      <c r="U246" s="143" t="s">
        <v>34</v>
      </c>
      <c r="V246" s="143"/>
      <c r="W246" s="57"/>
    </row>
    <row r="247" spans="1:23" ht="16.05" customHeight="1" x14ac:dyDescent="0.45">
      <c r="A247" s="1">
        <v>246</v>
      </c>
      <c r="B247" s="412" t="s">
        <v>924</v>
      </c>
      <c r="C247" s="57" t="s">
        <v>24</v>
      </c>
      <c r="D247" s="427">
        <v>5601</v>
      </c>
      <c r="E247" s="57" t="s">
        <v>1218</v>
      </c>
      <c r="F247" s="57" t="s">
        <v>1219</v>
      </c>
      <c r="G247" s="285">
        <v>3379</v>
      </c>
      <c r="H247" s="57" t="s">
        <v>1132</v>
      </c>
      <c r="I247" s="57" t="s">
        <v>1134</v>
      </c>
      <c r="J247" s="182" t="s">
        <v>111</v>
      </c>
      <c r="K247" s="182" t="s">
        <v>110</v>
      </c>
      <c r="L247" s="425">
        <v>0.4</v>
      </c>
      <c r="M247" s="182" t="s">
        <v>1186</v>
      </c>
      <c r="N247" s="334" t="s">
        <v>1187</v>
      </c>
      <c r="O247" s="134"/>
      <c r="P247" s="143">
        <v>1</v>
      </c>
      <c r="Q247" s="425">
        <v>0.2</v>
      </c>
      <c r="R247" s="143"/>
      <c r="S247" s="143">
        <f t="shared" si="6"/>
        <v>0</v>
      </c>
      <c r="T247" s="142">
        <f t="shared" si="7"/>
        <v>0</v>
      </c>
      <c r="U247" s="143" t="s">
        <v>34</v>
      </c>
      <c r="V247" s="143"/>
      <c r="W247" s="57"/>
    </row>
    <row r="248" spans="1:23" ht="16.05" customHeight="1" x14ac:dyDescent="0.45">
      <c r="A248" s="1">
        <v>247</v>
      </c>
      <c r="B248" s="407" t="s">
        <v>924</v>
      </c>
      <c r="C248" s="2" t="s">
        <v>24</v>
      </c>
      <c r="D248" s="275">
        <v>5027</v>
      </c>
      <c r="E248" s="2" t="s">
        <v>1230</v>
      </c>
      <c r="F248" s="2" t="s">
        <v>1231</v>
      </c>
      <c r="G248" s="7">
        <v>3379</v>
      </c>
      <c r="H248" s="2" t="s">
        <v>1132</v>
      </c>
      <c r="I248" s="2" t="s">
        <v>1134</v>
      </c>
      <c r="J248" s="3" t="s">
        <v>58</v>
      </c>
      <c r="K248" s="3" t="s">
        <v>57</v>
      </c>
      <c r="L248" s="276">
        <v>0.6</v>
      </c>
      <c r="M248" s="3" t="s">
        <v>1232</v>
      </c>
      <c r="N248" s="3" t="s">
        <v>1233</v>
      </c>
      <c r="O248" s="3"/>
      <c r="P248" s="14">
        <v>1</v>
      </c>
      <c r="Q248" s="276">
        <v>0.2</v>
      </c>
      <c r="R248" s="14"/>
      <c r="S248" s="14">
        <f t="shared" si="6"/>
        <v>0</v>
      </c>
      <c r="T248" s="51">
        <f t="shared" si="7"/>
        <v>0</v>
      </c>
      <c r="U248" s="14" t="s">
        <v>34</v>
      </c>
      <c r="V248" s="411">
        <f>SUM(T248:T259)%</f>
        <v>0</v>
      </c>
      <c r="W248" s="2"/>
    </row>
    <row r="249" spans="1:23" ht="16.05" customHeight="1" x14ac:dyDescent="0.45">
      <c r="A249" s="1">
        <v>248</v>
      </c>
      <c r="B249" s="412" t="s">
        <v>924</v>
      </c>
      <c r="C249" s="57" t="s">
        <v>24</v>
      </c>
      <c r="D249" s="427">
        <v>5027</v>
      </c>
      <c r="E249" s="57" t="s">
        <v>1230</v>
      </c>
      <c r="F249" s="57" t="s">
        <v>1231</v>
      </c>
      <c r="G249" s="285">
        <v>3379</v>
      </c>
      <c r="H249" s="57" t="s">
        <v>1132</v>
      </c>
      <c r="I249" s="57" t="s">
        <v>1134</v>
      </c>
      <c r="J249" s="184" t="s">
        <v>58</v>
      </c>
      <c r="K249" s="184" t="s">
        <v>57</v>
      </c>
      <c r="L249" s="346">
        <v>0.6</v>
      </c>
      <c r="M249" s="184" t="s">
        <v>1176</v>
      </c>
      <c r="N249" s="184" t="s">
        <v>1234</v>
      </c>
      <c r="O249" s="184"/>
      <c r="P249" s="66">
        <v>1</v>
      </c>
      <c r="Q249" s="346">
        <v>0.2</v>
      </c>
      <c r="R249" s="66"/>
      <c r="S249" s="66">
        <f t="shared" si="6"/>
        <v>0</v>
      </c>
      <c r="T249" s="67">
        <f t="shared" si="7"/>
        <v>0</v>
      </c>
      <c r="U249" s="66" t="s">
        <v>34</v>
      </c>
      <c r="V249" s="66"/>
      <c r="W249" s="57"/>
    </row>
    <row r="250" spans="1:23" ht="16.05" customHeight="1" x14ac:dyDescent="0.45">
      <c r="A250" s="1">
        <v>249</v>
      </c>
      <c r="B250" s="412" t="s">
        <v>924</v>
      </c>
      <c r="C250" s="57" t="s">
        <v>24</v>
      </c>
      <c r="D250" s="427">
        <v>5027</v>
      </c>
      <c r="E250" s="57" t="s">
        <v>1230</v>
      </c>
      <c r="F250" s="57" t="s">
        <v>1231</v>
      </c>
      <c r="G250" s="285">
        <v>3379</v>
      </c>
      <c r="H250" s="57" t="s">
        <v>1132</v>
      </c>
      <c r="I250" s="57" t="s">
        <v>1134</v>
      </c>
      <c r="J250" s="184" t="s">
        <v>58</v>
      </c>
      <c r="K250" s="184" t="s">
        <v>57</v>
      </c>
      <c r="L250" s="346">
        <v>0.6</v>
      </c>
      <c r="M250" s="184" t="s">
        <v>1235</v>
      </c>
      <c r="N250" s="184" t="s">
        <v>1236</v>
      </c>
      <c r="O250" s="184"/>
      <c r="P250" s="66">
        <v>0.8</v>
      </c>
      <c r="Q250" s="346">
        <v>0.1</v>
      </c>
      <c r="R250" s="66"/>
      <c r="S250" s="66">
        <f t="shared" si="6"/>
        <v>0</v>
      </c>
      <c r="T250" s="67">
        <f t="shared" si="7"/>
        <v>0</v>
      </c>
      <c r="U250" s="66" t="s">
        <v>34</v>
      </c>
      <c r="V250" s="66"/>
      <c r="W250" s="57"/>
    </row>
    <row r="251" spans="1:23" ht="16.05" customHeight="1" x14ac:dyDescent="0.45">
      <c r="A251" s="1">
        <v>250</v>
      </c>
      <c r="B251" s="412" t="s">
        <v>924</v>
      </c>
      <c r="C251" s="57" t="s">
        <v>24</v>
      </c>
      <c r="D251" s="427">
        <v>5027</v>
      </c>
      <c r="E251" s="57" t="s">
        <v>1230</v>
      </c>
      <c r="F251" s="57" t="s">
        <v>1231</v>
      </c>
      <c r="G251" s="285">
        <v>3379</v>
      </c>
      <c r="H251" s="57" t="s">
        <v>1132</v>
      </c>
      <c r="I251" s="57" t="s">
        <v>1134</v>
      </c>
      <c r="J251" s="184" t="s">
        <v>58</v>
      </c>
      <c r="K251" s="184" t="s">
        <v>57</v>
      </c>
      <c r="L251" s="346">
        <v>0.6</v>
      </c>
      <c r="M251" s="184" t="s">
        <v>1237</v>
      </c>
      <c r="N251" s="184" t="s">
        <v>1238</v>
      </c>
      <c r="O251" s="184"/>
      <c r="P251" s="127">
        <v>1</v>
      </c>
      <c r="Q251" s="346">
        <v>0.1</v>
      </c>
      <c r="R251" s="127"/>
      <c r="S251" s="66">
        <f t="shared" si="6"/>
        <v>0</v>
      </c>
      <c r="T251" s="67">
        <f t="shared" si="7"/>
        <v>0</v>
      </c>
      <c r="U251" s="66" t="s">
        <v>34</v>
      </c>
      <c r="V251" s="66"/>
      <c r="W251" s="57"/>
    </row>
    <row r="252" spans="1:23" ht="16.05" customHeight="1" x14ac:dyDescent="0.45">
      <c r="A252" s="1">
        <v>251</v>
      </c>
      <c r="B252" s="412" t="s">
        <v>924</v>
      </c>
      <c r="C252" s="57" t="s">
        <v>24</v>
      </c>
      <c r="D252" s="427">
        <v>5027</v>
      </c>
      <c r="E252" s="57" t="s">
        <v>1230</v>
      </c>
      <c r="F252" s="57" t="s">
        <v>1231</v>
      </c>
      <c r="G252" s="285">
        <v>3379</v>
      </c>
      <c r="H252" s="57" t="s">
        <v>1132</v>
      </c>
      <c r="I252" s="57" t="s">
        <v>1134</v>
      </c>
      <c r="J252" s="184" t="s">
        <v>58</v>
      </c>
      <c r="K252" s="184" t="s">
        <v>57</v>
      </c>
      <c r="L252" s="346">
        <v>0.6</v>
      </c>
      <c r="M252" s="184" t="s">
        <v>1239</v>
      </c>
      <c r="N252" s="184" t="s">
        <v>1240</v>
      </c>
      <c r="O252" s="184"/>
      <c r="P252" s="66">
        <v>0.9</v>
      </c>
      <c r="Q252" s="346">
        <v>0.1</v>
      </c>
      <c r="R252" s="66"/>
      <c r="S252" s="66">
        <f t="shared" si="6"/>
        <v>0</v>
      </c>
      <c r="T252" s="67">
        <f t="shared" si="7"/>
        <v>0</v>
      </c>
      <c r="U252" s="66" t="s">
        <v>34</v>
      </c>
      <c r="V252" s="66"/>
      <c r="W252" s="57"/>
    </row>
    <row r="253" spans="1:23" ht="16.05" customHeight="1" x14ac:dyDescent="0.45">
      <c r="A253" s="1">
        <v>252</v>
      </c>
      <c r="B253" s="412" t="s">
        <v>924</v>
      </c>
      <c r="C253" s="57" t="s">
        <v>24</v>
      </c>
      <c r="D253" s="427">
        <v>5027</v>
      </c>
      <c r="E253" s="57" t="s">
        <v>1230</v>
      </c>
      <c r="F253" s="57" t="s">
        <v>1231</v>
      </c>
      <c r="G253" s="285">
        <v>3379</v>
      </c>
      <c r="H253" s="57" t="s">
        <v>1132</v>
      </c>
      <c r="I253" s="57" t="s">
        <v>1134</v>
      </c>
      <c r="J253" s="184" t="s">
        <v>58</v>
      </c>
      <c r="K253" s="184" t="s">
        <v>57</v>
      </c>
      <c r="L253" s="346">
        <v>0.6</v>
      </c>
      <c r="M253" s="184" t="s">
        <v>1241</v>
      </c>
      <c r="N253" s="184" t="s">
        <v>1242</v>
      </c>
      <c r="O253" s="184"/>
      <c r="P253" s="66">
        <v>0.999</v>
      </c>
      <c r="Q253" s="346">
        <v>0.2</v>
      </c>
      <c r="R253" s="66"/>
      <c r="S253" s="66">
        <f t="shared" si="6"/>
        <v>0</v>
      </c>
      <c r="T253" s="67">
        <f t="shared" si="7"/>
        <v>0</v>
      </c>
      <c r="U253" s="66" t="s">
        <v>34</v>
      </c>
      <c r="V253" s="66"/>
      <c r="W253" s="57"/>
    </row>
    <row r="254" spans="1:23" ht="16.05" customHeight="1" x14ac:dyDescent="0.45">
      <c r="A254" s="1">
        <v>253</v>
      </c>
      <c r="B254" s="412" t="s">
        <v>924</v>
      </c>
      <c r="C254" s="57" t="s">
        <v>24</v>
      </c>
      <c r="D254" s="427">
        <v>5027</v>
      </c>
      <c r="E254" s="57" t="s">
        <v>1230</v>
      </c>
      <c r="F254" s="57" t="s">
        <v>1231</v>
      </c>
      <c r="G254" s="285">
        <v>3379</v>
      </c>
      <c r="H254" s="57" t="s">
        <v>1132</v>
      </c>
      <c r="I254" s="57" t="s">
        <v>1134</v>
      </c>
      <c r="J254" s="184" t="s">
        <v>58</v>
      </c>
      <c r="K254" s="184" t="s">
        <v>57</v>
      </c>
      <c r="L254" s="346">
        <v>0.6</v>
      </c>
      <c r="M254" s="184" t="s">
        <v>1180</v>
      </c>
      <c r="N254" s="184" t="s">
        <v>702</v>
      </c>
      <c r="O254" s="184"/>
      <c r="P254" s="66">
        <v>1</v>
      </c>
      <c r="Q254" s="346">
        <v>0.1</v>
      </c>
      <c r="R254" s="66"/>
      <c r="S254" s="66">
        <f t="shared" si="6"/>
        <v>0</v>
      </c>
      <c r="T254" s="67">
        <f t="shared" si="7"/>
        <v>0</v>
      </c>
      <c r="U254" s="66" t="s">
        <v>34</v>
      </c>
      <c r="V254" s="66"/>
      <c r="W254" s="57"/>
    </row>
    <row r="255" spans="1:23" ht="16.05" customHeight="1" x14ac:dyDescent="0.45">
      <c r="A255" s="1">
        <v>254</v>
      </c>
      <c r="B255" s="412" t="s">
        <v>924</v>
      </c>
      <c r="C255" s="57" t="s">
        <v>24</v>
      </c>
      <c r="D255" s="427">
        <v>5027</v>
      </c>
      <c r="E255" s="57" t="s">
        <v>1230</v>
      </c>
      <c r="F255" s="57" t="s">
        <v>1231</v>
      </c>
      <c r="G255" s="285">
        <v>3379</v>
      </c>
      <c r="H255" s="57" t="s">
        <v>1132</v>
      </c>
      <c r="I255" s="57" t="s">
        <v>1134</v>
      </c>
      <c r="J255" s="182" t="s">
        <v>111</v>
      </c>
      <c r="K255" s="182" t="s">
        <v>110</v>
      </c>
      <c r="L255" s="425">
        <v>0.4</v>
      </c>
      <c r="M255" s="182" t="s">
        <v>1243</v>
      </c>
      <c r="N255" s="334" t="s">
        <v>1244</v>
      </c>
      <c r="O255" s="334"/>
      <c r="P255" s="143">
        <v>1</v>
      </c>
      <c r="Q255" s="425">
        <v>0.2</v>
      </c>
      <c r="R255" s="143"/>
      <c r="S255" s="143">
        <f t="shared" si="6"/>
        <v>0</v>
      </c>
      <c r="T255" s="142">
        <f t="shared" si="7"/>
        <v>0</v>
      </c>
      <c r="U255" s="143" t="s">
        <v>34</v>
      </c>
      <c r="V255" s="143"/>
      <c r="W255" s="57"/>
    </row>
    <row r="256" spans="1:23" ht="16.05" customHeight="1" x14ac:dyDescent="0.45">
      <c r="A256" s="1">
        <v>255</v>
      </c>
      <c r="B256" s="412" t="s">
        <v>924</v>
      </c>
      <c r="C256" s="57" t="s">
        <v>24</v>
      </c>
      <c r="D256" s="427">
        <v>5027</v>
      </c>
      <c r="E256" s="57" t="s">
        <v>1230</v>
      </c>
      <c r="F256" s="57" t="s">
        <v>1231</v>
      </c>
      <c r="G256" s="285">
        <v>3379</v>
      </c>
      <c r="H256" s="57" t="s">
        <v>1132</v>
      </c>
      <c r="I256" s="57" t="s">
        <v>1134</v>
      </c>
      <c r="J256" s="182" t="s">
        <v>111</v>
      </c>
      <c r="K256" s="182" t="s">
        <v>110</v>
      </c>
      <c r="L256" s="425">
        <v>0.4</v>
      </c>
      <c r="M256" s="182" t="s">
        <v>1245</v>
      </c>
      <c r="N256" s="334" t="s">
        <v>1246</v>
      </c>
      <c r="O256" s="334"/>
      <c r="P256" s="143">
        <v>1</v>
      </c>
      <c r="Q256" s="425">
        <v>0.2</v>
      </c>
      <c r="R256" s="143"/>
      <c r="S256" s="143">
        <f t="shared" si="6"/>
        <v>0</v>
      </c>
      <c r="T256" s="142">
        <f t="shared" si="7"/>
        <v>0</v>
      </c>
      <c r="U256" s="143" t="s">
        <v>34</v>
      </c>
      <c r="V256" s="143"/>
      <c r="W256" s="57"/>
    </row>
    <row r="257" spans="1:23" ht="16.05" customHeight="1" x14ac:dyDescent="0.45">
      <c r="A257" s="1">
        <v>256</v>
      </c>
      <c r="B257" s="412" t="s">
        <v>924</v>
      </c>
      <c r="C257" s="57" t="s">
        <v>24</v>
      </c>
      <c r="D257" s="427">
        <v>5027</v>
      </c>
      <c r="E257" s="57" t="s">
        <v>1230</v>
      </c>
      <c r="F257" s="57" t="s">
        <v>1231</v>
      </c>
      <c r="G257" s="285">
        <v>3379</v>
      </c>
      <c r="H257" s="57" t="s">
        <v>1132</v>
      </c>
      <c r="I257" s="57" t="s">
        <v>1134</v>
      </c>
      <c r="J257" s="182" t="s">
        <v>111</v>
      </c>
      <c r="K257" s="182" t="s">
        <v>110</v>
      </c>
      <c r="L257" s="425">
        <v>0.4</v>
      </c>
      <c r="M257" s="334" t="s">
        <v>1247</v>
      </c>
      <c r="N257" s="334" t="s">
        <v>1248</v>
      </c>
      <c r="O257" s="134"/>
      <c r="P257" s="143">
        <v>1</v>
      </c>
      <c r="Q257" s="425">
        <v>0.2</v>
      </c>
      <c r="R257" s="143"/>
      <c r="S257" s="143">
        <f t="shared" si="6"/>
        <v>0</v>
      </c>
      <c r="T257" s="142">
        <f t="shared" si="7"/>
        <v>0</v>
      </c>
      <c r="U257" s="143" t="s">
        <v>34</v>
      </c>
      <c r="V257" s="143"/>
      <c r="W257" s="57"/>
    </row>
    <row r="258" spans="1:23" ht="16.05" customHeight="1" x14ac:dyDescent="0.45">
      <c r="A258" s="1">
        <v>257</v>
      </c>
      <c r="B258" s="412" t="s">
        <v>924</v>
      </c>
      <c r="C258" s="57" t="s">
        <v>24</v>
      </c>
      <c r="D258" s="427">
        <v>5027</v>
      </c>
      <c r="E258" s="57" t="s">
        <v>1230</v>
      </c>
      <c r="F258" s="57" t="s">
        <v>1231</v>
      </c>
      <c r="G258" s="285">
        <v>3379</v>
      </c>
      <c r="H258" s="57" t="s">
        <v>1132</v>
      </c>
      <c r="I258" s="57" t="s">
        <v>1134</v>
      </c>
      <c r="J258" s="182" t="s">
        <v>111</v>
      </c>
      <c r="K258" s="182" t="s">
        <v>110</v>
      </c>
      <c r="L258" s="425">
        <v>0.4</v>
      </c>
      <c r="M258" s="182" t="s">
        <v>419</v>
      </c>
      <c r="N258" s="334" t="s">
        <v>555</v>
      </c>
      <c r="O258" s="134"/>
      <c r="P258" s="143">
        <v>1</v>
      </c>
      <c r="Q258" s="425">
        <v>0.2</v>
      </c>
      <c r="R258" s="143"/>
      <c r="S258" s="143">
        <f t="shared" ref="S258:S321" si="8">ROUND(IF(OR(P258="",R258=""),0,IF(AND(P258=0,R258=0),1,IF(U258="+",R258/P258,P258/R258))),2)</f>
        <v>0</v>
      </c>
      <c r="T258" s="142">
        <f t="shared" ref="T258:T321" si="9">IF(AND(S258&gt;=60%,S258&lt;100%),S258*((Q258*L258)),IF(S258=100%,((Q258*L258)*S258)*100%,IF(S258&gt;100%,((L258*Q258)*100%)*100%,0)))*100</f>
        <v>0</v>
      </c>
      <c r="U258" s="143" t="s">
        <v>34</v>
      </c>
      <c r="V258" s="143"/>
      <c r="W258" s="57"/>
    </row>
    <row r="259" spans="1:23" ht="16.05" customHeight="1" x14ac:dyDescent="0.45">
      <c r="A259" s="1">
        <v>258</v>
      </c>
      <c r="B259" s="412" t="s">
        <v>924</v>
      </c>
      <c r="C259" s="57" t="s">
        <v>24</v>
      </c>
      <c r="D259" s="427">
        <v>5027</v>
      </c>
      <c r="E259" s="57" t="s">
        <v>1230</v>
      </c>
      <c r="F259" s="57" t="s">
        <v>1231</v>
      </c>
      <c r="G259" s="285">
        <v>3379</v>
      </c>
      <c r="H259" s="57" t="s">
        <v>1132</v>
      </c>
      <c r="I259" s="57" t="s">
        <v>1134</v>
      </c>
      <c r="J259" s="182" t="s">
        <v>111</v>
      </c>
      <c r="K259" s="182" t="s">
        <v>110</v>
      </c>
      <c r="L259" s="425">
        <v>0.4</v>
      </c>
      <c r="M259" s="182" t="s">
        <v>1249</v>
      </c>
      <c r="N259" s="334" t="s">
        <v>1250</v>
      </c>
      <c r="O259" s="134"/>
      <c r="P259" s="143">
        <v>1</v>
      </c>
      <c r="Q259" s="425">
        <v>0.2</v>
      </c>
      <c r="R259" s="143"/>
      <c r="S259" s="143">
        <f t="shared" si="8"/>
        <v>0</v>
      </c>
      <c r="T259" s="142">
        <f t="shared" si="9"/>
        <v>0</v>
      </c>
      <c r="U259" s="143" t="s">
        <v>34</v>
      </c>
      <c r="V259" s="143"/>
      <c r="W259" s="57"/>
    </row>
    <row r="260" spans="1:23" ht="16.05" customHeight="1" x14ac:dyDescent="0.45">
      <c r="A260" s="1">
        <v>259</v>
      </c>
      <c r="B260" s="99" t="s">
        <v>924</v>
      </c>
      <c r="C260" s="99" t="s">
        <v>24</v>
      </c>
      <c r="D260" s="349">
        <v>3655</v>
      </c>
      <c r="E260" s="99" t="s">
        <v>1251</v>
      </c>
      <c r="F260" s="99" t="s">
        <v>1252</v>
      </c>
      <c r="G260" s="91">
        <v>5120</v>
      </c>
      <c r="H260" s="99" t="s">
        <v>1253</v>
      </c>
      <c r="I260" s="99" t="s">
        <v>729</v>
      </c>
      <c r="J260" s="91" t="s">
        <v>58</v>
      </c>
      <c r="K260" s="91" t="s">
        <v>57</v>
      </c>
      <c r="L260" s="350">
        <v>0.6</v>
      </c>
      <c r="M260" s="293"/>
      <c r="N260" s="91" t="s">
        <v>1254</v>
      </c>
      <c r="O260" s="428"/>
      <c r="P260" s="95">
        <v>1</v>
      </c>
      <c r="Q260" s="350">
        <v>0.5</v>
      </c>
      <c r="R260" s="95"/>
      <c r="S260" s="171">
        <f t="shared" si="8"/>
        <v>0</v>
      </c>
      <c r="T260" s="168">
        <f t="shared" si="9"/>
        <v>0</v>
      </c>
      <c r="U260" s="168" t="s">
        <v>34</v>
      </c>
      <c r="V260" s="429">
        <f>SUM(T260:T276)%</f>
        <v>0</v>
      </c>
      <c r="W260" s="99"/>
    </row>
    <row r="261" spans="1:23" ht="16.05" customHeight="1" x14ac:dyDescent="0.45">
      <c r="A261" s="1">
        <v>260</v>
      </c>
      <c r="B261" s="57" t="s">
        <v>924</v>
      </c>
      <c r="C261" s="57" t="s">
        <v>24</v>
      </c>
      <c r="D261" s="358">
        <v>3655</v>
      </c>
      <c r="E261" s="113" t="s">
        <v>1251</v>
      </c>
      <c r="F261" s="113" t="s">
        <v>1252</v>
      </c>
      <c r="G261" s="16">
        <v>5120</v>
      </c>
      <c r="H261" s="113" t="s">
        <v>1253</v>
      </c>
      <c r="I261" s="113" t="s">
        <v>729</v>
      </c>
      <c r="J261" s="16" t="s">
        <v>58</v>
      </c>
      <c r="K261" s="16" t="s">
        <v>57</v>
      </c>
      <c r="L261" s="360">
        <v>0.6</v>
      </c>
      <c r="M261" s="430"/>
      <c r="N261" s="184" t="s">
        <v>1255</v>
      </c>
      <c r="O261" s="44"/>
      <c r="P261" s="37">
        <v>1</v>
      </c>
      <c r="Q261" s="360">
        <v>0.5</v>
      </c>
      <c r="R261" s="37"/>
      <c r="S261" s="431">
        <f t="shared" si="8"/>
        <v>0</v>
      </c>
      <c r="T261" s="42">
        <f t="shared" si="9"/>
        <v>0</v>
      </c>
      <c r="U261" s="152" t="s">
        <v>34</v>
      </c>
      <c r="V261" s="44"/>
      <c r="W261" s="113"/>
    </row>
    <row r="262" spans="1:23" ht="16.05" customHeight="1" x14ac:dyDescent="0.45">
      <c r="A262" s="1">
        <v>261</v>
      </c>
      <c r="B262" s="57" t="s">
        <v>924</v>
      </c>
      <c r="C262" s="57" t="s">
        <v>24</v>
      </c>
      <c r="D262" s="358">
        <v>3655</v>
      </c>
      <c r="E262" s="113" t="s">
        <v>1251</v>
      </c>
      <c r="F262" s="113" t="s">
        <v>1252</v>
      </c>
      <c r="G262" s="16">
        <v>5120</v>
      </c>
      <c r="H262" s="113" t="s">
        <v>1253</v>
      </c>
      <c r="I262" s="113" t="s">
        <v>729</v>
      </c>
      <c r="J262" s="16" t="s">
        <v>111</v>
      </c>
      <c r="K262" s="16" t="s">
        <v>110</v>
      </c>
      <c r="L262" s="282">
        <v>0.4</v>
      </c>
      <c r="M262" s="71"/>
      <c r="N262" s="16" t="s">
        <v>255</v>
      </c>
      <c r="O262" s="73"/>
      <c r="P262" s="28">
        <v>1</v>
      </c>
      <c r="Q262" s="282">
        <v>0.05</v>
      </c>
      <c r="R262" s="28"/>
      <c r="S262" s="28">
        <f t="shared" si="8"/>
        <v>0</v>
      </c>
      <c r="T262" s="46">
        <f t="shared" si="9"/>
        <v>0</v>
      </c>
      <c r="U262" s="28" t="s">
        <v>34</v>
      </c>
      <c r="V262" s="73"/>
      <c r="W262" s="113"/>
    </row>
    <row r="263" spans="1:23" ht="16.05" customHeight="1" x14ac:dyDescent="0.45">
      <c r="A263" s="1">
        <v>262</v>
      </c>
      <c r="B263" s="57" t="s">
        <v>924</v>
      </c>
      <c r="C263" s="57" t="s">
        <v>24</v>
      </c>
      <c r="D263" s="358">
        <v>3655</v>
      </c>
      <c r="E263" s="113" t="s">
        <v>1251</v>
      </c>
      <c r="F263" s="113" t="s">
        <v>1252</v>
      </c>
      <c r="G263" s="16">
        <v>5120</v>
      </c>
      <c r="H263" s="113" t="s">
        <v>1253</v>
      </c>
      <c r="I263" s="113" t="s">
        <v>729</v>
      </c>
      <c r="J263" s="16" t="s">
        <v>111</v>
      </c>
      <c r="K263" s="16" t="s">
        <v>110</v>
      </c>
      <c r="L263" s="282">
        <v>0.4</v>
      </c>
      <c r="M263" s="71"/>
      <c r="N263" s="16" t="s">
        <v>768</v>
      </c>
      <c r="O263" s="73"/>
      <c r="P263" s="28">
        <v>1</v>
      </c>
      <c r="Q263" s="282">
        <v>0.05</v>
      </c>
      <c r="R263" s="28"/>
      <c r="S263" s="28">
        <f t="shared" si="8"/>
        <v>0</v>
      </c>
      <c r="T263" s="46">
        <f t="shared" si="9"/>
        <v>0</v>
      </c>
      <c r="U263" s="28" t="s">
        <v>34</v>
      </c>
      <c r="V263" s="73"/>
      <c r="W263" s="113"/>
    </row>
    <row r="264" spans="1:23" ht="16.05" customHeight="1" x14ac:dyDescent="0.45">
      <c r="A264" s="1">
        <v>263</v>
      </c>
      <c r="B264" s="57" t="s">
        <v>924</v>
      </c>
      <c r="C264" s="57" t="s">
        <v>24</v>
      </c>
      <c r="D264" s="358">
        <v>3655</v>
      </c>
      <c r="E264" s="113" t="s">
        <v>1251</v>
      </c>
      <c r="F264" s="113" t="s">
        <v>1252</v>
      </c>
      <c r="G264" s="16">
        <v>5120</v>
      </c>
      <c r="H264" s="113" t="s">
        <v>1253</v>
      </c>
      <c r="I264" s="113" t="s">
        <v>729</v>
      </c>
      <c r="J264" s="16" t="s">
        <v>111</v>
      </c>
      <c r="K264" s="16" t="s">
        <v>110</v>
      </c>
      <c r="L264" s="282">
        <v>0.4</v>
      </c>
      <c r="M264" s="71"/>
      <c r="N264" s="16" t="s">
        <v>769</v>
      </c>
      <c r="O264" s="73"/>
      <c r="P264" s="28">
        <v>1</v>
      </c>
      <c r="Q264" s="282">
        <v>0.05</v>
      </c>
      <c r="R264" s="28"/>
      <c r="S264" s="28">
        <f t="shared" si="8"/>
        <v>0</v>
      </c>
      <c r="T264" s="46">
        <f t="shared" si="9"/>
        <v>0</v>
      </c>
      <c r="U264" s="28" t="s">
        <v>34</v>
      </c>
      <c r="V264" s="73"/>
      <c r="W264" s="113"/>
    </row>
    <row r="265" spans="1:23" ht="16.05" customHeight="1" x14ac:dyDescent="0.45">
      <c r="A265" s="1">
        <v>264</v>
      </c>
      <c r="B265" s="57" t="s">
        <v>924</v>
      </c>
      <c r="C265" s="57" t="s">
        <v>24</v>
      </c>
      <c r="D265" s="358">
        <v>3655</v>
      </c>
      <c r="E265" s="113" t="s">
        <v>1251</v>
      </c>
      <c r="F265" s="113" t="s">
        <v>1252</v>
      </c>
      <c r="G265" s="16">
        <v>5120</v>
      </c>
      <c r="H265" s="113" t="s">
        <v>1253</v>
      </c>
      <c r="I265" s="113" t="s">
        <v>729</v>
      </c>
      <c r="J265" s="16" t="s">
        <v>111</v>
      </c>
      <c r="K265" s="16" t="s">
        <v>110</v>
      </c>
      <c r="L265" s="282">
        <v>0.4</v>
      </c>
      <c r="M265" s="71"/>
      <c r="N265" s="16" t="s">
        <v>770</v>
      </c>
      <c r="O265" s="73"/>
      <c r="P265" s="28">
        <v>1</v>
      </c>
      <c r="Q265" s="282">
        <v>0.15</v>
      </c>
      <c r="R265" s="28"/>
      <c r="S265" s="28">
        <f t="shared" si="8"/>
        <v>0</v>
      </c>
      <c r="T265" s="46">
        <f t="shared" si="9"/>
        <v>0</v>
      </c>
      <c r="U265" s="28" t="s">
        <v>34</v>
      </c>
      <c r="V265" s="73"/>
      <c r="W265" s="113"/>
    </row>
    <row r="266" spans="1:23" ht="16.05" customHeight="1" x14ac:dyDescent="0.45">
      <c r="A266" s="1">
        <v>265</v>
      </c>
      <c r="B266" s="57" t="s">
        <v>924</v>
      </c>
      <c r="C266" s="57" t="s">
        <v>24</v>
      </c>
      <c r="D266" s="358">
        <v>3655</v>
      </c>
      <c r="E266" s="113" t="s">
        <v>1251</v>
      </c>
      <c r="F266" s="113" t="s">
        <v>1252</v>
      </c>
      <c r="G266" s="16">
        <v>5120</v>
      </c>
      <c r="H266" s="113" t="s">
        <v>1253</v>
      </c>
      <c r="I266" s="113" t="s">
        <v>729</v>
      </c>
      <c r="J266" s="182" t="s">
        <v>111</v>
      </c>
      <c r="K266" s="16" t="s">
        <v>110</v>
      </c>
      <c r="L266" s="282">
        <v>0.4</v>
      </c>
      <c r="M266" s="71"/>
      <c r="N266" s="16" t="s">
        <v>254</v>
      </c>
      <c r="O266" s="73"/>
      <c r="P266" s="28">
        <v>1</v>
      </c>
      <c r="Q266" s="282">
        <v>0.1</v>
      </c>
      <c r="R266" s="28"/>
      <c r="S266" s="28">
        <f t="shared" si="8"/>
        <v>0</v>
      </c>
      <c r="T266" s="46">
        <f t="shared" si="9"/>
        <v>0</v>
      </c>
      <c r="U266" s="28" t="s">
        <v>34</v>
      </c>
      <c r="V266" s="73"/>
      <c r="W266" s="113"/>
    </row>
    <row r="267" spans="1:23" ht="16.05" customHeight="1" x14ac:dyDescent="0.45">
      <c r="A267" s="1">
        <v>266</v>
      </c>
      <c r="B267" s="57" t="s">
        <v>924</v>
      </c>
      <c r="C267" s="57" t="s">
        <v>24</v>
      </c>
      <c r="D267" s="358">
        <v>3655</v>
      </c>
      <c r="E267" s="113" t="s">
        <v>1251</v>
      </c>
      <c r="F267" s="113" t="s">
        <v>1252</v>
      </c>
      <c r="G267" s="16">
        <v>5120</v>
      </c>
      <c r="H267" s="113" t="s">
        <v>1253</v>
      </c>
      <c r="I267" s="113" t="s">
        <v>729</v>
      </c>
      <c r="J267" s="182" t="s">
        <v>111</v>
      </c>
      <c r="K267" s="16" t="s">
        <v>110</v>
      </c>
      <c r="L267" s="282">
        <v>0.4</v>
      </c>
      <c r="M267" s="71"/>
      <c r="N267" s="16" t="s">
        <v>771</v>
      </c>
      <c r="O267" s="73"/>
      <c r="P267" s="28">
        <v>1</v>
      </c>
      <c r="Q267" s="282">
        <v>0.05</v>
      </c>
      <c r="R267" s="28"/>
      <c r="S267" s="28">
        <f t="shared" si="8"/>
        <v>0</v>
      </c>
      <c r="T267" s="46">
        <f t="shared" si="9"/>
        <v>0</v>
      </c>
      <c r="U267" s="28" t="s">
        <v>34</v>
      </c>
      <c r="V267" s="73"/>
      <c r="W267" s="113"/>
    </row>
    <row r="268" spans="1:23" ht="16.05" customHeight="1" x14ac:dyDescent="0.45">
      <c r="A268" s="1">
        <v>267</v>
      </c>
      <c r="B268" s="57" t="s">
        <v>924</v>
      </c>
      <c r="C268" s="57" t="s">
        <v>24</v>
      </c>
      <c r="D268" s="358">
        <v>3655</v>
      </c>
      <c r="E268" s="113" t="s">
        <v>1251</v>
      </c>
      <c r="F268" s="113" t="s">
        <v>1252</v>
      </c>
      <c r="G268" s="16">
        <v>5120</v>
      </c>
      <c r="H268" s="113" t="s">
        <v>1253</v>
      </c>
      <c r="I268" s="113" t="s">
        <v>729</v>
      </c>
      <c r="J268" s="182" t="s">
        <v>111</v>
      </c>
      <c r="K268" s="16" t="s">
        <v>110</v>
      </c>
      <c r="L268" s="282">
        <v>0.4</v>
      </c>
      <c r="M268" s="71"/>
      <c r="N268" s="16" t="s">
        <v>772</v>
      </c>
      <c r="O268" s="73"/>
      <c r="P268" s="28">
        <v>1</v>
      </c>
      <c r="Q268" s="282">
        <v>0.1</v>
      </c>
      <c r="R268" s="28"/>
      <c r="S268" s="28">
        <f t="shared" si="8"/>
        <v>0</v>
      </c>
      <c r="T268" s="46">
        <f t="shared" si="9"/>
        <v>0</v>
      </c>
      <c r="U268" s="28" t="s">
        <v>34</v>
      </c>
      <c r="V268" s="73"/>
      <c r="W268" s="113"/>
    </row>
    <row r="269" spans="1:23" ht="16.05" customHeight="1" x14ac:dyDescent="0.45">
      <c r="A269" s="1">
        <v>268</v>
      </c>
      <c r="B269" s="57" t="s">
        <v>924</v>
      </c>
      <c r="C269" s="57" t="s">
        <v>24</v>
      </c>
      <c r="D269" s="358">
        <v>3655</v>
      </c>
      <c r="E269" s="113" t="s">
        <v>1251</v>
      </c>
      <c r="F269" s="113" t="s">
        <v>1252</v>
      </c>
      <c r="G269" s="16">
        <v>5120</v>
      </c>
      <c r="H269" s="113" t="s">
        <v>1253</v>
      </c>
      <c r="I269" s="113" t="s">
        <v>729</v>
      </c>
      <c r="J269" s="182" t="s">
        <v>111</v>
      </c>
      <c r="K269" s="16" t="s">
        <v>110</v>
      </c>
      <c r="L269" s="282">
        <v>0.4</v>
      </c>
      <c r="M269" s="71"/>
      <c r="N269" s="16" t="s">
        <v>773</v>
      </c>
      <c r="O269" s="73"/>
      <c r="P269" s="28">
        <v>1</v>
      </c>
      <c r="Q269" s="282">
        <v>0.05</v>
      </c>
      <c r="R269" s="28"/>
      <c r="S269" s="28">
        <f t="shared" si="8"/>
        <v>0</v>
      </c>
      <c r="T269" s="46">
        <f t="shared" si="9"/>
        <v>0</v>
      </c>
      <c r="U269" s="28" t="s">
        <v>34</v>
      </c>
      <c r="V269" s="73"/>
      <c r="W269" s="113"/>
    </row>
    <row r="270" spans="1:23" ht="16.05" customHeight="1" x14ac:dyDescent="0.45">
      <c r="A270" s="1">
        <v>269</v>
      </c>
      <c r="B270" s="57" t="s">
        <v>924</v>
      </c>
      <c r="C270" s="57" t="s">
        <v>24</v>
      </c>
      <c r="D270" s="358">
        <v>3655</v>
      </c>
      <c r="E270" s="113" t="s">
        <v>1251</v>
      </c>
      <c r="F270" s="113" t="s">
        <v>1252</v>
      </c>
      <c r="G270" s="16">
        <v>5120</v>
      </c>
      <c r="H270" s="113" t="s">
        <v>1253</v>
      </c>
      <c r="I270" s="113" t="s">
        <v>729</v>
      </c>
      <c r="J270" s="182" t="s">
        <v>111</v>
      </c>
      <c r="K270" s="16" t="s">
        <v>110</v>
      </c>
      <c r="L270" s="282">
        <v>0.4</v>
      </c>
      <c r="M270" s="71"/>
      <c r="N270" s="16" t="s">
        <v>774</v>
      </c>
      <c r="O270" s="73"/>
      <c r="P270" s="28">
        <v>1</v>
      </c>
      <c r="Q270" s="282">
        <v>0.05</v>
      </c>
      <c r="R270" s="28"/>
      <c r="S270" s="28">
        <f t="shared" si="8"/>
        <v>0</v>
      </c>
      <c r="T270" s="46">
        <f t="shared" si="9"/>
        <v>0</v>
      </c>
      <c r="U270" s="28" t="s">
        <v>34</v>
      </c>
      <c r="V270" s="73"/>
      <c r="W270" s="113"/>
    </row>
    <row r="271" spans="1:23" ht="16.05" customHeight="1" x14ac:dyDescent="0.45">
      <c r="A271" s="1">
        <v>270</v>
      </c>
      <c r="B271" s="57" t="s">
        <v>924</v>
      </c>
      <c r="C271" s="57" t="s">
        <v>24</v>
      </c>
      <c r="D271" s="358">
        <v>3655</v>
      </c>
      <c r="E271" s="113" t="s">
        <v>1251</v>
      </c>
      <c r="F271" s="113" t="s">
        <v>1252</v>
      </c>
      <c r="G271" s="16">
        <v>5120</v>
      </c>
      <c r="H271" s="113" t="s">
        <v>1253</v>
      </c>
      <c r="I271" s="113" t="s">
        <v>729</v>
      </c>
      <c r="J271" s="182" t="s">
        <v>111</v>
      </c>
      <c r="K271" s="16" t="s">
        <v>110</v>
      </c>
      <c r="L271" s="282">
        <v>0.4</v>
      </c>
      <c r="M271" s="71"/>
      <c r="N271" s="16" t="s">
        <v>775</v>
      </c>
      <c r="O271" s="73"/>
      <c r="P271" s="28">
        <v>1</v>
      </c>
      <c r="Q271" s="282">
        <v>0.05</v>
      </c>
      <c r="R271" s="28"/>
      <c r="S271" s="28">
        <f t="shared" si="8"/>
        <v>0</v>
      </c>
      <c r="T271" s="46">
        <f t="shared" si="9"/>
        <v>0</v>
      </c>
      <c r="U271" s="28" t="s">
        <v>34</v>
      </c>
      <c r="V271" s="73"/>
      <c r="W271" s="113"/>
    </row>
    <row r="272" spans="1:23" ht="16.05" customHeight="1" x14ac:dyDescent="0.45">
      <c r="A272" s="1">
        <v>271</v>
      </c>
      <c r="B272" s="57" t="s">
        <v>924</v>
      </c>
      <c r="C272" s="57" t="s">
        <v>24</v>
      </c>
      <c r="D272" s="358">
        <v>3655</v>
      </c>
      <c r="E272" s="113" t="s">
        <v>1251</v>
      </c>
      <c r="F272" s="113" t="s">
        <v>1252</v>
      </c>
      <c r="G272" s="16">
        <v>5120</v>
      </c>
      <c r="H272" s="113" t="s">
        <v>1253</v>
      </c>
      <c r="I272" s="113" t="s">
        <v>729</v>
      </c>
      <c r="J272" s="182" t="s">
        <v>111</v>
      </c>
      <c r="K272" s="16" t="s">
        <v>110</v>
      </c>
      <c r="L272" s="282">
        <v>0.4</v>
      </c>
      <c r="M272" s="71"/>
      <c r="N272" s="16" t="s">
        <v>776</v>
      </c>
      <c r="O272" s="73"/>
      <c r="P272" s="28">
        <v>1</v>
      </c>
      <c r="Q272" s="282">
        <v>0.1</v>
      </c>
      <c r="R272" s="28"/>
      <c r="S272" s="28">
        <f t="shared" si="8"/>
        <v>0</v>
      </c>
      <c r="T272" s="46">
        <f t="shared" si="9"/>
        <v>0</v>
      </c>
      <c r="U272" s="28" t="s">
        <v>34</v>
      </c>
      <c r="V272" s="73"/>
      <c r="W272" s="113"/>
    </row>
    <row r="273" spans="1:23" ht="16.05" customHeight="1" x14ac:dyDescent="0.45">
      <c r="A273" s="1">
        <v>272</v>
      </c>
      <c r="B273" s="57" t="s">
        <v>924</v>
      </c>
      <c r="C273" s="57" t="s">
        <v>24</v>
      </c>
      <c r="D273" s="358">
        <v>3655</v>
      </c>
      <c r="E273" s="113" t="s">
        <v>1251</v>
      </c>
      <c r="F273" s="113" t="s">
        <v>1252</v>
      </c>
      <c r="G273" s="16">
        <v>5120</v>
      </c>
      <c r="H273" s="113" t="s">
        <v>1253</v>
      </c>
      <c r="I273" s="113" t="s">
        <v>729</v>
      </c>
      <c r="J273" s="182" t="s">
        <v>111</v>
      </c>
      <c r="K273" s="16" t="s">
        <v>110</v>
      </c>
      <c r="L273" s="282">
        <v>0.4</v>
      </c>
      <c r="M273" s="71"/>
      <c r="N273" s="16" t="s">
        <v>251</v>
      </c>
      <c r="O273" s="73"/>
      <c r="P273" s="28">
        <v>1</v>
      </c>
      <c r="Q273" s="282">
        <v>0.05</v>
      </c>
      <c r="R273" s="28"/>
      <c r="S273" s="28">
        <f t="shared" si="8"/>
        <v>0</v>
      </c>
      <c r="T273" s="46">
        <f t="shared" si="9"/>
        <v>0</v>
      </c>
      <c r="U273" s="28" t="s">
        <v>34</v>
      </c>
      <c r="V273" s="73"/>
      <c r="W273" s="113"/>
    </row>
    <row r="274" spans="1:23" ht="16.05" customHeight="1" x14ac:dyDescent="0.45">
      <c r="A274" s="1">
        <v>273</v>
      </c>
      <c r="B274" s="57" t="s">
        <v>924</v>
      </c>
      <c r="C274" s="57" t="s">
        <v>24</v>
      </c>
      <c r="D274" s="358">
        <v>3655</v>
      </c>
      <c r="E274" s="113" t="s">
        <v>1251</v>
      </c>
      <c r="F274" s="113" t="s">
        <v>1252</v>
      </c>
      <c r="G274" s="16">
        <v>5120</v>
      </c>
      <c r="H274" s="113" t="s">
        <v>1253</v>
      </c>
      <c r="I274" s="113" t="s">
        <v>729</v>
      </c>
      <c r="J274" s="182" t="s">
        <v>111</v>
      </c>
      <c r="K274" s="16" t="s">
        <v>110</v>
      </c>
      <c r="L274" s="282">
        <v>0.4</v>
      </c>
      <c r="M274" s="71"/>
      <c r="N274" s="16" t="s">
        <v>252</v>
      </c>
      <c r="O274" s="73"/>
      <c r="P274" s="28">
        <v>1</v>
      </c>
      <c r="Q274" s="282">
        <v>0.05</v>
      </c>
      <c r="R274" s="28"/>
      <c r="S274" s="28">
        <f t="shared" si="8"/>
        <v>0</v>
      </c>
      <c r="T274" s="46">
        <f t="shared" si="9"/>
        <v>0</v>
      </c>
      <c r="U274" s="28" t="s">
        <v>34</v>
      </c>
      <c r="V274" s="73"/>
      <c r="W274" s="113"/>
    </row>
    <row r="275" spans="1:23" ht="16.05" customHeight="1" x14ac:dyDescent="0.45">
      <c r="A275" s="1">
        <v>274</v>
      </c>
      <c r="B275" s="57" t="s">
        <v>924</v>
      </c>
      <c r="C275" s="57" t="s">
        <v>24</v>
      </c>
      <c r="D275" s="358">
        <v>3655</v>
      </c>
      <c r="E275" s="113" t="s">
        <v>1251</v>
      </c>
      <c r="F275" s="113" t="s">
        <v>1252</v>
      </c>
      <c r="G275" s="16">
        <v>5120</v>
      </c>
      <c r="H275" s="113" t="s">
        <v>1253</v>
      </c>
      <c r="I275" s="113" t="s">
        <v>729</v>
      </c>
      <c r="J275" s="182" t="s">
        <v>111</v>
      </c>
      <c r="K275" s="16" t="s">
        <v>110</v>
      </c>
      <c r="L275" s="282">
        <v>0.4</v>
      </c>
      <c r="M275" s="71"/>
      <c r="N275" s="16" t="s">
        <v>777</v>
      </c>
      <c r="O275" s="73"/>
      <c r="P275" s="28">
        <v>1</v>
      </c>
      <c r="Q275" s="282">
        <v>0.05</v>
      </c>
      <c r="R275" s="28"/>
      <c r="S275" s="28">
        <f t="shared" si="8"/>
        <v>0</v>
      </c>
      <c r="T275" s="46">
        <f t="shared" si="9"/>
        <v>0</v>
      </c>
      <c r="U275" s="28" t="s">
        <v>34</v>
      </c>
      <c r="V275" s="73"/>
      <c r="W275" s="113"/>
    </row>
    <row r="276" spans="1:23" ht="16.05" customHeight="1" x14ac:dyDescent="0.45">
      <c r="A276" s="1">
        <v>275</v>
      </c>
      <c r="B276" s="57" t="s">
        <v>924</v>
      </c>
      <c r="C276" s="57" t="s">
        <v>24</v>
      </c>
      <c r="D276" s="358">
        <v>3655</v>
      </c>
      <c r="E276" s="113" t="s">
        <v>1251</v>
      </c>
      <c r="F276" s="113" t="s">
        <v>1252</v>
      </c>
      <c r="G276" s="16">
        <v>5120</v>
      </c>
      <c r="H276" s="113" t="s">
        <v>1253</v>
      </c>
      <c r="I276" s="113" t="s">
        <v>729</v>
      </c>
      <c r="J276" s="182" t="s">
        <v>111</v>
      </c>
      <c r="K276" s="16" t="s">
        <v>110</v>
      </c>
      <c r="L276" s="282">
        <v>0.4</v>
      </c>
      <c r="M276" s="71"/>
      <c r="N276" s="16" t="s">
        <v>253</v>
      </c>
      <c r="O276" s="73"/>
      <c r="P276" s="28">
        <v>1</v>
      </c>
      <c r="Q276" s="282">
        <v>0.05</v>
      </c>
      <c r="R276" s="28"/>
      <c r="S276" s="28">
        <f t="shared" si="8"/>
        <v>0</v>
      </c>
      <c r="T276" s="46">
        <f t="shared" si="9"/>
        <v>0</v>
      </c>
      <c r="U276" s="28" t="s">
        <v>34</v>
      </c>
      <c r="V276" s="73"/>
      <c r="W276" s="113"/>
    </row>
    <row r="277" spans="1:23" ht="16.05" customHeight="1" x14ac:dyDescent="0.45">
      <c r="A277" s="1">
        <v>276</v>
      </c>
      <c r="B277" s="99" t="s">
        <v>924</v>
      </c>
      <c r="C277" s="99" t="s">
        <v>24</v>
      </c>
      <c r="D277" s="349">
        <v>3460</v>
      </c>
      <c r="E277" s="99" t="s">
        <v>1256</v>
      </c>
      <c r="F277" s="99" t="s">
        <v>755</v>
      </c>
      <c r="G277" s="91">
        <v>5120</v>
      </c>
      <c r="H277" s="99" t="s">
        <v>1253</v>
      </c>
      <c r="I277" s="99" t="s">
        <v>729</v>
      </c>
      <c r="J277" s="91" t="s">
        <v>58</v>
      </c>
      <c r="K277" s="91" t="s">
        <v>57</v>
      </c>
      <c r="L277" s="350">
        <v>0.6</v>
      </c>
      <c r="M277" s="293"/>
      <c r="N277" s="91" t="s">
        <v>1257</v>
      </c>
      <c r="O277" s="428"/>
      <c r="P277" s="171">
        <v>1</v>
      </c>
      <c r="Q277" s="350">
        <v>0.1</v>
      </c>
      <c r="R277" s="171"/>
      <c r="S277" s="148">
        <f t="shared" si="8"/>
        <v>0</v>
      </c>
      <c r="T277" s="168">
        <f t="shared" si="9"/>
        <v>0</v>
      </c>
      <c r="U277" s="148" t="s">
        <v>34</v>
      </c>
      <c r="V277" s="429">
        <f>SUM(T277:T299)%</f>
        <v>0</v>
      </c>
      <c r="W277" s="99"/>
    </row>
    <row r="278" spans="1:23" ht="16.05" customHeight="1" x14ac:dyDescent="0.45">
      <c r="A278" s="1">
        <v>277</v>
      </c>
      <c r="B278" s="113" t="s">
        <v>924</v>
      </c>
      <c r="C278" s="113" t="s">
        <v>24</v>
      </c>
      <c r="D278" s="358">
        <v>3460</v>
      </c>
      <c r="E278" s="113" t="s">
        <v>1256</v>
      </c>
      <c r="F278" s="113" t="s">
        <v>755</v>
      </c>
      <c r="G278" s="16">
        <v>5120</v>
      </c>
      <c r="H278" s="113" t="s">
        <v>1253</v>
      </c>
      <c r="I278" s="113" t="s">
        <v>729</v>
      </c>
      <c r="J278" s="16" t="s">
        <v>58</v>
      </c>
      <c r="K278" s="16" t="s">
        <v>57</v>
      </c>
      <c r="L278" s="360">
        <v>0.6</v>
      </c>
      <c r="M278" s="430"/>
      <c r="N278" s="184" t="s">
        <v>1258</v>
      </c>
      <c r="O278" s="44"/>
      <c r="P278" s="431">
        <v>1</v>
      </c>
      <c r="Q278" s="360">
        <v>0.2</v>
      </c>
      <c r="R278" s="431"/>
      <c r="S278" s="153">
        <f t="shared" si="8"/>
        <v>0</v>
      </c>
      <c r="T278" s="152">
        <f t="shared" si="9"/>
        <v>0</v>
      </c>
      <c r="U278" s="153" t="s">
        <v>34</v>
      </c>
      <c r="V278" s="44"/>
      <c r="W278" s="113"/>
    </row>
    <row r="279" spans="1:23" ht="16.05" customHeight="1" x14ac:dyDescent="0.45">
      <c r="A279" s="1">
        <v>278</v>
      </c>
      <c r="B279" s="113" t="s">
        <v>924</v>
      </c>
      <c r="C279" s="113" t="s">
        <v>24</v>
      </c>
      <c r="D279" s="358">
        <v>3460</v>
      </c>
      <c r="E279" s="113" t="s">
        <v>1256</v>
      </c>
      <c r="F279" s="113" t="s">
        <v>755</v>
      </c>
      <c r="G279" s="16">
        <v>5120</v>
      </c>
      <c r="H279" s="113" t="s">
        <v>1253</v>
      </c>
      <c r="I279" s="113" t="s">
        <v>729</v>
      </c>
      <c r="J279" s="16" t="s">
        <v>58</v>
      </c>
      <c r="K279" s="16" t="s">
        <v>57</v>
      </c>
      <c r="L279" s="360">
        <v>0.6</v>
      </c>
      <c r="M279" s="430"/>
      <c r="N279" s="184" t="s">
        <v>1259</v>
      </c>
      <c r="O279" s="44"/>
      <c r="P279" s="431">
        <v>1</v>
      </c>
      <c r="Q279" s="360">
        <v>0.2</v>
      </c>
      <c r="R279" s="431"/>
      <c r="S279" s="153">
        <f t="shared" si="8"/>
        <v>0</v>
      </c>
      <c r="T279" s="152">
        <f t="shared" si="9"/>
        <v>0</v>
      </c>
      <c r="U279" s="153" t="s">
        <v>34</v>
      </c>
      <c r="V279" s="44"/>
      <c r="W279" s="113"/>
    </row>
    <row r="280" spans="1:23" ht="16.05" customHeight="1" x14ac:dyDescent="0.45">
      <c r="A280" s="1">
        <v>279</v>
      </c>
      <c r="B280" s="113" t="s">
        <v>924</v>
      </c>
      <c r="C280" s="113" t="s">
        <v>24</v>
      </c>
      <c r="D280" s="358">
        <v>3460</v>
      </c>
      <c r="E280" s="113" t="s">
        <v>1256</v>
      </c>
      <c r="F280" s="113" t="s">
        <v>755</v>
      </c>
      <c r="G280" s="16">
        <v>5120</v>
      </c>
      <c r="H280" s="113" t="s">
        <v>1253</v>
      </c>
      <c r="I280" s="113" t="s">
        <v>729</v>
      </c>
      <c r="J280" s="16" t="s">
        <v>58</v>
      </c>
      <c r="K280" s="16" t="s">
        <v>57</v>
      </c>
      <c r="L280" s="360">
        <v>0.6</v>
      </c>
      <c r="M280" s="430"/>
      <c r="N280" s="184" t="s">
        <v>1260</v>
      </c>
      <c r="O280" s="44"/>
      <c r="P280" s="431">
        <v>1</v>
      </c>
      <c r="Q280" s="360">
        <v>0.2</v>
      </c>
      <c r="R280" s="431"/>
      <c r="S280" s="153">
        <f t="shared" si="8"/>
        <v>0</v>
      </c>
      <c r="T280" s="152">
        <f t="shared" si="9"/>
        <v>0</v>
      </c>
      <c r="U280" s="153" t="s">
        <v>34</v>
      </c>
      <c r="V280" s="44"/>
      <c r="W280" s="113"/>
    </row>
    <row r="281" spans="1:23" ht="16.05" customHeight="1" x14ac:dyDescent="0.45">
      <c r="A281" s="1">
        <v>280</v>
      </c>
      <c r="B281" s="113" t="s">
        <v>924</v>
      </c>
      <c r="C281" s="113" t="s">
        <v>24</v>
      </c>
      <c r="D281" s="358">
        <v>3460</v>
      </c>
      <c r="E281" s="113" t="s">
        <v>1256</v>
      </c>
      <c r="F281" s="113" t="s">
        <v>755</v>
      </c>
      <c r="G281" s="16">
        <v>5120</v>
      </c>
      <c r="H281" s="113" t="s">
        <v>1253</v>
      </c>
      <c r="I281" s="113" t="s">
        <v>729</v>
      </c>
      <c r="J281" s="16" t="s">
        <v>58</v>
      </c>
      <c r="K281" s="16" t="s">
        <v>57</v>
      </c>
      <c r="L281" s="360">
        <v>0.6</v>
      </c>
      <c r="M281" s="430"/>
      <c r="N281" s="184" t="s">
        <v>1261</v>
      </c>
      <c r="O281" s="44"/>
      <c r="P281" s="431">
        <v>1</v>
      </c>
      <c r="Q281" s="360">
        <v>0.05</v>
      </c>
      <c r="R281" s="431"/>
      <c r="S281" s="153">
        <f t="shared" si="8"/>
        <v>0</v>
      </c>
      <c r="T281" s="152">
        <f t="shared" si="9"/>
        <v>0</v>
      </c>
      <c r="U281" s="153" t="s">
        <v>34</v>
      </c>
      <c r="V281" s="44"/>
      <c r="W281" s="113"/>
    </row>
    <row r="282" spans="1:23" ht="16.05" customHeight="1" x14ac:dyDescent="0.45">
      <c r="A282" s="1">
        <v>281</v>
      </c>
      <c r="B282" s="113" t="s">
        <v>924</v>
      </c>
      <c r="C282" s="113" t="s">
        <v>24</v>
      </c>
      <c r="D282" s="358">
        <v>3460</v>
      </c>
      <c r="E282" s="113" t="s">
        <v>1256</v>
      </c>
      <c r="F282" s="113" t="s">
        <v>755</v>
      </c>
      <c r="G282" s="16">
        <v>5120</v>
      </c>
      <c r="H282" s="113" t="s">
        <v>1253</v>
      </c>
      <c r="I282" s="113" t="s">
        <v>729</v>
      </c>
      <c r="J282" s="16" t="s">
        <v>58</v>
      </c>
      <c r="K282" s="16" t="s">
        <v>57</v>
      </c>
      <c r="L282" s="360">
        <v>0.6</v>
      </c>
      <c r="M282" s="430"/>
      <c r="N282" s="184" t="s">
        <v>1262</v>
      </c>
      <c r="O282" s="44"/>
      <c r="P282" s="431">
        <v>1</v>
      </c>
      <c r="Q282" s="360">
        <v>0.05</v>
      </c>
      <c r="R282" s="431"/>
      <c r="S282" s="153">
        <f t="shared" si="8"/>
        <v>0</v>
      </c>
      <c r="T282" s="152">
        <f t="shared" si="9"/>
        <v>0</v>
      </c>
      <c r="U282" s="153" t="s">
        <v>34</v>
      </c>
      <c r="V282" s="44"/>
      <c r="W282" s="113"/>
    </row>
    <row r="283" spans="1:23" ht="16.05" customHeight="1" x14ac:dyDescent="0.45">
      <c r="A283" s="1">
        <v>282</v>
      </c>
      <c r="B283" s="113" t="s">
        <v>924</v>
      </c>
      <c r="C283" s="113" t="s">
        <v>24</v>
      </c>
      <c r="D283" s="358">
        <v>3460</v>
      </c>
      <c r="E283" s="113" t="s">
        <v>1256</v>
      </c>
      <c r="F283" s="113" t="s">
        <v>755</v>
      </c>
      <c r="G283" s="16">
        <v>5120</v>
      </c>
      <c r="H283" s="113" t="s">
        <v>1253</v>
      </c>
      <c r="I283" s="113" t="s">
        <v>729</v>
      </c>
      <c r="J283" s="16" t="s">
        <v>58</v>
      </c>
      <c r="K283" s="16" t="s">
        <v>57</v>
      </c>
      <c r="L283" s="360">
        <v>0.6</v>
      </c>
      <c r="M283" s="430"/>
      <c r="N283" s="184" t="s">
        <v>1263</v>
      </c>
      <c r="O283" s="44"/>
      <c r="P283" s="431">
        <v>1</v>
      </c>
      <c r="Q283" s="360">
        <v>0.05</v>
      </c>
      <c r="R283" s="431"/>
      <c r="S283" s="153">
        <f t="shared" si="8"/>
        <v>0</v>
      </c>
      <c r="T283" s="152">
        <f t="shared" si="9"/>
        <v>0</v>
      </c>
      <c r="U283" s="153" t="s">
        <v>34</v>
      </c>
      <c r="V283" s="44"/>
      <c r="W283" s="113"/>
    </row>
    <row r="284" spans="1:23" ht="16.05" customHeight="1" x14ac:dyDescent="0.45">
      <c r="A284" s="1">
        <v>283</v>
      </c>
      <c r="B284" s="113" t="s">
        <v>924</v>
      </c>
      <c r="C284" s="113" t="s">
        <v>24</v>
      </c>
      <c r="D284" s="358">
        <v>3460</v>
      </c>
      <c r="E284" s="113" t="s">
        <v>1256</v>
      </c>
      <c r="F284" s="113" t="s">
        <v>755</v>
      </c>
      <c r="G284" s="16">
        <v>5120</v>
      </c>
      <c r="H284" s="113" t="s">
        <v>1253</v>
      </c>
      <c r="I284" s="113" t="s">
        <v>729</v>
      </c>
      <c r="J284" s="16" t="s">
        <v>58</v>
      </c>
      <c r="K284" s="16" t="s">
        <v>57</v>
      </c>
      <c r="L284" s="360">
        <v>0.6</v>
      </c>
      <c r="M284" s="430"/>
      <c r="N284" s="184" t="s">
        <v>844</v>
      </c>
      <c r="O284" s="44"/>
      <c r="P284" s="179">
        <v>1</v>
      </c>
      <c r="Q284" s="360">
        <v>0.15</v>
      </c>
      <c r="R284" s="179"/>
      <c r="S284" s="153">
        <f t="shared" si="8"/>
        <v>0</v>
      </c>
      <c r="T284" s="152">
        <f t="shared" si="9"/>
        <v>0</v>
      </c>
      <c r="U284" s="153" t="s">
        <v>34</v>
      </c>
      <c r="V284" s="44"/>
      <c r="W284" s="113"/>
    </row>
    <row r="285" spans="1:23" ht="16.05" customHeight="1" x14ac:dyDescent="0.45">
      <c r="A285" s="1">
        <v>284</v>
      </c>
      <c r="B285" s="113" t="s">
        <v>924</v>
      </c>
      <c r="C285" s="113" t="s">
        <v>24</v>
      </c>
      <c r="D285" s="358">
        <v>3460</v>
      </c>
      <c r="E285" s="113" t="s">
        <v>1256</v>
      </c>
      <c r="F285" s="113" t="s">
        <v>755</v>
      </c>
      <c r="G285" s="16">
        <v>5120</v>
      </c>
      <c r="H285" s="113" t="s">
        <v>1253</v>
      </c>
      <c r="I285" s="113" t="s">
        <v>729</v>
      </c>
      <c r="J285" s="182" t="s">
        <v>111</v>
      </c>
      <c r="K285" s="16" t="s">
        <v>110</v>
      </c>
      <c r="L285" s="282">
        <v>0.4</v>
      </c>
      <c r="M285" s="71"/>
      <c r="N285" s="16" t="s">
        <v>255</v>
      </c>
      <c r="O285" s="73"/>
      <c r="P285" s="28">
        <v>1</v>
      </c>
      <c r="Q285" s="282">
        <v>0.05</v>
      </c>
      <c r="R285" s="28"/>
      <c r="S285" s="28">
        <f t="shared" si="8"/>
        <v>0</v>
      </c>
      <c r="T285" s="46">
        <f t="shared" si="9"/>
        <v>0</v>
      </c>
      <c r="U285" s="28" t="s">
        <v>34</v>
      </c>
      <c r="V285" s="73"/>
      <c r="W285" s="113"/>
    </row>
    <row r="286" spans="1:23" ht="16.05" customHeight="1" x14ac:dyDescent="0.45">
      <c r="A286" s="1">
        <v>285</v>
      </c>
      <c r="B286" s="113" t="s">
        <v>924</v>
      </c>
      <c r="C286" s="113" t="s">
        <v>24</v>
      </c>
      <c r="D286" s="358">
        <v>3460</v>
      </c>
      <c r="E286" s="113" t="s">
        <v>1256</v>
      </c>
      <c r="F286" s="113" t="s">
        <v>755</v>
      </c>
      <c r="G286" s="16">
        <v>5120</v>
      </c>
      <c r="H286" s="113" t="s">
        <v>1253</v>
      </c>
      <c r="I286" s="113" t="s">
        <v>729</v>
      </c>
      <c r="J286" s="182" t="s">
        <v>111</v>
      </c>
      <c r="K286" s="16" t="s">
        <v>110</v>
      </c>
      <c r="L286" s="282">
        <v>0.4</v>
      </c>
      <c r="M286" s="71"/>
      <c r="N286" s="16" t="s">
        <v>768</v>
      </c>
      <c r="O286" s="73"/>
      <c r="P286" s="28">
        <v>1</v>
      </c>
      <c r="Q286" s="282">
        <v>0.05</v>
      </c>
      <c r="R286" s="28"/>
      <c r="S286" s="28">
        <f t="shared" si="8"/>
        <v>0</v>
      </c>
      <c r="T286" s="46">
        <f t="shared" si="9"/>
        <v>0</v>
      </c>
      <c r="U286" s="28" t="s">
        <v>34</v>
      </c>
      <c r="V286" s="73"/>
      <c r="W286" s="113"/>
    </row>
    <row r="287" spans="1:23" ht="16.05" customHeight="1" x14ac:dyDescent="0.45">
      <c r="A287" s="1">
        <v>286</v>
      </c>
      <c r="B287" s="113" t="s">
        <v>924</v>
      </c>
      <c r="C287" s="113" t="s">
        <v>24</v>
      </c>
      <c r="D287" s="358">
        <v>3460</v>
      </c>
      <c r="E287" s="113" t="s">
        <v>1256</v>
      </c>
      <c r="F287" s="113" t="s">
        <v>755</v>
      </c>
      <c r="G287" s="16">
        <v>5120</v>
      </c>
      <c r="H287" s="113" t="s">
        <v>1253</v>
      </c>
      <c r="I287" s="113" t="s">
        <v>729</v>
      </c>
      <c r="J287" s="182" t="s">
        <v>111</v>
      </c>
      <c r="K287" s="16" t="s">
        <v>110</v>
      </c>
      <c r="L287" s="282">
        <v>0.4</v>
      </c>
      <c r="M287" s="71"/>
      <c r="N287" s="16" t="s">
        <v>769</v>
      </c>
      <c r="O287" s="73"/>
      <c r="P287" s="28">
        <v>1</v>
      </c>
      <c r="Q287" s="282">
        <v>0.05</v>
      </c>
      <c r="R287" s="28"/>
      <c r="S287" s="28">
        <f t="shared" si="8"/>
        <v>0</v>
      </c>
      <c r="T287" s="46">
        <f t="shared" si="9"/>
        <v>0</v>
      </c>
      <c r="U287" s="28" t="s">
        <v>34</v>
      </c>
      <c r="V287" s="73"/>
      <c r="W287" s="113"/>
    </row>
    <row r="288" spans="1:23" ht="16.05" customHeight="1" x14ac:dyDescent="0.45">
      <c r="A288" s="1">
        <v>287</v>
      </c>
      <c r="B288" s="113" t="s">
        <v>924</v>
      </c>
      <c r="C288" s="113" t="s">
        <v>24</v>
      </c>
      <c r="D288" s="358">
        <v>3460</v>
      </c>
      <c r="E288" s="113" t="s">
        <v>1256</v>
      </c>
      <c r="F288" s="113" t="s">
        <v>755</v>
      </c>
      <c r="G288" s="16">
        <v>5120</v>
      </c>
      <c r="H288" s="113" t="s">
        <v>1253</v>
      </c>
      <c r="I288" s="113" t="s">
        <v>729</v>
      </c>
      <c r="J288" s="182" t="s">
        <v>111</v>
      </c>
      <c r="K288" s="16" t="s">
        <v>110</v>
      </c>
      <c r="L288" s="282">
        <v>0.4</v>
      </c>
      <c r="M288" s="71"/>
      <c r="N288" s="16" t="s">
        <v>770</v>
      </c>
      <c r="O288" s="73"/>
      <c r="P288" s="28">
        <v>1</v>
      </c>
      <c r="Q288" s="282">
        <v>0.15</v>
      </c>
      <c r="R288" s="28"/>
      <c r="S288" s="28">
        <f t="shared" si="8"/>
        <v>0</v>
      </c>
      <c r="T288" s="46">
        <f t="shared" si="9"/>
        <v>0</v>
      </c>
      <c r="U288" s="28" t="s">
        <v>34</v>
      </c>
      <c r="V288" s="73"/>
      <c r="W288" s="113"/>
    </row>
    <row r="289" spans="1:23" ht="16.05" customHeight="1" x14ac:dyDescent="0.45">
      <c r="A289" s="1">
        <v>288</v>
      </c>
      <c r="B289" s="113" t="s">
        <v>924</v>
      </c>
      <c r="C289" s="113" t="s">
        <v>24</v>
      </c>
      <c r="D289" s="358">
        <v>3460</v>
      </c>
      <c r="E289" s="113" t="s">
        <v>1256</v>
      </c>
      <c r="F289" s="113" t="s">
        <v>755</v>
      </c>
      <c r="G289" s="16">
        <v>5120</v>
      </c>
      <c r="H289" s="113" t="s">
        <v>1253</v>
      </c>
      <c r="I289" s="113" t="s">
        <v>729</v>
      </c>
      <c r="J289" s="182" t="s">
        <v>111</v>
      </c>
      <c r="K289" s="16" t="s">
        <v>110</v>
      </c>
      <c r="L289" s="282">
        <v>0.4</v>
      </c>
      <c r="M289" s="71"/>
      <c r="N289" s="16" t="s">
        <v>254</v>
      </c>
      <c r="O289" s="73"/>
      <c r="P289" s="28">
        <v>1</v>
      </c>
      <c r="Q289" s="282">
        <v>0.1</v>
      </c>
      <c r="R289" s="28"/>
      <c r="S289" s="28">
        <f t="shared" si="8"/>
        <v>0</v>
      </c>
      <c r="T289" s="46">
        <f t="shared" si="9"/>
        <v>0</v>
      </c>
      <c r="U289" s="28" t="s">
        <v>34</v>
      </c>
      <c r="V289" s="73"/>
      <c r="W289" s="113"/>
    </row>
    <row r="290" spans="1:23" ht="16.05" customHeight="1" x14ac:dyDescent="0.45">
      <c r="A290" s="1">
        <v>289</v>
      </c>
      <c r="B290" s="113" t="s">
        <v>924</v>
      </c>
      <c r="C290" s="113" t="s">
        <v>24</v>
      </c>
      <c r="D290" s="358">
        <v>3460</v>
      </c>
      <c r="E290" s="113" t="s">
        <v>1256</v>
      </c>
      <c r="F290" s="113" t="s">
        <v>755</v>
      </c>
      <c r="G290" s="16">
        <v>5120</v>
      </c>
      <c r="H290" s="113" t="s">
        <v>1253</v>
      </c>
      <c r="I290" s="113" t="s">
        <v>729</v>
      </c>
      <c r="J290" s="182" t="s">
        <v>111</v>
      </c>
      <c r="K290" s="16" t="s">
        <v>110</v>
      </c>
      <c r="L290" s="282">
        <v>0.4</v>
      </c>
      <c r="M290" s="71"/>
      <c r="N290" s="16" t="s">
        <v>771</v>
      </c>
      <c r="O290" s="73"/>
      <c r="P290" s="28">
        <v>1</v>
      </c>
      <c r="Q290" s="282">
        <v>0.05</v>
      </c>
      <c r="R290" s="28"/>
      <c r="S290" s="28">
        <f t="shared" si="8"/>
        <v>0</v>
      </c>
      <c r="T290" s="46">
        <f t="shared" si="9"/>
        <v>0</v>
      </c>
      <c r="U290" s="28" t="s">
        <v>34</v>
      </c>
      <c r="V290" s="73"/>
      <c r="W290" s="113"/>
    </row>
    <row r="291" spans="1:23" ht="16.05" customHeight="1" x14ac:dyDescent="0.45">
      <c r="A291" s="1">
        <v>290</v>
      </c>
      <c r="B291" s="113" t="s">
        <v>924</v>
      </c>
      <c r="C291" s="113" t="s">
        <v>24</v>
      </c>
      <c r="D291" s="358">
        <v>3460</v>
      </c>
      <c r="E291" s="113" t="s">
        <v>1256</v>
      </c>
      <c r="F291" s="113" t="s">
        <v>755</v>
      </c>
      <c r="G291" s="16">
        <v>5120</v>
      </c>
      <c r="H291" s="113" t="s">
        <v>1253</v>
      </c>
      <c r="I291" s="113" t="s">
        <v>729</v>
      </c>
      <c r="J291" s="182" t="s">
        <v>111</v>
      </c>
      <c r="K291" s="16" t="s">
        <v>110</v>
      </c>
      <c r="L291" s="282">
        <v>0.4</v>
      </c>
      <c r="M291" s="71"/>
      <c r="N291" s="16" t="s">
        <v>772</v>
      </c>
      <c r="O291" s="73"/>
      <c r="P291" s="28">
        <v>1</v>
      </c>
      <c r="Q291" s="282">
        <v>0.1</v>
      </c>
      <c r="R291" s="28"/>
      <c r="S291" s="28">
        <f t="shared" si="8"/>
        <v>0</v>
      </c>
      <c r="T291" s="46">
        <f t="shared" si="9"/>
        <v>0</v>
      </c>
      <c r="U291" s="28" t="s">
        <v>34</v>
      </c>
      <c r="V291" s="73"/>
      <c r="W291" s="113"/>
    </row>
    <row r="292" spans="1:23" ht="16.05" customHeight="1" x14ac:dyDescent="0.45">
      <c r="A292" s="1">
        <v>291</v>
      </c>
      <c r="B292" s="113" t="s">
        <v>924</v>
      </c>
      <c r="C292" s="113" t="s">
        <v>24</v>
      </c>
      <c r="D292" s="358">
        <v>3460</v>
      </c>
      <c r="E292" s="113" t="s">
        <v>1256</v>
      </c>
      <c r="F292" s="113" t="s">
        <v>755</v>
      </c>
      <c r="G292" s="16">
        <v>5120</v>
      </c>
      <c r="H292" s="113" t="s">
        <v>1253</v>
      </c>
      <c r="I292" s="113" t="s">
        <v>729</v>
      </c>
      <c r="J292" s="182" t="s">
        <v>111</v>
      </c>
      <c r="K292" s="16" t="s">
        <v>110</v>
      </c>
      <c r="L292" s="282">
        <v>0.4</v>
      </c>
      <c r="M292" s="71"/>
      <c r="N292" s="16" t="s">
        <v>773</v>
      </c>
      <c r="O292" s="73"/>
      <c r="P292" s="28">
        <v>1</v>
      </c>
      <c r="Q292" s="282">
        <v>0.05</v>
      </c>
      <c r="R292" s="28"/>
      <c r="S292" s="28">
        <f t="shared" si="8"/>
        <v>0</v>
      </c>
      <c r="T292" s="46">
        <f t="shared" si="9"/>
        <v>0</v>
      </c>
      <c r="U292" s="28" t="s">
        <v>34</v>
      </c>
      <c r="V292" s="73"/>
      <c r="W292" s="113"/>
    </row>
    <row r="293" spans="1:23" ht="16.05" customHeight="1" x14ac:dyDescent="0.45">
      <c r="A293" s="1">
        <v>292</v>
      </c>
      <c r="B293" s="113" t="s">
        <v>924</v>
      </c>
      <c r="C293" s="113" t="s">
        <v>24</v>
      </c>
      <c r="D293" s="358">
        <v>3460</v>
      </c>
      <c r="E293" s="113" t="s">
        <v>1256</v>
      </c>
      <c r="F293" s="113" t="s">
        <v>755</v>
      </c>
      <c r="G293" s="16">
        <v>5120</v>
      </c>
      <c r="H293" s="113" t="s">
        <v>1253</v>
      </c>
      <c r="I293" s="113" t="s">
        <v>729</v>
      </c>
      <c r="J293" s="182" t="s">
        <v>111</v>
      </c>
      <c r="K293" s="16" t="s">
        <v>110</v>
      </c>
      <c r="L293" s="282">
        <v>0.4</v>
      </c>
      <c r="M293" s="71"/>
      <c r="N293" s="16" t="s">
        <v>774</v>
      </c>
      <c r="O293" s="73"/>
      <c r="P293" s="28">
        <v>1</v>
      </c>
      <c r="Q293" s="282">
        <v>0.05</v>
      </c>
      <c r="R293" s="28"/>
      <c r="S293" s="28">
        <f t="shared" si="8"/>
        <v>0</v>
      </c>
      <c r="T293" s="46">
        <f t="shared" si="9"/>
        <v>0</v>
      </c>
      <c r="U293" s="28" t="s">
        <v>34</v>
      </c>
      <c r="V293" s="73"/>
      <c r="W293" s="113"/>
    </row>
    <row r="294" spans="1:23" ht="16.05" customHeight="1" x14ac:dyDescent="0.45">
      <c r="A294" s="1">
        <v>293</v>
      </c>
      <c r="B294" s="113" t="s">
        <v>924</v>
      </c>
      <c r="C294" s="113" t="s">
        <v>24</v>
      </c>
      <c r="D294" s="358">
        <v>3460</v>
      </c>
      <c r="E294" s="113" t="s">
        <v>1256</v>
      </c>
      <c r="F294" s="113" t="s">
        <v>755</v>
      </c>
      <c r="G294" s="16">
        <v>5120</v>
      </c>
      <c r="H294" s="113" t="s">
        <v>1253</v>
      </c>
      <c r="I294" s="113" t="s">
        <v>729</v>
      </c>
      <c r="J294" s="182" t="s">
        <v>111</v>
      </c>
      <c r="K294" s="16" t="s">
        <v>110</v>
      </c>
      <c r="L294" s="282">
        <v>0.4</v>
      </c>
      <c r="M294" s="71"/>
      <c r="N294" s="16" t="s">
        <v>775</v>
      </c>
      <c r="O294" s="73"/>
      <c r="P294" s="28">
        <v>1</v>
      </c>
      <c r="Q294" s="282">
        <v>0.05</v>
      </c>
      <c r="R294" s="28"/>
      <c r="S294" s="28">
        <f t="shared" si="8"/>
        <v>0</v>
      </c>
      <c r="T294" s="46">
        <f t="shared" si="9"/>
        <v>0</v>
      </c>
      <c r="U294" s="28" t="s">
        <v>34</v>
      </c>
      <c r="V294" s="73"/>
      <c r="W294" s="113"/>
    </row>
    <row r="295" spans="1:23" ht="16.05" customHeight="1" x14ac:dyDescent="0.45">
      <c r="A295" s="1">
        <v>294</v>
      </c>
      <c r="B295" s="113" t="s">
        <v>924</v>
      </c>
      <c r="C295" s="113" t="s">
        <v>24</v>
      </c>
      <c r="D295" s="358">
        <v>3460</v>
      </c>
      <c r="E295" s="113" t="s">
        <v>1256</v>
      </c>
      <c r="F295" s="113" t="s">
        <v>755</v>
      </c>
      <c r="G295" s="16">
        <v>5120</v>
      </c>
      <c r="H295" s="113" t="s">
        <v>1253</v>
      </c>
      <c r="I295" s="113" t="s">
        <v>729</v>
      </c>
      <c r="J295" s="182" t="s">
        <v>111</v>
      </c>
      <c r="K295" s="16" t="s">
        <v>110</v>
      </c>
      <c r="L295" s="282">
        <v>0.4</v>
      </c>
      <c r="M295" s="71"/>
      <c r="N295" s="16" t="s">
        <v>776</v>
      </c>
      <c r="O295" s="73"/>
      <c r="P295" s="28">
        <v>1</v>
      </c>
      <c r="Q295" s="282">
        <v>0.1</v>
      </c>
      <c r="R295" s="28"/>
      <c r="S295" s="28">
        <f t="shared" si="8"/>
        <v>0</v>
      </c>
      <c r="T295" s="46">
        <f t="shared" si="9"/>
        <v>0</v>
      </c>
      <c r="U295" s="28" t="s">
        <v>34</v>
      </c>
      <c r="V295" s="73"/>
      <c r="W295" s="113"/>
    </row>
    <row r="296" spans="1:23" ht="16.05" customHeight="1" x14ac:dyDescent="0.45">
      <c r="A296" s="1">
        <v>295</v>
      </c>
      <c r="B296" s="113" t="s">
        <v>924</v>
      </c>
      <c r="C296" s="113" t="s">
        <v>24</v>
      </c>
      <c r="D296" s="358">
        <v>3460</v>
      </c>
      <c r="E296" s="113" t="s">
        <v>1256</v>
      </c>
      <c r="F296" s="113" t="s">
        <v>755</v>
      </c>
      <c r="G296" s="16">
        <v>5120</v>
      </c>
      <c r="H296" s="113" t="s">
        <v>1253</v>
      </c>
      <c r="I296" s="113" t="s">
        <v>729</v>
      </c>
      <c r="J296" s="182" t="s">
        <v>111</v>
      </c>
      <c r="K296" s="16" t="s">
        <v>110</v>
      </c>
      <c r="L296" s="282">
        <v>0.4</v>
      </c>
      <c r="M296" s="71"/>
      <c r="N296" s="16" t="s">
        <v>251</v>
      </c>
      <c r="O296" s="73"/>
      <c r="P296" s="28">
        <v>1</v>
      </c>
      <c r="Q296" s="282">
        <v>0.05</v>
      </c>
      <c r="R296" s="28"/>
      <c r="S296" s="28">
        <f t="shared" si="8"/>
        <v>0</v>
      </c>
      <c r="T296" s="46">
        <f t="shared" si="9"/>
        <v>0</v>
      </c>
      <c r="U296" s="28" t="s">
        <v>34</v>
      </c>
      <c r="V296" s="73"/>
      <c r="W296" s="113"/>
    </row>
    <row r="297" spans="1:23" ht="16.05" customHeight="1" x14ac:dyDescent="0.45">
      <c r="A297" s="1">
        <v>296</v>
      </c>
      <c r="B297" s="113" t="s">
        <v>924</v>
      </c>
      <c r="C297" s="113" t="s">
        <v>24</v>
      </c>
      <c r="D297" s="358">
        <v>3460</v>
      </c>
      <c r="E297" s="113" t="s">
        <v>1256</v>
      </c>
      <c r="F297" s="113" t="s">
        <v>755</v>
      </c>
      <c r="G297" s="16">
        <v>5120</v>
      </c>
      <c r="H297" s="113" t="s">
        <v>1253</v>
      </c>
      <c r="I297" s="113" t="s">
        <v>729</v>
      </c>
      <c r="J297" s="182" t="s">
        <v>111</v>
      </c>
      <c r="K297" s="16" t="s">
        <v>110</v>
      </c>
      <c r="L297" s="282">
        <v>0.4</v>
      </c>
      <c r="M297" s="71"/>
      <c r="N297" s="16" t="s">
        <v>252</v>
      </c>
      <c r="O297" s="73"/>
      <c r="P297" s="28">
        <v>1</v>
      </c>
      <c r="Q297" s="282">
        <v>0.05</v>
      </c>
      <c r="R297" s="28"/>
      <c r="S297" s="28">
        <f t="shared" si="8"/>
        <v>0</v>
      </c>
      <c r="T297" s="46">
        <f t="shared" si="9"/>
        <v>0</v>
      </c>
      <c r="U297" s="28" t="s">
        <v>34</v>
      </c>
      <c r="V297" s="73"/>
      <c r="W297" s="113"/>
    </row>
    <row r="298" spans="1:23" ht="16.05" customHeight="1" x14ac:dyDescent="0.45">
      <c r="A298" s="1">
        <v>297</v>
      </c>
      <c r="B298" s="113" t="s">
        <v>924</v>
      </c>
      <c r="C298" s="113" t="s">
        <v>24</v>
      </c>
      <c r="D298" s="358">
        <v>3460</v>
      </c>
      <c r="E298" s="113" t="s">
        <v>1256</v>
      </c>
      <c r="F298" s="113" t="s">
        <v>755</v>
      </c>
      <c r="G298" s="16">
        <v>5120</v>
      </c>
      <c r="H298" s="113" t="s">
        <v>1253</v>
      </c>
      <c r="I298" s="113" t="s">
        <v>729</v>
      </c>
      <c r="J298" s="182" t="s">
        <v>111</v>
      </c>
      <c r="K298" s="16" t="s">
        <v>110</v>
      </c>
      <c r="L298" s="282">
        <v>0.4</v>
      </c>
      <c r="M298" s="71"/>
      <c r="N298" s="16" t="s">
        <v>777</v>
      </c>
      <c r="O298" s="73"/>
      <c r="P298" s="28">
        <v>1</v>
      </c>
      <c r="Q298" s="282">
        <v>0.05</v>
      </c>
      <c r="R298" s="28"/>
      <c r="S298" s="28">
        <f t="shared" si="8"/>
        <v>0</v>
      </c>
      <c r="T298" s="46">
        <f t="shared" si="9"/>
        <v>0</v>
      </c>
      <c r="U298" s="28" t="s">
        <v>34</v>
      </c>
      <c r="V298" s="73"/>
      <c r="W298" s="113"/>
    </row>
    <row r="299" spans="1:23" ht="16.05" customHeight="1" x14ac:dyDescent="0.45">
      <c r="A299" s="1">
        <v>298</v>
      </c>
      <c r="B299" s="113" t="s">
        <v>924</v>
      </c>
      <c r="C299" s="113" t="s">
        <v>24</v>
      </c>
      <c r="D299" s="358">
        <v>3460</v>
      </c>
      <c r="E299" s="113" t="s">
        <v>1256</v>
      </c>
      <c r="F299" s="113" t="s">
        <v>755</v>
      </c>
      <c r="G299" s="16">
        <v>5120</v>
      </c>
      <c r="H299" s="113" t="s">
        <v>1253</v>
      </c>
      <c r="I299" s="113" t="s">
        <v>729</v>
      </c>
      <c r="J299" s="182" t="s">
        <v>111</v>
      </c>
      <c r="K299" s="16" t="s">
        <v>110</v>
      </c>
      <c r="L299" s="282">
        <v>0.4</v>
      </c>
      <c r="M299" s="71"/>
      <c r="N299" s="16" t="s">
        <v>253</v>
      </c>
      <c r="O299" s="73"/>
      <c r="P299" s="28">
        <v>1</v>
      </c>
      <c r="Q299" s="282">
        <v>0.05</v>
      </c>
      <c r="R299" s="28"/>
      <c r="S299" s="28">
        <f t="shared" si="8"/>
        <v>0</v>
      </c>
      <c r="T299" s="46">
        <f t="shared" si="9"/>
        <v>0</v>
      </c>
      <c r="U299" s="28" t="s">
        <v>34</v>
      </c>
      <c r="V299" s="73"/>
      <c r="W299" s="113"/>
    </row>
    <row r="300" spans="1:23" ht="16.05" customHeight="1" x14ac:dyDescent="0.45">
      <c r="A300" s="1">
        <v>299</v>
      </c>
      <c r="B300" s="99" t="s">
        <v>924</v>
      </c>
      <c r="C300" s="99" t="s">
        <v>24</v>
      </c>
      <c r="D300" s="349">
        <v>3530</v>
      </c>
      <c r="E300" s="99" t="s">
        <v>1264</v>
      </c>
      <c r="F300" s="99" t="s">
        <v>1265</v>
      </c>
      <c r="G300" s="91">
        <v>5043</v>
      </c>
      <c r="H300" s="99" t="s">
        <v>1266</v>
      </c>
      <c r="I300" s="99" t="s">
        <v>729</v>
      </c>
      <c r="J300" s="91" t="s">
        <v>58</v>
      </c>
      <c r="K300" s="91" t="s">
        <v>57</v>
      </c>
      <c r="L300" s="350">
        <v>0.6</v>
      </c>
      <c r="M300" s="293"/>
      <c r="N300" s="91" t="s">
        <v>1267</v>
      </c>
      <c r="O300" s="428"/>
      <c r="P300" s="178">
        <v>1</v>
      </c>
      <c r="Q300" s="350">
        <v>0.2</v>
      </c>
      <c r="R300" s="178"/>
      <c r="S300" s="148">
        <f t="shared" si="8"/>
        <v>0</v>
      </c>
      <c r="T300" s="168">
        <f t="shared" si="9"/>
        <v>0</v>
      </c>
      <c r="U300" s="148" t="s">
        <v>34</v>
      </c>
      <c r="V300" s="429">
        <f>SUM(T300:T314)%</f>
        <v>0</v>
      </c>
      <c r="W300" s="99"/>
    </row>
    <row r="301" spans="1:23" ht="16.05" customHeight="1" x14ac:dyDescent="0.45">
      <c r="A301" s="1">
        <v>300</v>
      </c>
      <c r="B301" s="113" t="s">
        <v>924</v>
      </c>
      <c r="C301" s="113" t="s">
        <v>24</v>
      </c>
      <c r="D301" s="358">
        <v>3530</v>
      </c>
      <c r="E301" s="113" t="s">
        <v>1264</v>
      </c>
      <c r="F301" s="113" t="s">
        <v>1265</v>
      </c>
      <c r="G301" s="16">
        <v>5043</v>
      </c>
      <c r="H301" s="113" t="s">
        <v>1266</v>
      </c>
      <c r="I301" s="113" t="s">
        <v>729</v>
      </c>
      <c r="J301" s="16" t="s">
        <v>58</v>
      </c>
      <c r="K301" s="16" t="s">
        <v>57</v>
      </c>
      <c r="L301" s="360">
        <v>0.6</v>
      </c>
      <c r="M301" s="430"/>
      <c r="N301" s="184" t="s">
        <v>1268</v>
      </c>
      <c r="O301" s="44"/>
      <c r="P301" s="179">
        <v>1</v>
      </c>
      <c r="Q301" s="360">
        <v>0.05</v>
      </c>
      <c r="R301" s="179"/>
      <c r="S301" s="153">
        <f t="shared" si="8"/>
        <v>0</v>
      </c>
      <c r="T301" s="152">
        <f t="shared" si="9"/>
        <v>0</v>
      </c>
      <c r="U301" s="153" t="s">
        <v>34</v>
      </c>
      <c r="V301" s="44"/>
      <c r="W301" s="113"/>
    </row>
    <row r="302" spans="1:23" ht="16.05" customHeight="1" x14ac:dyDescent="0.45">
      <c r="A302" s="1">
        <v>301</v>
      </c>
      <c r="B302" s="113" t="s">
        <v>924</v>
      </c>
      <c r="C302" s="113" t="s">
        <v>24</v>
      </c>
      <c r="D302" s="358">
        <v>3530</v>
      </c>
      <c r="E302" s="113" t="s">
        <v>1264</v>
      </c>
      <c r="F302" s="113" t="s">
        <v>1265</v>
      </c>
      <c r="G302" s="16">
        <v>5043</v>
      </c>
      <c r="H302" s="113" t="s">
        <v>1266</v>
      </c>
      <c r="I302" s="113" t="s">
        <v>729</v>
      </c>
      <c r="J302" s="16" t="s">
        <v>58</v>
      </c>
      <c r="K302" s="16" t="s">
        <v>57</v>
      </c>
      <c r="L302" s="360">
        <v>0.6</v>
      </c>
      <c r="M302" s="430"/>
      <c r="N302" s="184" t="s">
        <v>841</v>
      </c>
      <c r="O302" s="44"/>
      <c r="P302" s="179">
        <v>1</v>
      </c>
      <c r="Q302" s="360">
        <v>0.05</v>
      </c>
      <c r="R302" s="179"/>
      <c r="S302" s="153">
        <f t="shared" si="8"/>
        <v>0</v>
      </c>
      <c r="T302" s="152">
        <f t="shared" si="9"/>
        <v>0</v>
      </c>
      <c r="U302" s="153" t="s">
        <v>34</v>
      </c>
      <c r="V302" s="44"/>
      <c r="W302" s="113"/>
    </row>
    <row r="303" spans="1:23" ht="16.05" customHeight="1" x14ac:dyDescent="0.45">
      <c r="A303" s="1">
        <v>302</v>
      </c>
      <c r="B303" s="113" t="s">
        <v>924</v>
      </c>
      <c r="C303" s="113" t="s">
        <v>24</v>
      </c>
      <c r="D303" s="358">
        <v>3530</v>
      </c>
      <c r="E303" s="113" t="s">
        <v>1264</v>
      </c>
      <c r="F303" s="113" t="s">
        <v>1265</v>
      </c>
      <c r="G303" s="16">
        <v>5043</v>
      </c>
      <c r="H303" s="113" t="s">
        <v>1266</v>
      </c>
      <c r="I303" s="113" t="s">
        <v>729</v>
      </c>
      <c r="J303" s="16" t="s">
        <v>58</v>
      </c>
      <c r="K303" s="16" t="s">
        <v>57</v>
      </c>
      <c r="L303" s="360">
        <v>0.6</v>
      </c>
      <c r="M303" s="430"/>
      <c r="N303" s="184" t="s">
        <v>842</v>
      </c>
      <c r="O303" s="44"/>
      <c r="P303" s="179">
        <v>1</v>
      </c>
      <c r="Q303" s="360">
        <v>0.05</v>
      </c>
      <c r="R303" s="179"/>
      <c r="S303" s="153">
        <f t="shared" si="8"/>
        <v>0</v>
      </c>
      <c r="T303" s="152">
        <f t="shared" si="9"/>
        <v>0</v>
      </c>
      <c r="U303" s="153" t="s">
        <v>34</v>
      </c>
      <c r="V303" s="44"/>
      <c r="W303" s="113"/>
    </row>
    <row r="304" spans="1:23" ht="16.05" customHeight="1" x14ac:dyDescent="0.45">
      <c r="A304" s="1">
        <v>303</v>
      </c>
      <c r="B304" s="113" t="s">
        <v>924</v>
      </c>
      <c r="C304" s="113" t="s">
        <v>24</v>
      </c>
      <c r="D304" s="358">
        <v>3530</v>
      </c>
      <c r="E304" s="113" t="s">
        <v>1264</v>
      </c>
      <c r="F304" s="113" t="s">
        <v>1265</v>
      </c>
      <c r="G304" s="16">
        <v>5043</v>
      </c>
      <c r="H304" s="113" t="s">
        <v>1266</v>
      </c>
      <c r="I304" s="113" t="s">
        <v>729</v>
      </c>
      <c r="J304" s="16" t="s">
        <v>58</v>
      </c>
      <c r="K304" s="16" t="s">
        <v>57</v>
      </c>
      <c r="L304" s="360">
        <v>0.6</v>
      </c>
      <c r="M304" s="430"/>
      <c r="N304" s="184" t="s">
        <v>843</v>
      </c>
      <c r="O304" s="44"/>
      <c r="P304" s="179">
        <v>1</v>
      </c>
      <c r="Q304" s="360">
        <v>0.2</v>
      </c>
      <c r="R304" s="179"/>
      <c r="S304" s="153">
        <f t="shared" si="8"/>
        <v>0</v>
      </c>
      <c r="T304" s="152">
        <f t="shared" si="9"/>
        <v>0</v>
      </c>
      <c r="U304" s="153" t="s">
        <v>34</v>
      </c>
      <c r="V304" s="44"/>
      <c r="W304" s="113"/>
    </row>
    <row r="305" spans="1:23" ht="16.05" customHeight="1" x14ac:dyDescent="0.45">
      <c r="A305" s="1">
        <v>304</v>
      </c>
      <c r="B305" s="113" t="s">
        <v>924</v>
      </c>
      <c r="C305" s="113" t="s">
        <v>24</v>
      </c>
      <c r="D305" s="358">
        <v>3530</v>
      </c>
      <c r="E305" s="113" t="s">
        <v>1264</v>
      </c>
      <c r="F305" s="113" t="s">
        <v>1265</v>
      </c>
      <c r="G305" s="16">
        <v>5043</v>
      </c>
      <c r="H305" s="113" t="s">
        <v>1266</v>
      </c>
      <c r="I305" s="113" t="s">
        <v>729</v>
      </c>
      <c r="J305" s="16" t="s">
        <v>58</v>
      </c>
      <c r="K305" s="16" t="s">
        <v>57</v>
      </c>
      <c r="L305" s="360">
        <v>0.6</v>
      </c>
      <c r="M305" s="430"/>
      <c r="N305" s="184" t="s">
        <v>844</v>
      </c>
      <c r="O305" s="44"/>
      <c r="P305" s="179">
        <v>1</v>
      </c>
      <c r="Q305" s="360">
        <v>0.1</v>
      </c>
      <c r="R305" s="179"/>
      <c r="S305" s="153">
        <f t="shared" si="8"/>
        <v>0</v>
      </c>
      <c r="T305" s="152">
        <f t="shared" si="9"/>
        <v>0</v>
      </c>
      <c r="U305" s="153" t="s">
        <v>34</v>
      </c>
      <c r="V305" s="44"/>
      <c r="W305" s="113"/>
    </row>
    <row r="306" spans="1:23" ht="16.05" customHeight="1" x14ac:dyDescent="0.45">
      <c r="A306" s="1">
        <v>305</v>
      </c>
      <c r="B306" s="113" t="s">
        <v>924</v>
      </c>
      <c r="C306" s="113" t="s">
        <v>24</v>
      </c>
      <c r="D306" s="358">
        <v>3530</v>
      </c>
      <c r="E306" s="113" t="s">
        <v>1264</v>
      </c>
      <c r="F306" s="113" t="s">
        <v>1265</v>
      </c>
      <c r="G306" s="16">
        <v>5043</v>
      </c>
      <c r="H306" s="113" t="s">
        <v>1266</v>
      </c>
      <c r="I306" s="113" t="s">
        <v>729</v>
      </c>
      <c r="J306" s="16" t="s">
        <v>58</v>
      </c>
      <c r="K306" s="16" t="s">
        <v>57</v>
      </c>
      <c r="L306" s="360">
        <v>0.6</v>
      </c>
      <c r="M306" s="430"/>
      <c r="N306" s="184" t="s">
        <v>845</v>
      </c>
      <c r="O306" s="44"/>
      <c r="P306" s="179">
        <v>1</v>
      </c>
      <c r="Q306" s="360">
        <v>0.05</v>
      </c>
      <c r="R306" s="179"/>
      <c r="S306" s="153">
        <f t="shared" si="8"/>
        <v>0</v>
      </c>
      <c r="T306" s="152">
        <f t="shared" si="9"/>
        <v>0</v>
      </c>
      <c r="U306" s="153" t="s">
        <v>34</v>
      </c>
      <c r="V306" s="44"/>
      <c r="W306" s="113"/>
    </row>
    <row r="307" spans="1:23" ht="16.05" customHeight="1" x14ac:dyDescent="0.45">
      <c r="A307" s="1">
        <v>306</v>
      </c>
      <c r="B307" s="113" t="s">
        <v>924</v>
      </c>
      <c r="C307" s="113" t="s">
        <v>24</v>
      </c>
      <c r="D307" s="358">
        <v>3530</v>
      </c>
      <c r="E307" s="113" t="s">
        <v>1264</v>
      </c>
      <c r="F307" s="113" t="s">
        <v>1265</v>
      </c>
      <c r="G307" s="16">
        <v>5043</v>
      </c>
      <c r="H307" s="113" t="s">
        <v>1266</v>
      </c>
      <c r="I307" s="113" t="s">
        <v>729</v>
      </c>
      <c r="J307" s="16" t="s">
        <v>58</v>
      </c>
      <c r="K307" s="16" t="s">
        <v>57</v>
      </c>
      <c r="L307" s="360">
        <v>0.6</v>
      </c>
      <c r="M307" s="430"/>
      <c r="N307" s="184" t="s">
        <v>846</v>
      </c>
      <c r="O307" s="44"/>
      <c r="P307" s="179">
        <v>1</v>
      </c>
      <c r="Q307" s="360">
        <v>0.05</v>
      </c>
      <c r="R307" s="179"/>
      <c r="S307" s="153">
        <f t="shared" si="8"/>
        <v>0</v>
      </c>
      <c r="T307" s="152">
        <f t="shared" si="9"/>
        <v>0</v>
      </c>
      <c r="U307" s="153" t="s">
        <v>34</v>
      </c>
      <c r="V307" s="44"/>
      <c r="W307" s="113"/>
    </row>
    <row r="308" spans="1:23" ht="16.05" customHeight="1" x14ac:dyDescent="0.45">
      <c r="A308" s="1">
        <v>307</v>
      </c>
      <c r="B308" s="113" t="s">
        <v>924</v>
      </c>
      <c r="C308" s="113" t="s">
        <v>24</v>
      </c>
      <c r="D308" s="358">
        <v>3530</v>
      </c>
      <c r="E308" s="113" t="s">
        <v>1264</v>
      </c>
      <c r="F308" s="113" t="s">
        <v>1265</v>
      </c>
      <c r="G308" s="16">
        <v>5043</v>
      </c>
      <c r="H308" s="113" t="s">
        <v>1266</v>
      </c>
      <c r="I308" s="113" t="s">
        <v>729</v>
      </c>
      <c r="J308" s="16" t="s">
        <v>58</v>
      </c>
      <c r="K308" s="16" t="s">
        <v>57</v>
      </c>
      <c r="L308" s="360">
        <v>0.6</v>
      </c>
      <c r="M308" s="430"/>
      <c r="N308" s="184" t="s">
        <v>1269</v>
      </c>
      <c r="O308" s="44"/>
      <c r="P308" s="179">
        <v>1</v>
      </c>
      <c r="Q308" s="360">
        <v>0.05</v>
      </c>
      <c r="R308" s="179"/>
      <c r="S308" s="153">
        <f t="shared" si="8"/>
        <v>0</v>
      </c>
      <c r="T308" s="152">
        <f t="shared" si="9"/>
        <v>0</v>
      </c>
      <c r="U308" s="153" t="s">
        <v>34</v>
      </c>
      <c r="V308" s="44"/>
      <c r="W308" s="113"/>
    </row>
    <row r="309" spans="1:23" ht="16.05" customHeight="1" x14ac:dyDescent="0.45">
      <c r="A309" s="1">
        <v>308</v>
      </c>
      <c r="B309" s="113" t="s">
        <v>924</v>
      </c>
      <c r="C309" s="113" t="s">
        <v>24</v>
      </c>
      <c r="D309" s="358">
        <v>3530</v>
      </c>
      <c r="E309" s="113" t="s">
        <v>1264</v>
      </c>
      <c r="F309" s="113" t="s">
        <v>1265</v>
      </c>
      <c r="G309" s="16">
        <v>5043</v>
      </c>
      <c r="H309" s="113" t="s">
        <v>1266</v>
      </c>
      <c r="I309" s="113" t="s">
        <v>729</v>
      </c>
      <c r="J309" s="16" t="s">
        <v>58</v>
      </c>
      <c r="K309" s="16" t="s">
        <v>57</v>
      </c>
      <c r="L309" s="360">
        <v>0.6</v>
      </c>
      <c r="M309" s="430"/>
      <c r="N309" s="184" t="s">
        <v>848</v>
      </c>
      <c r="O309" s="44"/>
      <c r="P309" s="179">
        <v>1</v>
      </c>
      <c r="Q309" s="360">
        <v>0.1</v>
      </c>
      <c r="R309" s="179"/>
      <c r="S309" s="153">
        <f t="shared" si="8"/>
        <v>0</v>
      </c>
      <c r="T309" s="152">
        <f t="shared" si="9"/>
        <v>0</v>
      </c>
      <c r="U309" s="153" t="s">
        <v>34</v>
      </c>
      <c r="V309" s="44"/>
      <c r="W309" s="113"/>
    </row>
    <row r="310" spans="1:23" ht="16.05" customHeight="1" x14ac:dyDescent="0.45">
      <c r="A310" s="1">
        <v>309</v>
      </c>
      <c r="B310" s="113" t="s">
        <v>924</v>
      </c>
      <c r="C310" s="113" t="s">
        <v>24</v>
      </c>
      <c r="D310" s="358">
        <v>3530</v>
      </c>
      <c r="E310" s="113" t="s">
        <v>1264</v>
      </c>
      <c r="F310" s="113" t="s">
        <v>1265</v>
      </c>
      <c r="G310" s="16">
        <v>5043</v>
      </c>
      <c r="H310" s="113" t="s">
        <v>1266</v>
      </c>
      <c r="I310" s="113" t="s">
        <v>729</v>
      </c>
      <c r="J310" s="16" t="s">
        <v>58</v>
      </c>
      <c r="K310" s="16" t="s">
        <v>57</v>
      </c>
      <c r="L310" s="360">
        <v>0.6</v>
      </c>
      <c r="M310" s="430"/>
      <c r="N310" s="184" t="s">
        <v>849</v>
      </c>
      <c r="O310" s="44"/>
      <c r="P310" s="179">
        <v>1</v>
      </c>
      <c r="Q310" s="360">
        <v>0.1</v>
      </c>
      <c r="R310" s="179"/>
      <c r="S310" s="153">
        <f t="shared" si="8"/>
        <v>0</v>
      </c>
      <c r="T310" s="152">
        <f t="shared" si="9"/>
        <v>0</v>
      </c>
      <c r="U310" s="153" t="s">
        <v>34</v>
      </c>
      <c r="V310" s="44"/>
      <c r="W310" s="113"/>
    </row>
    <row r="311" spans="1:23" ht="16.05" customHeight="1" x14ac:dyDescent="0.45">
      <c r="A311" s="1">
        <v>310</v>
      </c>
      <c r="B311" s="113" t="s">
        <v>924</v>
      </c>
      <c r="C311" s="113" t="s">
        <v>24</v>
      </c>
      <c r="D311" s="358">
        <v>3530</v>
      </c>
      <c r="E311" s="113" t="s">
        <v>1264</v>
      </c>
      <c r="F311" s="113" t="s">
        <v>1265</v>
      </c>
      <c r="G311" s="16">
        <v>5043</v>
      </c>
      <c r="H311" s="113" t="s">
        <v>1266</v>
      </c>
      <c r="I311" s="113" t="s">
        <v>729</v>
      </c>
      <c r="J311" s="357" t="s">
        <v>111</v>
      </c>
      <c r="K311" s="357" t="s">
        <v>110</v>
      </c>
      <c r="L311" s="432">
        <v>0.4</v>
      </c>
      <c r="M311" s="71"/>
      <c r="N311" s="357" t="s">
        <v>1270</v>
      </c>
      <c r="O311" s="73"/>
      <c r="P311" s="433">
        <v>1</v>
      </c>
      <c r="Q311" s="432">
        <v>0.15</v>
      </c>
      <c r="R311" s="433"/>
      <c r="S311" s="160">
        <f t="shared" si="8"/>
        <v>0</v>
      </c>
      <c r="T311" s="161">
        <f t="shared" si="9"/>
        <v>0</v>
      </c>
      <c r="U311" s="160" t="s">
        <v>34</v>
      </c>
      <c r="V311" s="73"/>
      <c r="W311" s="113"/>
    </row>
    <row r="312" spans="1:23" ht="16.05" customHeight="1" x14ac:dyDescent="0.45">
      <c r="A312" s="1">
        <v>311</v>
      </c>
      <c r="B312" s="113" t="s">
        <v>924</v>
      </c>
      <c r="C312" s="113" t="s">
        <v>24</v>
      </c>
      <c r="D312" s="358">
        <v>3530</v>
      </c>
      <c r="E312" s="113" t="s">
        <v>1264</v>
      </c>
      <c r="F312" s="113" t="s">
        <v>1265</v>
      </c>
      <c r="G312" s="16">
        <v>5043</v>
      </c>
      <c r="H312" s="113" t="s">
        <v>1266</v>
      </c>
      <c r="I312" s="113" t="s">
        <v>729</v>
      </c>
      <c r="J312" s="357" t="s">
        <v>111</v>
      </c>
      <c r="K312" s="357" t="s">
        <v>110</v>
      </c>
      <c r="L312" s="432">
        <v>0.4</v>
      </c>
      <c r="M312" s="71"/>
      <c r="N312" s="357" t="s">
        <v>851</v>
      </c>
      <c r="O312" s="73"/>
      <c r="P312" s="433">
        <v>1</v>
      </c>
      <c r="Q312" s="432">
        <v>0.35</v>
      </c>
      <c r="R312" s="433"/>
      <c r="S312" s="160">
        <f t="shared" si="8"/>
        <v>0</v>
      </c>
      <c r="T312" s="161">
        <f t="shared" si="9"/>
        <v>0</v>
      </c>
      <c r="U312" s="160" t="s">
        <v>34</v>
      </c>
      <c r="V312" s="73"/>
      <c r="W312" s="113"/>
    </row>
    <row r="313" spans="1:23" ht="16.05" customHeight="1" x14ac:dyDescent="0.45">
      <c r="A313" s="1">
        <v>312</v>
      </c>
      <c r="B313" s="113" t="s">
        <v>924</v>
      </c>
      <c r="C313" s="113" t="s">
        <v>24</v>
      </c>
      <c r="D313" s="358">
        <v>3530</v>
      </c>
      <c r="E313" s="113" t="s">
        <v>1264</v>
      </c>
      <c r="F313" s="113" t="s">
        <v>1265</v>
      </c>
      <c r="G313" s="16">
        <v>5043</v>
      </c>
      <c r="H313" s="113" t="s">
        <v>1266</v>
      </c>
      <c r="I313" s="113" t="s">
        <v>729</v>
      </c>
      <c r="J313" s="357" t="s">
        <v>111</v>
      </c>
      <c r="K313" s="357" t="s">
        <v>110</v>
      </c>
      <c r="L313" s="432">
        <v>0.4</v>
      </c>
      <c r="M313" s="71"/>
      <c r="N313" s="357" t="s">
        <v>1271</v>
      </c>
      <c r="O313" s="73"/>
      <c r="P313" s="433">
        <v>1</v>
      </c>
      <c r="Q313" s="432">
        <v>0.35</v>
      </c>
      <c r="R313" s="433"/>
      <c r="S313" s="160">
        <f t="shared" si="8"/>
        <v>0</v>
      </c>
      <c r="T313" s="161">
        <f t="shared" si="9"/>
        <v>0</v>
      </c>
      <c r="U313" s="160" t="s">
        <v>34</v>
      </c>
      <c r="V313" s="73"/>
      <c r="W313" s="113"/>
    </row>
    <row r="314" spans="1:23" ht="16.05" customHeight="1" x14ac:dyDescent="0.45">
      <c r="A314" s="1">
        <v>313</v>
      </c>
      <c r="B314" s="113" t="s">
        <v>924</v>
      </c>
      <c r="C314" s="113" t="s">
        <v>24</v>
      </c>
      <c r="D314" s="358">
        <v>3530</v>
      </c>
      <c r="E314" s="113" t="s">
        <v>1264</v>
      </c>
      <c r="F314" s="113" t="s">
        <v>1265</v>
      </c>
      <c r="G314" s="16">
        <v>5043</v>
      </c>
      <c r="H314" s="113" t="s">
        <v>1266</v>
      </c>
      <c r="I314" s="113" t="s">
        <v>729</v>
      </c>
      <c r="J314" s="357" t="s">
        <v>111</v>
      </c>
      <c r="K314" s="357" t="s">
        <v>110</v>
      </c>
      <c r="L314" s="432">
        <v>0.4</v>
      </c>
      <c r="M314" s="71"/>
      <c r="N314" s="357" t="s">
        <v>856</v>
      </c>
      <c r="O314" s="73"/>
      <c r="P314" s="433">
        <v>1</v>
      </c>
      <c r="Q314" s="432">
        <v>0.15</v>
      </c>
      <c r="R314" s="433"/>
      <c r="S314" s="160">
        <f t="shared" si="8"/>
        <v>0</v>
      </c>
      <c r="T314" s="161">
        <f t="shared" si="9"/>
        <v>0</v>
      </c>
      <c r="U314" s="160" t="s">
        <v>34</v>
      </c>
      <c r="V314" s="73"/>
      <c r="W314" s="113"/>
    </row>
    <row r="315" spans="1:23" ht="16.05" customHeight="1" x14ac:dyDescent="0.45">
      <c r="A315" s="1">
        <v>314</v>
      </c>
      <c r="B315" s="99" t="s">
        <v>924</v>
      </c>
      <c r="C315" s="99" t="s">
        <v>24</v>
      </c>
      <c r="D315" s="349">
        <v>5493</v>
      </c>
      <c r="E315" s="99" t="s">
        <v>1272</v>
      </c>
      <c r="F315" s="99" t="s">
        <v>1273</v>
      </c>
      <c r="G315" s="91">
        <v>3530</v>
      </c>
      <c r="H315" s="99" t="s">
        <v>1274</v>
      </c>
      <c r="I315" s="99" t="s">
        <v>729</v>
      </c>
      <c r="J315" s="91" t="s">
        <v>58</v>
      </c>
      <c r="K315" s="91" t="s">
        <v>57</v>
      </c>
      <c r="L315" s="350">
        <v>0.6</v>
      </c>
      <c r="M315" s="293"/>
      <c r="N315" s="91" t="s">
        <v>1275</v>
      </c>
      <c r="O315" s="428"/>
      <c r="P315" s="171">
        <v>1</v>
      </c>
      <c r="Q315" s="350">
        <v>0.2</v>
      </c>
      <c r="R315" s="171"/>
      <c r="S315" s="148">
        <f t="shared" si="8"/>
        <v>0</v>
      </c>
      <c r="T315" s="168">
        <f t="shared" si="9"/>
        <v>0</v>
      </c>
      <c r="U315" s="148" t="s">
        <v>34</v>
      </c>
      <c r="V315" s="429">
        <f>SUM(T315:T336)%</f>
        <v>0</v>
      </c>
      <c r="W315" s="99"/>
    </row>
    <row r="316" spans="1:23" ht="16.05" customHeight="1" x14ac:dyDescent="0.45">
      <c r="A316" s="1">
        <v>315</v>
      </c>
      <c r="B316" s="113" t="s">
        <v>924</v>
      </c>
      <c r="C316" s="57" t="s">
        <v>24</v>
      </c>
      <c r="D316" s="358">
        <v>5493</v>
      </c>
      <c r="E316" s="113" t="s">
        <v>1272</v>
      </c>
      <c r="F316" s="113" t="s">
        <v>1273</v>
      </c>
      <c r="G316" s="16">
        <v>3530</v>
      </c>
      <c r="H316" s="113" t="s">
        <v>1274</v>
      </c>
      <c r="I316" s="113" t="s">
        <v>729</v>
      </c>
      <c r="J316" s="16" t="s">
        <v>58</v>
      </c>
      <c r="K316" s="16" t="s">
        <v>57</v>
      </c>
      <c r="L316" s="360">
        <v>0.6</v>
      </c>
      <c r="M316" s="430"/>
      <c r="N316" s="184" t="s">
        <v>1276</v>
      </c>
      <c r="O316" s="44"/>
      <c r="P316" s="431">
        <v>1</v>
      </c>
      <c r="Q316" s="360">
        <v>0.1</v>
      </c>
      <c r="R316" s="431"/>
      <c r="S316" s="153">
        <f t="shared" si="8"/>
        <v>0</v>
      </c>
      <c r="T316" s="152">
        <f t="shared" si="9"/>
        <v>0</v>
      </c>
      <c r="U316" s="153" t="s">
        <v>34</v>
      </c>
      <c r="V316" s="44"/>
      <c r="W316" s="113"/>
    </row>
    <row r="317" spans="1:23" ht="16.05" customHeight="1" x14ac:dyDescent="0.45">
      <c r="A317" s="1">
        <v>316</v>
      </c>
      <c r="B317" s="113" t="s">
        <v>924</v>
      </c>
      <c r="C317" s="57" t="s">
        <v>24</v>
      </c>
      <c r="D317" s="358">
        <v>5493</v>
      </c>
      <c r="E317" s="113" t="s">
        <v>1272</v>
      </c>
      <c r="F317" s="113" t="s">
        <v>1273</v>
      </c>
      <c r="G317" s="16">
        <v>3530</v>
      </c>
      <c r="H317" s="113" t="s">
        <v>1274</v>
      </c>
      <c r="I317" s="113" t="s">
        <v>729</v>
      </c>
      <c r="J317" s="16" t="s">
        <v>58</v>
      </c>
      <c r="K317" s="16" t="s">
        <v>57</v>
      </c>
      <c r="L317" s="360">
        <v>0.6</v>
      </c>
      <c r="M317" s="430"/>
      <c r="N317" s="184" t="s">
        <v>1277</v>
      </c>
      <c r="O317" s="44"/>
      <c r="P317" s="431">
        <v>1</v>
      </c>
      <c r="Q317" s="360">
        <v>0.05</v>
      </c>
      <c r="R317" s="431"/>
      <c r="S317" s="153">
        <f t="shared" si="8"/>
        <v>0</v>
      </c>
      <c r="T317" s="152">
        <f t="shared" si="9"/>
        <v>0</v>
      </c>
      <c r="U317" s="153" t="s">
        <v>34</v>
      </c>
      <c r="V317" s="44"/>
      <c r="W317" s="113"/>
    </row>
    <row r="318" spans="1:23" ht="16.05" customHeight="1" x14ac:dyDescent="0.45">
      <c r="A318" s="1">
        <v>317</v>
      </c>
      <c r="B318" s="113" t="s">
        <v>924</v>
      </c>
      <c r="C318" s="57" t="s">
        <v>24</v>
      </c>
      <c r="D318" s="358">
        <v>5493</v>
      </c>
      <c r="E318" s="113" t="s">
        <v>1272</v>
      </c>
      <c r="F318" s="113" t="s">
        <v>1273</v>
      </c>
      <c r="G318" s="16">
        <v>3530</v>
      </c>
      <c r="H318" s="113" t="s">
        <v>1274</v>
      </c>
      <c r="I318" s="113" t="s">
        <v>729</v>
      </c>
      <c r="J318" s="16" t="s">
        <v>58</v>
      </c>
      <c r="K318" s="16" t="s">
        <v>57</v>
      </c>
      <c r="L318" s="360">
        <v>0.6</v>
      </c>
      <c r="M318" s="430"/>
      <c r="N318" s="184" t="s">
        <v>1278</v>
      </c>
      <c r="O318" s="44"/>
      <c r="P318" s="431">
        <v>1</v>
      </c>
      <c r="Q318" s="360">
        <v>0.2</v>
      </c>
      <c r="R318" s="431"/>
      <c r="S318" s="153">
        <f t="shared" si="8"/>
        <v>0</v>
      </c>
      <c r="T318" s="152">
        <f t="shared" si="9"/>
        <v>0</v>
      </c>
      <c r="U318" s="153" t="s">
        <v>34</v>
      </c>
      <c r="V318" s="44"/>
      <c r="W318" s="113"/>
    </row>
    <row r="319" spans="1:23" ht="16.05" customHeight="1" x14ac:dyDescent="0.45">
      <c r="A319" s="1">
        <v>318</v>
      </c>
      <c r="B319" s="113" t="s">
        <v>924</v>
      </c>
      <c r="C319" s="57" t="s">
        <v>24</v>
      </c>
      <c r="D319" s="358">
        <v>5493</v>
      </c>
      <c r="E319" s="113" t="s">
        <v>1272</v>
      </c>
      <c r="F319" s="113" t="s">
        <v>1273</v>
      </c>
      <c r="G319" s="16">
        <v>3530</v>
      </c>
      <c r="H319" s="113" t="s">
        <v>1274</v>
      </c>
      <c r="I319" s="113" t="s">
        <v>729</v>
      </c>
      <c r="J319" s="16" t="s">
        <v>58</v>
      </c>
      <c r="K319" s="16" t="s">
        <v>57</v>
      </c>
      <c r="L319" s="360">
        <v>0.6</v>
      </c>
      <c r="M319" s="430"/>
      <c r="N319" s="184" t="s">
        <v>1279</v>
      </c>
      <c r="O319" s="44"/>
      <c r="P319" s="431">
        <v>1</v>
      </c>
      <c r="Q319" s="360">
        <v>0.15</v>
      </c>
      <c r="R319" s="431"/>
      <c r="S319" s="153">
        <f t="shared" si="8"/>
        <v>0</v>
      </c>
      <c r="T319" s="152">
        <f t="shared" si="9"/>
        <v>0</v>
      </c>
      <c r="U319" s="153" t="s">
        <v>34</v>
      </c>
      <c r="V319" s="44"/>
      <c r="W319" s="113"/>
    </row>
    <row r="320" spans="1:23" ht="16.05" customHeight="1" x14ac:dyDescent="0.45">
      <c r="A320" s="1">
        <v>319</v>
      </c>
      <c r="B320" s="113" t="s">
        <v>924</v>
      </c>
      <c r="C320" s="57" t="s">
        <v>24</v>
      </c>
      <c r="D320" s="358">
        <v>5493</v>
      </c>
      <c r="E320" s="113" t="s">
        <v>1272</v>
      </c>
      <c r="F320" s="113" t="s">
        <v>1273</v>
      </c>
      <c r="G320" s="16">
        <v>3530</v>
      </c>
      <c r="H320" s="113" t="s">
        <v>1274</v>
      </c>
      <c r="I320" s="113" t="s">
        <v>729</v>
      </c>
      <c r="J320" s="16" t="s">
        <v>58</v>
      </c>
      <c r="K320" s="16" t="s">
        <v>57</v>
      </c>
      <c r="L320" s="360">
        <v>0.6</v>
      </c>
      <c r="M320" s="430"/>
      <c r="N320" s="184" t="s">
        <v>1280</v>
      </c>
      <c r="O320" s="44"/>
      <c r="P320" s="431">
        <v>1</v>
      </c>
      <c r="Q320" s="360">
        <v>0.15</v>
      </c>
      <c r="R320" s="431"/>
      <c r="S320" s="153">
        <f t="shared" si="8"/>
        <v>0</v>
      </c>
      <c r="T320" s="152">
        <f t="shared" si="9"/>
        <v>0</v>
      </c>
      <c r="U320" s="153" t="s">
        <v>34</v>
      </c>
      <c r="V320" s="44"/>
      <c r="W320" s="113"/>
    </row>
    <row r="321" spans="1:23" ht="16.05" customHeight="1" x14ac:dyDescent="0.45">
      <c r="A321" s="1">
        <v>320</v>
      </c>
      <c r="B321" s="113" t="s">
        <v>924</v>
      </c>
      <c r="C321" s="57" t="s">
        <v>24</v>
      </c>
      <c r="D321" s="358">
        <v>5493</v>
      </c>
      <c r="E321" s="113" t="s">
        <v>1272</v>
      </c>
      <c r="F321" s="113" t="s">
        <v>1273</v>
      </c>
      <c r="G321" s="16">
        <v>3530</v>
      </c>
      <c r="H321" s="113" t="s">
        <v>1274</v>
      </c>
      <c r="I321" s="113" t="s">
        <v>729</v>
      </c>
      <c r="J321" s="16" t="s">
        <v>58</v>
      </c>
      <c r="K321" s="16" t="s">
        <v>57</v>
      </c>
      <c r="L321" s="360">
        <v>0.6</v>
      </c>
      <c r="M321" s="430"/>
      <c r="N321" s="184" t="s">
        <v>1281</v>
      </c>
      <c r="O321" s="44"/>
      <c r="P321" s="431">
        <v>1</v>
      </c>
      <c r="Q321" s="360">
        <v>0.15</v>
      </c>
      <c r="R321" s="431"/>
      <c r="S321" s="153">
        <f t="shared" si="8"/>
        <v>0</v>
      </c>
      <c r="T321" s="152">
        <f t="shared" si="9"/>
        <v>0</v>
      </c>
      <c r="U321" s="153" t="s">
        <v>34</v>
      </c>
      <c r="V321" s="44"/>
      <c r="W321" s="113"/>
    </row>
    <row r="322" spans="1:23" ht="16.05" customHeight="1" x14ac:dyDescent="0.45">
      <c r="A322" s="1">
        <v>321</v>
      </c>
      <c r="B322" s="113" t="s">
        <v>924</v>
      </c>
      <c r="C322" s="57" t="s">
        <v>24</v>
      </c>
      <c r="D322" s="358">
        <v>5493</v>
      </c>
      <c r="E322" s="113" t="s">
        <v>1272</v>
      </c>
      <c r="F322" s="113" t="s">
        <v>1273</v>
      </c>
      <c r="G322" s="16">
        <v>3530</v>
      </c>
      <c r="H322" s="113" t="s">
        <v>1274</v>
      </c>
      <c r="I322" s="113" t="s">
        <v>729</v>
      </c>
      <c r="J322" s="182" t="s">
        <v>111</v>
      </c>
      <c r="K322" s="16" t="s">
        <v>110</v>
      </c>
      <c r="L322" s="282">
        <v>0.4</v>
      </c>
      <c r="M322" s="71"/>
      <c r="N322" s="16" t="s">
        <v>255</v>
      </c>
      <c r="O322" s="73"/>
      <c r="P322" s="28">
        <v>1</v>
      </c>
      <c r="Q322" s="282">
        <v>0.05</v>
      </c>
      <c r="R322" s="28"/>
      <c r="S322" s="28">
        <f t="shared" ref="S322:S385" si="10">ROUND(IF(OR(P322="",R322=""),0,IF(AND(P322=0,R322=0),1,IF(U322="+",R322/P322,P322/R322))),2)</f>
        <v>0</v>
      </c>
      <c r="T322" s="46">
        <f t="shared" ref="T322:T385" si="11">IF(AND(S322&gt;=60%,S322&lt;100%),S322*((Q322*L322)),IF(S322=100%,((Q322*L322)*S322)*100%,IF(S322&gt;100%,((L322*Q322)*100%)*100%,0)))*100</f>
        <v>0</v>
      </c>
      <c r="U322" s="28" t="s">
        <v>34</v>
      </c>
      <c r="V322" s="73"/>
      <c r="W322" s="113"/>
    </row>
    <row r="323" spans="1:23" ht="16.05" customHeight="1" x14ac:dyDescent="0.45">
      <c r="A323" s="1">
        <v>322</v>
      </c>
      <c r="B323" s="113" t="s">
        <v>924</v>
      </c>
      <c r="C323" s="57" t="s">
        <v>24</v>
      </c>
      <c r="D323" s="358">
        <v>5493</v>
      </c>
      <c r="E323" s="113" t="s">
        <v>1272</v>
      </c>
      <c r="F323" s="113" t="s">
        <v>1273</v>
      </c>
      <c r="G323" s="16">
        <v>3530</v>
      </c>
      <c r="H323" s="113" t="s">
        <v>1274</v>
      </c>
      <c r="I323" s="113" t="s">
        <v>729</v>
      </c>
      <c r="J323" s="182" t="s">
        <v>111</v>
      </c>
      <c r="K323" s="16" t="s">
        <v>110</v>
      </c>
      <c r="L323" s="282">
        <v>0.4</v>
      </c>
      <c r="M323" s="71"/>
      <c r="N323" s="16" t="s">
        <v>768</v>
      </c>
      <c r="O323" s="73"/>
      <c r="P323" s="28">
        <v>1</v>
      </c>
      <c r="Q323" s="282">
        <v>0.05</v>
      </c>
      <c r="R323" s="28"/>
      <c r="S323" s="28">
        <f t="shared" si="10"/>
        <v>0</v>
      </c>
      <c r="T323" s="46">
        <f t="shared" si="11"/>
        <v>0</v>
      </c>
      <c r="U323" s="28" t="s">
        <v>34</v>
      </c>
      <c r="V323" s="73"/>
      <c r="W323" s="113"/>
    </row>
    <row r="324" spans="1:23" ht="16.05" customHeight="1" x14ac:dyDescent="0.45">
      <c r="A324" s="1">
        <v>323</v>
      </c>
      <c r="B324" s="113" t="s">
        <v>924</v>
      </c>
      <c r="C324" s="57" t="s">
        <v>24</v>
      </c>
      <c r="D324" s="358">
        <v>5493</v>
      </c>
      <c r="E324" s="113" t="s">
        <v>1272</v>
      </c>
      <c r="F324" s="113" t="s">
        <v>1273</v>
      </c>
      <c r="G324" s="16">
        <v>3530</v>
      </c>
      <c r="H324" s="113" t="s">
        <v>1274</v>
      </c>
      <c r="I324" s="113" t="s">
        <v>729</v>
      </c>
      <c r="J324" s="182" t="s">
        <v>111</v>
      </c>
      <c r="K324" s="16" t="s">
        <v>110</v>
      </c>
      <c r="L324" s="282">
        <v>0.4</v>
      </c>
      <c r="M324" s="71"/>
      <c r="N324" s="16" t="s">
        <v>769</v>
      </c>
      <c r="O324" s="73"/>
      <c r="P324" s="28">
        <v>1</v>
      </c>
      <c r="Q324" s="282">
        <v>0.05</v>
      </c>
      <c r="R324" s="28"/>
      <c r="S324" s="28">
        <f t="shared" si="10"/>
        <v>0</v>
      </c>
      <c r="T324" s="46">
        <f t="shared" si="11"/>
        <v>0</v>
      </c>
      <c r="U324" s="28" t="s">
        <v>34</v>
      </c>
      <c r="V324" s="73"/>
      <c r="W324" s="113"/>
    </row>
    <row r="325" spans="1:23" ht="16.05" customHeight="1" x14ac:dyDescent="0.45">
      <c r="A325" s="1">
        <v>324</v>
      </c>
      <c r="B325" s="113" t="s">
        <v>924</v>
      </c>
      <c r="C325" s="57" t="s">
        <v>24</v>
      </c>
      <c r="D325" s="358">
        <v>5493</v>
      </c>
      <c r="E325" s="113" t="s">
        <v>1272</v>
      </c>
      <c r="F325" s="113" t="s">
        <v>1273</v>
      </c>
      <c r="G325" s="16">
        <v>3530</v>
      </c>
      <c r="H325" s="113" t="s">
        <v>1274</v>
      </c>
      <c r="I325" s="113" t="s">
        <v>729</v>
      </c>
      <c r="J325" s="182" t="s">
        <v>111</v>
      </c>
      <c r="K325" s="16" t="s">
        <v>110</v>
      </c>
      <c r="L325" s="282">
        <v>0.4</v>
      </c>
      <c r="M325" s="71"/>
      <c r="N325" s="16" t="s">
        <v>770</v>
      </c>
      <c r="O325" s="73"/>
      <c r="P325" s="28">
        <v>1</v>
      </c>
      <c r="Q325" s="282">
        <v>0.15</v>
      </c>
      <c r="R325" s="28"/>
      <c r="S325" s="28">
        <f t="shared" si="10"/>
        <v>0</v>
      </c>
      <c r="T325" s="46">
        <f t="shared" si="11"/>
        <v>0</v>
      </c>
      <c r="U325" s="28" t="s">
        <v>34</v>
      </c>
      <c r="V325" s="73"/>
      <c r="W325" s="113"/>
    </row>
    <row r="326" spans="1:23" ht="16.05" customHeight="1" x14ac:dyDescent="0.45">
      <c r="A326" s="1">
        <v>325</v>
      </c>
      <c r="B326" s="113" t="s">
        <v>924</v>
      </c>
      <c r="C326" s="57" t="s">
        <v>24</v>
      </c>
      <c r="D326" s="358">
        <v>5493</v>
      </c>
      <c r="E326" s="113" t="s">
        <v>1272</v>
      </c>
      <c r="F326" s="113" t="s">
        <v>1273</v>
      </c>
      <c r="G326" s="16">
        <v>3530</v>
      </c>
      <c r="H326" s="113" t="s">
        <v>1274</v>
      </c>
      <c r="I326" s="113" t="s">
        <v>729</v>
      </c>
      <c r="J326" s="182" t="s">
        <v>111</v>
      </c>
      <c r="K326" s="16" t="s">
        <v>110</v>
      </c>
      <c r="L326" s="282">
        <v>0.4</v>
      </c>
      <c r="M326" s="71"/>
      <c r="N326" s="16" t="s">
        <v>254</v>
      </c>
      <c r="O326" s="73"/>
      <c r="P326" s="28">
        <v>1</v>
      </c>
      <c r="Q326" s="282">
        <v>0.1</v>
      </c>
      <c r="R326" s="28"/>
      <c r="S326" s="28">
        <f t="shared" si="10"/>
        <v>0</v>
      </c>
      <c r="T326" s="46">
        <f t="shared" si="11"/>
        <v>0</v>
      </c>
      <c r="U326" s="28" t="s">
        <v>34</v>
      </c>
      <c r="V326" s="73"/>
      <c r="W326" s="113"/>
    </row>
    <row r="327" spans="1:23" ht="16.05" customHeight="1" x14ac:dyDescent="0.45">
      <c r="A327" s="1">
        <v>326</v>
      </c>
      <c r="B327" s="113" t="s">
        <v>924</v>
      </c>
      <c r="C327" s="57" t="s">
        <v>24</v>
      </c>
      <c r="D327" s="358">
        <v>5493</v>
      </c>
      <c r="E327" s="113" t="s">
        <v>1272</v>
      </c>
      <c r="F327" s="113" t="s">
        <v>1273</v>
      </c>
      <c r="G327" s="16">
        <v>3530</v>
      </c>
      <c r="H327" s="113" t="s">
        <v>1274</v>
      </c>
      <c r="I327" s="113" t="s">
        <v>729</v>
      </c>
      <c r="J327" s="182" t="s">
        <v>111</v>
      </c>
      <c r="K327" s="16" t="s">
        <v>110</v>
      </c>
      <c r="L327" s="282">
        <v>0.4</v>
      </c>
      <c r="M327" s="71"/>
      <c r="N327" s="16" t="s">
        <v>771</v>
      </c>
      <c r="O327" s="73"/>
      <c r="P327" s="28">
        <v>1</v>
      </c>
      <c r="Q327" s="282">
        <v>0.05</v>
      </c>
      <c r="R327" s="28"/>
      <c r="S327" s="28">
        <f t="shared" si="10"/>
        <v>0</v>
      </c>
      <c r="T327" s="46">
        <f t="shared" si="11"/>
        <v>0</v>
      </c>
      <c r="U327" s="28" t="s">
        <v>34</v>
      </c>
      <c r="V327" s="73"/>
      <c r="W327" s="113"/>
    </row>
    <row r="328" spans="1:23" ht="16.05" customHeight="1" x14ac:dyDescent="0.45">
      <c r="A328" s="1">
        <v>327</v>
      </c>
      <c r="B328" s="113" t="s">
        <v>924</v>
      </c>
      <c r="C328" s="57" t="s">
        <v>24</v>
      </c>
      <c r="D328" s="358">
        <v>5493</v>
      </c>
      <c r="E328" s="113" t="s">
        <v>1272</v>
      </c>
      <c r="F328" s="113" t="s">
        <v>1273</v>
      </c>
      <c r="G328" s="16">
        <v>3530</v>
      </c>
      <c r="H328" s="113" t="s">
        <v>1274</v>
      </c>
      <c r="I328" s="113" t="s">
        <v>729</v>
      </c>
      <c r="J328" s="182" t="s">
        <v>111</v>
      </c>
      <c r="K328" s="16" t="s">
        <v>110</v>
      </c>
      <c r="L328" s="282">
        <v>0.4</v>
      </c>
      <c r="M328" s="71"/>
      <c r="N328" s="16" t="s">
        <v>772</v>
      </c>
      <c r="O328" s="73"/>
      <c r="P328" s="28">
        <v>1</v>
      </c>
      <c r="Q328" s="282">
        <v>0.1</v>
      </c>
      <c r="R328" s="28"/>
      <c r="S328" s="28">
        <f t="shared" si="10"/>
        <v>0</v>
      </c>
      <c r="T328" s="46">
        <f t="shared" si="11"/>
        <v>0</v>
      </c>
      <c r="U328" s="28" t="s">
        <v>34</v>
      </c>
      <c r="V328" s="73"/>
      <c r="W328" s="113"/>
    </row>
    <row r="329" spans="1:23" ht="16.05" customHeight="1" x14ac:dyDescent="0.45">
      <c r="A329" s="1">
        <v>328</v>
      </c>
      <c r="B329" s="113" t="s">
        <v>924</v>
      </c>
      <c r="C329" s="57" t="s">
        <v>24</v>
      </c>
      <c r="D329" s="358">
        <v>5493</v>
      </c>
      <c r="E329" s="113" t="s">
        <v>1272</v>
      </c>
      <c r="F329" s="113" t="s">
        <v>1273</v>
      </c>
      <c r="G329" s="16">
        <v>3530</v>
      </c>
      <c r="H329" s="113" t="s">
        <v>1274</v>
      </c>
      <c r="I329" s="113" t="s">
        <v>729</v>
      </c>
      <c r="J329" s="182" t="s">
        <v>111</v>
      </c>
      <c r="K329" s="16" t="s">
        <v>110</v>
      </c>
      <c r="L329" s="282">
        <v>0.4</v>
      </c>
      <c r="M329" s="71"/>
      <c r="N329" s="16" t="s">
        <v>773</v>
      </c>
      <c r="O329" s="73"/>
      <c r="P329" s="28">
        <v>1</v>
      </c>
      <c r="Q329" s="282">
        <v>0.05</v>
      </c>
      <c r="R329" s="28"/>
      <c r="S329" s="28">
        <f t="shared" si="10"/>
        <v>0</v>
      </c>
      <c r="T329" s="46">
        <f t="shared" si="11"/>
        <v>0</v>
      </c>
      <c r="U329" s="28" t="s">
        <v>34</v>
      </c>
      <c r="V329" s="73"/>
      <c r="W329" s="113"/>
    </row>
    <row r="330" spans="1:23" ht="16.05" customHeight="1" x14ac:dyDescent="0.45">
      <c r="A330" s="1">
        <v>329</v>
      </c>
      <c r="B330" s="113" t="s">
        <v>924</v>
      </c>
      <c r="C330" s="57" t="s">
        <v>24</v>
      </c>
      <c r="D330" s="358">
        <v>5493</v>
      </c>
      <c r="E330" s="113" t="s">
        <v>1272</v>
      </c>
      <c r="F330" s="113" t="s">
        <v>1273</v>
      </c>
      <c r="G330" s="16">
        <v>3530</v>
      </c>
      <c r="H330" s="113" t="s">
        <v>1274</v>
      </c>
      <c r="I330" s="113" t="s">
        <v>729</v>
      </c>
      <c r="J330" s="182" t="s">
        <v>111</v>
      </c>
      <c r="K330" s="16" t="s">
        <v>110</v>
      </c>
      <c r="L330" s="282">
        <v>0.4</v>
      </c>
      <c r="M330" s="71"/>
      <c r="N330" s="16" t="s">
        <v>774</v>
      </c>
      <c r="O330" s="73"/>
      <c r="P330" s="28">
        <v>1</v>
      </c>
      <c r="Q330" s="282">
        <v>0.05</v>
      </c>
      <c r="R330" s="28"/>
      <c r="S330" s="28">
        <f t="shared" si="10"/>
        <v>0</v>
      </c>
      <c r="T330" s="46">
        <f t="shared" si="11"/>
        <v>0</v>
      </c>
      <c r="U330" s="28" t="s">
        <v>34</v>
      </c>
      <c r="V330" s="73"/>
      <c r="W330" s="113"/>
    </row>
    <row r="331" spans="1:23" ht="16.05" customHeight="1" x14ac:dyDescent="0.45">
      <c r="A331" s="1">
        <v>330</v>
      </c>
      <c r="B331" s="113" t="s">
        <v>924</v>
      </c>
      <c r="C331" s="57" t="s">
        <v>24</v>
      </c>
      <c r="D331" s="358">
        <v>5493</v>
      </c>
      <c r="E331" s="113" t="s">
        <v>1272</v>
      </c>
      <c r="F331" s="113" t="s">
        <v>1273</v>
      </c>
      <c r="G331" s="16">
        <v>3530</v>
      </c>
      <c r="H331" s="113" t="s">
        <v>1274</v>
      </c>
      <c r="I331" s="113" t="s">
        <v>729</v>
      </c>
      <c r="J331" s="182" t="s">
        <v>111</v>
      </c>
      <c r="K331" s="16" t="s">
        <v>110</v>
      </c>
      <c r="L331" s="282">
        <v>0.4</v>
      </c>
      <c r="M331" s="71"/>
      <c r="N331" s="16" t="s">
        <v>775</v>
      </c>
      <c r="O331" s="73"/>
      <c r="P331" s="28">
        <v>1</v>
      </c>
      <c r="Q331" s="282">
        <v>0.05</v>
      </c>
      <c r="R331" s="28"/>
      <c r="S331" s="28">
        <f t="shared" si="10"/>
        <v>0</v>
      </c>
      <c r="T331" s="46">
        <f t="shared" si="11"/>
        <v>0</v>
      </c>
      <c r="U331" s="28" t="s">
        <v>34</v>
      </c>
      <c r="V331" s="73"/>
      <c r="W331" s="113"/>
    </row>
    <row r="332" spans="1:23" ht="16.05" customHeight="1" x14ac:dyDescent="0.45">
      <c r="A332" s="1">
        <v>331</v>
      </c>
      <c r="B332" s="113" t="s">
        <v>924</v>
      </c>
      <c r="C332" s="57" t="s">
        <v>24</v>
      </c>
      <c r="D332" s="358">
        <v>5493</v>
      </c>
      <c r="E332" s="113" t="s">
        <v>1272</v>
      </c>
      <c r="F332" s="113" t="s">
        <v>1273</v>
      </c>
      <c r="G332" s="16">
        <v>3530</v>
      </c>
      <c r="H332" s="113" t="s">
        <v>1274</v>
      </c>
      <c r="I332" s="113" t="s">
        <v>729</v>
      </c>
      <c r="J332" s="182" t="s">
        <v>111</v>
      </c>
      <c r="K332" s="16" t="s">
        <v>110</v>
      </c>
      <c r="L332" s="282">
        <v>0.4</v>
      </c>
      <c r="M332" s="71"/>
      <c r="N332" s="16" t="s">
        <v>776</v>
      </c>
      <c r="O332" s="73"/>
      <c r="P332" s="28">
        <v>1</v>
      </c>
      <c r="Q332" s="282">
        <v>0.1</v>
      </c>
      <c r="R332" s="28"/>
      <c r="S332" s="28">
        <f t="shared" si="10"/>
        <v>0</v>
      </c>
      <c r="T332" s="46">
        <f t="shared" si="11"/>
        <v>0</v>
      </c>
      <c r="U332" s="28" t="s">
        <v>34</v>
      </c>
      <c r="V332" s="73"/>
      <c r="W332" s="113"/>
    </row>
    <row r="333" spans="1:23" ht="16.05" customHeight="1" x14ac:dyDescent="0.45">
      <c r="A333" s="1">
        <v>332</v>
      </c>
      <c r="B333" s="113" t="s">
        <v>924</v>
      </c>
      <c r="C333" s="57" t="s">
        <v>24</v>
      </c>
      <c r="D333" s="358">
        <v>5493</v>
      </c>
      <c r="E333" s="113" t="s">
        <v>1272</v>
      </c>
      <c r="F333" s="113" t="s">
        <v>1273</v>
      </c>
      <c r="G333" s="16">
        <v>3530</v>
      </c>
      <c r="H333" s="113" t="s">
        <v>1274</v>
      </c>
      <c r="I333" s="113" t="s">
        <v>729</v>
      </c>
      <c r="J333" s="182" t="s">
        <v>111</v>
      </c>
      <c r="K333" s="16" t="s">
        <v>110</v>
      </c>
      <c r="L333" s="282">
        <v>0.4</v>
      </c>
      <c r="M333" s="71"/>
      <c r="N333" s="16" t="s">
        <v>251</v>
      </c>
      <c r="O333" s="73"/>
      <c r="P333" s="28">
        <v>1</v>
      </c>
      <c r="Q333" s="282">
        <v>0.05</v>
      </c>
      <c r="R333" s="28"/>
      <c r="S333" s="28">
        <f t="shared" si="10"/>
        <v>0</v>
      </c>
      <c r="T333" s="46">
        <f t="shared" si="11"/>
        <v>0</v>
      </c>
      <c r="U333" s="28" t="s">
        <v>34</v>
      </c>
      <c r="V333" s="73"/>
      <c r="W333" s="113"/>
    </row>
    <row r="334" spans="1:23" ht="16.05" customHeight="1" x14ac:dyDescent="0.45">
      <c r="A334" s="1">
        <v>333</v>
      </c>
      <c r="B334" s="113" t="s">
        <v>924</v>
      </c>
      <c r="C334" s="57" t="s">
        <v>24</v>
      </c>
      <c r="D334" s="358">
        <v>5493</v>
      </c>
      <c r="E334" s="113" t="s">
        <v>1272</v>
      </c>
      <c r="F334" s="113" t="s">
        <v>1273</v>
      </c>
      <c r="G334" s="16">
        <v>3530</v>
      </c>
      <c r="H334" s="113" t="s">
        <v>1274</v>
      </c>
      <c r="I334" s="113" t="s">
        <v>729</v>
      </c>
      <c r="J334" s="182" t="s">
        <v>111</v>
      </c>
      <c r="K334" s="16" t="s">
        <v>110</v>
      </c>
      <c r="L334" s="282">
        <v>0.4</v>
      </c>
      <c r="M334" s="71"/>
      <c r="N334" s="16" t="s">
        <v>252</v>
      </c>
      <c r="O334" s="73"/>
      <c r="P334" s="28">
        <v>1</v>
      </c>
      <c r="Q334" s="282">
        <v>0.05</v>
      </c>
      <c r="R334" s="28"/>
      <c r="S334" s="28">
        <f t="shared" si="10"/>
        <v>0</v>
      </c>
      <c r="T334" s="46">
        <f t="shared" si="11"/>
        <v>0</v>
      </c>
      <c r="U334" s="28" t="s">
        <v>34</v>
      </c>
      <c r="V334" s="73"/>
      <c r="W334" s="113"/>
    </row>
    <row r="335" spans="1:23" ht="16.05" customHeight="1" x14ac:dyDescent="0.45">
      <c r="A335" s="1">
        <v>334</v>
      </c>
      <c r="B335" s="113" t="s">
        <v>924</v>
      </c>
      <c r="C335" s="57" t="s">
        <v>24</v>
      </c>
      <c r="D335" s="358">
        <v>5493</v>
      </c>
      <c r="E335" s="113" t="s">
        <v>1272</v>
      </c>
      <c r="F335" s="113" t="s">
        <v>1273</v>
      </c>
      <c r="G335" s="16">
        <v>3530</v>
      </c>
      <c r="H335" s="113" t="s">
        <v>1274</v>
      </c>
      <c r="I335" s="113" t="s">
        <v>729</v>
      </c>
      <c r="J335" s="182" t="s">
        <v>111</v>
      </c>
      <c r="K335" s="16" t="s">
        <v>110</v>
      </c>
      <c r="L335" s="282">
        <v>0.4</v>
      </c>
      <c r="M335" s="71"/>
      <c r="N335" s="16" t="s">
        <v>777</v>
      </c>
      <c r="O335" s="73"/>
      <c r="P335" s="28">
        <v>1</v>
      </c>
      <c r="Q335" s="282">
        <v>0.05</v>
      </c>
      <c r="R335" s="28"/>
      <c r="S335" s="28">
        <f t="shared" si="10"/>
        <v>0</v>
      </c>
      <c r="T335" s="46">
        <f t="shared" si="11"/>
        <v>0</v>
      </c>
      <c r="U335" s="28" t="s">
        <v>34</v>
      </c>
      <c r="V335" s="73"/>
      <c r="W335" s="113"/>
    </row>
    <row r="336" spans="1:23" ht="16.05" customHeight="1" x14ac:dyDescent="0.45">
      <c r="A336" s="1">
        <v>335</v>
      </c>
      <c r="B336" s="113" t="s">
        <v>924</v>
      </c>
      <c r="C336" s="57" t="s">
        <v>24</v>
      </c>
      <c r="D336" s="358">
        <v>5493</v>
      </c>
      <c r="E336" s="113" t="s">
        <v>1272</v>
      </c>
      <c r="F336" s="113" t="s">
        <v>1273</v>
      </c>
      <c r="G336" s="16">
        <v>3530</v>
      </c>
      <c r="H336" s="113" t="s">
        <v>1274</v>
      </c>
      <c r="I336" s="113" t="s">
        <v>729</v>
      </c>
      <c r="J336" s="182" t="s">
        <v>111</v>
      </c>
      <c r="K336" s="16" t="s">
        <v>110</v>
      </c>
      <c r="L336" s="282">
        <v>0.4</v>
      </c>
      <c r="M336" s="71"/>
      <c r="N336" s="16" t="s">
        <v>253</v>
      </c>
      <c r="O336" s="73"/>
      <c r="P336" s="28">
        <v>1</v>
      </c>
      <c r="Q336" s="282">
        <v>0.05</v>
      </c>
      <c r="R336" s="28"/>
      <c r="S336" s="28">
        <f t="shared" si="10"/>
        <v>0</v>
      </c>
      <c r="T336" s="46">
        <f t="shared" si="11"/>
        <v>0</v>
      </c>
      <c r="U336" s="28" t="s">
        <v>34</v>
      </c>
      <c r="V336" s="73"/>
      <c r="W336" s="113"/>
    </row>
    <row r="337" spans="1:23" ht="16.05" customHeight="1" x14ac:dyDescent="0.45">
      <c r="A337" s="1">
        <v>336</v>
      </c>
      <c r="B337" s="99" t="s">
        <v>924</v>
      </c>
      <c r="C337" s="99" t="s">
        <v>24</v>
      </c>
      <c r="D337" s="349">
        <v>5662</v>
      </c>
      <c r="E337" s="99" t="s">
        <v>1282</v>
      </c>
      <c r="F337" s="99" t="s">
        <v>1283</v>
      </c>
      <c r="G337" s="91">
        <v>5670</v>
      </c>
      <c r="H337" s="99" t="s">
        <v>1284</v>
      </c>
      <c r="I337" s="99" t="s">
        <v>729</v>
      </c>
      <c r="J337" s="91" t="s">
        <v>58</v>
      </c>
      <c r="K337" s="91" t="s">
        <v>57</v>
      </c>
      <c r="L337" s="350">
        <v>0.6</v>
      </c>
      <c r="M337" s="293"/>
      <c r="N337" s="91" t="s">
        <v>730</v>
      </c>
      <c r="O337" s="428"/>
      <c r="P337" s="171">
        <v>1</v>
      </c>
      <c r="Q337" s="350">
        <v>0.2</v>
      </c>
      <c r="R337" s="171"/>
      <c r="S337" s="171">
        <f t="shared" si="10"/>
        <v>0</v>
      </c>
      <c r="T337" s="168">
        <f t="shared" si="11"/>
        <v>0</v>
      </c>
      <c r="U337" s="168" t="s">
        <v>34</v>
      </c>
      <c r="V337" s="429">
        <f>SUM(T337:T357)%</f>
        <v>0</v>
      </c>
      <c r="W337" s="99"/>
    </row>
    <row r="338" spans="1:23" ht="16.05" customHeight="1" x14ac:dyDescent="0.45">
      <c r="A338" s="1">
        <v>337</v>
      </c>
      <c r="B338" s="113" t="s">
        <v>924</v>
      </c>
      <c r="C338" s="57" t="s">
        <v>24</v>
      </c>
      <c r="D338" s="358">
        <v>5662</v>
      </c>
      <c r="E338" s="113" t="s">
        <v>1282</v>
      </c>
      <c r="F338" s="113" t="s">
        <v>1283</v>
      </c>
      <c r="G338" s="16">
        <v>5670</v>
      </c>
      <c r="H338" s="113" t="s">
        <v>1284</v>
      </c>
      <c r="I338" s="113" t="s">
        <v>729</v>
      </c>
      <c r="J338" s="16" t="s">
        <v>58</v>
      </c>
      <c r="K338" s="16" t="s">
        <v>57</v>
      </c>
      <c r="L338" s="360">
        <v>0.6</v>
      </c>
      <c r="M338" s="430"/>
      <c r="N338" s="184" t="s">
        <v>1285</v>
      </c>
      <c r="O338" s="44"/>
      <c r="P338" s="431">
        <v>1</v>
      </c>
      <c r="Q338" s="360">
        <v>0.1</v>
      </c>
      <c r="R338" s="431"/>
      <c r="S338" s="431">
        <f t="shared" si="10"/>
        <v>0</v>
      </c>
      <c r="T338" s="42">
        <f t="shared" si="11"/>
        <v>0</v>
      </c>
      <c r="U338" s="152" t="s">
        <v>34</v>
      </c>
      <c r="V338" s="44"/>
      <c r="W338" s="113"/>
    </row>
    <row r="339" spans="1:23" ht="16.05" customHeight="1" x14ac:dyDescent="0.45">
      <c r="A339" s="1">
        <v>338</v>
      </c>
      <c r="B339" s="113" t="s">
        <v>924</v>
      </c>
      <c r="C339" s="57" t="s">
        <v>24</v>
      </c>
      <c r="D339" s="358">
        <v>5662</v>
      </c>
      <c r="E339" s="113" t="s">
        <v>1282</v>
      </c>
      <c r="F339" s="113" t="s">
        <v>1283</v>
      </c>
      <c r="G339" s="16">
        <v>5670</v>
      </c>
      <c r="H339" s="113" t="s">
        <v>1284</v>
      </c>
      <c r="I339" s="113" t="s">
        <v>729</v>
      </c>
      <c r="J339" s="16" t="s">
        <v>58</v>
      </c>
      <c r="K339" s="16" t="s">
        <v>57</v>
      </c>
      <c r="L339" s="360">
        <v>0.6</v>
      </c>
      <c r="M339" s="430"/>
      <c r="N339" s="184" t="s">
        <v>1286</v>
      </c>
      <c r="O339" s="44"/>
      <c r="P339" s="431">
        <v>1</v>
      </c>
      <c r="Q339" s="360">
        <v>0.2</v>
      </c>
      <c r="R339" s="431"/>
      <c r="S339" s="431">
        <f t="shared" si="10"/>
        <v>0</v>
      </c>
      <c r="T339" s="42">
        <f t="shared" si="11"/>
        <v>0</v>
      </c>
      <c r="U339" s="152" t="s">
        <v>34</v>
      </c>
      <c r="V339" s="44"/>
      <c r="W339" s="113"/>
    </row>
    <row r="340" spans="1:23" ht="16.05" customHeight="1" x14ac:dyDescent="0.45">
      <c r="A340" s="1">
        <v>339</v>
      </c>
      <c r="B340" s="113" t="s">
        <v>924</v>
      </c>
      <c r="C340" s="57" t="s">
        <v>24</v>
      </c>
      <c r="D340" s="358">
        <v>5662</v>
      </c>
      <c r="E340" s="113" t="s">
        <v>1282</v>
      </c>
      <c r="F340" s="113" t="s">
        <v>1283</v>
      </c>
      <c r="G340" s="16">
        <v>5670</v>
      </c>
      <c r="H340" s="113" t="s">
        <v>1284</v>
      </c>
      <c r="I340" s="113" t="s">
        <v>729</v>
      </c>
      <c r="J340" s="16" t="s">
        <v>58</v>
      </c>
      <c r="K340" s="16" t="s">
        <v>57</v>
      </c>
      <c r="L340" s="360">
        <v>0.6</v>
      </c>
      <c r="M340" s="430"/>
      <c r="N340" s="184" t="s">
        <v>1287</v>
      </c>
      <c r="O340" s="44"/>
      <c r="P340" s="431">
        <v>1</v>
      </c>
      <c r="Q340" s="360">
        <v>0.2</v>
      </c>
      <c r="R340" s="431"/>
      <c r="S340" s="431">
        <f t="shared" si="10"/>
        <v>0</v>
      </c>
      <c r="T340" s="42">
        <f t="shared" si="11"/>
        <v>0</v>
      </c>
      <c r="U340" s="152" t="s">
        <v>34</v>
      </c>
      <c r="V340" s="44"/>
      <c r="W340" s="113"/>
    </row>
    <row r="341" spans="1:23" ht="16.05" customHeight="1" x14ac:dyDescent="0.45">
      <c r="A341" s="1">
        <v>340</v>
      </c>
      <c r="B341" s="113" t="s">
        <v>924</v>
      </c>
      <c r="C341" s="57" t="s">
        <v>24</v>
      </c>
      <c r="D341" s="358">
        <v>5662</v>
      </c>
      <c r="E341" s="113" t="s">
        <v>1282</v>
      </c>
      <c r="F341" s="113" t="s">
        <v>1283</v>
      </c>
      <c r="G341" s="16">
        <v>5670</v>
      </c>
      <c r="H341" s="113" t="s">
        <v>1284</v>
      </c>
      <c r="I341" s="113" t="s">
        <v>729</v>
      </c>
      <c r="J341" s="16" t="s">
        <v>58</v>
      </c>
      <c r="K341" s="16" t="s">
        <v>57</v>
      </c>
      <c r="L341" s="360">
        <v>0.6</v>
      </c>
      <c r="M341" s="430"/>
      <c r="N341" s="184" t="s">
        <v>733</v>
      </c>
      <c r="O341" s="44"/>
      <c r="P341" s="431">
        <v>1</v>
      </c>
      <c r="Q341" s="360">
        <v>0.15</v>
      </c>
      <c r="R341" s="431"/>
      <c r="S341" s="431">
        <f t="shared" si="10"/>
        <v>0</v>
      </c>
      <c r="T341" s="42">
        <f t="shared" si="11"/>
        <v>0</v>
      </c>
      <c r="U341" s="152" t="s">
        <v>34</v>
      </c>
      <c r="V341" s="44"/>
      <c r="W341" s="113"/>
    </row>
    <row r="342" spans="1:23" ht="16.05" customHeight="1" x14ac:dyDescent="0.45">
      <c r="A342" s="1">
        <v>341</v>
      </c>
      <c r="B342" s="113" t="s">
        <v>924</v>
      </c>
      <c r="C342" s="57" t="s">
        <v>24</v>
      </c>
      <c r="D342" s="358">
        <v>5662</v>
      </c>
      <c r="E342" s="113" t="s">
        <v>1282</v>
      </c>
      <c r="F342" s="113" t="s">
        <v>1283</v>
      </c>
      <c r="G342" s="16">
        <v>5670</v>
      </c>
      <c r="H342" s="113" t="s">
        <v>1284</v>
      </c>
      <c r="I342" s="113" t="s">
        <v>729</v>
      </c>
      <c r="J342" s="16" t="s">
        <v>58</v>
      </c>
      <c r="K342" s="16" t="s">
        <v>57</v>
      </c>
      <c r="L342" s="360">
        <v>0.6</v>
      </c>
      <c r="M342" s="430"/>
      <c r="N342" s="184" t="s">
        <v>734</v>
      </c>
      <c r="O342" s="44"/>
      <c r="P342" s="431">
        <v>1</v>
      </c>
      <c r="Q342" s="360">
        <v>0.15</v>
      </c>
      <c r="R342" s="431"/>
      <c r="S342" s="431">
        <f t="shared" si="10"/>
        <v>0</v>
      </c>
      <c r="T342" s="42">
        <f t="shared" si="11"/>
        <v>0</v>
      </c>
      <c r="U342" s="152" t="s">
        <v>34</v>
      </c>
      <c r="V342" s="44"/>
      <c r="W342" s="113"/>
    </row>
    <row r="343" spans="1:23" ht="16.05" customHeight="1" x14ac:dyDescent="0.45">
      <c r="A343" s="1">
        <v>342</v>
      </c>
      <c r="B343" s="113" t="s">
        <v>924</v>
      </c>
      <c r="C343" s="57" t="s">
        <v>24</v>
      </c>
      <c r="D343" s="358">
        <v>5662</v>
      </c>
      <c r="E343" s="113" t="s">
        <v>1282</v>
      </c>
      <c r="F343" s="113" t="s">
        <v>1283</v>
      </c>
      <c r="G343" s="16">
        <v>5670</v>
      </c>
      <c r="H343" s="113" t="s">
        <v>1284</v>
      </c>
      <c r="I343" s="113" t="s">
        <v>729</v>
      </c>
      <c r="J343" s="182" t="s">
        <v>111</v>
      </c>
      <c r="K343" s="16" t="s">
        <v>110</v>
      </c>
      <c r="L343" s="282">
        <v>0.4</v>
      </c>
      <c r="M343" s="71"/>
      <c r="N343" s="16" t="s">
        <v>255</v>
      </c>
      <c r="O343" s="73"/>
      <c r="P343" s="28">
        <v>1</v>
      </c>
      <c r="Q343" s="282">
        <v>0.05</v>
      </c>
      <c r="R343" s="28"/>
      <c r="S343" s="28">
        <f t="shared" si="10"/>
        <v>0</v>
      </c>
      <c r="T343" s="46">
        <f t="shared" si="11"/>
        <v>0</v>
      </c>
      <c r="U343" s="28" t="s">
        <v>34</v>
      </c>
      <c r="V343" s="73"/>
      <c r="W343" s="113"/>
    </row>
    <row r="344" spans="1:23" ht="16.05" customHeight="1" x14ac:dyDescent="0.45">
      <c r="A344" s="1">
        <v>343</v>
      </c>
      <c r="B344" s="113" t="s">
        <v>924</v>
      </c>
      <c r="C344" s="57" t="s">
        <v>24</v>
      </c>
      <c r="D344" s="358">
        <v>5662</v>
      </c>
      <c r="E344" s="113" t="s">
        <v>1282</v>
      </c>
      <c r="F344" s="113" t="s">
        <v>1283</v>
      </c>
      <c r="G344" s="16">
        <v>5670</v>
      </c>
      <c r="H344" s="113" t="s">
        <v>1284</v>
      </c>
      <c r="I344" s="113" t="s">
        <v>729</v>
      </c>
      <c r="J344" s="182" t="s">
        <v>111</v>
      </c>
      <c r="K344" s="16" t="s">
        <v>110</v>
      </c>
      <c r="L344" s="282">
        <v>0.4</v>
      </c>
      <c r="M344" s="71"/>
      <c r="N344" s="16" t="s">
        <v>768</v>
      </c>
      <c r="O344" s="73"/>
      <c r="P344" s="28">
        <v>1</v>
      </c>
      <c r="Q344" s="282">
        <v>0.05</v>
      </c>
      <c r="R344" s="28"/>
      <c r="S344" s="28">
        <f t="shared" si="10"/>
        <v>0</v>
      </c>
      <c r="T344" s="46">
        <f t="shared" si="11"/>
        <v>0</v>
      </c>
      <c r="U344" s="28" t="s">
        <v>34</v>
      </c>
      <c r="V344" s="73"/>
      <c r="W344" s="113"/>
    </row>
    <row r="345" spans="1:23" ht="16.05" customHeight="1" x14ac:dyDescent="0.45">
      <c r="A345" s="1">
        <v>344</v>
      </c>
      <c r="B345" s="113" t="s">
        <v>924</v>
      </c>
      <c r="C345" s="57" t="s">
        <v>24</v>
      </c>
      <c r="D345" s="358">
        <v>5662</v>
      </c>
      <c r="E345" s="113" t="s">
        <v>1282</v>
      </c>
      <c r="F345" s="113" t="s">
        <v>1283</v>
      </c>
      <c r="G345" s="16">
        <v>5670</v>
      </c>
      <c r="H345" s="113" t="s">
        <v>1284</v>
      </c>
      <c r="I345" s="113" t="s">
        <v>729</v>
      </c>
      <c r="J345" s="182" t="s">
        <v>111</v>
      </c>
      <c r="K345" s="16" t="s">
        <v>110</v>
      </c>
      <c r="L345" s="282">
        <v>0.4</v>
      </c>
      <c r="M345" s="71"/>
      <c r="N345" s="16" t="s">
        <v>769</v>
      </c>
      <c r="O345" s="73"/>
      <c r="P345" s="28">
        <v>1</v>
      </c>
      <c r="Q345" s="282">
        <v>0.05</v>
      </c>
      <c r="R345" s="28"/>
      <c r="S345" s="28">
        <f t="shared" si="10"/>
        <v>0</v>
      </c>
      <c r="T345" s="46">
        <f t="shared" si="11"/>
        <v>0</v>
      </c>
      <c r="U345" s="28" t="s">
        <v>34</v>
      </c>
      <c r="V345" s="73"/>
      <c r="W345" s="113"/>
    </row>
    <row r="346" spans="1:23" ht="16.05" customHeight="1" x14ac:dyDescent="0.45">
      <c r="A346" s="1">
        <v>345</v>
      </c>
      <c r="B346" s="113" t="s">
        <v>924</v>
      </c>
      <c r="C346" s="57" t="s">
        <v>24</v>
      </c>
      <c r="D346" s="358">
        <v>5662</v>
      </c>
      <c r="E346" s="113" t="s">
        <v>1282</v>
      </c>
      <c r="F346" s="113" t="s">
        <v>1283</v>
      </c>
      <c r="G346" s="16">
        <v>5670</v>
      </c>
      <c r="H346" s="113" t="s">
        <v>1284</v>
      </c>
      <c r="I346" s="113" t="s">
        <v>729</v>
      </c>
      <c r="J346" s="182" t="s">
        <v>111</v>
      </c>
      <c r="K346" s="16" t="s">
        <v>110</v>
      </c>
      <c r="L346" s="282">
        <v>0.4</v>
      </c>
      <c r="M346" s="71"/>
      <c r="N346" s="16" t="s">
        <v>770</v>
      </c>
      <c r="O346" s="73"/>
      <c r="P346" s="28">
        <v>1</v>
      </c>
      <c r="Q346" s="282">
        <v>0.15</v>
      </c>
      <c r="R346" s="28"/>
      <c r="S346" s="28">
        <f t="shared" si="10"/>
        <v>0</v>
      </c>
      <c r="T346" s="46">
        <f t="shared" si="11"/>
        <v>0</v>
      </c>
      <c r="U346" s="28" t="s">
        <v>34</v>
      </c>
      <c r="V346" s="73"/>
      <c r="W346" s="113"/>
    </row>
    <row r="347" spans="1:23" ht="16.05" customHeight="1" x14ac:dyDescent="0.45">
      <c r="A347" s="1">
        <v>346</v>
      </c>
      <c r="B347" s="113" t="s">
        <v>924</v>
      </c>
      <c r="C347" s="57" t="s">
        <v>24</v>
      </c>
      <c r="D347" s="358">
        <v>5662</v>
      </c>
      <c r="E347" s="113" t="s">
        <v>1282</v>
      </c>
      <c r="F347" s="113" t="s">
        <v>1283</v>
      </c>
      <c r="G347" s="16">
        <v>5670</v>
      </c>
      <c r="H347" s="113" t="s">
        <v>1284</v>
      </c>
      <c r="I347" s="113" t="s">
        <v>729</v>
      </c>
      <c r="J347" s="182" t="s">
        <v>111</v>
      </c>
      <c r="K347" s="16" t="s">
        <v>110</v>
      </c>
      <c r="L347" s="282">
        <v>0.4</v>
      </c>
      <c r="M347" s="71"/>
      <c r="N347" s="16" t="s">
        <v>254</v>
      </c>
      <c r="O347" s="73"/>
      <c r="P347" s="28">
        <v>1</v>
      </c>
      <c r="Q347" s="282">
        <v>0.1</v>
      </c>
      <c r="R347" s="28"/>
      <c r="S347" s="28">
        <f t="shared" si="10"/>
        <v>0</v>
      </c>
      <c r="T347" s="46">
        <f t="shared" si="11"/>
        <v>0</v>
      </c>
      <c r="U347" s="28" t="s">
        <v>34</v>
      </c>
      <c r="V347" s="73"/>
      <c r="W347" s="113"/>
    </row>
    <row r="348" spans="1:23" ht="16.05" customHeight="1" x14ac:dyDescent="0.45">
      <c r="A348" s="1">
        <v>347</v>
      </c>
      <c r="B348" s="113" t="s">
        <v>924</v>
      </c>
      <c r="C348" s="57" t="s">
        <v>24</v>
      </c>
      <c r="D348" s="358">
        <v>5662</v>
      </c>
      <c r="E348" s="113" t="s">
        <v>1282</v>
      </c>
      <c r="F348" s="113" t="s">
        <v>1283</v>
      </c>
      <c r="G348" s="16">
        <v>5670</v>
      </c>
      <c r="H348" s="113" t="s">
        <v>1284</v>
      </c>
      <c r="I348" s="113" t="s">
        <v>729</v>
      </c>
      <c r="J348" s="182" t="s">
        <v>111</v>
      </c>
      <c r="K348" s="16" t="s">
        <v>110</v>
      </c>
      <c r="L348" s="282">
        <v>0.4</v>
      </c>
      <c r="M348" s="71"/>
      <c r="N348" s="16" t="s">
        <v>771</v>
      </c>
      <c r="O348" s="73"/>
      <c r="P348" s="28">
        <v>1</v>
      </c>
      <c r="Q348" s="282">
        <v>0.05</v>
      </c>
      <c r="R348" s="28"/>
      <c r="S348" s="28">
        <f t="shared" si="10"/>
        <v>0</v>
      </c>
      <c r="T348" s="46">
        <f t="shared" si="11"/>
        <v>0</v>
      </c>
      <c r="U348" s="28" t="s">
        <v>34</v>
      </c>
      <c r="V348" s="73"/>
      <c r="W348" s="113"/>
    </row>
    <row r="349" spans="1:23" ht="16.05" customHeight="1" x14ac:dyDescent="0.45">
      <c r="A349" s="1">
        <v>348</v>
      </c>
      <c r="B349" s="113" t="s">
        <v>924</v>
      </c>
      <c r="C349" s="57" t="s">
        <v>24</v>
      </c>
      <c r="D349" s="358">
        <v>5662</v>
      </c>
      <c r="E349" s="113" t="s">
        <v>1282</v>
      </c>
      <c r="F349" s="113" t="s">
        <v>1283</v>
      </c>
      <c r="G349" s="16">
        <v>5670</v>
      </c>
      <c r="H349" s="113" t="s">
        <v>1284</v>
      </c>
      <c r="I349" s="113" t="s">
        <v>729</v>
      </c>
      <c r="J349" s="182" t="s">
        <v>111</v>
      </c>
      <c r="K349" s="16" t="s">
        <v>110</v>
      </c>
      <c r="L349" s="282">
        <v>0.4</v>
      </c>
      <c r="M349" s="71"/>
      <c r="N349" s="16" t="s">
        <v>772</v>
      </c>
      <c r="O349" s="73"/>
      <c r="P349" s="28">
        <v>1</v>
      </c>
      <c r="Q349" s="282">
        <v>0.1</v>
      </c>
      <c r="R349" s="28"/>
      <c r="S349" s="28">
        <f t="shared" si="10"/>
        <v>0</v>
      </c>
      <c r="T349" s="46">
        <f t="shared" si="11"/>
        <v>0</v>
      </c>
      <c r="U349" s="28" t="s">
        <v>34</v>
      </c>
      <c r="V349" s="73"/>
      <c r="W349" s="113"/>
    </row>
    <row r="350" spans="1:23" ht="16.05" customHeight="1" x14ac:dyDescent="0.45">
      <c r="A350" s="1">
        <v>349</v>
      </c>
      <c r="B350" s="113" t="s">
        <v>924</v>
      </c>
      <c r="C350" s="57" t="s">
        <v>24</v>
      </c>
      <c r="D350" s="358">
        <v>5662</v>
      </c>
      <c r="E350" s="113" t="s">
        <v>1282</v>
      </c>
      <c r="F350" s="113" t="s">
        <v>1283</v>
      </c>
      <c r="G350" s="16">
        <v>5670</v>
      </c>
      <c r="H350" s="113" t="s">
        <v>1284</v>
      </c>
      <c r="I350" s="113" t="s">
        <v>729</v>
      </c>
      <c r="J350" s="182" t="s">
        <v>111</v>
      </c>
      <c r="K350" s="16" t="s">
        <v>110</v>
      </c>
      <c r="L350" s="282">
        <v>0.4</v>
      </c>
      <c r="M350" s="71"/>
      <c r="N350" s="16" t="s">
        <v>773</v>
      </c>
      <c r="O350" s="73"/>
      <c r="P350" s="28">
        <v>1</v>
      </c>
      <c r="Q350" s="282">
        <v>0.05</v>
      </c>
      <c r="R350" s="28"/>
      <c r="S350" s="28">
        <f t="shared" si="10"/>
        <v>0</v>
      </c>
      <c r="T350" s="46">
        <f t="shared" si="11"/>
        <v>0</v>
      </c>
      <c r="U350" s="28" t="s">
        <v>34</v>
      </c>
      <c r="V350" s="73"/>
      <c r="W350" s="113"/>
    </row>
    <row r="351" spans="1:23" ht="16.05" customHeight="1" x14ac:dyDescent="0.45">
      <c r="A351" s="1">
        <v>350</v>
      </c>
      <c r="B351" s="113" t="s">
        <v>924</v>
      </c>
      <c r="C351" s="57" t="s">
        <v>24</v>
      </c>
      <c r="D351" s="358">
        <v>5662</v>
      </c>
      <c r="E351" s="113" t="s">
        <v>1282</v>
      </c>
      <c r="F351" s="113" t="s">
        <v>1283</v>
      </c>
      <c r="G351" s="16">
        <v>5670</v>
      </c>
      <c r="H351" s="113" t="s">
        <v>1284</v>
      </c>
      <c r="I351" s="113" t="s">
        <v>729</v>
      </c>
      <c r="J351" s="182" t="s">
        <v>111</v>
      </c>
      <c r="K351" s="16" t="s">
        <v>110</v>
      </c>
      <c r="L351" s="282">
        <v>0.4</v>
      </c>
      <c r="M351" s="71"/>
      <c r="N351" s="16" t="s">
        <v>774</v>
      </c>
      <c r="O351" s="73"/>
      <c r="P351" s="28">
        <v>1</v>
      </c>
      <c r="Q351" s="282">
        <v>0.05</v>
      </c>
      <c r="R351" s="28"/>
      <c r="S351" s="28">
        <f t="shared" si="10"/>
        <v>0</v>
      </c>
      <c r="T351" s="46">
        <f t="shared" si="11"/>
        <v>0</v>
      </c>
      <c r="U351" s="28" t="s">
        <v>34</v>
      </c>
      <c r="V351" s="73"/>
      <c r="W351" s="113"/>
    </row>
    <row r="352" spans="1:23" ht="16.05" customHeight="1" x14ac:dyDescent="0.45">
      <c r="A352" s="1">
        <v>351</v>
      </c>
      <c r="B352" s="113" t="s">
        <v>924</v>
      </c>
      <c r="C352" s="57" t="s">
        <v>24</v>
      </c>
      <c r="D352" s="358">
        <v>5662</v>
      </c>
      <c r="E352" s="113" t="s">
        <v>1282</v>
      </c>
      <c r="F352" s="113" t="s">
        <v>1283</v>
      </c>
      <c r="G352" s="16">
        <v>5670</v>
      </c>
      <c r="H352" s="113" t="s">
        <v>1284</v>
      </c>
      <c r="I352" s="113" t="s">
        <v>729</v>
      </c>
      <c r="J352" s="182" t="s">
        <v>111</v>
      </c>
      <c r="K352" s="16" t="s">
        <v>110</v>
      </c>
      <c r="L352" s="282">
        <v>0.4</v>
      </c>
      <c r="M352" s="71"/>
      <c r="N352" s="16" t="s">
        <v>775</v>
      </c>
      <c r="O352" s="73"/>
      <c r="P352" s="28">
        <v>1</v>
      </c>
      <c r="Q352" s="282">
        <v>0.05</v>
      </c>
      <c r="R352" s="28"/>
      <c r="S352" s="28">
        <f t="shared" si="10"/>
        <v>0</v>
      </c>
      <c r="T352" s="46">
        <f t="shared" si="11"/>
        <v>0</v>
      </c>
      <c r="U352" s="28" t="s">
        <v>34</v>
      </c>
      <c r="V352" s="73"/>
      <c r="W352" s="113"/>
    </row>
    <row r="353" spans="1:23" ht="16.05" customHeight="1" x14ac:dyDescent="0.45">
      <c r="A353" s="1">
        <v>352</v>
      </c>
      <c r="B353" s="113" t="s">
        <v>924</v>
      </c>
      <c r="C353" s="57" t="s">
        <v>24</v>
      </c>
      <c r="D353" s="358">
        <v>5662</v>
      </c>
      <c r="E353" s="113" t="s">
        <v>1282</v>
      </c>
      <c r="F353" s="113" t="s">
        <v>1283</v>
      </c>
      <c r="G353" s="16">
        <v>5670</v>
      </c>
      <c r="H353" s="113" t="s">
        <v>1284</v>
      </c>
      <c r="I353" s="113" t="s">
        <v>729</v>
      </c>
      <c r="J353" s="182" t="s">
        <v>111</v>
      </c>
      <c r="K353" s="16" t="s">
        <v>110</v>
      </c>
      <c r="L353" s="282">
        <v>0.4</v>
      </c>
      <c r="M353" s="71"/>
      <c r="N353" s="16" t="s">
        <v>776</v>
      </c>
      <c r="O353" s="73"/>
      <c r="P353" s="28">
        <v>1</v>
      </c>
      <c r="Q353" s="282">
        <v>0.1</v>
      </c>
      <c r="R353" s="28"/>
      <c r="S353" s="28">
        <f t="shared" si="10"/>
        <v>0</v>
      </c>
      <c r="T353" s="46">
        <f t="shared" si="11"/>
        <v>0</v>
      </c>
      <c r="U353" s="28" t="s">
        <v>34</v>
      </c>
      <c r="V353" s="73"/>
      <c r="W353" s="113"/>
    </row>
    <row r="354" spans="1:23" ht="16.05" customHeight="1" x14ac:dyDescent="0.45">
      <c r="A354" s="1">
        <v>353</v>
      </c>
      <c r="B354" s="113" t="s">
        <v>924</v>
      </c>
      <c r="C354" s="57" t="s">
        <v>24</v>
      </c>
      <c r="D354" s="358">
        <v>5662</v>
      </c>
      <c r="E354" s="113" t="s">
        <v>1282</v>
      </c>
      <c r="F354" s="113" t="s">
        <v>1283</v>
      </c>
      <c r="G354" s="16">
        <v>5670</v>
      </c>
      <c r="H354" s="113" t="s">
        <v>1284</v>
      </c>
      <c r="I354" s="113" t="s">
        <v>729</v>
      </c>
      <c r="J354" s="182" t="s">
        <v>111</v>
      </c>
      <c r="K354" s="16" t="s">
        <v>110</v>
      </c>
      <c r="L354" s="282">
        <v>0.4</v>
      </c>
      <c r="M354" s="71"/>
      <c r="N354" s="16" t="s">
        <v>251</v>
      </c>
      <c r="O354" s="73"/>
      <c r="P354" s="28">
        <v>1</v>
      </c>
      <c r="Q354" s="282">
        <v>0.05</v>
      </c>
      <c r="R354" s="28"/>
      <c r="S354" s="28">
        <f t="shared" si="10"/>
        <v>0</v>
      </c>
      <c r="T354" s="46">
        <f t="shared" si="11"/>
        <v>0</v>
      </c>
      <c r="U354" s="28" t="s">
        <v>34</v>
      </c>
      <c r="V354" s="73"/>
      <c r="W354" s="113"/>
    </row>
    <row r="355" spans="1:23" ht="16.05" customHeight="1" x14ac:dyDescent="0.45">
      <c r="A355" s="1">
        <v>354</v>
      </c>
      <c r="B355" s="113" t="s">
        <v>924</v>
      </c>
      <c r="C355" s="57" t="s">
        <v>24</v>
      </c>
      <c r="D355" s="358">
        <v>5662</v>
      </c>
      <c r="E355" s="113" t="s">
        <v>1282</v>
      </c>
      <c r="F355" s="113" t="s">
        <v>1283</v>
      </c>
      <c r="G355" s="16">
        <v>5670</v>
      </c>
      <c r="H355" s="113" t="s">
        <v>1284</v>
      </c>
      <c r="I355" s="113" t="s">
        <v>729</v>
      </c>
      <c r="J355" s="182" t="s">
        <v>111</v>
      </c>
      <c r="K355" s="16" t="s">
        <v>110</v>
      </c>
      <c r="L355" s="282">
        <v>0.4</v>
      </c>
      <c r="M355" s="71"/>
      <c r="N355" s="16" t="s">
        <v>252</v>
      </c>
      <c r="O355" s="73"/>
      <c r="P355" s="28">
        <v>1</v>
      </c>
      <c r="Q355" s="282">
        <v>0.05</v>
      </c>
      <c r="R355" s="28"/>
      <c r="S355" s="28">
        <f t="shared" si="10"/>
        <v>0</v>
      </c>
      <c r="T355" s="46">
        <f t="shared" si="11"/>
        <v>0</v>
      </c>
      <c r="U355" s="28" t="s">
        <v>34</v>
      </c>
      <c r="V355" s="73"/>
      <c r="W355" s="113"/>
    </row>
    <row r="356" spans="1:23" ht="16.05" customHeight="1" x14ac:dyDescent="0.45">
      <c r="A356" s="1">
        <v>355</v>
      </c>
      <c r="B356" s="113" t="s">
        <v>924</v>
      </c>
      <c r="C356" s="57" t="s">
        <v>24</v>
      </c>
      <c r="D356" s="358">
        <v>5662</v>
      </c>
      <c r="E356" s="113" t="s">
        <v>1282</v>
      </c>
      <c r="F356" s="113" t="s">
        <v>1283</v>
      </c>
      <c r="G356" s="16">
        <v>5670</v>
      </c>
      <c r="H356" s="113" t="s">
        <v>1284</v>
      </c>
      <c r="I356" s="113" t="s">
        <v>729</v>
      </c>
      <c r="J356" s="182" t="s">
        <v>111</v>
      </c>
      <c r="K356" s="16" t="s">
        <v>110</v>
      </c>
      <c r="L356" s="282">
        <v>0.4</v>
      </c>
      <c r="M356" s="71"/>
      <c r="N356" s="16" t="s">
        <v>777</v>
      </c>
      <c r="O356" s="73"/>
      <c r="P356" s="28">
        <v>1</v>
      </c>
      <c r="Q356" s="282">
        <v>0.05</v>
      </c>
      <c r="R356" s="28"/>
      <c r="S356" s="28">
        <f t="shared" si="10"/>
        <v>0</v>
      </c>
      <c r="T356" s="46">
        <f t="shared" si="11"/>
        <v>0</v>
      </c>
      <c r="U356" s="28" t="s">
        <v>34</v>
      </c>
      <c r="V356" s="73"/>
      <c r="W356" s="113"/>
    </row>
    <row r="357" spans="1:23" ht="16.05" customHeight="1" x14ac:dyDescent="0.45">
      <c r="A357" s="1">
        <v>356</v>
      </c>
      <c r="B357" s="113" t="s">
        <v>924</v>
      </c>
      <c r="C357" s="57" t="s">
        <v>24</v>
      </c>
      <c r="D357" s="358">
        <v>5662</v>
      </c>
      <c r="E357" s="113" t="s">
        <v>1282</v>
      </c>
      <c r="F357" s="113" t="s">
        <v>1283</v>
      </c>
      <c r="G357" s="16">
        <v>5670</v>
      </c>
      <c r="H357" s="113" t="s">
        <v>1284</v>
      </c>
      <c r="I357" s="113" t="s">
        <v>729</v>
      </c>
      <c r="J357" s="182" t="s">
        <v>111</v>
      </c>
      <c r="K357" s="16" t="s">
        <v>110</v>
      </c>
      <c r="L357" s="282">
        <v>0.4</v>
      </c>
      <c r="M357" s="71"/>
      <c r="N357" s="16" t="s">
        <v>253</v>
      </c>
      <c r="O357" s="73"/>
      <c r="P357" s="28">
        <v>1</v>
      </c>
      <c r="Q357" s="282">
        <v>0.05</v>
      </c>
      <c r="R357" s="28"/>
      <c r="S357" s="28">
        <f t="shared" si="10"/>
        <v>0</v>
      </c>
      <c r="T357" s="46">
        <f t="shared" si="11"/>
        <v>0</v>
      </c>
      <c r="U357" s="28" t="s">
        <v>34</v>
      </c>
      <c r="V357" s="73"/>
      <c r="W357" s="113"/>
    </row>
    <row r="358" spans="1:23" ht="16.05" customHeight="1" x14ac:dyDescent="0.45">
      <c r="A358" s="1">
        <v>357</v>
      </c>
      <c r="B358" s="99" t="s">
        <v>924</v>
      </c>
      <c r="C358" s="99" t="s">
        <v>24</v>
      </c>
      <c r="D358" s="349">
        <v>5388</v>
      </c>
      <c r="E358" s="99" t="s">
        <v>1288</v>
      </c>
      <c r="F358" s="99" t="s">
        <v>1273</v>
      </c>
      <c r="G358" s="3">
        <v>3530</v>
      </c>
      <c r="H358" s="99" t="s">
        <v>1274</v>
      </c>
      <c r="I358" s="99" t="s">
        <v>729</v>
      </c>
      <c r="J358" s="91" t="s">
        <v>58</v>
      </c>
      <c r="K358" s="91" t="s">
        <v>57</v>
      </c>
      <c r="L358" s="350">
        <v>0.6</v>
      </c>
      <c r="M358" s="407"/>
      <c r="N358" s="91" t="s">
        <v>1289</v>
      </c>
      <c r="O358" s="146"/>
      <c r="P358" s="171">
        <v>1</v>
      </c>
      <c r="Q358" s="350">
        <v>0.45</v>
      </c>
      <c r="R358" s="171"/>
      <c r="S358" s="148">
        <f t="shared" si="10"/>
        <v>0</v>
      </c>
      <c r="T358" s="168">
        <f t="shared" si="11"/>
        <v>0</v>
      </c>
      <c r="U358" s="148" t="s">
        <v>34</v>
      </c>
      <c r="V358" s="429">
        <f>SUM(T358:T377)%</f>
        <v>0</v>
      </c>
      <c r="W358" s="99"/>
    </row>
    <row r="359" spans="1:23" ht="16.05" customHeight="1" x14ac:dyDescent="0.45">
      <c r="A359" s="1">
        <v>358</v>
      </c>
      <c r="B359" s="15" t="s">
        <v>924</v>
      </c>
      <c r="C359" s="57" t="s">
        <v>24</v>
      </c>
      <c r="D359" s="281">
        <v>5388</v>
      </c>
      <c r="E359" s="15" t="s">
        <v>1288</v>
      </c>
      <c r="F359" s="15" t="s">
        <v>1273</v>
      </c>
      <c r="G359" s="16">
        <v>3530</v>
      </c>
      <c r="H359" s="15" t="s">
        <v>1274</v>
      </c>
      <c r="I359" s="15" t="s">
        <v>729</v>
      </c>
      <c r="J359" s="16" t="s">
        <v>58</v>
      </c>
      <c r="K359" s="16" t="s">
        <v>57</v>
      </c>
      <c r="L359" s="360">
        <v>0.6</v>
      </c>
      <c r="M359" s="430"/>
      <c r="N359" s="184" t="s">
        <v>1290</v>
      </c>
      <c r="O359" s="44"/>
      <c r="P359" s="431">
        <v>1</v>
      </c>
      <c r="Q359" s="360">
        <v>0.2</v>
      </c>
      <c r="R359" s="431"/>
      <c r="S359" s="153">
        <f t="shared" si="10"/>
        <v>0</v>
      </c>
      <c r="T359" s="152">
        <f t="shared" si="11"/>
        <v>0</v>
      </c>
      <c r="U359" s="153" t="s">
        <v>34</v>
      </c>
      <c r="V359" s="44"/>
      <c r="W359" s="15"/>
    </row>
    <row r="360" spans="1:23" ht="16.05" customHeight="1" x14ac:dyDescent="0.45">
      <c r="A360" s="1">
        <v>359</v>
      </c>
      <c r="B360" s="15" t="s">
        <v>924</v>
      </c>
      <c r="C360" s="57" t="s">
        <v>24</v>
      </c>
      <c r="D360" s="281">
        <v>5388</v>
      </c>
      <c r="E360" s="15" t="s">
        <v>1288</v>
      </c>
      <c r="F360" s="15" t="s">
        <v>1273</v>
      </c>
      <c r="G360" s="16">
        <v>3530</v>
      </c>
      <c r="H360" s="15" t="s">
        <v>1274</v>
      </c>
      <c r="I360" s="15" t="s">
        <v>729</v>
      </c>
      <c r="J360" s="16" t="s">
        <v>58</v>
      </c>
      <c r="K360" s="16" t="s">
        <v>57</v>
      </c>
      <c r="L360" s="360">
        <v>0.6</v>
      </c>
      <c r="M360" s="430"/>
      <c r="N360" s="184" t="s">
        <v>1291</v>
      </c>
      <c r="O360" s="44"/>
      <c r="P360" s="431">
        <v>1</v>
      </c>
      <c r="Q360" s="360">
        <v>0.2</v>
      </c>
      <c r="R360" s="431"/>
      <c r="S360" s="153">
        <f t="shared" si="10"/>
        <v>0</v>
      </c>
      <c r="T360" s="152">
        <f t="shared" si="11"/>
        <v>0</v>
      </c>
      <c r="U360" s="153" t="s">
        <v>34</v>
      </c>
      <c r="V360" s="44"/>
      <c r="W360" s="15"/>
    </row>
    <row r="361" spans="1:23" ht="16.05" customHeight="1" x14ac:dyDescent="0.45">
      <c r="A361" s="1">
        <v>360</v>
      </c>
      <c r="B361" s="15" t="s">
        <v>924</v>
      </c>
      <c r="C361" s="57" t="s">
        <v>24</v>
      </c>
      <c r="D361" s="281">
        <v>5388</v>
      </c>
      <c r="E361" s="15" t="s">
        <v>1288</v>
      </c>
      <c r="F361" s="15" t="s">
        <v>1273</v>
      </c>
      <c r="G361" s="16">
        <v>3530</v>
      </c>
      <c r="H361" s="15" t="s">
        <v>1274</v>
      </c>
      <c r="I361" s="15" t="s">
        <v>729</v>
      </c>
      <c r="J361" s="16" t="s">
        <v>58</v>
      </c>
      <c r="K361" s="16" t="s">
        <v>57</v>
      </c>
      <c r="L361" s="360">
        <v>0.6</v>
      </c>
      <c r="M361" s="430"/>
      <c r="N361" s="184" t="s">
        <v>1292</v>
      </c>
      <c r="O361" s="44"/>
      <c r="P361" s="431">
        <v>1</v>
      </c>
      <c r="Q361" s="360">
        <v>0.1</v>
      </c>
      <c r="R361" s="431"/>
      <c r="S361" s="153">
        <f t="shared" si="10"/>
        <v>0</v>
      </c>
      <c r="T361" s="152">
        <f t="shared" si="11"/>
        <v>0</v>
      </c>
      <c r="U361" s="153" t="s">
        <v>34</v>
      </c>
      <c r="V361" s="44"/>
      <c r="W361" s="15"/>
    </row>
    <row r="362" spans="1:23" ht="16.05" customHeight="1" x14ac:dyDescent="0.45">
      <c r="A362" s="1">
        <v>361</v>
      </c>
      <c r="B362" s="15" t="s">
        <v>924</v>
      </c>
      <c r="C362" s="57" t="s">
        <v>24</v>
      </c>
      <c r="D362" s="281">
        <v>5388</v>
      </c>
      <c r="E362" s="15" t="s">
        <v>1288</v>
      </c>
      <c r="F362" s="15" t="s">
        <v>1273</v>
      </c>
      <c r="G362" s="16">
        <v>3530</v>
      </c>
      <c r="H362" s="15" t="s">
        <v>1274</v>
      </c>
      <c r="I362" s="15" t="s">
        <v>729</v>
      </c>
      <c r="J362" s="16" t="s">
        <v>58</v>
      </c>
      <c r="K362" s="16" t="s">
        <v>57</v>
      </c>
      <c r="L362" s="360">
        <v>0.6</v>
      </c>
      <c r="M362" s="430"/>
      <c r="N362" s="184" t="s">
        <v>1293</v>
      </c>
      <c r="O362" s="44"/>
      <c r="P362" s="431">
        <v>1</v>
      </c>
      <c r="Q362" s="360">
        <v>0.05</v>
      </c>
      <c r="R362" s="431"/>
      <c r="S362" s="153">
        <f t="shared" si="10"/>
        <v>0</v>
      </c>
      <c r="T362" s="152">
        <f t="shared" si="11"/>
        <v>0</v>
      </c>
      <c r="U362" s="153" t="s">
        <v>34</v>
      </c>
      <c r="V362" s="44"/>
      <c r="W362" s="15"/>
    </row>
    <row r="363" spans="1:23" ht="16.05" customHeight="1" x14ac:dyDescent="0.45">
      <c r="A363" s="1">
        <v>362</v>
      </c>
      <c r="B363" s="15" t="s">
        <v>924</v>
      </c>
      <c r="C363" s="57" t="s">
        <v>24</v>
      </c>
      <c r="D363" s="281">
        <v>5388</v>
      </c>
      <c r="E363" s="15" t="s">
        <v>1288</v>
      </c>
      <c r="F363" s="15" t="s">
        <v>1273</v>
      </c>
      <c r="G363" s="16">
        <v>3530</v>
      </c>
      <c r="H363" s="15" t="s">
        <v>1274</v>
      </c>
      <c r="I363" s="15" t="s">
        <v>729</v>
      </c>
      <c r="J363" s="182" t="s">
        <v>111</v>
      </c>
      <c r="K363" s="16" t="s">
        <v>110</v>
      </c>
      <c r="L363" s="282">
        <v>0.4</v>
      </c>
      <c r="M363" s="71"/>
      <c r="N363" s="16" t="s">
        <v>255</v>
      </c>
      <c r="O363" s="73"/>
      <c r="P363" s="28">
        <v>1</v>
      </c>
      <c r="Q363" s="282">
        <v>0.05</v>
      </c>
      <c r="R363" s="28"/>
      <c r="S363" s="28">
        <f t="shared" si="10"/>
        <v>0</v>
      </c>
      <c r="T363" s="46">
        <f t="shared" si="11"/>
        <v>0</v>
      </c>
      <c r="U363" s="28" t="s">
        <v>34</v>
      </c>
      <c r="V363" s="73"/>
      <c r="W363" s="15"/>
    </row>
    <row r="364" spans="1:23" ht="16.05" customHeight="1" x14ac:dyDescent="0.45">
      <c r="A364" s="1">
        <v>363</v>
      </c>
      <c r="B364" s="15" t="s">
        <v>924</v>
      </c>
      <c r="C364" s="57" t="s">
        <v>24</v>
      </c>
      <c r="D364" s="281">
        <v>5388</v>
      </c>
      <c r="E364" s="15" t="s">
        <v>1288</v>
      </c>
      <c r="F364" s="15" t="s">
        <v>1273</v>
      </c>
      <c r="G364" s="16">
        <v>3530</v>
      </c>
      <c r="H364" s="15" t="s">
        <v>1274</v>
      </c>
      <c r="I364" s="15" t="s">
        <v>729</v>
      </c>
      <c r="J364" s="182" t="s">
        <v>111</v>
      </c>
      <c r="K364" s="16" t="s">
        <v>110</v>
      </c>
      <c r="L364" s="282">
        <v>0.4</v>
      </c>
      <c r="M364" s="71"/>
      <c r="N364" s="16" t="s">
        <v>768</v>
      </c>
      <c r="O364" s="73"/>
      <c r="P364" s="28">
        <v>1</v>
      </c>
      <c r="Q364" s="282">
        <v>0.05</v>
      </c>
      <c r="R364" s="28"/>
      <c r="S364" s="28">
        <f t="shared" si="10"/>
        <v>0</v>
      </c>
      <c r="T364" s="46">
        <f t="shared" si="11"/>
        <v>0</v>
      </c>
      <c r="U364" s="28" t="s">
        <v>34</v>
      </c>
      <c r="V364" s="73"/>
      <c r="W364" s="15"/>
    </row>
    <row r="365" spans="1:23" ht="16.05" customHeight="1" x14ac:dyDescent="0.45">
      <c r="A365" s="1">
        <v>364</v>
      </c>
      <c r="B365" s="15" t="s">
        <v>924</v>
      </c>
      <c r="C365" s="57" t="s">
        <v>24</v>
      </c>
      <c r="D365" s="281">
        <v>5388</v>
      </c>
      <c r="E365" s="15" t="s">
        <v>1288</v>
      </c>
      <c r="F365" s="15" t="s">
        <v>1273</v>
      </c>
      <c r="G365" s="16">
        <v>3530</v>
      </c>
      <c r="H365" s="15" t="s">
        <v>1274</v>
      </c>
      <c r="I365" s="15" t="s">
        <v>729</v>
      </c>
      <c r="J365" s="182" t="s">
        <v>111</v>
      </c>
      <c r="K365" s="16" t="s">
        <v>110</v>
      </c>
      <c r="L365" s="282">
        <v>0.4</v>
      </c>
      <c r="M365" s="71"/>
      <c r="N365" s="16" t="s">
        <v>769</v>
      </c>
      <c r="O365" s="73"/>
      <c r="P365" s="28">
        <v>1</v>
      </c>
      <c r="Q365" s="282">
        <v>0.05</v>
      </c>
      <c r="R365" s="28"/>
      <c r="S365" s="28">
        <f t="shared" si="10"/>
        <v>0</v>
      </c>
      <c r="T365" s="46">
        <f t="shared" si="11"/>
        <v>0</v>
      </c>
      <c r="U365" s="28" t="s">
        <v>34</v>
      </c>
      <c r="V365" s="73"/>
      <c r="W365" s="15"/>
    </row>
    <row r="366" spans="1:23" ht="16.05" customHeight="1" x14ac:dyDescent="0.45">
      <c r="A366" s="1">
        <v>365</v>
      </c>
      <c r="B366" s="15" t="s">
        <v>924</v>
      </c>
      <c r="C366" s="57" t="s">
        <v>24</v>
      </c>
      <c r="D366" s="281">
        <v>5388</v>
      </c>
      <c r="E366" s="15" t="s">
        <v>1288</v>
      </c>
      <c r="F366" s="15" t="s">
        <v>1273</v>
      </c>
      <c r="G366" s="16">
        <v>3530</v>
      </c>
      <c r="H366" s="15" t="s">
        <v>1274</v>
      </c>
      <c r="I366" s="15" t="s">
        <v>729</v>
      </c>
      <c r="J366" s="182" t="s">
        <v>111</v>
      </c>
      <c r="K366" s="16" t="s">
        <v>110</v>
      </c>
      <c r="L366" s="282">
        <v>0.4</v>
      </c>
      <c r="M366" s="71"/>
      <c r="N366" s="16" t="s">
        <v>770</v>
      </c>
      <c r="O366" s="73"/>
      <c r="P366" s="28">
        <v>1</v>
      </c>
      <c r="Q366" s="282">
        <v>0.15</v>
      </c>
      <c r="R366" s="28"/>
      <c r="S366" s="28">
        <f t="shared" si="10"/>
        <v>0</v>
      </c>
      <c r="T366" s="46">
        <f t="shared" si="11"/>
        <v>0</v>
      </c>
      <c r="U366" s="28" t="s">
        <v>34</v>
      </c>
      <c r="V366" s="73"/>
      <c r="W366" s="15"/>
    </row>
    <row r="367" spans="1:23" ht="16.05" customHeight="1" x14ac:dyDescent="0.45">
      <c r="A367" s="1">
        <v>366</v>
      </c>
      <c r="B367" s="15" t="s">
        <v>924</v>
      </c>
      <c r="C367" s="57" t="s">
        <v>24</v>
      </c>
      <c r="D367" s="281">
        <v>5388</v>
      </c>
      <c r="E367" s="15" t="s">
        <v>1288</v>
      </c>
      <c r="F367" s="15" t="s">
        <v>1273</v>
      </c>
      <c r="G367" s="16">
        <v>3530</v>
      </c>
      <c r="H367" s="15" t="s">
        <v>1274</v>
      </c>
      <c r="I367" s="15" t="s">
        <v>729</v>
      </c>
      <c r="J367" s="182" t="s">
        <v>111</v>
      </c>
      <c r="K367" s="16" t="s">
        <v>110</v>
      </c>
      <c r="L367" s="282">
        <v>0.4</v>
      </c>
      <c r="M367" s="71"/>
      <c r="N367" s="16" t="s">
        <v>254</v>
      </c>
      <c r="O367" s="73"/>
      <c r="P367" s="28">
        <v>1</v>
      </c>
      <c r="Q367" s="282">
        <v>0.1</v>
      </c>
      <c r="R367" s="28"/>
      <c r="S367" s="28">
        <f t="shared" si="10"/>
        <v>0</v>
      </c>
      <c r="T367" s="46">
        <f t="shared" si="11"/>
        <v>0</v>
      </c>
      <c r="U367" s="28" t="s">
        <v>34</v>
      </c>
      <c r="V367" s="73"/>
      <c r="W367" s="15"/>
    </row>
    <row r="368" spans="1:23" ht="16.05" customHeight="1" x14ac:dyDescent="0.45">
      <c r="A368" s="1">
        <v>367</v>
      </c>
      <c r="B368" s="15" t="s">
        <v>924</v>
      </c>
      <c r="C368" s="57" t="s">
        <v>24</v>
      </c>
      <c r="D368" s="281">
        <v>5388</v>
      </c>
      <c r="E368" s="15" t="s">
        <v>1288</v>
      </c>
      <c r="F368" s="15" t="s">
        <v>1273</v>
      </c>
      <c r="G368" s="16">
        <v>3530</v>
      </c>
      <c r="H368" s="15" t="s">
        <v>1274</v>
      </c>
      <c r="I368" s="15" t="s">
        <v>729</v>
      </c>
      <c r="J368" s="182" t="s">
        <v>111</v>
      </c>
      <c r="K368" s="16" t="s">
        <v>110</v>
      </c>
      <c r="L368" s="282">
        <v>0.4</v>
      </c>
      <c r="M368" s="71"/>
      <c r="N368" s="16" t="s">
        <v>771</v>
      </c>
      <c r="O368" s="73"/>
      <c r="P368" s="28">
        <v>1</v>
      </c>
      <c r="Q368" s="282">
        <v>0.05</v>
      </c>
      <c r="R368" s="28"/>
      <c r="S368" s="28">
        <f t="shared" si="10"/>
        <v>0</v>
      </c>
      <c r="T368" s="46">
        <f t="shared" si="11"/>
        <v>0</v>
      </c>
      <c r="U368" s="28" t="s">
        <v>34</v>
      </c>
      <c r="V368" s="73"/>
      <c r="W368" s="15"/>
    </row>
    <row r="369" spans="1:23" ht="16.05" customHeight="1" x14ac:dyDescent="0.45">
      <c r="A369" s="1">
        <v>368</v>
      </c>
      <c r="B369" s="15" t="s">
        <v>924</v>
      </c>
      <c r="C369" s="57" t="s">
        <v>24</v>
      </c>
      <c r="D369" s="281">
        <v>5388</v>
      </c>
      <c r="E369" s="15" t="s">
        <v>1288</v>
      </c>
      <c r="F369" s="15" t="s">
        <v>1273</v>
      </c>
      <c r="G369" s="16">
        <v>3530</v>
      </c>
      <c r="H369" s="15" t="s">
        <v>1274</v>
      </c>
      <c r="I369" s="15" t="s">
        <v>729</v>
      </c>
      <c r="J369" s="182" t="s">
        <v>111</v>
      </c>
      <c r="K369" s="16" t="s">
        <v>110</v>
      </c>
      <c r="L369" s="282">
        <v>0.4</v>
      </c>
      <c r="M369" s="71"/>
      <c r="N369" s="16" t="s">
        <v>772</v>
      </c>
      <c r="O369" s="73"/>
      <c r="P369" s="28">
        <v>1</v>
      </c>
      <c r="Q369" s="282">
        <v>0.1</v>
      </c>
      <c r="R369" s="28"/>
      <c r="S369" s="28">
        <f t="shared" si="10"/>
        <v>0</v>
      </c>
      <c r="T369" s="46">
        <f t="shared" si="11"/>
        <v>0</v>
      </c>
      <c r="U369" s="28" t="s">
        <v>34</v>
      </c>
      <c r="V369" s="73"/>
      <c r="W369" s="15"/>
    </row>
    <row r="370" spans="1:23" ht="16.05" customHeight="1" x14ac:dyDescent="0.45">
      <c r="A370" s="1">
        <v>369</v>
      </c>
      <c r="B370" s="15" t="s">
        <v>924</v>
      </c>
      <c r="C370" s="57" t="s">
        <v>24</v>
      </c>
      <c r="D370" s="281">
        <v>5388</v>
      </c>
      <c r="E370" s="15" t="s">
        <v>1288</v>
      </c>
      <c r="F370" s="15" t="s">
        <v>1273</v>
      </c>
      <c r="G370" s="16">
        <v>3530</v>
      </c>
      <c r="H370" s="15" t="s">
        <v>1274</v>
      </c>
      <c r="I370" s="15" t="s">
        <v>729</v>
      </c>
      <c r="J370" s="182" t="s">
        <v>111</v>
      </c>
      <c r="K370" s="16" t="s">
        <v>110</v>
      </c>
      <c r="L370" s="282">
        <v>0.4</v>
      </c>
      <c r="M370" s="71"/>
      <c r="N370" s="16" t="s">
        <v>773</v>
      </c>
      <c r="O370" s="73"/>
      <c r="P370" s="28">
        <v>1</v>
      </c>
      <c r="Q370" s="282">
        <v>0.05</v>
      </c>
      <c r="R370" s="28"/>
      <c r="S370" s="28">
        <f t="shared" si="10"/>
        <v>0</v>
      </c>
      <c r="T370" s="46">
        <f t="shared" si="11"/>
        <v>0</v>
      </c>
      <c r="U370" s="28" t="s">
        <v>34</v>
      </c>
      <c r="V370" s="73"/>
      <c r="W370" s="15"/>
    </row>
    <row r="371" spans="1:23" ht="16.05" customHeight="1" x14ac:dyDescent="0.45">
      <c r="A371" s="1">
        <v>370</v>
      </c>
      <c r="B371" s="15" t="s">
        <v>924</v>
      </c>
      <c r="C371" s="57" t="s">
        <v>24</v>
      </c>
      <c r="D371" s="281">
        <v>5388</v>
      </c>
      <c r="E371" s="15" t="s">
        <v>1288</v>
      </c>
      <c r="F371" s="15" t="s">
        <v>1273</v>
      </c>
      <c r="G371" s="16">
        <v>3530</v>
      </c>
      <c r="H371" s="15" t="s">
        <v>1274</v>
      </c>
      <c r="I371" s="15" t="s">
        <v>729</v>
      </c>
      <c r="J371" s="182" t="s">
        <v>111</v>
      </c>
      <c r="K371" s="16" t="s">
        <v>110</v>
      </c>
      <c r="L371" s="282">
        <v>0.4</v>
      </c>
      <c r="M371" s="71"/>
      <c r="N371" s="16" t="s">
        <v>774</v>
      </c>
      <c r="O371" s="73"/>
      <c r="P371" s="28">
        <v>1</v>
      </c>
      <c r="Q371" s="282">
        <v>0.05</v>
      </c>
      <c r="R371" s="28"/>
      <c r="S371" s="28">
        <f t="shared" si="10"/>
        <v>0</v>
      </c>
      <c r="T371" s="46">
        <f t="shared" si="11"/>
        <v>0</v>
      </c>
      <c r="U371" s="28" t="s">
        <v>34</v>
      </c>
      <c r="V371" s="73"/>
      <c r="W371" s="15"/>
    </row>
    <row r="372" spans="1:23" ht="16.05" customHeight="1" x14ac:dyDescent="0.45">
      <c r="A372" s="1">
        <v>371</v>
      </c>
      <c r="B372" s="15" t="s">
        <v>924</v>
      </c>
      <c r="C372" s="57" t="s">
        <v>24</v>
      </c>
      <c r="D372" s="281">
        <v>5388</v>
      </c>
      <c r="E372" s="15" t="s">
        <v>1288</v>
      </c>
      <c r="F372" s="15" t="s">
        <v>1273</v>
      </c>
      <c r="G372" s="16">
        <v>3530</v>
      </c>
      <c r="H372" s="15" t="s">
        <v>1274</v>
      </c>
      <c r="I372" s="15" t="s">
        <v>729</v>
      </c>
      <c r="J372" s="182" t="s">
        <v>111</v>
      </c>
      <c r="K372" s="16" t="s">
        <v>110</v>
      </c>
      <c r="L372" s="282">
        <v>0.4</v>
      </c>
      <c r="M372" s="71"/>
      <c r="N372" s="16" t="s">
        <v>775</v>
      </c>
      <c r="O372" s="73"/>
      <c r="P372" s="28">
        <v>1</v>
      </c>
      <c r="Q372" s="282">
        <v>0.05</v>
      </c>
      <c r="R372" s="28"/>
      <c r="S372" s="28">
        <f t="shared" si="10"/>
        <v>0</v>
      </c>
      <c r="T372" s="46">
        <f t="shared" si="11"/>
        <v>0</v>
      </c>
      <c r="U372" s="28" t="s">
        <v>34</v>
      </c>
      <c r="V372" s="73"/>
      <c r="W372" s="15"/>
    </row>
    <row r="373" spans="1:23" ht="16.05" customHeight="1" x14ac:dyDescent="0.45">
      <c r="A373" s="1">
        <v>372</v>
      </c>
      <c r="B373" s="15" t="s">
        <v>924</v>
      </c>
      <c r="C373" s="57" t="s">
        <v>24</v>
      </c>
      <c r="D373" s="281">
        <v>5388</v>
      </c>
      <c r="E373" s="15" t="s">
        <v>1288</v>
      </c>
      <c r="F373" s="15" t="s">
        <v>1273</v>
      </c>
      <c r="G373" s="16">
        <v>3530</v>
      </c>
      <c r="H373" s="15" t="s">
        <v>1274</v>
      </c>
      <c r="I373" s="15" t="s">
        <v>729</v>
      </c>
      <c r="J373" s="182" t="s">
        <v>111</v>
      </c>
      <c r="K373" s="16" t="s">
        <v>110</v>
      </c>
      <c r="L373" s="282">
        <v>0.4</v>
      </c>
      <c r="M373" s="71"/>
      <c r="N373" s="16" t="s">
        <v>776</v>
      </c>
      <c r="O373" s="73"/>
      <c r="P373" s="28">
        <v>1</v>
      </c>
      <c r="Q373" s="282">
        <v>0.1</v>
      </c>
      <c r="R373" s="28"/>
      <c r="S373" s="28">
        <f t="shared" si="10"/>
        <v>0</v>
      </c>
      <c r="T373" s="46">
        <f t="shared" si="11"/>
        <v>0</v>
      </c>
      <c r="U373" s="28" t="s">
        <v>34</v>
      </c>
      <c r="V373" s="73"/>
      <c r="W373" s="15"/>
    </row>
    <row r="374" spans="1:23" ht="16.05" customHeight="1" x14ac:dyDescent="0.45">
      <c r="A374" s="1">
        <v>373</v>
      </c>
      <c r="B374" s="15" t="s">
        <v>924</v>
      </c>
      <c r="C374" s="57" t="s">
        <v>24</v>
      </c>
      <c r="D374" s="281">
        <v>5388</v>
      </c>
      <c r="E374" s="15" t="s">
        <v>1288</v>
      </c>
      <c r="F374" s="15" t="s">
        <v>1273</v>
      </c>
      <c r="G374" s="16">
        <v>3530</v>
      </c>
      <c r="H374" s="15" t="s">
        <v>1274</v>
      </c>
      <c r="I374" s="15" t="s">
        <v>729</v>
      </c>
      <c r="J374" s="182" t="s">
        <v>111</v>
      </c>
      <c r="K374" s="16" t="s">
        <v>110</v>
      </c>
      <c r="L374" s="282">
        <v>0.4</v>
      </c>
      <c r="M374" s="71"/>
      <c r="N374" s="16" t="s">
        <v>251</v>
      </c>
      <c r="O374" s="73"/>
      <c r="P374" s="28">
        <v>1</v>
      </c>
      <c r="Q374" s="282">
        <v>0.05</v>
      </c>
      <c r="R374" s="28"/>
      <c r="S374" s="28">
        <f t="shared" si="10"/>
        <v>0</v>
      </c>
      <c r="T374" s="46">
        <f t="shared" si="11"/>
        <v>0</v>
      </c>
      <c r="U374" s="28" t="s">
        <v>34</v>
      </c>
      <c r="V374" s="73"/>
      <c r="W374" s="15"/>
    </row>
    <row r="375" spans="1:23" ht="16.05" customHeight="1" x14ac:dyDescent="0.45">
      <c r="A375" s="1">
        <v>374</v>
      </c>
      <c r="B375" s="15" t="s">
        <v>924</v>
      </c>
      <c r="C375" s="57" t="s">
        <v>24</v>
      </c>
      <c r="D375" s="281">
        <v>5388</v>
      </c>
      <c r="E375" s="15" t="s">
        <v>1288</v>
      </c>
      <c r="F375" s="15" t="s">
        <v>1273</v>
      </c>
      <c r="G375" s="16">
        <v>3530</v>
      </c>
      <c r="H375" s="15" t="s">
        <v>1274</v>
      </c>
      <c r="I375" s="15" t="s">
        <v>729</v>
      </c>
      <c r="J375" s="182" t="s">
        <v>111</v>
      </c>
      <c r="K375" s="16" t="s">
        <v>110</v>
      </c>
      <c r="L375" s="282">
        <v>0.4</v>
      </c>
      <c r="M375" s="71"/>
      <c r="N375" s="16" t="s">
        <v>252</v>
      </c>
      <c r="O375" s="73"/>
      <c r="P375" s="28">
        <v>1</v>
      </c>
      <c r="Q375" s="282">
        <v>0.05</v>
      </c>
      <c r="R375" s="28"/>
      <c r="S375" s="28">
        <f t="shared" si="10"/>
        <v>0</v>
      </c>
      <c r="T375" s="46">
        <f t="shared" si="11"/>
        <v>0</v>
      </c>
      <c r="U375" s="28" t="s">
        <v>34</v>
      </c>
      <c r="V375" s="73"/>
      <c r="W375" s="15"/>
    </row>
    <row r="376" spans="1:23" ht="16.05" customHeight="1" x14ac:dyDescent="0.45">
      <c r="A376" s="1">
        <v>375</v>
      </c>
      <c r="B376" s="15" t="s">
        <v>924</v>
      </c>
      <c r="C376" s="57" t="s">
        <v>24</v>
      </c>
      <c r="D376" s="281">
        <v>5388</v>
      </c>
      <c r="E376" s="15" t="s">
        <v>1288</v>
      </c>
      <c r="F376" s="15" t="s">
        <v>1273</v>
      </c>
      <c r="G376" s="16">
        <v>3530</v>
      </c>
      <c r="H376" s="15" t="s">
        <v>1274</v>
      </c>
      <c r="I376" s="15" t="s">
        <v>729</v>
      </c>
      <c r="J376" s="182" t="s">
        <v>111</v>
      </c>
      <c r="K376" s="16" t="s">
        <v>110</v>
      </c>
      <c r="L376" s="282">
        <v>0.4</v>
      </c>
      <c r="M376" s="71"/>
      <c r="N376" s="16" t="s">
        <v>777</v>
      </c>
      <c r="O376" s="73"/>
      <c r="P376" s="28">
        <v>1</v>
      </c>
      <c r="Q376" s="282">
        <v>0.05</v>
      </c>
      <c r="R376" s="28"/>
      <c r="S376" s="28">
        <f t="shared" si="10"/>
        <v>0</v>
      </c>
      <c r="T376" s="46">
        <f t="shared" si="11"/>
        <v>0</v>
      </c>
      <c r="U376" s="28" t="s">
        <v>34</v>
      </c>
      <c r="V376" s="73"/>
      <c r="W376" s="15"/>
    </row>
    <row r="377" spans="1:23" ht="16.05" customHeight="1" x14ac:dyDescent="0.45">
      <c r="A377" s="1">
        <v>376</v>
      </c>
      <c r="B377" s="15" t="s">
        <v>924</v>
      </c>
      <c r="C377" s="57" t="s">
        <v>24</v>
      </c>
      <c r="D377" s="281">
        <v>5388</v>
      </c>
      <c r="E377" s="15" t="s">
        <v>1288</v>
      </c>
      <c r="F377" s="15" t="s">
        <v>1273</v>
      </c>
      <c r="G377" s="16">
        <v>3530</v>
      </c>
      <c r="H377" s="15" t="s">
        <v>1274</v>
      </c>
      <c r="I377" s="15" t="s">
        <v>729</v>
      </c>
      <c r="J377" s="182" t="s">
        <v>111</v>
      </c>
      <c r="K377" s="16" t="s">
        <v>110</v>
      </c>
      <c r="L377" s="282">
        <v>0.4</v>
      </c>
      <c r="M377" s="71"/>
      <c r="N377" s="16" t="s">
        <v>253</v>
      </c>
      <c r="O377" s="73"/>
      <c r="P377" s="28">
        <v>1</v>
      </c>
      <c r="Q377" s="282">
        <v>0.05</v>
      </c>
      <c r="R377" s="28"/>
      <c r="S377" s="28">
        <f t="shared" si="10"/>
        <v>0</v>
      </c>
      <c r="T377" s="46">
        <f t="shared" si="11"/>
        <v>0</v>
      </c>
      <c r="U377" s="28" t="s">
        <v>34</v>
      </c>
      <c r="V377" s="73"/>
      <c r="W377" s="15"/>
    </row>
    <row r="378" spans="1:23" ht="16.05" customHeight="1" x14ac:dyDescent="0.45">
      <c r="A378" s="1">
        <v>377</v>
      </c>
      <c r="B378" s="99" t="s">
        <v>924</v>
      </c>
      <c r="C378" s="99" t="s">
        <v>24</v>
      </c>
      <c r="D378" s="349">
        <v>5120</v>
      </c>
      <c r="E378" s="99" t="s">
        <v>1253</v>
      </c>
      <c r="F378" s="99" t="s">
        <v>1294</v>
      </c>
      <c r="G378" s="3">
        <v>5043</v>
      </c>
      <c r="H378" s="99" t="s">
        <v>1266</v>
      </c>
      <c r="I378" s="99" t="s">
        <v>729</v>
      </c>
      <c r="J378" s="91" t="s">
        <v>58</v>
      </c>
      <c r="K378" s="91" t="s">
        <v>57</v>
      </c>
      <c r="L378" s="350">
        <v>0.6</v>
      </c>
      <c r="M378" s="407"/>
      <c r="N378" s="91" t="s">
        <v>741</v>
      </c>
      <c r="O378" s="146"/>
      <c r="P378" s="178">
        <v>1</v>
      </c>
      <c r="Q378" s="350">
        <v>0.15</v>
      </c>
      <c r="R378" s="178"/>
      <c r="S378" s="148">
        <f t="shared" si="10"/>
        <v>0</v>
      </c>
      <c r="T378" s="168">
        <f t="shared" si="11"/>
        <v>0</v>
      </c>
      <c r="U378" s="148" t="s">
        <v>34</v>
      </c>
      <c r="V378" s="429">
        <f>SUM(T378:T388)%</f>
        <v>0</v>
      </c>
      <c r="W378" s="99"/>
    </row>
    <row r="379" spans="1:23" ht="16.05" customHeight="1" x14ac:dyDescent="0.45">
      <c r="A379" s="1">
        <v>378</v>
      </c>
      <c r="B379" s="15" t="s">
        <v>924</v>
      </c>
      <c r="C379" s="113" t="s">
        <v>24</v>
      </c>
      <c r="D379" s="281">
        <v>5120</v>
      </c>
      <c r="E379" s="15" t="s">
        <v>1253</v>
      </c>
      <c r="F379" s="15" t="s">
        <v>1294</v>
      </c>
      <c r="G379" s="16">
        <v>5043</v>
      </c>
      <c r="H379" s="15" t="s">
        <v>1266</v>
      </c>
      <c r="I379" s="15" t="s">
        <v>729</v>
      </c>
      <c r="J379" s="16" t="s">
        <v>58</v>
      </c>
      <c r="K379" s="16" t="s">
        <v>57</v>
      </c>
      <c r="L379" s="360">
        <v>0.6</v>
      </c>
      <c r="M379" s="430"/>
      <c r="N379" s="184" t="s">
        <v>1295</v>
      </c>
      <c r="O379" s="44"/>
      <c r="P379" s="179">
        <v>1</v>
      </c>
      <c r="Q379" s="360">
        <v>0.4</v>
      </c>
      <c r="R379" s="179"/>
      <c r="S379" s="153">
        <f t="shared" si="10"/>
        <v>0</v>
      </c>
      <c r="T379" s="152">
        <f t="shared" si="11"/>
        <v>0</v>
      </c>
      <c r="U379" s="153" t="s">
        <v>34</v>
      </c>
      <c r="V379" s="44"/>
      <c r="W379" s="15"/>
    </row>
    <row r="380" spans="1:23" ht="16.05" customHeight="1" x14ac:dyDescent="0.45">
      <c r="A380" s="1">
        <v>379</v>
      </c>
      <c r="B380" s="15" t="s">
        <v>924</v>
      </c>
      <c r="C380" s="113" t="s">
        <v>24</v>
      </c>
      <c r="D380" s="281">
        <v>5120</v>
      </c>
      <c r="E380" s="15" t="s">
        <v>1253</v>
      </c>
      <c r="F380" s="15" t="s">
        <v>1294</v>
      </c>
      <c r="G380" s="16">
        <v>5043</v>
      </c>
      <c r="H380" s="15" t="s">
        <v>1266</v>
      </c>
      <c r="I380" s="15" t="s">
        <v>729</v>
      </c>
      <c r="J380" s="16" t="s">
        <v>58</v>
      </c>
      <c r="K380" s="16" t="s">
        <v>57</v>
      </c>
      <c r="L380" s="360">
        <v>0.6</v>
      </c>
      <c r="M380" s="430"/>
      <c r="N380" s="184" t="s">
        <v>738</v>
      </c>
      <c r="O380" s="44"/>
      <c r="P380" s="179">
        <v>1</v>
      </c>
      <c r="Q380" s="360">
        <v>0.05</v>
      </c>
      <c r="R380" s="179"/>
      <c r="S380" s="153">
        <f t="shared" si="10"/>
        <v>0</v>
      </c>
      <c r="T380" s="152">
        <f t="shared" si="11"/>
        <v>0</v>
      </c>
      <c r="U380" s="153" t="s">
        <v>34</v>
      </c>
      <c r="V380" s="44"/>
      <c r="W380" s="15"/>
    </row>
    <row r="381" spans="1:23" ht="16.05" customHeight="1" x14ac:dyDescent="0.45">
      <c r="A381" s="1">
        <v>380</v>
      </c>
      <c r="B381" s="15" t="s">
        <v>924</v>
      </c>
      <c r="C381" s="113" t="s">
        <v>24</v>
      </c>
      <c r="D381" s="281">
        <v>5120</v>
      </c>
      <c r="E381" s="15" t="s">
        <v>1253</v>
      </c>
      <c r="F381" s="15" t="s">
        <v>1294</v>
      </c>
      <c r="G381" s="16">
        <v>5043</v>
      </c>
      <c r="H381" s="15" t="s">
        <v>1266</v>
      </c>
      <c r="I381" s="15" t="s">
        <v>729</v>
      </c>
      <c r="J381" s="16" t="s">
        <v>58</v>
      </c>
      <c r="K381" s="16" t="s">
        <v>57</v>
      </c>
      <c r="L381" s="360">
        <v>0.6</v>
      </c>
      <c r="M381" s="430"/>
      <c r="N381" s="184" t="s">
        <v>740</v>
      </c>
      <c r="O381" s="44"/>
      <c r="P381" s="179">
        <v>1</v>
      </c>
      <c r="Q381" s="360">
        <v>0.25</v>
      </c>
      <c r="R381" s="179"/>
      <c r="S381" s="153">
        <f t="shared" si="10"/>
        <v>0</v>
      </c>
      <c r="T381" s="152">
        <f t="shared" si="11"/>
        <v>0</v>
      </c>
      <c r="U381" s="153" t="s">
        <v>34</v>
      </c>
      <c r="V381" s="44"/>
      <c r="W381" s="15"/>
    </row>
    <row r="382" spans="1:23" ht="16.05" customHeight="1" x14ac:dyDescent="0.45">
      <c r="A382" s="1">
        <v>381</v>
      </c>
      <c r="B382" s="15" t="s">
        <v>924</v>
      </c>
      <c r="C382" s="113" t="s">
        <v>24</v>
      </c>
      <c r="D382" s="281">
        <v>5120</v>
      </c>
      <c r="E382" s="15" t="s">
        <v>1253</v>
      </c>
      <c r="F382" s="15" t="s">
        <v>1294</v>
      </c>
      <c r="G382" s="16">
        <v>5043</v>
      </c>
      <c r="H382" s="15" t="s">
        <v>1266</v>
      </c>
      <c r="I382" s="15" t="s">
        <v>729</v>
      </c>
      <c r="J382" s="16" t="s">
        <v>58</v>
      </c>
      <c r="K382" s="16" t="s">
        <v>57</v>
      </c>
      <c r="L382" s="360">
        <v>0.6</v>
      </c>
      <c r="M382" s="430"/>
      <c r="N382" s="184" t="s">
        <v>1296</v>
      </c>
      <c r="O382" s="44"/>
      <c r="P382" s="179">
        <v>1</v>
      </c>
      <c r="Q382" s="360">
        <v>0.1</v>
      </c>
      <c r="R382" s="179"/>
      <c r="S382" s="153">
        <f t="shared" si="10"/>
        <v>0</v>
      </c>
      <c r="T382" s="152">
        <f t="shared" si="11"/>
        <v>0</v>
      </c>
      <c r="U382" s="153" t="s">
        <v>34</v>
      </c>
      <c r="V382" s="44"/>
      <c r="W382" s="15"/>
    </row>
    <row r="383" spans="1:23" ht="16.05" customHeight="1" x14ac:dyDescent="0.45">
      <c r="A383" s="1">
        <v>382</v>
      </c>
      <c r="B383" s="15" t="s">
        <v>924</v>
      </c>
      <c r="C383" s="113" t="s">
        <v>24</v>
      </c>
      <c r="D383" s="281">
        <v>5120</v>
      </c>
      <c r="E383" s="15" t="s">
        <v>1253</v>
      </c>
      <c r="F383" s="15" t="s">
        <v>1294</v>
      </c>
      <c r="G383" s="16">
        <v>5043</v>
      </c>
      <c r="H383" s="15" t="s">
        <v>1266</v>
      </c>
      <c r="I383" s="15" t="s">
        <v>729</v>
      </c>
      <c r="J383" s="16" t="s">
        <v>58</v>
      </c>
      <c r="K383" s="16" t="s">
        <v>57</v>
      </c>
      <c r="L383" s="360">
        <v>0.6</v>
      </c>
      <c r="M383" s="430"/>
      <c r="N383" s="184" t="s">
        <v>742</v>
      </c>
      <c r="O383" s="44"/>
      <c r="P383" s="179">
        <v>1</v>
      </c>
      <c r="Q383" s="360">
        <v>0.05</v>
      </c>
      <c r="R383" s="179"/>
      <c r="S383" s="153">
        <f t="shared" si="10"/>
        <v>0</v>
      </c>
      <c r="T383" s="152">
        <f t="shared" si="11"/>
        <v>0</v>
      </c>
      <c r="U383" s="153" t="s">
        <v>34</v>
      </c>
      <c r="V383" s="44"/>
      <c r="W383" s="15"/>
    </row>
    <row r="384" spans="1:23" ht="16.05" customHeight="1" x14ac:dyDescent="0.45">
      <c r="A384" s="1">
        <v>383</v>
      </c>
      <c r="B384" s="15" t="s">
        <v>924</v>
      </c>
      <c r="C384" s="113" t="s">
        <v>24</v>
      </c>
      <c r="D384" s="281">
        <v>5120</v>
      </c>
      <c r="E384" s="15" t="s">
        <v>1253</v>
      </c>
      <c r="F384" s="15" t="s">
        <v>1294</v>
      </c>
      <c r="G384" s="16">
        <v>5043</v>
      </c>
      <c r="H384" s="15" t="s">
        <v>1266</v>
      </c>
      <c r="I384" s="15" t="s">
        <v>729</v>
      </c>
      <c r="J384" s="357" t="s">
        <v>111</v>
      </c>
      <c r="K384" s="357" t="s">
        <v>110</v>
      </c>
      <c r="L384" s="432">
        <v>0.4</v>
      </c>
      <c r="M384" s="71"/>
      <c r="N384" s="357" t="s">
        <v>1297</v>
      </c>
      <c r="O384" s="73"/>
      <c r="P384" s="433">
        <v>1</v>
      </c>
      <c r="Q384" s="432">
        <v>0.3</v>
      </c>
      <c r="R384" s="433"/>
      <c r="S384" s="160">
        <f t="shared" si="10"/>
        <v>0</v>
      </c>
      <c r="T384" s="161">
        <f t="shared" si="11"/>
        <v>0</v>
      </c>
      <c r="U384" s="160" t="s">
        <v>34</v>
      </c>
      <c r="V384" s="73"/>
      <c r="W384" s="15"/>
    </row>
    <row r="385" spans="1:23" ht="16.05" customHeight="1" x14ac:dyDescent="0.45">
      <c r="A385" s="1">
        <v>384</v>
      </c>
      <c r="B385" s="15" t="s">
        <v>924</v>
      </c>
      <c r="C385" s="113" t="s">
        <v>24</v>
      </c>
      <c r="D385" s="281">
        <v>5120</v>
      </c>
      <c r="E385" s="15" t="s">
        <v>1253</v>
      </c>
      <c r="F385" s="15" t="s">
        <v>1294</v>
      </c>
      <c r="G385" s="16">
        <v>5043</v>
      </c>
      <c r="H385" s="15" t="s">
        <v>1266</v>
      </c>
      <c r="I385" s="15" t="s">
        <v>729</v>
      </c>
      <c r="J385" s="357" t="s">
        <v>111</v>
      </c>
      <c r="K385" s="357" t="s">
        <v>110</v>
      </c>
      <c r="L385" s="432">
        <v>0.4</v>
      </c>
      <c r="M385" s="71"/>
      <c r="N385" s="357" t="s">
        <v>1298</v>
      </c>
      <c r="O385" s="73"/>
      <c r="P385" s="433">
        <v>1</v>
      </c>
      <c r="Q385" s="432">
        <v>0.3</v>
      </c>
      <c r="R385" s="433"/>
      <c r="S385" s="160">
        <f t="shared" si="10"/>
        <v>0</v>
      </c>
      <c r="T385" s="161">
        <f t="shared" si="11"/>
        <v>0</v>
      </c>
      <c r="U385" s="160" t="s">
        <v>34</v>
      </c>
      <c r="V385" s="73"/>
      <c r="W385" s="15"/>
    </row>
    <row r="386" spans="1:23" ht="16.05" customHeight="1" x14ac:dyDescent="0.45">
      <c r="A386" s="1">
        <v>385</v>
      </c>
      <c r="B386" s="15" t="s">
        <v>924</v>
      </c>
      <c r="C386" s="113" t="s">
        <v>24</v>
      </c>
      <c r="D386" s="281">
        <v>5120</v>
      </c>
      <c r="E386" s="15" t="s">
        <v>1253</v>
      </c>
      <c r="F386" s="15" t="s">
        <v>1294</v>
      </c>
      <c r="G386" s="16">
        <v>5043</v>
      </c>
      <c r="H386" s="15" t="s">
        <v>1266</v>
      </c>
      <c r="I386" s="15" t="s">
        <v>729</v>
      </c>
      <c r="J386" s="334" t="s">
        <v>111</v>
      </c>
      <c r="K386" s="334" t="s">
        <v>110</v>
      </c>
      <c r="L386" s="432">
        <v>0.4</v>
      </c>
      <c r="M386" s="71"/>
      <c r="N386" s="334" t="s">
        <v>1299</v>
      </c>
      <c r="O386" s="73"/>
      <c r="P386" s="433">
        <v>1</v>
      </c>
      <c r="Q386" s="432">
        <v>0.1</v>
      </c>
      <c r="R386" s="433"/>
      <c r="S386" s="160">
        <f t="shared" ref="S386:S449" si="12">ROUND(IF(OR(P386="",R386=""),0,IF(AND(P386=0,R386=0),1,IF(U386="+",R386/P386,P386/R386))),2)</f>
        <v>0</v>
      </c>
      <c r="T386" s="161">
        <f t="shared" ref="T386:T449" si="13">IF(AND(S386&gt;=60%,S386&lt;100%),S386*((Q386*L386)),IF(S386=100%,((Q386*L386)*S386)*100%,IF(S386&gt;100%,((L386*Q386)*100%)*100%,0)))*100</f>
        <v>0</v>
      </c>
      <c r="U386" s="160" t="s">
        <v>34</v>
      </c>
      <c r="V386" s="73"/>
      <c r="W386" s="15"/>
    </row>
    <row r="387" spans="1:23" ht="16.05" customHeight="1" x14ac:dyDescent="0.45">
      <c r="A387" s="1">
        <v>386</v>
      </c>
      <c r="B387" s="15" t="s">
        <v>924</v>
      </c>
      <c r="C387" s="113" t="s">
        <v>24</v>
      </c>
      <c r="D387" s="281">
        <v>5120</v>
      </c>
      <c r="E387" s="15" t="s">
        <v>1253</v>
      </c>
      <c r="F387" s="15" t="s">
        <v>1294</v>
      </c>
      <c r="G387" s="16">
        <v>5043</v>
      </c>
      <c r="H387" s="15" t="s">
        <v>1266</v>
      </c>
      <c r="I387" s="15" t="s">
        <v>729</v>
      </c>
      <c r="J387" s="334" t="s">
        <v>111</v>
      </c>
      <c r="K387" s="334" t="s">
        <v>110</v>
      </c>
      <c r="L387" s="432">
        <v>0.4</v>
      </c>
      <c r="M387" s="71"/>
      <c r="N387" s="334" t="s">
        <v>1300</v>
      </c>
      <c r="O387" s="73"/>
      <c r="P387" s="433">
        <v>1</v>
      </c>
      <c r="Q387" s="432">
        <v>0.05</v>
      </c>
      <c r="R387" s="433"/>
      <c r="S387" s="160">
        <f t="shared" si="12"/>
        <v>0</v>
      </c>
      <c r="T387" s="161">
        <f t="shared" si="13"/>
        <v>0</v>
      </c>
      <c r="U387" s="160" t="s">
        <v>34</v>
      </c>
      <c r="V387" s="73"/>
      <c r="W387" s="15"/>
    </row>
    <row r="388" spans="1:23" ht="16.05" customHeight="1" x14ac:dyDescent="0.45">
      <c r="A388" s="1">
        <v>387</v>
      </c>
      <c r="B388" s="15" t="s">
        <v>924</v>
      </c>
      <c r="C388" s="113" t="s">
        <v>24</v>
      </c>
      <c r="D388" s="281">
        <v>5120</v>
      </c>
      <c r="E388" s="15" t="s">
        <v>1253</v>
      </c>
      <c r="F388" s="15" t="s">
        <v>1294</v>
      </c>
      <c r="G388" s="16">
        <v>5043</v>
      </c>
      <c r="H388" s="15" t="s">
        <v>1266</v>
      </c>
      <c r="I388" s="15" t="s">
        <v>729</v>
      </c>
      <c r="J388" s="334" t="s">
        <v>111</v>
      </c>
      <c r="K388" s="334" t="s">
        <v>110</v>
      </c>
      <c r="L388" s="432">
        <v>0.4</v>
      </c>
      <c r="M388" s="71"/>
      <c r="N388" s="334" t="s">
        <v>1301</v>
      </c>
      <c r="O388" s="73"/>
      <c r="P388" s="433">
        <v>1</v>
      </c>
      <c r="Q388" s="432">
        <v>0.25</v>
      </c>
      <c r="R388" s="433"/>
      <c r="S388" s="160">
        <f t="shared" si="12"/>
        <v>0</v>
      </c>
      <c r="T388" s="161">
        <f t="shared" si="13"/>
        <v>0</v>
      </c>
      <c r="U388" s="160" t="s">
        <v>34</v>
      </c>
      <c r="V388" s="73"/>
      <c r="W388" s="15"/>
    </row>
    <row r="389" spans="1:23" ht="16.05" customHeight="1" x14ac:dyDescent="0.45">
      <c r="A389" s="1">
        <v>388</v>
      </c>
      <c r="B389" s="99" t="s">
        <v>924</v>
      </c>
      <c r="C389" s="2" t="s">
        <v>24</v>
      </c>
      <c r="D389" s="349">
        <v>6446</v>
      </c>
      <c r="E389" s="99" t="s">
        <v>1302</v>
      </c>
      <c r="F389" s="99" t="s">
        <v>1283</v>
      </c>
      <c r="G389" s="3">
        <v>5670</v>
      </c>
      <c r="H389" s="99" t="s">
        <v>1284</v>
      </c>
      <c r="I389" s="99" t="s">
        <v>729</v>
      </c>
      <c r="J389" s="3" t="s">
        <v>58</v>
      </c>
      <c r="K389" s="3" t="s">
        <v>57</v>
      </c>
      <c r="L389" s="350">
        <v>0.6</v>
      </c>
      <c r="M389" s="407"/>
      <c r="N389" s="3" t="s">
        <v>1303</v>
      </c>
      <c r="O389" s="146"/>
      <c r="P389" s="171">
        <v>1</v>
      </c>
      <c r="Q389" s="350">
        <v>0.6</v>
      </c>
      <c r="R389" s="171"/>
      <c r="S389" s="148">
        <f t="shared" si="12"/>
        <v>0</v>
      </c>
      <c r="T389" s="168">
        <f t="shared" si="13"/>
        <v>0</v>
      </c>
      <c r="U389" s="148" t="s">
        <v>34</v>
      </c>
      <c r="V389" s="429">
        <f>SUM(T389:T407)%</f>
        <v>0</v>
      </c>
      <c r="W389" s="99"/>
    </row>
    <row r="390" spans="1:23" ht="16.05" customHeight="1" x14ac:dyDescent="0.45">
      <c r="A390" s="1">
        <v>389</v>
      </c>
      <c r="B390" s="113" t="s">
        <v>924</v>
      </c>
      <c r="C390" s="57" t="s">
        <v>24</v>
      </c>
      <c r="D390" s="358">
        <v>6446</v>
      </c>
      <c r="E390" s="113" t="s">
        <v>1302</v>
      </c>
      <c r="F390" s="113" t="s">
        <v>1283</v>
      </c>
      <c r="G390" s="16">
        <v>5670</v>
      </c>
      <c r="H390" s="113" t="s">
        <v>1284</v>
      </c>
      <c r="I390" s="113" t="s">
        <v>729</v>
      </c>
      <c r="J390" s="16" t="s">
        <v>58</v>
      </c>
      <c r="K390" s="16" t="s">
        <v>57</v>
      </c>
      <c r="L390" s="360">
        <v>0.6</v>
      </c>
      <c r="M390" s="430"/>
      <c r="N390" s="184" t="s">
        <v>1304</v>
      </c>
      <c r="O390" s="44"/>
      <c r="P390" s="431">
        <v>1</v>
      </c>
      <c r="Q390" s="360">
        <v>0.2</v>
      </c>
      <c r="R390" s="431"/>
      <c r="S390" s="153">
        <f t="shared" si="12"/>
        <v>0</v>
      </c>
      <c r="T390" s="152">
        <f t="shared" si="13"/>
        <v>0</v>
      </c>
      <c r="U390" s="153" t="s">
        <v>34</v>
      </c>
      <c r="V390" s="44"/>
      <c r="W390" s="113"/>
    </row>
    <row r="391" spans="1:23" ht="16.05" customHeight="1" x14ac:dyDescent="0.45">
      <c r="A391" s="1">
        <v>390</v>
      </c>
      <c r="B391" s="113" t="s">
        <v>924</v>
      </c>
      <c r="C391" s="57" t="s">
        <v>24</v>
      </c>
      <c r="D391" s="358">
        <v>6446</v>
      </c>
      <c r="E391" s="113" t="s">
        <v>1302</v>
      </c>
      <c r="F391" s="113" t="s">
        <v>1283</v>
      </c>
      <c r="G391" s="16">
        <v>5670</v>
      </c>
      <c r="H391" s="113" t="s">
        <v>1284</v>
      </c>
      <c r="I391" s="113" t="s">
        <v>729</v>
      </c>
      <c r="J391" s="16" t="s">
        <v>58</v>
      </c>
      <c r="K391" s="16" t="s">
        <v>57</v>
      </c>
      <c r="L391" s="360">
        <v>0.6</v>
      </c>
      <c r="M391" s="430"/>
      <c r="N391" s="184" t="s">
        <v>1305</v>
      </c>
      <c r="O391" s="44"/>
      <c r="P391" s="431">
        <v>1</v>
      </c>
      <c r="Q391" s="360">
        <v>0.1</v>
      </c>
      <c r="R391" s="431"/>
      <c r="S391" s="153">
        <f t="shared" si="12"/>
        <v>0</v>
      </c>
      <c r="T391" s="152">
        <f t="shared" si="13"/>
        <v>0</v>
      </c>
      <c r="U391" s="153" t="s">
        <v>34</v>
      </c>
      <c r="V391" s="44"/>
      <c r="W391" s="113"/>
    </row>
    <row r="392" spans="1:23" ht="16.05" customHeight="1" x14ac:dyDescent="0.45">
      <c r="A392" s="1">
        <v>391</v>
      </c>
      <c r="B392" s="113" t="s">
        <v>924</v>
      </c>
      <c r="C392" s="57" t="s">
        <v>24</v>
      </c>
      <c r="D392" s="358">
        <v>6446</v>
      </c>
      <c r="E392" s="113" t="s">
        <v>1302</v>
      </c>
      <c r="F392" s="113" t="s">
        <v>1283</v>
      </c>
      <c r="G392" s="16">
        <v>5670</v>
      </c>
      <c r="H392" s="113" t="s">
        <v>1284</v>
      </c>
      <c r="I392" s="113" t="s">
        <v>729</v>
      </c>
      <c r="J392" s="16" t="s">
        <v>58</v>
      </c>
      <c r="K392" s="16" t="s">
        <v>57</v>
      </c>
      <c r="L392" s="360">
        <v>0.6</v>
      </c>
      <c r="M392" s="430"/>
      <c r="N392" s="184" t="s">
        <v>1306</v>
      </c>
      <c r="O392" s="44"/>
      <c r="P392" s="431">
        <v>1</v>
      </c>
      <c r="Q392" s="360">
        <v>0.1</v>
      </c>
      <c r="R392" s="431"/>
      <c r="S392" s="153">
        <f t="shared" si="12"/>
        <v>0</v>
      </c>
      <c r="T392" s="152">
        <f t="shared" si="13"/>
        <v>0</v>
      </c>
      <c r="U392" s="153" t="s">
        <v>34</v>
      </c>
      <c r="V392" s="44"/>
      <c r="W392" s="113"/>
    </row>
    <row r="393" spans="1:23" ht="16.05" customHeight="1" x14ac:dyDescent="0.45">
      <c r="A393" s="1">
        <v>392</v>
      </c>
      <c r="B393" s="113" t="s">
        <v>924</v>
      </c>
      <c r="C393" s="57" t="s">
        <v>24</v>
      </c>
      <c r="D393" s="358">
        <v>6446</v>
      </c>
      <c r="E393" s="113" t="s">
        <v>1302</v>
      </c>
      <c r="F393" s="113" t="s">
        <v>1283</v>
      </c>
      <c r="G393" s="16">
        <v>5670</v>
      </c>
      <c r="H393" s="113" t="s">
        <v>1284</v>
      </c>
      <c r="I393" s="113" t="s">
        <v>729</v>
      </c>
      <c r="J393" s="182" t="s">
        <v>111</v>
      </c>
      <c r="K393" s="16" t="s">
        <v>110</v>
      </c>
      <c r="L393" s="282">
        <v>0.4</v>
      </c>
      <c r="M393" s="71"/>
      <c r="N393" s="16" t="s">
        <v>255</v>
      </c>
      <c r="O393" s="73"/>
      <c r="P393" s="28">
        <v>1</v>
      </c>
      <c r="Q393" s="282">
        <v>0.05</v>
      </c>
      <c r="R393" s="28"/>
      <c r="S393" s="28">
        <f t="shared" si="12"/>
        <v>0</v>
      </c>
      <c r="T393" s="46">
        <f t="shared" si="13"/>
        <v>0</v>
      </c>
      <c r="U393" s="28" t="s">
        <v>34</v>
      </c>
      <c r="V393" s="73"/>
      <c r="W393" s="113"/>
    </row>
    <row r="394" spans="1:23" ht="16.05" customHeight="1" x14ac:dyDescent="0.45">
      <c r="A394" s="1">
        <v>393</v>
      </c>
      <c r="B394" s="113" t="s">
        <v>924</v>
      </c>
      <c r="C394" s="57" t="s">
        <v>24</v>
      </c>
      <c r="D394" s="358">
        <v>6446</v>
      </c>
      <c r="E394" s="113" t="s">
        <v>1302</v>
      </c>
      <c r="F394" s="113" t="s">
        <v>1283</v>
      </c>
      <c r="G394" s="16">
        <v>5670</v>
      </c>
      <c r="H394" s="113" t="s">
        <v>1284</v>
      </c>
      <c r="I394" s="113" t="s">
        <v>729</v>
      </c>
      <c r="J394" s="182" t="s">
        <v>111</v>
      </c>
      <c r="K394" s="16" t="s">
        <v>110</v>
      </c>
      <c r="L394" s="282">
        <v>0.4</v>
      </c>
      <c r="M394" s="71"/>
      <c r="N394" s="16" t="s">
        <v>768</v>
      </c>
      <c r="O394" s="73"/>
      <c r="P394" s="28">
        <v>1</v>
      </c>
      <c r="Q394" s="282">
        <v>0.05</v>
      </c>
      <c r="R394" s="28"/>
      <c r="S394" s="28">
        <f t="shared" si="12"/>
        <v>0</v>
      </c>
      <c r="T394" s="46">
        <f t="shared" si="13"/>
        <v>0</v>
      </c>
      <c r="U394" s="28" t="s">
        <v>34</v>
      </c>
      <c r="V394" s="73"/>
      <c r="W394" s="113"/>
    </row>
    <row r="395" spans="1:23" ht="16.05" customHeight="1" x14ac:dyDescent="0.45">
      <c r="A395" s="1">
        <v>394</v>
      </c>
      <c r="B395" s="113" t="s">
        <v>924</v>
      </c>
      <c r="C395" s="57" t="s">
        <v>24</v>
      </c>
      <c r="D395" s="358">
        <v>6446</v>
      </c>
      <c r="E395" s="113" t="s">
        <v>1302</v>
      </c>
      <c r="F395" s="113" t="s">
        <v>1283</v>
      </c>
      <c r="G395" s="16">
        <v>5670</v>
      </c>
      <c r="H395" s="113" t="s">
        <v>1284</v>
      </c>
      <c r="I395" s="113" t="s">
        <v>729</v>
      </c>
      <c r="J395" s="182" t="s">
        <v>111</v>
      </c>
      <c r="K395" s="16" t="s">
        <v>110</v>
      </c>
      <c r="L395" s="282">
        <v>0.4</v>
      </c>
      <c r="M395" s="71"/>
      <c r="N395" s="16" t="s">
        <v>769</v>
      </c>
      <c r="O395" s="73"/>
      <c r="P395" s="28">
        <v>1</v>
      </c>
      <c r="Q395" s="282">
        <v>0.05</v>
      </c>
      <c r="R395" s="28"/>
      <c r="S395" s="28">
        <f t="shared" si="12"/>
        <v>0</v>
      </c>
      <c r="T395" s="46">
        <f t="shared" si="13"/>
        <v>0</v>
      </c>
      <c r="U395" s="28" t="s">
        <v>34</v>
      </c>
      <c r="V395" s="73"/>
      <c r="W395" s="113"/>
    </row>
    <row r="396" spans="1:23" ht="16.05" customHeight="1" x14ac:dyDescent="0.45">
      <c r="A396" s="1">
        <v>395</v>
      </c>
      <c r="B396" s="113" t="s">
        <v>924</v>
      </c>
      <c r="C396" s="57" t="s">
        <v>24</v>
      </c>
      <c r="D396" s="358">
        <v>6446</v>
      </c>
      <c r="E396" s="113" t="s">
        <v>1302</v>
      </c>
      <c r="F396" s="113" t="s">
        <v>1283</v>
      </c>
      <c r="G396" s="16">
        <v>5670</v>
      </c>
      <c r="H396" s="113" t="s">
        <v>1284</v>
      </c>
      <c r="I396" s="113" t="s">
        <v>729</v>
      </c>
      <c r="J396" s="182" t="s">
        <v>111</v>
      </c>
      <c r="K396" s="16" t="s">
        <v>110</v>
      </c>
      <c r="L396" s="282">
        <v>0.4</v>
      </c>
      <c r="M396" s="71"/>
      <c r="N396" s="16" t="s">
        <v>770</v>
      </c>
      <c r="O396" s="73"/>
      <c r="P396" s="28">
        <v>1</v>
      </c>
      <c r="Q396" s="282">
        <v>0.15</v>
      </c>
      <c r="R396" s="28"/>
      <c r="S396" s="28">
        <f t="shared" si="12"/>
        <v>0</v>
      </c>
      <c r="T396" s="46">
        <f t="shared" si="13"/>
        <v>0</v>
      </c>
      <c r="U396" s="28" t="s">
        <v>34</v>
      </c>
      <c r="V396" s="73"/>
      <c r="W396" s="113"/>
    </row>
    <row r="397" spans="1:23" ht="16.05" customHeight="1" x14ac:dyDescent="0.45">
      <c r="A397" s="1">
        <v>396</v>
      </c>
      <c r="B397" s="113" t="s">
        <v>924</v>
      </c>
      <c r="C397" s="57" t="s">
        <v>24</v>
      </c>
      <c r="D397" s="358">
        <v>6446</v>
      </c>
      <c r="E397" s="113" t="s">
        <v>1302</v>
      </c>
      <c r="F397" s="113" t="s">
        <v>1283</v>
      </c>
      <c r="G397" s="16">
        <v>5670</v>
      </c>
      <c r="H397" s="113" t="s">
        <v>1284</v>
      </c>
      <c r="I397" s="113" t="s">
        <v>729</v>
      </c>
      <c r="J397" s="182" t="s">
        <v>111</v>
      </c>
      <c r="K397" s="16" t="s">
        <v>110</v>
      </c>
      <c r="L397" s="282">
        <v>0.4</v>
      </c>
      <c r="M397" s="71"/>
      <c r="N397" s="16" t="s">
        <v>254</v>
      </c>
      <c r="O397" s="73"/>
      <c r="P397" s="28">
        <v>1</v>
      </c>
      <c r="Q397" s="282">
        <v>0.1</v>
      </c>
      <c r="R397" s="28"/>
      <c r="S397" s="28">
        <f t="shared" si="12"/>
        <v>0</v>
      </c>
      <c r="T397" s="46">
        <f t="shared" si="13"/>
        <v>0</v>
      </c>
      <c r="U397" s="28" t="s">
        <v>34</v>
      </c>
      <c r="V397" s="73"/>
      <c r="W397" s="113"/>
    </row>
    <row r="398" spans="1:23" ht="16.05" customHeight="1" x14ac:dyDescent="0.45">
      <c r="A398" s="1">
        <v>397</v>
      </c>
      <c r="B398" s="113" t="s">
        <v>924</v>
      </c>
      <c r="C398" s="57" t="s">
        <v>24</v>
      </c>
      <c r="D398" s="358">
        <v>6446</v>
      </c>
      <c r="E398" s="113" t="s">
        <v>1302</v>
      </c>
      <c r="F398" s="113" t="s">
        <v>1283</v>
      </c>
      <c r="G398" s="16">
        <v>5670</v>
      </c>
      <c r="H398" s="113" t="s">
        <v>1284</v>
      </c>
      <c r="I398" s="113" t="s">
        <v>729</v>
      </c>
      <c r="J398" s="182" t="s">
        <v>111</v>
      </c>
      <c r="K398" s="16" t="s">
        <v>110</v>
      </c>
      <c r="L398" s="282">
        <v>0.4</v>
      </c>
      <c r="M398" s="71"/>
      <c r="N398" s="16" t="s">
        <v>771</v>
      </c>
      <c r="O398" s="73"/>
      <c r="P398" s="28">
        <v>1</v>
      </c>
      <c r="Q398" s="282">
        <v>0.05</v>
      </c>
      <c r="R398" s="28"/>
      <c r="S398" s="28">
        <f t="shared" si="12"/>
        <v>0</v>
      </c>
      <c r="T398" s="46">
        <f t="shared" si="13"/>
        <v>0</v>
      </c>
      <c r="U398" s="28" t="s">
        <v>34</v>
      </c>
      <c r="V398" s="73"/>
      <c r="W398" s="113"/>
    </row>
    <row r="399" spans="1:23" ht="16.05" customHeight="1" x14ac:dyDescent="0.45">
      <c r="A399" s="1">
        <v>398</v>
      </c>
      <c r="B399" s="113" t="s">
        <v>924</v>
      </c>
      <c r="C399" s="57" t="s">
        <v>24</v>
      </c>
      <c r="D399" s="358">
        <v>6446</v>
      </c>
      <c r="E399" s="113" t="s">
        <v>1302</v>
      </c>
      <c r="F399" s="113" t="s">
        <v>1283</v>
      </c>
      <c r="G399" s="16">
        <v>5670</v>
      </c>
      <c r="H399" s="113" t="s">
        <v>1284</v>
      </c>
      <c r="I399" s="113" t="s">
        <v>729</v>
      </c>
      <c r="J399" s="182" t="s">
        <v>111</v>
      </c>
      <c r="K399" s="16" t="s">
        <v>110</v>
      </c>
      <c r="L399" s="282">
        <v>0.4</v>
      </c>
      <c r="M399" s="71"/>
      <c r="N399" s="16" t="s">
        <v>772</v>
      </c>
      <c r="O399" s="73"/>
      <c r="P399" s="28">
        <v>1</v>
      </c>
      <c r="Q399" s="282">
        <v>0.1</v>
      </c>
      <c r="R399" s="28"/>
      <c r="S399" s="28">
        <f t="shared" si="12"/>
        <v>0</v>
      </c>
      <c r="T399" s="46">
        <f t="shared" si="13"/>
        <v>0</v>
      </c>
      <c r="U399" s="28" t="s">
        <v>34</v>
      </c>
      <c r="V399" s="73"/>
      <c r="W399" s="113"/>
    </row>
    <row r="400" spans="1:23" ht="16.05" customHeight="1" x14ac:dyDescent="0.45">
      <c r="A400" s="1">
        <v>399</v>
      </c>
      <c r="B400" s="113" t="s">
        <v>924</v>
      </c>
      <c r="C400" s="57" t="s">
        <v>24</v>
      </c>
      <c r="D400" s="358">
        <v>6446</v>
      </c>
      <c r="E400" s="113" t="s">
        <v>1302</v>
      </c>
      <c r="F400" s="113" t="s">
        <v>1283</v>
      </c>
      <c r="G400" s="16">
        <v>5670</v>
      </c>
      <c r="H400" s="113" t="s">
        <v>1284</v>
      </c>
      <c r="I400" s="113" t="s">
        <v>729</v>
      </c>
      <c r="J400" s="182" t="s">
        <v>111</v>
      </c>
      <c r="K400" s="16" t="s">
        <v>110</v>
      </c>
      <c r="L400" s="282">
        <v>0.4</v>
      </c>
      <c r="M400" s="71"/>
      <c r="N400" s="16" t="s">
        <v>773</v>
      </c>
      <c r="O400" s="73"/>
      <c r="P400" s="28">
        <v>1</v>
      </c>
      <c r="Q400" s="282">
        <v>0.05</v>
      </c>
      <c r="R400" s="28"/>
      <c r="S400" s="28">
        <f t="shared" si="12"/>
        <v>0</v>
      </c>
      <c r="T400" s="46">
        <f t="shared" si="13"/>
        <v>0</v>
      </c>
      <c r="U400" s="28" t="s">
        <v>34</v>
      </c>
      <c r="V400" s="73"/>
      <c r="W400" s="113"/>
    </row>
    <row r="401" spans="1:23" ht="16.05" customHeight="1" x14ac:dyDescent="0.45">
      <c r="A401" s="1">
        <v>400</v>
      </c>
      <c r="B401" s="113" t="s">
        <v>924</v>
      </c>
      <c r="C401" s="57" t="s">
        <v>24</v>
      </c>
      <c r="D401" s="358">
        <v>6446</v>
      </c>
      <c r="E401" s="113" t="s">
        <v>1302</v>
      </c>
      <c r="F401" s="113" t="s">
        <v>1283</v>
      </c>
      <c r="G401" s="16">
        <v>5670</v>
      </c>
      <c r="H401" s="113" t="s">
        <v>1284</v>
      </c>
      <c r="I401" s="113" t="s">
        <v>729</v>
      </c>
      <c r="J401" s="182" t="s">
        <v>111</v>
      </c>
      <c r="K401" s="16" t="s">
        <v>110</v>
      </c>
      <c r="L401" s="282">
        <v>0.4</v>
      </c>
      <c r="M401" s="71"/>
      <c r="N401" s="16" t="s">
        <v>774</v>
      </c>
      <c r="O401" s="73"/>
      <c r="P401" s="28">
        <v>1</v>
      </c>
      <c r="Q401" s="282">
        <v>0.05</v>
      </c>
      <c r="R401" s="28"/>
      <c r="S401" s="28">
        <f t="shared" si="12"/>
        <v>0</v>
      </c>
      <c r="T401" s="46">
        <f t="shared" si="13"/>
        <v>0</v>
      </c>
      <c r="U401" s="28" t="s">
        <v>34</v>
      </c>
      <c r="V401" s="73"/>
      <c r="W401" s="113"/>
    </row>
    <row r="402" spans="1:23" ht="16.05" customHeight="1" x14ac:dyDescent="0.45">
      <c r="A402" s="1">
        <v>401</v>
      </c>
      <c r="B402" s="113" t="s">
        <v>924</v>
      </c>
      <c r="C402" s="57" t="s">
        <v>24</v>
      </c>
      <c r="D402" s="358">
        <v>6446</v>
      </c>
      <c r="E402" s="113" t="s">
        <v>1302</v>
      </c>
      <c r="F402" s="113" t="s">
        <v>1283</v>
      </c>
      <c r="G402" s="16">
        <v>5670</v>
      </c>
      <c r="H402" s="113" t="s">
        <v>1284</v>
      </c>
      <c r="I402" s="113" t="s">
        <v>729</v>
      </c>
      <c r="J402" s="182" t="s">
        <v>111</v>
      </c>
      <c r="K402" s="16" t="s">
        <v>110</v>
      </c>
      <c r="L402" s="282">
        <v>0.4</v>
      </c>
      <c r="M402" s="71"/>
      <c r="N402" s="16" t="s">
        <v>775</v>
      </c>
      <c r="O402" s="73"/>
      <c r="P402" s="28">
        <v>1</v>
      </c>
      <c r="Q402" s="282">
        <v>0.05</v>
      </c>
      <c r="R402" s="28"/>
      <c r="S402" s="28">
        <f t="shared" si="12"/>
        <v>0</v>
      </c>
      <c r="T402" s="46">
        <f t="shared" si="13"/>
        <v>0</v>
      </c>
      <c r="U402" s="28" t="s">
        <v>34</v>
      </c>
      <c r="V402" s="73"/>
      <c r="W402" s="113"/>
    </row>
    <row r="403" spans="1:23" ht="16.05" customHeight="1" x14ac:dyDescent="0.45">
      <c r="A403" s="1">
        <v>402</v>
      </c>
      <c r="B403" s="113" t="s">
        <v>924</v>
      </c>
      <c r="C403" s="57" t="s">
        <v>24</v>
      </c>
      <c r="D403" s="358">
        <v>6446</v>
      </c>
      <c r="E403" s="113" t="s">
        <v>1302</v>
      </c>
      <c r="F403" s="113" t="s">
        <v>1283</v>
      </c>
      <c r="G403" s="16">
        <v>5670</v>
      </c>
      <c r="H403" s="113" t="s">
        <v>1284</v>
      </c>
      <c r="I403" s="113" t="s">
        <v>729</v>
      </c>
      <c r="J403" s="182" t="s">
        <v>111</v>
      </c>
      <c r="K403" s="16" t="s">
        <v>110</v>
      </c>
      <c r="L403" s="282">
        <v>0.4</v>
      </c>
      <c r="M403" s="71"/>
      <c r="N403" s="16" t="s">
        <v>776</v>
      </c>
      <c r="O403" s="73"/>
      <c r="P403" s="28">
        <v>1</v>
      </c>
      <c r="Q403" s="282">
        <v>0.1</v>
      </c>
      <c r="R403" s="28"/>
      <c r="S403" s="28">
        <f t="shared" si="12"/>
        <v>0</v>
      </c>
      <c r="T403" s="46">
        <f t="shared" si="13"/>
        <v>0</v>
      </c>
      <c r="U403" s="28" t="s">
        <v>34</v>
      </c>
      <c r="V403" s="73"/>
      <c r="W403" s="113"/>
    </row>
    <row r="404" spans="1:23" ht="16.05" customHeight="1" x14ac:dyDescent="0.45">
      <c r="A404" s="1">
        <v>403</v>
      </c>
      <c r="B404" s="113" t="s">
        <v>924</v>
      </c>
      <c r="C404" s="57" t="s">
        <v>24</v>
      </c>
      <c r="D404" s="358">
        <v>6446</v>
      </c>
      <c r="E404" s="113" t="s">
        <v>1302</v>
      </c>
      <c r="F404" s="113" t="s">
        <v>1283</v>
      </c>
      <c r="G404" s="16">
        <v>5670</v>
      </c>
      <c r="H404" s="113" t="s">
        <v>1284</v>
      </c>
      <c r="I404" s="113" t="s">
        <v>729</v>
      </c>
      <c r="J404" s="182" t="s">
        <v>111</v>
      </c>
      <c r="K404" s="16" t="s">
        <v>110</v>
      </c>
      <c r="L404" s="282">
        <v>0.4</v>
      </c>
      <c r="M404" s="71"/>
      <c r="N404" s="16" t="s">
        <v>251</v>
      </c>
      <c r="O404" s="73"/>
      <c r="P404" s="28">
        <v>1</v>
      </c>
      <c r="Q404" s="282">
        <v>0.05</v>
      </c>
      <c r="R404" s="28"/>
      <c r="S404" s="28">
        <f t="shared" si="12"/>
        <v>0</v>
      </c>
      <c r="T404" s="46">
        <f t="shared" si="13"/>
        <v>0</v>
      </c>
      <c r="U404" s="28" t="s">
        <v>34</v>
      </c>
      <c r="V404" s="73"/>
      <c r="W404" s="113"/>
    </row>
    <row r="405" spans="1:23" ht="16.05" customHeight="1" x14ac:dyDescent="0.45">
      <c r="A405" s="1">
        <v>404</v>
      </c>
      <c r="B405" s="113" t="s">
        <v>924</v>
      </c>
      <c r="C405" s="57" t="s">
        <v>24</v>
      </c>
      <c r="D405" s="358">
        <v>6446</v>
      </c>
      <c r="E405" s="113" t="s">
        <v>1302</v>
      </c>
      <c r="F405" s="113" t="s">
        <v>1283</v>
      </c>
      <c r="G405" s="16">
        <v>5670</v>
      </c>
      <c r="H405" s="113" t="s">
        <v>1284</v>
      </c>
      <c r="I405" s="113" t="s">
        <v>729</v>
      </c>
      <c r="J405" s="182" t="s">
        <v>111</v>
      </c>
      <c r="K405" s="16" t="s">
        <v>110</v>
      </c>
      <c r="L405" s="282">
        <v>0.4</v>
      </c>
      <c r="M405" s="71"/>
      <c r="N405" s="16" t="s">
        <v>252</v>
      </c>
      <c r="O405" s="73"/>
      <c r="P405" s="28">
        <v>1</v>
      </c>
      <c r="Q405" s="282">
        <v>0.05</v>
      </c>
      <c r="R405" s="28"/>
      <c r="S405" s="28">
        <f t="shared" si="12"/>
        <v>0</v>
      </c>
      <c r="T405" s="46">
        <f t="shared" si="13"/>
        <v>0</v>
      </c>
      <c r="U405" s="28" t="s">
        <v>34</v>
      </c>
      <c r="V405" s="73"/>
      <c r="W405" s="113"/>
    </row>
    <row r="406" spans="1:23" ht="16.05" customHeight="1" x14ac:dyDescent="0.45">
      <c r="A406" s="1">
        <v>405</v>
      </c>
      <c r="B406" s="113" t="s">
        <v>924</v>
      </c>
      <c r="C406" s="57" t="s">
        <v>24</v>
      </c>
      <c r="D406" s="358">
        <v>6446</v>
      </c>
      <c r="E406" s="113" t="s">
        <v>1302</v>
      </c>
      <c r="F406" s="113" t="s">
        <v>1283</v>
      </c>
      <c r="G406" s="16">
        <v>5670</v>
      </c>
      <c r="H406" s="113" t="s">
        <v>1284</v>
      </c>
      <c r="I406" s="113" t="s">
        <v>729</v>
      </c>
      <c r="J406" s="182" t="s">
        <v>111</v>
      </c>
      <c r="K406" s="16" t="s">
        <v>110</v>
      </c>
      <c r="L406" s="282">
        <v>0.4</v>
      </c>
      <c r="M406" s="71"/>
      <c r="N406" s="16" t="s">
        <v>777</v>
      </c>
      <c r="O406" s="73"/>
      <c r="P406" s="28">
        <v>1</v>
      </c>
      <c r="Q406" s="282">
        <v>0.05</v>
      </c>
      <c r="R406" s="28"/>
      <c r="S406" s="28">
        <f t="shared" si="12"/>
        <v>0</v>
      </c>
      <c r="T406" s="46">
        <f t="shared" si="13"/>
        <v>0</v>
      </c>
      <c r="U406" s="28" t="s">
        <v>34</v>
      </c>
      <c r="V406" s="73"/>
      <c r="W406" s="113"/>
    </row>
    <row r="407" spans="1:23" ht="16.05" customHeight="1" x14ac:dyDescent="0.45">
      <c r="A407" s="1">
        <v>406</v>
      </c>
      <c r="B407" s="113" t="s">
        <v>924</v>
      </c>
      <c r="C407" s="57" t="s">
        <v>24</v>
      </c>
      <c r="D407" s="358">
        <v>6446</v>
      </c>
      <c r="E407" s="113" t="s">
        <v>1302</v>
      </c>
      <c r="F407" s="113" t="s">
        <v>1283</v>
      </c>
      <c r="G407" s="16">
        <v>5670</v>
      </c>
      <c r="H407" s="113" t="s">
        <v>1284</v>
      </c>
      <c r="I407" s="113" t="s">
        <v>729</v>
      </c>
      <c r="J407" s="182" t="s">
        <v>111</v>
      </c>
      <c r="K407" s="16" t="s">
        <v>110</v>
      </c>
      <c r="L407" s="282">
        <v>0.4</v>
      </c>
      <c r="M407" s="71"/>
      <c r="N407" s="16" t="s">
        <v>253</v>
      </c>
      <c r="O407" s="73"/>
      <c r="P407" s="28">
        <v>1</v>
      </c>
      <c r="Q407" s="282">
        <v>0.05</v>
      </c>
      <c r="R407" s="28"/>
      <c r="S407" s="28">
        <f t="shared" si="12"/>
        <v>0</v>
      </c>
      <c r="T407" s="46">
        <f t="shared" si="13"/>
        <v>0</v>
      </c>
      <c r="U407" s="28" t="s">
        <v>34</v>
      </c>
      <c r="V407" s="73"/>
      <c r="W407" s="113"/>
    </row>
    <row r="408" spans="1:23" ht="16.05" customHeight="1" x14ac:dyDescent="0.45">
      <c r="A408" s="1">
        <v>407</v>
      </c>
      <c r="B408" s="2" t="s">
        <v>924</v>
      </c>
      <c r="C408" s="2" t="s">
        <v>24</v>
      </c>
      <c r="D408" s="275">
        <v>5363</v>
      </c>
      <c r="E408" s="2" t="s">
        <v>1307</v>
      </c>
      <c r="F408" s="2" t="s">
        <v>1308</v>
      </c>
      <c r="G408" s="3">
        <v>5120</v>
      </c>
      <c r="H408" s="2" t="s">
        <v>1253</v>
      </c>
      <c r="I408" s="2" t="s">
        <v>729</v>
      </c>
      <c r="J408" s="3" t="s">
        <v>58</v>
      </c>
      <c r="K408" s="3" t="s">
        <v>57</v>
      </c>
      <c r="L408" s="350">
        <v>0.6</v>
      </c>
      <c r="M408" s="407"/>
      <c r="N408" s="3" t="s">
        <v>1309</v>
      </c>
      <c r="O408" s="146"/>
      <c r="P408" s="171">
        <v>1</v>
      </c>
      <c r="Q408" s="350">
        <v>0.1</v>
      </c>
      <c r="R408" s="171"/>
      <c r="S408" s="148">
        <f t="shared" si="12"/>
        <v>0</v>
      </c>
      <c r="T408" s="168">
        <f t="shared" si="13"/>
        <v>0</v>
      </c>
      <c r="U408" s="148" t="s">
        <v>34</v>
      </c>
      <c r="V408" s="429">
        <f>SUM(T408:T434)%</f>
        <v>0</v>
      </c>
      <c r="W408" s="2"/>
    </row>
    <row r="409" spans="1:23" ht="16.05" customHeight="1" x14ac:dyDescent="0.45">
      <c r="A409" s="1">
        <v>408</v>
      </c>
      <c r="B409" s="15" t="s">
        <v>924</v>
      </c>
      <c r="C409" s="57" t="s">
        <v>24</v>
      </c>
      <c r="D409" s="281">
        <v>5363</v>
      </c>
      <c r="E409" s="15" t="s">
        <v>1307</v>
      </c>
      <c r="F409" s="15" t="s">
        <v>1308</v>
      </c>
      <c r="G409" s="16">
        <v>5120</v>
      </c>
      <c r="H409" s="15" t="s">
        <v>1253</v>
      </c>
      <c r="I409" s="15" t="s">
        <v>729</v>
      </c>
      <c r="J409" s="16" t="s">
        <v>58</v>
      </c>
      <c r="K409" s="16" t="s">
        <v>57</v>
      </c>
      <c r="L409" s="360">
        <v>0.6</v>
      </c>
      <c r="M409" s="430"/>
      <c r="N409" s="184" t="s">
        <v>1310</v>
      </c>
      <c r="O409" s="44"/>
      <c r="P409" s="431">
        <v>1</v>
      </c>
      <c r="Q409" s="360">
        <v>0.05</v>
      </c>
      <c r="R409" s="431"/>
      <c r="S409" s="153">
        <f t="shared" si="12"/>
        <v>0</v>
      </c>
      <c r="T409" s="152">
        <f t="shared" si="13"/>
        <v>0</v>
      </c>
      <c r="U409" s="153" t="s">
        <v>34</v>
      </c>
      <c r="V409" s="44"/>
      <c r="W409" s="15"/>
    </row>
    <row r="410" spans="1:23" ht="16.05" customHeight="1" x14ac:dyDescent="0.45">
      <c r="A410" s="1">
        <v>409</v>
      </c>
      <c r="B410" s="15" t="s">
        <v>924</v>
      </c>
      <c r="C410" s="57" t="s">
        <v>24</v>
      </c>
      <c r="D410" s="281">
        <v>5363</v>
      </c>
      <c r="E410" s="15" t="s">
        <v>1307</v>
      </c>
      <c r="F410" s="15" t="s">
        <v>1308</v>
      </c>
      <c r="G410" s="16">
        <v>5120</v>
      </c>
      <c r="H410" s="15" t="s">
        <v>1253</v>
      </c>
      <c r="I410" s="15" t="s">
        <v>729</v>
      </c>
      <c r="J410" s="16" t="s">
        <v>58</v>
      </c>
      <c r="K410" s="16" t="s">
        <v>57</v>
      </c>
      <c r="L410" s="360">
        <v>0.6</v>
      </c>
      <c r="M410" s="430"/>
      <c r="N410" s="184" t="s">
        <v>1311</v>
      </c>
      <c r="O410" s="44"/>
      <c r="P410" s="431">
        <v>1</v>
      </c>
      <c r="Q410" s="360">
        <v>0.1</v>
      </c>
      <c r="R410" s="431"/>
      <c r="S410" s="153">
        <f t="shared" si="12"/>
        <v>0</v>
      </c>
      <c r="T410" s="152">
        <f t="shared" si="13"/>
        <v>0</v>
      </c>
      <c r="U410" s="153" t="s">
        <v>34</v>
      </c>
      <c r="V410" s="44"/>
      <c r="W410" s="15"/>
    </row>
    <row r="411" spans="1:23" ht="16.05" customHeight="1" x14ac:dyDescent="0.45">
      <c r="A411" s="1">
        <v>410</v>
      </c>
      <c r="B411" s="15" t="s">
        <v>924</v>
      </c>
      <c r="C411" s="57" t="s">
        <v>24</v>
      </c>
      <c r="D411" s="281">
        <v>5363</v>
      </c>
      <c r="E411" s="15" t="s">
        <v>1307</v>
      </c>
      <c r="F411" s="15" t="s">
        <v>1308</v>
      </c>
      <c r="G411" s="16">
        <v>5120</v>
      </c>
      <c r="H411" s="15" t="s">
        <v>1253</v>
      </c>
      <c r="I411" s="15" t="s">
        <v>729</v>
      </c>
      <c r="J411" s="16" t="s">
        <v>58</v>
      </c>
      <c r="K411" s="16" t="s">
        <v>57</v>
      </c>
      <c r="L411" s="360">
        <v>0.6</v>
      </c>
      <c r="M411" s="430"/>
      <c r="N411" s="184" t="s">
        <v>1312</v>
      </c>
      <c r="O411" s="44"/>
      <c r="P411" s="431">
        <v>1</v>
      </c>
      <c r="Q411" s="360">
        <v>0.1</v>
      </c>
      <c r="R411" s="431"/>
      <c r="S411" s="153">
        <f t="shared" si="12"/>
        <v>0</v>
      </c>
      <c r="T411" s="152">
        <f t="shared" si="13"/>
        <v>0</v>
      </c>
      <c r="U411" s="153" t="s">
        <v>34</v>
      </c>
      <c r="V411" s="44"/>
      <c r="W411" s="15"/>
    </row>
    <row r="412" spans="1:23" ht="16.05" customHeight="1" x14ac:dyDescent="0.45">
      <c r="A412" s="1">
        <v>411</v>
      </c>
      <c r="B412" s="15" t="s">
        <v>924</v>
      </c>
      <c r="C412" s="57" t="s">
        <v>24</v>
      </c>
      <c r="D412" s="281">
        <v>5363</v>
      </c>
      <c r="E412" s="15" t="s">
        <v>1307</v>
      </c>
      <c r="F412" s="15" t="s">
        <v>1308</v>
      </c>
      <c r="G412" s="16">
        <v>5120</v>
      </c>
      <c r="H412" s="15" t="s">
        <v>1253</v>
      </c>
      <c r="I412" s="15" t="s">
        <v>729</v>
      </c>
      <c r="J412" s="16" t="s">
        <v>58</v>
      </c>
      <c r="K412" s="16" t="s">
        <v>57</v>
      </c>
      <c r="L412" s="360">
        <v>0.6</v>
      </c>
      <c r="M412" s="430"/>
      <c r="N412" s="184" t="s">
        <v>1313</v>
      </c>
      <c r="O412" s="44"/>
      <c r="P412" s="431">
        <v>1</v>
      </c>
      <c r="Q412" s="360">
        <v>0.05</v>
      </c>
      <c r="R412" s="431"/>
      <c r="S412" s="153">
        <f t="shared" si="12"/>
        <v>0</v>
      </c>
      <c r="T412" s="152">
        <f t="shared" si="13"/>
        <v>0</v>
      </c>
      <c r="U412" s="153" t="s">
        <v>34</v>
      </c>
      <c r="V412" s="44"/>
      <c r="W412" s="15"/>
    </row>
    <row r="413" spans="1:23" ht="16.05" customHeight="1" x14ac:dyDescent="0.45">
      <c r="A413" s="1">
        <v>412</v>
      </c>
      <c r="B413" s="15" t="s">
        <v>924</v>
      </c>
      <c r="C413" s="57" t="s">
        <v>24</v>
      </c>
      <c r="D413" s="281">
        <v>5363</v>
      </c>
      <c r="E413" s="15" t="s">
        <v>1307</v>
      </c>
      <c r="F413" s="15" t="s">
        <v>1308</v>
      </c>
      <c r="G413" s="16">
        <v>5120</v>
      </c>
      <c r="H413" s="15" t="s">
        <v>1253</v>
      </c>
      <c r="I413" s="15" t="s">
        <v>729</v>
      </c>
      <c r="J413" s="16" t="s">
        <v>58</v>
      </c>
      <c r="K413" s="16" t="s">
        <v>57</v>
      </c>
      <c r="L413" s="360">
        <v>0.6</v>
      </c>
      <c r="M413" s="430"/>
      <c r="N413" s="184" t="s">
        <v>1314</v>
      </c>
      <c r="O413" s="44"/>
      <c r="P413" s="431">
        <v>1</v>
      </c>
      <c r="Q413" s="360">
        <v>0.05</v>
      </c>
      <c r="R413" s="431"/>
      <c r="S413" s="153">
        <f t="shared" si="12"/>
        <v>0</v>
      </c>
      <c r="T413" s="152">
        <f t="shared" si="13"/>
        <v>0</v>
      </c>
      <c r="U413" s="153" t="s">
        <v>34</v>
      </c>
      <c r="V413" s="44"/>
      <c r="W413" s="15"/>
    </row>
    <row r="414" spans="1:23" ht="16.05" customHeight="1" x14ac:dyDescent="0.45">
      <c r="A414" s="1">
        <v>413</v>
      </c>
      <c r="B414" s="15" t="s">
        <v>924</v>
      </c>
      <c r="C414" s="57" t="s">
        <v>24</v>
      </c>
      <c r="D414" s="281">
        <v>5363</v>
      </c>
      <c r="E414" s="15" t="s">
        <v>1307</v>
      </c>
      <c r="F414" s="15" t="s">
        <v>1308</v>
      </c>
      <c r="G414" s="16">
        <v>5120</v>
      </c>
      <c r="H414" s="15" t="s">
        <v>1253</v>
      </c>
      <c r="I414" s="15" t="s">
        <v>729</v>
      </c>
      <c r="J414" s="16" t="s">
        <v>58</v>
      </c>
      <c r="K414" s="16" t="s">
        <v>57</v>
      </c>
      <c r="L414" s="360">
        <v>0.6</v>
      </c>
      <c r="M414" s="430"/>
      <c r="N414" s="184" t="s">
        <v>1315</v>
      </c>
      <c r="O414" s="44"/>
      <c r="P414" s="431">
        <v>1</v>
      </c>
      <c r="Q414" s="360">
        <v>0.1</v>
      </c>
      <c r="R414" s="431"/>
      <c r="S414" s="153">
        <f t="shared" si="12"/>
        <v>0</v>
      </c>
      <c r="T414" s="152">
        <f t="shared" si="13"/>
        <v>0</v>
      </c>
      <c r="U414" s="153" t="s">
        <v>34</v>
      </c>
      <c r="V414" s="44"/>
      <c r="W414" s="15"/>
    </row>
    <row r="415" spans="1:23" ht="16.05" customHeight="1" x14ac:dyDescent="0.45">
      <c r="A415" s="1">
        <v>414</v>
      </c>
      <c r="B415" s="15" t="s">
        <v>924</v>
      </c>
      <c r="C415" s="57" t="s">
        <v>24</v>
      </c>
      <c r="D415" s="281">
        <v>5363</v>
      </c>
      <c r="E415" s="15" t="s">
        <v>1307</v>
      </c>
      <c r="F415" s="15" t="s">
        <v>1308</v>
      </c>
      <c r="G415" s="16">
        <v>5120</v>
      </c>
      <c r="H415" s="15" t="s">
        <v>1253</v>
      </c>
      <c r="I415" s="15" t="s">
        <v>729</v>
      </c>
      <c r="J415" s="16" t="s">
        <v>58</v>
      </c>
      <c r="K415" s="16" t="s">
        <v>57</v>
      </c>
      <c r="L415" s="360">
        <v>0.6</v>
      </c>
      <c r="M415" s="430"/>
      <c r="N415" s="184" t="s">
        <v>1316</v>
      </c>
      <c r="O415" s="44"/>
      <c r="P415" s="431">
        <v>1</v>
      </c>
      <c r="Q415" s="360">
        <v>0.1</v>
      </c>
      <c r="R415" s="431"/>
      <c r="S415" s="153">
        <f t="shared" si="12"/>
        <v>0</v>
      </c>
      <c r="T415" s="152">
        <f t="shared" si="13"/>
        <v>0</v>
      </c>
      <c r="U415" s="153" t="s">
        <v>34</v>
      </c>
      <c r="V415" s="44"/>
      <c r="W415" s="15"/>
    </row>
    <row r="416" spans="1:23" ht="16.05" customHeight="1" x14ac:dyDescent="0.45">
      <c r="A416" s="1">
        <v>415</v>
      </c>
      <c r="B416" s="15" t="s">
        <v>924</v>
      </c>
      <c r="C416" s="57" t="s">
        <v>24</v>
      </c>
      <c r="D416" s="281">
        <v>5363</v>
      </c>
      <c r="E416" s="15" t="s">
        <v>1307</v>
      </c>
      <c r="F416" s="15" t="s">
        <v>1308</v>
      </c>
      <c r="G416" s="16">
        <v>5120</v>
      </c>
      <c r="H416" s="15" t="s">
        <v>1253</v>
      </c>
      <c r="I416" s="15" t="s">
        <v>729</v>
      </c>
      <c r="J416" s="16" t="s">
        <v>58</v>
      </c>
      <c r="K416" s="16" t="s">
        <v>57</v>
      </c>
      <c r="L416" s="360">
        <v>0.6</v>
      </c>
      <c r="M416" s="430"/>
      <c r="N416" s="184" t="s">
        <v>1317</v>
      </c>
      <c r="O416" s="44"/>
      <c r="P416" s="431">
        <v>1</v>
      </c>
      <c r="Q416" s="360">
        <v>0.1</v>
      </c>
      <c r="R416" s="431"/>
      <c r="S416" s="153">
        <f t="shared" si="12"/>
        <v>0</v>
      </c>
      <c r="T416" s="152">
        <f t="shared" si="13"/>
        <v>0</v>
      </c>
      <c r="U416" s="153" t="s">
        <v>34</v>
      </c>
      <c r="V416" s="44"/>
      <c r="W416" s="15"/>
    </row>
    <row r="417" spans="1:23" ht="16.05" customHeight="1" x14ac:dyDescent="0.45">
      <c r="A417" s="1">
        <v>416</v>
      </c>
      <c r="B417" s="15" t="s">
        <v>924</v>
      </c>
      <c r="C417" s="57" t="s">
        <v>24</v>
      </c>
      <c r="D417" s="281">
        <v>5363</v>
      </c>
      <c r="E417" s="15" t="s">
        <v>1307</v>
      </c>
      <c r="F417" s="15" t="s">
        <v>1308</v>
      </c>
      <c r="G417" s="16">
        <v>5120</v>
      </c>
      <c r="H417" s="15" t="s">
        <v>1253</v>
      </c>
      <c r="I417" s="15" t="s">
        <v>729</v>
      </c>
      <c r="J417" s="16" t="s">
        <v>58</v>
      </c>
      <c r="K417" s="16" t="s">
        <v>57</v>
      </c>
      <c r="L417" s="360">
        <v>0.6</v>
      </c>
      <c r="M417" s="430"/>
      <c r="N417" s="184" t="s">
        <v>1318</v>
      </c>
      <c r="O417" s="44"/>
      <c r="P417" s="431">
        <v>1</v>
      </c>
      <c r="Q417" s="360">
        <v>0.05</v>
      </c>
      <c r="R417" s="431"/>
      <c r="S417" s="153">
        <f t="shared" si="12"/>
        <v>0</v>
      </c>
      <c r="T417" s="152">
        <f t="shared" si="13"/>
        <v>0</v>
      </c>
      <c r="U417" s="153" t="s">
        <v>34</v>
      </c>
      <c r="V417" s="44"/>
      <c r="W417" s="15"/>
    </row>
    <row r="418" spans="1:23" ht="16.05" customHeight="1" x14ac:dyDescent="0.45">
      <c r="A418" s="1">
        <v>417</v>
      </c>
      <c r="B418" s="15" t="s">
        <v>924</v>
      </c>
      <c r="C418" s="57" t="s">
        <v>24</v>
      </c>
      <c r="D418" s="281">
        <v>5363</v>
      </c>
      <c r="E418" s="15" t="s">
        <v>1307</v>
      </c>
      <c r="F418" s="15" t="s">
        <v>1308</v>
      </c>
      <c r="G418" s="16">
        <v>5120</v>
      </c>
      <c r="H418" s="15" t="s">
        <v>1253</v>
      </c>
      <c r="I418" s="15" t="s">
        <v>729</v>
      </c>
      <c r="J418" s="16" t="s">
        <v>58</v>
      </c>
      <c r="K418" s="16" t="s">
        <v>57</v>
      </c>
      <c r="L418" s="360">
        <v>0.6</v>
      </c>
      <c r="M418" s="430"/>
      <c r="N418" s="184" t="s">
        <v>1319</v>
      </c>
      <c r="O418" s="44"/>
      <c r="P418" s="431">
        <v>1</v>
      </c>
      <c r="Q418" s="360">
        <v>0.1</v>
      </c>
      <c r="R418" s="431"/>
      <c r="S418" s="153">
        <f t="shared" si="12"/>
        <v>0</v>
      </c>
      <c r="T418" s="152">
        <f t="shared" si="13"/>
        <v>0</v>
      </c>
      <c r="U418" s="153" t="s">
        <v>34</v>
      </c>
      <c r="V418" s="44"/>
      <c r="W418" s="15"/>
    </row>
    <row r="419" spans="1:23" ht="16.05" customHeight="1" x14ac:dyDescent="0.45">
      <c r="A419" s="1">
        <v>418</v>
      </c>
      <c r="B419" s="15" t="s">
        <v>924</v>
      </c>
      <c r="C419" s="57" t="s">
        <v>24</v>
      </c>
      <c r="D419" s="281">
        <v>5363</v>
      </c>
      <c r="E419" s="15" t="s">
        <v>1307</v>
      </c>
      <c r="F419" s="15" t="s">
        <v>1308</v>
      </c>
      <c r="G419" s="16">
        <v>5120</v>
      </c>
      <c r="H419" s="15" t="s">
        <v>1253</v>
      </c>
      <c r="I419" s="15" t="s">
        <v>729</v>
      </c>
      <c r="J419" s="16" t="s">
        <v>58</v>
      </c>
      <c r="K419" s="16" t="s">
        <v>57</v>
      </c>
      <c r="L419" s="360">
        <v>0.6</v>
      </c>
      <c r="M419" s="430"/>
      <c r="N419" s="184" t="s">
        <v>1320</v>
      </c>
      <c r="O419" s="44"/>
      <c r="P419" s="431">
        <v>1</v>
      </c>
      <c r="Q419" s="360">
        <v>0.1</v>
      </c>
      <c r="R419" s="431"/>
      <c r="S419" s="153">
        <f t="shared" si="12"/>
        <v>0</v>
      </c>
      <c r="T419" s="152">
        <f t="shared" si="13"/>
        <v>0</v>
      </c>
      <c r="U419" s="153" t="s">
        <v>34</v>
      </c>
      <c r="V419" s="44"/>
      <c r="W419" s="15"/>
    </row>
    <row r="420" spans="1:23" ht="16.05" customHeight="1" x14ac:dyDescent="0.45">
      <c r="A420" s="1">
        <v>419</v>
      </c>
      <c r="B420" s="15" t="s">
        <v>924</v>
      </c>
      <c r="C420" s="57" t="s">
        <v>24</v>
      </c>
      <c r="D420" s="281">
        <v>5363</v>
      </c>
      <c r="E420" s="15" t="s">
        <v>1307</v>
      </c>
      <c r="F420" s="15" t="s">
        <v>1308</v>
      </c>
      <c r="G420" s="16">
        <v>5120</v>
      </c>
      <c r="H420" s="15" t="s">
        <v>1253</v>
      </c>
      <c r="I420" s="15" t="s">
        <v>729</v>
      </c>
      <c r="J420" s="182" t="s">
        <v>111</v>
      </c>
      <c r="K420" s="16" t="s">
        <v>110</v>
      </c>
      <c r="L420" s="282">
        <v>0.4</v>
      </c>
      <c r="M420" s="71"/>
      <c r="N420" s="16" t="s">
        <v>255</v>
      </c>
      <c r="O420" s="73"/>
      <c r="P420" s="28">
        <v>1</v>
      </c>
      <c r="Q420" s="282">
        <v>0.05</v>
      </c>
      <c r="R420" s="28"/>
      <c r="S420" s="160">
        <f t="shared" si="12"/>
        <v>0</v>
      </c>
      <c r="T420" s="161">
        <f t="shared" si="13"/>
        <v>0</v>
      </c>
      <c r="U420" s="160" t="s">
        <v>34</v>
      </c>
      <c r="V420" s="73"/>
      <c r="W420" s="15"/>
    </row>
    <row r="421" spans="1:23" ht="16.05" customHeight="1" x14ac:dyDescent="0.45">
      <c r="A421" s="1">
        <v>420</v>
      </c>
      <c r="B421" s="15" t="s">
        <v>924</v>
      </c>
      <c r="C421" s="57" t="s">
        <v>24</v>
      </c>
      <c r="D421" s="281">
        <v>5363</v>
      </c>
      <c r="E421" s="15" t="s">
        <v>1307</v>
      </c>
      <c r="F421" s="15" t="s">
        <v>1308</v>
      </c>
      <c r="G421" s="16">
        <v>5120</v>
      </c>
      <c r="H421" s="15" t="s">
        <v>1253</v>
      </c>
      <c r="I421" s="15" t="s">
        <v>729</v>
      </c>
      <c r="J421" s="182" t="s">
        <v>111</v>
      </c>
      <c r="K421" s="16" t="s">
        <v>110</v>
      </c>
      <c r="L421" s="282">
        <v>0.4</v>
      </c>
      <c r="M421" s="71"/>
      <c r="N421" s="16" t="s">
        <v>768</v>
      </c>
      <c r="O421" s="73"/>
      <c r="P421" s="28">
        <v>1</v>
      </c>
      <c r="Q421" s="282">
        <v>0.05</v>
      </c>
      <c r="R421" s="28"/>
      <c r="S421" s="160">
        <f t="shared" si="12"/>
        <v>0</v>
      </c>
      <c r="T421" s="161">
        <f t="shared" si="13"/>
        <v>0</v>
      </c>
      <c r="U421" s="28" t="s">
        <v>34</v>
      </c>
      <c r="V421" s="73"/>
      <c r="W421" s="15"/>
    </row>
    <row r="422" spans="1:23" ht="16.05" customHeight="1" x14ac:dyDescent="0.45">
      <c r="A422" s="1">
        <v>421</v>
      </c>
      <c r="B422" s="15" t="s">
        <v>924</v>
      </c>
      <c r="C422" s="57" t="s">
        <v>24</v>
      </c>
      <c r="D422" s="281">
        <v>5363</v>
      </c>
      <c r="E422" s="15" t="s">
        <v>1307</v>
      </c>
      <c r="F422" s="15" t="s">
        <v>1308</v>
      </c>
      <c r="G422" s="16">
        <v>5120</v>
      </c>
      <c r="H422" s="15" t="s">
        <v>1253</v>
      </c>
      <c r="I422" s="15" t="s">
        <v>729</v>
      </c>
      <c r="J422" s="182" t="s">
        <v>111</v>
      </c>
      <c r="K422" s="16" t="s">
        <v>110</v>
      </c>
      <c r="L422" s="282">
        <v>0.4</v>
      </c>
      <c r="M422" s="71"/>
      <c r="N422" s="16" t="s">
        <v>769</v>
      </c>
      <c r="O422" s="73"/>
      <c r="P422" s="28">
        <v>1</v>
      </c>
      <c r="Q422" s="282">
        <v>0.05</v>
      </c>
      <c r="R422" s="28"/>
      <c r="S422" s="160">
        <f t="shared" si="12"/>
        <v>0</v>
      </c>
      <c r="T422" s="161">
        <f t="shared" si="13"/>
        <v>0</v>
      </c>
      <c r="U422" s="28" t="s">
        <v>34</v>
      </c>
      <c r="V422" s="73"/>
      <c r="W422" s="15"/>
    </row>
    <row r="423" spans="1:23" ht="16.05" customHeight="1" x14ac:dyDescent="0.45">
      <c r="A423" s="1">
        <v>422</v>
      </c>
      <c r="B423" s="15" t="s">
        <v>924</v>
      </c>
      <c r="C423" s="57" t="s">
        <v>24</v>
      </c>
      <c r="D423" s="281">
        <v>5363</v>
      </c>
      <c r="E423" s="15" t="s">
        <v>1307</v>
      </c>
      <c r="F423" s="15" t="s">
        <v>1308</v>
      </c>
      <c r="G423" s="16">
        <v>5120</v>
      </c>
      <c r="H423" s="15" t="s">
        <v>1253</v>
      </c>
      <c r="I423" s="15" t="s">
        <v>729</v>
      </c>
      <c r="J423" s="182" t="s">
        <v>111</v>
      </c>
      <c r="K423" s="16" t="s">
        <v>110</v>
      </c>
      <c r="L423" s="282">
        <v>0.4</v>
      </c>
      <c r="M423" s="71"/>
      <c r="N423" s="16" t="s">
        <v>770</v>
      </c>
      <c r="O423" s="73"/>
      <c r="P423" s="28">
        <v>1</v>
      </c>
      <c r="Q423" s="282">
        <v>0.15</v>
      </c>
      <c r="R423" s="28"/>
      <c r="S423" s="160">
        <f t="shared" si="12"/>
        <v>0</v>
      </c>
      <c r="T423" s="161">
        <f t="shared" si="13"/>
        <v>0</v>
      </c>
      <c r="U423" s="28" t="s">
        <v>34</v>
      </c>
      <c r="V423" s="73"/>
      <c r="W423" s="15"/>
    </row>
    <row r="424" spans="1:23" ht="16.05" customHeight="1" x14ac:dyDescent="0.45">
      <c r="A424" s="1">
        <v>423</v>
      </c>
      <c r="B424" s="15" t="s">
        <v>924</v>
      </c>
      <c r="C424" s="57" t="s">
        <v>24</v>
      </c>
      <c r="D424" s="281">
        <v>5363</v>
      </c>
      <c r="E424" s="15" t="s">
        <v>1307</v>
      </c>
      <c r="F424" s="15" t="s">
        <v>1308</v>
      </c>
      <c r="G424" s="16">
        <v>5120</v>
      </c>
      <c r="H424" s="15" t="s">
        <v>1253</v>
      </c>
      <c r="I424" s="15" t="s">
        <v>729</v>
      </c>
      <c r="J424" s="182" t="s">
        <v>111</v>
      </c>
      <c r="K424" s="16" t="s">
        <v>110</v>
      </c>
      <c r="L424" s="282">
        <v>0.4</v>
      </c>
      <c r="M424" s="71"/>
      <c r="N424" s="16" t="s">
        <v>254</v>
      </c>
      <c r="O424" s="73"/>
      <c r="P424" s="28">
        <v>1</v>
      </c>
      <c r="Q424" s="282">
        <v>0.1</v>
      </c>
      <c r="R424" s="28"/>
      <c r="S424" s="160">
        <f t="shared" si="12"/>
        <v>0</v>
      </c>
      <c r="T424" s="46">
        <f t="shared" si="13"/>
        <v>0</v>
      </c>
      <c r="U424" s="28" t="s">
        <v>34</v>
      </c>
      <c r="V424" s="73"/>
      <c r="W424" s="15"/>
    </row>
    <row r="425" spans="1:23" ht="16.05" customHeight="1" x14ac:dyDescent="0.45">
      <c r="A425" s="1">
        <v>424</v>
      </c>
      <c r="B425" s="15" t="s">
        <v>924</v>
      </c>
      <c r="C425" s="57" t="s">
        <v>24</v>
      </c>
      <c r="D425" s="281">
        <v>5363</v>
      </c>
      <c r="E425" s="15" t="s">
        <v>1307</v>
      </c>
      <c r="F425" s="15" t="s">
        <v>1308</v>
      </c>
      <c r="G425" s="16">
        <v>5120</v>
      </c>
      <c r="H425" s="15" t="s">
        <v>1253</v>
      </c>
      <c r="I425" s="15" t="s">
        <v>729</v>
      </c>
      <c r="J425" s="182" t="s">
        <v>111</v>
      </c>
      <c r="K425" s="16" t="s">
        <v>110</v>
      </c>
      <c r="L425" s="282">
        <v>0.4</v>
      </c>
      <c r="M425" s="71"/>
      <c r="N425" s="16" t="s">
        <v>771</v>
      </c>
      <c r="O425" s="73"/>
      <c r="P425" s="28">
        <v>1</v>
      </c>
      <c r="Q425" s="282">
        <v>0.05</v>
      </c>
      <c r="R425" s="28"/>
      <c r="S425" s="160">
        <f t="shared" si="12"/>
        <v>0</v>
      </c>
      <c r="T425" s="46">
        <f t="shared" si="13"/>
        <v>0</v>
      </c>
      <c r="U425" s="28" t="s">
        <v>34</v>
      </c>
      <c r="V425" s="73"/>
      <c r="W425" s="15"/>
    </row>
    <row r="426" spans="1:23" ht="16.05" customHeight="1" x14ac:dyDescent="0.45">
      <c r="A426" s="1">
        <v>425</v>
      </c>
      <c r="B426" s="15" t="s">
        <v>924</v>
      </c>
      <c r="C426" s="57" t="s">
        <v>24</v>
      </c>
      <c r="D426" s="281">
        <v>5363</v>
      </c>
      <c r="E426" s="15" t="s">
        <v>1307</v>
      </c>
      <c r="F426" s="15" t="s">
        <v>1308</v>
      </c>
      <c r="G426" s="16">
        <v>5120</v>
      </c>
      <c r="H426" s="15" t="s">
        <v>1253</v>
      </c>
      <c r="I426" s="15" t="s">
        <v>729</v>
      </c>
      <c r="J426" s="182" t="s">
        <v>111</v>
      </c>
      <c r="K426" s="16" t="s">
        <v>110</v>
      </c>
      <c r="L426" s="282">
        <v>0.4</v>
      </c>
      <c r="M426" s="71"/>
      <c r="N426" s="16" t="s">
        <v>772</v>
      </c>
      <c r="O426" s="73"/>
      <c r="P426" s="28">
        <v>1</v>
      </c>
      <c r="Q426" s="282">
        <v>0.1</v>
      </c>
      <c r="R426" s="28"/>
      <c r="S426" s="160">
        <f t="shared" si="12"/>
        <v>0</v>
      </c>
      <c r="T426" s="46">
        <f t="shared" si="13"/>
        <v>0</v>
      </c>
      <c r="U426" s="28" t="s">
        <v>34</v>
      </c>
      <c r="V426" s="73"/>
      <c r="W426" s="15"/>
    </row>
    <row r="427" spans="1:23" ht="16.05" customHeight="1" x14ac:dyDescent="0.45">
      <c r="A427" s="1">
        <v>426</v>
      </c>
      <c r="B427" s="15" t="s">
        <v>924</v>
      </c>
      <c r="C427" s="57" t="s">
        <v>24</v>
      </c>
      <c r="D427" s="281">
        <v>5363</v>
      </c>
      <c r="E427" s="15" t="s">
        <v>1307</v>
      </c>
      <c r="F427" s="15" t="s">
        <v>1308</v>
      </c>
      <c r="G427" s="16">
        <v>5120</v>
      </c>
      <c r="H427" s="15" t="s">
        <v>1253</v>
      </c>
      <c r="I427" s="15" t="s">
        <v>729</v>
      </c>
      <c r="J427" s="182" t="s">
        <v>111</v>
      </c>
      <c r="K427" s="16" t="s">
        <v>110</v>
      </c>
      <c r="L427" s="282">
        <v>0.4</v>
      </c>
      <c r="M427" s="71"/>
      <c r="N427" s="16" t="s">
        <v>773</v>
      </c>
      <c r="O427" s="73"/>
      <c r="P427" s="28">
        <v>1</v>
      </c>
      <c r="Q427" s="282">
        <v>0.05</v>
      </c>
      <c r="R427" s="28"/>
      <c r="S427" s="160">
        <f t="shared" si="12"/>
        <v>0</v>
      </c>
      <c r="T427" s="46">
        <f t="shared" si="13"/>
        <v>0</v>
      </c>
      <c r="U427" s="28" t="s">
        <v>34</v>
      </c>
      <c r="V427" s="73"/>
      <c r="W427" s="15"/>
    </row>
    <row r="428" spans="1:23" ht="16.05" customHeight="1" x14ac:dyDescent="0.45">
      <c r="A428" s="1">
        <v>427</v>
      </c>
      <c r="B428" s="15" t="s">
        <v>924</v>
      </c>
      <c r="C428" s="57" t="s">
        <v>24</v>
      </c>
      <c r="D428" s="281">
        <v>5363</v>
      </c>
      <c r="E428" s="15" t="s">
        <v>1307</v>
      </c>
      <c r="F428" s="15" t="s">
        <v>1308</v>
      </c>
      <c r="G428" s="16">
        <v>5120</v>
      </c>
      <c r="H428" s="15" t="s">
        <v>1253</v>
      </c>
      <c r="I428" s="15" t="s">
        <v>729</v>
      </c>
      <c r="J428" s="182" t="s">
        <v>111</v>
      </c>
      <c r="K428" s="16" t="s">
        <v>110</v>
      </c>
      <c r="L428" s="282">
        <v>0.4</v>
      </c>
      <c r="M428" s="71"/>
      <c r="N428" s="16" t="s">
        <v>774</v>
      </c>
      <c r="O428" s="73"/>
      <c r="P428" s="28">
        <v>1</v>
      </c>
      <c r="Q428" s="282">
        <v>0.05</v>
      </c>
      <c r="R428" s="28"/>
      <c r="S428" s="160">
        <f t="shared" si="12"/>
        <v>0</v>
      </c>
      <c r="T428" s="46">
        <f t="shared" si="13"/>
        <v>0</v>
      </c>
      <c r="U428" s="28" t="s">
        <v>34</v>
      </c>
      <c r="V428" s="73"/>
      <c r="W428" s="15"/>
    </row>
    <row r="429" spans="1:23" ht="16.05" customHeight="1" x14ac:dyDescent="0.45">
      <c r="A429" s="1">
        <v>428</v>
      </c>
      <c r="B429" s="15" t="s">
        <v>924</v>
      </c>
      <c r="C429" s="57" t="s">
        <v>24</v>
      </c>
      <c r="D429" s="281">
        <v>5363</v>
      </c>
      <c r="E429" s="15" t="s">
        <v>1307</v>
      </c>
      <c r="F429" s="15" t="s">
        <v>1308</v>
      </c>
      <c r="G429" s="16">
        <v>5120</v>
      </c>
      <c r="H429" s="15" t="s">
        <v>1253</v>
      </c>
      <c r="I429" s="15" t="s">
        <v>729</v>
      </c>
      <c r="J429" s="182" t="s">
        <v>111</v>
      </c>
      <c r="K429" s="16" t="s">
        <v>110</v>
      </c>
      <c r="L429" s="282">
        <v>0.4</v>
      </c>
      <c r="M429" s="71"/>
      <c r="N429" s="16" t="s">
        <v>775</v>
      </c>
      <c r="O429" s="73"/>
      <c r="P429" s="28">
        <v>1</v>
      </c>
      <c r="Q429" s="282">
        <v>0.05</v>
      </c>
      <c r="R429" s="28"/>
      <c r="S429" s="160">
        <f t="shared" si="12"/>
        <v>0</v>
      </c>
      <c r="T429" s="46">
        <f t="shared" si="13"/>
        <v>0</v>
      </c>
      <c r="U429" s="28" t="s">
        <v>34</v>
      </c>
      <c r="V429" s="73"/>
      <c r="W429" s="15"/>
    </row>
    <row r="430" spans="1:23" ht="16.05" customHeight="1" x14ac:dyDescent="0.45">
      <c r="A430" s="1">
        <v>429</v>
      </c>
      <c r="B430" s="15" t="s">
        <v>924</v>
      </c>
      <c r="C430" s="57" t="s">
        <v>24</v>
      </c>
      <c r="D430" s="281">
        <v>5363</v>
      </c>
      <c r="E430" s="15" t="s">
        <v>1307</v>
      </c>
      <c r="F430" s="15" t="s">
        <v>1308</v>
      </c>
      <c r="G430" s="16">
        <v>5120</v>
      </c>
      <c r="H430" s="15" t="s">
        <v>1253</v>
      </c>
      <c r="I430" s="15" t="s">
        <v>729</v>
      </c>
      <c r="J430" s="182" t="s">
        <v>111</v>
      </c>
      <c r="K430" s="16" t="s">
        <v>110</v>
      </c>
      <c r="L430" s="282">
        <v>0.4</v>
      </c>
      <c r="M430" s="71"/>
      <c r="N430" s="16" t="s">
        <v>776</v>
      </c>
      <c r="O430" s="73"/>
      <c r="P430" s="28">
        <v>1</v>
      </c>
      <c r="Q430" s="282">
        <v>0.1</v>
      </c>
      <c r="R430" s="28"/>
      <c r="S430" s="160">
        <f t="shared" si="12"/>
        <v>0</v>
      </c>
      <c r="T430" s="46">
        <f t="shared" si="13"/>
        <v>0</v>
      </c>
      <c r="U430" s="28" t="s">
        <v>34</v>
      </c>
      <c r="V430" s="73"/>
      <c r="W430" s="15"/>
    </row>
    <row r="431" spans="1:23" ht="16.05" customHeight="1" x14ac:dyDescent="0.45">
      <c r="A431" s="1">
        <v>430</v>
      </c>
      <c r="B431" s="15" t="s">
        <v>924</v>
      </c>
      <c r="C431" s="57" t="s">
        <v>24</v>
      </c>
      <c r="D431" s="281">
        <v>5363</v>
      </c>
      <c r="E431" s="15" t="s">
        <v>1307</v>
      </c>
      <c r="F431" s="15" t="s">
        <v>1308</v>
      </c>
      <c r="G431" s="16">
        <v>5120</v>
      </c>
      <c r="H431" s="15" t="s">
        <v>1253</v>
      </c>
      <c r="I431" s="15" t="s">
        <v>729</v>
      </c>
      <c r="J431" s="182" t="s">
        <v>111</v>
      </c>
      <c r="K431" s="16" t="s">
        <v>110</v>
      </c>
      <c r="L431" s="282">
        <v>0.4</v>
      </c>
      <c r="M431" s="71"/>
      <c r="N431" s="16" t="s">
        <v>251</v>
      </c>
      <c r="O431" s="73"/>
      <c r="P431" s="28">
        <v>1</v>
      </c>
      <c r="Q431" s="282">
        <v>0.05</v>
      </c>
      <c r="R431" s="28"/>
      <c r="S431" s="160">
        <f t="shared" si="12"/>
        <v>0</v>
      </c>
      <c r="T431" s="46">
        <f t="shared" si="13"/>
        <v>0</v>
      </c>
      <c r="U431" s="28" t="s">
        <v>34</v>
      </c>
      <c r="V431" s="73"/>
      <c r="W431" s="15"/>
    </row>
    <row r="432" spans="1:23" ht="16.05" customHeight="1" x14ac:dyDescent="0.45">
      <c r="A432" s="1">
        <v>431</v>
      </c>
      <c r="B432" s="15" t="s">
        <v>924</v>
      </c>
      <c r="C432" s="57" t="s">
        <v>24</v>
      </c>
      <c r="D432" s="281">
        <v>5363</v>
      </c>
      <c r="E432" s="15" t="s">
        <v>1307</v>
      </c>
      <c r="F432" s="15" t="s">
        <v>1308</v>
      </c>
      <c r="G432" s="16">
        <v>5120</v>
      </c>
      <c r="H432" s="15" t="s">
        <v>1253</v>
      </c>
      <c r="I432" s="15" t="s">
        <v>729</v>
      </c>
      <c r="J432" s="182" t="s">
        <v>111</v>
      </c>
      <c r="K432" s="16" t="s">
        <v>110</v>
      </c>
      <c r="L432" s="282">
        <v>0.4</v>
      </c>
      <c r="M432" s="71"/>
      <c r="N432" s="16" t="s">
        <v>252</v>
      </c>
      <c r="O432" s="73"/>
      <c r="P432" s="28">
        <v>1</v>
      </c>
      <c r="Q432" s="282">
        <v>0.05</v>
      </c>
      <c r="R432" s="28"/>
      <c r="S432" s="160">
        <f t="shared" si="12"/>
        <v>0</v>
      </c>
      <c r="T432" s="46">
        <f t="shared" si="13"/>
        <v>0</v>
      </c>
      <c r="U432" s="28" t="s">
        <v>34</v>
      </c>
      <c r="V432" s="73"/>
      <c r="W432" s="15"/>
    </row>
    <row r="433" spans="1:23" ht="16.05" customHeight="1" x14ac:dyDescent="0.45">
      <c r="A433" s="1">
        <v>432</v>
      </c>
      <c r="B433" s="15" t="s">
        <v>924</v>
      </c>
      <c r="C433" s="57" t="s">
        <v>24</v>
      </c>
      <c r="D433" s="281">
        <v>5363</v>
      </c>
      <c r="E433" s="15" t="s">
        <v>1307</v>
      </c>
      <c r="F433" s="15" t="s">
        <v>1308</v>
      </c>
      <c r="G433" s="16">
        <v>5120</v>
      </c>
      <c r="H433" s="15" t="s">
        <v>1253</v>
      </c>
      <c r="I433" s="15" t="s">
        <v>729</v>
      </c>
      <c r="J433" s="182" t="s">
        <v>111</v>
      </c>
      <c r="K433" s="16" t="s">
        <v>110</v>
      </c>
      <c r="L433" s="282">
        <v>0.4</v>
      </c>
      <c r="M433" s="71"/>
      <c r="N433" s="16" t="s">
        <v>777</v>
      </c>
      <c r="O433" s="73"/>
      <c r="P433" s="28">
        <v>1</v>
      </c>
      <c r="Q433" s="282">
        <v>0.05</v>
      </c>
      <c r="R433" s="28"/>
      <c r="S433" s="160">
        <f t="shared" si="12"/>
        <v>0</v>
      </c>
      <c r="T433" s="46">
        <f t="shared" si="13"/>
        <v>0</v>
      </c>
      <c r="U433" s="28" t="s">
        <v>34</v>
      </c>
      <c r="V433" s="73"/>
      <c r="W433" s="15"/>
    </row>
    <row r="434" spans="1:23" ht="16.05" customHeight="1" x14ac:dyDescent="0.45">
      <c r="A434" s="1">
        <v>433</v>
      </c>
      <c r="B434" s="15" t="s">
        <v>924</v>
      </c>
      <c r="C434" s="57" t="s">
        <v>24</v>
      </c>
      <c r="D434" s="281">
        <v>5363</v>
      </c>
      <c r="E434" s="15" t="s">
        <v>1307</v>
      </c>
      <c r="F434" s="15" t="s">
        <v>1308</v>
      </c>
      <c r="G434" s="16">
        <v>5120</v>
      </c>
      <c r="H434" s="15" t="s">
        <v>1253</v>
      </c>
      <c r="I434" s="15" t="s">
        <v>729</v>
      </c>
      <c r="J434" s="182" t="s">
        <v>111</v>
      </c>
      <c r="K434" s="16" t="s">
        <v>110</v>
      </c>
      <c r="L434" s="282">
        <v>0.4</v>
      </c>
      <c r="M434" s="71"/>
      <c r="N434" s="16" t="s">
        <v>253</v>
      </c>
      <c r="O434" s="73"/>
      <c r="P434" s="28">
        <v>1</v>
      </c>
      <c r="Q434" s="282">
        <v>0.05</v>
      </c>
      <c r="R434" s="28"/>
      <c r="S434" s="160">
        <f t="shared" si="12"/>
        <v>0</v>
      </c>
      <c r="T434" s="46">
        <f t="shared" si="13"/>
        <v>0</v>
      </c>
      <c r="U434" s="28" t="s">
        <v>34</v>
      </c>
      <c r="V434" s="73"/>
      <c r="W434" s="15"/>
    </row>
    <row r="435" spans="1:23" ht="16.05" customHeight="1" x14ac:dyDescent="0.45">
      <c r="A435" s="1">
        <v>434</v>
      </c>
      <c r="B435" s="99" t="s">
        <v>924</v>
      </c>
      <c r="C435" s="99" t="s">
        <v>24</v>
      </c>
      <c r="D435" s="349">
        <v>5043</v>
      </c>
      <c r="E435" s="99" t="s">
        <v>1266</v>
      </c>
      <c r="F435" s="99" t="s">
        <v>1321</v>
      </c>
      <c r="G435" s="91">
        <v>6592</v>
      </c>
      <c r="H435" s="99" t="s">
        <v>925</v>
      </c>
      <c r="I435" s="99" t="s">
        <v>729</v>
      </c>
      <c r="J435" s="91" t="s">
        <v>58</v>
      </c>
      <c r="K435" s="91" t="s">
        <v>57</v>
      </c>
      <c r="L435" s="350">
        <v>0.4</v>
      </c>
      <c r="M435" s="293"/>
      <c r="N435" s="91" t="s">
        <v>1322</v>
      </c>
      <c r="O435" s="428"/>
      <c r="P435" s="178">
        <v>1</v>
      </c>
      <c r="Q435" s="350">
        <v>0.1</v>
      </c>
      <c r="R435" s="178"/>
      <c r="S435" s="148">
        <f t="shared" si="12"/>
        <v>0</v>
      </c>
      <c r="T435" s="168">
        <f t="shared" si="13"/>
        <v>0</v>
      </c>
      <c r="U435" s="148" t="s">
        <v>34</v>
      </c>
      <c r="V435" s="278">
        <f>SUM(T435:T464)%</f>
        <v>0</v>
      </c>
      <c r="W435" s="99"/>
    </row>
    <row r="436" spans="1:23" ht="16.05" customHeight="1" x14ac:dyDescent="0.45">
      <c r="A436" s="1">
        <v>435</v>
      </c>
      <c r="B436" s="15" t="s">
        <v>924</v>
      </c>
      <c r="C436" s="57" t="s">
        <v>24</v>
      </c>
      <c r="D436" s="281">
        <v>5043</v>
      </c>
      <c r="E436" s="15" t="s">
        <v>1266</v>
      </c>
      <c r="F436" s="15" t="s">
        <v>1321</v>
      </c>
      <c r="G436" s="16">
        <v>6592</v>
      </c>
      <c r="H436" s="15" t="s">
        <v>925</v>
      </c>
      <c r="I436" s="15" t="s">
        <v>729</v>
      </c>
      <c r="J436" s="16" t="s">
        <v>58</v>
      </c>
      <c r="K436" s="16" t="s">
        <v>57</v>
      </c>
      <c r="L436" s="434">
        <v>0.4</v>
      </c>
      <c r="M436" s="430"/>
      <c r="N436" s="184" t="s">
        <v>1323</v>
      </c>
      <c r="O436" s="44"/>
      <c r="P436" s="150">
        <v>1</v>
      </c>
      <c r="Q436" s="434">
        <v>0.1</v>
      </c>
      <c r="R436" s="150"/>
      <c r="S436" s="66">
        <f t="shared" si="12"/>
        <v>0</v>
      </c>
      <c r="T436" s="67">
        <f t="shared" si="13"/>
        <v>0</v>
      </c>
      <c r="U436" s="66" t="s">
        <v>34</v>
      </c>
      <c r="V436" s="44"/>
      <c r="W436" s="15"/>
    </row>
    <row r="437" spans="1:23" ht="16.05" customHeight="1" x14ac:dyDescent="0.45">
      <c r="A437" s="1">
        <v>436</v>
      </c>
      <c r="B437" s="15" t="s">
        <v>924</v>
      </c>
      <c r="C437" s="57" t="s">
        <v>24</v>
      </c>
      <c r="D437" s="281">
        <v>5043</v>
      </c>
      <c r="E437" s="15" t="s">
        <v>1266</v>
      </c>
      <c r="F437" s="15" t="s">
        <v>1321</v>
      </c>
      <c r="G437" s="16">
        <v>6592</v>
      </c>
      <c r="H437" s="15" t="s">
        <v>925</v>
      </c>
      <c r="I437" s="15" t="s">
        <v>729</v>
      </c>
      <c r="J437" s="16" t="s">
        <v>58</v>
      </c>
      <c r="K437" s="16" t="s">
        <v>57</v>
      </c>
      <c r="L437" s="434">
        <v>0.4</v>
      </c>
      <c r="M437" s="430"/>
      <c r="N437" s="184" t="s">
        <v>840</v>
      </c>
      <c r="O437" s="44"/>
      <c r="P437" s="150">
        <v>1</v>
      </c>
      <c r="Q437" s="434">
        <v>0.05</v>
      </c>
      <c r="R437" s="150"/>
      <c r="S437" s="66">
        <f t="shared" si="12"/>
        <v>0</v>
      </c>
      <c r="T437" s="67">
        <f t="shared" si="13"/>
        <v>0</v>
      </c>
      <c r="U437" s="66" t="s">
        <v>34</v>
      </c>
      <c r="V437" s="44"/>
      <c r="W437" s="15"/>
    </row>
    <row r="438" spans="1:23" ht="16.05" customHeight="1" x14ac:dyDescent="0.45">
      <c r="A438" s="1">
        <v>437</v>
      </c>
      <c r="B438" s="15" t="s">
        <v>924</v>
      </c>
      <c r="C438" s="57" t="s">
        <v>24</v>
      </c>
      <c r="D438" s="281">
        <v>5043</v>
      </c>
      <c r="E438" s="15" t="s">
        <v>1266</v>
      </c>
      <c r="F438" s="15" t="s">
        <v>1321</v>
      </c>
      <c r="G438" s="16">
        <v>6592</v>
      </c>
      <c r="H438" s="15" t="s">
        <v>925</v>
      </c>
      <c r="I438" s="15" t="s">
        <v>729</v>
      </c>
      <c r="J438" s="16" t="s">
        <v>58</v>
      </c>
      <c r="K438" s="16" t="s">
        <v>57</v>
      </c>
      <c r="L438" s="434">
        <v>0.4</v>
      </c>
      <c r="M438" s="430"/>
      <c r="N438" s="184" t="s">
        <v>841</v>
      </c>
      <c r="O438" s="44"/>
      <c r="P438" s="150">
        <v>1</v>
      </c>
      <c r="Q438" s="434">
        <v>0.1</v>
      </c>
      <c r="R438" s="150"/>
      <c r="S438" s="66">
        <f t="shared" si="12"/>
        <v>0</v>
      </c>
      <c r="T438" s="67">
        <f t="shared" si="13"/>
        <v>0</v>
      </c>
      <c r="U438" s="66" t="s">
        <v>34</v>
      </c>
      <c r="V438" s="44"/>
      <c r="W438" s="15"/>
    </row>
    <row r="439" spans="1:23" ht="16.05" customHeight="1" x14ac:dyDescent="0.45">
      <c r="A439" s="1">
        <v>438</v>
      </c>
      <c r="B439" s="15" t="s">
        <v>924</v>
      </c>
      <c r="C439" s="57" t="s">
        <v>24</v>
      </c>
      <c r="D439" s="281">
        <v>5043</v>
      </c>
      <c r="E439" s="15" t="s">
        <v>1266</v>
      </c>
      <c r="F439" s="15" t="s">
        <v>1321</v>
      </c>
      <c r="G439" s="16">
        <v>6592</v>
      </c>
      <c r="H439" s="15" t="s">
        <v>925</v>
      </c>
      <c r="I439" s="15" t="s">
        <v>729</v>
      </c>
      <c r="J439" s="16" t="s">
        <v>58</v>
      </c>
      <c r="K439" s="16" t="s">
        <v>57</v>
      </c>
      <c r="L439" s="434">
        <v>0.4</v>
      </c>
      <c r="M439" s="430"/>
      <c r="N439" s="184" t="s">
        <v>842</v>
      </c>
      <c r="O439" s="44"/>
      <c r="P439" s="150">
        <v>1</v>
      </c>
      <c r="Q439" s="434">
        <v>0.05</v>
      </c>
      <c r="R439" s="150"/>
      <c r="S439" s="66">
        <f t="shared" si="12"/>
        <v>0</v>
      </c>
      <c r="T439" s="67">
        <f t="shared" si="13"/>
        <v>0</v>
      </c>
      <c r="U439" s="66" t="s">
        <v>34</v>
      </c>
      <c r="V439" s="44"/>
      <c r="W439" s="15"/>
    </row>
    <row r="440" spans="1:23" ht="16.05" customHeight="1" x14ac:dyDescent="0.45">
      <c r="A440" s="1">
        <v>439</v>
      </c>
      <c r="B440" s="15" t="s">
        <v>924</v>
      </c>
      <c r="C440" s="57" t="s">
        <v>24</v>
      </c>
      <c r="D440" s="281">
        <v>5043</v>
      </c>
      <c r="E440" s="15" t="s">
        <v>1266</v>
      </c>
      <c r="F440" s="15" t="s">
        <v>1321</v>
      </c>
      <c r="G440" s="16">
        <v>6592</v>
      </c>
      <c r="H440" s="15" t="s">
        <v>925</v>
      </c>
      <c r="I440" s="15" t="s">
        <v>729</v>
      </c>
      <c r="J440" s="16" t="s">
        <v>58</v>
      </c>
      <c r="K440" s="16" t="s">
        <v>57</v>
      </c>
      <c r="L440" s="434">
        <v>0.4</v>
      </c>
      <c r="M440" s="430"/>
      <c r="N440" s="184" t="s">
        <v>1324</v>
      </c>
      <c r="O440" s="44"/>
      <c r="P440" s="150">
        <v>1</v>
      </c>
      <c r="Q440" s="434">
        <v>0.1</v>
      </c>
      <c r="R440" s="150"/>
      <c r="S440" s="66">
        <f t="shared" si="12"/>
        <v>0</v>
      </c>
      <c r="T440" s="67">
        <f t="shared" si="13"/>
        <v>0</v>
      </c>
      <c r="U440" s="66" t="s">
        <v>34</v>
      </c>
      <c r="V440" s="44"/>
      <c r="W440" s="15"/>
    </row>
    <row r="441" spans="1:23" ht="16.05" customHeight="1" x14ac:dyDescent="0.45">
      <c r="A441" s="1">
        <v>440</v>
      </c>
      <c r="B441" s="15" t="s">
        <v>924</v>
      </c>
      <c r="C441" s="57" t="s">
        <v>24</v>
      </c>
      <c r="D441" s="281">
        <v>5043</v>
      </c>
      <c r="E441" s="15" t="s">
        <v>1266</v>
      </c>
      <c r="F441" s="15" t="s">
        <v>1321</v>
      </c>
      <c r="G441" s="16">
        <v>6592</v>
      </c>
      <c r="H441" s="15" t="s">
        <v>925</v>
      </c>
      <c r="I441" s="15" t="s">
        <v>729</v>
      </c>
      <c r="J441" s="16" t="s">
        <v>58</v>
      </c>
      <c r="K441" s="16" t="s">
        <v>57</v>
      </c>
      <c r="L441" s="434">
        <v>0.4</v>
      </c>
      <c r="M441" s="430"/>
      <c r="N441" s="184" t="s">
        <v>844</v>
      </c>
      <c r="O441" s="44"/>
      <c r="P441" s="150">
        <v>1</v>
      </c>
      <c r="Q441" s="434">
        <v>0.05</v>
      </c>
      <c r="R441" s="150"/>
      <c r="S441" s="66">
        <f t="shared" si="12"/>
        <v>0</v>
      </c>
      <c r="T441" s="67">
        <f t="shared" si="13"/>
        <v>0</v>
      </c>
      <c r="U441" s="66" t="s">
        <v>34</v>
      </c>
      <c r="V441" s="44"/>
      <c r="W441" s="15"/>
    </row>
    <row r="442" spans="1:23" ht="16.05" customHeight="1" x14ac:dyDescent="0.45">
      <c r="A442" s="1">
        <v>441</v>
      </c>
      <c r="B442" s="15" t="s">
        <v>924</v>
      </c>
      <c r="C442" s="57" t="s">
        <v>24</v>
      </c>
      <c r="D442" s="281">
        <v>5043</v>
      </c>
      <c r="E442" s="15" t="s">
        <v>1266</v>
      </c>
      <c r="F442" s="15" t="s">
        <v>1321</v>
      </c>
      <c r="G442" s="16">
        <v>6592</v>
      </c>
      <c r="H442" s="15" t="s">
        <v>925</v>
      </c>
      <c r="I442" s="15" t="s">
        <v>729</v>
      </c>
      <c r="J442" s="16" t="s">
        <v>58</v>
      </c>
      <c r="K442" s="16" t="s">
        <v>57</v>
      </c>
      <c r="L442" s="434">
        <v>0.4</v>
      </c>
      <c r="M442" s="430"/>
      <c r="N442" s="184" t="s">
        <v>1325</v>
      </c>
      <c r="O442" s="44"/>
      <c r="P442" s="150">
        <v>1</v>
      </c>
      <c r="Q442" s="434">
        <v>0.05</v>
      </c>
      <c r="R442" s="150"/>
      <c r="S442" s="66">
        <f t="shared" si="12"/>
        <v>0</v>
      </c>
      <c r="T442" s="67">
        <f t="shared" si="13"/>
        <v>0</v>
      </c>
      <c r="U442" s="66" t="s">
        <v>34</v>
      </c>
      <c r="V442" s="44"/>
      <c r="W442" s="15"/>
    </row>
    <row r="443" spans="1:23" ht="16.05" customHeight="1" x14ac:dyDescent="0.45">
      <c r="A443" s="1">
        <v>442</v>
      </c>
      <c r="B443" s="15" t="s">
        <v>924</v>
      </c>
      <c r="C443" s="57" t="s">
        <v>24</v>
      </c>
      <c r="D443" s="281">
        <v>5043</v>
      </c>
      <c r="E443" s="15" t="s">
        <v>1266</v>
      </c>
      <c r="F443" s="15" t="s">
        <v>1321</v>
      </c>
      <c r="G443" s="16">
        <v>6592</v>
      </c>
      <c r="H443" s="15" t="s">
        <v>925</v>
      </c>
      <c r="I443" s="15" t="s">
        <v>729</v>
      </c>
      <c r="J443" s="16" t="s">
        <v>58</v>
      </c>
      <c r="K443" s="16" t="s">
        <v>57</v>
      </c>
      <c r="L443" s="434">
        <v>0.4</v>
      </c>
      <c r="M443" s="430"/>
      <c r="N443" s="184" t="s">
        <v>731</v>
      </c>
      <c r="O443" s="44"/>
      <c r="P443" s="150">
        <v>1</v>
      </c>
      <c r="Q443" s="434">
        <v>0.05</v>
      </c>
      <c r="R443" s="150"/>
      <c r="S443" s="66">
        <f t="shared" si="12"/>
        <v>0</v>
      </c>
      <c r="T443" s="67">
        <f t="shared" si="13"/>
        <v>0</v>
      </c>
      <c r="U443" s="66" t="s">
        <v>34</v>
      </c>
      <c r="V443" s="44"/>
      <c r="W443" s="15"/>
    </row>
    <row r="444" spans="1:23" ht="16.05" customHeight="1" x14ac:dyDescent="0.45">
      <c r="A444" s="1">
        <v>443</v>
      </c>
      <c r="B444" s="15" t="s">
        <v>924</v>
      </c>
      <c r="C444" s="57" t="s">
        <v>24</v>
      </c>
      <c r="D444" s="281">
        <v>5043</v>
      </c>
      <c r="E444" s="15" t="s">
        <v>1266</v>
      </c>
      <c r="F444" s="15" t="s">
        <v>1321</v>
      </c>
      <c r="G444" s="16">
        <v>6592</v>
      </c>
      <c r="H444" s="15" t="s">
        <v>925</v>
      </c>
      <c r="I444" s="15" t="s">
        <v>729</v>
      </c>
      <c r="J444" s="16" t="s">
        <v>58</v>
      </c>
      <c r="K444" s="16" t="s">
        <v>57</v>
      </c>
      <c r="L444" s="434">
        <v>0.4</v>
      </c>
      <c r="M444" s="430"/>
      <c r="N444" s="184" t="s">
        <v>1326</v>
      </c>
      <c r="O444" s="44"/>
      <c r="P444" s="150">
        <v>1</v>
      </c>
      <c r="Q444" s="434">
        <v>0.05</v>
      </c>
      <c r="R444" s="150"/>
      <c r="S444" s="66">
        <f t="shared" si="12"/>
        <v>0</v>
      </c>
      <c r="T444" s="67">
        <f t="shared" si="13"/>
        <v>0</v>
      </c>
      <c r="U444" s="66" t="s">
        <v>34</v>
      </c>
      <c r="V444" s="44"/>
      <c r="W444" s="15"/>
    </row>
    <row r="445" spans="1:23" ht="16.05" customHeight="1" x14ac:dyDescent="0.45">
      <c r="A445" s="1">
        <v>444</v>
      </c>
      <c r="B445" s="15" t="s">
        <v>924</v>
      </c>
      <c r="C445" s="57" t="s">
        <v>24</v>
      </c>
      <c r="D445" s="281">
        <v>5043</v>
      </c>
      <c r="E445" s="15" t="s">
        <v>1266</v>
      </c>
      <c r="F445" s="15" t="s">
        <v>1321</v>
      </c>
      <c r="G445" s="16">
        <v>6592</v>
      </c>
      <c r="H445" s="15" t="s">
        <v>925</v>
      </c>
      <c r="I445" s="15" t="s">
        <v>729</v>
      </c>
      <c r="J445" s="16" t="s">
        <v>58</v>
      </c>
      <c r="K445" s="16" t="s">
        <v>57</v>
      </c>
      <c r="L445" s="434">
        <v>0.4</v>
      </c>
      <c r="M445" s="430"/>
      <c r="N445" s="184" t="s">
        <v>1327</v>
      </c>
      <c r="O445" s="44"/>
      <c r="P445" s="150">
        <v>1</v>
      </c>
      <c r="Q445" s="434">
        <v>0.05</v>
      </c>
      <c r="R445" s="150"/>
      <c r="S445" s="66">
        <f t="shared" si="12"/>
        <v>0</v>
      </c>
      <c r="T445" s="67">
        <f t="shared" si="13"/>
        <v>0</v>
      </c>
      <c r="U445" s="66" t="s">
        <v>34</v>
      </c>
      <c r="V445" s="44"/>
      <c r="W445" s="15"/>
    </row>
    <row r="446" spans="1:23" ht="16.05" customHeight="1" x14ac:dyDescent="0.45">
      <c r="A446" s="1">
        <v>445</v>
      </c>
      <c r="B446" s="15" t="s">
        <v>924</v>
      </c>
      <c r="C446" s="57" t="s">
        <v>24</v>
      </c>
      <c r="D446" s="281">
        <v>5043</v>
      </c>
      <c r="E446" s="15" t="s">
        <v>1266</v>
      </c>
      <c r="F446" s="15" t="s">
        <v>1321</v>
      </c>
      <c r="G446" s="16">
        <v>6592</v>
      </c>
      <c r="H446" s="15" t="s">
        <v>925</v>
      </c>
      <c r="I446" s="15" t="s">
        <v>729</v>
      </c>
      <c r="J446" s="16" t="s">
        <v>58</v>
      </c>
      <c r="K446" s="16" t="s">
        <v>57</v>
      </c>
      <c r="L446" s="434">
        <v>0.4</v>
      </c>
      <c r="M446" s="430"/>
      <c r="N446" s="184" t="s">
        <v>1328</v>
      </c>
      <c r="O446" s="44"/>
      <c r="P446" s="150">
        <v>1</v>
      </c>
      <c r="Q446" s="434">
        <v>0.1</v>
      </c>
      <c r="R446" s="150"/>
      <c r="S446" s="66">
        <f t="shared" si="12"/>
        <v>0</v>
      </c>
      <c r="T446" s="67">
        <f t="shared" si="13"/>
        <v>0</v>
      </c>
      <c r="U446" s="66" t="s">
        <v>34</v>
      </c>
      <c r="V446" s="44"/>
      <c r="W446" s="15"/>
    </row>
    <row r="447" spans="1:23" ht="16.05" customHeight="1" x14ac:dyDescent="0.45">
      <c r="A447" s="1">
        <v>446</v>
      </c>
      <c r="B447" s="15" t="s">
        <v>924</v>
      </c>
      <c r="C447" s="57" t="s">
        <v>24</v>
      </c>
      <c r="D447" s="281">
        <v>5043</v>
      </c>
      <c r="E447" s="15" t="s">
        <v>1266</v>
      </c>
      <c r="F447" s="15" t="s">
        <v>1321</v>
      </c>
      <c r="G447" s="16">
        <v>6592</v>
      </c>
      <c r="H447" s="15" t="s">
        <v>925</v>
      </c>
      <c r="I447" s="15" t="s">
        <v>729</v>
      </c>
      <c r="J447" s="16" t="s">
        <v>58</v>
      </c>
      <c r="K447" s="16" t="s">
        <v>57</v>
      </c>
      <c r="L447" s="434">
        <v>0.4</v>
      </c>
      <c r="M447" s="430"/>
      <c r="N447" s="184" t="s">
        <v>1329</v>
      </c>
      <c r="O447" s="44"/>
      <c r="P447" s="150">
        <v>1</v>
      </c>
      <c r="Q447" s="434">
        <v>0.05</v>
      </c>
      <c r="R447" s="150"/>
      <c r="S447" s="66">
        <f t="shared" si="12"/>
        <v>0</v>
      </c>
      <c r="T447" s="67">
        <f t="shared" si="13"/>
        <v>0</v>
      </c>
      <c r="U447" s="66" t="s">
        <v>34</v>
      </c>
      <c r="V447" s="44"/>
      <c r="W447" s="15"/>
    </row>
    <row r="448" spans="1:23" ht="16.05" customHeight="1" x14ac:dyDescent="0.45">
      <c r="A448" s="1">
        <v>447</v>
      </c>
      <c r="B448" s="15" t="s">
        <v>924</v>
      </c>
      <c r="C448" s="57" t="s">
        <v>24</v>
      </c>
      <c r="D448" s="281">
        <v>5043</v>
      </c>
      <c r="E448" s="15" t="s">
        <v>1266</v>
      </c>
      <c r="F448" s="15" t="s">
        <v>1321</v>
      </c>
      <c r="G448" s="16">
        <v>6592</v>
      </c>
      <c r="H448" s="15" t="s">
        <v>925</v>
      </c>
      <c r="I448" s="15" t="s">
        <v>729</v>
      </c>
      <c r="J448" s="16" t="s">
        <v>58</v>
      </c>
      <c r="K448" s="16" t="s">
        <v>57</v>
      </c>
      <c r="L448" s="434">
        <v>0.4</v>
      </c>
      <c r="M448" s="430"/>
      <c r="N448" s="184" t="s">
        <v>1330</v>
      </c>
      <c r="O448" s="44"/>
      <c r="P448" s="150">
        <v>1</v>
      </c>
      <c r="Q448" s="434">
        <v>0.05</v>
      </c>
      <c r="R448" s="150"/>
      <c r="S448" s="66">
        <f t="shared" si="12"/>
        <v>0</v>
      </c>
      <c r="T448" s="67">
        <f t="shared" si="13"/>
        <v>0</v>
      </c>
      <c r="U448" s="66" t="s">
        <v>34</v>
      </c>
      <c r="V448" s="44"/>
      <c r="W448" s="15"/>
    </row>
    <row r="449" spans="1:23" ht="16.05" customHeight="1" x14ac:dyDescent="0.45">
      <c r="A449" s="1">
        <v>448</v>
      </c>
      <c r="B449" s="15" t="s">
        <v>924</v>
      </c>
      <c r="C449" s="57" t="s">
        <v>24</v>
      </c>
      <c r="D449" s="281">
        <v>5043</v>
      </c>
      <c r="E449" s="15" t="s">
        <v>1266</v>
      </c>
      <c r="F449" s="15" t="s">
        <v>1321</v>
      </c>
      <c r="G449" s="16">
        <v>6592</v>
      </c>
      <c r="H449" s="15" t="s">
        <v>925</v>
      </c>
      <c r="I449" s="15" t="s">
        <v>729</v>
      </c>
      <c r="J449" s="16" t="s">
        <v>58</v>
      </c>
      <c r="K449" s="16" t="s">
        <v>57</v>
      </c>
      <c r="L449" s="434">
        <v>0.4</v>
      </c>
      <c r="M449" s="430"/>
      <c r="N449" s="184" t="s">
        <v>1300</v>
      </c>
      <c r="O449" s="44"/>
      <c r="P449" s="150">
        <v>1</v>
      </c>
      <c r="Q449" s="434">
        <v>0.05</v>
      </c>
      <c r="R449" s="150"/>
      <c r="S449" s="66">
        <f t="shared" si="12"/>
        <v>0</v>
      </c>
      <c r="T449" s="67">
        <f t="shared" si="13"/>
        <v>0</v>
      </c>
      <c r="U449" s="66" t="s">
        <v>34</v>
      </c>
      <c r="V449" s="44"/>
      <c r="W449" s="15"/>
    </row>
    <row r="450" spans="1:23" ht="16.05" customHeight="1" x14ac:dyDescent="0.45">
      <c r="A450" s="1">
        <v>449</v>
      </c>
      <c r="B450" s="15" t="s">
        <v>924</v>
      </c>
      <c r="C450" s="57" t="s">
        <v>24</v>
      </c>
      <c r="D450" s="281">
        <v>5043</v>
      </c>
      <c r="E450" s="15" t="s">
        <v>1266</v>
      </c>
      <c r="F450" s="15" t="s">
        <v>1321</v>
      </c>
      <c r="G450" s="16">
        <v>6592</v>
      </c>
      <c r="H450" s="15" t="s">
        <v>925</v>
      </c>
      <c r="I450" s="15" t="s">
        <v>729</v>
      </c>
      <c r="J450" s="357" t="s">
        <v>111</v>
      </c>
      <c r="K450" s="357" t="s">
        <v>110</v>
      </c>
      <c r="L450" s="432">
        <v>0.6</v>
      </c>
      <c r="M450" s="71"/>
      <c r="N450" s="357" t="s">
        <v>851</v>
      </c>
      <c r="O450" s="73"/>
      <c r="P450" s="164">
        <v>1</v>
      </c>
      <c r="Q450" s="432">
        <v>0.1</v>
      </c>
      <c r="R450" s="164"/>
      <c r="S450" s="160">
        <f t="shared" ref="S450:S513" si="14">ROUND(IF(OR(P450="",R450=""),0,IF(AND(P450=0,R450=0),1,IF(U450="+",R450/P450,P450/R450))),2)</f>
        <v>0</v>
      </c>
      <c r="T450" s="161">
        <f t="shared" ref="T450:T513" si="15">IF(AND(S450&gt;=60%,S450&lt;100%),S450*((Q450*L450)),IF(S450=100%,((Q450*L450)*S450)*100%,IF(S450&gt;100%,((L450*Q450)*100%)*100%,0)))*100</f>
        <v>0</v>
      </c>
      <c r="U450" s="160" t="s">
        <v>34</v>
      </c>
      <c r="V450" s="73"/>
      <c r="W450" s="15"/>
    </row>
    <row r="451" spans="1:23" ht="16.05" customHeight="1" x14ac:dyDescent="0.45">
      <c r="A451" s="1">
        <v>450</v>
      </c>
      <c r="B451" s="15" t="s">
        <v>924</v>
      </c>
      <c r="C451" s="57" t="s">
        <v>24</v>
      </c>
      <c r="D451" s="281">
        <v>5043</v>
      </c>
      <c r="E451" s="15" t="s">
        <v>1266</v>
      </c>
      <c r="F451" s="15" t="s">
        <v>1321</v>
      </c>
      <c r="G451" s="16">
        <v>6592</v>
      </c>
      <c r="H451" s="15" t="s">
        <v>925</v>
      </c>
      <c r="I451" s="15" t="s">
        <v>729</v>
      </c>
      <c r="J451" s="357" t="s">
        <v>111</v>
      </c>
      <c r="K451" s="357" t="s">
        <v>110</v>
      </c>
      <c r="L451" s="432">
        <v>0.6</v>
      </c>
      <c r="M451" s="71"/>
      <c r="N451" s="357" t="s">
        <v>1331</v>
      </c>
      <c r="O451" s="73"/>
      <c r="P451" s="164">
        <v>1</v>
      </c>
      <c r="Q451" s="432">
        <v>0.05</v>
      </c>
      <c r="R451" s="164"/>
      <c r="S451" s="160">
        <f t="shared" si="14"/>
        <v>0</v>
      </c>
      <c r="T451" s="161">
        <f t="shared" si="15"/>
        <v>0</v>
      </c>
      <c r="U451" s="160" t="s">
        <v>34</v>
      </c>
      <c r="V451" s="73"/>
      <c r="W451" s="15"/>
    </row>
    <row r="452" spans="1:23" ht="16.05" customHeight="1" x14ac:dyDescent="0.45">
      <c r="A452" s="1">
        <v>451</v>
      </c>
      <c r="B452" s="15" t="s">
        <v>924</v>
      </c>
      <c r="C452" s="57" t="s">
        <v>24</v>
      </c>
      <c r="D452" s="281">
        <v>5043</v>
      </c>
      <c r="E452" s="15" t="s">
        <v>1266</v>
      </c>
      <c r="F452" s="15" t="s">
        <v>1321</v>
      </c>
      <c r="G452" s="16">
        <v>6592</v>
      </c>
      <c r="H452" s="15" t="s">
        <v>925</v>
      </c>
      <c r="I452" s="15" t="s">
        <v>729</v>
      </c>
      <c r="J452" s="357" t="s">
        <v>111</v>
      </c>
      <c r="K452" s="357" t="s">
        <v>110</v>
      </c>
      <c r="L452" s="432">
        <v>0.6</v>
      </c>
      <c r="M452" s="71"/>
      <c r="N452" s="334" t="s">
        <v>855</v>
      </c>
      <c r="O452" s="73"/>
      <c r="P452" s="164">
        <v>1</v>
      </c>
      <c r="Q452" s="432">
        <v>0.05</v>
      </c>
      <c r="R452" s="164"/>
      <c r="S452" s="160">
        <f t="shared" si="14"/>
        <v>0</v>
      </c>
      <c r="T452" s="161">
        <f t="shared" si="15"/>
        <v>0</v>
      </c>
      <c r="U452" s="160" t="s">
        <v>34</v>
      </c>
      <c r="V452" s="73"/>
      <c r="W452" s="15"/>
    </row>
    <row r="453" spans="1:23" ht="16.05" customHeight="1" x14ac:dyDescent="0.45">
      <c r="A453" s="1">
        <v>452</v>
      </c>
      <c r="B453" s="15" t="s">
        <v>924</v>
      </c>
      <c r="C453" s="57" t="s">
        <v>24</v>
      </c>
      <c r="D453" s="281">
        <v>5043</v>
      </c>
      <c r="E453" s="15" t="s">
        <v>1266</v>
      </c>
      <c r="F453" s="15" t="s">
        <v>1321</v>
      </c>
      <c r="G453" s="16">
        <v>6592</v>
      </c>
      <c r="H453" s="15" t="s">
        <v>925</v>
      </c>
      <c r="I453" s="15" t="s">
        <v>729</v>
      </c>
      <c r="J453" s="357" t="s">
        <v>111</v>
      </c>
      <c r="K453" s="357" t="s">
        <v>110</v>
      </c>
      <c r="L453" s="432">
        <v>0.6</v>
      </c>
      <c r="M453" s="71"/>
      <c r="N453" s="357" t="s">
        <v>856</v>
      </c>
      <c r="O453" s="73"/>
      <c r="P453" s="164">
        <v>1</v>
      </c>
      <c r="Q453" s="432">
        <v>0.05</v>
      </c>
      <c r="R453" s="164"/>
      <c r="S453" s="160">
        <f t="shared" si="14"/>
        <v>0</v>
      </c>
      <c r="T453" s="161">
        <f t="shared" si="15"/>
        <v>0</v>
      </c>
      <c r="U453" s="160" t="s">
        <v>34</v>
      </c>
      <c r="V453" s="73"/>
      <c r="W453" s="15"/>
    </row>
    <row r="454" spans="1:23" ht="16.05" customHeight="1" x14ac:dyDescent="0.45">
      <c r="A454" s="1">
        <v>453</v>
      </c>
      <c r="B454" s="15" t="s">
        <v>924</v>
      </c>
      <c r="C454" s="57" t="s">
        <v>24</v>
      </c>
      <c r="D454" s="281">
        <v>5043</v>
      </c>
      <c r="E454" s="15" t="s">
        <v>1266</v>
      </c>
      <c r="F454" s="15" t="s">
        <v>1321</v>
      </c>
      <c r="G454" s="16">
        <v>6592</v>
      </c>
      <c r="H454" s="15" t="s">
        <v>925</v>
      </c>
      <c r="I454" s="15" t="s">
        <v>729</v>
      </c>
      <c r="J454" s="357" t="s">
        <v>111</v>
      </c>
      <c r="K454" s="357" t="s">
        <v>110</v>
      </c>
      <c r="L454" s="432">
        <v>0.6</v>
      </c>
      <c r="M454" s="71"/>
      <c r="N454" s="357" t="s">
        <v>1332</v>
      </c>
      <c r="O454" s="73"/>
      <c r="P454" s="164">
        <v>1</v>
      </c>
      <c r="Q454" s="432">
        <v>0.05</v>
      </c>
      <c r="R454" s="164"/>
      <c r="S454" s="160">
        <f t="shared" si="14"/>
        <v>0</v>
      </c>
      <c r="T454" s="161">
        <f t="shared" si="15"/>
        <v>0</v>
      </c>
      <c r="U454" s="160" t="s">
        <v>34</v>
      </c>
      <c r="V454" s="73"/>
      <c r="W454" s="15"/>
    </row>
    <row r="455" spans="1:23" ht="16.05" customHeight="1" x14ac:dyDescent="0.45">
      <c r="A455" s="1">
        <v>454</v>
      </c>
      <c r="B455" s="15" t="s">
        <v>924</v>
      </c>
      <c r="C455" s="57" t="s">
        <v>24</v>
      </c>
      <c r="D455" s="281">
        <v>5043</v>
      </c>
      <c r="E455" s="15" t="s">
        <v>1266</v>
      </c>
      <c r="F455" s="15" t="s">
        <v>1321</v>
      </c>
      <c r="G455" s="16">
        <v>6592</v>
      </c>
      <c r="H455" s="15" t="s">
        <v>925</v>
      </c>
      <c r="I455" s="15" t="s">
        <v>729</v>
      </c>
      <c r="J455" s="357" t="s">
        <v>111</v>
      </c>
      <c r="K455" s="357" t="s">
        <v>110</v>
      </c>
      <c r="L455" s="432">
        <v>0.6</v>
      </c>
      <c r="M455" s="71"/>
      <c r="N455" s="357" t="s">
        <v>853</v>
      </c>
      <c r="O455" s="73"/>
      <c r="P455" s="164">
        <v>1</v>
      </c>
      <c r="Q455" s="432">
        <v>0.25</v>
      </c>
      <c r="R455" s="164"/>
      <c r="S455" s="160">
        <f t="shared" si="14"/>
        <v>0</v>
      </c>
      <c r="T455" s="161">
        <f t="shared" si="15"/>
        <v>0</v>
      </c>
      <c r="U455" s="160" t="s">
        <v>34</v>
      </c>
      <c r="V455" s="73"/>
      <c r="W455" s="15"/>
    </row>
    <row r="456" spans="1:23" ht="16.05" customHeight="1" x14ac:dyDescent="0.45">
      <c r="A456" s="1">
        <v>455</v>
      </c>
      <c r="B456" s="15" t="s">
        <v>924</v>
      </c>
      <c r="C456" s="57" t="s">
        <v>24</v>
      </c>
      <c r="D456" s="281">
        <v>5043</v>
      </c>
      <c r="E456" s="15" t="s">
        <v>1266</v>
      </c>
      <c r="F456" s="15" t="s">
        <v>1321</v>
      </c>
      <c r="G456" s="16">
        <v>6592</v>
      </c>
      <c r="H456" s="15" t="s">
        <v>925</v>
      </c>
      <c r="I456" s="15" t="s">
        <v>729</v>
      </c>
      <c r="J456" s="357" t="s">
        <v>111</v>
      </c>
      <c r="K456" s="357" t="s">
        <v>110</v>
      </c>
      <c r="L456" s="432">
        <v>0.6</v>
      </c>
      <c r="M456" s="71"/>
      <c r="N456" s="357" t="s">
        <v>1333</v>
      </c>
      <c r="O456" s="73"/>
      <c r="P456" s="164">
        <v>1</v>
      </c>
      <c r="Q456" s="432">
        <v>0.05</v>
      </c>
      <c r="R456" s="164"/>
      <c r="S456" s="160">
        <f t="shared" si="14"/>
        <v>0</v>
      </c>
      <c r="T456" s="161">
        <f t="shared" si="15"/>
        <v>0</v>
      </c>
      <c r="U456" s="160" t="s">
        <v>34</v>
      </c>
      <c r="V456" s="73"/>
      <c r="W456" s="15"/>
    </row>
    <row r="457" spans="1:23" ht="16.05" customHeight="1" x14ac:dyDescent="0.45">
      <c r="A457" s="1">
        <v>456</v>
      </c>
      <c r="B457" s="15" t="s">
        <v>924</v>
      </c>
      <c r="C457" s="57" t="s">
        <v>24</v>
      </c>
      <c r="D457" s="281">
        <v>5043</v>
      </c>
      <c r="E457" s="15" t="s">
        <v>1266</v>
      </c>
      <c r="F457" s="15" t="s">
        <v>1321</v>
      </c>
      <c r="G457" s="16">
        <v>6592</v>
      </c>
      <c r="H457" s="15" t="s">
        <v>925</v>
      </c>
      <c r="I457" s="15" t="s">
        <v>729</v>
      </c>
      <c r="J457" s="357" t="s">
        <v>111</v>
      </c>
      <c r="K457" s="357" t="s">
        <v>110</v>
      </c>
      <c r="L457" s="432">
        <v>0.6</v>
      </c>
      <c r="M457" s="71"/>
      <c r="N457" s="357" t="s">
        <v>744</v>
      </c>
      <c r="O457" s="73"/>
      <c r="P457" s="164">
        <v>1</v>
      </c>
      <c r="Q457" s="432">
        <v>0.05</v>
      </c>
      <c r="R457" s="164"/>
      <c r="S457" s="160">
        <f t="shared" si="14"/>
        <v>0</v>
      </c>
      <c r="T457" s="161">
        <f t="shared" si="15"/>
        <v>0</v>
      </c>
      <c r="U457" s="160" t="s">
        <v>34</v>
      </c>
      <c r="V457" s="73"/>
      <c r="W457" s="15"/>
    </row>
    <row r="458" spans="1:23" ht="16.05" customHeight="1" x14ac:dyDescent="0.45">
      <c r="A458" s="1">
        <v>457</v>
      </c>
      <c r="B458" s="15" t="s">
        <v>924</v>
      </c>
      <c r="C458" s="57" t="s">
        <v>24</v>
      </c>
      <c r="D458" s="281">
        <v>5043</v>
      </c>
      <c r="E458" s="15" t="s">
        <v>1266</v>
      </c>
      <c r="F458" s="15" t="s">
        <v>1321</v>
      </c>
      <c r="G458" s="16">
        <v>6592</v>
      </c>
      <c r="H458" s="15" t="s">
        <v>925</v>
      </c>
      <c r="I458" s="15" t="s">
        <v>729</v>
      </c>
      <c r="J458" s="357" t="s">
        <v>111</v>
      </c>
      <c r="K458" s="357" t="s">
        <v>110</v>
      </c>
      <c r="L458" s="432">
        <v>0.6</v>
      </c>
      <c r="M458" s="71"/>
      <c r="N458" s="357" t="s">
        <v>854</v>
      </c>
      <c r="O458" s="73"/>
      <c r="P458" s="164">
        <v>1</v>
      </c>
      <c r="Q458" s="432">
        <v>0.05</v>
      </c>
      <c r="R458" s="164"/>
      <c r="S458" s="160">
        <f t="shared" si="14"/>
        <v>0</v>
      </c>
      <c r="T458" s="161">
        <f t="shared" si="15"/>
        <v>0</v>
      </c>
      <c r="U458" s="160" t="s">
        <v>34</v>
      </c>
      <c r="V458" s="73"/>
      <c r="W458" s="15"/>
    </row>
    <row r="459" spans="1:23" ht="16.05" customHeight="1" x14ac:dyDescent="0.45">
      <c r="A459" s="1">
        <v>458</v>
      </c>
      <c r="B459" s="15" t="s">
        <v>924</v>
      </c>
      <c r="C459" s="57" t="s">
        <v>24</v>
      </c>
      <c r="D459" s="281">
        <v>5043</v>
      </c>
      <c r="E459" s="15" t="s">
        <v>1266</v>
      </c>
      <c r="F459" s="15" t="s">
        <v>1321</v>
      </c>
      <c r="G459" s="16">
        <v>6592</v>
      </c>
      <c r="H459" s="15" t="s">
        <v>925</v>
      </c>
      <c r="I459" s="15" t="s">
        <v>729</v>
      </c>
      <c r="J459" s="357" t="s">
        <v>111</v>
      </c>
      <c r="K459" s="357" t="s">
        <v>110</v>
      </c>
      <c r="L459" s="432">
        <v>0.6</v>
      </c>
      <c r="M459" s="71"/>
      <c r="N459" s="435" t="s">
        <v>1334</v>
      </c>
      <c r="O459" s="73"/>
      <c r="P459" s="164">
        <v>1</v>
      </c>
      <c r="Q459" s="432">
        <v>0.05</v>
      </c>
      <c r="R459" s="164"/>
      <c r="S459" s="160">
        <f t="shared" si="14"/>
        <v>0</v>
      </c>
      <c r="T459" s="161">
        <f t="shared" si="15"/>
        <v>0</v>
      </c>
      <c r="U459" s="160" t="s">
        <v>34</v>
      </c>
      <c r="V459" s="73"/>
      <c r="W459" s="15"/>
    </row>
    <row r="460" spans="1:23" ht="16.05" customHeight="1" x14ac:dyDescent="0.45">
      <c r="A460" s="1">
        <v>459</v>
      </c>
      <c r="B460" s="15" t="s">
        <v>924</v>
      </c>
      <c r="C460" s="57" t="s">
        <v>24</v>
      </c>
      <c r="D460" s="281">
        <v>5043</v>
      </c>
      <c r="E460" s="15" t="s">
        <v>1266</v>
      </c>
      <c r="F460" s="15" t="s">
        <v>1321</v>
      </c>
      <c r="G460" s="16">
        <v>6592</v>
      </c>
      <c r="H460" s="15" t="s">
        <v>925</v>
      </c>
      <c r="I460" s="15" t="s">
        <v>729</v>
      </c>
      <c r="J460" s="357" t="s">
        <v>111</v>
      </c>
      <c r="K460" s="357" t="s">
        <v>110</v>
      </c>
      <c r="L460" s="432">
        <v>0.6</v>
      </c>
      <c r="M460" s="71"/>
      <c r="N460" s="357" t="s">
        <v>746</v>
      </c>
      <c r="O460" s="73"/>
      <c r="P460" s="164">
        <v>1</v>
      </c>
      <c r="Q460" s="432">
        <v>0.05</v>
      </c>
      <c r="R460" s="164"/>
      <c r="S460" s="160">
        <f t="shared" si="14"/>
        <v>0</v>
      </c>
      <c r="T460" s="161">
        <f t="shared" si="15"/>
        <v>0</v>
      </c>
      <c r="U460" s="160" t="s">
        <v>34</v>
      </c>
      <c r="V460" s="73"/>
      <c r="W460" s="15"/>
    </row>
    <row r="461" spans="1:23" ht="16.05" customHeight="1" x14ac:dyDescent="0.45">
      <c r="A461" s="1">
        <v>460</v>
      </c>
      <c r="B461" s="15" t="s">
        <v>924</v>
      </c>
      <c r="C461" s="57" t="s">
        <v>24</v>
      </c>
      <c r="D461" s="281">
        <v>5043</v>
      </c>
      <c r="E461" s="15" t="s">
        <v>1266</v>
      </c>
      <c r="F461" s="15" t="s">
        <v>1321</v>
      </c>
      <c r="G461" s="16">
        <v>6592</v>
      </c>
      <c r="H461" s="15" t="s">
        <v>925</v>
      </c>
      <c r="I461" s="15" t="s">
        <v>729</v>
      </c>
      <c r="J461" s="357" t="s">
        <v>111</v>
      </c>
      <c r="K461" s="357" t="s">
        <v>110</v>
      </c>
      <c r="L461" s="432">
        <v>0.6</v>
      </c>
      <c r="M461" s="71"/>
      <c r="N461" s="357" t="s">
        <v>1335</v>
      </c>
      <c r="O461" s="73"/>
      <c r="P461" s="164">
        <v>1</v>
      </c>
      <c r="Q461" s="432">
        <v>0.05</v>
      </c>
      <c r="R461" s="164"/>
      <c r="S461" s="160">
        <f t="shared" si="14"/>
        <v>0</v>
      </c>
      <c r="T461" s="161">
        <f t="shared" si="15"/>
        <v>0</v>
      </c>
      <c r="U461" s="160" t="s">
        <v>34</v>
      </c>
      <c r="V461" s="73"/>
      <c r="W461" s="15"/>
    </row>
    <row r="462" spans="1:23" ht="16.05" customHeight="1" x14ac:dyDescent="0.45">
      <c r="A462" s="1">
        <v>461</v>
      </c>
      <c r="B462" s="15" t="s">
        <v>924</v>
      </c>
      <c r="C462" s="57" t="s">
        <v>24</v>
      </c>
      <c r="D462" s="281">
        <v>5043</v>
      </c>
      <c r="E462" s="15" t="s">
        <v>1266</v>
      </c>
      <c r="F462" s="15" t="s">
        <v>1321</v>
      </c>
      <c r="G462" s="16">
        <v>6592</v>
      </c>
      <c r="H462" s="15" t="s">
        <v>925</v>
      </c>
      <c r="I462" s="15" t="s">
        <v>729</v>
      </c>
      <c r="J462" s="357" t="s">
        <v>111</v>
      </c>
      <c r="K462" s="357" t="s">
        <v>110</v>
      </c>
      <c r="L462" s="432">
        <v>0.6</v>
      </c>
      <c r="M462" s="71"/>
      <c r="N462" s="357" t="s">
        <v>1301</v>
      </c>
      <c r="O462" s="73"/>
      <c r="P462" s="164">
        <v>1</v>
      </c>
      <c r="Q462" s="432">
        <v>0.05</v>
      </c>
      <c r="R462" s="164"/>
      <c r="S462" s="160">
        <f t="shared" si="14"/>
        <v>0</v>
      </c>
      <c r="T462" s="161">
        <f t="shared" si="15"/>
        <v>0</v>
      </c>
      <c r="U462" s="160" t="s">
        <v>34</v>
      </c>
      <c r="V462" s="73"/>
      <c r="W462" s="15"/>
    </row>
    <row r="463" spans="1:23" ht="16.05" customHeight="1" x14ac:dyDescent="0.45">
      <c r="A463" s="1">
        <v>462</v>
      </c>
      <c r="B463" s="15" t="s">
        <v>924</v>
      </c>
      <c r="C463" s="57" t="s">
        <v>24</v>
      </c>
      <c r="D463" s="281">
        <v>5043</v>
      </c>
      <c r="E463" s="15" t="s">
        <v>1266</v>
      </c>
      <c r="F463" s="15" t="s">
        <v>1321</v>
      </c>
      <c r="G463" s="16">
        <v>6592</v>
      </c>
      <c r="H463" s="15" t="s">
        <v>925</v>
      </c>
      <c r="I463" s="15" t="s">
        <v>729</v>
      </c>
      <c r="J463" s="357" t="s">
        <v>111</v>
      </c>
      <c r="K463" s="357" t="s">
        <v>110</v>
      </c>
      <c r="L463" s="432">
        <v>0.6</v>
      </c>
      <c r="M463" s="71"/>
      <c r="N463" s="357" t="s">
        <v>1336</v>
      </c>
      <c r="O463" s="73"/>
      <c r="P463" s="164">
        <v>1</v>
      </c>
      <c r="Q463" s="432">
        <v>0.05</v>
      </c>
      <c r="R463" s="164"/>
      <c r="S463" s="160">
        <f t="shared" si="14"/>
        <v>0</v>
      </c>
      <c r="T463" s="161">
        <f t="shared" si="15"/>
        <v>0</v>
      </c>
      <c r="U463" s="160" t="s">
        <v>34</v>
      </c>
      <c r="V463" s="73"/>
      <c r="W463" s="15"/>
    </row>
    <row r="464" spans="1:23" ht="16.05" customHeight="1" x14ac:dyDescent="0.45">
      <c r="A464" s="1">
        <v>463</v>
      </c>
      <c r="B464" s="15" t="s">
        <v>924</v>
      </c>
      <c r="C464" s="57" t="s">
        <v>24</v>
      </c>
      <c r="D464" s="281">
        <v>5043</v>
      </c>
      <c r="E464" s="15" t="s">
        <v>1266</v>
      </c>
      <c r="F464" s="15" t="s">
        <v>1321</v>
      </c>
      <c r="G464" s="16">
        <v>6592</v>
      </c>
      <c r="H464" s="15" t="s">
        <v>925</v>
      </c>
      <c r="I464" s="15" t="s">
        <v>729</v>
      </c>
      <c r="J464" s="357" t="s">
        <v>111</v>
      </c>
      <c r="K464" s="357" t="s">
        <v>110</v>
      </c>
      <c r="L464" s="432">
        <v>0.6</v>
      </c>
      <c r="M464" s="71"/>
      <c r="N464" s="357" t="s">
        <v>753</v>
      </c>
      <c r="O464" s="73"/>
      <c r="P464" s="164">
        <v>1</v>
      </c>
      <c r="Q464" s="432">
        <v>0.05</v>
      </c>
      <c r="R464" s="164"/>
      <c r="S464" s="160">
        <f t="shared" si="14"/>
        <v>0</v>
      </c>
      <c r="T464" s="161">
        <f t="shared" si="15"/>
        <v>0</v>
      </c>
      <c r="U464" s="160" t="s">
        <v>34</v>
      </c>
      <c r="V464" s="73"/>
      <c r="W464" s="15"/>
    </row>
    <row r="465" spans="1:23" ht="16.05" customHeight="1" x14ac:dyDescent="0.45">
      <c r="A465" s="1">
        <v>464</v>
      </c>
      <c r="B465" s="99" t="s">
        <v>924</v>
      </c>
      <c r="C465" s="99" t="s">
        <v>24</v>
      </c>
      <c r="D465" s="349">
        <v>5923</v>
      </c>
      <c r="E465" s="99" t="s">
        <v>1337</v>
      </c>
      <c r="F465" s="99" t="s">
        <v>1283</v>
      </c>
      <c r="G465" s="3">
        <v>5670</v>
      </c>
      <c r="H465" s="99" t="s">
        <v>1284</v>
      </c>
      <c r="I465" s="99" t="s">
        <v>729</v>
      </c>
      <c r="J465" s="91" t="s">
        <v>58</v>
      </c>
      <c r="K465" s="91" t="s">
        <v>57</v>
      </c>
      <c r="L465" s="350">
        <v>0.6</v>
      </c>
      <c r="M465" s="407"/>
      <c r="N465" s="91" t="s">
        <v>1338</v>
      </c>
      <c r="O465" s="146"/>
      <c r="P465" s="171">
        <v>1</v>
      </c>
      <c r="Q465" s="350">
        <v>0.55000000000000004</v>
      </c>
      <c r="R465" s="171"/>
      <c r="S465" s="148">
        <f t="shared" si="14"/>
        <v>0</v>
      </c>
      <c r="T465" s="168">
        <f t="shared" si="15"/>
        <v>0</v>
      </c>
      <c r="U465" s="148" t="s">
        <v>34</v>
      </c>
      <c r="V465" s="429">
        <f>SUM(T465:T484)%</f>
        <v>0</v>
      </c>
      <c r="W465" s="99"/>
    </row>
    <row r="466" spans="1:23" ht="16.05" customHeight="1" x14ac:dyDescent="0.45">
      <c r="A466" s="1">
        <v>465</v>
      </c>
      <c r="B466" s="113" t="s">
        <v>924</v>
      </c>
      <c r="C466" s="57" t="s">
        <v>24</v>
      </c>
      <c r="D466" s="427">
        <v>5923</v>
      </c>
      <c r="E466" s="113" t="s">
        <v>1337</v>
      </c>
      <c r="F466" s="113" t="s">
        <v>1283</v>
      </c>
      <c r="G466" s="16">
        <v>5670</v>
      </c>
      <c r="H466" s="113" t="s">
        <v>1284</v>
      </c>
      <c r="I466" s="113" t="s">
        <v>729</v>
      </c>
      <c r="J466" s="16" t="s">
        <v>58</v>
      </c>
      <c r="K466" s="16" t="s">
        <v>57</v>
      </c>
      <c r="L466" s="360">
        <v>0.6</v>
      </c>
      <c r="M466" s="430"/>
      <c r="N466" s="184" t="s">
        <v>1339</v>
      </c>
      <c r="O466" s="44"/>
      <c r="P466" s="431">
        <v>1</v>
      </c>
      <c r="Q466" s="360">
        <v>0.15</v>
      </c>
      <c r="R466" s="431"/>
      <c r="S466" s="153">
        <f t="shared" si="14"/>
        <v>0</v>
      </c>
      <c r="T466" s="152">
        <f t="shared" si="15"/>
        <v>0</v>
      </c>
      <c r="U466" s="153" t="s">
        <v>34</v>
      </c>
      <c r="V466" s="44"/>
      <c r="W466" s="113"/>
    </row>
    <row r="467" spans="1:23" ht="16.05" customHeight="1" x14ac:dyDescent="0.45">
      <c r="A467" s="1">
        <v>466</v>
      </c>
      <c r="B467" s="113" t="s">
        <v>924</v>
      </c>
      <c r="C467" s="57" t="s">
        <v>24</v>
      </c>
      <c r="D467" s="427">
        <v>5923</v>
      </c>
      <c r="E467" s="113" t="s">
        <v>1337</v>
      </c>
      <c r="F467" s="113" t="s">
        <v>1283</v>
      </c>
      <c r="G467" s="16">
        <v>5670</v>
      </c>
      <c r="H467" s="113" t="s">
        <v>1284</v>
      </c>
      <c r="I467" s="113" t="s">
        <v>729</v>
      </c>
      <c r="J467" s="16" t="s">
        <v>58</v>
      </c>
      <c r="K467" s="16" t="s">
        <v>57</v>
      </c>
      <c r="L467" s="360">
        <v>0.6</v>
      </c>
      <c r="M467" s="430"/>
      <c r="N467" s="184" t="s">
        <v>1340</v>
      </c>
      <c r="O467" s="44"/>
      <c r="P467" s="431">
        <v>1</v>
      </c>
      <c r="Q467" s="360">
        <v>0.1</v>
      </c>
      <c r="R467" s="431"/>
      <c r="S467" s="153">
        <f t="shared" si="14"/>
        <v>0</v>
      </c>
      <c r="T467" s="152">
        <f t="shared" si="15"/>
        <v>0</v>
      </c>
      <c r="U467" s="153" t="s">
        <v>34</v>
      </c>
      <c r="V467" s="44"/>
      <c r="W467" s="113"/>
    </row>
    <row r="468" spans="1:23" ht="16.05" customHeight="1" x14ac:dyDescent="0.45">
      <c r="A468" s="1">
        <v>467</v>
      </c>
      <c r="B468" s="113" t="s">
        <v>924</v>
      </c>
      <c r="C468" s="57" t="s">
        <v>24</v>
      </c>
      <c r="D468" s="427">
        <v>5923</v>
      </c>
      <c r="E468" s="113" t="s">
        <v>1337</v>
      </c>
      <c r="F468" s="113" t="s">
        <v>1283</v>
      </c>
      <c r="G468" s="16">
        <v>5670</v>
      </c>
      <c r="H468" s="113" t="s">
        <v>1284</v>
      </c>
      <c r="I468" s="113" t="s">
        <v>729</v>
      </c>
      <c r="J468" s="16" t="s">
        <v>58</v>
      </c>
      <c r="K468" s="16" t="s">
        <v>57</v>
      </c>
      <c r="L468" s="360">
        <v>0.6</v>
      </c>
      <c r="M468" s="430"/>
      <c r="N468" s="184" t="s">
        <v>1341</v>
      </c>
      <c r="O468" s="44"/>
      <c r="P468" s="431">
        <v>1</v>
      </c>
      <c r="Q468" s="360">
        <v>0.1</v>
      </c>
      <c r="R468" s="431"/>
      <c r="S468" s="153">
        <f t="shared" si="14"/>
        <v>0</v>
      </c>
      <c r="T468" s="152">
        <f t="shared" si="15"/>
        <v>0</v>
      </c>
      <c r="U468" s="153" t="s">
        <v>34</v>
      </c>
      <c r="V468" s="44"/>
      <c r="W468" s="113"/>
    </row>
    <row r="469" spans="1:23" ht="16.05" customHeight="1" x14ac:dyDescent="0.45">
      <c r="A469" s="1">
        <v>468</v>
      </c>
      <c r="B469" s="113" t="s">
        <v>924</v>
      </c>
      <c r="C469" s="57" t="s">
        <v>24</v>
      </c>
      <c r="D469" s="427">
        <v>5923</v>
      </c>
      <c r="E469" s="113" t="s">
        <v>1337</v>
      </c>
      <c r="F469" s="113" t="s">
        <v>1283</v>
      </c>
      <c r="G469" s="16">
        <v>5670</v>
      </c>
      <c r="H469" s="113" t="s">
        <v>1284</v>
      </c>
      <c r="I469" s="113" t="s">
        <v>729</v>
      </c>
      <c r="J469" s="16" t="s">
        <v>58</v>
      </c>
      <c r="K469" s="16" t="s">
        <v>57</v>
      </c>
      <c r="L469" s="360">
        <v>0.6</v>
      </c>
      <c r="M469" s="430"/>
      <c r="N469" s="184" t="s">
        <v>1342</v>
      </c>
      <c r="O469" s="44"/>
      <c r="P469" s="431">
        <v>1</v>
      </c>
      <c r="Q469" s="360">
        <v>0.1</v>
      </c>
      <c r="R469" s="431"/>
      <c r="S469" s="153">
        <f t="shared" si="14"/>
        <v>0</v>
      </c>
      <c r="T469" s="152">
        <f t="shared" si="15"/>
        <v>0</v>
      </c>
      <c r="U469" s="153" t="s">
        <v>34</v>
      </c>
      <c r="V469" s="44"/>
      <c r="W469" s="113"/>
    </row>
    <row r="470" spans="1:23" ht="16.05" customHeight="1" x14ac:dyDescent="0.45">
      <c r="A470" s="1">
        <v>469</v>
      </c>
      <c r="B470" s="113" t="s">
        <v>924</v>
      </c>
      <c r="C470" s="57" t="s">
        <v>24</v>
      </c>
      <c r="D470" s="427">
        <v>5923</v>
      </c>
      <c r="E470" s="113" t="s">
        <v>1337</v>
      </c>
      <c r="F470" s="113" t="s">
        <v>1283</v>
      </c>
      <c r="G470" s="16">
        <v>5670</v>
      </c>
      <c r="H470" s="113" t="s">
        <v>1284</v>
      </c>
      <c r="I470" s="113" t="s">
        <v>729</v>
      </c>
      <c r="J470" s="182" t="s">
        <v>111</v>
      </c>
      <c r="K470" s="16" t="s">
        <v>110</v>
      </c>
      <c r="L470" s="282">
        <v>0.4</v>
      </c>
      <c r="M470" s="71"/>
      <c r="N470" s="16" t="s">
        <v>255</v>
      </c>
      <c r="O470" s="73"/>
      <c r="P470" s="28">
        <v>1</v>
      </c>
      <c r="Q470" s="282">
        <v>0.05</v>
      </c>
      <c r="R470" s="28"/>
      <c r="S470" s="28">
        <f t="shared" si="14"/>
        <v>0</v>
      </c>
      <c r="T470" s="46">
        <f t="shared" si="15"/>
        <v>0</v>
      </c>
      <c r="U470" s="28" t="s">
        <v>34</v>
      </c>
      <c r="V470" s="73"/>
      <c r="W470" s="113"/>
    </row>
    <row r="471" spans="1:23" ht="16.05" customHeight="1" x14ac:dyDescent="0.45">
      <c r="A471" s="1">
        <v>470</v>
      </c>
      <c r="B471" s="113" t="s">
        <v>924</v>
      </c>
      <c r="C471" s="57" t="s">
        <v>24</v>
      </c>
      <c r="D471" s="427">
        <v>5923</v>
      </c>
      <c r="E471" s="113" t="s">
        <v>1337</v>
      </c>
      <c r="F471" s="113" t="s">
        <v>1283</v>
      </c>
      <c r="G471" s="16">
        <v>5670</v>
      </c>
      <c r="H471" s="113" t="s">
        <v>1284</v>
      </c>
      <c r="I471" s="113" t="s">
        <v>729</v>
      </c>
      <c r="J471" s="182" t="s">
        <v>111</v>
      </c>
      <c r="K471" s="16" t="s">
        <v>110</v>
      </c>
      <c r="L471" s="282">
        <v>0.4</v>
      </c>
      <c r="M471" s="71"/>
      <c r="N471" s="16" t="s">
        <v>768</v>
      </c>
      <c r="O471" s="73"/>
      <c r="P471" s="28">
        <v>1</v>
      </c>
      <c r="Q471" s="282">
        <v>0.05</v>
      </c>
      <c r="R471" s="28"/>
      <c r="S471" s="28">
        <f t="shared" si="14"/>
        <v>0</v>
      </c>
      <c r="T471" s="46">
        <f t="shared" si="15"/>
        <v>0</v>
      </c>
      <c r="U471" s="28" t="s">
        <v>34</v>
      </c>
      <c r="V471" s="73"/>
      <c r="W471" s="113"/>
    </row>
    <row r="472" spans="1:23" ht="16.05" customHeight="1" x14ac:dyDescent="0.45">
      <c r="A472" s="1">
        <v>471</v>
      </c>
      <c r="B472" s="113" t="s">
        <v>924</v>
      </c>
      <c r="C472" s="57" t="s">
        <v>24</v>
      </c>
      <c r="D472" s="427">
        <v>5923</v>
      </c>
      <c r="E472" s="113" t="s">
        <v>1337</v>
      </c>
      <c r="F472" s="113" t="s">
        <v>1283</v>
      </c>
      <c r="G472" s="16">
        <v>5670</v>
      </c>
      <c r="H472" s="113" t="s">
        <v>1284</v>
      </c>
      <c r="I472" s="113" t="s">
        <v>729</v>
      </c>
      <c r="J472" s="182" t="s">
        <v>111</v>
      </c>
      <c r="K472" s="16" t="s">
        <v>110</v>
      </c>
      <c r="L472" s="282">
        <v>0.4</v>
      </c>
      <c r="M472" s="71"/>
      <c r="N472" s="16" t="s">
        <v>769</v>
      </c>
      <c r="O472" s="73"/>
      <c r="P472" s="28">
        <v>1</v>
      </c>
      <c r="Q472" s="282">
        <v>0.05</v>
      </c>
      <c r="R472" s="28"/>
      <c r="S472" s="28">
        <f t="shared" si="14"/>
        <v>0</v>
      </c>
      <c r="T472" s="46">
        <f t="shared" si="15"/>
        <v>0</v>
      </c>
      <c r="U472" s="28" t="s">
        <v>34</v>
      </c>
      <c r="V472" s="73"/>
      <c r="W472" s="113"/>
    </row>
    <row r="473" spans="1:23" ht="16.05" customHeight="1" x14ac:dyDescent="0.45">
      <c r="A473" s="1">
        <v>472</v>
      </c>
      <c r="B473" s="113" t="s">
        <v>924</v>
      </c>
      <c r="C473" s="57" t="s">
        <v>24</v>
      </c>
      <c r="D473" s="427">
        <v>5923</v>
      </c>
      <c r="E473" s="113" t="s">
        <v>1337</v>
      </c>
      <c r="F473" s="113" t="s">
        <v>1283</v>
      </c>
      <c r="G473" s="16">
        <v>5670</v>
      </c>
      <c r="H473" s="113" t="s">
        <v>1284</v>
      </c>
      <c r="I473" s="113" t="s">
        <v>729</v>
      </c>
      <c r="J473" s="182" t="s">
        <v>111</v>
      </c>
      <c r="K473" s="16" t="s">
        <v>110</v>
      </c>
      <c r="L473" s="282">
        <v>0.4</v>
      </c>
      <c r="M473" s="71"/>
      <c r="N473" s="16" t="s">
        <v>770</v>
      </c>
      <c r="O473" s="73"/>
      <c r="P473" s="28">
        <v>1</v>
      </c>
      <c r="Q473" s="282">
        <v>0.15</v>
      </c>
      <c r="R473" s="28"/>
      <c r="S473" s="28">
        <f t="shared" si="14"/>
        <v>0</v>
      </c>
      <c r="T473" s="46">
        <f t="shared" si="15"/>
        <v>0</v>
      </c>
      <c r="U473" s="28" t="s">
        <v>34</v>
      </c>
      <c r="V473" s="73"/>
      <c r="W473" s="113"/>
    </row>
    <row r="474" spans="1:23" ht="16.05" customHeight="1" x14ac:dyDescent="0.45">
      <c r="A474" s="1">
        <v>473</v>
      </c>
      <c r="B474" s="113" t="s">
        <v>924</v>
      </c>
      <c r="C474" s="57" t="s">
        <v>24</v>
      </c>
      <c r="D474" s="427">
        <v>5923</v>
      </c>
      <c r="E474" s="113" t="s">
        <v>1337</v>
      </c>
      <c r="F474" s="113" t="s">
        <v>1283</v>
      </c>
      <c r="G474" s="16">
        <v>5670</v>
      </c>
      <c r="H474" s="113" t="s">
        <v>1284</v>
      </c>
      <c r="I474" s="113" t="s">
        <v>729</v>
      </c>
      <c r="J474" s="182" t="s">
        <v>111</v>
      </c>
      <c r="K474" s="16" t="s">
        <v>110</v>
      </c>
      <c r="L474" s="282">
        <v>0.4</v>
      </c>
      <c r="M474" s="71"/>
      <c r="N474" s="16" t="s">
        <v>254</v>
      </c>
      <c r="O474" s="73"/>
      <c r="P474" s="28">
        <v>1</v>
      </c>
      <c r="Q474" s="282">
        <v>0.1</v>
      </c>
      <c r="R474" s="28"/>
      <c r="S474" s="28">
        <f t="shared" si="14"/>
        <v>0</v>
      </c>
      <c r="T474" s="46">
        <f t="shared" si="15"/>
        <v>0</v>
      </c>
      <c r="U474" s="28" t="s">
        <v>34</v>
      </c>
      <c r="V474" s="73"/>
      <c r="W474" s="113"/>
    </row>
    <row r="475" spans="1:23" ht="16.05" customHeight="1" x14ac:dyDescent="0.45">
      <c r="A475" s="1">
        <v>474</v>
      </c>
      <c r="B475" s="113" t="s">
        <v>924</v>
      </c>
      <c r="C475" s="57" t="s">
        <v>24</v>
      </c>
      <c r="D475" s="427">
        <v>5923</v>
      </c>
      <c r="E475" s="113" t="s">
        <v>1337</v>
      </c>
      <c r="F475" s="113" t="s">
        <v>1283</v>
      </c>
      <c r="G475" s="16">
        <v>5670</v>
      </c>
      <c r="H475" s="113" t="s">
        <v>1284</v>
      </c>
      <c r="I475" s="113" t="s">
        <v>729</v>
      </c>
      <c r="J475" s="182" t="s">
        <v>111</v>
      </c>
      <c r="K475" s="16" t="s">
        <v>110</v>
      </c>
      <c r="L475" s="282">
        <v>0.4</v>
      </c>
      <c r="M475" s="71"/>
      <c r="N475" s="16" t="s">
        <v>771</v>
      </c>
      <c r="O475" s="73"/>
      <c r="P475" s="28">
        <v>1</v>
      </c>
      <c r="Q475" s="282">
        <v>0.05</v>
      </c>
      <c r="R475" s="28"/>
      <c r="S475" s="28">
        <f t="shared" si="14"/>
        <v>0</v>
      </c>
      <c r="T475" s="46">
        <f t="shared" si="15"/>
        <v>0</v>
      </c>
      <c r="U475" s="28" t="s">
        <v>34</v>
      </c>
      <c r="V475" s="73"/>
      <c r="W475" s="113"/>
    </row>
    <row r="476" spans="1:23" ht="16.05" customHeight="1" x14ac:dyDescent="0.45">
      <c r="A476" s="1">
        <v>475</v>
      </c>
      <c r="B476" s="113" t="s">
        <v>924</v>
      </c>
      <c r="C476" s="57" t="s">
        <v>24</v>
      </c>
      <c r="D476" s="427">
        <v>5923</v>
      </c>
      <c r="E476" s="113" t="s">
        <v>1337</v>
      </c>
      <c r="F476" s="113" t="s">
        <v>1283</v>
      </c>
      <c r="G476" s="16">
        <v>5670</v>
      </c>
      <c r="H476" s="113" t="s">
        <v>1284</v>
      </c>
      <c r="I476" s="113" t="s">
        <v>729</v>
      </c>
      <c r="J476" s="182" t="s">
        <v>111</v>
      </c>
      <c r="K476" s="16" t="s">
        <v>110</v>
      </c>
      <c r="L476" s="282">
        <v>0.4</v>
      </c>
      <c r="M476" s="71"/>
      <c r="N476" s="16" t="s">
        <v>772</v>
      </c>
      <c r="O476" s="73"/>
      <c r="P476" s="28">
        <v>1</v>
      </c>
      <c r="Q476" s="282">
        <v>0.1</v>
      </c>
      <c r="R476" s="28"/>
      <c r="S476" s="28">
        <f t="shared" si="14"/>
        <v>0</v>
      </c>
      <c r="T476" s="46">
        <f t="shared" si="15"/>
        <v>0</v>
      </c>
      <c r="U476" s="28" t="s">
        <v>34</v>
      </c>
      <c r="V476" s="73"/>
      <c r="W476" s="113"/>
    </row>
    <row r="477" spans="1:23" ht="16.05" customHeight="1" x14ac:dyDescent="0.45">
      <c r="A477" s="1">
        <v>476</v>
      </c>
      <c r="B477" s="113" t="s">
        <v>924</v>
      </c>
      <c r="C477" s="57" t="s">
        <v>24</v>
      </c>
      <c r="D477" s="427">
        <v>5923</v>
      </c>
      <c r="E477" s="113" t="s">
        <v>1337</v>
      </c>
      <c r="F477" s="113" t="s">
        <v>1283</v>
      </c>
      <c r="G477" s="16">
        <v>5670</v>
      </c>
      <c r="H477" s="113" t="s">
        <v>1284</v>
      </c>
      <c r="I477" s="113" t="s">
        <v>729</v>
      </c>
      <c r="J477" s="182" t="s">
        <v>111</v>
      </c>
      <c r="K477" s="16" t="s">
        <v>110</v>
      </c>
      <c r="L477" s="282">
        <v>0.4</v>
      </c>
      <c r="M477" s="71"/>
      <c r="N477" s="16" t="s">
        <v>773</v>
      </c>
      <c r="O477" s="73"/>
      <c r="P477" s="28">
        <v>1</v>
      </c>
      <c r="Q477" s="282">
        <v>0.05</v>
      </c>
      <c r="R477" s="28"/>
      <c r="S477" s="28">
        <f t="shared" si="14"/>
        <v>0</v>
      </c>
      <c r="T477" s="46">
        <f t="shared" si="15"/>
        <v>0</v>
      </c>
      <c r="U477" s="28" t="s">
        <v>34</v>
      </c>
      <c r="V477" s="73"/>
      <c r="W477" s="113"/>
    </row>
    <row r="478" spans="1:23" ht="16.05" customHeight="1" x14ac:dyDescent="0.45">
      <c r="A478" s="1">
        <v>477</v>
      </c>
      <c r="B478" s="113" t="s">
        <v>924</v>
      </c>
      <c r="C478" s="57" t="s">
        <v>24</v>
      </c>
      <c r="D478" s="427">
        <v>5923</v>
      </c>
      <c r="E478" s="113" t="s">
        <v>1337</v>
      </c>
      <c r="F478" s="113" t="s">
        <v>1283</v>
      </c>
      <c r="G478" s="16">
        <v>5670</v>
      </c>
      <c r="H478" s="113" t="s">
        <v>1284</v>
      </c>
      <c r="I478" s="113" t="s">
        <v>729</v>
      </c>
      <c r="J478" s="182" t="s">
        <v>111</v>
      </c>
      <c r="K478" s="16" t="s">
        <v>110</v>
      </c>
      <c r="L478" s="282">
        <v>0.4</v>
      </c>
      <c r="M478" s="71"/>
      <c r="N478" s="16" t="s">
        <v>774</v>
      </c>
      <c r="O478" s="73"/>
      <c r="P478" s="28">
        <v>1</v>
      </c>
      <c r="Q478" s="282">
        <v>0.05</v>
      </c>
      <c r="R478" s="28"/>
      <c r="S478" s="28">
        <f t="shared" si="14"/>
        <v>0</v>
      </c>
      <c r="T478" s="46">
        <f t="shared" si="15"/>
        <v>0</v>
      </c>
      <c r="U478" s="28" t="s">
        <v>34</v>
      </c>
      <c r="V478" s="73"/>
      <c r="W478" s="113"/>
    </row>
    <row r="479" spans="1:23" ht="16.05" customHeight="1" x14ac:dyDescent="0.45">
      <c r="A479" s="1">
        <v>478</v>
      </c>
      <c r="B479" s="113" t="s">
        <v>924</v>
      </c>
      <c r="C479" s="57" t="s">
        <v>24</v>
      </c>
      <c r="D479" s="427">
        <v>5923</v>
      </c>
      <c r="E479" s="113" t="s">
        <v>1337</v>
      </c>
      <c r="F479" s="113" t="s">
        <v>1283</v>
      </c>
      <c r="G479" s="16">
        <v>5670</v>
      </c>
      <c r="H479" s="113" t="s">
        <v>1284</v>
      </c>
      <c r="I479" s="113" t="s">
        <v>729</v>
      </c>
      <c r="J479" s="182" t="s">
        <v>111</v>
      </c>
      <c r="K479" s="16" t="s">
        <v>110</v>
      </c>
      <c r="L479" s="282">
        <v>0.4</v>
      </c>
      <c r="M479" s="71"/>
      <c r="N479" s="16" t="s">
        <v>775</v>
      </c>
      <c r="O479" s="73"/>
      <c r="P479" s="28">
        <v>1</v>
      </c>
      <c r="Q479" s="282">
        <v>0.05</v>
      </c>
      <c r="R479" s="28"/>
      <c r="S479" s="28">
        <f t="shared" si="14"/>
        <v>0</v>
      </c>
      <c r="T479" s="46">
        <f t="shared" si="15"/>
        <v>0</v>
      </c>
      <c r="U479" s="28" t="s">
        <v>34</v>
      </c>
      <c r="V479" s="73"/>
      <c r="W479" s="113"/>
    </row>
    <row r="480" spans="1:23" ht="16.05" customHeight="1" x14ac:dyDescent="0.45">
      <c r="A480" s="1">
        <v>479</v>
      </c>
      <c r="B480" s="113" t="s">
        <v>924</v>
      </c>
      <c r="C480" s="57" t="s">
        <v>24</v>
      </c>
      <c r="D480" s="427">
        <v>5923</v>
      </c>
      <c r="E480" s="113" t="s">
        <v>1337</v>
      </c>
      <c r="F480" s="113" t="s">
        <v>1283</v>
      </c>
      <c r="G480" s="16">
        <v>5670</v>
      </c>
      <c r="H480" s="113" t="s">
        <v>1284</v>
      </c>
      <c r="I480" s="113" t="s">
        <v>729</v>
      </c>
      <c r="J480" s="182" t="s">
        <v>111</v>
      </c>
      <c r="K480" s="16" t="s">
        <v>110</v>
      </c>
      <c r="L480" s="282">
        <v>0.4</v>
      </c>
      <c r="M480" s="71"/>
      <c r="N480" s="16" t="s">
        <v>776</v>
      </c>
      <c r="O480" s="73"/>
      <c r="P480" s="28">
        <v>1</v>
      </c>
      <c r="Q480" s="282">
        <v>0.1</v>
      </c>
      <c r="R480" s="28"/>
      <c r="S480" s="28">
        <f t="shared" si="14"/>
        <v>0</v>
      </c>
      <c r="T480" s="46">
        <f t="shared" si="15"/>
        <v>0</v>
      </c>
      <c r="U480" s="28" t="s">
        <v>34</v>
      </c>
      <c r="V480" s="73"/>
      <c r="W480" s="113"/>
    </row>
    <row r="481" spans="1:23" ht="16.05" customHeight="1" x14ac:dyDescent="0.45">
      <c r="A481" s="1">
        <v>480</v>
      </c>
      <c r="B481" s="113" t="s">
        <v>924</v>
      </c>
      <c r="C481" s="57" t="s">
        <v>24</v>
      </c>
      <c r="D481" s="427">
        <v>5923</v>
      </c>
      <c r="E481" s="113" t="s">
        <v>1337</v>
      </c>
      <c r="F481" s="113" t="s">
        <v>1283</v>
      </c>
      <c r="G481" s="16">
        <v>5670</v>
      </c>
      <c r="H481" s="113" t="s">
        <v>1284</v>
      </c>
      <c r="I481" s="113" t="s">
        <v>729</v>
      </c>
      <c r="J481" s="182" t="s">
        <v>111</v>
      </c>
      <c r="K481" s="16" t="s">
        <v>110</v>
      </c>
      <c r="L481" s="282">
        <v>0.4</v>
      </c>
      <c r="M481" s="71"/>
      <c r="N481" s="16" t="s">
        <v>251</v>
      </c>
      <c r="O481" s="73"/>
      <c r="P481" s="28">
        <v>1</v>
      </c>
      <c r="Q481" s="282">
        <v>0.05</v>
      </c>
      <c r="R481" s="28"/>
      <c r="S481" s="28">
        <f t="shared" si="14"/>
        <v>0</v>
      </c>
      <c r="T481" s="46">
        <f t="shared" si="15"/>
        <v>0</v>
      </c>
      <c r="U481" s="28" t="s">
        <v>34</v>
      </c>
      <c r="V481" s="73"/>
      <c r="W481" s="113"/>
    </row>
    <row r="482" spans="1:23" ht="16.05" customHeight="1" x14ac:dyDescent="0.45">
      <c r="A482" s="1">
        <v>481</v>
      </c>
      <c r="B482" s="113" t="s">
        <v>924</v>
      </c>
      <c r="C482" s="57" t="s">
        <v>24</v>
      </c>
      <c r="D482" s="427">
        <v>5923</v>
      </c>
      <c r="E482" s="113" t="s">
        <v>1337</v>
      </c>
      <c r="F482" s="113" t="s">
        <v>1283</v>
      </c>
      <c r="G482" s="16">
        <v>5670</v>
      </c>
      <c r="H482" s="113" t="s">
        <v>1284</v>
      </c>
      <c r="I482" s="113" t="s">
        <v>729</v>
      </c>
      <c r="J482" s="182" t="s">
        <v>111</v>
      </c>
      <c r="K482" s="16" t="s">
        <v>110</v>
      </c>
      <c r="L482" s="282">
        <v>0.4</v>
      </c>
      <c r="M482" s="71"/>
      <c r="N482" s="16" t="s">
        <v>252</v>
      </c>
      <c r="O482" s="73"/>
      <c r="P482" s="28">
        <v>1</v>
      </c>
      <c r="Q482" s="282">
        <v>0.05</v>
      </c>
      <c r="R482" s="28"/>
      <c r="S482" s="28">
        <f t="shared" si="14"/>
        <v>0</v>
      </c>
      <c r="T482" s="46">
        <f t="shared" si="15"/>
        <v>0</v>
      </c>
      <c r="U482" s="28" t="s">
        <v>34</v>
      </c>
      <c r="V482" s="73"/>
      <c r="W482" s="113"/>
    </row>
    <row r="483" spans="1:23" ht="16.05" customHeight="1" x14ac:dyDescent="0.45">
      <c r="A483" s="1">
        <v>482</v>
      </c>
      <c r="B483" s="113" t="s">
        <v>924</v>
      </c>
      <c r="C483" s="57" t="s">
        <v>24</v>
      </c>
      <c r="D483" s="427">
        <v>5923</v>
      </c>
      <c r="E483" s="113" t="s">
        <v>1337</v>
      </c>
      <c r="F483" s="113" t="s">
        <v>1283</v>
      </c>
      <c r="G483" s="16">
        <v>5670</v>
      </c>
      <c r="H483" s="113" t="s">
        <v>1284</v>
      </c>
      <c r="I483" s="113" t="s">
        <v>729</v>
      </c>
      <c r="J483" s="182" t="s">
        <v>111</v>
      </c>
      <c r="K483" s="16" t="s">
        <v>110</v>
      </c>
      <c r="L483" s="282">
        <v>0.4</v>
      </c>
      <c r="M483" s="71"/>
      <c r="N483" s="16" t="s">
        <v>777</v>
      </c>
      <c r="O483" s="73"/>
      <c r="P483" s="28">
        <v>1</v>
      </c>
      <c r="Q483" s="282">
        <v>0.05</v>
      </c>
      <c r="R483" s="28"/>
      <c r="S483" s="28">
        <f t="shared" si="14"/>
        <v>0</v>
      </c>
      <c r="T483" s="46">
        <f t="shared" si="15"/>
        <v>0</v>
      </c>
      <c r="U483" s="28" t="s">
        <v>34</v>
      </c>
      <c r="V483" s="73"/>
      <c r="W483" s="113"/>
    </row>
    <row r="484" spans="1:23" ht="16.05" customHeight="1" x14ac:dyDescent="0.45">
      <c r="A484" s="1">
        <v>483</v>
      </c>
      <c r="B484" s="113" t="s">
        <v>924</v>
      </c>
      <c r="C484" s="57" t="s">
        <v>24</v>
      </c>
      <c r="D484" s="427">
        <v>5923</v>
      </c>
      <c r="E484" s="113" t="s">
        <v>1337</v>
      </c>
      <c r="F484" s="113" t="s">
        <v>1283</v>
      </c>
      <c r="G484" s="16">
        <v>5670</v>
      </c>
      <c r="H484" s="113" t="s">
        <v>1284</v>
      </c>
      <c r="I484" s="113" t="s">
        <v>729</v>
      </c>
      <c r="J484" s="182" t="s">
        <v>111</v>
      </c>
      <c r="K484" s="16" t="s">
        <v>110</v>
      </c>
      <c r="L484" s="282">
        <v>0.4</v>
      </c>
      <c r="M484" s="71"/>
      <c r="N484" s="16" t="s">
        <v>253</v>
      </c>
      <c r="O484" s="73"/>
      <c r="P484" s="28">
        <v>1</v>
      </c>
      <c r="Q484" s="282">
        <v>0.05</v>
      </c>
      <c r="R484" s="28"/>
      <c r="S484" s="28">
        <f t="shared" si="14"/>
        <v>0</v>
      </c>
      <c r="T484" s="46">
        <f t="shared" si="15"/>
        <v>0</v>
      </c>
      <c r="U484" s="28" t="s">
        <v>34</v>
      </c>
      <c r="V484" s="73"/>
      <c r="W484" s="113"/>
    </row>
    <row r="485" spans="1:23" ht="16.05" customHeight="1" x14ac:dyDescent="0.45">
      <c r="A485" s="1">
        <v>484</v>
      </c>
      <c r="B485" s="99" t="s">
        <v>924</v>
      </c>
      <c r="C485" s="99" t="s">
        <v>24</v>
      </c>
      <c r="D485" s="349">
        <v>5826</v>
      </c>
      <c r="E485" s="99" t="s">
        <v>1343</v>
      </c>
      <c r="F485" s="99" t="s">
        <v>1308</v>
      </c>
      <c r="G485" s="3">
        <v>5120</v>
      </c>
      <c r="H485" s="99" t="s">
        <v>1253</v>
      </c>
      <c r="I485" s="99" t="s">
        <v>729</v>
      </c>
      <c r="J485" s="91" t="s">
        <v>58</v>
      </c>
      <c r="K485" s="91" t="s">
        <v>57</v>
      </c>
      <c r="L485" s="350">
        <v>0.6</v>
      </c>
      <c r="M485" s="407"/>
      <c r="N485" s="91" t="s">
        <v>1344</v>
      </c>
      <c r="O485" s="146"/>
      <c r="P485" s="171">
        <v>1</v>
      </c>
      <c r="Q485" s="350">
        <v>0.5</v>
      </c>
      <c r="R485" s="171"/>
      <c r="S485" s="148">
        <f t="shared" si="14"/>
        <v>0</v>
      </c>
      <c r="T485" s="168">
        <f t="shared" si="15"/>
        <v>0</v>
      </c>
      <c r="U485" s="148" t="s">
        <v>34</v>
      </c>
      <c r="V485" s="429">
        <f>SUM(T485:T503)%</f>
        <v>0</v>
      </c>
      <c r="W485" s="99"/>
    </row>
    <row r="486" spans="1:23" ht="16.05" customHeight="1" x14ac:dyDescent="0.45">
      <c r="A486" s="1">
        <v>485</v>
      </c>
      <c r="B486" s="113" t="s">
        <v>924</v>
      </c>
      <c r="C486" s="57" t="s">
        <v>24</v>
      </c>
      <c r="D486" s="358">
        <v>5826</v>
      </c>
      <c r="E486" s="113" t="s">
        <v>1343</v>
      </c>
      <c r="F486" s="113" t="s">
        <v>1308</v>
      </c>
      <c r="G486" s="16">
        <v>5120</v>
      </c>
      <c r="H486" s="113" t="s">
        <v>1253</v>
      </c>
      <c r="I486" s="113" t="s">
        <v>729</v>
      </c>
      <c r="J486" s="16" t="s">
        <v>58</v>
      </c>
      <c r="K486" s="16" t="s">
        <v>57</v>
      </c>
      <c r="L486" s="360">
        <v>0.6</v>
      </c>
      <c r="M486" s="430"/>
      <c r="N486" s="184" t="s">
        <v>1345</v>
      </c>
      <c r="O486" s="44"/>
      <c r="P486" s="431">
        <v>1</v>
      </c>
      <c r="Q486" s="360">
        <v>0.25</v>
      </c>
      <c r="R486" s="431"/>
      <c r="S486" s="153">
        <f t="shared" si="14"/>
        <v>0</v>
      </c>
      <c r="T486" s="152">
        <f t="shared" si="15"/>
        <v>0</v>
      </c>
      <c r="U486" s="153" t="s">
        <v>34</v>
      </c>
      <c r="V486" s="44"/>
      <c r="W486" s="113"/>
    </row>
    <row r="487" spans="1:23" ht="16.05" customHeight="1" x14ac:dyDescent="0.45">
      <c r="A487" s="1">
        <v>486</v>
      </c>
      <c r="B487" s="113" t="s">
        <v>924</v>
      </c>
      <c r="C487" s="57" t="s">
        <v>24</v>
      </c>
      <c r="D487" s="358">
        <v>5826</v>
      </c>
      <c r="E487" s="113" t="s">
        <v>1343</v>
      </c>
      <c r="F487" s="113" t="s">
        <v>1308</v>
      </c>
      <c r="G487" s="16">
        <v>5120</v>
      </c>
      <c r="H487" s="113" t="s">
        <v>1253</v>
      </c>
      <c r="I487" s="113" t="s">
        <v>729</v>
      </c>
      <c r="J487" s="16" t="s">
        <v>58</v>
      </c>
      <c r="K487" s="16" t="s">
        <v>57</v>
      </c>
      <c r="L487" s="360">
        <v>0.6</v>
      </c>
      <c r="M487" s="430"/>
      <c r="N487" s="184" t="s">
        <v>1346</v>
      </c>
      <c r="O487" s="44"/>
      <c r="P487" s="431">
        <v>1</v>
      </c>
      <c r="Q487" s="360">
        <v>0.2</v>
      </c>
      <c r="R487" s="431"/>
      <c r="S487" s="153">
        <f t="shared" si="14"/>
        <v>0</v>
      </c>
      <c r="T487" s="152">
        <f t="shared" si="15"/>
        <v>0</v>
      </c>
      <c r="U487" s="153" t="s">
        <v>34</v>
      </c>
      <c r="V487" s="44"/>
      <c r="W487" s="113"/>
    </row>
    <row r="488" spans="1:23" ht="16.05" customHeight="1" x14ac:dyDescent="0.45">
      <c r="A488" s="1">
        <v>487</v>
      </c>
      <c r="B488" s="113" t="s">
        <v>924</v>
      </c>
      <c r="C488" s="57" t="s">
        <v>24</v>
      </c>
      <c r="D488" s="358">
        <v>5826</v>
      </c>
      <c r="E488" s="113" t="s">
        <v>1343</v>
      </c>
      <c r="F488" s="113" t="s">
        <v>1308</v>
      </c>
      <c r="G488" s="16">
        <v>5120</v>
      </c>
      <c r="H488" s="113" t="s">
        <v>1253</v>
      </c>
      <c r="I488" s="113" t="s">
        <v>729</v>
      </c>
      <c r="J488" s="16" t="s">
        <v>58</v>
      </c>
      <c r="K488" s="16" t="s">
        <v>57</v>
      </c>
      <c r="L488" s="360">
        <v>0.6</v>
      </c>
      <c r="M488" s="430"/>
      <c r="N488" s="184" t="s">
        <v>1347</v>
      </c>
      <c r="O488" s="44"/>
      <c r="P488" s="431">
        <v>1</v>
      </c>
      <c r="Q488" s="360">
        <v>0.05</v>
      </c>
      <c r="R488" s="431"/>
      <c r="S488" s="153">
        <f t="shared" si="14"/>
        <v>0</v>
      </c>
      <c r="T488" s="152">
        <f t="shared" si="15"/>
        <v>0</v>
      </c>
      <c r="U488" s="153" t="s">
        <v>34</v>
      </c>
      <c r="V488" s="44"/>
      <c r="W488" s="113"/>
    </row>
    <row r="489" spans="1:23" ht="16.05" customHeight="1" x14ac:dyDescent="0.45">
      <c r="A489" s="1">
        <v>488</v>
      </c>
      <c r="B489" s="113" t="s">
        <v>924</v>
      </c>
      <c r="C489" s="57" t="s">
        <v>24</v>
      </c>
      <c r="D489" s="358">
        <v>5826</v>
      </c>
      <c r="E489" s="113" t="s">
        <v>1343</v>
      </c>
      <c r="F489" s="113" t="s">
        <v>1308</v>
      </c>
      <c r="G489" s="16">
        <v>5120</v>
      </c>
      <c r="H489" s="113" t="s">
        <v>1253</v>
      </c>
      <c r="I489" s="113" t="s">
        <v>729</v>
      </c>
      <c r="J489" s="182" t="s">
        <v>111</v>
      </c>
      <c r="K489" s="16" t="s">
        <v>110</v>
      </c>
      <c r="L489" s="282">
        <v>0.4</v>
      </c>
      <c r="M489" s="71"/>
      <c r="N489" s="16" t="s">
        <v>255</v>
      </c>
      <c r="O489" s="73"/>
      <c r="P489" s="28">
        <v>1</v>
      </c>
      <c r="Q489" s="282">
        <v>0.05</v>
      </c>
      <c r="R489" s="28"/>
      <c r="S489" s="28">
        <f t="shared" si="14"/>
        <v>0</v>
      </c>
      <c r="T489" s="46">
        <f t="shared" si="15"/>
        <v>0</v>
      </c>
      <c r="U489" s="28" t="s">
        <v>34</v>
      </c>
      <c r="V489" s="73"/>
      <c r="W489" s="113"/>
    </row>
    <row r="490" spans="1:23" ht="16.05" customHeight="1" x14ac:dyDescent="0.45">
      <c r="A490" s="1">
        <v>489</v>
      </c>
      <c r="B490" s="113" t="s">
        <v>924</v>
      </c>
      <c r="C490" s="57" t="s">
        <v>24</v>
      </c>
      <c r="D490" s="358">
        <v>5826</v>
      </c>
      <c r="E490" s="113" t="s">
        <v>1343</v>
      </c>
      <c r="F490" s="113" t="s">
        <v>1308</v>
      </c>
      <c r="G490" s="16">
        <v>5120</v>
      </c>
      <c r="H490" s="113" t="s">
        <v>1253</v>
      </c>
      <c r="I490" s="113" t="s">
        <v>729</v>
      </c>
      <c r="J490" s="182" t="s">
        <v>111</v>
      </c>
      <c r="K490" s="16" t="s">
        <v>110</v>
      </c>
      <c r="L490" s="282">
        <v>0.4</v>
      </c>
      <c r="M490" s="71"/>
      <c r="N490" s="16" t="s">
        <v>768</v>
      </c>
      <c r="O490" s="73"/>
      <c r="P490" s="28">
        <v>1</v>
      </c>
      <c r="Q490" s="282">
        <v>0.05</v>
      </c>
      <c r="R490" s="28"/>
      <c r="S490" s="28">
        <f t="shared" si="14"/>
        <v>0</v>
      </c>
      <c r="T490" s="46">
        <f t="shared" si="15"/>
        <v>0</v>
      </c>
      <c r="U490" s="28" t="s">
        <v>34</v>
      </c>
      <c r="V490" s="73"/>
      <c r="W490" s="113"/>
    </row>
    <row r="491" spans="1:23" ht="16.05" customHeight="1" x14ac:dyDescent="0.45">
      <c r="A491" s="1">
        <v>490</v>
      </c>
      <c r="B491" s="113" t="s">
        <v>924</v>
      </c>
      <c r="C491" s="57" t="s">
        <v>24</v>
      </c>
      <c r="D491" s="358">
        <v>5826</v>
      </c>
      <c r="E491" s="113" t="s">
        <v>1343</v>
      </c>
      <c r="F491" s="113" t="s">
        <v>1308</v>
      </c>
      <c r="G491" s="16">
        <v>5120</v>
      </c>
      <c r="H491" s="113" t="s">
        <v>1253</v>
      </c>
      <c r="I491" s="113" t="s">
        <v>729</v>
      </c>
      <c r="J491" s="182" t="s">
        <v>111</v>
      </c>
      <c r="K491" s="16" t="s">
        <v>110</v>
      </c>
      <c r="L491" s="282">
        <v>0.4</v>
      </c>
      <c r="M491" s="71"/>
      <c r="N491" s="16" t="s">
        <v>769</v>
      </c>
      <c r="O491" s="73"/>
      <c r="P491" s="28">
        <v>1</v>
      </c>
      <c r="Q491" s="282">
        <v>0.05</v>
      </c>
      <c r="R491" s="28"/>
      <c r="S491" s="28">
        <f t="shared" si="14"/>
        <v>0</v>
      </c>
      <c r="T491" s="46">
        <f t="shared" si="15"/>
        <v>0</v>
      </c>
      <c r="U491" s="28" t="s">
        <v>34</v>
      </c>
      <c r="V491" s="73"/>
      <c r="W491" s="113"/>
    </row>
    <row r="492" spans="1:23" ht="16.05" customHeight="1" x14ac:dyDescent="0.45">
      <c r="A492" s="1">
        <v>491</v>
      </c>
      <c r="B492" s="113" t="s">
        <v>924</v>
      </c>
      <c r="C492" s="57" t="s">
        <v>24</v>
      </c>
      <c r="D492" s="358">
        <v>5826</v>
      </c>
      <c r="E492" s="113" t="s">
        <v>1343</v>
      </c>
      <c r="F492" s="113" t="s">
        <v>1308</v>
      </c>
      <c r="G492" s="16">
        <v>5120</v>
      </c>
      <c r="H492" s="113" t="s">
        <v>1253</v>
      </c>
      <c r="I492" s="113" t="s">
        <v>729</v>
      </c>
      <c r="J492" s="182" t="s">
        <v>111</v>
      </c>
      <c r="K492" s="16" t="s">
        <v>110</v>
      </c>
      <c r="L492" s="282">
        <v>0.4</v>
      </c>
      <c r="M492" s="71"/>
      <c r="N492" s="16" t="s">
        <v>770</v>
      </c>
      <c r="O492" s="73"/>
      <c r="P492" s="28">
        <v>1</v>
      </c>
      <c r="Q492" s="282">
        <v>0.15</v>
      </c>
      <c r="R492" s="28"/>
      <c r="S492" s="28">
        <f t="shared" si="14"/>
        <v>0</v>
      </c>
      <c r="T492" s="46">
        <f t="shared" si="15"/>
        <v>0</v>
      </c>
      <c r="U492" s="28" t="s">
        <v>34</v>
      </c>
      <c r="V492" s="73"/>
      <c r="W492" s="113"/>
    </row>
    <row r="493" spans="1:23" ht="16.05" customHeight="1" x14ac:dyDescent="0.45">
      <c r="A493" s="1">
        <v>492</v>
      </c>
      <c r="B493" s="113" t="s">
        <v>924</v>
      </c>
      <c r="C493" s="57" t="s">
        <v>24</v>
      </c>
      <c r="D493" s="358">
        <v>5826</v>
      </c>
      <c r="E493" s="113" t="s">
        <v>1343</v>
      </c>
      <c r="F493" s="113" t="s">
        <v>1308</v>
      </c>
      <c r="G493" s="16">
        <v>5120</v>
      </c>
      <c r="H493" s="113" t="s">
        <v>1253</v>
      </c>
      <c r="I493" s="113" t="s">
        <v>729</v>
      </c>
      <c r="J493" s="182" t="s">
        <v>111</v>
      </c>
      <c r="K493" s="16" t="s">
        <v>110</v>
      </c>
      <c r="L493" s="282">
        <v>0.4</v>
      </c>
      <c r="M493" s="71"/>
      <c r="N493" s="16" t="s">
        <v>254</v>
      </c>
      <c r="O493" s="73"/>
      <c r="P493" s="28">
        <v>1</v>
      </c>
      <c r="Q493" s="282">
        <v>0.1</v>
      </c>
      <c r="R493" s="28"/>
      <c r="S493" s="28">
        <f t="shared" si="14"/>
        <v>0</v>
      </c>
      <c r="T493" s="46">
        <f t="shared" si="15"/>
        <v>0</v>
      </c>
      <c r="U493" s="28" t="s">
        <v>34</v>
      </c>
      <c r="V493" s="73"/>
      <c r="W493" s="113"/>
    </row>
    <row r="494" spans="1:23" ht="16.05" customHeight="1" x14ac:dyDescent="0.45">
      <c r="A494" s="1">
        <v>493</v>
      </c>
      <c r="B494" s="113" t="s">
        <v>924</v>
      </c>
      <c r="C494" s="57" t="s">
        <v>24</v>
      </c>
      <c r="D494" s="358">
        <v>5826</v>
      </c>
      <c r="E494" s="113" t="s">
        <v>1343</v>
      </c>
      <c r="F494" s="113" t="s">
        <v>1308</v>
      </c>
      <c r="G494" s="16">
        <v>5120</v>
      </c>
      <c r="H494" s="113" t="s">
        <v>1253</v>
      </c>
      <c r="I494" s="113" t="s">
        <v>729</v>
      </c>
      <c r="J494" s="182" t="s">
        <v>111</v>
      </c>
      <c r="K494" s="16" t="s">
        <v>110</v>
      </c>
      <c r="L494" s="282">
        <v>0.4</v>
      </c>
      <c r="M494" s="71"/>
      <c r="N494" s="16" t="s">
        <v>771</v>
      </c>
      <c r="O494" s="73"/>
      <c r="P494" s="28">
        <v>1</v>
      </c>
      <c r="Q494" s="282">
        <v>0.05</v>
      </c>
      <c r="R494" s="28"/>
      <c r="S494" s="28">
        <f t="shared" si="14"/>
        <v>0</v>
      </c>
      <c r="T494" s="46">
        <f t="shared" si="15"/>
        <v>0</v>
      </c>
      <c r="U494" s="28" t="s">
        <v>34</v>
      </c>
      <c r="V494" s="73"/>
      <c r="W494" s="113"/>
    </row>
    <row r="495" spans="1:23" ht="16.05" customHeight="1" x14ac:dyDescent="0.45">
      <c r="A495" s="1">
        <v>494</v>
      </c>
      <c r="B495" s="113" t="s">
        <v>924</v>
      </c>
      <c r="C495" s="57" t="s">
        <v>24</v>
      </c>
      <c r="D495" s="358">
        <v>5826</v>
      </c>
      <c r="E495" s="113" t="s">
        <v>1343</v>
      </c>
      <c r="F495" s="113" t="s">
        <v>1308</v>
      </c>
      <c r="G495" s="16">
        <v>5120</v>
      </c>
      <c r="H495" s="113" t="s">
        <v>1253</v>
      </c>
      <c r="I495" s="113" t="s">
        <v>729</v>
      </c>
      <c r="J495" s="182" t="s">
        <v>111</v>
      </c>
      <c r="K495" s="16" t="s">
        <v>110</v>
      </c>
      <c r="L495" s="282">
        <v>0.4</v>
      </c>
      <c r="M495" s="71"/>
      <c r="N495" s="16" t="s">
        <v>772</v>
      </c>
      <c r="O495" s="73"/>
      <c r="P495" s="28">
        <v>1</v>
      </c>
      <c r="Q495" s="282">
        <v>0.1</v>
      </c>
      <c r="R495" s="28"/>
      <c r="S495" s="28">
        <f t="shared" si="14"/>
        <v>0</v>
      </c>
      <c r="T495" s="46">
        <f t="shared" si="15"/>
        <v>0</v>
      </c>
      <c r="U495" s="28" t="s">
        <v>34</v>
      </c>
      <c r="V495" s="73"/>
      <c r="W495" s="113"/>
    </row>
    <row r="496" spans="1:23" ht="16.05" customHeight="1" x14ac:dyDescent="0.45">
      <c r="A496" s="1">
        <v>495</v>
      </c>
      <c r="B496" s="113" t="s">
        <v>924</v>
      </c>
      <c r="C496" s="57" t="s">
        <v>24</v>
      </c>
      <c r="D496" s="358">
        <v>5826</v>
      </c>
      <c r="E496" s="113" t="s">
        <v>1343</v>
      </c>
      <c r="F496" s="113" t="s">
        <v>1308</v>
      </c>
      <c r="G496" s="16">
        <v>5120</v>
      </c>
      <c r="H496" s="113" t="s">
        <v>1253</v>
      </c>
      <c r="I496" s="113" t="s">
        <v>729</v>
      </c>
      <c r="J496" s="182" t="s">
        <v>111</v>
      </c>
      <c r="K496" s="16" t="s">
        <v>110</v>
      </c>
      <c r="L496" s="282">
        <v>0.4</v>
      </c>
      <c r="M496" s="71"/>
      <c r="N496" s="16" t="s">
        <v>773</v>
      </c>
      <c r="O496" s="73"/>
      <c r="P496" s="28">
        <v>1</v>
      </c>
      <c r="Q496" s="282">
        <v>0.05</v>
      </c>
      <c r="R496" s="28"/>
      <c r="S496" s="28">
        <f t="shared" si="14"/>
        <v>0</v>
      </c>
      <c r="T496" s="46">
        <f t="shared" si="15"/>
        <v>0</v>
      </c>
      <c r="U496" s="28" t="s">
        <v>34</v>
      </c>
      <c r="V496" s="73"/>
      <c r="W496" s="113"/>
    </row>
    <row r="497" spans="1:23" ht="16.05" customHeight="1" x14ac:dyDescent="0.45">
      <c r="A497" s="1">
        <v>496</v>
      </c>
      <c r="B497" s="113" t="s">
        <v>924</v>
      </c>
      <c r="C497" s="57" t="s">
        <v>24</v>
      </c>
      <c r="D497" s="358">
        <v>5826</v>
      </c>
      <c r="E497" s="113" t="s">
        <v>1343</v>
      </c>
      <c r="F497" s="113" t="s">
        <v>1308</v>
      </c>
      <c r="G497" s="16">
        <v>5120</v>
      </c>
      <c r="H497" s="113" t="s">
        <v>1253</v>
      </c>
      <c r="I497" s="113" t="s">
        <v>729</v>
      </c>
      <c r="J497" s="182" t="s">
        <v>111</v>
      </c>
      <c r="K497" s="16" t="s">
        <v>110</v>
      </c>
      <c r="L497" s="282">
        <v>0.4</v>
      </c>
      <c r="M497" s="71"/>
      <c r="N497" s="16" t="s">
        <v>774</v>
      </c>
      <c r="O497" s="73"/>
      <c r="P497" s="28">
        <v>1</v>
      </c>
      <c r="Q497" s="282">
        <v>0.05</v>
      </c>
      <c r="R497" s="28"/>
      <c r="S497" s="28">
        <f t="shared" si="14"/>
        <v>0</v>
      </c>
      <c r="T497" s="46">
        <f t="shared" si="15"/>
        <v>0</v>
      </c>
      <c r="U497" s="28" t="s">
        <v>34</v>
      </c>
      <c r="V497" s="73"/>
      <c r="W497" s="113"/>
    </row>
    <row r="498" spans="1:23" ht="16.05" customHeight="1" x14ac:dyDescent="0.45">
      <c r="A498" s="1">
        <v>497</v>
      </c>
      <c r="B498" s="113" t="s">
        <v>924</v>
      </c>
      <c r="C498" s="57" t="s">
        <v>24</v>
      </c>
      <c r="D498" s="358">
        <v>5826</v>
      </c>
      <c r="E498" s="113" t="s">
        <v>1343</v>
      </c>
      <c r="F498" s="113" t="s">
        <v>1308</v>
      </c>
      <c r="G498" s="16">
        <v>5120</v>
      </c>
      <c r="H498" s="113" t="s">
        <v>1253</v>
      </c>
      <c r="I498" s="113" t="s">
        <v>729</v>
      </c>
      <c r="J498" s="182" t="s">
        <v>111</v>
      </c>
      <c r="K498" s="16" t="s">
        <v>110</v>
      </c>
      <c r="L498" s="282">
        <v>0.4</v>
      </c>
      <c r="M498" s="71"/>
      <c r="N498" s="16" t="s">
        <v>775</v>
      </c>
      <c r="O498" s="73"/>
      <c r="P498" s="28">
        <v>1</v>
      </c>
      <c r="Q498" s="282">
        <v>0.05</v>
      </c>
      <c r="R498" s="28"/>
      <c r="S498" s="28">
        <f t="shared" si="14"/>
        <v>0</v>
      </c>
      <c r="T498" s="46">
        <f t="shared" si="15"/>
        <v>0</v>
      </c>
      <c r="U498" s="28" t="s">
        <v>34</v>
      </c>
      <c r="V498" s="73"/>
      <c r="W498" s="113"/>
    </row>
    <row r="499" spans="1:23" ht="16.05" customHeight="1" x14ac:dyDescent="0.45">
      <c r="A499" s="1">
        <v>498</v>
      </c>
      <c r="B499" s="113" t="s">
        <v>924</v>
      </c>
      <c r="C499" s="57" t="s">
        <v>24</v>
      </c>
      <c r="D499" s="358">
        <v>5826</v>
      </c>
      <c r="E499" s="113" t="s">
        <v>1343</v>
      </c>
      <c r="F499" s="113" t="s">
        <v>1308</v>
      </c>
      <c r="G499" s="16">
        <v>5120</v>
      </c>
      <c r="H499" s="113" t="s">
        <v>1253</v>
      </c>
      <c r="I499" s="113" t="s">
        <v>729</v>
      </c>
      <c r="J499" s="182" t="s">
        <v>111</v>
      </c>
      <c r="K499" s="16" t="s">
        <v>110</v>
      </c>
      <c r="L499" s="282">
        <v>0.4</v>
      </c>
      <c r="M499" s="71"/>
      <c r="N499" s="16" t="s">
        <v>776</v>
      </c>
      <c r="O499" s="73"/>
      <c r="P499" s="28">
        <v>1</v>
      </c>
      <c r="Q499" s="282">
        <v>0.1</v>
      </c>
      <c r="R499" s="28"/>
      <c r="S499" s="28">
        <f t="shared" si="14"/>
        <v>0</v>
      </c>
      <c r="T499" s="46">
        <f t="shared" si="15"/>
        <v>0</v>
      </c>
      <c r="U499" s="28" t="s">
        <v>34</v>
      </c>
      <c r="V499" s="73"/>
      <c r="W499" s="113"/>
    </row>
    <row r="500" spans="1:23" ht="16.05" customHeight="1" x14ac:dyDescent="0.45">
      <c r="A500" s="1">
        <v>499</v>
      </c>
      <c r="B500" s="113" t="s">
        <v>924</v>
      </c>
      <c r="C500" s="57" t="s">
        <v>24</v>
      </c>
      <c r="D500" s="358">
        <v>5826</v>
      </c>
      <c r="E500" s="113" t="s">
        <v>1343</v>
      </c>
      <c r="F500" s="113" t="s">
        <v>1308</v>
      </c>
      <c r="G500" s="16">
        <v>5120</v>
      </c>
      <c r="H500" s="113" t="s">
        <v>1253</v>
      </c>
      <c r="I500" s="113" t="s">
        <v>729</v>
      </c>
      <c r="J500" s="182" t="s">
        <v>111</v>
      </c>
      <c r="K500" s="16" t="s">
        <v>110</v>
      </c>
      <c r="L500" s="282">
        <v>0.4</v>
      </c>
      <c r="M500" s="71"/>
      <c r="N500" s="16" t="s">
        <v>251</v>
      </c>
      <c r="O500" s="73"/>
      <c r="P500" s="28">
        <v>1</v>
      </c>
      <c r="Q500" s="282">
        <v>0.05</v>
      </c>
      <c r="R500" s="28"/>
      <c r="S500" s="28">
        <f t="shared" si="14"/>
        <v>0</v>
      </c>
      <c r="T500" s="46">
        <f t="shared" si="15"/>
        <v>0</v>
      </c>
      <c r="U500" s="28" t="s">
        <v>34</v>
      </c>
      <c r="V500" s="73"/>
      <c r="W500" s="113"/>
    </row>
    <row r="501" spans="1:23" ht="16.05" customHeight="1" x14ac:dyDescent="0.45">
      <c r="A501" s="1">
        <v>500</v>
      </c>
      <c r="B501" s="113" t="s">
        <v>924</v>
      </c>
      <c r="C501" s="57" t="s">
        <v>24</v>
      </c>
      <c r="D501" s="358">
        <v>5826</v>
      </c>
      <c r="E501" s="113" t="s">
        <v>1343</v>
      </c>
      <c r="F501" s="113" t="s">
        <v>1308</v>
      </c>
      <c r="G501" s="16">
        <v>5120</v>
      </c>
      <c r="H501" s="113" t="s">
        <v>1253</v>
      </c>
      <c r="I501" s="113" t="s">
        <v>729</v>
      </c>
      <c r="J501" s="182" t="s">
        <v>111</v>
      </c>
      <c r="K501" s="16" t="s">
        <v>110</v>
      </c>
      <c r="L501" s="282">
        <v>0.4</v>
      </c>
      <c r="M501" s="71"/>
      <c r="N501" s="16" t="s">
        <v>252</v>
      </c>
      <c r="O501" s="73"/>
      <c r="P501" s="28">
        <v>1</v>
      </c>
      <c r="Q501" s="282">
        <v>0.05</v>
      </c>
      <c r="R501" s="28"/>
      <c r="S501" s="28">
        <f t="shared" si="14"/>
        <v>0</v>
      </c>
      <c r="T501" s="46">
        <f t="shared" si="15"/>
        <v>0</v>
      </c>
      <c r="U501" s="28" t="s">
        <v>34</v>
      </c>
      <c r="V501" s="73"/>
      <c r="W501" s="113"/>
    </row>
    <row r="502" spans="1:23" ht="16.05" customHeight="1" x14ac:dyDescent="0.45">
      <c r="A502" s="1">
        <v>501</v>
      </c>
      <c r="B502" s="113" t="s">
        <v>924</v>
      </c>
      <c r="C502" s="57" t="s">
        <v>24</v>
      </c>
      <c r="D502" s="358">
        <v>5826</v>
      </c>
      <c r="E502" s="113" t="s">
        <v>1343</v>
      </c>
      <c r="F502" s="113" t="s">
        <v>1308</v>
      </c>
      <c r="G502" s="16">
        <v>5120</v>
      </c>
      <c r="H502" s="113" t="s">
        <v>1253</v>
      </c>
      <c r="I502" s="113" t="s">
        <v>729</v>
      </c>
      <c r="J502" s="182" t="s">
        <v>111</v>
      </c>
      <c r="K502" s="16" t="s">
        <v>110</v>
      </c>
      <c r="L502" s="282">
        <v>0.4</v>
      </c>
      <c r="M502" s="71"/>
      <c r="N502" s="16" t="s">
        <v>777</v>
      </c>
      <c r="O502" s="73"/>
      <c r="P502" s="28">
        <v>1</v>
      </c>
      <c r="Q502" s="282">
        <v>0.05</v>
      </c>
      <c r="R502" s="28"/>
      <c r="S502" s="28">
        <f t="shared" si="14"/>
        <v>0</v>
      </c>
      <c r="T502" s="46">
        <f t="shared" si="15"/>
        <v>0</v>
      </c>
      <c r="U502" s="28" t="s">
        <v>34</v>
      </c>
      <c r="V502" s="73"/>
      <c r="W502" s="113"/>
    </row>
    <row r="503" spans="1:23" ht="16.05" customHeight="1" x14ac:dyDescent="0.45">
      <c r="A503" s="1">
        <v>502</v>
      </c>
      <c r="B503" s="113" t="s">
        <v>924</v>
      </c>
      <c r="C503" s="57" t="s">
        <v>24</v>
      </c>
      <c r="D503" s="358">
        <v>5826</v>
      </c>
      <c r="E503" s="113" t="s">
        <v>1343</v>
      </c>
      <c r="F503" s="113" t="s">
        <v>1308</v>
      </c>
      <c r="G503" s="16">
        <v>5120</v>
      </c>
      <c r="H503" s="113" t="s">
        <v>1253</v>
      </c>
      <c r="I503" s="113" t="s">
        <v>729</v>
      </c>
      <c r="J503" s="182" t="s">
        <v>111</v>
      </c>
      <c r="K503" s="16" t="s">
        <v>110</v>
      </c>
      <c r="L503" s="282">
        <v>0.4</v>
      </c>
      <c r="M503" s="71"/>
      <c r="N503" s="16" t="s">
        <v>253</v>
      </c>
      <c r="O503" s="73"/>
      <c r="P503" s="28">
        <v>1</v>
      </c>
      <c r="Q503" s="282">
        <v>0.05</v>
      </c>
      <c r="R503" s="28"/>
      <c r="S503" s="28">
        <f t="shared" si="14"/>
        <v>0</v>
      </c>
      <c r="T503" s="46">
        <f t="shared" si="15"/>
        <v>0</v>
      </c>
      <c r="U503" s="28" t="s">
        <v>34</v>
      </c>
      <c r="V503" s="73"/>
      <c r="W503" s="113"/>
    </row>
    <row r="504" spans="1:23" ht="16.05" customHeight="1" x14ac:dyDescent="0.45">
      <c r="A504" s="1">
        <v>503</v>
      </c>
      <c r="B504" s="99" t="s">
        <v>924</v>
      </c>
      <c r="C504" s="2" t="s">
        <v>24</v>
      </c>
      <c r="D504" s="349">
        <v>5365</v>
      </c>
      <c r="E504" s="99" t="s">
        <v>1348</v>
      </c>
      <c r="F504" s="99" t="s">
        <v>1283</v>
      </c>
      <c r="G504" s="3">
        <v>5670</v>
      </c>
      <c r="H504" s="99" t="s">
        <v>1284</v>
      </c>
      <c r="I504" s="99" t="s">
        <v>729</v>
      </c>
      <c r="J504" s="3" t="s">
        <v>58</v>
      </c>
      <c r="K504" s="3" t="s">
        <v>57</v>
      </c>
      <c r="L504" s="350">
        <v>0.6</v>
      </c>
      <c r="M504" s="407"/>
      <c r="N504" s="3" t="s">
        <v>730</v>
      </c>
      <c r="O504" s="146"/>
      <c r="P504" s="171">
        <v>1</v>
      </c>
      <c r="Q504" s="350">
        <v>0.3</v>
      </c>
      <c r="R504" s="171"/>
      <c r="S504" s="148">
        <f t="shared" si="14"/>
        <v>0</v>
      </c>
      <c r="T504" s="168">
        <f t="shared" si="15"/>
        <v>0</v>
      </c>
      <c r="U504" s="148" t="s">
        <v>34</v>
      </c>
      <c r="V504" s="429">
        <f>SUM(T504:T525)%</f>
        <v>0</v>
      </c>
      <c r="W504" s="99"/>
    </row>
    <row r="505" spans="1:23" ht="16.05" customHeight="1" x14ac:dyDescent="0.45">
      <c r="A505" s="1">
        <v>504</v>
      </c>
      <c r="B505" s="113" t="s">
        <v>924</v>
      </c>
      <c r="C505" s="57" t="s">
        <v>24</v>
      </c>
      <c r="D505" s="358">
        <v>5365</v>
      </c>
      <c r="E505" s="113" t="s">
        <v>1348</v>
      </c>
      <c r="F505" s="113" t="s">
        <v>1283</v>
      </c>
      <c r="G505" s="16">
        <v>5670</v>
      </c>
      <c r="H505" s="113" t="s">
        <v>1284</v>
      </c>
      <c r="I505" s="113" t="s">
        <v>729</v>
      </c>
      <c r="J505" s="16" t="s">
        <v>58</v>
      </c>
      <c r="K505" s="16" t="s">
        <v>57</v>
      </c>
      <c r="L505" s="360">
        <v>0.6</v>
      </c>
      <c r="M505" s="430"/>
      <c r="N505" s="184" t="s">
        <v>1285</v>
      </c>
      <c r="O505" s="44"/>
      <c r="P505" s="431">
        <v>1</v>
      </c>
      <c r="Q505" s="360">
        <v>0.15</v>
      </c>
      <c r="R505" s="431"/>
      <c r="S505" s="153">
        <f t="shared" si="14"/>
        <v>0</v>
      </c>
      <c r="T505" s="152">
        <f t="shared" si="15"/>
        <v>0</v>
      </c>
      <c r="U505" s="153" t="s">
        <v>34</v>
      </c>
      <c r="V505" s="44"/>
      <c r="W505" s="113"/>
    </row>
    <row r="506" spans="1:23" ht="16.05" customHeight="1" x14ac:dyDescent="0.45">
      <c r="A506" s="1">
        <v>505</v>
      </c>
      <c r="B506" s="113" t="s">
        <v>924</v>
      </c>
      <c r="C506" s="57" t="s">
        <v>24</v>
      </c>
      <c r="D506" s="358">
        <v>5365</v>
      </c>
      <c r="E506" s="113" t="s">
        <v>1348</v>
      </c>
      <c r="F506" s="113" t="s">
        <v>1283</v>
      </c>
      <c r="G506" s="16">
        <v>5670</v>
      </c>
      <c r="H506" s="113" t="s">
        <v>1284</v>
      </c>
      <c r="I506" s="113" t="s">
        <v>729</v>
      </c>
      <c r="J506" s="16" t="s">
        <v>58</v>
      </c>
      <c r="K506" s="16" t="s">
        <v>57</v>
      </c>
      <c r="L506" s="360">
        <v>0.6</v>
      </c>
      <c r="M506" s="430"/>
      <c r="N506" s="184" t="s">
        <v>1349</v>
      </c>
      <c r="O506" s="44"/>
      <c r="P506" s="431">
        <v>1</v>
      </c>
      <c r="Q506" s="360">
        <v>0.15</v>
      </c>
      <c r="R506" s="431"/>
      <c r="S506" s="153">
        <f t="shared" si="14"/>
        <v>0</v>
      </c>
      <c r="T506" s="152">
        <f t="shared" si="15"/>
        <v>0</v>
      </c>
      <c r="U506" s="153" t="s">
        <v>34</v>
      </c>
      <c r="V506" s="44"/>
      <c r="W506" s="113"/>
    </row>
    <row r="507" spans="1:23" ht="16.05" customHeight="1" x14ac:dyDescent="0.45">
      <c r="A507" s="1">
        <v>506</v>
      </c>
      <c r="B507" s="113" t="s">
        <v>924</v>
      </c>
      <c r="C507" s="57" t="s">
        <v>24</v>
      </c>
      <c r="D507" s="358">
        <v>5365</v>
      </c>
      <c r="E507" s="113" t="s">
        <v>1348</v>
      </c>
      <c r="F507" s="113" t="s">
        <v>1283</v>
      </c>
      <c r="G507" s="16">
        <v>5670</v>
      </c>
      <c r="H507" s="113" t="s">
        <v>1284</v>
      </c>
      <c r="I507" s="113" t="s">
        <v>729</v>
      </c>
      <c r="J507" s="16" t="s">
        <v>58</v>
      </c>
      <c r="K507" s="16" t="s">
        <v>57</v>
      </c>
      <c r="L507" s="360">
        <v>0.6</v>
      </c>
      <c r="M507" s="430"/>
      <c r="N507" s="184" t="s">
        <v>733</v>
      </c>
      <c r="O507" s="44"/>
      <c r="P507" s="431">
        <v>1</v>
      </c>
      <c r="Q507" s="360">
        <v>0.1</v>
      </c>
      <c r="R507" s="431"/>
      <c r="S507" s="153">
        <f t="shared" si="14"/>
        <v>0</v>
      </c>
      <c r="T507" s="152">
        <f t="shared" si="15"/>
        <v>0</v>
      </c>
      <c r="U507" s="153" t="s">
        <v>34</v>
      </c>
      <c r="V507" s="44"/>
      <c r="W507" s="113"/>
    </row>
    <row r="508" spans="1:23" ht="16.05" customHeight="1" x14ac:dyDescent="0.45">
      <c r="A508" s="1">
        <v>507</v>
      </c>
      <c r="B508" s="113" t="s">
        <v>924</v>
      </c>
      <c r="C508" s="57" t="s">
        <v>24</v>
      </c>
      <c r="D508" s="358">
        <v>5365</v>
      </c>
      <c r="E508" s="113" t="s">
        <v>1348</v>
      </c>
      <c r="F508" s="113" t="s">
        <v>1283</v>
      </c>
      <c r="G508" s="16">
        <v>5670</v>
      </c>
      <c r="H508" s="113" t="s">
        <v>1284</v>
      </c>
      <c r="I508" s="113" t="s">
        <v>729</v>
      </c>
      <c r="J508" s="16" t="s">
        <v>58</v>
      </c>
      <c r="K508" s="16" t="s">
        <v>57</v>
      </c>
      <c r="L508" s="360">
        <v>0.6</v>
      </c>
      <c r="M508" s="430"/>
      <c r="N508" s="184" t="s">
        <v>1350</v>
      </c>
      <c r="O508" s="44"/>
      <c r="P508" s="431">
        <v>1</v>
      </c>
      <c r="Q508" s="360">
        <v>0.1</v>
      </c>
      <c r="R508" s="431"/>
      <c r="S508" s="153">
        <f t="shared" si="14"/>
        <v>0</v>
      </c>
      <c r="T508" s="152">
        <f t="shared" si="15"/>
        <v>0</v>
      </c>
      <c r="U508" s="153" t="s">
        <v>34</v>
      </c>
      <c r="V508" s="44"/>
      <c r="W508" s="113"/>
    </row>
    <row r="509" spans="1:23" ht="16.05" customHeight="1" x14ac:dyDescent="0.45">
      <c r="A509" s="1">
        <v>508</v>
      </c>
      <c r="B509" s="113" t="s">
        <v>924</v>
      </c>
      <c r="C509" s="57" t="s">
        <v>24</v>
      </c>
      <c r="D509" s="358">
        <v>5365</v>
      </c>
      <c r="E509" s="113" t="s">
        <v>1348</v>
      </c>
      <c r="F509" s="113" t="s">
        <v>1283</v>
      </c>
      <c r="G509" s="16">
        <v>5670</v>
      </c>
      <c r="H509" s="113" t="s">
        <v>1284</v>
      </c>
      <c r="I509" s="113" t="s">
        <v>729</v>
      </c>
      <c r="J509" s="16" t="s">
        <v>58</v>
      </c>
      <c r="K509" s="16" t="s">
        <v>57</v>
      </c>
      <c r="L509" s="360">
        <v>0.6</v>
      </c>
      <c r="M509" s="430"/>
      <c r="N509" s="184" t="s">
        <v>734</v>
      </c>
      <c r="O509" s="44"/>
      <c r="P509" s="431">
        <v>1</v>
      </c>
      <c r="Q509" s="360">
        <v>0.1</v>
      </c>
      <c r="R509" s="431"/>
      <c r="S509" s="153">
        <f t="shared" si="14"/>
        <v>0</v>
      </c>
      <c r="T509" s="152">
        <f t="shared" si="15"/>
        <v>0</v>
      </c>
      <c r="U509" s="153" t="s">
        <v>34</v>
      </c>
      <c r="V509" s="44"/>
      <c r="W509" s="113"/>
    </row>
    <row r="510" spans="1:23" ht="16.05" customHeight="1" x14ac:dyDescent="0.45">
      <c r="A510" s="1">
        <v>509</v>
      </c>
      <c r="B510" s="113" t="s">
        <v>924</v>
      </c>
      <c r="C510" s="57" t="s">
        <v>24</v>
      </c>
      <c r="D510" s="358">
        <v>5365</v>
      </c>
      <c r="E510" s="113" t="s">
        <v>1348</v>
      </c>
      <c r="F510" s="113" t="s">
        <v>1283</v>
      </c>
      <c r="G510" s="16">
        <v>5670</v>
      </c>
      <c r="H510" s="113" t="s">
        <v>1284</v>
      </c>
      <c r="I510" s="113" t="s">
        <v>729</v>
      </c>
      <c r="J510" s="16" t="s">
        <v>58</v>
      </c>
      <c r="K510" s="16" t="s">
        <v>57</v>
      </c>
      <c r="L510" s="360">
        <v>0.6</v>
      </c>
      <c r="M510" s="430"/>
      <c r="N510" s="184" t="s">
        <v>1351</v>
      </c>
      <c r="O510" s="44"/>
      <c r="P510" s="431">
        <v>1</v>
      </c>
      <c r="Q510" s="360">
        <v>0.1</v>
      </c>
      <c r="R510" s="431"/>
      <c r="S510" s="153">
        <f t="shared" si="14"/>
        <v>0</v>
      </c>
      <c r="T510" s="152">
        <f t="shared" si="15"/>
        <v>0</v>
      </c>
      <c r="U510" s="153" t="s">
        <v>34</v>
      </c>
      <c r="V510" s="44"/>
      <c r="W510" s="113"/>
    </row>
    <row r="511" spans="1:23" ht="16.05" customHeight="1" x14ac:dyDescent="0.45">
      <c r="A511" s="1">
        <v>510</v>
      </c>
      <c r="B511" s="113" t="s">
        <v>924</v>
      </c>
      <c r="C511" s="57" t="s">
        <v>24</v>
      </c>
      <c r="D511" s="358">
        <v>5365</v>
      </c>
      <c r="E511" s="113" t="s">
        <v>1348</v>
      </c>
      <c r="F511" s="113" t="s">
        <v>1283</v>
      </c>
      <c r="G511" s="16">
        <v>5670</v>
      </c>
      <c r="H511" s="113" t="s">
        <v>1284</v>
      </c>
      <c r="I511" s="113" t="s">
        <v>729</v>
      </c>
      <c r="J511" s="182" t="s">
        <v>111</v>
      </c>
      <c r="K511" s="16" t="s">
        <v>110</v>
      </c>
      <c r="L511" s="282">
        <v>0.4</v>
      </c>
      <c r="M511" s="71"/>
      <c r="N511" s="16" t="s">
        <v>255</v>
      </c>
      <c r="O511" s="73"/>
      <c r="P511" s="28">
        <v>1</v>
      </c>
      <c r="Q511" s="282">
        <v>0.05</v>
      </c>
      <c r="R511" s="28"/>
      <c r="S511" s="28">
        <f t="shared" si="14"/>
        <v>0</v>
      </c>
      <c r="T511" s="46">
        <f t="shared" si="15"/>
        <v>0</v>
      </c>
      <c r="U511" s="28" t="s">
        <v>34</v>
      </c>
      <c r="V511" s="73"/>
      <c r="W511" s="113"/>
    </row>
    <row r="512" spans="1:23" ht="16.05" customHeight="1" x14ac:dyDescent="0.45">
      <c r="A512" s="1">
        <v>511</v>
      </c>
      <c r="B512" s="113" t="s">
        <v>924</v>
      </c>
      <c r="C512" s="57" t="s">
        <v>24</v>
      </c>
      <c r="D512" s="358">
        <v>5365</v>
      </c>
      <c r="E512" s="113" t="s">
        <v>1348</v>
      </c>
      <c r="F512" s="113" t="s">
        <v>1283</v>
      </c>
      <c r="G512" s="16">
        <v>5670</v>
      </c>
      <c r="H512" s="113" t="s">
        <v>1284</v>
      </c>
      <c r="I512" s="113" t="s">
        <v>729</v>
      </c>
      <c r="J512" s="182" t="s">
        <v>111</v>
      </c>
      <c r="K512" s="16" t="s">
        <v>110</v>
      </c>
      <c r="L512" s="282">
        <v>0.4</v>
      </c>
      <c r="M512" s="71"/>
      <c r="N512" s="16" t="s">
        <v>768</v>
      </c>
      <c r="O512" s="73"/>
      <c r="P512" s="28">
        <v>1</v>
      </c>
      <c r="Q512" s="282">
        <v>0.05</v>
      </c>
      <c r="R512" s="28"/>
      <c r="S512" s="28">
        <f t="shared" si="14"/>
        <v>0</v>
      </c>
      <c r="T512" s="46">
        <f t="shared" si="15"/>
        <v>0</v>
      </c>
      <c r="U512" s="28" t="s">
        <v>34</v>
      </c>
      <c r="V512" s="73"/>
      <c r="W512" s="113"/>
    </row>
    <row r="513" spans="1:23" ht="16.05" customHeight="1" x14ac:dyDescent="0.45">
      <c r="A513" s="1">
        <v>512</v>
      </c>
      <c r="B513" s="113" t="s">
        <v>924</v>
      </c>
      <c r="C513" s="57" t="s">
        <v>24</v>
      </c>
      <c r="D513" s="358">
        <v>5365</v>
      </c>
      <c r="E513" s="113" t="s">
        <v>1348</v>
      </c>
      <c r="F513" s="113" t="s">
        <v>1283</v>
      </c>
      <c r="G513" s="16">
        <v>5670</v>
      </c>
      <c r="H513" s="113" t="s">
        <v>1284</v>
      </c>
      <c r="I513" s="113" t="s">
        <v>729</v>
      </c>
      <c r="J513" s="182" t="s">
        <v>111</v>
      </c>
      <c r="K513" s="16" t="s">
        <v>110</v>
      </c>
      <c r="L513" s="282">
        <v>0.4</v>
      </c>
      <c r="M513" s="71"/>
      <c r="N513" s="16" t="s">
        <v>769</v>
      </c>
      <c r="O513" s="73"/>
      <c r="P513" s="28">
        <v>1</v>
      </c>
      <c r="Q513" s="282">
        <v>0.05</v>
      </c>
      <c r="R513" s="28"/>
      <c r="S513" s="28">
        <f t="shared" si="14"/>
        <v>0</v>
      </c>
      <c r="T513" s="46">
        <f t="shared" si="15"/>
        <v>0</v>
      </c>
      <c r="U513" s="28" t="s">
        <v>34</v>
      </c>
      <c r="V513" s="73"/>
      <c r="W513" s="113"/>
    </row>
    <row r="514" spans="1:23" ht="16.05" customHeight="1" x14ac:dyDescent="0.45">
      <c r="A514" s="1">
        <v>513</v>
      </c>
      <c r="B514" s="113" t="s">
        <v>924</v>
      </c>
      <c r="C514" s="57" t="s">
        <v>24</v>
      </c>
      <c r="D514" s="358">
        <v>5365</v>
      </c>
      <c r="E514" s="113" t="s">
        <v>1348</v>
      </c>
      <c r="F514" s="113" t="s">
        <v>1283</v>
      </c>
      <c r="G514" s="16">
        <v>5670</v>
      </c>
      <c r="H514" s="113" t="s">
        <v>1284</v>
      </c>
      <c r="I514" s="113" t="s">
        <v>729</v>
      </c>
      <c r="J514" s="182" t="s">
        <v>111</v>
      </c>
      <c r="K514" s="16" t="s">
        <v>110</v>
      </c>
      <c r="L514" s="282">
        <v>0.4</v>
      </c>
      <c r="M514" s="71"/>
      <c r="N514" s="16" t="s">
        <v>770</v>
      </c>
      <c r="O514" s="73"/>
      <c r="P514" s="28">
        <v>1</v>
      </c>
      <c r="Q514" s="282">
        <v>0.15</v>
      </c>
      <c r="R514" s="28"/>
      <c r="S514" s="28">
        <f t="shared" ref="S514:S577" si="16">ROUND(IF(OR(P514="",R514=""),0,IF(AND(P514=0,R514=0),1,IF(U514="+",R514/P514,P514/R514))),2)</f>
        <v>0</v>
      </c>
      <c r="T514" s="46">
        <f t="shared" ref="T514:T577" si="17">IF(AND(S514&gt;=60%,S514&lt;100%),S514*((Q514*L514)),IF(S514=100%,((Q514*L514)*S514)*100%,IF(S514&gt;100%,((L514*Q514)*100%)*100%,0)))*100</f>
        <v>0</v>
      </c>
      <c r="U514" s="28" t="s">
        <v>34</v>
      </c>
      <c r="V514" s="73"/>
      <c r="W514" s="113"/>
    </row>
    <row r="515" spans="1:23" ht="16.05" customHeight="1" x14ac:dyDescent="0.45">
      <c r="A515" s="1">
        <v>514</v>
      </c>
      <c r="B515" s="113" t="s">
        <v>924</v>
      </c>
      <c r="C515" s="57" t="s">
        <v>24</v>
      </c>
      <c r="D515" s="358">
        <v>5365</v>
      </c>
      <c r="E515" s="113" t="s">
        <v>1348</v>
      </c>
      <c r="F515" s="113" t="s">
        <v>1283</v>
      </c>
      <c r="G515" s="16">
        <v>5670</v>
      </c>
      <c r="H515" s="113" t="s">
        <v>1284</v>
      </c>
      <c r="I515" s="113" t="s">
        <v>729</v>
      </c>
      <c r="J515" s="182" t="s">
        <v>111</v>
      </c>
      <c r="K515" s="16" t="s">
        <v>110</v>
      </c>
      <c r="L515" s="282">
        <v>0.4</v>
      </c>
      <c r="M515" s="71"/>
      <c r="N515" s="16" t="s">
        <v>254</v>
      </c>
      <c r="O515" s="73"/>
      <c r="P515" s="28">
        <v>1</v>
      </c>
      <c r="Q515" s="282">
        <v>0.1</v>
      </c>
      <c r="R515" s="28"/>
      <c r="S515" s="28">
        <f t="shared" si="16"/>
        <v>0</v>
      </c>
      <c r="T515" s="46">
        <f t="shared" si="17"/>
        <v>0</v>
      </c>
      <c r="U515" s="28" t="s">
        <v>34</v>
      </c>
      <c r="V515" s="73"/>
      <c r="W515" s="113"/>
    </row>
    <row r="516" spans="1:23" ht="16.05" customHeight="1" x14ac:dyDescent="0.45">
      <c r="A516" s="1">
        <v>515</v>
      </c>
      <c r="B516" s="113" t="s">
        <v>924</v>
      </c>
      <c r="C516" s="57" t="s">
        <v>24</v>
      </c>
      <c r="D516" s="358">
        <v>5365</v>
      </c>
      <c r="E516" s="113" t="s">
        <v>1348</v>
      </c>
      <c r="F516" s="113" t="s">
        <v>1283</v>
      </c>
      <c r="G516" s="16">
        <v>5670</v>
      </c>
      <c r="H516" s="113" t="s">
        <v>1284</v>
      </c>
      <c r="I516" s="113" t="s">
        <v>729</v>
      </c>
      <c r="J516" s="182" t="s">
        <v>111</v>
      </c>
      <c r="K516" s="16" t="s">
        <v>110</v>
      </c>
      <c r="L516" s="282">
        <v>0.4</v>
      </c>
      <c r="M516" s="71"/>
      <c r="N516" s="16" t="s">
        <v>771</v>
      </c>
      <c r="O516" s="73"/>
      <c r="P516" s="28">
        <v>1</v>
      </c>
      <c r="Q516" s="282">
        <v>0.05</v>
      </c>
      <c r="R516" s="28"/>
      <c r="S516" s="28">
        <f t="shared" si="16"/>
        <v>0</v>
      </c>
      <c r="T516" s="46">
        <f t="shared" si="17"/>
        <v>0</v>
      </c>
      <c r="U516" s="28" t="s">
        <v>34</v>
      </c>
      <c r="V516" s="73"/>
      <c r="W516" s="113"/>
    </row>
    <row r="517" spans="1:23" ht="16.05" customHeight="1" x14ac:dyDescent="0.45">
      <c r="A517" s="1">
        <v>516</v>
      </c>
      <c r="B517" s="113" t="s">
        <v>924</v>
      </c>
      <c r="C517" s="57" t="s">
        <v>24</v>
      </c>
      <c r="D517" s="358">
        <v>5365</v>
      </c>
      <c r="E517" s="113" t="s">
        <v>1348</v>
      </c>
      <c r="F517" s="113" t="s">
        <v>1283</v>
      </c>
      <c r="G517" s="16">
        <v>5670</v>
      </c>
      <c r="H517" s="113" t="s">
        <v>1284</v>
      </c>
      <c r="I517" s="113" t="s">
        <v>729</v>
      </c>
      <c r="J517" s="182" t="s">
        <v>111</v>
      </c>
      <c r="K517" s="16" t="s">
        <v>110</v>
      </c>
      <c r="L517" s="282">
        <v>0.4</v>
      </c>
      <c r="M517" s="71"/>
      <c r="N517" s="16" t="s">
        <v>772</v>
      </c>
      <c r="O517" s="73"/>
      <c r="P517" s="28">
        <v>1</v>
      </c>
      <c r="Q517" s="282">
        <v>0.1</v>
      </c>
      <c r="R517" s="28"/>
      <c r="S517" s="28">
        <f t="shared" si="16"/>
        <v>0</v>
      </c>
      <c r="T517" s="46">
        <f t="shared" si="17"/>
        <v>0</v>
      </c>
      <c r="U517" s="28" t="s">
        <v>34</v>
      </c>
      <c r="V517" s="73"/>
      <c r="W517" s="113"/>
    </row>
    <row r="518" spans="1:23" ht="16.05" customHeight="1" x14ac:dyDescent="0.45">
      <c r="A518" s="1">
        <v>517</v>
      </c>
      <c r="B518" s="113" t="s">
        <v>924</v>
      </c>
      <c r="C518" s="57" t="s">
        <v>24</v>
      </c>
      <c r="D518" s="358">
        <v>5365</v>
      </c>
      <c r="E518" s="113" t="s">
        <v>1348</v>
      </c>
      <c r="F518" s="113" t="s">
        <v>1283</v>
      </c>
      <c r="G518" s="16">
        <v>5670</v>
      </c>
      <c r="H518" s="113" t="s">
        <v>1284</v>
      </c>
      <c r="I518" s="113" t="s">
        <v>729</v>
      </c>
      <c r="J518" s="182" t="s">
        <v>111</v>
      </c>
      <c r="K518" s="16" t="s">
        <v>110</v>
      </c>
      <c r="L518" s="282">
        <v>0.4</v>
      </c>
      <c r="M518" s="71"/>
      <c r="N518" s="16" t="s">
        <v>773</v>
      </c>
      <c r="O518" s="73"/>
      <c r="P518" s="28">
        <v>1</v>
      </c>
      <c r="Q518" s="282">
        <v>0.05</v>
      </c>
      <c r="R518" s="28"/>
      <c r="S518" s="28">
        <f t="shared" si="16"/>
        <v>0</v>
      </c>
      <c r="T518" s="46">
        <f t="shared" si="17"/>
        <v>0</v>
      </c>
      <c r="U518" s="28" t="s">
        <v>34</v>
      </c>
      <c r="V518" s="73"/>
      <c r="W518" s="113"/>
    </row>
    <row r="519" spans="1:23" ht="16.05" customHeight="1" x14ac:dyDescent="0.45">
      <c r="A519" s="1">
        <v>518</v>
      </c>
      <c r="B519" s="113" t="s">
        <v>924</v>
      </c>
      <c r="C519" s="57" t="s">
        <v>24</v>
      </c>
      <c r="D519" s="358">
        <v>5365</v>
      </c>
      <c r="E519" s="113" t="s">
        <v>1348</v>
      </c>
      <c r="F519" s="113" t="s">
        <v>1283</v>
      </c>
      <c r="G519" s="16">
        <v>5670</v>
      </c>
      <c r="H519" s="113" t="s">
        <v>1284</v>
      </c>
      <c r="I519" s="113" t="s">
        <v>729</v>
      </c>
      <c r="J519" s="182" t="s">
        <v>111</v>
      </c>
      <c r="K519" s="16" t="s">
        <v>110</v>
      </c>
      <c r="L519" s="282">
        <v>0.4</v>
      </c>
      <c r="M519" s="71"/>
      <c r="N519" s="16" t="s">
        <v>774</v>
      </c>
      <c r="O519" s="73"/>
      <c r="P519" s="28">
        <v>1</v>
      </c>
      <c r="Q519" s="282">
        <v>0.05</v>
      </c>
      <c r="R519" s="28"/>
      <c r="S519" s="28">
        <f t="shared" si="16"/>
        <v>0</v>
      </c>
      <c r="T519" s="46">
        <f t="shared" si="17"/>
        <v>0</v>
      </c>
      <c r="U519" s="28" t="s">
        <v>34</v>
      </c>
      <c r="V519" s="73"/>
      <c r="W519" s="113"/>
    </row>
    <row r="520" spans="1:23" ht="16.05" customHeight="1" x14ac:dyDescent="0.45">
      <c r="A520" s="1">
        <v>519</v>
      </c>
      <c r="B520" s="113" t="s">
        <v>924</v>
      </c>
      <c r="C520" s="57" t="s">
        <v>24</v>
      </c>
      <c r="D520" s="358">
        <v>5365</v>
      </c>
      <c r="E520" s="113" t="s">
        <v>1348</v>
      </c>
      <c r="F520" s="113" t="s">
        <v>1283</v>
      </c>
      <c r="G520" s="16">
        <v>5670</v>
      </c>
      <c r="H520" s="113" t="s">
        <v>1284</v>
      </c>
      <c r="I520" s="113" t="s">
        <v>729</v>
      </c>
      <c r="J520" s="182" t="s">
        <v>111</v>
      </c>
      <c r="K520" s="16" t="s">
        <v>110</v>
      </c>
      <c r="L520" s="282">
        <v>0.4</v>
      </c>
      <c r="M520" s="71"/>
      <c r="N520" s="16" t="s">
        <v>775</v>
      </c>
      <c r="O520" s="73"/>
      <c r="P520" s="28">
        <v>1</v>
      </c>
      <c r="Q520" s="282">
        <v>0.05</v>
      </c>
      <c r="R520" s="28"/>
      <c r="S520" s="28">
        <f t="shared" si="16"/>
        <v>0</v>
      </c>
      <c r="T520" s="46">
        <f t="shared" si="17"/>
        <v>0</v>
      </c>
      <c r="U520" s="28" t="s">
        <v>34</v>
      </c>
      <c r="V520" s="73"/>
      <c r="W520" s="113"/>
    </row>
    <row r="521" spans="1:23" ht="16.05" customHeight="1" x14ac:dyDescent="0.45">
      <c r="A521" s="1">
        <v>520</v>
      </c>
      <c r="B521" s="113" t="s">
        <v>924</v>
      </c>
      <c r="C521" s="57" t="s">
        <v>24</v>
      </c>
      <c r="D521" s="358">
        <v>5365</v>
      </c>
      <c r="E521" s="113" t="s">
        <v>1348</v>
      </c>
      <c r="F521" s="113" t="s">
        <v>1283</v>
      </c>
      <c r="G521" s="16">
        <v>5670</v>
      </c>
      <c r="H521" s="113" t="s">
        <v>1284</v>
      </c>
      <c r="I521" s="113" t="s">
        <v>729</v>
      </c>
      <c r="J521" s="182" t="s">
        <v>111</v>
      </c>
      <c r="K521" s="16" t="s">
        <v>110</v>
      </c>
      <c r="L521" s="282">
        <v>0.4</v>
      </c>
      <c r="M521" s="71"/>
      <c r="N521" s="16" t="s">
        <v>776</v>
      </c>
      <c r="O521" s="73"/>
      <c r="P521" s="28">
        <v>1</v>
      </c>
      <c r="Q521" s="282">
        <v>0.1</v>
      </c>
      <c r="R521" s="28"/>
      <c r="S521" s="28">
        <f t="shared" si="16"/>
        <v>0</v>
      </c>
      <c r="T521" s="46">
        <f t="shared" si="17"/>
        <v>0</v>
      </c>
      <c r="U521" s="28" t="s">
        <v>34</v>
      </c>
      <c r="V521" s="73"/>
      <c r="W521" s="113"/>
    </row>
    <row r="522" spans="1:23" ht="16.05" customHeight="1" x14ac:dyDescent="0.45">
      <c r="A522" s="1">
        <v>521</v>
      </c>
      <c r="B522" s="113" t="s">
        <v>924</v>
      </c>
      <c r="C522" s="57" t="s">
        <v>24</v>
      </c>
      <c r="D522" s="358">
        <v>5365</v>
      </c>
      <c r="E522" s="113" t="s">
        <v>1348</v>
      </c>
      <c r="F522" s="113" t="s">
        <v>1283</v>
      </c>
      <c r="G522" s="16">
        <v>5670</v>
      </c>
      <c r="H522" s="113" t="s">
        <v>1284</v>
      </c>
      <c r="I522" s="113" t="s">
        <v>729</v>
      </c>
      <c r="J522" s="182" t="s">
        <v>111</v>
      </c>
      <c r="K522" s="16" t="s">
        <v>110</v>
      </c>
      <c r="L522" s="282">
        <v>0.4</v>
      </c>
      <c r="M522" s="71"/>
      <c r="N522" s="16" t="s">
        <v>251</v>
      </c>
      <c r="O522" s="73"/>
      <c r="P522" s="28">
        <v>1</v>
      </c>
      <c r="Q522" s="282">
        <v>0.05</v>
      </c>
      <c r="R522" s="28"/>
      <c r="S522" s="28">
        <f t="shared" si="16"/>
        <v>0</v>
      </c>
      <c r="T522" s="46">
        <f t="shared" si="17"/>
        <v>0</v>
      </c>
      <c r="U522" s="28" t="s">
        <v>34</v>
      </c>
      <c r="V522" s="73"/>
      <c r="W522" s="113"/>
    </row>
    <row r="523" spans="1:23" ht="16.05" customHeight="1" x14ac:dyDescent="0.45">
      <c r="A523" s="1">
        <v>522</v>
      </c>
      <c r="B523" s="113" t="s">
        <v>924</v>
      </c>
      <c r="C523" s="57" t="s">
        <v>24</v>
      </c>
      <c r="D523" s="358">
        <v>5365</v>
      </c>
      <c r="E523" s="113" t="s">
        <v>1348</v>
      </c>
      <c r="F523" s="113" t="s">
        <v>1283</v>
      </c>
      <c r="G523" s="16">
        <v>5670</v>
      </c>
      <c r="H523" s="113" t="s">
        <v>1284</v>
      </c>
      <c r="I523" s="113" t="s">
        <v>729</v>
      </c>
      <c r="J523" s="182" t="s">
        <v>111</v>
      </c>
      <c r="K523" s="16" t="s">
        <v>110</v>
      </c>
      <c r="L523" s="282">
        <v>0.4</v>
      </c>
      <c r="M523" s="71"/>
      <c r="N523" s="16" t="s">
        <v>252</v>
      </c>
      <c r="O523" s="73"/>
      <c r="P523" s="28">
        <v>1</v>
      </c>
      <c r="Q523" s="282">
        <v>0.05</v>
      </c>
      <c r="R523" s="28"/>
      <c r="S523" s="28">
        <f t="shared" si="16"/>
        <v>0</v>
      </c>
      <c r="T523" s="46">
        <f t="shared" si="17"/>
        <v>0</v>
      </c>
      <c r="U523" s="28" t="s">
        <v>34</v>
      </c>
      <c r="V523" s="73"/>
      <c r="W523" s="113"/>
    </row>
    <row r="524" spans="1:23" ht="16.05" customHeight="1" x14ac:dyDescent="0.45">
      <c r="A524" s="1">
        <v>523</v>
      </c>
      <c r="B524" s="113" t="s">
        <v>924</v>
      </c>
      <c r="C524" s="57" t="s">
        <v>24</v>
      </c>
      <c r="D524" s="358">
        <v>5365</v>
      </c>
      <c r="E524" s="113" t="s">
        <v>1348</v>
      </c>
      <c r="F524" s="113" t="s">
        <v>1283</v>
      </c>
      <c r="G524" s="16">
        <v>5670</v>
      </c>
      <c r="H524" s="113" t="s">
        <v>1284</v>
      </c>
      <c r="I524" s="113" t="s">
        <v>729</v>
      </c>
      <c r="J524" s="182" t="s">
        <v>111</v>
      </c>
      <c r="K524" s="16" t="s">
        <v>110</v>
      </c>
      <c r="L524" s="282">
        <v>0.4</v>
      </c>
      <c r="M524" s="71"/>
      <c r="N524" s="16" t="s">
        <v>777</v>
      </c>
      <c r="O524" s="73"/>
      <c r="P524" s="28">
        <v>1</v>
      </c>
      <c r="Q524" s="282">
        <v>0.05</v>
      </c>
      <c r="R524" s="28"/>
      <c r="S524" s="28">
        <f t="shared" si="16"/>
        <v>0</v>
      </c>
      <c r="T524" s="46">
        <f t="shared" si="17"/>
        <v>0</v>
      </c>
      <c r="U524" s="28" t="s">
        <v>34</v>
      </c>
      <c r="V524" s="73"/>
      <c r="W524" s="113"/>
    </row>
    <row r="525" spans="1:23" ht="16.05" customHeight="1" x14ac:dyDescent="0.45">
      <c r="A525" s="1">
        <v>524</v>
      </c>
      <c r="B525" s="113" t="s">
        <v>924</v>
      </c>
      <c r="C525" s="57" t="s">
        <v>24</v>
      </c>
      <c r="D525" s="358">
        <v>5365</v>
      </c>
      <c r="E525" s="113" t="s">
        <v>1348</v>
      </c>
      <c r="F525" s="113" t="s">
        <v>1283</v>
      </c>
      <c r="G525" s="16">
        <v>5670</v>
      </c>
      <c r="H525" s="113" t="s">
        <v>1284</v>
      </c>
      <c r="I525" s="113" t="s">
        <v>729</v>
      </c>
      <c r="J525" s="182" t="s">
        <v>111</v>
      </c>
      <c r="K525" s="16" t="s">
        <v>110</v>
      </c>
      <c r="L525" s="282">
        <v>0.4</v>
      </c>
      <c r="M525" s="71"/>
      <c r="N525" s="16" t="s">
        <v>253</v>
      </c>
      <c r="O525" s="73"/>
      <c r="P525" s="28">
        <v>1</v>
      </c>
      <c r="Q525" s="282">
        <v>0.05</v>
      </c>
      <c r="R525" s="28"/>
      <c r="S525" s="28">
        <f t="shared" si="16"/>
        <v>0</v>
      </c>
      <c r="T525" s="46">
        <f t="shared" si="17"/>
        <v>0</v>
      </c>
      <c r="U525" s="28" t="s">
        <v>34</v>
      </c>
      <c r="V525" s="73"/>
      <c r="W525" s="113"/>
    </row>
    <row r="526" spans="1:23" ht="16.05" customHeight="1" x14ac:dyDescent="0.45">
      <c r="A526" s="1">
        <v>525</v>
      </c>
      <c r="B526" s="99" t="s">
        <v>924</v>
      </c>
      <c r="C526" s="99" t="s">
        <v>24</v>
      </c>
      <c r="D526" s="349">
        <v>5261</v>
      </c>
      <c r="E526" s="99" t="s">
        <v>1352</v>
      </c>
      <c r="F526" s="99" t="s">
        <v>1308</v>
      </c>
      <c r="G526" s="3">
        <v>5043</v>
      </c>
      <c r="H526" s="99" t="s">
        <v>1266</v>
      </c>
      <c r="I526" s="99" t="s">
        <v>729</v>
      </c>
      <c r="J526" s="91" t="s">
        <v>58</v>
      </c>
      <c r="K526" s="91" t="s">
        <v>57</v>
      </c>
      <c r="L526" s="350">
        <v>0.6</v>
      </c>
      <c r="M526" s="407"/>
      <c r="N526" s="91" t="s">
        <v>1353</v>
      </c>
      <c r="O526" s="146"/>
      <c r="P526" s="171">
        <v>1</v>
      </c>
      <c r="Q526" s="350">
        <v>0.15</v>
      </c>
      <c r="R526" s="171"/>
      <c r="S526" s="148">
        <f t="shared" si="16"/>
        <v>0</v>
      </c>
      <c r="T526" s="168">
        <f t="shared" si="17"/>
        <v>0</v>
      </c>
      <c r="U526" s="148" t="s">
        <v>34</v>
      </c>
      <c r="V526" s="429">
        <f>SUM(T526:T546)%</f>
        <v>0</v>
      </c>
      <c r="W526" s="99"/>
    </row>
    <row r="527" spans="1:23" ht="16.05" customHeight="1" x14ac:dyDescent="0.45">
      <c r="A527" s="1">
        <v>526</v>
      </c>
      <c r="B527" s="113" t="s">
        <v>924</v>
      </c>
      <c r="C527" s="57" t="s">
        <v>24</v>
      </c>
      <c r="D527" s="358">
        <v>5261</v>
      </c>
      <c r="E527" s="113" t="s">
        <v>1352</v>
      </c>
      <c r="F527" s="113" t="s">
        <v>1308</v>
      </c>
      <c r="G527" s="16">
        <v>5043</v>
      </c>
      <c r="H527" s="113" t="s">
        <v>1266</v>
      </c>
      <c r="I527" s="113" t="s">
        <v>729</v>
      </c>
      <c r="J527" s="16" t="s">
        <v>58</v>
      </c>
      <c r="K527" s="16" t="s">
        <v>57</v>
      </c>
      <c r="L527" s="360">
        <v>0.6</v>
      </c>
      <c r="M527" s="430"/>
      <c r="N527" s="184" t="s">
        <v>1354</v>
      </c>
      <c r="O527" s="44"/>
      <c r="P527" s="431">
        <v>1</v>
      </c>
      <c r="Q527" s="360">
        <v>0.1</v>
      </c>
      <c r="R527" s="431"/>
      <c r="S527" s="153">
        <f t="shared" si="16"/>
        <v>0</v>
      </c>
      <c r="T527" s="152">
        <f t="shared" si="17"/>
        <v>0</v>
      </c>
      <c r="U527" s="153" t="s">
        <v>34</v>
      </c>
      <c r="V527" s="44"/>
      <c r="W527" s="113"/>
    </row>
    <row r="528" spans="1:23" ht="16.05" customHeight="1" x14ac:dyDescent="0.45">
      <c r="A528" s="1">
        <v>527</v>
      </c>
      <c r="B528" s="113" t="s">
        <v>924</v>
      </c>
      <c r="C528" s="57" t="s">
        <v>24</v>
      </c>
      <c r="D528" s="358">
        <v>5261</v>
      </c>
      <c r="E528" s="113" t="s">
        <v>1352</v>
      </c>
      <c r="F528" s="113" t="s">
        <v>1308</v>
      </c>
      <c r="G528" s="16">
        <v>5043</v>
      </c>
      <c r="H528" s="113" t="s">
        <v>1266</v>
      </c>
      <c r="I528" s="113" t="s">
        <v>729</v>
      </c>
      <c r="J528" s="16" t="s">
        <v>58</v>
      </c>
      <c r="K528" s="16" t="s">
        <v>57</v>
      </c>
      <c r="L528" s="360">
        <v>0.6</v>
      </c>
      <c r="M528" s="430"/>
      <c r="N528" s="184" t="s">
        <v>1355</v>
      </c>
      <c r="O528" s="44"/>
      <c r="P528" s="431">
        <v>1</v>
      </c>
      <c r="Q528" s="360">
        <v>0.25</v>
      </c>
      <c r="R528" s="431"/>
      <c r="S528" s="153">
        <f t="shared" si="16"/>
        <v>0</v>
      </c>
      <c r="T528" s="152">
        <f t="shared" si="17"/>
        <v>0</v>
      </c>
      <c r="U528" s="153" t="s">
        <v>34</v>
      </c>
      <c r="V528" s="44"/>
      <c r="W528" s="113"/>
    </row>
    <row r="529" spans="1:23" ht="16.05" customHeight="1" x14ac:dyDescent="0.45">
      <c r="A529" s="1">
        <v>528</v>
      </c>
      <c r="B529" s="113" t="s">
        <v>924</v>
      </c>
      <c r="C529" s="57" t="s">
        <v>24</v>
      </c>
      <c r="D529" s="358">
        <v>5261</v>
      </c>
      <c r="E529" s="113" t="s">
        <v>1352</v>
      </c>
      <c r="F529" s="113" t="s">
        <v>1308</v>
      </c>
      <c r="G529" s="16">
        <v>5043</v>
      </c>
      <c r="H529" s="113" t="s">
        <v>1266</v>
      </c>
      <c r="I529" s="113" t="s">
        <v>729</v>
      </c>
      <c r="J529" s="16" t="s">
        <v>58</v>
      </c>
      <c r="K529" s="16" t="s">
        <v>57</v>
      </c>
      <c r="L529" s="360">
        <v>0.6</v>
      </c>
      <c r="M529" s="430"/>
      <c r="N529" s="184" t="s">
        <v>1356</v>
      </c>
      <c r="O529" s="44"/>
      <c r="P529" s="431">
        <v>1</v>
      </c>
      <c r="Q529" s="360">
        <v>0.1</v>
      </c>
      <c r="R529" s="431"/>
      <c r="S529" s="153">
        <f t="shared" si="16"/>
        <v>0</v>
      </c>
      <c r="T529" s="152">
        <f t="shared" si="17"/>
        <v>0</v>
      </c>
      <c r="U529" s="153" t="s">
        <v>34</v>
      </c>
      <c r="V529" s="44"/>
      <c r="W529" s="113"/>
    </row>
    <row r="530" spans="1:23" ht="16.05" customHeight="1" x14ac:dyDescent="0.45">
      <c r="A530" s="1">
        <v>529</v>
      </c>
      <c r="B530" s="113" t="s">
        <v>924</v>
      </c>
      <c r="C530" s="57" t="s">
        <v>24</v>
      </c>
      <c r="D530" s="358">
        <v>5261</v>
      </c>
      <c r="E530" s="113" t="s">
        <v>1352</v>
      </c>
      <c r="F530" s="113" t="s">
        <v>1308</v>
      </c>
      <c r="G530" s="16">
        <v>5043</v>
      </c>
      <c r="H530" s="113" t="s">
        <v>1266</v>
      </c>
      <c r="I530" s="113" t="s">
        <v>729</v>
      </c>
      <c r="J530" s="16" t="s">
        <v>58</v>
      </c>
      <c r="K530" s="16" t="s">
        <v>57</v>
      </c>
      <c r="L530" s="360">
        <v>0.6</v>
      </c>
      <c r="M530" s="430"/>
      <c r="N530" s="184" t="s">
        <v>1357</v>
      </c>
      <c r="O530" s="44"/>
      <c r="P530" s="431">
        <v>1</v>
      </c>
      <c r="Q530" s="360">
        <v>0.2</v>
      </c>
      <c r="R530" s="431"/>
      <c r="S530" s="153">
        <f t="shared" si="16"/>
        <v>0</v>
      </c>
      <c r="T530" s="152">
        <f t="shared" si="17"/>
        <v>0</v>
      </c>
      <c r="U530" s="153" t="s">
        <v>34</v>
      </c>
      <c r="V530" s="44"/>
      <c r="W530" s="113"/>
    </row>
    <row r="531" spans="1:23" ht="16.05" customHeight="1" x14ac:dyDescent="0.45">
      <c r="A531" s="1">
        <v>530</v>
      </c>
      <c r="B531" s="113" t="s">
        <v>924</v>
      </c>
      <c r="C531" s="57" t="s">
        <v>24</v>
      </c>
      <c r="D531" s="358">
        <v>5261</v>
      </c>
      <c r="E531" s="113" t="s">
        <v>1352</v>
      </c>
      <c r="F531" s="113" t="s">
        <v>1308</v>
      </c>
      <c r="G531" s="16">
        <v>5043</v>
      </c>
      <c r="H531" s="113" t="s">
        <v>1266</v>
      </c>
      <c r="I531" s="113" t="s">
        <v>729</v>
      </c>
      <c r="J531" s="16" t="s">
        <v>58</v>
      </c>
      <c r="K531" s="16" t="s">
        <v>57</v>
      </c>
      <c r="L531" s="360">
        <v>0.6</v>
      </c>
      <c r="M531" s="430"/>
      <c r="N531" s="184" t="s">
        <v>1358</v>
      </c>
      <c r="O531" s="44"/>
      <c r="P531" s="431">
        <v>1</v>
      </c>
      <c r="Q531" s="360">
        <v>0.2</v>
      </c>
      <c r="R531" s="431"/>
      <c r="S531" s="153">
        <f t="shared" si="16"/>
        <v>0</v>
      </c>
      <c r="T531" s="152">
        <f t="shared" si="17"/>
        <v>0</v>
      </c>
      <c r="U531" s="153" t="s">
        <v>34</v>
      </c>
      <c r="V531" s="44"/>
      <c r="W531" s="113"/>
    </row>
    <row r="532" spans="1:23" ht="16.05" customHeight="1" x14ac:dyDescent="0.45">
      <c r="A532" s="1">
        <v>531</v>
      </c>
      <c r="B532" s="113" t="s">
        <v>924</v>
      </c>
      <c r="C532" s="57" t="s">
        <v>24</v>
      </c>
      <c r="D532" s="358">
        <v>5261</v>
      </c>
      <c r="E532" s="113" t="s">
        <v>1352</v>
      </c>
      <c r="F532" s="113" t="s">
        <v>1308</v>
      </c>
      <c r="G532" s="16">
        <v>5043</v>
      </c>
      <c r="H532" s="113" t="s">
        <v>1266</v>
      </c>
      <c r="I532" s="113" t="s">
        <v>729</v>
      </c>
      <c r="J532" s="182" t="s">
        <v>111</v>
      </c>
      <c r="K532" s="16" t="s">
        <v>110</v>
      </c>
      <c r="L532" s="282">
        <v>0.4</v>
      </c>
      <c r="M532" s="71"/>
      <c r="N532" s="16" t="s">
        <v>255</v>
      </c>
      <c r="O532" s="73"/>
      <c r="P532" s="28">
        <v>1</v>
      </c>
      <c r="Q532" s="282">
        <v>0.05</v>
      </c>
      <c r="R532" s="28"/>
      <c r="S532" s="28">
        <f t="shared" si="16"/>
        <v>0</v>
      </c>
      <c r="T532" s="46">
        <f t="shared" si="17"/>
        <v>0</v>
      </c>
      <c r="U532" s="28" t="s">
        <v>34</v>
      </c>
      <c r="V532" s="73"/>
      <c r="W532" s="113"/>
    </row>
    <row r="533" spans="1:23" ht="16.05" customHeight="1" x14ac:dyDescent="0.45">
      <c r="A533" s="1">
        <v>532</v>
      </c>
      <c r="B533" s="113" t="s">
        <v>924</v>
      </c>
      <c r="C533" s="57" t="s">
        <v>24</v>
      </c>
      <c r="D533" s="358">
        <v>5261</v>
      </c>
      <c r="E533" s="113" t="s">
        <v>1352</v>
      </c>
      <c r="F533" s="113" t="s">
        <v>1308</v>
      </c>
      <c r="G533" s="16">
        <v>5043</v>
      </c>
      <c r="H533" s="113" t="s">
        <v>1266</v>
      </c>
      <c r="I533" s="113" t="s">
        <v>729</v>
      </c>
      <c r="J533" s="182" t="s">
        <v>111</v>
      </c>
      <c r="K533" s="16" t="s">
        <v>110</v>
      </c>
      <c r="L533" s="282">
        <v>0.4</v>
      </c>
      <c r="M533" s="71"/>
      <c r="N533" s="16" t="s">
        <v>768</v>
      </c>
      <c r="O533" s="73"/>
      <c r="P533" s="28">
        <v>1</v>
      </c>
      <c r="Q533" s="282">
        <v>0.05</v>
      </c>
      <c r="R533" s="28"/>
      <c r="S533" s="28">
        <f t="shared" si="16"/>
        <v>0</v>
      </c>
      <c r="T533" s="46">
        <f t="shared" si="17"/>
        <v>0</v>
      </c>
      <c r="U533" s="28" t="s">
        <v>34</v>
      </c>
      <c r="V533" s="73"/>
      <c r="W533" s="113"/>
    </row>
    <row r="534" spans="1:23" ht="16.05" customHeight="1" x14ac:dyDescent="0.45">
      <c r="A534" s="1">
        <v>533</v>
      </c>
      <c r="B534" s="113" t="s">
        <v>924</v>
      </c>
      <c r="C534" s="57" t="s">
        <v>24</v>
      </c>
      <c r="D534" s="358">
        <v>5261</v>
      </c>
      <c r="E534" s="113" t="s">
        <v>1352</v>
      </c>
      <c r="F534" s="113" t="s">
        <v>1308</v>
      </c>
      <c r="G534" s="16">
        <v>5043</v>
      </c>
      <c r="H534" s="113" t="s">
        <v>1266</v>
      </c>
      <c r="I534" s="113" t="s">
        <v>729</v>
      </c>
      <c r="J534" s="182" t="s">
        <v>111</v>
      </c>
      <c r="K534" s="16" t="s">
        <v>110</v>
      </c>
      <c r="L534" s="282">
        <v>0.4</v>
      </c>
      <c r="M534" s="71"/>
      <c r="N534" s="16" t="s">
        <v>769</v>
      </c>
      <c r="O534" s="73"/>
      <c r="P534" s="28">
        <v>1</v>
      </c>
      <c r="Q534" s="282">
        <v>0.05</v>
      </c>
      <c r="R534" s="28"/>
      <c r="S534" s="28">
        <f t="shared" si="16"/>
        <v>0</v>
      </c>
      <c r="T534" s="46">
        <f t="shared" si="17"/>
        <v>0</v>
      </c>
      <c r="U534" s="28" t="s">
        <v>34</v>
      </c>
      <c r="V534" s="73"/>
      <c r="W534" s="113"/>
    </row>
    <row r="535" spans="1:23" ht="16.05" customHeight="1" x14ac:dyDescent="0.45">
      <c r="A535" s="1">
        <v>534</v>
      </c>
      <c r="B535" s="113" t="s">
        <v>924</v>
      </c>
      <c r="C535" s="57" t="s">
        <v>24</v>
      </c>
      <c r="D535" s="358">
        <v>5261</v>
      </c>
      <c r="E535" s="113" t="s">
        <v>1352</v>
      </c>
      <c r="F535" s="113" t="s">
        <v>1308</v>
      </c>
      <c r="G535" s="16">
        <v>5043</v>
      </c>
      <c r="H535" s="113" t="s">
        <v>1266</v>
      </c>
      <c r="I535" s="113" t="s">
        <v>729</v>
      </c>
      <c r="J535" s="182" t="s">
        <v>111</v>
      </c>
      <c r="K535" s="16" t="s">
        <v>110</v>
      </c>
      <c r="L535" s="282">
        <v>0.4</v>
      </c>
      <c r="M535" s="71"/>
      <c r="N535" s="16" t="s">
        <v>770</v>
      </c>
      <c r="O535" s="73"/>
      <c r="P535" s="28">
        <v>1</v>
      </c>
      <c r="Q535" s="282">
        <v>0.15</v>
      </c>
      <c r="R535" s="28"/>
      <c r="S535" s="28">
        <f t="shared" si="16"/>
        <v>0</v>
      </c>
      <c r="T535" s="46">
        <f t="shared" si="17"/>
        <v>0</v>
      </c>
      <c r="U535" s="28" t="s">
        <v>34</v>
      </c>
      <c r="V535" s="73"/>
      <c r="W535" s="113"/>
    </row>
    <row r="536" spans="1:23" ht="16.05" customHeight="1" x14ac:dyDescent="0.45">
      <c r="A536" s="1">
        <v>535</v>
      </c>
      <c r="B536" s="113" t="s">
        <v>924</v>
      </c>
      <c r="C536" s="57" t="s">
        <v>24</v>
      </c>
      <c r="D536" s="358">
        <v>5261</v>
      </c>
      <c r="E536" s="113" t="s">
        <v>1352</v>
      </c>
      <c r="F536" s="113" t="s">
        <v>1308</v>
      </c>
      <c r="G536" s="16">
        <v>5043</v>
      </c>
      <c r="H536" s="113" t="s">
        <v>1266</v>
      </c>
      <c r="I536" s="113" t="s">
        <v>729</v>
      </c>
      <c r="J536" s="182" t="s">
        <v>111</v>
      </c>
      <c r="K536" s="16" t="s">
        <v>110</v>
      </c>
      <c r="L536" s="282">
        <v>0.4</v>
      </c>
      <c r="M536" s="71"/>
      <c r="N536" s="16" t="s">
        <v>254</v>
      </c>
      <c r="O536" s="73"/>
      <c r="P536" s="28">
        <v>1</v>
      </c>
      <c r="Q536" s="282">
        <v>0.1</v>
      </c>
      <c r="R536" s="28"/>
      <c r="S536" s="28">
        <f t="shared" si="16"/>
        <v>0</v>
      </c>
      <c r="T536" s="46">
        <f t="shared" si="17"/>
        <v>0</v>
      </c>
      <c r="U536" s="28" t="s">
        <v>34</v>
      </c>
      <c r="V536" s="73"/>
      <c r="W536" s="113"/>
    </row>
    <row r="537" spans="1:23" ht="16.05" customHeight="1" x14ac:dyDescent="0.45">
      <c r="A537" s="1">
        <v>536</v>
      </c>
      <c r="B537" s="113" t="s">
        <v>924</v>
      </c>
      <c r="C537" s="57" t="s">
        <v>24</v>
      </c>
      <c r="D537" s="358">
        <v>5261</v>
      </c>
      <c r="E537" s="113" t="s">
        <v>1352</v>
      </c>
      <c r="F537" s="113" t="s">
        <v>1308</v>
      </c>
      <c r="G537" s="16">
        <v>5043</v>
      </c>
      <c r="H537" s="113" t="s">
        <v>1266</v>
      </c>
      <c r="I537" s="113" t="s">
        <v>729</v>
      </c>
      <c r="J537" s="182" t="s">
        <v>111</v>
      </c>
      <c r="K537" s="16" t="s">
        <v>110</v>
      </c>
      <c r="L537" s="282">
        <v>0.4</v>
      </c>
      <c r="M537" s="71"/>
      <c r="N537" s="16" t="s">
        <v>771</v>
      </c>
      <c r="O537" s="73"/>
      <c r="P537" s="28">
        <v>1</v>
      </c>
      <c r="Q537" s="282">
        <v>0.05</v>
      </c>
      <c r="R537" s="28"/>
      <c r="S537" s="28">
        <f t="shared" si="16"/>
        <v>0</v>
      </c>
      <c r="T537" s="46">
        <f t="shared" si="17"/>
        <v>0</v>
      </c>
      <c r="U537" s="28" t="s">
        <v>34</v>
      </c>
      <c r="V537" s="73"/>
      <c r="W537" s="113"/>
    </row>
    <row r="538" spans="1:23" ht="16.05" customHeight="1" x14ac:dyDescent="0.45">
      <c r="A538" s="1">
        <v>537</v>
      </c>
      <c r="B538" s="113" t="s">
        <v>924</v>
      </c>
      <c r="C538" s="57" t="s">
        <v>24</v>
      </c>
      <c r="D538" s="358">
        <v>5261</v>
      </c>
      <c r="E538" s="113" t="s">
        <v>1352</v>
      </c>
      <c r="F538" s="113" t="s">
        <v>1308</v>
      </c>
      <c r="G538" s="16">
        <v>5043</v>
      </c>
      <c r="H538" s="113" t="s">
        <v>1266</v>
      </c>
      <c r="I538" s="113" t="s">
        <v>729</v>
      </c>
      <c r="J538" s="182" t="s">
        <v>111</v>
      </c>
      <c r="K538" s="16" t="s">
        <v>110</v>
      </c>
      <c r="L538" s="282">
        <v>0.4</v>
      </c>
      <c r="M538" s="71"/>
      <c r="N538" s="16" t="s">
        <v>772</v>
      </c>
      <c r="O538" s="73"/>
      <c r="P538" s="28">
        <v>1</v>
      </c>
      <c r="Q538" s="282">
        <v>0.1</v>
      </c>
      <c r="R538" s="28"/>
      <c r="S538" s="28">
        <f t="shared" si="16"/>
        <v>0</v>
      </c>
      <c r="T538" s="46">
        <f t="shared" si="17"/>
        <v>0</v>
      </c>
      <c r="U538" s="28" t="s">
        <v>34</v>
      </c>
      <c r="V538" s="73"/>
      <c r="W538" s="113"/>
    </row>
    <row r="539" spans="1:23" ht="16.05" customHeight="1" x14ac:dyDescent="0.45">
      <c r="A539" s="1">
        <v>538</v>
      </c>
      <c r="B539" s="113" t="s">
        <v>924</v>
      </c>
      <c r="C539" s="57" t="s">
        <v>24</v>
      </c>
      <c r="D539" s="358">
        <v>5261</v>
      </c>
      <c r="E539" s="113" t="s">
        <v>1352</v>
      </c>
      <c r="F539" s="113" t="s">
        <v>1308</v>
      </c>
      <c r="G539" s="16">
        <v>5043</v>
      </c>
      <c r="H539" s="113" t="s">
        <v>1266</v>
      </c>
      <c r="I539" s="113" t="s">
        <v>729</v>
      </c>
      <c r="J539" s="182" t="s">
        <v>111</v>
      </c>
      <c r="K539" s="16" t="s">
        <v>110</v>
      </c>
      <c r="L539" s="282">
        <v>0.4</v>
      </c>
      <c r="M539" s="71"/>
      <c r="N539" s="16" t="s">
        <v>773</v>
      </c>
      <c r="O539" s="73"/>
      <c r="P539" s="28">
        <v>1</v>
      </c>
      <c r="Q539" s="282">
        <v>0.05</v>
      </c>
      <c r="R539" s="28"/>
      <c r="S539" s="28">
        <f t="shared" si="16"/>
        <v>0</v>
      </c>
      <c r="T539" s="46">
        <f t="shared" si="17"/>
        <v>0</v>
      </c>
      <c r="U539" s="28" t="s">
        <v>34</v>
      </c>
      <c r="V539" s="73"/>
      <c r="W539" s="113"/>
    </row>
    <row r="540" spans="1:23" ht="16.05" customHeight="1" x14ac:dyDescent="0.45">
      <c r="A540" s="1">
        <v>539</v>
      </c>
      <c r="B540" s="113" t="s">
        <v>924</v>
      </c>
      <c r="C540" s="57" t="s">
        <v>24</v>
      </c>
      <c r="D540" s="358">
        <v>5261</v>
      </c>
      <c r="E540" s="113" t="s">
        <v>1352</v>
      </c>
      <c r="F540" s="113" t="s">
        <v>1308</v>
      </c>
      <c r="G540" s="16">
        <v>5043</v>
      </c>
      <c r="H540" s="113" t="s">
        <v>1266</v>
      </c>
      <c r="I540" s="113" t="s">
        <v>729</v>
      </c>
      <c r="J540" s="182" t="s">
        <v>111</v>
      </c>
      <c r="K540" s="16" t="s">
        <v>110</v>
      </c>
      <c r="L540" s="282">
        <v>0.4</v>
      </c>
      <c r="M540" s="71"/>
      <c r="N540" s="16" t="s">
        <v>774</v>
      </c>
      <c r="O540" s="73"/>
      <c r="P540" s="28">
        <v>1</v>
      </c>
      <c r="Q540" s="282">
        <v>0.05</v>
      </c>
      <c r="R540" s="28"/>
      <c r="S540" s="28">
        <f t="shared" si="16"/>
        <v>0</v>
      </c>
      <c r="T540" s="46">
        <f t="shared" si="17"/>
        <v>0</v>
      </c>
      <c r="U540" s="28" t="s">
        <v>34</v>
      </c>
      <c r="V540" s="73"/>
      <c r="W540" s="113"/>
    </row>
    <row r="541" spans="1:23" ht="16.05" customHeight="1" x14ac:dyDescent="0.45">
      <c r="A541" s="1">
        <v>540</v>
      </c>
      <c r="B541" s="113" t="s">
        <v>924</v>
      </c>
      <c r="C541" s="57" t="s">
        <v>24</v>
      </c>
      <c r="D541" s="358">
        <v>5261</v>
      </c>
      <c r="E541" s="113" t="s">
        <v>1352</v>
      </c>
      <c r="F541" s="113" t="s">
        <v>1308</v>
      </c>
      <c r="G541" s="16">
        <v>5043</v>
      </c>
      <c r="H541" s="113" t="s">
        <v>1266</v>
      </c>
      <c r="I541" s="113" t="s">
        <v>729</v>
      </c>
      <c r="J541" s="182" t="s">
        <v>111</v>
      </c>
      <c r="K541" s="16" t="s">
        <v>110</v>
      </c>
      <c r="L541" s="282">
        <v>0.4</v>
      </c>
      <c r="M541" s="71"/>
      <c r="N541" s="16" t="s">
        <v>775</v>
      </c>
      <c r="O541" s="73"/>
      <c r="P541" s="28">
        <v>1</v>
      </c>
      <c r="Q541" s="282">
        <v>0.05</v>
      </c>
      <c r="R541" s="28"/>
      <c r="S541" s="28">
        <f t="shared" si="16"/>
        <v>0</v>
      </c>
      <c r="T541" s="46">
        <f t="shared" si="17"/>
        <v>0</v>
      </c>
      <c r="U541" s="28" t="s">
        <v>34</v>
      </c>
      <c r="V541" s="73"/>
      <c r="W541" s="113"/>
    </row>
    <row r="542" spans="1:23" ht="16.05" customHeight="1" x14ac:dyDescent="0.45">
      <c r="A542" s="1">
        <v>541</v>
      </c>
      <c r="B542" s="113" t="s">
        <v>924</v>
      </c>
      <c r="C542" s="57" t="s">
        <v>24</v>
      </c>
      <c r="D542" s="358">
        <v>5261</v>
      </c>
      <c r="E542" s="113" t="s">
        <v>1352</v>
      </c>
      <c r="F542" s="113" t="s">
        <v>1308</v>
      </c>
      <c r="G542" s="16">
        <v>5043</v>
      </c>
      <c r="H542" s="113" t="s">
        <v>1266</v>
      </c>
      <c r="I542" s="113" t="s">
        <v>729</v>
      </c>
      <c r="J542" s="182" t="s">
        <v>111</v>
      </c>
      <c r="K542" s="16" t="s">
        <v>110</v>
      </c>
      <c r="L542" s="282">
        <v>0.4</v>
      </c>
      <c r="M542" s="71"/>
      <c r="N542" s="16" t="s">
        <v>776</v>
      </c>
      <c r="O542" s="73"/>
      <c r="P542" s="28">
        <v>1</v>
      </c>
      <c r="Q542" s="282">
        <v>0.1</v>
      </c>
      <c r="R542" s="28"/>
      <c r="S542" s="28">
        <f t="shared" si="16"/>
        <v>0</v>
      </c>
      <c r="T542" s="46">
        <f t="shared" si="17"/>
        <v>0</v>
      </c>
      <c r="U542" s="28" t="s">
        <v>34</v>
      </c>
      <c r="V542" s="73"/>
      <c r="W542" s="113"/>
    </row>
    <row r="543" spans="1:23" ht="16.05" customHeight="1" x14ac:dyDescent="0.45">
      <c r="A543" s="1">
        <v>542</v>
      </c>
      <c r="B543" s="113" t="s">
        <v>924</v>
      </c>
      <c r="C543" s="57" t="s">
        <v>24</v>
      </c>
      <c r="D543" s="358">
        <v>5261</v>
      </c>
      <c r="E543" s="113" t="s">
        <v>1352</v>
      </c>
      <c r="F543" s="113" t="s">
        <v>1308</v>
      </c>
      <c r="G543" s="16">
        <v>5043</v>
      </c>
      <c r="H543" s="113" t="s">
        <v>1266</v>
      </c>
      <c r="I543" s="113" t="s">
        <v>729</v>
      </c>
      <c r="J543" s="182" t="s">
        <v>111</v>
      </c>
      <c r="K543" s="16" t="s">
        <v>110</v>
      </c>
      <c r="L543" s="282">
        <v>0.4</v>
      </c>
      <c r="M543" s="71"/>
      <c r="N543" s="16" t="s">
        <v>251</v>
      </c>
      <c r="O543" s="73"/>
      <c r="P543" s="28">
        <v>1</v>
      </c>
      <c r="Q543" s="282">
        <v>0.05</v>
      </c>
      <c r="R543" s="28"/>
      <c r="S543" s="28">
        <f t="shared" si="16"/>
        <v>0</v>
      </c>
      <c r="T543" s="46">
        <f t="shared" si="17"/>
        <v>0</v>
      </c>
      <c r="U543" s="28" t="s">
        <v>34</v>
      </c>
      <c r="V543" s="73"/>
      <c r="W543" s="113"/>
    </row>
    <row r="544" spans="1:23" ht="16.05" customHeight="1" x14ac:dyDescent="0.45">
      <c r="A544" s="1">
        <v>543</v>
      </c>
      <c r="B544" s="113" t="s">
        <v>924</v>
      </c>
      <c r="C544" s="57" t="s">
        <v>24</v>
      </c>
      <c r="D544" s="358">
        <v>5261</v>
      </c>
      <c r="E544" s="113" t="s">
        <v>1352</v>
      </c>
      <c r="F544" s="113" t="s">
        <v>1308</v>
      </c>
      <c r="G544" s="16">
        <v>5043</v>
      </c>
      <c r="H544" s="113" t="s">
        <v>1266</v>
      </c>
      <c r="I544" s="113" t="s">
        <v>729</v>
      </c>
      <c r="J544" s="182" t="s">
        <v>111</v>
      </c>
      <c r="K544" s="16" t="s">
        <v>110</v>
      </c>
      <c r="L544" s="282">
        <v>0.4</v>
      </c>
      <c r="M544" s="71"/>
      <c r="N544" s="16" t="s">
        <v>252</v>
      </c>
      <c r="O544" s="73"/>
      <c r="P544" s="28">
        <v>1</v>
      </c>
      <c r="Q544" s="282">
        <v>0.05</v>
      </c>
      <c r="R544" s="28"/>
      <c r="S544" s="28">
        <f t="shared" si="16"/>
        <v>0</v>
      </c>
      <c r="T544" s="46">
        <f t="shared" si="17"/>
        <v>0</v>
      </c>
      <c r="U544" s="28" t="s">
        <v>34</v>
      </c>
      <c r="V544" s="73"/>
      <c r="W544" s="113"/>
    </row>
    <row r="545" spans="1:23" ht="16.05" customHeight="1" x14ac:dyDescent="0.45">
      <c r="A545" s="1">
        <v>544</v>
      </c>
      <c r="B545" s="113" t="s">
        <v>924</v>
      </c>
      <c r="C545" s="57" t="s">
        <v>24</v>
      </c>
      <c r="D545" s="358">
        <v>5261</v>
      </c>
      <c r="E545" s="113" t="s">
        <v>1352</v>
      </c>
      <c r="F545" s="113" t="s">
        <v>1308</v>
      </c>
      <c r="G545" s="16">
        <v>5043</v>
      </c>
      <c r="H545" s="113" t="s">
        <v>1266</v>
      </c>
      <c r="I545" s="113" t="s">
        <v>729</v>
      </c>
      <c r="J545" s="182" t="s">
        <v>111</v>
      </c>
      <c r="K545" s="16" t="s">
        <v>110</v>
      </c>
      <c r="L545" s="282">
        <v>0.4</v>
      </c>
      <c r="M545" s="71"/>
      <c r="N545" s="16" t="s">
        <v>777</v>
      </c>
      <c r="O545" s="73"/>
      <c r="P545" s="28">
        <v>1</v>
      </c>
      <c r="Q545" s="282">
        <v>0.05</v>
      </c>
      <c r="R545" s="28"/>
      <c r="S545" s="28">
        <f t="shared" si="16"/>
        <v>0</v>
      </c>
      <c r="T545" s="46">
        <f t="shared" si="17"/>
        <v>0</v>
      </c>
      <c r="U545" s="28" t="s">
        <v>34</v>
      </c>
      <c r="V545" s="73"/>
      <c r="W545" s="113"/>
    </row>
    <row r="546" spans="1:23" ht="16.05" customHeight="1" x14ac:dyDescent="0.45">
      <c r="A546" s="1">
        <v>545</v>
      </c>
      <c r="B546" s="113" t="s">
        <v>924</v>
      </c>
      <c r="C546" s="57" t="s">
        <v>24</v>
      </c>
      <c r="D546" s="358">
        <v>5261</v>
      </c>
      <c r="E546" s="113" t="s">
        <v>1352</v>
      </c>
      <c r="F546" s="113" t="s">
        <v>1308</v>
      </c>
      <c r="G546" s="16">
        <v>5043</v>
      </c>
      <c r="H546" s="113" t="s">
        <v>1266</v>
      </c>
      <c r="I546" s="113" t="s">
        <v>729</v>
      </c>
      <c r="J546" s="182" t="s">
        <v>111</v>
      </c>
      <c r="K546" s="16" t="s">
        <v>110</v>
      </c>
      <c r="L546" s="282">
        <v>0.4</v>
      </c>
      <c r="M546" s="71"/>
      <c r="N546" s="16" t="s">
        <v>253</v>
      </c>
      <c r="O546" s="73"/>
      <c r="P546" s="28">
        <v>1</v>
      </c>
      <c r="Q546" s="282">
        <v>0.05</v>
      </c>
      <c r="R546" s="28"/>
      <c r="S546" s="28">
        <f t="shared" si="16"/>
        <v>0</v>
      </c>
      <c r="T546" s="46">
        <f t="shared" si="17"/>
        <v>0</v>
      </c>
      <c r="U546" s="28" t="s">
        <v>34</v>
      </c>
      <c r="V546" s="73"/>
      <c r="W546" s="113"/>
    </row>
    <row r="547" spans="1:23" ht="16.05" customHeight="1" x14ac:dyDescent="0.45">
      <c r="A547" s="1">
        <v>546</v>
      </c>
      <c r="B547" s="99" t="s">
        <v>924</v>
      </c>
      <c r="C547" s="99" t="s">
        <v>24</v>
      </c>
      <c r="D547" s="349">
        <v>5670</v>
      </c>
      <c r="E547" s="99" t="s">
        <v>1359</v>
      </c>
      <c r="F547" s="99" t="s">
        <v>1360</v>
      </c>
      <c r="G547" s="3">
        <v>5043</v>
      </c>
      <c r="H547" s="99" t="s">
        <v>1266</v>
      </c>
      <c r="I547" s="99" t="s">
        <v>729</v>
      </c>
      <c r="J547" s="91" t="s">
        <v>58</v>
      </c>
      <c r="K547" s="91" t="s">
        <v>57</v>
      </c>
      <c r="L547" s="350">
        <v>0.6</v>
      </c>
      <c r="M547" s="407"/>
      <c r="N547" s="91" t="s">
        <v>1361</v>
      </c>
      <c r="O547" s="146"/>
      <c r="P547" s="178">
        <v>1</v>
      </c>
      <c r="Q547" s="350">
        <v>0.1</v>
      </c>
      <c r="R547" s="178"/>
      <c r="S547" s="148">
        <f t="shared" si="16"/>
        <v>0</v>
      </c>
      <c r="T547" s="168">
        <f t="shared" si="17"/>
        <v>0</v>
      </c>
      <c r="U547" s="148" t="s">
        <v>34</v>
      </c>
      <c r="V547" s="429">
        <f>SUM(T547:T559)%</f>
        <v>0</v>
      </c>
      <c r="W547" s="99"/>
    </row>
    <row r="548" spans="1:23" ht="16.05" customHeight="1" x14ac:dyDescent="0.45">
      <c r="A548" s="1">
        <v>547</v>
      </c>
      <c r="B548" s="113" t="s">
        <v>924</v>
      </c>
      <c r="C548" s="59" t="s">
        <v>24</v>
      </c>
      <c r="D548" s="358">
        <v>5670</v>
      </c>
      <c r="E548" s="113" t="s">
        <v>1359</v>
      </c>
      <c r="F548" s="113" t="s">
        <v>1360</v>
      </c>
      <c r="G548" s="16">
        <v>5043</v>
      </c>
      <c r="H548" s="113" t="s">
        <v>1266</v>
      </c>
      <c r="I548" s="113" t="s">
        <v>729</v>
      </c>
      <c r="J548" s="357" t="s">
        <v>58</v>
      </c>
      <c r="K548" s="357" t="s">
        <v>57</v>
      </c>
      <c r="L548" s="360">
        <v>0.6</v>
      </c>
      <c r="M548" s="430"/>
      <c r="N548" s="64" t="s">
        <v>1362</v>
      </c>
      <c r="O548" s="44"/>
      <c r="P548" s="179">
        <v>1</v>
      </c>
      <c r="Q548" s="360">
        <v>0.15</v>
      </c>
      <c r="R548" s="179"/>
      <c r="S548" s="153">
        <f t="shared" si="16"/>
        <v>0</v>
      </c>
      <c r="T548" s="152">
        <f t="shared" si="17"/>
        <v>0</v>
      </c>
      <c r="U548" s="153" t="s">
        <v>34</v>
      </c>
      <c r="V548" s="174"/>
      <c r="W548" s="113"/>
    </row>
    <row r="549" spans="1:23" ht="16.05" customHeight="1" x14ac:dyDescent="0.45">
      <c r="A549" s="1">
        <v>548</v>
      </c>
      <c r="B549" s="113" t="s">
        <v>924</v>
      </c>
      <c r="C549" s="59" t="s">
        <v>24</v>
      </c>
      <c r="D549" s="358">
        <v>5670</v>
      </c>
      <c r="E549" s="113" t="s">
        <v>1359</v>
      </c>
      <c r="F549" s="113" t="s">
        <v>1360</v>
      </c>
      <c r="G549" s="16">
        <v>5043</v>
      </c>
      <c r="H549" s="113" t="s">
        <v>1266</v>
      </c>
      <c r="I549" s="113" t="s">
        <v>729</v>
      </c>
      <c r="J549" s="357" t="s">
        <v>58</v>
      </c>
      <c r="K549" s="357" t="s">
        <v>57</v>
      </c>
      <c r="L549" s="360">
        <v>0.6</v>
      </c>
      <c r="M549" s="430"/>
      <c r="N549" s="287" t="s">
        <v>1363</v>
      </c>
      <c r="O549" s="44"/>
      <c r="P549" s="179">
        <v>1</v>
      </c>
      <c r="Q549" s="360">
        <v>0.15</v>
      </c>
      <c r="R549" s="179"/>
      <c r="S549" s="153">
        <f t="shared" si="16"/>
        <v>0</v>
      </c>
      <c r="T549" s="152">
        <f t="shared" si="17"/>
        <v>0</v>
      </c>
      <c r="U549" s="153" t="s">
        <v>34</v>
      </c>
      <c r="V549" s="174"/>
      <c r="W549" s="113"/>
    </row>
    <row r="550" spans="1:23" ht="16.05" customHeight="1" x14ac:dyDescent="0.45">
      <c r="A550" s="1">
        <v>549</v>
      </c>
      <c r="B550" s="113" t="s">
        <v>924</v>
      </c>
      <c r="C550" s="59" t="s">
        <v>24</v>
      </c>
      <c r="D550" s="358">
        <v>5670</v>
      </c>
      <c r="E550" s="113" t="s">
        <v>1359</v>
      </c>
      <c r="F550" s="113" t="s">
        <v>1360</v>
      </c>
      <c r="G550" s="16">
        <v>5043</v>
      </c>
      <c r="H550" s="113" t="s">
        <v>1266</v>
      </c>
      <c r="I550" s="113" t="s">
        <v>729</v>
      </c>
      <c r="J550" s="357" t="s">
        <v>58</v>
      </c>
      <c r="K550" s="357" t="s">
        <v>57</v>
      </c>
      <c r="L550" s="360">
        <v>0.6</v>
      </c>
      <c r="M550" s="430"/>
      <c r="N550" s="64" t="s">
        <v>732</v>
      </c>
      <c r="O550" s="44"/>
      <c r="P550" s="179">
        <v>1</v>
      </c>
      <c r="Q550" s="360">
        <v>0.15</v>
      </c>
      <c r="R550" s="179"/>
      <c r="S550" s="153">
        <f t="shared" si="16"/>
        <v>0</v>
      </c>
      <c r="T550" s="152">
        <f t="shared" si="17"/>
        <v>0</v>
      </c>
      <c r="U550" s="153" t="s">
        <v>34</v>
      </c>
      <c r="V550" s="174"/>
      <c r="W550" s="113"/>
    </row>
    <row r="551" spans="1:23" ht="16.05" customHeight="1" x14ac:dyDescent="0.45">
      <c r="A551" s="1">
        <v>550</v>
      </c>
      <c r="B551" s="113" t="s">
        <v>924</v>
      </c>
      <c r="C551" s="59" t="s">
        <v>24</v>
      </c>
      <c r="D551" s="358">
        <v>5670</v>
      </c>
      <c r="E551" s="113" t="s">
        <v>1359</v>
      </c>
      <c r="F551" s="113" t="s">
        <v>1360</v>
      </c>
      <c r="G551" s="16">
        <v>5043</v>
      </c>
      <c r="H551" s="113" t="s">
        <v>1266</v>
      </c>
      <c r="I551" s="113" t="s">
        <v>729</v>
      </c>
      <c r="J551" s="357" t="s">
        <v>58</v>
      </c>
      <c r="K551" s="357" t="s">
        <v>57</v>
      </c>
      <c r="L551" s="360">
        <v>0.6</v>
      </c>
      <c r="M551" s="430"/>
      <c r="N551" s="64" t="s">
        <v>1364</v>
      </c>
      <c r="O551" s="44"/>
      <c r="P551" s="179">
        <v>1</v>
      </c>
      <c r="Q551" s="360">
        <v>0.1</v>
      </c>
      <c r="R551" s="179"/>
      <c r="S551" s="153">
        <f t="shared" si="16"/>
        <v>0</v>
      </c>
      <c r="T551" s="152">
        <f t="shared" si="17"/>
        <v>0</v>
      </c>
      <c r="U551" s="153" t="s">
        <v>34</v>
      </c>
      <c r="V551" s="174"/>
      <c r="W551" s="113"/>
    </row>
    <row r="552" spans="1:23" ht="16.05" customHeight="1" x14ac:dyDescent="0.45">
      <c r="A552" s="1">
        <v>551</v>
      </c>
      <c r="B552" s="113" t="s">
        <v>924</v>
      </c>
      <c r="C552" s="59" t="s">
        <v>24</v>
      </c>
      <c r="D552" s="358">
        <v>5670</v>
      </c>
      <c r="E552" s="113" t="s">
        <v>1359</v>
      </c>
      <c r="F552" s="113" t="s">
        <v>1360</v>
      </c>
      <c r="G552" s="16">
        <v>5043</v>
      </c>
      <c r="H552" s="113" t="s">
        <v>1266</v>
      </c>
      <c r="I552" s="113" t="s">
        <v>729</v>
      </c>
      <c r="J552" s="357" t="s">
        <v>58</v>
      </c>
      <c r="K552" s="357" t="s">
        <v>57</v>
      </c>
      <c r="L552" s="360">
        <v>0.6</v>
      </c>
      <c r="M552" s="430"/>
      <c r="N552" s="64" t="s">
        <v>1365</v>
      </c>
      <c r="O552" s="44"/>
      <c r="P552" s="179">
        <v>1</v>
      </c>
      <c r="Q552" s="360">
        <v>0.1</v>
      </c>
      <c r="R552" s="179"/>
      <c r="S552" s="153">
        <f t="shared" si="16"/>
        <v>0</v>
      </c>
      <c r="T552" s="152">
        <f t="shared" si="17"/>
        <v>0</v>
      </c>
      <c r="U552" s="153" t="s">
        <v>34</v>
      </c>
      <c r="V552" s="174"/>
      <c r="W552" s="113"/>
    </row>
    <row r="553" spans="1:23" ht="16.05" customHeight="1" x14ac:dyDescent="0.45">
      <c r="A553" s="1">
        <v>552</v>
      </c>
      <c r="B553" s="113" t="s">
        <v>924</v>
      </c>
      <c r="C553" s="59" t="s">
        <v>24</v>
      </c>
      <c r="D553" s="358">
        <v>5670</v>
      </c>
      <c r="E553" s="113" t="s">
        <v>1359</v>
      </c>
      <c r="F553" s="113" t="s">
        <v>1360</v>
      </c>
      <c r="G553" s="16">
        <v>5043</v>
      </c>
      <c r="H553" s="113" t="s">
        <v>1266</v>
      </c>
      <c r="I553" s="113" t="s">
        <v>729</v>
      </c>
      <c r="J553" s="357" t="s">
        <v>58</v>
      </c>
      <c r="K553" s="357" t="s">
        <v>57</v>
      </c>
      <c r="L553" s="360">
        <v>0.6</v>
      </c>
      <c r="M553" s="430"/>
      <c r="N553" s="64" t="s">
        <v>733</v>
      </c>
      <c r="O553" s="44"/>
      <c r="P553" s="179">
        <v>1</v>
      </c>
      <c r="Q553" s="360">
        <v>0.1</v>
      </c>
      <c r="R553" s="179"/>
      <c r="S553" s="153">
        <f t="shared" si="16"/>
        <v>0</v>
      </c>
      <c r="T553" s="152">
        <f t="shared" si="17"/>
        <v>0</v>
      </c>
      <c r="U553" s="153" t="s">
        <v>34</v>
      </c>
      <c r="V553" s="174"/>
      <c r="W553" s="113"/>
    </row>
    <row r="554" spans="1:23" ht="16.05" customHeight="1" x14ac:dyDescent="0.45">
      <c r="A554" s="1">
        <v>553</v>
      </c>
      <c r="B554" s="113" t="s">
        <v>924</v>
      </c>
      <c r="C554" s="59" t="s">
        <v>24</v>
      </c>
      <c r="D554" s="358">
        <v>5670</v>
      </c>
      <c r="E554" s="113" t="s">
        <v>1359</v>
      </c>
      <c r="F554" s="113" t="s">
        <v>1360</v>
      </c>
      <c r="G554" s="16">
        <v>5043</v>
      </c>
      <c r="H554" s="113" t="s">
        <v>1266</v>
      </c>
      <c r="I554" s="113" t="s">
        <v>729</v>
      </c>
      <c r="J554" s="357" t="s">
        <v>58</v>
      </c>
      <c r="K554" s="357" t="s">
        <v>57</v>
      </c>
      <c r="L554" s="360">
        <v>0.6</v>
      </c>
      <c r="M554" s="430"/>
      <c r="N554" s="64" t="s">
        <v>734</v>
      </c>
      <c r="O554" s="44"/>
      <c r="P554" s="179">
        <v>1</v>
      </c>
      <c r="Q554" s="360">
        <v>0.15</v>
      </c>
      <c r="R554" s="179"/>
      <c r="S554" s="153">
        <f t="shared" si="16"/>
        <v>0</v>
      </c>
      <c r="T554" s="152">
        <f t="shared" si="17"/>
        <v>0</v>
      </c>
      <c r="U554" s="153" t="s">
        <v>34</v>
      </c>
      <c r="V554" s="174"/>
      <c r="W554" s="113"/>
    </row>
    <row r="555" spans="1:23" ht="16.05" customHeight="1" x14ac:dyDescent="0.45">
      <c r="A555" s="1">
        <v>554</v>
      </c>
      <c r="B555" s="113" t="s">
        <v>924</v>
      </c>
      <c r="C555" s="59" t="s">
        <v>24</v>
      </c>
      <c r="D555" s="358">
        <v>5670</v>
      </c>
      <c r="E555" s="113" t="s">
        <v>1359</v>
      </c>
      <c r="F555" s="113" t="s">
        <v>1360</v>
      </c>
      <c r="G555" s="16">
        <v>5043</v>
      </c>
      <c r="H555" s="113" t="s">
        <v>1266</v>
      </c>
      <c r="I555" s="113" t="s">
        <v>729</v>
      </c>
      <c r="J555" s="357" t="s">
        <v>111</v>
      </c>
      <c r="K555" s="357" t="s">
        <v>110</v>
      </c>
      <c r="L555" s="432">
        <v>0.4</v>
      </c>
      <c r="M555" s="71"/>
      <c r="N555" s="357" t="s">
        <v>1366</v>
      </c>
      <c r="O555" s="73"/>
      <c r="P555" s="433">
        <v>1</v>
      </c>
      <c r="Q555" s="432">
        <v>0.2</v>
      </c>
      <c r="R555" s="433"/>
      <c r="S555" s="160">
        <f t="shared" si="16"/>
        <v>0</v>
      </c>
      <c r="T555" s="161">
        <f t="shared" si="17"/>
        <v>0</v>
      </c>
      <c r="U555" s="160" t="s">
        <v>34</v>
      </c>
      <c r="V555" s="176"/>
      <c r="W555" s="113"/>
    </row>
    <row r="556" spans="1:23" ht="16.05" customHeight="1" x14ac:dyDescent="0.45">
      <c r="A556" s="1">
        <v>555</v>
      </c>
      <c r="B556" s="113" t="s">
        <v>924</v>
      </c>
      <c r="C556" s="59" t="s">
        <v>24</v>
      </c>
      <c r="D556" s="358">
        <v>5670</v>
      </c>
      <c r="E556" s="113" t="s">
        <v>1359</v>
      </c>
      <c r="F556" s="113" t="s">
        <v>1360</v>
      </c>
      <c r="G556" s="16">
        <v>5043</v>
      </c>
      <c r="H556" s="113" t="s">
        <v>1266</v>
      </c>
      <c r="I556" s="113" t="s">
        <v>729</v>
      </c>
      <c r="J556" s="357" t="s">
        <v>111</v>
      </c>
      <c r="K556" s="357" t="s">
        <v>110</v>
      </c>
      <c r="L556" s="432">
        <v>0.4</v>
      </c>
      <c r="M556" s="71"/>
      <c r="N556" s="357" t="s">
        <v>744</v>
      </c>
      <c r="O556" s="73"/>
      <c r="P556" s="433">
        <v>1</v>
      </c>
      <c r="Q556" s="432">
        <v>0.2</v>
      </c>
      <c r="R556" s="433"/>
      <c r="S556" s="160">
        <f t="shared" si="16"/>
        <v>0</v>
      </c>
      <c r="T556" s="161">
        <f t="shared" si="17"/>
        <v>0</v>
      </c>
      <c r="U556" s="160" t="s">
        <v>34</v>
      </c>
      <c r="V556" s="176"/>
      <c r="W556" s="113"/>
    </row>
    <row r="557" spans="1:23" ht="16.05" customHeight="1" x14ac:dyDescent="0.45">
      <c r="A557" s="1">
        <v>556</v>
      </c>
      <c r="B557" s="113" t="s">
        <v>924</v>
      </c>
      <c r="C557" s="59" t="s">
        <v>24</v>
      </c>
      <c r="D557" s="358">
        <v>5670</v>
      </c>
      <c r="E557" s="113" t="s">
        <v>1359</v>
      </c>
      <c r="F557" s="113" t="s">
        <v>1360</v>
      </c>
      <c r="G557" s="16">
        <v>5043</v>
      </c>
      <c r="H557" s="113" t="s">
        <v>1266</v>
      </c>
      <c r="I557" s="113" t="s">
        <v>729</v>
      </c>
      <c r="J557" s="357" t="s">
        <v>111</v>
      </c>
      <c r="K557" s="357" t="s">
        <v>110</v>
      </c>
      <c r="L557" s="432">
        <v>0.4</v>
      </c>
      <c r="M557" s="71"/>
      <c r="N557" s="357" t="s">
        <v>746</v>
      </c>
      <c r="O557" s="73"/>
      <c r="P557" s="433">
        <v>1</v>
      </c>
      <c r="Q557" s="432">
        <v>0.3</v>
      </c>
      <c r="R557" s="433"/>
      <c r="S557" s="160">
        <f t="shared" si="16"/>
        <v>0</v>
      </c>
      <c r="T557" s="161">
        <f t="shared" si="17"/>
        <v>0</v>
      </c>
      <c r="U557" s="160" t="s">
        <v>34</v>
      </c>
      <c r="V557" s="176"/>
      <c r="W557" s="113"/>
    </row>
    <row r="558" spans="1:23" ht="16.05" customHeight="1" x14ac:dyDescent="0.45">
      <c r="A558" s="1">
        <v>557</v>
      </c>
      <c r="B558" s="113" t="s">
        <v>924</v>
      </c>
      <c r="C558" s="59" t="s">
        <v>24</v>
      </c>
      <c r="D558" s="358">
        <v>5670</v>
      </c>
      <c r="E558" s="113" t="s">
        <v>1359</v>
      </c>
      <c r="F558" s="113" t="s">
        <v>1360</v>
      </c>
      <c r="G558" s="16">
        <v>5043</v>
      </c>
      <c r="H558" s="113" t="s">
        <v>1266</v>
      </c>
      <c r="I558" s="113" t="s">
        <v>729</v>
      </c>
      <c r="J558" s="357" t="s">
        <v>111</v>
      </c>
      <c r="K558" s="357" t="s">
        <v>110</v>
      </c>
      <c r="L558" s="432">
        <v>0.4</v>
      </c>
      <c r="M558" s="71"/>
      <c r="N558" s="357" t="s">
        <v>745</v>
      </c>
      <c r="O558" s="73"/>
      <c r="P558" s="433">
        <v>1</v>
      </c>
      <c r="Q558" s="432">
        <v>0.2</v>
      </c>
      <c r="R558" s="433"/>
      <c r="S558" s="160">
        <f t="shared" si="16"/>
        <v>0</v>
      </c>
      <c r="T558" s="161">
        <f t="shared" si="17"/>
        <v>0</v>
      </c>
      <c r="U558" s="160" t="s">
        <v>34</v>
      </c>
      <c r="V558" s="176"/>
      <c r="W558" s="113"/>
    </row>
    <row r="559" spans="1:23" ht="16.05" customHeight="1" x14ac:dyDescent="0.45">
      <c r="A559" s="1">
        <v>558</v>
      </c>
      <c r="B559" s="113" t="s">
        <v>924</v>
      </c>
      <c r="C559" s="59" t="s">
        <v>24</v>
      </c>
      <c r="D559" s="358">
        <v>5670</v>
      </c>
      <c r="E559" s="113" t="s">
        <v>1359</v>
      </c>
      <c r="F559" s="113" t="s">
        <v>1360</v>
      </c>
      <c r="G559" s="16">
        <v>5043</v>
      </c>
      <c r="H559" s="113" t="s">
        <v>1266</v>
      </c>
      <c r="I559" s="113" t="s">
        <v>729</v>
      </c>
      <c r="J559" s="357" t="s">
        <v>111</v>
      </c>
      <c r="K559" s="357" t="s">
        <v>110</v>
      </c>
      <c r="L559" s="432">
        <v>0.4</v>
      </c>
      <c r="M559" s="71"/>
      <c r="N559" s="357" t="s">
        <v>753</v>
      </c>
      <c r="O559" s="73"/>
      <c r="P559" s="433">
        <v>1</v>
      </c>
      <c r="Q559" s="432">
        <v>0.1</v>
      </c>
      <c r="R559" s="433"/>
      <c r="S559" s="160">
        <f t="shared" si="16"/>
        <v>0</v>
      </c>
      <c r="T559" s="161">
        <f t="shared" si="17"/>
        <v>0</v>
      </c>
      <c r="U559" s="160" t="s">
        <v>34</v>
      </c>
      <c r="V559" s="176"/>
      <c r="W559" s="113"/>
    </row>
    <row r="560" spans="1:23" ht="16.05" customHeight="1" x14ac:dyDescent="0.45">
      <c r="A560" s="1">
        <v>559</v>
      </c>
      <c r="B560" s="148" t="s">
        <v>924</v>
      </c>
      <c r="C560" s="148" t="s">
        <v>24</v>
      </c>
      <c r="D560" s="436">
        <v>5929</v>
      </c>
      <c r="E560" s="148" t="s">
        <v>1367</v>
      </c>
      <c r="F560" s="148" t="s">
        <v>1308</v>
      </c>
      <c r="G560" s="3">
        <v>5120</v>
      </c>
      <c r="H560" s="148" t="s">
        <v>1253</v>
      </c>
      <c r="I560" s="148" t="s">
        <v>729</v>
      </c>
      <c r="J560" s="148" t="s">
        <v>58</v>
      </c>
      <c r="K560" s="148" t="s">
        <v>57</v>
      </c>
      <c r="L560" s="350">
        <v>0.6</v>
      </c>
      <c r="M560" s="407"/>
      <c r="N560" s="91" t="s">
        <v>1368</v>
      </c>
      <c r="O560" s="146"/>
      <c r="P560" s="171">
        <v>1</v>
      </c>
      <c r="Q560" s="350">
        <v>0.2</v>
      </c>
      <c r="R560" s="171"/>
      <c r="S560" s="148">
        <f t="shared" si="16"/>
        <v>0</v>
      </c>
      <c r="T560" s="168">
        <f t="shared" si="17"/>
        <v>0</v>
      </c>
      <c r="U560" s="148" t="s">
        <v>34</v>
      </c>
      <c r="V560" s="429">
        <f>SUM(T560:T579)%</f>
        <v>0</v>
      </c>
      <c r="W560" s="148"/>
    </row>
    <row r="561" spans="1:23" ht="16.05" customHeight="1" x14ac:dyDescent="0.45">
      <c r="A561" s="1">
        <v>560</v>
      </c>
      <c r="B561" s="160" t="s">
        <v>924</v>
      </c>
      <c r="C561" s="160" t="s">
        <v>24</v>
      </c>
      <c r="D561" s="437">
        <v>5929</v>
      </c>
      <c r="E561" s="160" t="s">
        <v>1367</v>
      </c>
      <c r="F561" s="160" t="s">
        <v>1308</v>
      </c>
      <c r="G561" s="16">
        <v>5120</v>
      </c>
      <c r="H561" s="160" t="s">
        <v>1253</v>
      </c>
      <c r="I561" s="160" t="s">
        <v>729</v>
      </c>
      <c r="J561" s="160" t="s">
        <v>58</v>
      </c>
      <c r="K561" s="160" t="s">
        <v>57</v>
      </c>
      <c r="L561" s="360">
        <v>0.6</v>
      </c>
      <c r="M561" s="430"/>
      <c r="N561" s="64" t="s">
        <v>1369</v>
      </c>
      <c r="O561" s="44"/>
      <c r="P561" s="431">
        <v>1</v>
      </c>
      <c r="Q561" s="360">
        <v>0.2</v>
      </c>
      <c r="R561" s="431"/>
      <c r="S561" s="153">
        <f t="shared" si="16"/>
        <v>0</v>
      </c>
      <c r="T561" s="152">
        <f t="shared" si="17"/>
        <v>0</v>
      </c>
      <c r="U561" s="153" t="s">
        <v>34</v>
      </c>
      <c r="V561" s="174"/>
      <c r="W561" s="160"/>
    </row>
    <row r="562" spans="1:23" ht="16.05" customHeight="1" x14ac:dyDescent="0.45">
      <c r="A562" s="1">
        <v>561</v>
      </c>
      <c r="B562" s="160" t="s">
        <v>924</v>
      </c>
      <c r="C562" s="160" t="s">
        <v>24</v>
      </c>
      <c r="D562" s="437">
        <v>5929</v>
      </c>
      <c r="E562" s="160" t="s">
        <v>1367</v>
      </c>
      <c r="F562" s="160" t="s">
        <v>1308</v>
      </c>
      <c r="G562" s="16">
        <v>5120</v>
      </c>
      <c r="H562" s="160" t="s">
        <v>1253</v>
      </c>
      <c r="I562" s="160" t="s">
        <v>729</v>
      </c>
      <c r="J562" s="160" t="s">
        <v>58</v>
      </c>
      <c r="K562" s="160" t="s">
        <v>57</v>
      </c>
      <c r="L562" s="360">
        <v>0.6</v>
      </c>
      <c r="M562" s="430"/>
      <c r="N562" s="64" t="s">
        <v>1370</v>
      </c>
      <c r="O562" s="44"/>
      <c r="P562" s="431">
        <v>1</v>
      </c>
      <c r="Q562" s="360">
        <v>0.2</v>
      </c>
      <c r="R562" s="431"/>
      <c r="S562" s="153">
        <f t="shared" si="16"/>
        <v>0</v>
      </c>
      <c r="T562" s="152">
        <f t="shared" si="17"/>
        <v>0</v>
      </c>
      <c r="U562" s="153" t="s">
        <v>34</v>
      </c>
      <c r="V562" s="174"/>
      <c r="W562" s="160"/>
    </row>
    <row r="563" spans="1:23" ht="16.05" customHeight="1" x14ac:dyDescent="0.45">
      <c r="A563" s="1">
        <v>562</v>
      </c>
      <c r="B563" s="160" t="s">
        <v>924</v>
      </c>
      <c r="C563" s="160" t="s">
        <v>24</v>
      </c>
      <c r="D563" s="437">
        <v>5929</v>
      </c>
      <c r="E563" s="160" t="s">
        <v>1367</v>
      </c>
      <c r="F563" s="160" t="s">
        <v>1308</v>
      </c>
      <c r="G563" s="16">
        <v>5120</v>
      </c>
      <c r="H563" s="160" t="s">
        <v>1253</v>
      </c>
      <c r="I563" s="160" t="s">
        <v>729</v>
      </c>
      <c r="J563" s="160" t="s">
        <v>58</v>
      </c>
      <c r="K563" s="160" t="s">
        <v>57</v>
      </c>
      <c r="L563" s="360">
        <v>0.6</v>
      </c>
      <c r="M563" s="430"/>
      <c r="N563" s="64" t="s">
        <v>1371</v>
      </c>
      <c r="O563" s="44"/>
      <c r="P563" s="431">
        <v>1</v>
      </c>
      <c r="Q563" s="360">
        <v>0.2</v>
      </c>
      <c r="R563" s="431"/>
      <c r="S563" s="153">
        <f t="shared" si="16"/>
        <v>0</v>
      </c>
      <c r="T563" s="152">
        <f t="shared" si="17"/>
        <v>0</v>
      </c>
      <c r="U563" s="153" t="s">
        <v>34</v>
      </c>
      <c r="V563" s="174"/>
      <c r="W563" s="160"/>
    </row>
    <row r="564" spans="1:23" ht="16.05" customHeight="1" x14ac:dyDescent="0.45">
      <c r="A564" s="1">
        <v>563</v>
      </c>
      <c r="B564" s="160" t="s">
        <v>924</v>
      </c>
      <c r="C564" s="160" t="s">
        <v>24</v>
      </c>
      <c r="D564" s="437">
        <v>5929</v>
      </c>
      <c r="E564" s="160" t="s">
        <v>1367</v>
      </c>
      <c r="F564" s="160" t="s">
        <v>1308</v>
      </c>
      <c r="G564" s="16">
        <v>5120</v>
      </c>
      <c r="H564" s="160" t="s">
        <v>1253</v>
      </c>
      <c r="I564" s="160" t="s">
        <v>729</v>
      </c>
      <c r="J564" s="160" t="s">
        <v>58</v>
      </c>
      <c r="K564" s="160" t="s">
        <v>57</v>
      </c>
      <c r="L564" s="360">
        <v>0.6</v>
      </c>
      <c r="M564" s="430"/>
      <c r="N564" s="64" t="s">
        <v>1372</v>
      </c>
      <c r="O564" s="44"/>
      <c r="P564" s="431">
        <v>1</v>
      </c>
      <c r="Q564" s="360">
        <v>0.2</v>
      </c>
      <c r="R564" s="431"/>
      <c r="S564" s="153">
        <f t="shared" si="16"/>
        <v>0</v>
      </c>
      <c r="T564" s="152">
        <f t="shared" si="17"/>
        <v>0</v>
      </c>
      <c r="U564" s="153" t="s">
        <v>34</v>
      </c>
      <c r="V564" s="174"/>
      <c r="W564" s="160"/>
    </row>
    <row r="565" spans="1:23" ht="16.05" customHeight="1" x14ac:dyDescent="0.45">
      <c r="A565" s="1">
        <v>564</v>
      </c>
      <c r="B565" s="160" t="s">
        <v>924</v>
      </c>
      <c r="C565" s="160" t="s">
        <v>24</v>
      </c>
      <c r="D565" s="437">
        <v>5929</v>
      </c>
      <c r="E565" s="160" t="s">
        <v>1367</v>
      </c>
      <c r="F565" s="160" t="s">
        <v>1308</v>
      </c>
      <c r="G565" s="16">
        <v>5120</v>
      </c>
      <c r="H565" s="160" t="s">
        <v>1253</v>
      </c>
      <c r="I565" s="160" t="s">
        <v>729</v>
      </c>
      <c r="J565" s="334" t="s">
        <v>111</v>
      </c>
      <c r="K565" s="357" t="s">
        <v>110</v>
      </c>
      <c r="L565" s="432">
        <v>0.4</v>
      </c>
      <c r="M565" s="71"/>
      <c r="N565" s="357" t="s">
        <v>255</v>
      </c>
      <c r="O565" s="73"/>
      <c r="P565" s="160">
        <v>1</v>
      </c>
      <c r="Q565" s="432">
        <v>0.05</v>
      </c>
      <c r="R565" s="160"/>
      <c r="S565" s="160">
        <f t="shared" si="16"/>
        <v>0</v>
      </c>
      <c r="T565" s="161">
        <f t="shared" si="17"/>
        <v>0</v>
      </c>
      <c r="U565" s="160" t="s">
        <v>34</v>
      </c>
      <c r="V565" s="176"/>
      <c r="W565" s="160"/>
    </row>
    <row r="566" spans="1:23" ht="16.05" customHeight="1" x14ac:dyDescent="0.45">
      <c r="A566" s="1">
        <v>565</v>
      </c>
      <c r="B566" s="160" t="s">
        <v>924</v>
      </c>
      <c r="C566" s="160" t="s">
        <v>24</v>
      </c>
      <c r="D566" s="437">
        <v>5929</v>
      </c>
      <c r="E566" s="160" t="s">
        <v>1367</v>
      </c>
      <c r="F566" s="160" t="s">
        <v>1308</v>
      </c>
      <c r="G566" s="16">
        <v>5120</v>
      </c>
      <c r="H566" s="160" t="s">
        <v>1253</v>
      </c>
      <c r="I566" s="160" t="s">
        <v>729</v>
      </c>
      <c r="J566" s="334" t="s">
        <v>111</v>
      </c>
      <c r="K566" s="357" t="s">
        <v>110</v>
      </c>
      <c r="L566" s="432">
        <v>0.4</v>
      </c>
      <c r="M566" s="71"/>
      <c r="N566" s="357" t="s">
        <v>768</v>
      </c>
      <c r="O566" s="73"/>
      <c r="P566" s="160">
        <v>1</v>
      </c>
      <c r="Q566" s="432">
        <v>0.05</v>
      </c>
      <c r="R566" s="160"/>
      <c r="S566" s="160">
        <f t="shared" si="16"/>
        <v>0</v>
      </c>
      <c r="T566" s="161">
        <f t="shared" si="17"/>
        <v>0</v>
      </c>
      <c r="U566" s="160" t="s">
        <v>34</v>
      </c>
      <c r="V566" s="176"/>
      <c r="W566" s="160"/>
    </row>
    <row r="567" spans="1:23" ht="16.05" customHeight="1" x14ac:dyDescent="0.45">
      <c r="A567" s="1">
        <v>566</v>
      </c>
      <c r="B567" s="160" t="s">
        <v>924</v>
      </c>
      <c r="C567" s="160" t="s">
        <v>24</v>
      </c>
      <c r="D567" s="437">
        <v>5929</v>
      </c>
      <c r="E567" s="160" t="s">
        <v>1367</v>
      </c>
      <c r="F567" s="160" t="s">
        <v>1308</v>
      </c>
      <c r="G567" s="16">
        <v>5120</v>
      </c>
      <c r="H567" s="160" t="s">
        <v>1253</v>
      </c>
      <c r="I567" s="160" t="s">
        <v>729</v>
      </c>
      <c r="J567" s="334" t="s">
        <v>111</v>
      </c>
      <c r="K567" s="357" t="s">
        <v>110</v>
      </c>
      <c r="L567" s="432">
        <v>0.4</v>
      </c>
      <c r="M567" s="71"/>
      <c r="N567" s="357" t="s">
        <v>769</v>
      </c>
      <c r="O567" s="73"/>
      <c r="P567" s="160">
        <v>1</v>
      </c>
      <c r="Q567" s="432">
        <v>0.05</v>
      </c>
      <c r="R567" s="160"/>
      <c r="S567" s="160">
        <f t="shared" si="16"/>
        <v>0</v>
      </c>
      <c r="T567" s="161">
        <f t="shared" si="17"/>
        <v>0</v>
      </c>
      <c r="U567" s="160" t="s">
        <v>34</v>
      </c>
      <c r="V567" s="176"/>
      <c r="W567" s="160"/>
    </row>
    <row r="568" spans="1:23" ht="16.05" customHeight="1" x14ac:dyDescent="0.45">
      <c r="A568" s="1">
        <v>567</v>
      </c>
      <c r="B568" s="160" t="s">
        <v>924</v>
      </c>
      <c r="C568" s="160" t="s">
        <v>24</v>
      </c>
      <c r="D568" s="437">
        <v>5929</v>
      </c>
      <c r="E568" s="160" t="s">
        <v>1367</v>
      </c>
      <c r="F568" s="160" t="s">
        <v>1308</v>
      </c>
      <c r="G568" s="16">
        <v>5120</v>
      </c>
      <c r="H568" s="160" t="s">
        <v>1253</v>
      </c>
      <c r="I568" s="160" t="s">
        <v>729</v>
      </c>
      <c r="J568" s="334" t="s">
        <v>111</v>
      </c>
      <c r="K568" s="357" t="s">
        <v>110</v>
      </c>
      <c r="L568" s="432">
        <v>0.4</v>
      </c>
      <c r="M568" s="71"/>
      <c r="N568" s="357" t="s">
        <v>770</v>
      </c>
      <c r="O568" s="73"/>
      <c r="P568" s="160">
        <v>1</v>
      </c>
      <c r="Q568" s="432">
        <v>0.15</v>
      </c>
      <c r="R568" s="160"/>
      <c r="S568" s="160">
        <f t="shared" si="16"/>
        <v>0</v>
      </c>
      <c r="T568" s="161">
        <f t="shared" si="17"/>
        <v>0</v>
      </c>
      <c r="U568" s="160" t="s">
        <v>34</v>
      </c>
      <c r="V568" s="176"/>
      <c r="W568" s="160"/>
    </row>
    <row r="569" spans="1:23" ht="16.05" customHeight="1" x14ac:dyDescent="0.45">
      <c r="A569" s="1">
        <v>568</v>
      </c>
      <c r="B569" s="160" t="s">
        <v>924</v>
      </c>
      <c r="C569" s="160" t="s">
        <v>24</v>
      </c>
      <c r="D569" s="437">
        <v>5929</v>
      </c>
      <c r="E569" s="160" t="s">
        <v>1367</v>
      </c>
      <c r="F569" s="160" t="s">
        <v>1308</v>
      </c>
      <c r="G569" s="16">
        <v>5120</v>
      </c>
      <c r="H569" s="160" t="s">
        <v>1253</v>
      </c>
      <c r="I569" s="160" t="s">
        <v>729</v>
      </c>
      <c r="J569" s="334" t="s">
        <v>111</v>
      </c>
      <c r="K569" s="357" t="s">
        <v>110</v>
      </c>
      <c r="L569" s="432">
        <v>0.4</v>
      </c>
      <c r="M569" s="71"/>
      <c r="N569" s="357" t="s">
        <v>254</v>
      </c>
      <c r="O569" s="73"/>
      <c r="P569" s="160">
        <v>1</v>
      </c>
      <c r="Q569" s="432">
        <v>0.1</v>
      </c>
      <c r="R569" s="160"/>
      <c r="S569" s="160">
        <f t="shared" si="16"/>
        <v>0</v>
      </c>
      <c r="T569" s="161">
        <f t="shared" si="17"/>
        <v>0</v>
      </c>
      <c r="U569" s="160" t="s">
        <v>34</v>
      </c>
      <c r="V569" s="176"/>
      <c r="W569" s="160"/>
    </row>
    <row r="570" spans="1:23" ht="16.05" customHeight="1" x14ac:dyDescent="0.45">
      <c r="A570" s="1">
        <v>569</v>
      </c>
      <c r="B570" s="160" t="s">
        <v>924</v>
      </c>
      <c r="C570" s="160" t="s">
        <v>24</v>
      </c>
      <c r="D570" s="437">
        <v>5929</v>
      </c>
      <c r="E570" s="160" t="s">
        <v>1367</v>
      </c>
      <c r="F570" s="160" t="s">
        <v>1308</v>
      </c>
      <c r="G570" s="16">
        <v>5120</v>
      </c>
      <c r="H570" s="160" t="s">
        <v>1253</v>
      </c>
      <c r="I570" s="160" t="s">
        <v>729</v>
      </c>
      <c r="J570" s="334" t="s">
        <v>111</v>
      </c>
      <c r="K570" s="357" t="s">
        <v>110</v>
      </c>
      <c r="L570" s="432">
        <v>0.4</v>
      </c>
      <c r="M570" s="71"/>
      <c r="N570" s="357" t="s">
        <v>771</v>
      </c>
      <c r="O570" s="73"/>
      <c r="P570" s="160">
        <v>1</v>
      </c>
      <c r="Q570" s="432">
        <v>0.05</v>
      </c>
      <c r="R570" s="160"/>
      <c r="S570" s="160">
        <f t="shared" si="16"/>
        <v>0</v>
      </c>
      <c r="T570" s="161">
        <f t="shared" si="17"/>
        <v>0</v>
      </c>
      <c r="U570" s="160" t="s">
        <v>34</v>
      </c>
      <c r="V570" s="176"/>
      <c r="W570" s="160"/>
    </row>
    <row r="571" spans="1:23" ht="16.05" customHeight="1" x14ac:dyDescent="0.45">
      <c r="A571" s="1">
        <v>570</v>
      </c>
      <c r="B571" s="160" t="s">
        <v>924</v>
      </c>
      <c r="C571" s="160" t="s">
        <v>24</v>
      </c>
      <c r="D571" s="437">
        <v>5929</v>
      </c>
      <c r="E571" s="160" t="s">
        <v>1367</v>
      </c>
      <c r="F571" s="160" t="s">
        <v>1308</v>
      </c>
      <c r="G571" s="16">
        <v>5120</v>
      </c>
      <c r="H571" s="160" t="s">
        <v>1253</v>
      </c>
      <c r="I571" s="160" t="s">
        <v>729</v>
      </c>
      <c r="J571" s="334" t="s">
        <v>111</v>
      </c>
      <c r="K571" s="357" t="s">
        <v>110</v>
      </c>
      <c r="L571" s="432">
        <v>0.4</v>
      </c>
      <c r="M571" s="71"/>
      <c r="N571" s="357" t="s">
        <v>772</v>
      </c>
      <c r="O571" s="73"/>
      <c r="P571" s="160">
        <v>1</v>
      </c>
      <c r="Q571" s="432">
        <v>0.1</v>
      </c>
      <c r="R571" s="160"/>
      <c r="S571" s="160">
        <f t="shared" si="16"/>
        <v>0</v>
      </c>
      <c r="T571" s="161">
        <f t="shared" si="17"/>
        <v>0</v>
      </c>
      <c r="U571" s="160" t="s">
        <v>34</v>
      </c>
      <c r="V571" s="176"/>
      <c r="W571" s="160"/>
    </row>
    <row r="572" spans="1:23" ht="16.05" customHeight="1" x14ac:dyDescent="0.45">
      <c r="A572" s="1">
        <v>571</v>
      </c>
      <c r="B572" s="160" t="s">
        <v>924</v>
      </c>
      <c r="C572" s="160" t="s">
        <v>24</v>
      </c>
      <c r="D572" s="437">
        <v>5929</v>
      </c>
      <c r="E572" s="160" t="s">
        <v>1367</v>
      </c>
      <c r="F572" s="160" t="s">
        <v>1308</v>
      </c>
      <c r="G572" s="16">
        <v>5120</v>
      </c>
      <c r="H572" s="160" t="s">
        <v>1253</v>
      </c>
      <c r="I572" s="160" t="s">
        <v>729</v>
      </c>
      <c r="J572" s="334" t="s">
        <v>111</v>
      </c>
      <c r="K572" s="357" t="s">
        <v>110</v>
      </c>
      <c r="L572" s="432">
        <v>0.4</v>
      </c>
      <c r="M572" s="71"/>
      <c r="N572" s="357" t="s">
        <v>773</v>
      </c>
      <c r="O572" s="73"/>
      <c r="P572" s="160">
        <v>1</v>
      </c>
      <c r="Q572" s="432">
        <v>0.05</v>
      </c>
      <c r="R572" s="160"/>
      <c r="S572" s="160">
        <f t="shared" si="16"/>
        <v>0</v>
      </c>
      <c r="T572" s="161">
        <f t="shared" si="17"/>
        <v>0</v>
      </c>
      <c r="U572" s="160" t="s">
        <v>34</v>
      </c>
      <c r="V572" s="176"/>
      <c r="W572" s="160"/>
    </row>
    <row r="573" spans="1:23" ht="16.05" customHeight="1" x14ac:dyDescent="0.45">
      <c r="A573" s="1">
        <v>572</v>
      </c>
      <c r="B573" s="160" t="s">
        <v>924</v>
      </c>
      <c r="C573" s="160" t="s">
        <v>24</v>
      </c>
      <c r="D573" s="437">
        <v>5929</v>
      </c>
      <c r="E573" s="160" t="s">
        <v>1367</v>
      </c>
      <c r="F573" s="160" t="s">
        <v>1308</v>
      </c>
      <c r="G573" s="16">
        <v>5120</v>
      </c>
      <c r="H573" s="160" t="s">
        <v>1253</v>
      </c>
      <c r="I573" s="160" t="s">
        <v>729</v>
      </c>
      <c r="J573" s="334" t="s">
        <v>111</v>
      </c>
      <c r="K573" s="357" t="s">
        <v>110</v>
      </c>
      <c r="L573" s="432">
        <v>0.4</v>
      </c>
      <c r="M573" s="71"/>
      <c r="N573" s="357" t="s">
        <v>774</v>
      </c>
      <c r="O573" s="73"/>
      <c r="P573" s="160">
        <v>1</v>
      </c>
      <c r="Q573" s="432">
        <v>0.05</v>
      </c>
      <c r="R573" s="160"/>
      <c r="S573" s="160">
        <f t="shared" si="16"/>
        <v>0</v>
      </c>
      <c r="T573" s="161">
        <f t="shared" si="17"/>
        <v>0</v>
      </c>
      <c r="U573" s="160" t="s">
        <v>34</v>
      </c>
      <c r="V573" s="176"/>
      <c r="W573" s="160"/>
    </row>
    <row r="574" spans="1:23" ht="16.05" customHeight="1" x14ac:dyDescent="0.45">
      <c r="A574" s="1">
        <v>573</v>
      </c>
      <c r="B574" s="160" t="s">
        <v>924</v>
      </c>
      <c r="C574" s="160" t="s">
        <v>24</v>
      </c>
      <c r="D574" s="437">
        <v>5929</v>
      </c>
      <c r="E574" s="160" t="s">
        <v>1367</v>
      </c>
      <c r="F574" s="160" t="s">
        <v>1308</v>
      </c>
      <c r="G574" s="16">
        <v>5120</v>
      </c>
      <c r="H574" s="160" t="s">
        <v>1253</v>
      </c>
      <c r="I574" s="160" t="s">
        <v>729</v>
      </c>
      <c r="J574" s="334" t="s">
        <v>111</v>
      </c>
      <c r="K574" s="357" t="s">
        <v>110</v>
      </c>
      <c r="L574" s="432">
        <v>0.4</v>
      </c>
      <c r="M574" s="71"/>
      <c r="N574" s="357" t="s">
        <v>775</v>
      </c>
      <c r="O574" s="73"/>
      <c r="P574" s="160">
        <v>1</v>
      </c>
      <c r="Q574" s="432">
        <v>0.05</v>
      </c>
      <c r="R574" s="160"/>
      <c r="S574" s="160">
        <f t="shared" si="16"/>
        <v>0</v>
      </c>
      <c r="T574" s="161">
        <f t="shared" si="17"/>
        <v>0</v>
      </c>
      <c r="U574" s="160" t="s">
        <v>34</v>
      </c>
      <c r="V574" s="176"/>
      <c r="W574" s="160"/>
    </row>
    <row r="575" spans="1:23" ht="16.05" customHeight="1" x14ac:dyDescent="0.45">
      <c r="A575" s="1">
        <v>574</v>
      </c>
      <c r="B575" s="160" t="s">
        <v>924</v>
      </c>
      <c r="C575" s="160" t="s">
        <v>24</v>
      </c>
      <c r="D575" s="437">
        <v>5929</v>
      </c>
      <c r="E575" s="160" t="s">
        <v>1367</v>
      </c>
      <c r="F575" s="160" t="s">
        <v>1308</v>
      </c>
      <c r="G575" s="16">
        <v>5120</v>
      </c>
      <c r="H575" s="160" t="s">
        <v>1253</v>
      </c>
      <c r="I575" s="160" t="s">
        <v>729</v>
      </c>
      <c r="J575" s="334" t="s">
        <v>111</v>
      </c>
      <c r="K575" s="357" t="s">
        <v>110</v>
      </c>
      <c r="L575" s="432">
        <v>0.4</v>
      </c>
      <c r="M575" s="71"/>
      <c r="N575" s="357" t="s">
        <v>776</v>
      </c>
      <c r="O575" s="73"/>
      <c r="P575" s="160">
        <v>1</v>
      </c>
      <c r="Q575" s="432">
        <v>0.1</v>
      </c>
      <c r="R575" s="160"/>
      <c r="S575" s="160">
        <f t="shared" si="16"/>
        <v>0</v>
      </c>
      <c r="T575" s="161">
        <f t="shared" si="17"/>
        <v>0</v>
      </c>
      <c r="U575" s="160" t="s">
        <v>34</v>
      </c>
      <c r="V575" s="176"/>
      <c r="W575" s="160"/>
    </row>
    <row r="576" spans="1:23" ht="16.05" customHeight="1" x14ac:dyDescent="0.45">
      <c r="A576" s="1">
        <v>575</v>
      </c>
      <c r="B576" s="160" t="s">
        <v>924</v>
      </c>
      <c r="C576" s="160" t="s">
        <v>24</v>
      </c>
      <c r="D576" s="437">
        <v>5929</v>
      </c>
      <c r="E576" s="160" t="s">
        <v>1367</v>
      </c>
      <c r="F576" s="160" t="s">
        <v>1308</v>
      </c>
      <c r="G576" s="16">
        <v>5120</v>
      </c>
      <c r="H576" s="160" t="s">
        <v>1253</v>
      </c>
      <c r="I576" s="160" t="s">
        <v>729</v>
      </c>
      <c r="J576" s="334" t="s">
        <v>111</v>
      </c>
      <c r="K576" s="357" t="s">
        <v>110</v>
      </c>
      <c r="L576" s="432">
        <v>0.4</v>
      </c>
      <c r="M576" s="71"/>
      <c r="N576" s="357" t="s">
        <v>251</v>
      </c>
      <c r="O576" s="73"/>
      <c r="P576" s="160">
        <v>1</v>
      </c>
      <c r="Q576" s="432">
        <v>0.05</v>
      </c>
      <c r="R576" s="160"/>
      <c r="S576" s="160">
        <f t="shared" si="16"/>
        <v>0</v>
      </c>
      <c r="T576" s="161">
        <f t="shared" si="17"/>
        <v>0</v>
      </c>
      <c r="U576" s="160" t="s">
        <v>34</v>
      </c>
      <c r="V576" s="176"/>
      <c r="W576" s="160"/>
    </row>
    <row r="577" spans="1:23" ht="16.05" customHeight="1" x14ac:dyDescent="0.45">
      <c r="A577" s="1">
        <v>576</v>
      </c>
      <c r="B577" s="160" t="s">
        <v>924</v>
      </c>
      <c r="C577" s="160" t="s">
        <v>24</v>
      </c>
      <c r="D577" s="437">
        <v>5929</v>
      </c>
      <c r="E577" s="160" t="s">
        <v>1367</v>
      </c>
      <c r="F577" s="160" t="s">
        <v>1308</v>
      </c>
      <c r="G577" s="16">
        <v>5120</v>
      </c>
      <c r="H577" s="160" t="s">
        <v>1253</v>
      </c>
      <c r="I577" s="160" t="s">
        <v>729</v>
      </c>
      <c r="J577" s="334" t="s">
        <v>111</v>
      </c>
      <c r="K577" s="357" t="s">
        <v>110</v>
      </c>
      <c r="L577" s="432">
        <v>0.4</v>
      </c>
      <c r="M577" s="71"/>
      <c r="N577" s="357" t="s">
        <v>252</v>
      </c>
      <c r="O577" s="73"/>
      <c r="P577" s="160">
        <v>1</v>
      </c>
      <c r="Q577" s="432">
        <v>0.05</v>
      </c>
      <c r="R577" s="160"/>
      <c r="S577" s="160">
        <f t="shared" si="16"/>
        <v>0</v>
      </c>
      <c r="T577" s="161">
        <f t="shared" si="17"/>
        <v>0</v>
      </c>
      <c r="U577" s="160" t="s">
        <v>34</v>
      </c>
      <c r="V577" s="176"/>
      <c r="W577" s="160"/>
    </row>
    <row r="578" spans="1:23" ht="16.05" customHeight="1" x14ac:dyDescent="0.45">
      <c r="A578" s="1">
        <v>577</v>
      </c>
      <c r="B578" s="160" t="s">
        <v>924</v>
      </c>
      <c r="C578" s="160" t="s">
        <v>24</v>
      </c>
      <c r="D578" s="437">
        <v>5929</v>
      </c>
      <c r="E578" s="160" t="s">
        <v>1367</v>
      </c>
      <c r="F578" s="160" t="s">
        <v>1308</v>
      </c>
      <c r="G578" s="16">
        <v>5120</v>
      </c>
      <c r="H578" s="160" t="s">
        <v>1253</v>
      </c>
      <c r="I578" s="160" t="s">
        <v>729</v>
      </c>
      <c r="J578" s="334" t="s">
        <v>111</v>
      </c>
      <c r="K578" s="357" t="s">
        <v>110</v>
      </c>
      <c r="L578" s="432">
        <v>0.4</v>
      </c>
      <c r="M578" s="71"/>
      <c r="N578" s="357" t="s">
        <v>777</v>
      </c>
      <c r="O578" s="73"/>
      <c r="P578" s="160">
        <v>1</v>
      </c>
      <c r="Q578" s="432">
        <v>0.05</v>
      </c>
      <c r="R578" s="160"/>
      <c r="S578" s="160">
        <f t="shared" ref="S578:S641" si="18">ROUND(IF(OR(P578="",R578=""),0,IF(AND(P578=0,R578=0),1,IF(U578="+",R578/P578,P578/R578))),2)</f>
        <v>0</v>
      </c>
      <c r="T578" s="161">
        <f t="shared" ref="T578:T641" si="19">IF(AND(S578&gt;=60%,S578&lt;100%),S578*((Q578*L578)),IF(S578=100%,((Q578*L578)*S578)*100%,IF(S578&gt;100%,((L578*Q578)*100%)*100%,0)))*100</f>
        <v>0</v>
      </c>
      <c r="U578" s="160" t="s">
        <v>34</v>
      </c>
      <c r="V578" s="176"/>
      <c r="W578" s="160"/>
    </row>
    <row r="579" spans="1:23" ht="16.05" customHeight="1" x14ac:dyDescent="0.45">
      <c r="A579" s="1">
        <v>578</v>
      </c>
      <c r="B579" s="160" t="s">
        <v>924</v>
      </c>
      <c r="C579" s="160" t="s">
        <v>24</v>
      </c>
      <c r="D579" s="437">
        <v>5929</v>
      </c>
      <c r="E579" s="160" t="s">
        <v>1367</v>
      </c>
      <c r="F579" s="160" t="s">
        <v>1308</v>
      </c>
      <c r="G579" s="16">
        <v>5120</v>
      </c>
      <c r="H579" s="160" t="s">
        <v>1253</v>
      </c>
      <c r="I579" s="160" t="s">
        <v>729</v>
      </c>
      <c r="J579" s="334" t="s">
        <v>111</v>
      </c>
      <c r="K579" s="357" t="s">
        <v>110</v>
      </c>
      <c r="L579" s="432">
        <v>0.4</v>
      </c>
      <c r="M579" s="71"/>
      <c r="N579" s="357" t="s">
        <v>253</v>
      </c>
      <c r="O579" s="73"/>
      <c r="P579" s="160">
        <v>1</v>
      </c>
      <c r="Q579" s="432">
        <v>0.05</v>
      </c>
      <c r="R579" s="160"/>
      <c r="S579" s="160">
        <f t="shared" si="18"/>
        <v>0</v>
      </c>
      <c r="T579" s="161">
        <f t="shared" si="19"/>
        <v>0</v>
      </c>
      <c r="U579" s="160" t="s">
        <v>34</v>
      </c>
      <c r="V579" s="176"/>
      <c r="W579" s="160"/>
    </row>
    <row r="580" spans="1:23" ht="16.05" customHeight="1" x14ac:dyDescent="0.45">
      <c r="A580" s="1">
        <v>579</v>
      </c>
      <c r="B580" s="99" t="s">
        <v>924</v>
      </c>
      <c r="C580" s="119" t="s">
        <v>24</v>
      </c>
      <c r="D580" s="349">
        <v>5674</v>
      </c>
      <c r="E580" s="99" t="s">
        <v>1373</v>
      </c>
      <c r="F580" s="99" t="s">
        <v>1308</v>
      </c>
      <c r="G580" s="3">
        <v>5120</v>
      </c>
      <c r="H580" s="99" t="s">
        <v>1253</v>
      </c>
      <c r="I580" s="99" t="s">
        <v>729</v>
      </c>
      <c r="J580" s="3" t="s">
        <v>58</v>
      </c>
      <c r="K580" s="3" t="s">
        <v>57</v>
      </c>
      <c r="L580" s="350">
        <v>0.6</v>
      </c>
      <c r="M580" s="407"/>
      <c r="N580" s="3" t="s">
        <v>1374</v>
      </c>
      <c r="O580" s="146"/>
      <c r="P580" s="171">
        <v>1</v>
      </c>
      <c r="Q580" s="350">
        <v>0.15</v>
      </c>
      <c r="R580" s="171"/>
      <c r="S580" s="148">
        <f t="shared" si="18"/>
        <v>0</v>
      </c>
      <c r="T580" s="168">
        <f t="shared" si="19"/>
        <v>0</v>
      </c>
      <c r="U580" s="148" t="s">
        <v>34</v>
      </c>
      <c r="V580" s="429">
        <f>SUM(T580:T597)%</f>
        <v>0</v>
      </c>
      <c r="W580" s="99"/>
    </row>
    <row r="581" spans="1:23" ht="16.05" customHeight="1" x14ac:dyDescent="0.45">
      <c r="A581" s="1">
        <v>580</v>
      </c>
      <c r="B581" s="113" t="s">
        <v>924</v>
      </c>
      <c r="C581" s="46" t="s">
        <v>24</v>
      </c>
      <c r="D581" s="358">
        <v>5674</v>
      </c>
      <c r="E581" s="113" t="s">
        <v>1373</v>
      </c>
      <c r="F581" s="113" t="s">
        <v>1308</v>
      </c>
      <c r="G581" s="16">
        <v>5120</v>
      </c>
      <c r="H581" s="113" t="s">
        <v>1253</v>
      </c>
      <c r="I581" s="113" t="s">
        <v>729</v>
      </c>
      <c r="J581" s="16" t="s">
        <v>58</v>
      </c>
      <c r="K581" s="16" t="s">
        <v>57</v>
      </c>
      <c r="L581" s="360">
        <v>0.6</v>
      </c>
      <c r="M581" s="430"/>
      <c r="N581" s="184" t="s">
        <v>1375</v>
      </c>
      <c r="O581" s="44"/>
      <c r="P581" s="431">
        <v>1</v>
      </c>
      <c r="Q581" s="360">
        <v>0.65</v>
      </c>
      <c r="R581" s="431"/>
      <c r="S581" s="153">
        <f t="shared" si="18"/>
        <v>0</v>
      </c>
      <c r="T581" s="152">
        <f t="shared" si="19"/>
        <v>0</v>
      </c>
      <c r="U581" s="153" t="s">
        <v>34</v>
      </c>
      <c r="V581" s="44"/>
      <c r="W581" s="113"/>
    </row>
    <row r="582" spans="1:23" ht="16.05" customHeight="1" x14ac:dyDescent="0.45">
      <c r="A582" s="1">
        <v>581</v>
      </c>
      <c r="B582" s="113" t="s">
        <v>924</v>
      </c>
      <c r="C582" s="46" t="s">
        <v>24</v>
      </c>
      <c r="D582" s="358">
        <v>5674</v>
      </c>
      <c r="E582" s="113" t="s">
        <v>1373</v>
      </c>
      <c r="F582" s="113" t="s">
        <v>1308</v>
      </c>
      <c r="G582" s="16">
        <v>5120</v>
      </c>
      <c r="H582" s="113" t="s">
        <v>1253</v>
      </c>
      <c r="I582" s="113" t="s">
        <v>729</v>
      </c>
      <c r="J582" s="16" t="s">
        <v>58</v>
      </c>
      <c r="K582" s="16" t="s">
        <v>57</v>
      </c>
      <c r="L582" s="360">
        <v>0.6</v>
      </c>
      <c r="M582" s="430"/>
      <c r="N582" s="184" t="s">
        <v>1376</v>
      </c>
      <c r="O582" s="44"/>
      <c r="P582" s="431">
        <v>1</v>
      </c>
      <c r="Q582" s="360">
        <v>0.2</v>
      </c>
      <c r="R582" s="431"/>
      <c r="S582" s="153">
        <f t="shared" si="18"/>
        <v>0</v>
      </c>
      <c r="T582" s="152">
        <f t="shared" si="19"/>
        <v>0</v>
      </c>
      <c r="U582" s="153" t="s">
        <v>34</v>
      </c>
      <c r="V582" s="44"/>
      <c r="W582" s="113"/>
    </row>
    <row r="583" spans="1:23" ht="16.05" customHeight="1" x14ac:dyDescent="0.45">
      <c r="A583" s="1">
        <v>582</v>
      </c>
      <c r="B583" s="113" t="s">
        <v>924</v>
      </c>
      <c r="C583" s="46" t="s">
        <v>24</v>
      </c>
      <c r="D583" s="358">
        <v>5674</v>
      </c>
      <c r="E583" s="113" t="s">
        <v>1373</v>
      </c>
      <c r="F583" s="113" t="s">
        <v>1308</v>
      </c>
      <c r="G583" s="16">
        <v>5120</v>
      </c>
      <c r="H583" s="113" t="s">
        <v>1253</v>
      </c>
      <c r="I583" s="113" t="s">
        <v>729</v>
      </c>
      <c r="J583" s="182" t="s">
        <v>111</v>
      </c>
      <c r="K583" s="16" t="s">
        <v>110</v>
      </c>
      <c r="L583" s="282">
        <v>0.4</v>
      </c>
      <c r="M583" s="71"/>
      <c r="N583" s="16" t="s">
        <v>255</v>
      </c>
      <c r="O583" s="73"/>
      <c r="P583" s="28">
        <v>1</v>
      </c>
      <c r="Q583" s="282">
        <v>0.05</v>
      </c>
      <c r="R583" s="28"/>
      <c r="S583" s="28">
        <f t="shared" si="18"/>
        <v>0</v>
      </c>
      <c r="T583" s="46">
        <f t="shared" si="19"/>
        <v>0</v>
      </c>
      <c r="U583" s="28" t="s">
        <v>34</v>
      </c>
      <c r="V583" s="73"/>
      <c r="W583" s="113"/>
    </row>
    <row r="584" spans="1:23" ht="16.05" customHeight="1" x14ac:dyDescent="0.45">
      <c r="A584" s="1">
        <v>583</v>
      </c>
      <c r="B584" s="113" t="s">
        <v>924</v>
      </c>
      <c r="C584" s="46" t="s">
        <v>24</v>
      </c>
      <c r="D584" s="358">
        <v>5674</v>
      </c>
      <c r="E584" s="113" t="s">
        <v>1373</v>
      </c>
      <c r="F584" s="113" t="s">
        <v>1308</v>
      </c>
      <c r="G584" s="16">
        <v>5120</v>
      </c>
      <c r="H584" s="113" t="s">
        <v>1253</v>
      </c>
      <c r="I584" s="113" t="s">
        <v>729</v>
      </c>
      <c r="J584" s="182" t="s">
        <v>111</v>
      </c>
      <c r="K584" s="16" t="s">
        <v>110</v>
      </c>
      <c r="L584" s="282">
        <v>0.4</v>
      </c>
      <c r="M584" s="71"/>
      <c r="N584" s="16" t="s">
        <v>768</v>
      </c>
      <c r="O584" s="73"/>
      <c r="P584" s="28">
        <v>1</v>
      </c>
      <c r="Q584" s="282">
        <v>0.05</v>
      </c>
      <c r="R584" s="28"/>
      <c r="S584" s="28">
        <f t="shared" si="18"/>
        <v>0</v>
      </c>
      <c r="T584" s="46">
        <f t="shared" si="19"/>
        <v>0</v>
      </c>
      <c r="U584" s="28" t="s">
        <v>34</v>
      </c>
      <c r="V584" s="73"/>
      <c r="W584" s="113"/>
    </row>
    <row r="585" spans="1:23" ht="16.05" customHeight="1" x14ac:dyDescent="0.45">
      <c r="A585" s="1">
        <v>584</v>
      </c>
      <c r="B585" s="113" t="s">
        <v>924</v>
      </c>
      <c r="C585" s="46" t="s">
        <v>24</v>
      </c>
      <c r="D585" s="358">
        <v>5674</v>
      </c>
      <c r="E585" s="113" t="s">
        <v>1373</v>
      </c>
      <c r="F585" s="113" t="s">
        <v>1308</v>
      </c>
      <c r="G585" s="16">
        <v>5120</v>
      </c>
      <c r="H585" s="113" t="s">
        <v>1253</v>
      </c>
      <c r="I585" s="113" t="s">
        <v>729</v>
      </c>
      <c r="J585" s="182" t="s">
        <v>111</v>
      </c>
      <c r="K585" s="16" t="s">
        <v>110</v>
      </c>
      <c r="L585" s="282">
        <v>0.4</v>
      </c>
      <c r="M585" s="71"/>
      <c r="N585" s="16" t="s">
        <v>769</v>
      </c>
      <c r="O585" s="73"/>
      <c r="P585" s="28">
        <v>1</v>
      </c>
      <c r="Q585" s="282">
        <v>0.05</v>
      </c>
      <c r="R585" s="28"/>
      <c r="S585" s="28">
        <f t="shared" si="18"/>
        <v>0</v>
      </c>
      <c r="T585" s="46">
        <f t="shared" si="19"/>
        <v>0</v>
      </c>
      <c r="U585" s="28" t="s">
        <v>34</v>
      </c>
      <c r="V585" s="73"/>
      <c r="W585" s="113"/>
    </row>
    <row r="586" spans="1:23" ht="16.05" customHeight="1" x14ac:dyDescent="0.45">
      <c r="A586" s="1">
        <v>585</v>
      </c>
      <c r="B586" s="113" t="s">
        <v>924</v>
      </c>
      <c r="C586" s="46" t="s">
        <v>24</v>
      </c>
      <c r="D586" s="358">
        <v>5674</v>
      </c>
      <c r="E586" s="113" t="s">
        <v>1373</v>
      </c>
      <c r="F586" s="113" t="s">
        <v>1308</v>
      </c>
      <c r="G586" s="16">
        <v>5120</v>
      </c>
      <c r="H586" s="113" t="s">
        <v>1253</v>
      </c>
      <c r="I586" s="113" t="s">
        <v>729</v>
      </c>
      <c r="J586" s="182" t="s">
        <v>111</v>
      </c>
      <c r="K586" s="16" t="s">
        <v>110</v>
      </c>
      <c r="L586" s="282">
        <v>0.4</v>
      </c>
      <c r="M586" s="71"/>
      <c r="N586" s="16" t="s">
        <v>770</v>
      </c>
      <c r="O586" s="73"/>
      <c r="P586" s="28">
        <v>1</v>
      </c>
      <c r="Q586" s="282">
        <v>0.15</v>
      </c>
      <c r="R586" s="28"/>
      <c r="S586" s="28">
        <f t="shared" si="18"/>
        <v>0</v>
      </c>
      <c r="T586" s="46">
        <f t="shared" si="19"/>
        <v>0</v>
      </c>
      <c r="U586" s="28" t="s">
        <v>34</v>
      </c>
      <c r="V586" s="73"/>
      <c r="W586" s="113"/>
    </row>
    <row r="587" spans="1:23" ht="16.05" customHeight="1" x14ac:dyDescent="0.45">
      <c r="A587" s="1">
        <v>586</v>
      </c>
      <c r="B587" s="113" t="s">
        <v>924</v>
      </c>
      <c r="C587" s="46" t="s">
        <v>24</v>
      </c>
      <c r="D587" s="358">
        <v>5674</v>
      </c>
      <c r="E587" s="113" t="s">
        <v>1373</v>
      </c>
      <c r="F587" s="113" t="s">
        <v>1308</v>
      </c>
      <c r="G587" s="16">
        <v>5120</v>
      </c>
      <c r="H587" s="113" t="s">
        <v>1253</v>
      </c>
      <c r="I587" s="113" t="s">
        <v>729</v>
      </c>
      <c r="J587" s="182" t="s">
        <v>111</v>
      </c>
      <c r="K587" s="16" t="s">
        <v>110</v>
      </c>
      <c r="L587" s="282">
        <v>0.4</v>
      </c>
      <c r="M587" s="71"/>
      <c r="N587" s="16" t="s">
        <v>254</v>
      </c>
      <c r="O587" s="73"/>
      <c r="P587" s="28">
        <v>1</v>
      </c>
      <c r="Q587" s="282">
        <v>0.1</v>
      </c>
      <c r="R587" s="28"/>
      <c r="S587" s="28">
        <f t="shared" si="18"/>
        <v>0</v>
      </c>
      <c r="T587" s="46">
        <f t="shared" si="19"/>
        <v>0</v>
      </c>
      <c r="U587" s="28" t="s">
        <v>34</v>
      </c>
      <c r="V587" s="73"/>
      <c r="W587" s="113"/>
    </row>
    <row r="588" spans="1:23" ht="16.05" customHeight="1" x14ac:dyDescent="0.45">
      <c r="A588" s="1">
        <v>587</v>
      </c>
      <c r="B588" s="113" t="s">
        <v>924</v>
      </c>
      <c r="C588" s="46" t="s">
        <v>24</v>
      </c>
      <c r="D588" s="358">
        <v>5674</v>
      </c>
      <c r="E588" s="113" t="s">
        <v>1373</v>
      </c>
      <c r="F588" s="113" t="s">
        <v>1308</v>
      </c>
      <c r="G588" s="16">
        <v>5120</v>
      </c>
      <c r="H588" s="113" t="s">
        <v>1253</v>
      </c>
      <c r="I588" s="113" t="s">
        <v>729</v>
      </c>
      <c r="J588" s="182" t="s">
        <v>111</v>
      </c>
      <c r="K588" s="16" t="s">
        <v>110</v>
      </c>
      <c r="L588" s="282">
        <v>0.4</v>
      </c>
      <c r="M588" s="71"/>
      <c r="N588" s="16" t="s">
        <v>771</v>
      </c>
      <c r="O588" s="73"/>
      <c r="P588" s="28">
        <v>1</v>
      </c>
      <c r="Q588" s="282">
        <v>0.05</v>
      </c>
      <c r="R588" s="28"/>
      <c r="S588" s="28">
        <f t="shared" si="18"/>
        <v>0</v>
      </c>
      <c r="T588" s="46">
        <f t="shared" si="19"/>
        <v>0</v>
      </c>
      <c r="U588" s="28" t="s">
        <v>34</v>
      </c>
      <c r="V588" s="73"/>
      <c r="W588" s="113"/>
    </row>
    <row r="589" spans="1:23" ht="16.05" customHeight="1" x14ac:dyDescent="0.45">
      <c r="A589" s="1">
        <v>588</v>
      </c>
      <c r="B589" s="113" t="s">
        <v>924</v>
      </c>
      <c r="C589" s="46" t="s">
        <v>24</v>
      </c>
      <c r="D589" s="358">
        <v>5674</v>
      </c>
      <c r="E589" s="113" t="s">
        <v>1373</v>
      </c>
      <c r="F589" s="113" t="s">
        <v>1308</v>
      </c>
      <c r="G589" s="16">
        <v>5120</v>
      </c>
      <c r="H589" s="113" t="s">
        <v>1253</v>
      </c>
      <c r="I589" s="113" t="s">
        <v>729</v>
      </c>
      <c r="J589" s="182" t="s">
        <v>111</v>
      </c>
      <c r="K589" s="16" t="s">
        <v>110</v>
      </c>
      <c r="L589" s="282">
        <v>0.4</v>
      </c>
      <c r="M589" s="71"/>
      <c r="N589" s="16" t="s">
        <v>772</v>
      </c>
      <c r="O589" s="73"/>
      <c r="P589" s="28">
        <v>1</v>
      </c>
      <c r="Q589" s="282">
        <v>0.1</v>
      </c>
      <c r="R589" s="28"/>
      <c r="S589" s="28">
        <f t="shared" si="18"/>
        <v>0</v>
      </c>
      <c r="T589" s="46">
        <f t="shared" si="19"/>
        <v>0</v>
      </c>
      <c r="U589" s="28" t="s">
        <v>34</v>
      </c>
      <c r="V589" s="73"/>
      <c r="W589" s="113"/>
    </row>
    <row r="590" spans="1:23" ht="16.05" customHeight="1" x14ac:dyDescent="0.45">
      <c r="A590" s="1">
        <v>589</v>
      </c>
      <c r="B590" s="113" t="s">
        <v>924</v>
      </c>
      <c r="C590" s="46" t="s">
        <v>24</v>
      </c>
      <c r="D590" s="358">
        <v>5674</v>
      </c>
      <c r="E590" s="113" t="s">
        <v>1373</v>
      </c>
      <c r="F590" s="113" t="s">
        <v>1308</v>
      </c>
      <c r="G590" s="16">
        <v>5120</v>
      </c>
      <c r="H590" s="113" t="s">
        <v>1253</v>
      </c>
      <c r="I590" s="113" t="s">
        <v>729</v>
      </c>
      <c r="J590" s="182" t="s">
        <v>111</v>
      </c>
      <c r="K590" s="16" t="s">
        <v>110</v>
      </c>
      <c r="L590" s="282">
        <v>0.4</v>
      </c>
      <c r="M590" s="71"/>
      <c r="N590" s="16" t="s">
        <v>773</v>
      </c>
      <c r="O590" s="73"/>
      <c r="P590" s="28">
        <v>1</v>
      </c>
      <c r="Q590" s="282">
        <v>0.05</v>
      </c>
      <c r="R590" s="28"/>
      <c r="S590" s="28">
        <f t="shared" si="18"/>
        <v>0</v>
      </c>
      <c r="T590" s="46">
        <f t="shared" si="19"/>
        <v>0</v>
      </c>
      <c r="U590" s="28" t="s">
        <v>34</v>
      </c>
      <c r="V590" s="73"/>
      <c r="W590" s="113"/>
    </row>
    <row r="591" spans="1:23" ht="16.05" customHeight="1" x14ac:dyDescent="0.45">
      <c r="A591" s="1">
        <v>590</v>
      </c>
      <c r="B591" s="113" t="s">
        <v>924</v>
      </c>
      <c r="C591" s="46" t="s">
        <v>24</v>
      </c>
      <c r="D591" s="358">
        <v>5674</v>
      </c>
      <c r="E591" s="113" t="s">
        <v>1373</v>
      </c>
      <c r="F591" s="113" t="s">
        <v>1308</v>
      </c>
      <c r="G591" s="16">
        <v>5120</v>
      </c>
      <c r="H591" s="113" t="s">
        <v>1253</v>
      </c>
      <c r="I591" s="113" t="s">
        <v>729</v>
      </c>
      <c r="J591" s="182" t="s">
        <v>111</v>
      </c>
      <c r="K591" s="16" t="s">
        <v>110</v>
      </c>
      <c r="L591" s="282">
        <v>0.4</v>
      </c>
      <c r="M591" s="71"/>
      <c r="N591" s="16" t="s">
        <v>774</v>
      </c>
      <c r="O591" s="73"/>
      <c r="P591" s="28">
        <v>1</v>
      </c>
      <c r="Q591" s="282">
        <v>0.05</v>
      </c>
      <c r="R591" s="28"/>
      <c r="S591" s="28">
        <f t="shared" si="18"/>
        <v>0</v>
      </c>
      <c r="T591" s="46">
        <f t="shared" si="19"/>
        <v>0</v>
      </c>
      <c r="U591" s="28" t="s">
        <v>34</v>
      </c>
      <c r="V591" s="73"/>
      <c r="W591" s="113"/>
    </row>
    <row r="592" spans="1:23" ht="16.05" customHeight="1" x14ac:dyDescent="0.45">
      <c r="A592" s="1">
        <v>591</v>
      </c>
      <c r="B592" s="113" t="s">
        <v>924</v>
      </c>
      <c r="C592" s="46" t="s">
        <v>24</v>
      </c>
      <c r="D592" s="358">
        <v>5674</v>
      </c>
      <c r="E592" s="113" t="s">
        <v>1373</v>
      </c>
      <c r="F592" s="113" t="s">
        <v>1308</v>
      </c>
      <c r="G592" s="16">
        <v>5120</v>
      </c>
      <c r="H592" s="113" t="s">
        <v>1253</v>
      </c>
      <c r="I592" s="113" t="s">
        <v>729</v>
      </c>
      <c r="J592" s="182" t="s">
        <v>111</v>
      </c>
      <c r="K592" s="16" t="s">
        <v>110</v>
      </c>
      <c r="L592" s="282">
        <v>0.4</v>
      </c>
      <c r="M592" s="71"/>
      <c r="N592" s="16" t="s">
        <v>775</v>
      </c>
      <c r="O592" s="73"/>
      <c r="P592" s="28">
        <v>1</v>
      </c>
      <c r="Q592" s="282">
        <v>0.05</v>
      </c>
      <c r="R592" s="28"/>
      <c r="S592" s="28">
        <f t="shared" si="18"/>
        <v>0</v>
      </c>
      <c r="T592" s="46">
        <f t="shared" si="19"/>
        <v>0</v>
      </c>
      <c r="U592" s="28" t="s">
        <v>34</v>
      </c>
      <c r="V592" s="73"/>
      <c r="W592" s="113"/>
    </row>
    <row r="593" spans="1:23" ht="16.05" customHeight="1" x14ac:dyDescent="0.45">
      <c r="A593" s="1">
        <v>592</v>
      </c>
      <c r="B593" s="113" t="s">
        <v>924</v>
      </c>
      <c r="C593" s="46" t="s">
        <v>24</v>
      </c>
      <c r="D593" s="358">
        <v>5674</v>
      </c>
      <c r="E593" s="113" t="s">
        <v>1373</v>
      </c>
      <c r="F593" s="113" t="s">
        <v>1308</v>
      </c>
      <c r="G593" s="16">
        <v>5120</v>
      </c>
      <c r="H593" s="113" t="s">
        <v>1253</v>
      </c>
      <c r="I593" s="113" t="s">
        <v>729</v>
      </c>
      <c r="J593" s="182" t="s">
        <v>111</v>
      </c>
      <c r="K593" s="16" t="s">
        <v>110</v>
      </c>
      <c r="L593" s="282">
        <v>0.4</v>
      </c>
      <c r="M593" s="71"/>
      <c r="N593" s="16" t="s">
        <v>776</v>
      </c>
      <c r="O593" s="73"/>
      <c r="P593" s="28">
        <v>1</v>
      </c>
      <c r="Q593" s="282">
        <v>0.1</v>
      </c>
      <c r="R593" s="28"/>
      <c r="S593" s="28">
        <f t="shared" si="18"/>
        <v>0</v>
      </c>
      <c r="T593" s="46">
        <f t="shared" si="19"/>
        <v>0</v>
      </c>
      <c r="U593" s="28" t="s">
        <v>34</v>
      </c>
      <c r="V593" s="73"/>
      <c r="W593" s="113"/>
    </row>
    <row r="594" spans="1:23" ht="16.05" customHeight="1" x14ac:dyDescent="0.45">
      <c r="A594" s="1">
        <v>593</v>
      </c>
      <c r="B594" s="113" t="s">
        <v>924</v>
      </c>
      <c r="C594" s="46" t="s">
        <v>24</v>
      </c>
      <c r="D594" s="358">
        <v>5674</v>
      </c>
      <c r="E594" s="113" t="s">
        <v>1373</v>
      </c>
      <c r="F594" s="113" t="s">
        <v>1308</v>
      </c>
      <c r="G594" s="16">
        <v>5120</v>
      </c>
      <c r="H594" s="113" t="s">
        <v>1253</v>
      </c>
      <c r="I594" s="113" t="s">
        <v>729</v>
      </c>
      <c r="J594" s="182" t="s">
        <v>111</v>
      </c>
      <c r="K594" s="16" t="s">
        <v>110</v>
      </c>
      <c r="L594" s="282">
        <v>0.4</v>
      </c>
      <c r="M594" s="71"/>
      <c r="N594" s="16" t="s">
        <v>251</v>
      </c>
      <c r="O594" s="73"/>
      <c r="P594" s="28">
        <v>1</v>
      </c>
      <c r="Q594" s="282">
        <v>0.05</v>
      </c>
      <c r="R594" s="28"/>
      <c r="S594" s="28">
        <f t="shared" si="18"/>
        <v>0</v>
      </c>
      <c r="T594" s="46">
        <f t="shared" si="19"/>
        <v>0</v>
      </c>
      <c r="U594" s="28" t="s">
        <v>34</v>
      </c>
      <c r="V594" s="73"/>
      <c r="W594" s="113"/>
    </row>
    <row r="595" spans="1:23" ht="16.05" customHeight="1" x14ac:dyDescent="0.45">
      <c r="A595" s="1">
        <v>594</v>
      </c>
      <c r="B595" s="113" t="s">
        <v>924</v>
      </c>
      <c r="C595" s="46" t="s">
        <v>24</v>
      </c>
      <c r="D595" s="358">
        <v>5674</v>
      </c>
      <c r="E595" s="113" t="s">
        <v>1373</v>
      </c>
      <c r="F595" s="113" t="s">
        <v>1308</v>
      </c>
      <c r="G595" s="16">
        <v>5120</v>
      </c>
      <c r="H595" s="113" t="s">
        <v>1253</v>
      </c>
      <c r="I595" s="113" t="s">
        <v>729</v>
      </c>
      <c r="J595" s="182" t="s">
        <v>111</v>
      </c>
      <c r="K595" s="16" t="s">
        <v>110</v>
      </c>
      <c r="L595" s="282">
        <v>0.4</v>
      </c>
      <c r="M595" s="71"/>
      <c r="N595" s="16" t="s">
        <v>252</v>
      </c>
      <c r="O595" s="73"/>
      <c r="P595" s="28">
        <v>1</v>
      </c>
      <c r="Q595" s="282">
        <v>0.05</v>
      </c>
      <c r="R595" s="28"/>
      <c r="S595" s="28">
        <f t="shared" si="18"/>
        <v>0</v>
      </c>
      <c r="T595" s="46">
        <f t="shared" si="19"/>
        <v>0</v>
      </c>
      <c r="U595" s="28" t="s">
        <v>34</v>
      </c>
      <c r="V595" s="73"/>
      <c r="W595" s="113"/>
    </row>
    <row r="596" spans="1:23" ht="16.05" customHeight="1" x14ac:dyDescent="0.45">
      <c r="A596" s="1">
        <v>595</v>
      </c>
      <c r="B596" s="113" t="s">
        <v>924</v>
      </c>
      <c r="C596" s="46" t="s">
        <v>24</v>
      </c>
      <c r="D596" s="358">
        <v>5674</v>
      </c>
      <c r="E596" s="113" t="s">
        <v>1373</v>
      </c>
      <c r="F596" s="113" t="s">
        <v>1308</v>
      </c>
      <c r="G596" s="16">
        <v>5120</v>
      </c>
      <c r="H596" s="113" t="s">
        <v>1253</v>
      </c>
      <c r="I596" s="113" t="s">
        <v>729</v>
      </c>
      <c r="J596" s="182" t="s">
        <v>111</v>
      </c>
      <c r="K596" s="16" t="s">
        <v>110</v>
      </c>
      <c r="L596" s="282">
        <v>0.4</v>
      </c>
      <c r="M596" s="71"/>
      <c r="N596" s="16" t="s">
        <v>777</v>
      </c>
      <c r="O596" s="73"/>
      <c r="P596" s="28">
        <v>1</v>
      </c>
      <c r="Q596" s="282">
        <v>0.05</v>
      </c>
      <c r="R596" s="28"/>
      <c r="S596" s="28">
        <f t="shared" si="18"/>
        <v>0</v>
      </c>
      <c r="T596" s="46">
        <f t="shared" si="19"/>
        <v>0</v>
      </c>
      <c r="U596" s="28" t="s">
        <v>34</v>
      </c>
      <c r="V596" s="73"/>
      <c r="W596" s="113"/>
    </row>
    <row r="597" spans="1:23" ht="16.05" customHeight="1" x14ac:dyDescent="0.45">
      <c r="A597" s="1">
        <v>596</v>
      </c>
      <c r="B597" s="113" t="s">
        <v>924</v>
      </c>
      <c r="C597" s="46" t="s">
        <v>24</v>
      </c>
      <c r="D597" s="358">
        <v>5674</v>
      </c>
      <c r="E597" s="113" t="s">
        <v>1373</v>
      </c>
      <c r="F597" s="113" t="s">
        <v>1308</v>
      </c>
      <c r="G597" s="16">
        <v>5120</v>
      </c>
      <c r="H597" s="113" t="s">
        <v>1253</v>
      </c>
      <c r="I597" s="113" t="s">
        <v>729</v>
      </c>
      <c r="J597" s="182" t="s">
        <v>111</v>
      </c>
      <c r="K597" s="16" t="s">
        <v>110</v>
      </c>
      <c r="L597" s="282">
        <v>0.4</v>
      </c>
      <c r="M597" s="71"/>
      <c r="N597" s="16" t="s">
        <v>253</v>
      </c>
      <c r="O597" s="73"/>
      <c r="P597" s="28">
        <v>1</v>
      </c>
      <c r="Q597" s="282">
        <v>0.05</v>
      </c>
      <c r="R597" s="28"/>
      <c r="S597" s="28">
        <f t="shared" si="18"/>
        <v>0</v>
      </c>
      <c r="T597" s="46">
        <f t="shared" si="19"/>
        <v>0</v>
      </c>
      <c r="U597" s="28" t="s">
        <v>34</v>
      </c>
      <c r="V597" s="73"/>
      <c r="W597" s="113"/>
    </row>
    <row r="598" spans="1:23" ht="16.05" customHeight="1" x14ac:dyDescent="0.45">
      <c r="A598" s="1">
        <v>597</v>
      </c>
      <c r="B598" s="3" t="s">
        <v>924</v>
      </c>
      <c r="C598" s="120" t="s">
        <v>24</v>
      </c>
      <c r="D598" s="275">
        <v>5549</v>
      </c>
      <c r="E598" s="3" t="s">
        <v>1377</v>
      </c>
      <c r="F598" s="3" t="s">
        <v>1308</v>
      </c>
      <c r="G598" s="3">
        <v>5120</v>
      </c>
      <c r="H598" s="3" t="s">
        <v>1253</v>
      </c>
      <c r="I598" s="3" t="s">
        <v>729</v>
      </c>
      <c r="J598" s="3" t="s">
        <v>58</v>
      </c>
      <c r="K598" s="3" t="s">
        <v>57</v>
      </c>
      <c r="L598" s="350">
        <v>0.6</v>
      </c>
      <c r="M598" s="407"/>
      <c r="N598" s="3" t="s">
        <v>1378</v>
      </c>
      <c r="O598" s="146"/>
      <c r="P598" s="171">
        <v>1</v>
      </c>
      <c r="Q598" s="350">
        <v>0.15</v>
      </c>
      <c r="R598" s="171"/>
      <c r="S598" s="148">
        <f t="shared" si="18"/>
        <v>0</v>
      </c>
      <c r="T598" s="168">
        <f t="shared" si="19"/>
        <v>0</v>
      </c>
      <c r="U598" s="148" t="s">
        <v>34</v>
      </c>
      <c r="V598" s="429">
        <f>SUM(T598:T616)%</f>
        <v>0</v>
      </c>
      <c r="W598" s="3"/>
    </row>
    <row r="599" spans="1:23" ht="16.05" customHeight="1" x14ac:dyDescent="0.45">
      <c r="A599" s="1">
        <v>598</v>
      </c>
      <c r="B599" s="16" t="s">
        <v>924</v>
      </c>
      <c r="C599" s="28" t="s">
        <v>24</v>
      </c>
      <c r="D599" s="281">
        <v>5549</v>
      </c>
      <c r="E599" s="16" t="s">
        <v>1377</v>
      </c>
      <c r="F599" s="16" t="s">
        <v>1308</v>
      </c>
      <c r="G599" s="16">
        <v>5120</v>
      </c>
      <c r="H599" s="16" t="s">
        <v>1253</v>
      </c>
      <c r="I599" s="16" t="s">
        <v>729</v>
      </c>
      <c r="J599" s="16" t="s">
        <v>58</v>
      </c>
      <c r="K599" s="16" t="s">
        <v>57</v>
      </c>
      <c r="L599" s="360">
        <v>0.6</v>
      </c>
      <c r="M599" s="430"/>
      <c r="N599" s="184" t="s">
        <v>1379</v>
      </c>
      <c r="O599" s="44"/>
      <c r="P599" s="431">
        <v>1</v>
      </c>
      <c r="Q599" s="360">
        <v>0.3</v>
      </c>
      <c r="R599" s="431"/>
      <c r="S599" s="153">
        <f t="shared" si="18"/>
        <v>0</v>
      </c>
      <c r="T599" s="152">
        <f t="shared" si="19"/>
        <v>0</v>
      </c>
      <c r="U599" s="153" t="s">
        <v>34</v>
      </c>
      <c r="V599" s="44"/>
      <c r="W599" s="16"/>
    </row>
    <row r="600" spans="1:23" ht="16.05" customHeight="1" x14ac:dyDescent="0.45">
      <c r="A600" s="1">
        <v>599</v>
      </c>
      <c r="B600" s="16" t="s">
        <v>924</v>
      </c>
      <c r="C600" s="28" t="s">
        <v>24</v>
      </c>
      <c r="D600" s="281">
        <v>5549</v>
      </c>
      <c r="E600" s="16" t="s">
        <v>1377</v>
      </c>
      <c r="F600" s="16" t="s">
        <v>1308</v>
      </c>
      <c r="G600" s="16">
        <v>5120</v>
      </c>
      <c r="H600" s="16" t="s">
        <v>1253</v>
      </c>
      <c r="I600" s="16" t="s">
        <v>729</v>
      </c>
      <c r="J600" s="16" t="s">
        <v>58</v>
      </c>
      <c r="K600" s="16" t="s">
        <v>57</v>
      </c>
      <c r="L600" s="360">
        <v>0.6</v>
      </c>
      <c r="M600" s="430"/>
      <c r="N600" s="184" t="s">
        <v>1380</v>
      </c>
      <c r="O600" s="44"/>
      <c r="P600" s="431">
        <v>1</v>
      </c>
      <c r="Q600" s="360">
        <v>0.3</v>
      </c>
      <c r="R600" s="431"/>
      <c r="S600" s="153">
        <f t="shared" si="18"/>
        <v>0</v>
      </c>
      <c r="T600" s="152">
        <f t="shared" si="19"/>
        <v>0</v>
      </c>
      <c r="U600" s="153" t="s">
        <v>34</v>
      </c>
      <c r="V600" s="44"/>
      <c r="W600" s="16"/>
    </row>
    <row r="601" spans="1:23" ht="16.05" customHeight="1" x14ac:dyDescent="0.45">
      <c r="A601" s="1">
        <v>600</v>
      </c>
      <c r="B601" s="16" t="s">
        <v>924</v>
      </c>
      <c r="C601" s="28" t="s">
        <v>24</v>
      </c>
      <c r="D601" s="281">
        <v>5549</v>
      </c>
      <c r="E601" s="16" t="s">
        <v>1377</v>
      </c>
      <c r="F601" s="16" t="s">
        <v>1308</v>
      </c>
      <c r="G601" s="16">
        <v>5120</v>
      </c>
      <c r="H601" s="16" t="s">
        <v>1253</v>
      </c>
      <c r="I601" s="16" t="s">
        <v>729</v>
      </c>
      <c r="J601" s="16" t="s">
        <v>58</v>
      </c>
      <c r="K601" s="16" t="s">
        <v>57</v>
      </c>
      <c r="L601" s="360">
        <v>0.6</v>
      </c>
      <c r="M601" s="430"/>
      <c r="N601" s="184" t="s">
        <v>1381</v>
      </c>
      <c r="O601" s="44"/>
      <c r="P601" s="431">
        <v>1</v>
      </c>
      <c r="Q601" s="360">
        <v>0.25</v>
      </c>
      <c r="R601" s="431"/>
      <c r="S601" s="153">
        <f t="shared" si="18"/>
        <v>0</v>
      </c>
      <c r="T601" s="152">
        <f t="shared" si="19"/>
        <v>0</v>
      </c>
      <c r="U601" s="153" t="s">
        <v>34</v>
      </c>
      <c r="V601" s="44"/>
      <c r="W601" s="16"/>
    </row>
    <row r="602" spans="1:23" ht="16.05" customHeight="1" x14ac:dyDescent="0.45">
      <c r="A602" s="1">
        <v>601</v>
      </c>
      <c r="B602" s="182" t="s">
        <v>924</v>
      </c>
      <c r="C602" s="28" t="s">
        <v>24</v>
      </c>
      <c r="D602" s="427">
        <v>5549</v>
      </c>
      <c r="E602" s="182" t="s">
        <v>1377</v>
      </c>
      <c r="F602" s="182" t="s">
        <v>1308</v>
      </c>
      <c r="G602" s="16">
        <v>5120</v>
      </c>
      <c r="H602" s="182" t="s">
        <v>1253</v>
      </c>
      <c r="I602" s="182" t="s">
        <v>729</v>
      </c>
      <c r="J602" s="182" t="s">
        <v>111</v>
      </c>
      <c r="K602" s="16" t="s">
        <v>110</v>
      </c>
      <c r="L602" s="282">
        <v>0.4</v>
      </c>
      <c r="M602" s="71"/>
      <c r="N602" s="16" t="s">
        <v>255</v>
      </c>
      <c r="O602" s="73"/>
      <c r="P602" s="28">
        <v>1</v>
      </c>
      <c r="Q602" s="282">
        <v>0.05</v>
      </c>
      <c r="R602" s="28"/>
      <c r="S602" s="28">
        <f t="shared" si="18"/>
        <v>0</v>
      </c>
      <c r="T602" s="46">
        <f t="shared" si="19"/>
        <v>0</v>
      </c>
      <c r="U602" s="28" t="s">
        <v>34</v>
      </c>
      <c r="V602" s="73"/>
      <c r="W602" s="182"/>
    </row>
    <row r="603" spans="1:23" ht="16.05" customHeight="1" x14ac:dyDescent="0.45">
      <c r="A603" s="1">
        <v>602</v>
      </c>
      <c r="B603" s="182" t="s">
        <v>924</v>
      </c>
      <c r="C603" s="28" t="s">
        <v>24</v>
      </c>
      <c r="D603" s="427">
        <v>5549</v>
      </c>
      <c r="E603" s="182" t="s">
        <v>1377</v>
      </c>
      <c r="F603" s="182" t="s">
        <v>1308</v>
      </c>
      <c r="G603" s="16">
        <v>5120</v>
      </c>
      <c r="H603" s="182" t="s">
        <v>1253</v>
      </c>
      <c r="I603" s="182" t="s">
        <v>729</v>
      </c>
      <c r="J603" s="182" t="s">
        <v>111</v>
      </c>
      <c r="K603" s="16" t="s">
        <v>110</v>
      </c>
      <c r="L603" s="282">
        <v>0.4</v>
      </c>
      <c r="M603" s="71"/>
      <c r="N603" s="16" t="s">
        <v>768</v>
      </c>
      <c r="O603" s="73"/>
      <c r="P603" s="28">
        <v>1</v>
      </c>
      <c r="Q603" s="282">
        <v>0.05</v>
      </c>
      <c r="R603" s="28"/>
      <c r="S603" s="28">
        <f t="shared" si="18"/>
        <v>0</v>
      </c>
      <c r="T603" s="46">
        <f t="shared" si="19"/>
        <v>0</v>
      </c>
      <c r="U603" s="28" t="s">
        <v>34</v>
      </c>
      <c r="V603" s="73"/>
      <c r="W603" s="182"/>
    </row>
    <row r="604" spans="1:23" ht="16.05" customHeight="1" x14ac:dyDescent="0.45">
      <c r="A604" s="1">
        <v>603</v>
      </c>
      <c r="B604" s="182" t="s">
        <v>924</v>
      </c>
      <c r="C604" s="28" t="s">
        <v>24</v>
      </c>
      <c r="D604" s="427">
        <v>5549</v>
      </c>
      <c r="E604" s="182" t="s">
        <v>1377</v>
      </c>
      <c r="F604" s="182" t="s">
        <v>1308</v>
      </c>
      <c r="G604" s="16">
        <v>5120</v>
      </c>
      <c r="H604" s="182" t="s">
        <v>1253</v>
      </c>
      <c r="I604" s="182" t="s">
        <v>729</v>
      </c>
      <c r="J604" s="182" t="s">
        <v>111</v>
      </c>
      <c r="K604" s="16" t="s">
        <v>110</v>
      </c>
      <c r="L604" s="282">
        <v>0.4</v>
      </c>
      <c r="M604" s="71"/>
      <c r="N604" s="16" t="s">
        <v>769</v>
      </c>
      <c r="O604" s="73"/>
      <c r="P604" s="28">
        <v>1</v>
      </c>
      <c r="Q604" s="282">
        <v>0.05</v>
      </c>
      <c r="R604" s="28"/>
      <c r="S604" s="28">
        <f t="shared" si="18"/>
        <v>0</v>
      </c>
      <c r="T604" s="46">
        <f t="shared" si="19"/>
        <v>0</v>
      </c>
      <c r="U604" s="28" t="s">
        <v>34</v>
      </c>
      <c r="V604" s="73"/>
      <c r="W604" s="182"/>
    </row>
    <row r="605" spans="1:23" ht="16.05" customHeight="1" x14ac:dyDescent="0.45">
      <c r="A605" s="1">
        <v>604</v>
      </c>
      <c r="B605" s="182" t="s">
        <v>924</v>
      </c>
      <c r="C605" s="28" t="s">
        <v>24</v>
      </c>
      <c r="D605" s="427">
        <v>5549</v>
      </c>
      <c r="E605" s="182" t="s">
        <v>1377</v>
      </c>
      <c r="F605" s="182" t="s">
        <v>1308</v>
      </c>
      <c r="G605" s="16">
        <v>5120</v>
      </c>
      <c r="H605" s="182" t="s">
        <v>1253</v>
      </c>
      <c r="I605" s="182" t="s">
        <v>729</v>
      </c>
      <c r="J605" s="182" t="s">
        <v>111</v>
      </c>
      <c r="K605" s="16" t="s">
        <v>110</v>
      </c>
      <c r="L605" s="282">
        <v>0.4</v>
      </c>
      <c r="M605" s="71"/>
      <c r="N605" s="16" t="s">
        <v>770</v>
      </c>
      <c r="O605" s="73"/>
      <c r="P605" s="28">
        <v>1</v>
      </c>
      <c r="Q605" s="282">
        <v>0.15</v>
      </c>
      <c r="R605" s="28"/>
      <c r="S605" s="28">
        <f t="shared" si="18"/>
        <v>0</v>
      </c>
      <c r="T605" s="46">
        <f t="shared" si="19"/>
        <v>0</v>
      </c>
      <c r="U605" s="28" t="s">
        <v>34</v>
      </c>
      <c r="V605" s="73"/>
      <c r="W605" s="182"/>
    </row>
    <row r="606" spans="1:23" ht="16.05" customHeight="1" x14ac:dyDescent="0.45">
      <c r="A606" s="1">
        <v>605</v>
      </c>
      <c r="B606" s="182" t="s">
        <v>924</v>
      </c>
      <c r="C606" s="28" t="s">
        <v>24</v>
      </c>
      <c r="D606" s="427">
        <v>5549</v>
      </c>
      <c r="E606" s="182" t="s">
        <v>1377</v>
      </c>
      <c r="F606" s="182" t="s">
        <v>1308</v>
      </c>
      <c r="G606" s="16">
        <v>5120</v>
      </c>
      <c r="H606" s="182" t="s">
        <v>1253</v>
      </c>
      <c r="I606" s="182" t="s">
        <v>729</v>
      </c>
      <c r="J606" s="182" t="s">
        <v>111</v>
      </c>
      <c r="K606" s="16" t="s">
        <v>110</v>
      </c>
      <c r="L606" s="282">
        <v>0.4</v>
      </c>
      <c r="M606" s="71"/>
      <c r="N606" s="16" t="s">
        <v>254</v>
      </c>
      <c r="O606" s="73"/>
      <c r="P606" s="28">
        <v>1</v>
      </c>
      <c r="Q606" s="282">
        <v>0.1</v>
      </c>
      <c r="R606" s="28"/>
      <c r="S606" s="28">
        <f t="shared" si="18"/>
        <v>0</v>
      </c>
      <c r="T606" s="46">
        <f t="shared" si="19"/>
        <v>0</v>
      </c>
      <c r="U606" s="28" t="s">
        <v>34</v>
      </c>
      <c r="V606" s="73"/>
      <c r="W606" s="182"/>
    </row>
    <row r="607" spans="1:23" ht="16.05" customHeight="1" x14ac:dyDescent="0.45">
      <c r="A607" s="1">
        <v>606</v>
      </c>
      <c r="B607" s="182" t="s">
        <v>924</v>
      </c>
      <c r="C607" s="28" t="s">
        <v>24</v>
      </c>
      <c r="D607" s="427">
        <v>5549</v>
      </c>
      <c r="E607" s="182" t="s">
        <v>1377</v>
      </c>
      <c r="F607" s="182" t="s">
        <v>1308</v>
      </c>
      <c r="G607" s="16">
        <v>5120</v>
      </c>
      <c r="H607" s="182" t="s">
        <v>1253</v>
      </c>
      <c r="I607" s="182" t="s">
        <v>729</v>
      </c>
      <c r="J607" s="182" t="s">
        <v>111</v>
      </c>
      <c r="K607" s="16" t="s">
        <v>110</v>
      </c>
      <c r="L607" s="282">
        <v>0.4</v>
      </c>
      <c r="M607" s="71"/>
      <c r="N607" s="16" t="s">
        <v>771</v>
      </c>
      <c r="O607" s="73"/>
      <c r="P607" s="28">
        <v>1</v>
      </c>
      <c r="Q607" s="282">
        <v>0.05</v>
      </c>
      <c r="R607" s="28"/>
      <c r="S607" s="28">
        <f t="shared" si="18"/>
        <v>0</v>
      </c>
      <c r="T607" s="46">
        <f t="shared" si="19"/>
        <v>0</v>
      </c>
      <c r="U607" s="28" t="s">
        <v>34</v>
      </c>
      <c r="V607" s="73"/>
      <c r="W607" s="182"/>
    </row>
    <row r="608" spans="1:23" ht="16.05" customHeight="1" x14ac:dyDescent="0.45">
      <c r="A608" s="1">
        <v>607</v>
      </c>
      <c r="B608" s="182" t="s">
        <v>924</v>
      </c>
      <c r="C608" s="28" t="s">
        <v>24</v>
      </c>
      <c r="D608" s="427">
        <v>5549</v>
      </c>
      <c r="E608" s="182" t="s">
        <v>1377</v>
      </c>
      <c r="F608" s="182" t="s">
        <v>1308</v>
      </c>
      <c r="G608" s="16">
        <v>5120</v>
      </c>
      <c r="H608" s="182" t="s">
        <v>1253</v>
      </c>
      <c r="I608" s="182" t="s">
        <v>729</v>
      </c>
      <c r="J608" s="182" t="s">
        <v>111</v>
      </c>
      <c r="K608" s="16" t="s">
        <v>110</v>
      </c>
      <c r="L608" s="282">
        <v>0.4</v>
      </c>
      <c r="M608" s="71"/>
      <c r="N608" s="16" t="s">
        <v>772</v>
      </c>
      <c r="O608" s="73"/>
      <c r="P608" s="28">
        <v>1</v>
      </c>
      <c r="Q608" s="282">
        <v>0.1</v>
      </c>
      <c r="R608" s="28"/>
      <c r="S608" s="28">
        <f t="shared" si="18"/>
        <v>0</v>
      </c>
      <c r="T608" s="46">
        <f t="shared" si="19"/>
        <v>0</v>
      </c>
      <c r="U608" s="28" t="s">
        <v>34</v>
      </c>
      <c r="V608" s="73"/>
      <c r="W608" s="182"/>
    </row>
    <row r="609" spans="1:23" ht="16.05" customHeight="1" x14ac:dyDescent="0.45">
      <c r="A609" s="1">
        <v>608</v>
      </c>
      <c r="B609" s="182" t="s">
        <v>924</v>
      </c>
      <c r="C609" s="28" t="s">
        <v>24</v>
      </c>
      <c r="D609" s="427">
        <v>5549</v>
      </c>
      <c r="E609" s="182" t="s">
        <v>1377</v>
      </c>
      <c r="F609" s="182" t="s">
        <v>1308</v>
      </c>
      <c r="G609" s="16">
        <v>5120</v>
      </c>
      <c r="H609" s="182" t="s">
        <v>1253</v>
      </c>
      <c r="I609" s="182" t="s">
        <v>729</v>
      </c>
      <c r="J609" s="182" t="s">
        <v>111</v>
      </c>
      <c r="K609" s="16" t="s">
        <v>110</v>
      </c>
      <c r="L609" s="282">
        <v>0.4</v>
      </c>
      <c r="M609" s="71"/>
      <c r="N609" s="16" t="s">
        <v>773</v>
      </c>
      <c r="O609" s="73"/>
      <c r="P609" s="28">
        <v>1</v>
      </c>
      <c r="Q609" s="282">
        <v>0.05</v>
      </c>
      <c r="R609" s="28"/>
      <c r="S609" s="28">
        <f t="shared" si="18"/>
        <v>0</v>
      </c>
      <c r="T609" s="46">
        <f t="shared" si="19"/>
        <v>0</v>
      </c>
      <c r="U609" s="28" t="s">
        <v>34</v>
      </c>
      <c r="V609" s="73"/>
      <c r="W609" s="182"/>
    </row>
    <row r="610" spans="1:23" ht="16.05" customHeight="1" x14ac:dyDescent="0.45">
      <c r="A610" s="1">
        <v>609</v>
      </c>
      <c r="B610" s="182" t="s">
        <v>924</v>
      </c>
      <c r="C610" s="28" t="s">
        <v>24</v>
      </c>
      <c r="D610" s="427">
        <v>5549</v>
      </c>
      <c r="E610" s="182" t="s">
        <v>1377</v>
      </c>
      <c r="F610" s="182" t="s">
        <v>1308</v>
      </c>
      <c r="G610" s="16">
        <v>5120</v>
      </c>
      <c r="H610" s="182" t="s">
        <v>1253</v>
      </c>
      <c r="I610" s="182" t="s">
        <v>729</v>
      </c>
      <c r="J610" s="182" t="s">
        <v>111</v>
      </c>
      <c r="K610" s="16" t="s">
        <v>110</v>
      </c>
      <c r="L610" s="282">
        <v>0.4</v>
      </c>
      <c r="M610" s="71"/>
      <c r="N610" s="16" t="s">
        <v>774</v>
      </c>
      <c r="O610" s="73"/>
      <c r="P610" s="28">
        <v>1</v>
      </c>
      <c r="Q610" s="282">
        <v>0.05</v>
      </c>
      <c r="R610" s="28"/>
      <c r="S610" s="28">
        <f t="shared" si="18"/>
        <v>0</v>
      </c>
      <c r="T610" s="46">
        <f t="shared" si="19"/>
        <v>0</v>
      </c>
      <c r="U610" s="28" t="s">
        <v>34</v>
      </c>
      <c r="V610" s="73"/>
      <c r="W610" s="182"/>
    </row>
    <row r="611" spans="1:23" ht="16.05" customHeight="1" x14ac:dyDescent="0.45">
      <c r="A611" s="1">
        <v>610</v>
      </c>
      <c r="B611" s="182" t="s">
        <v>924</v>
      </c>
      <c r="C611" s="28" t="s">
        <v>24</v>
      </c>
      <c r="D611" s="427">
        <v>5549</v>
      </c>
      <c r="E611" s="182" t="s">
        <v>1377</v>
      </c>
      <c r="F611" s="182" t="s">
        <v>1308</v>
      </c>
      <c r="G611" s="16">
        <v>5120</v>
      </c>
      <c r="H611" s="182" t="s">
        <v>1253</v>
      </c>
      <c r="I611" s="182" t="s">
        <v>729</v>
      </c>
      <c r="J611" s="182" t="s">
        <v>111</v>
      </c>
      <c r="K611" s="16" t="s">
        <v>110</v>
      </c>
      <c r="L611" s="282">
        <v>0.4</v>
      </c>
      <c r="M611" s="71"/>
      <c r="N611" s="16" t="s">
        <v>775</v>
      </c>
      <c r="O611" s="73"/>
      <c r="P611" s="28">
        <v>1</v>
      </c>
      <c r="Q611" s="282">
        <v>0.05</v>
      </c>
      <c r="R611" s="28"/>
      <c r="S611" s="28">
        <f t="shared" si="18"/>
        <v>0</v>
      </c>
      <c r="T611" s="46">
        <f t="shared" si="19"/>
        <v>0</v>
      </c>
      <c r="U611" s="28" t="s">
        <v>34</v>
      </c>
      <c r="V611" s="73"/>
      <c r="W611" s="182"/>
    </row>
    <row r="612" spans="1:23" ht="16.05" customHeight="1" x14ac:dyDescent="0.45">
      <c r="A612" s="1">
        <v>611</v>
      </c>
      <c r="B612" s="182" t="s">
        <v>924</v>
      </c>
      <c r="C612" s="28" t="s">
        <v>24</v>
      </c>
      <c r="D612" s="427">
        <v>5549</v>
      </c>
      <c r="E612" s="182" t="s">
        <v>1377</v>
      </c>
      <c r="F612" s="182" t="s">
        <v>1308</v>
      </c>
      <c r="G612" s="16">
        <v>5120</v>
      </c>
      <c r="H612" s="182" t="s">
        <v>1253</v>
      </c>
      <c r="I612" s="182" t="s">
        <v>729</v>
      </c>
      <c r="J612" s="182" t="s">
        <v>111</v>
      </c>
      <c r="K612" s="16" t="s">
        <v>110</v>
      </c>
      <c r="L612" s="282">
        <v>0.4</v>
      </c>
      <c r="M612" s="71"/>
      <c r="N612" s="16" t="s">
        <v>776</v>
      </c>
      <c r="O612" s="73"/>
      <c r="P612" s="28">
        <v>1</v>
      </c>
      <c r="Q612" s="282">
        <v>0.1</v>
      </c>
      <c r="R612" s="28"/>
      <c r="S612" s="28">
        <f t="shared" si="18"/>
        <v>0</v>
      </c>
      <c r="T612" s="46">
        <f t="shared" si="19"/>
        <v>0</v>
      </c>
      <c r="U612" s="28" t="s">
        <v>34</v>
      </c>
      <c r="V612" s="73"/>
      <c r="W612" s="182"/>
    </row>
    <row r="613" spans="1:23" ht="16.05" customHeight="1" x14ac:dyDescent="0.45">
      <c r="A613" s="1">
        <v>612</v>
      </c>
      <c r="B613" s="182" t="s">
        <v>924</v>
      </c>
      <c r="C613" s="28" t="s">
        <v>24</v>
      </c>
      <c r="D613" s="427">
        <v>5549</v>
      </c>
      <c r="E613" s="182" t="s">
        <v>1377</v>
      </c>
      <c r="F613" s="182" t="s">
        <v>1308</v>
      </c>
      <c r="G613" s="16">
        <v>5120</v>
      </c>
      <c r="H613" s="182" t="s">
        <v>1253</v>
      </c>
      <c r="I613" s="182" t="s">
        <v>729</v>
      </c>
      <c r="J613" s="182" t="s">
        <v>111</v>
      </c>
      <c r="K613" s="16" t="s">
        <v>110</v>
      </c>
      <c r="L613" s="282">
        <v>0.4</v>
      </c>
      <c r="M613" s="71"/>
      <c r="N613" s="16" t="s">
        <v>251</v>
      </c>
      <c r="O613" s="73"/>
      <c r="P613" s="28">
        <v>1</v>
      </c>
      <c r="Q613" s="282">
        <v>0.05</v>
      </c>
      <c r="R613" s="28"/>
      <c r="S613" s="28">
        <f t="shared" si="18"/>
        <v>0</v>
      </c>
      <c r="T613" s="46">
        <f t="shared" si="19"/>
        <v>0</v>
      </c>
      <c r="U613" s="28" t="s">
        <v>34</v>
      </c>
      <c r="V613" s="73"/>
      <c r="W613" s="182"/>
    </row>
    <row r="614" spans="1:23" ht="16.05" customHeight="1" x14ac:dyDescent="0.45">
      <c r="A614" s="1">
        <v>613</v>
      </c>
      <c r="B614" s="182" t="s">
        <v>924</v>
      </c>
      <c r="C614" s="28" t="s">
        <v>24</v>
      </c>
      <c r="D614" s="427">
        <v>5549</v>
      </c>
      <c r="E614" s="182" t="s">
        <v>1377</v>
      </c>
      <c r="F614" s="182" t="s">
        <v>1308</v>
      </c>
      <c r="G614" s="16">
        <v>5120</v>
      </c>
      <c r="H614" s="182" t="s">
        <v>1253</v>
      </c>
      <c r="I614" s="182" t="s">
        <v>729</v>
      </c>
      <c r="J614" s="182" t="s">
        <v>111</v>
      </c>
      <c r="K614" s="16" t="s">
        <v>110</v>
      </c>
      <c r="L614" s="282">
        <v>0.4</v>
      </c>
      <c r="M614" s="71"/>
      <c r="N614" s="16" t="s">
        <v>252</v>
      </c>
      <c r="O614" s="73"/>
      <c r="P614" s="28">
        <v>1</v>
      </c>
      <c r="Q614" s="282">
        <v>0.05</v>
      </c>
      <c r="R614" s="28"/>
      <c r="S614" s="28">
        <f t="shared" si="18"/>
        <v>0</v>
      </c>
      <c r="T614" s="46">
        <f t="shared" si="19"/>
        <v>0</v>
      </c>
      <c r="U614" s="28" t="s">
        <v>34</v>
      </c>
      <c r="V614" s="73"/>
      <c r="W614" s="182"/>
    </row>
    <row r="615" spans="1:23" ht="16.05" customHeight="1" x14ac:dyDescent="0.45">
      <c r="A615" s="1">
        <v>614</v>
      </c>
      <c r="B615" s="182" t="s">
        <v>924</v>
      </c>
      <c r="C615" s="28" t="s">
        <v>24</v>
      </c>
      <c r="D615" s="427">
        <v>5549</v>
      </c>
      <c r="E615" s="182" t="s">
        <v>1377</v>
      </c>
      <c r="F615" s="182" t="s">
        <v>1308</v>
      </c>
      <c r="G615" s="16">
        <v>5120</v>
      </c>
      <c r="H615" s="182" t="s">
        <v>1253</v>
      </c>
      <c r="I615" s="182" t="s">
        <v>729</v>
      </c>
      <c r="J615" s="182" t="s">
        <v>111</v>
      </c>
      <c r="K615" s="16" t="s">
        <v>110</v>
      </c>
      <c r="L615" s="282">
        <v>0.4</v>
      </c>
      <c r="M615" s="71"/>
      <c r="N615" s="16" t="s">
        <v>777</v>
      </c>
      <c r="O615" s="73"/>
      <c r="P615" s="28">
        <v>1</v>
      </c>
      <c r="Q615" s="282">
        <v>0.05</v>
      </c>
      <c r="R615" s="28"/>
      <c r="S615" s="28">
        <f t="shared" si="18"/>
        <v>0</v>
      </c>
      <c r="T615" s="46">
        <f t="shared" si="19"/>
        <v>0</v>
      </c>
      <c r="U615" s="28" t="s">
        <v>34</v>
      </c>
      <c r="V615" s="73"/>
      <c r="W615" s="182"/>
    </row>
    <row r="616" spans="1:23" ht="16.05" customHeight="1" x14ac:dyDescent="0.45">
      <c r="A616" s="1">
        <v>615</v>
      </c>
      <c r="B616" s="182" t="s">
        <v>924</v>
      </c>
      <c r="C616" s="28" t="s">
        <v>24</v>
      </c>
      <c r="D616" s="427">
        <v>5549</v>
      </c>
      <c r="E616" s="182" t="s">
        <v>1377</v>
      </c>
      <c r="F616" s="182" t="s">
        <v>1308</v>
      </c>
      <c r="G616" s="16">
        <v>5120</v>
      </c>
      <c r="H616" s="182" t="s">
        <v>1253</v>
      </c>
      <c r="I616" s="182" t="s">
        <v>729</v>
      </c>
      <c r="J616" s="182" t="s">
        <v>111</v>
      </c>
      <c r="K616" s="16" t="s">
        <v>110</v>
      </c>
      <c r="L616" s="282">
        <v>0.4</v>
      </c>
      <c r="M616" s="71"/>
      <c r="N616" s="16" t="s">
        <v>253</v>
      </c>
      <c r="O616" s="73"/>
      <c r="P616" s="28">
        <v>1</v>
      </c>
      <c r="Q616" s="282">
        <v>0.05</v>
      </c>
      <c r="R616" s="28"/>
      <c r="S616" s="28">
        <f t="shared" si="18"/>
        <v>0</v>
      </c>
      <c r="T616" s="46">
        <f t="shared" si="19"/>
        <v>0</v>
      </c>
      <c r="U616" s="28" t="s">
        <v>34</v>
      </c>
      <c r="V616" s="73"/>
      <c r="W616" s="182"/>
    </row>
    <row r="617" spans="1:23" ht="16.05" customHeight="1" x14ac:dyDescent="0.45">
      <c r="A617" s="1">
        <v>616</v>
      </c>
      <c r="B617" s="94" t="s">
        <v>924</v>
      </c>
      <c r="C617" s="94" t="s">
        <v>24</v>
      </c>
      <c r="D617" s="349">
        <v>5051</v>
      </c>
      <c r="E617" s="99" t="s">
        <v>1382</v>
      </c>
      <c r="F617" s="99" t="s">
        <v>1383</v>
      </c>
      <c r="G617" s="181">
        <v>6592</v>
      </c>
      <c r="H617" s="99" t="s">
        <v>925</v>
      </c>
      <c r="I617" s="99" t="s">
        <v>28</v>
      </c>
      <c r="J617" s="410" t="s">
        <v>58</v>
      </c>
      <c r="K617" s="410" t="s">
        <v>57</v>
      </c>
      <c r="L617" s="350">
        <v>1</v>
      </c>
      <c r="M617" s="438" t="s">
        <v>1384</v>
      </c>
      <c r="N617" s="438" t="s">
        <v>1385</v>
      </c>
      <c r="O617" s="410"/>
      <c r="P617" s="148">
        <v>1</v>
      </c>
      <c r="Q617" s="350">
        <v>0.05</v>
      </c>
      <c r="R617" s="148"/>
      <c r="S617" s="14">
        <f t="shared" si="18"/>
        <v>0</v>
      </c>
      <c r="T617" s="51">
        <f t="shared" si="19"/>
        <v>0</v>
      </c>
      <c r="U617" s="103" t="s">
        <v>34</v>
      </c>
      <c r="V617" s="301">
        <f>SUM(T617:T631)%</f>
        <v>0</v>
      </c>
      <c r="W617" s="99"/>
    </row>
    <row r="618" spans="1:23" ht="16.05" customHeight="1" x14ac:dyDescent="0.45">
      <c r="A618" s="1">
        <v>617</v>
      </c>
      <c r="B618" s="394" t="s">
        <v>924</v>
      </c>
      <c r="C618" s="394" t="s">
        <v>24</v>
      </c>
      <c r="D618" s="358">
        <v>5051</v>
      </c>
      <c r="E618" s="113" t="s">
        <v>1382</v>
      </c>
      <c r="F618" s="113" t="s">
        <v>1383</v>
      </c>
      <c r="G618" s="439">
        <v>6592</v>
      </c>
      <c r="H618" s="57" t="s">
        <v>925</v>
      </c>
      <c r="I618" s="113" t="s">
        <v>28</v>
      </c>
      <c r="J618" s="440" t="s">
        <v>58</v>
      </c>
      <c r="K618" s="440" t="s">
        <v>57</v>
      </c>
      <c r="L618" s="360">
        <v>1</v>
      </c>
      <c r="M618" s="396" t="s">
        <v>1386</v>
      </c>
      <c r="N618" s="396" t="s">
        <v>1387</v>
      </c>
      <c r="O618" s="417"/>
      <c r="P618" s="153">
        <v>1</v>
      </c>
      <c r="Q618" s="360">
        <v>0.15</v>
      </c>
      <c r="R618" s="153"/>
      <c r="S618" s="66">
        <f t="shared" si="18"/>
        <v>0</v>
      </c>
      <c r="T618" s="67">
        <f t="shared" si="19"/>
        <v>0</v>
      </c>
      <c r="U618" s="62" t="s">
        <v>34</v>
      </c>
      <c r="V618" s="116"/>
      <c r="W618" s="57"/>
    </row>
    <row r="619" spans="1:23" ht="16.05" customHeight="1" x14ac:dyDescent="0.45">
      <c r="A619" s="1">
        <v>618</v>
      </c>
      <c r="B619" s="394" t="s">
        <v>924</v>
      </c>
      <c r="C619" s="394" t="s">
        <v>24</v>
      </c>
      <c r="D619" s="358">
        <v>5051</v>
      </c>
      <c r="E619" s="113" t="s">
        <v>1382</v>
      </c>
      <c r="F619" s="113" t="s">
        <v>1383</v>
      </c>
      <c r="G619" s="439">
        <v>6592</v>
      </c>
      <c r="H619" s="57" t="s">
        <v>925</v>
      </c>
      <c r="I619" s="113" t="s">
        <v>28</v>
      </c>
      <c r="J619" s="440" t="s">
        <v>58</v>
      </c>
      <c r="K619" s="440" t="s">
        <v>57</v>
      </c>
      <c r="L619" s="360">
        <v>1</v>
      </c>
      <c r="M619" s="441" t="s">
        <v>349</v>
      </c>
      <c r="N619" s="441" t="s">
        <v>1388</v>
      </c>
      <c r="O619" s="417"/>
      <c r="P619" s="153">
        <v>1</v>
      </c>
      <c r="Q619" s="360">
        <v>0.05</v>
      </c>
      <c r="R619" s="153"/>
      <c r="S619" s="66">
        <f t="shared" si="18"/>
        <v>0</v>
      </c>
      <c r="T619" s="67">
        <f t="shared" si="19"/>
        <v>0</v>
      </c>
      <c r="U619" s="62" t="s">
        <v>34</v>
      </c>
      <c r="V619" s="116"/>
      <c r="W619" s="57"/>
    </row>
    <row r="620" spans="1:23" ht="16.05" customHeight="1" x14ac:dyDescent="0.45">
      <c r="A620" s="1">
        <v>619</v>
      </c>
      <c r="B620" s="394" t="s">
        <v>924</v>
      </c>
      <c r="C620" s="394" t="s">
        <v>24</v>
      </c>
      <c r="D620" s="358">
        <v>5051</v>
      </c>
      <c r="E620" s="113" t="s">
        <v>1382</v>
      </c>
      <c r="F620" s="113" t="s">
        <v>1383</v>
      </c>
      <c r="G620" s="439">
        <v>6592</v>
      </c>
      <c r="H620" s="57" t="s">
        <v>925</v>
      </c>
      <c r="I620" s="113" t="s">
        <v>28</v>
      </c>
      <c r="J620" s="440" t="s">
        <v>58</v>
      </c>
      <c r="K620" s="440" t="s">
        <v>57</v>
      </c>
      <c r="L620" s="360">
        <v>1</v>
      </c>
      <c r="M620" s="396" t="s">
        <v>353</v>
      </c>
      <c r="N620" s="396" t="s">
        <v>354</v>
      </c>
      <c r="O620" s="417"/>
      <c r="P620" s="153">
        <v>1</v>
      </c>
      <c r="Q620" s="360">
        <v>0.1</v>
      </c>
      <c r="R620" s="153"/>
      <c r="S620" s="66">
        <f t="shared" si="18"/>
        <v>0</v>
      </c>
      <c r="T620" s="67">
        <f t="shared" si="19"/>
        <v>0</v>
      </c>
      <c r="U620" s="62" t="s">
        <v>34</v>
      </c>
      <c r="V620" s="116"/>
      <c r="W620" s="57"/>
    </row>
    <row r="621" spans="1:23" ht="16.05" customHeight="1" x14ac:dyDescent="0.45">
      <c r="A621" s="1">
        <v>620</v>
      </c>
      <c r="B621" s="394" t="s">
        <v>924</v>
      </c>
      <c r="C621" s="394" t="s">
        <v>24</v>
      </c>
      <c r="D621" s="358">
        <v>5051</v>
      </c>
      <c r="E621" s="113" t="s">
        <v>1382</v>
      </c>
      <c r="F621" s="113" t="s">
        <v>1383</v>
      </c>
      <c r="G621" s="439">
        <v>6592</v>
      </c>
      <c r="H621" s="57" t="s">
        <v>925</v>
      </c>
      <c r="I621" s="113" t="s">
        <v>28</v>
      </c>
      <c r="J621" s="440" t="s">
        <v>58</v>
      </c>
      <c r="K621" s="440" t="s">
        <v>57</v>
      </c>
      <c r="L621" s="360">
        <v>1</v>
      </c>
      <c r="M621" s="441" t="s">
        <v>355</v>
      </c>
      <c r="N621" s="441" t="s">
        <v>356</v>
      </c>
      <c r="O621" s="417"/>
      <c r="P621" s="442">
        <v>6</v>
      </c>
      <c r="Q621" s="360">
        <v>0.05</v>
      </c>
      <c r="R621" s="442"/>
      <c r="S621" s="66">
        <f t="shared" si="18"/>
        <v>0</v>
      </c>
      <c r="T621" s="67">
        <f t="shared" si="19"/>
        <v>0</v>
      </c>
      <c r="U621" s="62" t="s">
        <v>34</v>
      </c>
      <c r="V621" s="116"/>
      <c r="W621" s="57"/>
    </row>
    <row r="622" spans="1:23" ht="16.05" customHeight="1" x14ac:dyDescent="0.45">
      <c r="A622" s="1">
        <v>621</v>
      </c>
      <c r="B622" s="394" t="s">
        <v>924</v>
      </c>
      <c r="C622" s="394" t="s">
        <v>24</v>
      </c>
      <c r="D622" s="358">
        <v>5051</v>
      </c>
      <c r="E622" s="113" t="s">
        <v>1382</v>
      </c>
      <c r="F622" s="113" t="s">
        <v>1383</v>
      </c>
      <c r="G622" s="439">
        <v>6592</v>
      </c>
      <c r="H622" s="57" t="s">
        <v>925</v>
      </c>
      <c r="I622" s="113" t="s">
        <v>28</v>
      </c>
      <c r="J622" s="440" t="s">
        <v>58</v>
      </c>
      <c r="K622" s="440" t="s">
        <v>57</v>
      </c>
      <c r="L622" s="360">
        <v>1</v>
      </c>
      <c r="M622" s="396" t="s">
        <v>357</v>
      </c>
      <c r="N622" s="396" t="s">
        <v>358</v>
      </c>
      <c r="O622" s="417"/>
      <c r="P622" s="443">
        <v>10</v>
      </c>
      <c r="Q622" s="360">
        <v>0.1</v>
      </c>
      <c r="R622" s="443"/>
      <c r="S622" s="66">
        <f t="shared" si="18"/>
        <v>0</v>
      </c>
      <c r="T622" s="67">
        <f t="shared" si="19"/>
        <v>0</v>
      </c>
      <c r="U622" s="62" t="s">
        <v>34</v>
      </c>
      <c r="V622" s="116"/>
      <c r="W622" s="57"/>
    </row>
    <row r="623" spans="1:23" ht="16.05" customHeight="1" x14ac:dyDescent="0.45">
      <c r="A623" s="1">
        <v>622</v>
      </c>
      <c r="B623" s="394" t="s">
        <v>924</v>
      </c>
      <c r="C623" s="394" t="s">
        <v>24</v>
      </c>
      <c r="D623" s="358">
        <v>5051</v>
      </c>
      <c r="E623" s="113" t="s">
        <v>1382</v>
      </c>
      <c r="F623" s="113" t="s">
        <v>1383</v>
      </c>
      <c r="G623" s="439">
        <v>6592</v>
      </c>
      <c r="H623" s="57" t="s">
        <v>925</v>
      </c>
      <c r="I623" s="113" t="s">
        <v>28</v>
      </c>
      <c r="J623" s="440" t="s">
        <v>58</v>
      </c>
      <c r="K623" s="440" t="s">
        <v>57</v>
      </c>
      <c r="L623" s="360">
        <v>1</v>
      </c>
      <c r="M623" s="441" t="s">
        <v>359</v>
      </c>
      <c r="N623" s="441" t="s">
        <v>360</v>
      </c>
      <c r="O623" s="417"/>
      <c r="P623" s="153">
        <v>1</v>
      </c>
      <c r="Q623" s="360">
        <v>0.05</v>
      </c>
      <c r="R623" s="153"/>
      <c r="S623" s="66">
        <f t="shared" si="18"/>
        <v>0</v>
      </c>
      <c r="T623" s="67">
        <f t="shared" si="19"/>
        <v>0</v>
      </c>
      <c r="U623" s="62" t="s">
        <v>34</v>
      </c>
      <c r="V623" s="116"/>
      <c r="W623" s="57"/>
    </row>
    <row r="624" spans="1:23" ht="16.05" customHeight="1" x14ac:dyDescent="0.45">
      <c r="A624" s="1">
        <v>623</v>
      </c>
      <c r="B624" s="394" t="s">
        <v>924</v>
      </c>
      <c r="C624" s="394" t="s">
        <v>24</v>
      </c>
      <c r="D624" s="358">
        <v>5051</v>
      </c>
      <c r="E624" s="113" t="s">
        <v>1382</v>
      </c>
      <c r="F624" s="113" t="s">
        <v>1383</v>
      </c>
      <c r="G624" s="439">
        <v>6592</v>
      </c>
      <c r="H624" s="57" t="s">
        <v>925</v>
      </c>
      <c r="I624" s="113" t="s">
        <v>28</v>
      </c>
      <c r="J624" s="440" t="s">
        <v>58</v>
      </c>
      <c r="K624" s="440" t="s">
        <v>57</v>
      </c>
      <c r="L624" s="360">
        <v>1</v>
      </c>
      <c r="M624" s="396" t="s">
        <v>347</v>
      </c>
      <c r="N624" s="396" t="s">
        <v>348</v>
      </c>
      <c r="O624" s="417"/>
      <c r="P624" s="153">
        <v>1</v>
      </c>
      <c r="Q624" s="360">
        <v>0.05</v>
      </c>
      <c r="R624" s="153"/>
      <c r="S624" s="66">
        <f t="shared" si="18"/>
        <v>0</v>
      </c>
      <c r="T624" s="67">
        <f t="shared" si="19"/>
        <v>0</v>
      </c>
      <c r="U624" s="62" t="s">
        <v>34</v>
      </c>
      <c r="V624" s="116"/>
      <c r="W624" s="57"/>
    </row>
    <row r="625" spans="1:23" ht="16.05" customHeight="1" x14ac:dyDescent="0.45">
      <c r="A625" s="1">
        <v>624</v>
      </c>
      <c r="B625" s="394" t="s">
        <v>924</v>
      </c>
      <c r="C625" s="394" t="s">
        <v>24</v>
      </c>
      <c r="D625" s="358">
        <v>5051</v>
      </c>
      <c r="E625" s="113" t="s">
        <v>1382</v>
      </c>
      <c r="F625" s="113" t="s">
        <v>1383</v>
      </c>
      <c r="G625" s="439">
        <v>6592</v>
      </c>
      <c r="H625" s="57" t="s">
        <v>925</v>
      </c>
      <c r="I625" s="113" t="s">
        <v>28</v>
      </c>
      <c r="J625" s="440" t="s">
        <v>58</v>
      </c>
      <c r="K625" s="440" t="s">
        <v>57</v>
      </c>
      <c r="L625" s="360">
        <v>1</v>
      </c>
      <c r="M625" s="441" t="s">
        <v>362</v>
      </c>
      <c r="N625" s="441" t="s">
        <v>1389</v>
      </c>
      <c r="O625" s="417"/>
      <c r="P625" s="153">
        <v>1</v>
      </c>
      <c r="Q625" s="360">
        <v>0.05</v>
      </c>
      <c r="R625" s="153"/>
      <c r="S625" s="66">
        <f t="shared" si="18"/>
        <v>0</v>
      </c>
      <c r="T625" s="67">
        <f t="shared" si="19"/>
        <v>0</v>
      </c>
      <c r="U625" s="62" t="s">
        <v>34</v>
      </c>
      <c r="V625" s="116"/>
      <c r="W625" s="57"/>
    </row>
    <row r="626" spans="1:23" ht="16.05" customHeight="1" x14ac:dyDescent="0.45">
      <c r="A626" s="1">
        <v>625</v>
      </c>
      <c r="B626" s="414" t="s">
        <v>924</v>
      </c>
      <c r="C626" s="394" t="s">
        <v>24</v>
      </c>
      <c r="D626" s="413">
        <v>5051</v>
      </c>
      <c r="E626" s="59" t="s">
        <v>1382</v>
      </c>
      <c r="F626" s="113" t="s">
        <v>1383</v>
      </c>
      <c r="G626" s="439">
        <v>6592</v>
      </c>
      <c r="H626" s="57" t="s">
        <v>925</v>
      </c>
      <c r="I626" s="59" t="s">
        <v>28</v>
      </c>
      <c r="J626" s="440" t="s">
        <v>58</v>
      </c>
      <c r="K626" s="440" t="s">
        <v>57</v>
      </c>
      <c r="L626" s="360">
        <v>1</v>
      </c>
      <c r="M626" s="396" t="s">
        <v>367</v>
      </c>
      <c r="N626" s="396" t="s">
        <v>368</v>
      </c>
      <c r="O626" s="417"/>
      <c r="P626" s="153">
        <v>1</v>
      </c>
      <c r="Q626" s="360">
        <v>0.05</v>
      </c>
      <c r="R626" s="153"/>
      <c r="S626" s="66">
        <f t="shared" si="18"/>
        <v>0</v>
      </c>
      <c r="T626" s="67">
        <f t="shared" si="19"/>
        <v>0</v>
      </c>
      <c r="U626" s="62" t="s">
        <v>34</v>
      </c>
      <c r="V626" s="116"/>
      <c r="W626" s="57"/>
    </row>
    <row r="627" spans="1:23" ht="16.05" customHeight="1" x14ac:dyDescent="0.45">
      <c r="A627" s="1">
        <v>626</v>
      </c>
      <c r="B627" s="414" t="s">
        <v>924</v>
      </c>
      <c r="C627" s="394" t="s">
        <v>24</v>
      </c>
      <c r="D627" s="413">
        <v>5051</v>
      </c>
      <c r="E627" s="59" t="s">
        <v>1382</v>
      </c>
      <c r="F627" s="113" t="s">
        <v>1383</v>
      </c>
      <c r="G627" s="439">
        <v>6592</v>
      </c>
      <c r="H627" s="57" t="s">
        <v>925</v>
      </c>
      <c r="I627" s="59" t="s">
        <v>28</v>
      </c>
      <c r="J627" s="440" t="s">
        <v>58</v>
      </c>
      <c r="K627" s="440" t="s">
        <v>57</v>
      </c>
      <c r="L627" s="360">
        <v>1</v>
      </c>
      <c r="M627" s="441" t="s">
        <v>390</v>
      </c>
      <c r="N627" s="441" t="s">
        <v>1390</v>
      </c>
      <c r="O627" s="417"/>
      <c r="P627" s="442">
        <v>6</v>
      </c>
      <c r="Q627" s="360">
        <v>0.05</v>
      </c>
      <c r="R627" s="442"/>
      <c r="S627" s="66">
        <f t="shared" si="18"/>
        <v>0</v>
      </c>
      <c r="T627" s="67">
        <f t="shared" si="19"/>
        <v>0</v>
      </c>
      <c r="U627" s="62" t="s">
        <v>34</v>
      </c>
      <c r="V627" s="116"/>
      <c r="W627" s="57"/>
    </row>
    <row r="628" spans="1:23" ht="16.05" customHeight="1" x14ac:dyDescent="0.45">
      <c r="A628" s="1">
        <v>627</v>
      </c>
      <c r="B628" s="414" t="s">
        <v>924</v>
      </c>
      <c r="C628" s="394" t="s">
        <v>24</v>
      </c>
      <c r="D628" s="413">
        <v>5051</v>
      </c>
      <c r="E628" s="59" t="s">
        <v>1382</v>
      </c>
      <c r="F628" s="113" t="s">
        <v>1383</v>
      </c>
      <c r="G628" s="439">
        <v>6592</v>
      </c>
      <c r="H628" s="57" t="s">
        <v>925</v>
      </c>
      <c r="I628" s="59" t="s">
        <v>28</v>
      </c>
      <c r="J628" s="440" t="s">
        <v>58</v>
      </c>
      <c r="K628" s="440" t="s">
        <v>57</v>
      </c>
      <c r="L628" s="360">
        <v>1</v>
      </c>
      <c r="M628" s="396" t="s">
        <v>1391</v>
      </c>
      <c r="N628" s="396" t="s">
        <v>1392</v>
      </c>
      <c r="O628" s="417"/>
      <c r="P628" s="443">
        <v>46</v>
      </c>
      <c r="Q628" s="360">
        <v>0.05</v>
      </c>
      <c r="R628" s="443"/>
      <c r="S628" s="66">
        <f t="shared" si="18"/>
        <v>0</v>
      </c>
      <c r="T628" s="67">
        <f t="shared" si="19"/>
        <v>0</v>
      </c>
      <c r="U628" s="62" t="s">
        <v>34</v>
      </c>
      <c r="V628" s="116"/>
      <c r="W628" s="57"/>
    </row>
    <row r="629" spans="1:23" ht="16.05" customHeight="1" x14ac:dyDescent="0.45">
      <c r="A629" s="1">
        <v>628</v>
      </c>
      <c r="B629" s="414" t="s">
        <v>924</v>
      </c>
      <c r="C629" s="394" t="s">
        <v>24</v>
      </c>
      <c r="D629" s="413">
        <v>5051</v>
      </c>
      <c r="E629" s="59" t="s">
        <v>1382</v>
      </c>
      <c r="F629" s="113" t="s">
        <v>1383</v>
      </c>
      <c r="G629" s="439">
        <v>6592</v>
      </c>
      <c r="H629" s="57" t="s">
        <v>925</v>
      </c>
      <c r="I629" s="59" t="s">
        <v>28</v>
      </c>
      <c r="J629" s="440" t="s">
        <v>58</v>
      </c>
      <c r="K629" s="440" t="s">
        <v>57</v>
      </c>
      <c r="L629" s="360">
        <v>1</v>
      </c>
      <c r="M629" s="441" t="s">
        <v>373</v>
      </c>
      <c r="N629" s="441" t="s">
        <v>374</v>
      </c>
      <c r="O629" s="417"/>
      <c r="P629" s="153">
        <v>1</v>
      </c>
      <c r="Q629" s="360">
        <v>0.1</v>
      </c>
      <c r="R629" s="153"/>
      <c r="S629" s="66">
        <f t="shared" si="18"/>
        <v>0</v>
      </c>
      <c r="T629" s="67">
        <f t="shared" si="19"/>
        <v>0</v>
      </c>
      <c r="U629" s="62" t="s">
        <v>34</v>
      </c>
      <c r="V629" s="116"/>
      <c r="W629" s="57"/>
    </row>
    <row r="630" spans="1:23" ht="16.05" customHeight="1" x14ac:dyDescent="0.45">
      <c r="A630" s="1">
        <v>629</v>
      </c>
      <c r="B630" s="414" t="s">
        <v>924</v>
      </c>
      <c r="C630" s="394" t="s">
        <v>24</v>
      </c>
      <c r="D630" s="413">
        <v>5051</v>
      </c>
      <c r="E630" s="59" t="s">
        <v>1382</v>
      </c>
      <c r="F630" s="113" t="s">
        <v>1383</v>
      </c>
      <c r="G630" s="439">
        <v>6592</v>
      </c>
      <c r="H630" s="57" t="s">
        <v>925</v>
      </c>
      <c r="I630" s="59" t="s">
        <v>28</v>
      </c>
      <c r="J630" s="440" t="s">
        <v>58</v>
      </c>
      <c r="K630" s="440" t="s">
        <v>57</v>
      </c>
      <c r="L630" s="360">
        <v>1</v>
      </c>
      <c r="M630" s="396" t="s">
        <v>376</v>
      </c>
      <c r="N630" s="396" t="s">
        <v>377</v>
      </c>
      <c r="O630" s="417"/>
      <c r="P630" s="153">
        <v>1</v>
      </c>
      <c r="Q630" s="360">
        <v>0.05</v>
      </c>
      <c r="R630" s="153"/>
      <c r="S630" s="66">
        <f t="shared" si="18"/>
        <v>0</v>
      </c>
      <c r="T630" s="67">
        <f t="shared" si="19"/>
        <v>0</v>
      </c>
      <c r="U630" s="62" t="s">
        <v>34</v>
      </c>
      <c r="V630" s="116"/>
      <c r="W630" s="57"/>
    </row>
    <row r="631" spans="1:23" ht="16.05" customHeight="1" x14ac:dyDescent="0.45">
      <c r="A631" s="1">
        <v>630</v>
      </c>
      <c r="B631" s="414" t="s">
        <v>924</v>
      </c>
      <c r="C631" s="394" t="s">
        <v>24</v>
      </c>
      <c r="D631" s="413">
        <v>5051</v>
      </c>
      <c r="E631" s="59" t="s">
        <v>1382</v>
      </c>
      <c r="F631" s="113" t="s">
        <v>1383</v>
      </c>
      <c r="G631" s="439">
        <v>6592</v>
      </c>
      <c r="H631" s="57" t="s">
        <v>925</v>
      </c>
      <c r="I631" s="59" t="s">
        <v>28</v>
      </c>
      <c r="J631" s="440" t="s">
        <v>58</v>
      </c>
      <c r="K631" s="440" t="s">
        <v>57</v>
      </c>
      <c r="L631" s="360">
        <v>1</v>
      </c>
      <c r="M631" s="441" t="s">
        <v>396</v>
      </c>
      <c r="N631" s="441" t="s">
        <v>1393</v>
      </c>
      <c r="O631" s="417"/>
      <c r="P631" s="442">
        <v>6</v>
      </c>
      <c r="Q631" s="360">
        <v>0.05</v>
      </c>
      <c r="R631" s="442"/>
      <c r="S631" s="66">
        <f t="shared" si="18"/>
        <v>0</v>
      </c>
      <c r="T631" s="67">
        <f t="shared" si="19"/>
        <v>0</v>
      </c>
      <c r="U631" s="62" t="s">
        <v>34</v>
      </c>
      <c r="V631" s="116"/>
      <c r="W631" s="57"/>
    </row>
    <row r="632" spans="1:23" ht="16.05" customHeight="1" x14ac:dyDescent="0.45">
      <c r="A632" s="1">
        <v>631</v>
      </c>
      <c r="B632" s="94" t="s">
        <v>924</v>
      </c>
      <c r="C632" s="94" t="s">
        <v>24</v>
      </c>
      <c r="D632" s="349">
        <v>3186</v>
      </c>
      <c r="E632" s="99" t="s">
        <v>1394</v>
      </c>
      <c r="F632" s="99" t="s">
        <v>380</v>
      </c>
      <c r="G632" s="91">
        <v>5051</v>
      </c>
      <c r="H632" s="99" t="s">
        <v>1395</v>
      </c>
      <c r="I632" s="99" t="s">
        <v>28</v>
      </c>
      <c r="J632" s="410" t="s">
        <v>58</v>
      </c>
      <c r="K632" s="410" t="s">
        <v>57</v>
      </c>
      <c r="L632" s="350">
        <v>0.5</v>
      </c>
      <c r="M632" s="444" t="s">
        <v>1386</v>
      </c>
      <c r="N632" s="409" t="s">
        <v>1387</v>
      </c>
      <c r="O632" s="410"/>
      <c r="P632" s="103">
        <v>1</v>
      </c>
      <c r="Q632" s="350">
        <v>0.1</v>
      </c>
      <c r="R632" s="103"/>
      <c r="S632" s="14">
        <f t="shared" si="18"/>
        <v>0</v>
      </c>
      <c r="T632" s="51">
        <f t="shared" si="19"/>
        <v>0</v>
      </c>
      <c r="U632" s="103" t="s">
        <v>34</v>
      </c>
      <c r="V632" s="301">
        <f>SUM(T632:T643)%</f>
        <v>0</v>
      </c>
      <c r="W632" s="99"/>
    </row>
    <row r="633" spans="1:23" ht="16.05" customHeight="1" x14ac:dyDescent="0.45">
      <c r="A633" s="1">
        <v>632</v>
      </c>
      <c r="B633" s="394" t="s">
        <v>924</v>
      </c>
      <c r="C633" s="394" t="s">
        <v>24</v>
      </c>
      <c r="D633" s="413">
        <v>3186</v>
      </c>
      <c r="E633" s="113" t="s">
        <v>1394</v>
      </c>
      <c r="F633" s="113" t="s">
        <v>380</v>
      </c>
      <c r="G633" s="357">
        <v>5051</v>
      </c>
      <c r="H633" s="113" t="s">
        <v>1395</v>
      </c>
      <c r="I633" s="113" t="s">
        <v>28</v>
      </c>
      <c r="J633" s="440" t="s">
        <v>58</v>
      </c>
      <c r="K633" s="440" t="s">
        <v>57</v>
      </c>
      <c r="L633" s="360">
        <v>0.5</v>
      </c>
      <c r="M633" s="445" t="s">
        <v>351</v>
      </c>
      <c r="N633" s="416" t="s">
        <v>352</v>
      </c>
      <c r="O633" s="417"/>
      <c r="P633" s="62">
        <v>1</v>
      </c>
      <c r="Q633" s="360">
        <v>0.2</v>
      </c>
      <c r="R633" s="62"/>
      <c r="S633" s="66">
        <f t="shared" si="18"/>
        <v>0</v>
      </c>
      <c r="T633" s="67">
        <f t="shared" si="19"/>
        <v>0</v>
      </c>
      <c r="U633" s="62" t="s">
        <v>34</v>
      </c>
      <c r="V633" s="116"/>
      <c r="W633" s="113"/>
    </row>
    <row r="634" spans="1:23" ht="16.05" customHeight="1" x14ac:dyDescent="0.45">
      <c r="A634" s="1">
        <v>633</v>
      </c>
      <c r="B634" s="394" t="s">
        <v>924</v>
      </c>
      <c r="C634" s="394" t="s">
        <v>24</v>
      </c>
      <c r="D634" s="413">
        <v>3186</v>
      </c>
      <c r="E634" s="113" t="s">
        <v>1394</v>
      </c>
      <c r="F634" s="113" t="s">
        <v>380</v>
      </c>
      <c r="G634" s="357">
        <v>5051</v>
      </c>
      <c r="H634" s="113" t="s">
        <v>1395</v>
      </c>
      <c r="I634" s="113" t="s">
        <v>28</v>
      </c>
      <c r="J634" s="440" t="s">
        <v>58</v>
      </c>
      <c r="K634" s="440" t="s">
        <v>57</v>
      </c>
      <c r="L634" s="360">
        <v>0.5</v>
      </c>
      <c r="M634" s="445" t="s">
        <v>381</v>
      </c>
      <c r="N634" s="416" t="s">
        <v>382</v>
      </c>
      <c r="O634" s="417"/>
      <c r="P634" s="62">
        <v>1</v>
      </c>
      <c r="Q634" s="360">
        <v>0.1</v>
      </c>
      <c r="R634" s="62"/>
      <c r="S634" s="66">
        <f t="shared" si="18"/>
        <v>0</v>
      </c>
      <c r="T634" s="67">
        <f t="shared" si="19"/>
        <v>0</v>
      </c>
      <c r="U634" s="62" t="s">
        <v>34</v>
      </c>
      <c r="V634" s="116"/>
      <c r="W634" s="113"/>
    </row>
    <row r="635" spans="1:23" ht="16.05" customHeight="1" x14ac:dyDescent="0.45">
      <c r="A635" s="1">
        <v>634</v>
      </c>
      <c r="B635" s="394" t="s">
        <v>924</v>
      </c>
      <c r="C635" s="394" t="s">
        <v>24</v>
      </c>
      <c r="D635" s="413">
        <v>3186</v>
      </c>
      <c r="E635" s="113" t="s">
        <v>1394</v>
      </c>
      <c r="F635" s="113" t="s">
        <v>380</v>
      </c>
      <c r="G635" s="357">
        <v>5051</v>
      </c>
      <c r="H635" s="113" t="s">
        <v>1395</v>
      </c>
      <c r="I635" s="113" t="s">
        <v>28</v>
      </c>
      <c r="J635" s="440" t="s">
        <v>58</v>
      </c>
      <c r="K635" s="440" t="s">
        <v>57</v>
      </c>
      <c r="L635" s="360">
        <v>0.5</v>
      </c>
      <c r="M635" s="445" t="s">
        <v>384</v>
      </c>
      <c r="N635" s="416" t="s">
        <v>385</v>
      </c>
      <c r="O635" s="417"/>
      <c r="P635" s="62">
        <v>1</v>
      </c>
      <c r="Q635" s="360">
        <v>0.1</v>
      </c>
      <c r="R635" s="62"/>
      <c r="S635" s="66">
        <f t="shared" si="18"/>
        <v>0</v>
      </c>
      <c r="T635" s="67">
        <f t="shared" si="19"/>
        <v>0</v>
      </c>
      <c r="U635" s="62" t="s">
        <v>34</v>
      </c>
      <c r="V635" s="116"/>
      <c r="W635" s="113"/>
    </row>
    <row r="636" spans="1:23" ht="16.05" customHeight="1" x14ac:dyDescent="0.45">
      <c r="A636" s="1">
        <v>635</v>
      </c>
      <c r="B636" s="394" t="s">
        <v>924</v>
      </c>
      <c r="C636" s="394" t="s">
        <v>24</v>
      </c>
      <c r="D636" s="413">
        <v>3186</v>
      </c>
      <c r="E636" s="113" t="s">
        <v>1394</v>
      </c>
      <c r="F636" s="113" t="s">
        <v>380</v>
      </c>
      <c r="G636" s="357">
        <v>5051</v>
      </c>
      <c r="H636" s="113" t="s">
        <v>1395</v>
      </c>
      <c r="I636" s="113" t="s">
        <v>28</v>
      </c>
      <c r="J636" s="440" t="s">
        <v>58</v>
      </c>
      <c r="K636" s="440" t="s">
        <v>57</v>
      </c>
      <c r="L636" s="360">
        <v>0.5</v>
      </c>
      <c r="M636" s="445" t="s">
        <v>357</v>
      </c>
      <c r="N636" s="416" t="s">
        <v>386</v>
      </c>
      <c r="O636" s="417"/>
      <c r="P636" s="62">
        <v>1</v>
      </c>
      <c r="Q636" s="360">
        <v>0.1</v>
      </c>
      <c r="R636" s="62"/>
      <c r="S636" s="66">
        <f t="shared" si="18"/>
        <v>0</v>
      </c>
      <c r="T636" s="67">
        <f t="shared" si="19"/>
        <v>0</v>
      </c>
      <c r="U636" s="62" t="s">
        <v>34</v>
      </c>
      <c r="V636" s="116"/>
      <c r="W636" s="113"/>
    </row>
    <row r="637" spans="1:23" ht="16.05" customHeight="1" x14ac:dyDescent="0.45">
      <c r="A637" s="1">
        <v>636</v>
      </c>
      <c r="B637" s="394" t="s">
        <v>924</v>
      </c>
      <c r="C637" s="394" t="s">
        <v>24</v>
      </c>
      <c r="D637" s="413">
        <v>3186</v>
      </c>
      <c r="E637" s="113" t="s">
        <v>1394</v>
      </c>
      <c r="F637" s="113" t="s">
        <v>380</v>
      </c>
      <c r="G637" s="357">
        <v>5051</v>
      </c>
      <c r="H637" s="113" t="s">
        <v>1395</v>
      </c>
      <c r="I637" s="113" t="s">
        <v>28</v>
      </c>
      <c r="J637" s="440" t="s">
        <v>58</v>
      </c>
      <c r="K637" s="440" t="s">
        <v>57</v>
      </c>
      <c r="L637" s="360">
        <v>0.5</v>
      </c>
      <c r="M637" s="445" t="s">
        <v>347</v>
      </c>
      <c r="N637" s="416" t="s">
        <v>348</v>
      </c>
      <c r="O637" s="417"/>
      <c r="P637" s="62">
        <v>1</v>
      </c>
      <c r="Q637" s="360">
        <v>0.1</v>
      </c>
      <c r="R637" s="62"/>
      <c r="S637" s="66">
        <f t="shared" si="18"/>
        <v>0</v>
      </c>
      <c r="T637" s="67">
        <f t="shared" si="19"/>
        <v>0</v>
      </c>
      <c r="U637" s="62" t="s">
        <v>34</v>
      </c>
      <c r="V637" s="116"/>
      <c r="W637" s="113"/>
    </row>
    <row r="638" spans="1:23" ht="16.05" customHeight="1" x14ac:dyDescent="0.45">
      <c r="A638" s="1">
        <v>637</v>
      </c>
      <c r="B638" s="394" t="s">
        <v>924</v>
      </c>
      <c r="C638" s="394" t="s">
        <v>24</v>
      </c>
      <c r="D638" s="413">
        <v>3186</v>
      </c>
      <c r="E638" s="113" t="s">
        <v>1394</v>
      </c>
      <c r="F638" s="113" t="s">
        <v>380</v>
      </c>
      <c r="G638" s="357">
        <v>5051</v>
      </c>
      <c r="H638" s="113" t="s">
        <v>1395</v>
      </c>
      <c r="I638" s="113" t="s">
        <v>28</v>
      </c>
      <c r="J638" s="440" t="s">
        <v>58</v>
      </c>
      <c r="K638" s="440" t="s">
        <v>57</v>
      </c>
      <c r="L638" s="360">
        <v>0.5</v>
      </c>
      <c r="M638" s="445" t="s">
        <v>387</v>
      </c>
      <c r="N638" s="416" t="s">
        <v>388</v>
      </c>
      <c r="O638" s="417"/>
      <c r="P638" s="62">
        <v>1</v>
      </c>
      <c r="Q638" s="360">
        <v>0.1</v>
      </c>
      <c r="R638" s="62"/>
      <c r="S638" s="66">
        <f t="shared" si="18"/>
        <v>0</v>
      </c>
      <c r="T638" s="67">
        <f t="shared" si="19"/>
        <v>0</v>
      </c>
      <c r="U638" s="62" t="s">
        <v>34</v>
      </c>
      <c r="V638" s="116"/>
      <c r="W638" s="113"/>
    </row>
    <row r="639" spans="1:23" ht="16.05" customHeight="1" x14ac:dyDescent="0.45">
      <c r="A639" s="1">
        <v>638</v>
      </c>
      <c r="B639" s="394" t="s">
        <v>924</v>
      </c>
      <c r="C639" s="394" t="s">
        <v>24</v>
      </c>
      <c r="D639" s="413">
        <v>3186</v>
      </c>
      <c r="E639" s="113" t="s">
        <v>1394</v>
      </c>
      <c r="F639" s="113" t="s">
        <v>380</v>
      </c>
      <c r="G639" s="357">
        <v>5051</v>
      </c>
      <c r="H639" s="113" t="s">
        <v>1395</v>
      </c>
      <c r="I639" s="113" t="s">
        <v>28</v>
      </c>
      <c r="J639" s="440" t="s">
        <v>58</v>
      </c>
      <c r="K639" s="440" t="s">
        <v>57</v>
      </c>
      <c r="L639" s="360">
        <v>0.5</v>
      </c>
      <c r="M639" s="445" t="s">
        <v>390</v>
      </c>
      <c r="N639" s="416" t="s">
        <v>1390</v>
      </c>
      <c r="O639" s="417"/>
      <c r="P639" s="62">
        <v>1</v>
      </c>
      <c r="Q639" s="360">
        <v>0.1</v>
      </c>
      <c r="R639" s="62"/>
      <c r="S639" s="66">
        <f t="shared" si="18"/>
        <v>0</v>
      </c>
      <c r="T639" s="67">
        <f t="shared" si="19"/>
        <v>0</v>
      </c>
      <c r="U639" s="62" t="s">
        <v>34</v>
      </c>
      <c r="V639" s="116"/>
      <c r="W639" s="113"/>
    </row>
    <row r="640" spans="1:23" ht="16.05" customHeight="1" x14ac:dyDescent="0.45">
      <c r="A640" s="1">
        <v>639</v>
      </c>
      <c r="B640" s="394" t="s">
        <v>924</v>
      </c>
      <c r="C640" s="394" t="s">
        <v>24</v>
      </c>
      <c r="D640" s="413">
        <v>3186</v>
      </c>
      <c r="E640" s="113" t="s">
        <v>1394</v>
      </c>
      <c r="F640" s="113" t="s">
        <v>380</v>
      </c>
      <c r="G640" s="357">
        <v>5051</v>
      </c>
      <c r="H640" s="113" t="s">
        <v>1395</v>
      </c>
      <c r="I640" s="113" t="s">
        <v>28</v>
      </c>
      <c r="J640" s="440" t="s">
        <v>58</v>
      </c>
      <c r="K640" s="440" t="s">
        <v>57</v>
      </c>
      <c r="L640" s="360">
        <v>0.5</v>
      </c>
      <c r="M640" s="445" t="s">
        <v>392</v>
      </c>
      <c r="N640" s="416" t="s">
        <v>393</v>
      </c>
      <c r="O640" s="417"/>
      <c r="P640" s="62">
        <v>1</v>
      </c>
      <c r="Q640" s="360">
        <v>0.1</v>
      </c>
      <c r="R640" s="62"/>
      <c r="S640" s="66">
        <f t="shared" si="18"/>
        <v>0</v>
      </c>
      <c r="T640" s="67">
        <f t="shared" si="19"/>
        <v>0</v>
      </c>
      <c r="U640" s="62" t="s">
        <v>34</v>
      </c>
      <c r="V640" s="116"/>
      <c r="W640" s="113"/>
    </row>
    <row r="641" spans="1:23" ht="16.05" customHeight="1" x14ac:dyDescent="0.45">
      <c r="A641" s="1">
        <v>640</v>
      </c>
      <c r="B641" s="414" t="s">
        <v>924</v>
      </c>
      <c r="C641" s="414" t="s">
        <v>24</v>
      </c>
      <c r="D641" s="413">
        <v>3186</v>
      </c>
      <c r="E641" s="59" t="s">
        <v>1394</v>
      </c>
      <c r="F641" s="59" t="s">
        <v>380</v>
      </c>
      <c r="G641" s="334">
        <v>5051</v>
      </c>
      <c r="H641" s="59" t="s">
        <v>1395</v>
      </c>
      <c r="I641" s="59" t="s">
        <v>28</v>
      </c>
      <c r="J641" s="421" t="s">
        <v>111</v>
      </c>
      <c r="K641" s="57" t="s">
        <v>110</v>
      </c>
      <c r="L641" s="418">
        <v>0.5</v>
      </c>
      <c r="M641" s="446" t="s">
        <v>373</v>
      </c>
      <c r="N641" s="420" t="s">
        <v>374</v>
      </c>
      <c r="O641" s="421"/>
      <c r="P641" s="422">
        <v>1</v>
      </c>
      <c r="Q641" s="418">
        <v>0.35</v>
      </c>
      <c r="R641" s="422"/>
      <c r="S641" s="422">
        <f t="shared" si="18"/>
        <v>0</v>
      </c>
      <c r="T641" s="142">
        <f t="shared" si="19"/>
        <v>0</v>
      </c>
      <c r="U641" s="422" t="s">
        <v>34</v>
      </c>
      <c r="V641" s="447"/>
      <c r="W641" s="59"/>
    </row>
    <row r="642" spans="1:23" ht="16.05" customHeight="1" x14ac:dyDescent="0.45">
      <c r="A642" s="1">
        <v>641</v>
      </c>
      <c r="B642" s="414" t="s">
        <v>924</v>
      </c>
      <c r="C642" s="414" t="s">
        <v>24</v>
      </c>
      <c r="D642" s="413">
        <v>3186</v>
      </c>
      <c r="E642" s="59" t="s">
        <v>1394</v>
      </c>
      <c r="F642" s="59" t="s">
        <v>380</v>
      </c>
      <c r="G642" s="334">
        <v>5051</v>
      </c>
      <c r="H642" s="59" t="s">
        <v>1395</v>
      </c>
      <c r="I642" s="59" t="s">
        <v>28</v>
      </c>
      <c r="J642" s="421" t="s">
        <v>111</v>
      </c>
      <c r="K642" s="57" t="s">
        <v>110</v>
      </c>
      <c r="L642" s="418">
        <v>0.5</v>
      </c>
      <c r="M642" s="446" t="s">
        <v>376</v>
      </c>
      <c r="N642" s="420" t="s">
        <v>377</v>
      </c>
      <c r="O642" s="421"/>
      <c r="P642" s="422">
        <v>1</v>
      </c>
      <c r="Q642" s="418">
        <v>0.35</v>
      </c>
      <c r="R642" s="422"/>
      <c r="S642" s="422">
        <f t="shared" ref="S642:S705" si="20">ROUND(IF(OR(P642="",R642=""),0,IF(AND(P642=0,R642=0),1,IF(U642="+",R642/P642,P642/R642))),2)</f>
        <v>0</v>
      </c>
      <c r="T642" s="142">
        <f t="shared" ref="T642:T705" si="21">IF(AND(S642&gt;=60%,S642&lt;100%),S642*((Q642*L642)),IF(S642=100%,((Q642*L642)*S642)*100%,IF(S642&gt;100%,((L642*Q642)*100%)*100%,0)))*100</f>
        <v>0</v>
      </c>
      <c r="U642" s="422" t="s">
        <v>34</v>
      </c>
      <c r="V642" s="447"/>
      <c r="W642" s="59"/>
    </row>
    <row r="643" spans="1:23" ht="16.05" customHeight="1" x14ac:dyDescent="0.45">
      <c r="A643" s="1">
        <v>642</v>
      </c>
      <c r="B643" s="414" t="s">
        <v>924</v>
      </c>
      <c r="C643" s="414" t="s">
        <v>24</v>
      </c>
      <c r="D643" s="413">
        <v>3186</v>
      </c>
      <c r="E643" s="59" t="s">
        <v>1394</v>
      </c>
      <c r="F643" s="59" t="s">
        <v>380</v>
      </c>
      <c r="G643" s="334">
        <v>5051</v>
      </c>
      <c r="H643" s="59" t="s">
        <v>1395</v>
      </c>
      <c r="I643" s="59" t="s">
        <v>28</v>
      </c>
      <c r="J643" s="421" t="s">
        <v>111</v>
      </c>
      <c r="K643" s="57" t="s">
        <v>110</v>
      </c>
      <c r="L643" s="418">
        <v>0.5</v>
      </c>
      <c r="M643" s="446" t="s">
        <v>396</v>
      </c>
      <c r="N643" s="420" t="s">
        <v>1393</v>
      </c>
      <c r="O643" s="421"/>
      <c r="P643" s="422">
        <v>1</v>
      </c>
      <c r="Q643" s="418">
        <v>0.3</v>
      </c>
      <c r="R643" s="422"/>
      <c r="S643" s="422">
        <f t="shared" si="20"/>
        <v>0</v>
      </c>
      <c r="T643" s="142">
        <f t="shared" si="21"/>
        <v>0</v>
      </c>
      <c r="U643" s="422" t="s">
        <v>34</v>
      </c>
      <c r="V643" s="447"/>
      <c r="W643" s="59"/>
    </row>
    <row r="644" spans="1:23" ht="16.05" customHeight="1" x14ac:dyDescent="0.45">
      <c r="A644" s="1">
        <v>643</v>
      </c>
      <c r="B644" s="94" t="s">
        <v>924</v>
      </c>
      <c r="C644" s="94" t="s">
        <v>24</v>
      </c>
      <c r="D644" s="349">
        <v>5054</v>
      </c>
      <c r="E644" s="99" t="s">
        <v>1396</v>
      </c>
      <c r="F644" s="99" t="s">
        <v>380</v>
      </c>
      <c r="G644" s="91">
        <v>5051</v>
      </c>
      <c r="H644" s="99" t="s">
        <v>1395</v>
      </c>
      <c r="I644" s="99" t="s">
        <v>28</v>
      </c>
      <c r="J644" s="410" t="s">
        <v>58</v>
      </c>
      <c r="K644" s="410" t="s">
        <v>57</v>
      </c>
      <c r="L644" s="350">
        <v>0.5</v>
      </c>
      <c r="M644" s="444" t="s">
        <v>1386</v>
      </c>
      <c r="N644" s="409" t="s">
        <v>1387</v>
      </c>
      <c r="O644" s="410"/>
      <c r="P644" s="103">
        <v>1</v>
      </c>
      <c r="Q644" s="350">
        <v>0.1</v>
      </c>
      <c r="R644" s="103"/>
      <c r="S644" s="103">
        <f t="shared" si="20"/>
        <v>0</v>
      </c>
      <c r="T644" s="51">
        <f t="shared" si="21"/>
        <v>0</v>
      </c>
      <c r="U644" s="103" t="s">
        <v>34</v>
      </c>
      <c r="V644" s="301">
        <f>SUM(T644:T655)%</f>
        <v>0</v>
      </c>
      <c r="W644" s="99"/>
    </row>
    <row r="645" spans="1:23" ht="16.05" customHeight="1" x14ac:dyDescent="0.45">
      <c r="A645" s="1">
        <v>644</v>
      </c>
      <c r="B645" s="394" t="s">
        <v>924</v>
      </c>
      <c r="C645" s="394" t="s">
        <v>24</v>
      </c>
      <c r="D645" s="358">
        <v>5054</v>
      </c>
      <c r="E645" s="113" t="s">
        <v>1396</v>
      </c>
      <c r="F645" s="113" t="s">
        <v>380</v>
      </c>
      <c r="G645" s="357">
        <v>5051</v>
      </c>
      <c r="H645" s="113" t="s">
        <v>1395</v>
      </c>
      <c r="I645" s="113" t="s">
        <v>28</v>
      </c>
      <c r="J645" s="440" t="s">
        <v>58</v>
      </c>
      <c r="K645" s="440" t="s">
        <v>57</v>
      </c>
      <c r="L645" s="360">
        <v>0.5</v>
      </c>
      <c r="M645" s="445" t="s">
        <v>351</v>
      </c>
      <c r="N645" s="416" t="s">
        <v>352</v>
      </c>
      <c r="O645" s="417"/>
      <c r="P645" s="62">
        <v>1</v>
      </c>
      <c r="Q645" s="360">
        <v>0.2</v>
      </c>
      <c r="R645" s="62"/>
      <c r="S645" s="62">
        <f t="shared" si="20"/>
        <v>0</v>
      </c>
      <c r="T645" s="67">
        <f t="shared" si="21"/>
        <v>0</v>
      </c>
      <c r="U645" s="62" t="s">
        <v>34</v>
      </c>
      <c r="V645" s="116"/>
      <c r="W645" s="113"/>
    </row>
    <row r="646" spans="1:23" ht="16.05" customHeight="1" x14ac:dyDescent="0.45">
      <c r="A646" s="1">
        <v>645</v>
      </c>
      <c r="B646" s="394" t="s">
        <v>924</v>
      </c>
      <c r="C646" s="394" t="s">
        <v>24</v>
      </c>
      <c r="D646" s="358">
        <v>5054</v>
      </c>
      <c r="E646" s="113" t="s">
        <v>1396</v>
      </c>
      <c r="F646" s="113" t="s">
        <v>380</v>
      </c>
      <c r="G646" s="357">
        <v>5051</v>
      </c>
      <c r="H646" s="113" t="s">
        <v>1395</v>
      </c>
      <c r="I646" s="113" t="s">
        <v>28</v>
      </c>
      <c r="J646" s="440" t="s">
        <v>58</v>
      </c>
      <c r="K646" s="440" t="s">
        <v>57</v>
      </c>
      <c r="L646" s="360">
        <v>0.5</v>
      </c>
      <c r="M646" s="445" t="s">
        <v>381</v>
      </c>
      <c r="N646" s="416" t="s">
        <v>382</v>
      </c>
      <c r="O646" s="417"/>
      <c r="P646" s="62">
        <v>1</v>
      </c>
      <c r="Q646" s="360">
        <v>0.1</v>
      </c>
      <c r="R646" s="62"/>
      <c r="S646" s="62">
        <f t="shared" si="20"/>
        <v>0</v>
      </c>
      <c r="T646" s="67">
        <f t="shared" si="21"/>
        <v>0</v>
      </c>
      <c r="U646" s="62" t="s">
        <v>34</v>
      </c>
      <c r="V646" s="116"/>
      <c r="W646" s="113"/>
    </row>
    <row r="647" spans="1:23" ht="16.05" customHeight="1" x14ac:dyDescent="0.45">
      <c r="A647" s="1">
        <v>646</v>
      </c>
      <c r="B647" s="394" t="s">
        <v>924</v>
      </c>
      <c r="C647" s="394" t="s">
        <v>24</v>
      </c>
      <c r="D647" s="358">
        <v>5054</v>
      </c>
      <c r="E647" s="113" t="s">
        <v>1396</v>
      </c>
      <c r="F647" s="113" t="s">
        <v>380</v>
      </c>
      <c r="G647" s="357">
        <v>5051</v>
      </c>
      <c r="H647" s="113" t="s">
        <v>1395</v>
      </c>
      <c r="I647" s="113" t="s">
        <v>28</v>
      </c>
      <c r="J647" s="440" t="s">
        <v>58</v>
      </c>
      <c r="K647" s="440" t="s">
        <v>57</v>
      </c>
      <c r="L647" s="360">
        <v>0.5</v>
      </c>
      <c r="M647" s="445" t="s">
        <v>384</v>
      </c>
      <c r="N647" s="416" t="s">
        <v>385</v>
      </c>
      <c r="O647" s="417"/>
      <c r="P647" s="62">
        <v>1</v>
      </c>
      <c r="Q647" s="360">
        <v>0.1</v>
      </c>
      <c r="R647" s="62"/>
      <c r="S647" s="62">
        <f t="shared" si="20"/>
        <v>0</v>
      </c>
      <c r="T647" s="67">
        <f t="shared" si="21"/>
        <v>0</v>
      </c>
      <c r="U647" s="62" t="s">
        <v>34</v>
      </c>
      <c r="V647" s="116"/>
      <c r="W647" s="113"/>
    </row>
    <row r="648" spans="1:23" ht="16.05" customHeight="1" x14ac:dyDescent="0.45">
      <c r="A648" s="1">
        <v>647</v>
      </c>
      <c r="B648" s="394" t="s">
        <v>924</v>
      </c>
      <c r="C648" s="394" t="s">
        <v>24</v>
      </c>
      <c r="D648" s="358">
        <v>5054</v>
      </c>
      <c r="E648" s="113" t="s">
        <v>1396</v>
      </c>
      <c r="F648" s="113" t="s">
        <v>380</v>
      </c>
      <c r="G648" s="357">
        <v>5051</v>
      </c>
      <c r="H648" s="113" t="s">
        <v>1395</v>
      </c>
      <c r="I648" s="113" t="s">
        <v>28</v>
      </c>
      <c r="J648" s="440" t="s">
        <v>58</v>
      </c>
      <c r="K648" s="440" t="s">
        <v>57</v>
      </c>
      <c r="L648" s="360">
        <v>0.5</v>
      </c>
      <c r="M648" s="445" t="s">
        <v>357</v>
      </c>
      <c r="N648" s="416" t="s">
        <v>386</v>
      </c>
      <c r="O648" s="417"/>
      <c r="P648" s="62">
        <v>1</v>
      </c>
      <c r="Q648" s="360">
        <v>0.1</v>
      </c>
      <c r="R648" s="62"/>
      <c r="S648" s="62">
        <f t="shared" si="20"/>
        <v>0</v>
      </c>
      <c r="T648" s="67">
        <f t="shared" si="21"/>
        <v>0</v>
      </c>
      <c r="U648" s="62" t="s">
        <v>34</v>
      </c>
      <c r="V648" s="116"/>
      <c r="W648" s="113"/>
    </row>
    <row r="649" spans="1:23" ht="16.05" customHeight="1" x14ac:dyDescent="0.45">
      <c r="A649" s="1">
        <v>648</v>
      </c>
      <c r="B649" s="394" t="s">
        <v>924</v>
      </c>
      <c r="C649" s="394" t="s">
        <v>24</v>
      </c>
      <c r="D649" s="358">
        <v>5054</v>
      </c>
      <c r="E649" s="113" t="s">
        <v>1396</v>
      </c>
      <c r="F649" s="113" t="s">
        <v>380</v>
      </c>
      <c r="G649" s="357">
        <v>5051</v>
      </c>
      <c r="H649" s="113" t="s">
        <v>1395</v>
      </c>
      <c r="I649" s="113" t="s">
        <v>28</v>
      </c>
      <c r="J649" s="440" t="s">
        <v>58</v>
      </c>
      <c r="K649" s="440" t="s">
        <v>57</v>
      </c>
      <c r="L649" s="360">
        <v>0.5</v>
      </c>
      <c r="M649" s="445" t="s">
        <v>347</v>
      </c>
      <c r="N649" s="416" t="s">
        <v>348</v>
      </c>
      <c r="O649" s="417"/>
      <c r="P649" s="62">
        <v>1</v>
      </c>
      <c r="Q649" s="360">
        <v>0.1</v>
      </c>
      <c r="R649" s="62"/>
      <c r="S649" s="62">
        <f t="shared" si="20"/>
        <v>0</v>
      </c>
      <c r="T649" s="67">
        <f t="shared" si="21"/>
        <v>0</v>
      </c>
      <c r="U649" s="62" t="s">
        <v>34</v>
      </c>
      <c r="V649" s="116"/>
      <c r="W649" s="113"/>
    </row>
    <row r="650" spans="1:23" ht="16.05" customHeight="1" x14ac:dyDescent="0.45">
      <c r="A650" s="1">
        <v>649</v>
      </c>
      <c r="B650" s="394" t="s">
        <v>924</v>
      </c>
      <c r="C650" s="394" t="s">
        <v>24</v>
      </c>
      <c r="D650" s="358">
        <v>5054</v>
      </c>
      <c r="E650" s="113" t="s">
        <v>1396</v>
      </c>
      <c r="F650" s="113" t="s">
        <v>380</v>
      </c>
      <c r="G650" s="357">
        <v>5051</v>
      </c>
      <c r="H650" s="113" t="s">
        <v>1395</v>
      </c>
      <c r="I650" s="113" t="s">
        <v>28</v>
      </c>
      <c r="J650" s="440" t="s">
        <v>58</v>
      </c>
      <c r="K650" s="440" t="s">
        <v>57</v>
      </c>
      <c r="L650" s="360">
        <v>0.5</v>
      </c>
      <c r="M650" s="445" t="s">
        <v>387</v>
      </c>
      <c r="N650" s="416" t="s">
        <v>388</v>
      </c>
      <c r="O650" s="417"/>
      <c r="P650" s="62">
        <v>1</v>
      </c>
      <c r="Q650" s="360">
        <v>0.1</v>
      </c>
      <c r="R650" s="62"/>
      <c r="S650" s="62">
        <f t="shared" si="20"/>
        <v>0</v>
      </c>
      <c r="T650" s="67">
        <f t="shared" si="21"/>
        <v>0</v>
      </c>
      <c r="U650" s="62" t="s">
        <v>34</v>
      </c>
      <c r="V650" s="116"/>
      <c r="W650" s="113"/>
    </row>
    <row r="651" spans="1:23" ht="16.05" customHeight="1" x14ac:dyDescent="0.45">
      <c r="A651" s="1">
        <v>650</v>
      </c>
      <c r="B651" s="394" t="s">
        <v>924</v>
      </c>
      <c r="C651" s="394" t="s">
        <v>24</v>
      </c>
      <c r="D651" s="358">
        <v>5054</v>
      </c>
      <c r="E651" s="113" t="s">
        <v>1396</v>
      </c>
      <c r="F651" s="113" t="s">
        <v>380</v>
      </c>
      <c r="G651" s="357">
        <v>5051</v>
      </c>
      <c r="H651" s="113" t="s">
        <v>1395</v>
      </c>
      <c r="I651" s="113" t="s">
        <v>28</v>
      </c>
      <c r="J651" s="440" t="s">
        <v>58</v>
      </c>
      <c r="K651" s="440" t="s">
        <v>57</v>
      </c>
      <c r="L651" s="360">
        <v>0.5</v>
      </c>
      <c r="M651" s="445" t="s">
        <v>390</v>
      </c>
      <c r="N651" s="416" t="s">
        <v>1390</v>
      </c>
      <c r="O651" s="417"/>
      <c r="P651" s="62">
        <v>1</v>
      </c>
      <c r="Q651" s="360">
        <v>0.1</v>
      </c>
      <c r="R651" s="62"/>
      <c r="S651" s="62">
        <f t="shared" si="20"/>
        <v>0</v>
      </c>
      <c r="T651" s="67">
        <f t="shared" si="21"/>
        <v>0</v>
      </c>
      <c r="U651" s="62" t="s">
        <v>34</v>
      </c>
      <c r="V651" s="116"/>
      <c r="W651" s="113"/>
    </row>
    <row r="652" spans="1:23" ht="16.05" customHeight="1" x14ac:dyDescent="0.45">
      <c r="A652" s="1">
        <v>651</v>
      </c>
      <c r="B652" s="394" t="s">
        <v>924</v>
      </c>
      <c r="C652" s="394" t="s">
        <v>24</v>
      </c>
      <c r="D652" s="358">
        <v>5054</v>
      </c>
      <c r="E652" s="113" t="s">
        <v>1396</v>
      </c>
      <c r="F652" s="113" t="s">
        <v>380</v>
      </c>
      <c r="G652" s="357">
        <v>5051</v>
      </c>
      <c r="H652" s="113" t="s">
        <v>1395</v>
      </c>
      <c r="I652" s="113" t="s">
        <v>28</v>
      </c>
      <c r="J652" s="440" t="s">
        <v>58</v>
      </c>
      <c r="K652" s="440" t="s">
        <v>57</v>
      </c>
      <c r="L652" s="360">
        <v>0.5</v>
      </c>
      <c r="M652" s="445" t="s">
        <v>392</v>
      </c>
      <c r="N652" s="416" t="s">
        <v>393</v>
      </c>
      <c r="O652" s="417"/>
      <c r="P652" s="62">
        <v>1</v>
      </c>
      <c r="Q652" s="360">
        <v>0.1</v>
      </c>
      <c r="R652" s="62"/>
      <c r="S652" s="62">
        <f t="shared" si="20"/>
        <v>0</v>
      </c>
      <c r="T652" s="67">
        <f t="shared" si="21"/>
        <v>0</v>
      </c>
      <c r="U652" s="62" t="s">
        <v>34</v>
      </c>
      <c r="V652" s="116"/>
      <c r="W652" s="113"/>
    </row>
    <row r="653" spans="1:23" ht="16.05" customHeight="1" x14ac:dyDescent="0.45">
      <c r="A653" s="1">
        <v>652</v>
      </c>
      <c r="B653" s="394" t="s">
        <v>924</v>
      </c>
      <c r="C653" s="394" t="s">
        <v>24</v>
      </c>
      <c r="D653" s="358">
        <v>5054</v>
      </c>
      <c r="E653" s="113" t="s">
        <v>1396</v>
      </c>
      <c r="F653" s="113" t="s">
        <v>380</v>
      </c>
      <c r="G653" s="357">
        <v>5051</v>
      </c>
      <c r="H653" s="113" t="s">
        <v>1395</v>
      </c>
      <c r="I653" s="113" t="s">
        <v>28</v>
      </c>
      <c r="J653" s="448" t="s">
        <v>111</v>
      </c>
      <c r="K653" s="15" t="s">
        <v>110</v>
      </c>
      <c r="L653" s="418">
        <v>0.5</v>
      </c>
      <c r="M653" s="449" t="s">
        <v>373</v>
      </c>
      <c r="N653" s="450" t="s">
        <v>374</v>
      </c>
      <c r="O653" s="421"/>
      <c r="P653" s="422">
        <v>1</v>
      </c>
      <c r="Q653" s="418">
        <v>0.35</v>
      </c>
      <c r="R653" s="422"/>
      <c r="S653" s="422">
        <f t="shared" si="20"/>
        <v>0</v>
      </c>
      <c r="T653" s="142">
        <f t="shared" si="21"/>
        <v>0</v>
      </c>
      <c r="U653" s="422" t="s">
        <v>34</v>
      </c>
      <c r="V653" s="447"/>
      <c r="W653" s="113"/>
    </row>
    <row r="654" spans="1:23" ht="16.05" customHeight="1" x14ac:dyDescent="0.45">
      <c r="A654" s="1">
        <v>653</v>
      </c>
      <c r="B654" s="394" t="s">
        <v>924</v>
      </c>
      <c r="C654" s="394" t="s">
        <v>24</v>
      </c>
      <c r="D654" s="358">
        <v>5054</v>
      </c>
      <c r="E654" s="113" t="s">
        <v>1396</v>
      </c>
      <c r="F654" s="113" t="s">
        <v>380</v>
      </c>
      <c r="G654" s="357">
        <v>5051</v>
      </c>
      <c r="H654" s="113" t="s">
        <v>1395</v>
      </c>
      <c r="I654" s="113" t="s">
        <v>28</v>
      </c>
      <c r="J654" s="448" t="s">
        <v>111</v>
      </c>
      <c r="K654" s="15" t="s">
        <v>110</v>
      </c>
      <c r="L654" s="418">
        <v>0.5</v>
      </c>
      <c r="M654" s="449" t="s">
        <v>376</v>
      </c>
      <c r="N654" s="450" t="s">
        <v>377</v>
      </c>
      <c r="O654" s="421"/>
      <c r="P654" s="422">
        <v>1</v>
      </c>
      <c r="Q654" s="418">
        <v>0.35</v>
      </c>
      <c r="R654" s="422"/>
      <c r="S654" s="422">
        <f t="shared" si="20"/>
        <v>0</v>
      </c>
      <c r="T654" s="142">
        <f t="shared" si="21"/>
        <v>0</v>
      </c>
      <c r="U654" s="422" t="s">
        <v>34</v>
      </c>
      <c r="V654" s="447"/>
      <c r="W654" s="113"/>
    </row>
    <row r="655" spans="1:23" ht="16.05" customHeight="1" x14ac:dyDescent="0.45">
      <c r="A655" s="1">
        <v>654</v>
      </c>
      <c r="B655" s="394" t="s">
        <v>924</v>
      </c>
      <c r="C655" s="394" t="s">
        <v>24</v>
      </c>
      <c r="D655" s="358">
        <v>5054</v>
      </c>
      <c r="E655" s="113" t="s">
        <v>1396</v>
      </c>
      <c r="F655" s="113" t="s">
        <v>380</v>
      </c>
      <c r="G655" s="357">
        <v>5051</v>
      </c>
      <c r="H655" s="113" t="s">
        <v>1395</v>
      </c>
      <c r="I655" s="113" t="s">
        <v>28</v>
      </c>
      <c r="J655" s="448" t="s">
        <v>111</v>
      </c>
      <c r="K655" s="15" t="s">
        <v>110</v>
      </c>
      <c r="L655" s="418">
        <v>0.5</v>
      </c>
      <c r="M655" s="449" t="s">
        <v>396</v>
      </c>
      <c r="N655" s="450" t="s">
        <v>1393</v>
      </c>
      <c r="O655" s="421"/>
      <c r="P655" s="422">
        <v>1</v>
      </c>
      <c r="Q655" s="418">
        <v>0.3</v>
      </c>
      <c r="R655" s="422"/>
      <c r="S655" s="422">
        <f t="shared" si="20"/>
        <v>0</v>
      </c>
      <c r="T655" s="142">
        <f t="shared" si="21"/>
        <v>0</v>
      </c>
      <c r="U655" s="422" t="s">
        <v>34</v>
      </c>
      <c r="V655" s="447"/>
      <c r="W655" s="113"/>
    </row>
    <row r="656" spans="1:23" ht="16.05" customHeight="1" x14ac:dyDescent="0.45">
      <c r="A656" s="1">
        <v>655</v>
      </c>
      <c r="B656" s="94" t="s">
        <v>924</v>
      </c>
      <c r="C656" s="94" t="s">
        <v>24</v>
      </c>
      <c r="D656" s="349">
        <v>5122</v>
      </c>
      <c r="E656" s="99" t="s">
        <v>1397</v>
      </c>
      <c r="F656" s="99" t="s">
        <v>380</v>
      </c>
      <c r="G656" s="91">
        <v>5051</v>
      </c>
      <c r="H656" s="99" t="s">
        <v>1395</v>
      </c>
      <c r="I656" s="99" t="s">
        <v>28</v>
      </c>
      <c r="J656" s="410" t="s">
        <v>58</v>
      </c>
      <c r="K656" s="410" t="s">
        <v>57</v>
      </c>
      <c r="L656" s="350">
        <v>0.5</v>
      </c>
      <c r="M656" s="444" t="s">
        <v>1386</v>
      </c>
      <c r="N656" s="409" t="s">
        <v>1387</v>
      </c>
      <c r="O656" s="410"/>
      <c r="P656" s="103">
        <v>1</v>
      </c>
      <c r="Q656" s="350">
        <v>0.1</v>
      </c>
      <c r="R656" s="103"/>
      <c r="S656" s="103">
        <f t="shared" si="20"/>
        <v>0</v>
      </c>
      <c r="T656" s="51">
        <f t="shared" si="21"/>
        <v>0</v>
      </c>
      <c r="U656" s="103" t="s">
        <v>34</v>
      </c>
      <c r="V656" s="301">
        <f>SUM(T656:T667)%</f>
        <v>0</v>
      </c>
      <c r="W656" s="99"/>
    </row>
    <row r="657" spans="1:23" ht="16.05" customHeight="1" x14ac:dyDescent="0.45">
      <c r="A657" s="1">
        <v>656</v>
      </c>
      <c r="B657" s="394" t="s">
        <v>924</v>
      </c>
      <c r="C657" s="394" t="s">
        <v>24</v>
      </c>
      <c r="D657" s="358">
        <v>5122</v>
      </c>
      <c r="E657" s="113" t="s">
        <v>1397</v>
      </c>
      <c r="F657" s="113" t="s">
        <v>380</v>
      </c>
      <c r="G657" s="357">
        <v>5051</v>
      </c>
      <c r="H657" s="113" t="s">
        <v>1395</v>
      </c>
      <c r="I657" s="113" t="s">
        <v>28</v>
      </c>
      <c r="J657" s="440" t="s">
        <v>58</v>
      </c>
      <c r="K657" s="440" t="s">
        <v>57</v>
      </c>
      <c r="L657" s="360">
        <v>0.5</v>
      </c>
      <c r="M657" s="445" t="s">
        <v>351</v>
      </c>
      <c r="N657" s="416" t="s">
        <v>352</v>
      </c>
      <c r="O657" s="417"/>
      <c r="P657" s="62">
        <v>1</v>
      </c>
      <c r="Q657" s="360">
        <v>0.2</v>
      </c>
      <c r="R657" s="62"/>
      <c r="S657" s="62">
        <f t="shared" si="20"/>
        <v>0</v>
      </c>
      <c r="T657" s="67">
        <f t="shared" si="21"/>
        <v>0</v>
      </c>
      <c r="U657" s="62" t="s">
        <v>34</v>
      </c>
      <c r="V657" s="116"/>
      <c r="W657" s="113"/>
    </row>
    <row r="658" spans="1:23" ht="16.05" customHeight="1" x14ac:dyDescent="0.45">
      <c r="A658" s="1">
        <v>657</v>
      </c>
      <c r="B658" s="394" t="s">
        <v>924</v>
      </c>
      <c r="C658" s="394" t="s">
        <v>24</v>
      </c>
      <c r="D658" s="358">
        <v>5122</v>
      </c>
      <c r="E658" s="113" t="s">
        <v>1397</v>
      </c>
      <c r="F658" s="113" t="s">
        <v>380</v>
      </c>
      <c r="G658" s="357">
        <v>5051</v>
      </c>
      <c r="H658" s="113" t="s">
        <v>1395</v>
      </c>
      <c r="I658" s="113" t="s">
        <v>28</v>
      </c>
      <c r="J658" s="440" t="s">
        <v>58</v>
      </c>
      <c r="K658" s="440" t="s">
        <v>57</v>
      </c>
      <c r="L658" s="360">
        <v>0.5</v>
      </c>
      <c r="M658" s="445" t="s">
        <v>381</v>
      </c>
      <c r="N658" s="416" t="s">
        <v>382</v>
      </c>
      <c r="O658" s="417"/>
      <c r="P658" s="62">
        <v>1</v>
      </c>
      <c r="Q658" s="360">
        <v>0.1</v>
      </c>
      <c r="R658" s="62"/>
      <c r="S658" s="62">
        <f t="shared" si="20"/>
        <v>0</v>
      </c>
      <c r="T658" s="67">
        <f t="shared" si="21"/>
        <v>0</v>
      </c>
      <c r="U658" s="62" t="s">
        <v>34</v>
      </c>
      <c r="V658" s="116"/>
      <c r="W658" s="113"/>
    </row>
    <row r="659" spans="1:23" ht="16.05" customHeight="1" x14ac:dyDescent="0.45">
      <c r="A659" s="1">
        <v>658</v>
      </c>
      <c r="B659" s="394" t="s">
        <v>924</v>
      </c>
      <c r="C659" s="394" t="s">
        <v>24</v>
      </c>
      <c r="D659" s="358">
        <v>5122</v>
      </c>
      <c r="E659" s="113" t="s">
        <v>1397</v>
      </c>
      <c r="F659" s="113" t="s">
        <v>380</v>
      </c>
      <c r="G659" s="357">
        <v>5051</v>
      </c>
      <c r="H659" s="113" t="s">
        <v>1395</v>
      </c>
      <c r="I659" s="113" t="s">
        <v>28</v>
      </c>
      <c r="J659" s="440" t="s">
        <v>58</v>
      </c>
      <c r="K659" s="440" t="s">
        <v>57</v>
      </c>
      <c r="L659" s="360">
        <v>0.5</v>
      </c>
      <c r="M659" s="445" t="s">
        <v>384</v>
      </c>
      <c r="N659" s="416" t="s">
        <v>385</v>
      </c>
      <c r="O659" s="417"/>
      <c r="P659" s="62">
        <v>1</v>
      </c>
      <c r="Q659" s="360">
        <v>0.1</v>
      </c>
      <c r="R659" s="62"/>
      <c r="S659" s="62">
        <f t="shared" si="20"/>
        <v>0</v>
      </c>
      <c r="T659" s="67">
        <f t="shared" si="21"/>
        <v>0</v>
      </c>
      <c r="U659" s="62" t="s">
        <v>34</v>
      </c>
      <c r="V659" s="116"/>
      <c r="W659" s="113"/>
    </row>
    <row r="660" spans="1:23" ht="16.05" customHeight="1" x14ac:dyDescent="0.45">
      <c r="A660" s="1">
        <v>659</v>
      </c>
      <c r="B660" s="394" t="s">
        <v>924</v>
      </c>
      <c r="C660" s="394" t="s">
        <v>24</v>
      </c>
      <c r="D660" s="358">
        <v>5122</v>
      </c>
      <c r="E660" s="113" t="s">
        <v>1397</v>
      </c>
      <c r="F660" s="113" t="s">
        <v>380</v>
      </c>
      <c r="G660" s="357">
        <v>5051</v>
      </c>
      <c r="H660" s="113" t="s">
        <v>1395</v>
      </c>
      <c r="I660" s="113" t="s">
        <v>28</v>
      </c>
      <c r="J660" s="440" t="s">
        <v>58</v>
      </c>
      <c r="K660" s="440" t="s">
        <v>57</v>
      </c>
      <c r="L660" s="360">
        <v>0.5</v>
      </c>
      <c r="M660" s="445" t="s">
        <v>357</v>
      </c>
      <c r="N660" s="416" t="s">
        <v>386</v>
      </c>
      <c r="O660" s="417"/>
      <c r="P660" s="62">
        <v>1</v>
      </c>
      <c r="Q660" s="360">
        <v>0.1</v>
      </c>
      <c r="R660" s="62"/>
      <c r="S660" s="62">
        <f t="shared" si="20"/>
        <v>0</v>
      </c>
      <c r="T660" s="67">
        <f t="shared" si="21"/>
        <v>0</v>
      </c>
      <c r="U660" s="62" t="s">
        <v>34</v>
      </c>
      <c r="V660" s="116"/>
      <c r="W660" s="113"/>
    </row>
    <row r="661" spans="1:23" ht="16.05" customHeight="1" x14ac:dyDescent="0.45">
      <c r="A661" s="1">
        <v>660</v>
      </c>
      <c r="B661" s="394" t="s">
        <v>924</v>
      </c>
      <c r="C661" s="394" t="s">
        <v>24</v>
      </c>
      <c r="D661" s="358">
        <v>5122</v>
      </c>
      <c r="E661" s="113" t="s">
        <v>1397</v>
      </c>
      <c r="F661" s="113" t="s">
        <v>380</v>
      </c>
      <c r="G661" s="357">
        <v>5051</v>
      </c>
      <c r="H661" s="113" t="s">
        <v>1395</v>
      </c>
      <c r="I661" s="113" t="s">
        <v>28</v>
      </c>
      <c r="J661" s="440" t="s">
        <v>58</v>
      </c>
      <c r="K661" s="440" t="s">
        <v>57</v>
      </c>
      <c r="L661" s="360">
        <v>0.5</v>
      </c>
      <c r="M661" s="445" t="s">
        <v>347</v>
      </c>
      <c r="N661" s="416" t="s">
        <v>348</v>
      </c>
      <c r="O661" s="417"/>
      <c r="P661" s="62">
        <v>1</v>
      </c>
      <c r="Q661" s="360">
        <v>0.1</v>
      </c>
      <c r="R661" s="62"/>
      <c r="S661" s="62">
        <f t="shared" si="20"/>
        <v>0</v>
      </c>
      <c r="T661" s="67">
        <f t="shared" si="21"/>
        <v>0</v>
      </c>
      <c r="U661" s="62" t="s">
        <v>34</v>
      </c>
      <c r="V661" s="116"/>
      <c r="W661" s="113"/>
    </row>
    <row r="662" spans="1:23" ht="16.05" customHeight="1" x14ac:dyDescent="0.45">
      <c r="A662" s="1">
        <v>661</v>
      </c>
      <c r="B662" s="394" t="s">
        <v>924</v>
      </c>
      <c r="C662" s="394" t="s">
        <v>24</v>
      </c>
      <c r="D662" s="358">
        <v>5122</v>
      </c>
      <c r="E662" s="113" t="s">
        <v>1397</v>
      </c>
      <c r="F662" s="113" t="s">
        <v>380</v>
      </c>
      <c r="G662" s="357">
        <v>5051</v>
      </c>
      <c r="H662" s="113" t="s">
        <v>1395</v>
      </c>
      <c r="I662" s="113" t="s">
        <v>28</v>
      </c>
      <c r="J662" s="440" t="s">
        <v>58</v>
      </c>
      <c r="K662" s="440" t="s">
        <v>57</v>
      </c>
      <c r="L662" s="360">
        <v>0.5</v>
      </c>
      <c r="M662" s="445" t="s">
        <v>387</v>
      </c>
      <c r="N662" s="416" t="s">
        <v>388</v>
      </c>
      <c r="O662" s="417"/>
      <c r="P662" s="62">
        <v>1</v>
      </c>
      <c r="Q662" s="360">
        <v>0.1</v>
      </c>
      <c r="R662" s="62"/>
      <c r="S662" s="62">
        <f t="shared" si="20"/>
        <v>0</v>
      </c>
      <c r="T662" s="67">
        <f t="shared" si="21"/>
        <v>0</v>
      </c>
      <c r="U662" s="62" t="s">
        <v>34</v>
      </c>
      <c r="V662" s="116"/>
      <c r="W662" s="113"/>
    </row>
    <row r="663" spans="1:23" ht="16.05" customHeight="1" x14ac:dyDescent="0.45">
      <c r="A663" s="1">
        <v>662</v>
      </c>
      <c r="B663" s="394" t="s">
        <v>924</v>
      </c>
      <c r="C663" s="394" t="s">
        <v>24</v>
      </c>
      <c r="D663" s="358">
        <v>5122</v>
      </c>
      <c r="E663" s="113" t="s">
        <v>1397</v>
      </c>
      <c r="F663" s="113" t="s">
        <v>380</v>
      </c>
      <c r="G663" s="357">
        <v>5051</v>
      </c>
      <c r="H663" s="113" t="s">
        <v>1395</v>
      </c>
      <c r="I663" s="113" t="s">
        <v>28</v>
      </c>
      <c r="J663" s="440" t="s">
        <v>58</v>
      </c>
      <c r="K663" s="440" t="s">
        <v>57</v>
      </c>
      <c r="L663" s="360">
        <v>0.5</v>
      </c>
      <c r="M663" s="445" t="s">
        <v>390</v>
      </c>
      <c r="N663" s="416" t="s">
        <v>1390</v>
      </c>
      <c r="O663" s="417"/>
      <c r="P663" s="62">
        <v>1</v>
      </c>
      <c r="Q663" s="360">
        <v>0.1</v>
      </c>
      <c r="R663" s="62"/>
      <c r="S663" s="62">
        <f t="shared" si="20"/>
        <v>0</v>
      </c>
      <c r="T663" s="67">
        <f t="shared" si="21"/>
        <v>0</v>
      </c>
      <c r="U663" s="62" t="s">
        <v>34</v>
      </c>
      <c r="V663" s="116"/>
      <c r="W663" s="113"/>
    </row>
    <row r="664" spans="1:23" ht="16.05" customHeight="1" x14ac:dyDescent="0.45">
      <c r="A664" s="1">
        <v>663</v>
      </c>
      <c r="B664" s="394" t="s">
        <v>924</v>
      </c>
      <c r="C664" s="394" t="s">
        <v>24</v>
      </c>
      <c r="D664" s="358">
        <v>5122</v>
      </c>
      <c r="E664" s="113" t="s">
        <v>1397</v>
      </c>
      <c r="F664" s="113" t="s">
        <v>380</v>
      </c>
      <c r="G664" s="357">
        <v>5051</v>
      </c>
      <c r="H664" s="113" t="s">
        <v>1395</v>
      </c>
      <c r="I664" s="113" t="s">
        <v>28</v>
      </c>
      <c r="J664" s="440" t="s">
        <v>58</v>
      </c>
      <c r="K664" s="440" t="s">
        <v>57</v>
      </c>
      <c r="L664" s="360">
        <v>0.5</v>
      </c>
      <c r="M664" s="445" t="s">
        <v>392</v>
      </c>
      <c r="N664" s="416" t="s">
        <v>393</v>
      </c>
      <c r="O664" s="417"/>
      <c r="P664" s="62">
        <v>1</v>
      </c>
      <c r="Q664" s="360">
        <v>0.1</v>
      </c>
      <c r="R664" s="62"/>
      <c r="S664" s="62">
        <f t="shared" si="20"/>
        <v>0</v>
      </c>
      <c r="T664" s="67">
        <f t="shared" si="21"/>
        <v>0</v>
      </c>
      <c r="U664" s="62" t="s">
        <v>34</v>
      </c>
      <c r="V664" s="116"/>
      <c r="W664" s="113"/>
    </row>
    <row r="665" spans="1:23" ht="16.05" customHeight="1" x14ac:dyDescent="0.45">
      <c r="A665" s="1">
        <v>664</v>
      </c>
      <c r="B665" s="394" t="s">
        <v>924</v>
      </c>
      <c r="C665" s="394" t="s">
        <v>24</v>
      </c>
      <c r="D665" s="358">
        <v>5122</v>
      </c>
      <c r="E665" s="113" t="s">
        <v>1397</v>
      </c>
      <c r="F665" s="113" t="s">
        <v>380</v>
      </c>
      <c r="G665" s="357">
        <v>5051</v>
      </c>
      <c r="H665" s="113" t="s">
        <v>1395</v>
      </c>
      <c r="I665" s="113" t="s">
        <v>28</v>
      </c>
      <c r="J665" s="448" t="s">
        <v>111</v>
      </c>
      <c r="K665" s="15" t="s">
        <v>110</v>
      </c>
      <c r="L665" s="418">
        <v>0.5</v>
      </c>
      <c r="M665" s="449" t="s">
        <v>373</v>
      </c>
      <c r="N665" s="450" t="s">
        <v>374</v>
      </c>
      <c r="O665" s="421"/>
      <c r="P665" s="422">
        <v>1</v>
      </c>
      <c r="Q665" s="418">
        <v>0.35</v>
      </c>
      <c r="R665" s="422"/>
      <c r="S665" s="422">
        <f t="shared" si="20"/>
        <v>0</v>
      </c>
      <c r="T665" s="142">
        <f t="shared" si="21"/>
        <v>0</v>
      </c>
      <c r="U665" s="422" t="s">
        <v>34</v>
      </c>
      <c r="V665" s="447"/>
      <c r="W665" s="113"/>
    </row>
    <row r="666" spans="1:23" ht="16.05" customHeight="1" x14ac:dyDescent="0.45">
      <c r="A666" s="1">
        <v>665</v>
      </c>
      <c r="B666" s="394" t="s">
        <v>924</v>
      </c>
      <c r="C666" s="394" t="s">
        <v>24</v>
      </c>
      <c r="D666" s="358">
        <v>5122</v>
      </c>
      <c r="E666" s="113" t="s">
        <v>1397</v>
      </c>
      <c r="F666" s="113" t="s">
        <v>380</v>
      </c>
      <c r="G666" s="357">
        <v>5051</v>
      </c>
      <c r="H666" s="113" t="s">
        <v>1395</v>
      </c>
      <c r="I666" s="113" t="s">
        <v>28</v>
      </c>
      <c r="J666" s="448" t="s">
        <v>111</v>
      </c>
      <c r="K666" s="15" t="s">
        <v>110</v>
      </c>
      <c r="L666" s="418">
        <v>0.5</v>
      </c>
      <c r="M666" s="449" t="s">
        <v>376</v>
      </c>
      <c r="N666" s="450" t="s">
        <v>377</v>
      </c>
      <c r="O666" s="421"/>
      <c r="P666" s="422">
        <v>1</v>
      </c>
      <c r="Q666" s="418">
        <v>0.35</v>
      </c>
      <c r="R666" s="422"/>
      <c r="S666" s="422">
        <f t="shared" si="20"/>
        <v>0</v>
      </c>
      <c r="T666" s="142">
        <f t="shared" si="21"/>
        <v>0</v>
      </c>
      <c r="U666" s="422" t="s">
        <v>34</v>
      </c>
      <c r="V666" s="447"/>
      <c r="W666" s="113"/>
    </row>
    <row r="667" spans="1:23" ht="16.05" customHeight="1" x14ac:dyDescent="0.45">
      <c r="A667" s="1">
        <v>666</v>
      </c>
      <c r="B667" s="394" t="s">
        <v>924</v>
      </c>
      <c r="C667" s="394" t="s">
        <v>24</v>
      </c>
      <c r="D667" s="358">
        <v>5122</v>
      </c>
      <c r="E667" s="113" t="s">
        <v>1397</v>
      </c>
      <c r="F667" s="113" t="s">
        <v>380</v>
      </c>
      <c r="G667" s="357">
        <v>5051</v>
      </c>
      <c r="H667" s="113" t="s">
        <v>1395</v>
      </c>
      <c r="I667" s="113" t="s">
        <v>28</v>
      </c>
      <c r="J667" s="448" t="s">
        <v>111</v>
      </c>
      <c r="K667" s="15" t="s">
        <v>110</v>
      </c>
      <c r="L667" s="418">
        <v>0.5</v>
      </c>
      <c r="M667" s="449" t="s">
        <v>396</v>
      </c>
      <c r="N667" s="450" t="s">
        <v>1393</v>
      </c>
      <c r="O667" s="421"/>
      <c r="P667" s="422">
        <v>1</v>
      </c>
      <c r="Q667" s="418">
        <v>0.3</v>
      </c>
      <c r="R667" s="422"/>
      <c r="S667" s="422">
        <f t="shared" si="20"/>
        <v>0</v>
      </c>
      <c r="T667" s="142">
        <f t="shared" si="21"/>
        <v>0</v>
      </c>
      <c r="U667" s="422" t="s">
        <v>34</v>
      </c>
      <c r="V667" s="447"/>
      <c r="W667" s="113"/>
    </row>
    <row r="668" spans="1:23" ht="16.05" customHeight="1" x14ac:dyDescent="0.45">
      <c r="A668" s="1">
        <v>667</v>
      </c>
      <c r="B668" s="94" t="s">
        <v>924</v>
      </c>
      <c r="C668" s="94" t="s">
        <v>24</v>
      </c>
      <c r="D668" s="349">
        <v>5351</v>
      </c>
      <c r="E668" s="99" t="s">
        <v>1398</v>
      </c>
      <c r="F668" s="99" t="s">
        <v>380</v>
      </c>
      <c r="G668" s="91">
        <v>5051</v>
      </c>
      <c r="H668" s="99" t="s">
        <v>1395</v>
      </c>
      <c r="I668" s="99" t="s">
        <v>28</v>
      </c>
      <c r="J668" s="410" t="s">
        <v>58</v>
      </c>
      <c r="K668" s="410" t="s">
        <v>57</v>
      </c>
      <c r="L668" s="350">
        <v>0.5</v>
      </c>
      <c r="M668" s="444" t="s">
        <v>1386</v>
      </c>
      <c r="N668" s="409" t="s">
        <v>1387</v>
      </c>
      <c r="O668" s="410"/>
      <c r="P668" s="103">
        <v>1</v>
      </c>
      <c r="Q668" s="350">
        <v>0.1</v>
      </c>
      <c r="R668" s="103"/>
      <c r="S668" s="103">
        <f t="shared" si="20"/>
        <v>0</v>
      </c>
      <c r="T668" s="51">
        <f t="shared" si="21"/>
        <v>0</v>
      </c>
      <c r="U668" s="103" t="s">
        <v>34</v>
      </c>
      <c r="V668" s="301">
        <f>SUM(T668:T679)%</f>
        <v>0</v>
      </c>
      <c r="W668" s="99"/>
    </row>
    <row r="669" spans="1:23" ht="16.05" customHeight="1" x14ac:dyDescent="0.45">
      <c r="A669" s="1">
        <v>668</v>
      </c>
      <c r="B669" s="394" t="s">
        <v>924</v>
      </c>
      <c r="C669" s="394" t="s">
        <v>24</v>
      </c>
      <c r="D669" s="358">
        <v>5351</v>
      </c>
      <c r="E669" s="113" t="s">
        <v>1398</v>
      </c>
      <c r="F669" s="113" t="s">
        <v>380</v>
      </c>
      <c r="G669" s="357">
        <v>5051</v>
      </c>
      <c r="H669" s="113" t="s">
        <v>1395</v>
      </c>
      <c r="I669" s="113" t="s">
        <v>28</v>
      </c>
      <c r="J669" s="440" t="s">
        <v>58</v>
      </c>
      <c r="K669" s="440" t="s">
        <v>57</v>
      </c>
      <c r="L669" s="360">
        <v>0.5</v>
      </c>
      <c r="M669" s="445" t="s">
        <v>351</v>
      </c>
      <c r="N669" s="416" t="s">
        <v>352</v>
      </c>
      <c r="O669" s="417"/>
      <c r="P669" s="62">
        <v>1</v>
      </c>
      <c r="Q669" s="360">
        <v>0.2</v>
      </c>
      <c r="R669" s="62"/>
      <c r="S669" s="62">
        <f t="shared" si="20"/>
        <v>0</v>
      </c>
      <c r="T669" s="67">
        <f t="shared" si="21"/>
        <v>0</v>
      </c>
      <c r="U669" s="62" t="s">
        <v>34</v>
      </c>
      <c r="V669" s="116"/>
      <c r="W669" s="113"/>
    </row>
    <row r="670" spans="1:23" ht="16.05" customHeight="1" x14ac:dyDescent="0.45">
      <c r="A670" s="1">
        <v>669</v>
      </c>
      <c r="B670" s="394" t="s">
        <v>924</v>
      </c>
      <c r="C670" s="394" t="s">
        <v>24</v>
      </c>
      <c r="D670" s="358">
        <v>5351</v>
      </c>
      <c r="E670" s="113" t="s">
        <v>1398</v>
      </c>
      <c r="F670" s="113" t="s">
        <v>380</v>
      </c>
      <c r="G670" s="357">
        <v>5051</v>
      </c>
      <c r="H670" s="113" t="s">
        <v>1395</v>
      </c>
      <c r="I670" s="113" t="s">
        <v>28</v>
      </c>
      <c r="J670" s="440" t="s">
        <v>58</v>
      </c>
      <c r="K670" s="440" t="s">
        <v>57</v>
      </c>
      <c r="L670" s="360">
        <v>0.5</v>
      </c>
      <c r="M670" s="445" t="s">
        <v>381</v>
      </c>
      <c r="N670" s="416" t="s">
        <v>382</v>
      </c>
      <c r="O670" s="417"/>
      <c r="P670" s="62">
        <v>1</v>
      </c>
      <c r="Q670" s="360">
        <v>0.1</v>
      </c>
      <c r="R670" s="62"/>
      <c r="S670" s="62">
        <f t="shared" si="20"/>
        <v>0</v>
      </c>
      <c r="T670" s="67">
        <f t="shared" si="21"/>
        <v>0</v>
      </c>
      <c r="U670" s="62" t="s">
        <v>34</v>
      </c>
      <c r="V670" s="116"/>
      <c r="W670" s="113"/>
    </row>
    <row r="671" spans="1:23" ht="16.05" customHeight="1" x14ac:dyDescent="0.45">
      <c r="A671" s="1">
        <v>670</v>
      </c>
      <c r="B671" s="394" t="s">
        <v>924</v>
      </c>
      <c r="C671" s="394" t="s">
        <v>24</v>
      </c>
      <c r="D671" s="358">
        <v>5351</v>
      </c>
      <c r="E671" s="113" t="s">
        <v>1398</v>
      </c>
      <c r="F671" s="113" t="s">
        <v>380</v>
      </c>
      <c r="G671" s="357">
        <v>5051</v>
      </c>
      <c r="H671" s="113" t="s">
        <v>1395</v>
      </c>
      <c r="I671" s="113" t="s">
        <v>28</v>
      </c>
      <c r="J671" s="440" t="s">
        <v>58</v>
      </c>
      <c r="K671" s="440" t="s">
        <v>57</v>
      </c>
      <c r="L671" s="360">
        <v>0.5</v>
      </c>
      <c r="M671" s="445" t="s">
        <v>384</v>
      </c>
      <c r="N671" s="416" t="s">
        <v>385</v>
      </c>
      <c r="O671" s="417"/>
      <c r="P671" s="62">
        <v>1</v>
      </c>
      <c r="Q671" s="360">
        <v>0.1</v>
      </c>
      <c r="R671" s="62"/>
      <c r="S671" s="62">
        <f t="shared" si="20"/>
        <v>0</v>
      </c>
      <c r="T671" s="67">
        <f t="shared" si="21"/>
        <v>0</v>
      </c>
      <c r="U671" s="62" t="s">
        <v>34</v>
      </c>
      <c r="V671" s="116"/>
      <c r="W671" s="113"/>
    </row>
    <row r="672" spans="1:23" ht="16.05" customHeight="1" x14ac:dyDescent="0.45">
      <c r="A672" s="1">
        <v>671</v>
      </c>
      <c r="B672" s="394" t="s">
        <v>924</v>
      </c>
      <c r="C672" s="394" t="s">
        <v>24</v>
      </c>
      <c r="D672" s="358">
        <v>5351</v>
      </c>
      <c r="E672" s="113" t="s">
        <v>1398</v>
      </c>
      <c r="F672" s="113" t="s">
        <v>380</v>
      </c>
      <c r="G672" s="357">
        <v>5051</v>
      </c>
      <c r="H672" s="113" t="s">
        <v>1395</v>
      </c>
      <c r="I672" s="113" t="s">
        <v>28</v>
      </c>
      <c r="J672" s="440" t="s">
        <v>58</v>
      </c>
      <c r="K672" s="440" t="s">
        <v>57</v>
      </c>
      <c r="L672" s="360">
        <v>0.5</v>
      </c>
      <c r="M672" s="445" t="s">
        <v>357</v>
      </c>
      <c r="N672" s="416" t="s">
        <v>386</v>
      </c>
      <c r="O672" s="417"/>
      <c r="P672" s="62">
        <v>1</v>
      </c>
      <c r="Q672" s="360">
        <v>0.1</v>
      </c>
      <c r="R672" s="62"/>
      <c r="S672" s="62">
        <f t="shared" si="20"/>
        <v>0</v>
      </c>
      <c r="T672" s="67">
        <f t="shared" si="21"/>
        <v>0</v>
      </c>
      <c r="U672" s="62" t="s">
        <v>34</v>
      </c>
      <c r="V672" s="116"/>
      <c r="W672" s="113"/>
    </row>
    <row r="673" spans="1:23" ht="16.05" customHeight="1" x14ac:dyDescent="0.45">
      <c r="A673" s="1">
        <v>672</v>
      </c>
      <c r="B673" s="394" t="s">
        <v>924</v>
      </c>
      <c r="C673" s="394" t="s">
        <v>24</v>
      </c>
      <c r="D673" s="358">
        <v>5351</v>
      </c>
      <c r="E673" s="113" t="s">
        <v>1398</v>
      </c>
      <c r="F673" s="113" t="s">
        <v>380</v>
      </c>
      <c r="G673" s="357">
        <v>5051</v>
      </c>
      <c r="H673" s="113" t="s">
        <v>1395</v>
      </c>
      <c r="I673" s="113" t="s">
        <v>28</v>
      </c>
      <c r="J673" s="440" t="s">
        <v>58</v>
      </c>
      <c r="K673" s="440" t="s">
        <v>57</v>
      </c>
      <c r="L673" s="360">
        <v>0.5</v>
      </c>
      <c r="M673" s="445" t="s">
        <v>347</v>
      </c>
      <c r="N673" s="416" t="s">
        <v>348</v>
      </c>
      <c r="O673" s="417"/>
      <c r="P673" s="62">
        <v>1</v>
      </c>
      <c r="Q673" s="360">
        <v>0.1</v>
      </c>
      <c r="R673" s="62"/>
      <c r="S673" s="62">
        <f t="shared" si="20"/>
        <v>0</v>
      </c>
      <c r="T673" s="67">
        <f t="shared" si="21"/>
        <v>0</v>
      </c>
      <c r="U673" s="62" t="s">
        <v>34</v>
      </c>
      <c r="V673" s="116"/>
      <c r="W673" s="113"/>
    </row>
    <row r="674" spans="1:23" ht="16.05" customHeight="1" x14ac:dyDescent="0.45">
      <c r="A674" s="1">
        <v>673</v>
      </c>
      <c r="B674" s="394" t="s">
        <v>924</v>
      </c>
      <c r="C674" s="394" t="s">
        <v>24</v>
      </c>
      <c r="D674" s="358">
        <v>5351</v>
      </c>
      <c r="E674" s="113" t="s">
        <v>1398</v>
      </c>
      <c r="F674" s="113" t="s">
        <v>380</v>
      </c>
      <c r="G674" s="357">
        <v>5051</v>
      </c>
      <c r="H674" s="113" t="s">
        <v>1395</v>
      </c>
      <c r="I674" s="113" t="s">
        <v>28</v>
      </c>
      <c r="J674" s="440" t="s">
        <v>58</v>
      </c>
      <c r="K674" s="440" t="s">
        <v>57</v>
      </c>
      <c r="L674" s="360">
        <v>0.5</v>
      </c>
      <c r="M674" s="445" t="s">
        <v>387</v>
      </c>
      <c r="N674" s="416" t="s">
        <v>388</v>
      </c>
      <c r="O674" s="417"/>
      <c r="P674" s="62">
        <v>1</v>
      </c>
      <c r="Q674" s="360">
        <v>0.1</v>
      </c>
      <c r="R674" s="62"/>
      <c r="S674" s="62">
        <f t="shared" si="20"/>
        <v>0</v>
      </c>
      <c r="T674" s="67">
        <f t="shared" si="21"/>
        <v>0</v>
      </c>
      <c r="U674" s="62" t="s">
        <v>34</v>
      </c>
      <c r="V674" s="116"/>
      <c r="W674" s="113"/>
    </row>
    <row r="675" spans="1:23" ht="16.05" customHeight="1" x14ac:dyDescent="0.45">
      <c r="A675" s="1">
        <v>674</v>
      </c>
      <c r="B675" s="394" t="s">
        <v>924</v>
      </c>
      <c r="C675" s="394" t="s">
        <v>24</v>
      </c>
      <c r="D675" s="358">
        <v>5351</v>
      </c>
      <c r="E675" s="113" t="s">
        <v>1398</v>
      </c>
      <c r="F675" s="113" t="s">
        <v>380</v>
      </c>
      <c r="G675" s="357">
        <v>5051</v>
      </c>
      <c r="H675" s="113" t="s">
        <v>1395</v>
      </c>
      <c r="I675" s="113" t="s">
        <v>28</v>
      </c>
      <c r="J675" s="440" t="s">
        <v>58</v>
      </c>
      <c r="K675" s="440" t="s">
        <v>57</v>
      </c>
      <c r="L675" s="360">
        <v>0.5</v>
      </c>
      <c r="M675" s="445" t="s">
        <v>390</v>
      </c>
      <c r="N675" s="416" t="s">
        <v>1390</v>
      </c>
      <c r="O675" s="417"/>
      <c r="P675" s="62">
        <v>1</v>
      </c>
      <c r="Q675" s="360">
        <v>0.1</v>
      </c>
      <c r="R675" s="62"/>
      <c r="S675" s="62">
        <f t="shared" si="20"/>
        <v>0</v>
      </c>
      <c r="T675" s="67">
        <f t="shared" si="21"/>
        <v>0</v>
      </c>
      <c r="U675" s="62" t="s">
        <v>34</v>
      </c>
      <c r="V675" s="116"/>
      <c r="W675" s="113"/>
    </row>
    <row r="676" spans="1:23" ht="16.05" customHeight="1" x14ac:dyDescent="0.45">
      <c r="A676" s="1">
        <v>675</v>
      </c>
      <c r="B676" s="394" t="s">
        <v>924</v>
      </c>
      <c r="C676" s="394" t="s">
        <v>24</v>
      </c>
      <c r="D676" s="358">
        <v>5351</v>
      </c>
      <c r="E676" s="113" t="s">
        <v>1398</v>
      </c>
      <c r="F676" s="113" t="s">
        <v>380</v>
      </c>
      <c r="G676" s="357">
        <v>5051</v>
      </c>
      <c r="H676" s="113" t="s">
        <v>1395</v>
      </c>
      <c r="I676" s="113" t="s">
        <v>28</v>
      </c>
      <c r="J676" s="440" t="s">
        <v>58</v>
      </c>
      <c r="K676" s="440" t="s">
        <v>57</v>
      </c>
      <c r="L676" s="360">
        <v>0.5</v>
      </c>
      <c r="M676" s="445" t="s">
        <v>392</v>
      </c>
      <c r="N676" s="416" t="s">
        <v>393</v>
      </c>
      <c r="O676" s="417"/>
      <c r="P676" s="62">
        <v>1</v>
      </c>
      <c r="Q676" s="360">
        <v>0.1</v>
      </c>
      <c r="R676" s="62"/>
      <c r="S676" s="62">
        <f t="shared" si="20"/>
        <v>0</v>
      </c>
      <c r="T676" s="67">
        <f t="shared" si="21"/>
        <v>0</v>
      </c>
      <c r="U676" s="62" t="s">
        <v>34</v>
      </c>
      <c r="V676" s="116"/>
      <c r="W676" s="113"/>
    </row>
    <row r="677" spans="1:23" ht="16.05" customHeight="1" x14ac:dyDescent="0.45">
      <c r="A677" s="1">
        <v>676</v>
      </c>
      <c r="B677" s="394" t="s">
        <v>924</v>
      </c>
      <c r="C677" s="394" t="s">
        <v>24</v>
      </c>
      <c r="D677" s="358">
        <v>5351</v>
      </c>
      <c r="E677" s="113" t="s">
        <v>1398</v>
      </c>
      <c r="F677" s="113" t="s">
        <v>380</v>
      </c>
      <c r="G677" s="357">
        <v>5051</v>
      </c>
      <c r="H677" s="113" t="s">
        <v>1395</v>
      </c>
      <c r="I677" s="113" t="s">
        <v>28</v>
      </c>
      <c r="J677" s="448" t="s">
        <v>111</v>
      </c>
      <c r="K677" s="15" t="s">
        <v>110</v>
      </c>
      <c r="L677" s="418">
        <v>0.5</v>
      </c>
      <c r="M677" s="449" t="s">
        <v>373</v>
      </c>
      <c r="N677" s="450" t="s">
        <v>374</v>
      </c>
      <c r="O677" s="421"/>
      <c r="P677" s="422">
        <v>1</v>
      </c>
      <c r="Q677" s="418">
        <v>0.35</v>
      </c>
      <c r="R677" s="422"/>
      <c r="S677" s="422">
        <f t="shared" si="20"/>
        <v>0</v>
      </c>
      <c r="T677" s="142">
        <f t="shared" si="21"/>
        <v>0</v>
      </c>
      <c r="U677" s="422" t="s">
        <v>34</v>
      </c>
      <c r="V677" s="447"/>
      <c r="W677" s="113"/>
    </row>
    <row r="678" spans="1:23" ht="16.05" customHeight="1" x14ac:dyDescent="0.45">
      <c r="A678" s="1">
        <v>677</v>
      </c>
      <c r="B678" s="394" t="s">
        <v>924</v>
      </c>
      <c r="C678" s="394" t="s">
        <v>24</v>
      </c>
      <c r="D678" s="358">
        <v>5351</v>
      </c>
      <c r="E678" s="113" t="s">
        <v>1398</v>
      </c>
      <c r="F678" s="113" t="s">
        <v>380</v>
      </c>
      <c r="G678" s="357">
        <v>5051</v>
      </c>
      <c r="H678" s="113" t="s">
        <v>1395</v>
      </c>
      <c r="I678" s="113" t="s">
        <v>28</v>
      </c>
      <c r="J678" s="448" t="s">
        <v>111</v>
      </c>
      <c r="K678" s="15" t="s">
        <v>110</v>
      </c>
      <c r="L678" s="418">
        <v>0.5</v>
      </c>
      <c r="M678" s="449" t="s">
        <v>376</v>
      </c>
      <c r="N678" s="450" t="s">
        <v>377</v>
      </c>
      <c r="O678" s="421"/>
      <c r="P678" s="422">
        <v>1</v>
      </c>
      <c r="Q678" s="418">
        <v>0.35</v>
      </c>
      <c r="R678" s="422"/>
      <c r="S678" s="422">
        <f t="shared" si="20"/>
        <v>0</v>
      </c>
      <c r="T678" s="142">
        <f t="shared" si="21"/>
        <v>0</v>
      </c>
      <c r="U678" s="422" t="s">
        <v>34</v>
      </c>
      <c r="V678" s="447"/>
      <c r="W678" s="113"/>
    </row>
    <row r="679" spans="1:23" ht="16.05" customHeight="1" x14ac:dyDescent="0.45">
      <c r="A679" s="1">
        <v>678</v>
      </c>
      <c r="B679" s="394" t="s">
        <v>924</v>
      </c>
      <c r="C679" s="394" t="s">
        <v>24</v>
      </c>
      <c r="D679" s="358">
        <v>5351</v>
      </c>
      <c r="E679" s="113" t="s">
        <v>1398</v>
      </c>
      <c r="F679" s="113" t="s">
        <v>380</v>
      </c>
      <c r="G679" s="357">
        <v>5051</v>
      </c>
      <c r="H679" s="113" t="s">
        <v>1395</v>
      </c>
      <c r="I679" s="113" t="s">
        <v>28</v>
      </c>
      <c r="J679" s="448" t="s">
        <v>111</v>
      </c>
      <c r="K679" s="15" t="s">
        <v>110</v>
      </c>
      <c r="L679" s="418">
        <v>0.5</v>
      </c>
      <c r="M679" s="449" t="s">
        <v>396</v>
      </c>
      <c r="N679" s="450" t="s">
        <v>1393</v>
      </c>
      <c r="O679" s="421"/>
      <c r="P679" s="422">
        <v>1</v>
      </c>
      <c r="Q679" s="418">
        <v>0.3</v>
      </c>
      <c r="R679" s="422"/>
      <c r="S679" s="422">
        <f t="shared" si="20"/>
        <v>0</v>
      </c>
      <c r="T679" s="142">
        <f t="shared" si="21"/>
        <v>0</v>
      </c>
      <c r="U679" s="422" t="s">
        <v>34</v>
      </c>
      <c r="V679" s="447"/>
      <c r="W679" s="113"/>
    </row>
    <row r="680" spans="1:23" ht="16.05" customHeight="1" x14ac:dyDescent="0.45">
      <c r="A680" s="1">
        <v>679</v>
      </c>
      <c r="B680" s="94" t="s">
        <v>924</v>
      </c>
      <c r="C680" s="94" t="s">
        <v>24</v>
      </c>
      <c r="D680" s="349">
        <v>5548</v>
      </c>
      <c r="E680" s="99" t="s">
        <v>1399</v>
      </c>
      <c r="F680" s="99" t="s">
        <v>380</v>
      </c>
      <c r="G680" s="91">
        <v>5051</v>
      </c>
      <c r="H680" s="99" t="s">
        <v>1395</v>
      </c>
      <c r="I680" s="99" t="s">
        <v>28</v>
      </c>
      <c r="J680" s="410" t="s">
        <v>58</v>
      </c>
      <c r="K680" s="410" t="s">
        <v>57</v>
      </c>
      <c r="L680" s="350">
        <v>0.5</v>
      </c>
      <c r="M680" s="444" t="s">
        <v>1386</v>
      </c>
      <c r="N680" s="409" t="s">
        <v>1387</v>
      </c>
      <c r="O680" s="410"/>
      <c r="P680" s="103">
        <v>1</v>
      </c>
      <c r="Q680" s="350">
        <v>0.1</v>
      </c>
      <c r="R680" s="103"/>
      <c r="S680" s="103">
        <f t="shared" si="20"/>
        <v>0</v>
      </c>
      <c r="T680" s="51">
        <f t="shared" si="21"/>
        <v>0</v>
      </c>
      <c r="U680" s="103" t="s">
        <v>34</v>
      </c>
      <c r="V680" s="301">
        <f>SUM(T680:T691)%</f>
        <v>0</v>
      </c>
      <c r="W680" s="99"/>
    </row>
    <row r="681" spans="1:23" ht="16.05" customHeight="1" x14ac:dyDescent="0.45">
      <c r="A681" s="1">
        <v>680</v>
      </c>
      <c r="B681" s="394" t="s">
        <v>924</v>
      </c>
      <c r="C681" s="394" t="s">
        <v>24</v>
      </c>
      <c r="D681" s="358">
        <v>5548</v>
      </c>
      <c r="E681" s="113" t="s">
        <v>1399</v>
      </c>
      <c r="F681" s="113" t="s">
        <v>380</v>
      </c>
      <c r="G681" s="357">
        <v>5051</v>
      </c>
      <c r="H681" s="113" t="s">
        <v>1395</v>
      </c>
      <c r="I681" s="113" t="s">
        <v>28</v>
      </c>
      <c r="J681" s="440" t="s">
        <v>58</v>
      </c>
      <c r="K681" s="440" t="s">
        <v>57</v>
      </c>
      <c r="L681" s="360">
        <v>0.5</v>
      </c>
      <c r="M681" s="445" t="s">
        <v>351</v>
      </c>
      <c r="N681" s="416" t="s">
        <v>352</v>
      </c>
      <c r="O681" s="417"/>
      <c r="P681" s="62">
        <v>1</v>
      </c>
      <c r="Q681" s="360">
        <v>0.2</v>
      </c>
      <c r="R681" s="62"/>
      <c r="S681" s="62">
        <f t="shared" si="20"/>
        <v>0</v>
      </c>
      <c r="T681" s="67">
        <f t="shared" si="21"/>
        <v>0</v>
      </c>
      <c r="U681" s="62" t="s">
        <v>34</v>
      </c>
      <c r="V681" s="116"/>
      <c r="W681" s="113"/>
    </row>
    <row r="682" spans="1:23" ht="16.05" customHeight="1" x14ac:dyDescent="0.45">
      <c r="A682" s="1">
        <v>681</v>
      </c>
      <c r="B682" s="394" t="s">
        <v>924</v>
      </c>
      <c r="C682" s="394" t="s">
        <v>24</v>
      </c>
      <c r="D682" s="358">
        <v>5548</v>
      </c>
      <c r="E682" s="113" t="s">
        <v>1399</v>
      </c>
      <c r="F682" s="113" t="s">
        <v>380</v>
      </c>
      <c r="G682" s="357">
        <v>5051</v>
      </c>
      <c r="H682" s="113" t="s">
        <v>1395</v>
      </c>
      <c r="I682" s="113" t="s">
        <v>28</v>
      </c>
      <c r="J682" s="440" t="s">
        <v>58</v>
      </c>
      <c r="K682" s="440" t="s">
        <v>57</v>
      </c>
      <c r="L682" s="360">
        <v>0.5</v>
      </c>
      <c r="M682" s="445" t="s">
        <v>381</v>
      </c>
      <c r="N682" s="416" t="s">
        <v>382</v>
      </c>
      <c r="O682" s="417"/>
      <c r="P682" s="62">
        <v>1</v>
      </c>
      <c r="Q682" s="360">
        <v>0.1</v>
      </c>
      <c r="R682" s="62"/>
      <c r="S682" s="62">
        <f t="shared" si="20"/>
        <v>0</v>
      </c>
      <c r="T682" s="67">
        <f t="shared" si="21"/>
        <v>0</v>
      </c>
      <c r="U682" s="62" t="s">
        <v>34</v>
      </c>
      <c r="V682" s="116"/>
      <c r="W682" s="113"/>
    </row>
    <row r="683" spans="1:23" ht="16.05" customHeight="1" x14ac:dyDescent="0.45">
      <c r="A683" s="1">
        <v>682</v>
      </c>
      <c r="B683" s="394" t="s">
        <v>924</v>
      </c>
      <c r="C683" s="394" t="s">
        <v>24</v>
      </c>
      <c r="D683" s="358">
        <v>5548</v>
      </c>
      <c r="E683" s="113" t="s">
        <v>1399</v>
      </c>
      <c r="F683" s="113" t="s">
        <v>380</v>
      </c>
      <c r="G683" s="357">
        <v>5051</v>
      </c>
      <c r="H683" s="113" t="s">
        <v>1395</v>
      </c>
      <c r="I683" s="113" t="s">
        <v>28</v>
      </c>
      <c r="J683" s="440" t="s">
        <v>58</v>
      </c>
      <c r="K683" s="440" t="s">
        <v>57</v>
      </c>
      <c r="L683" s="360">
        <v>0.5</v>
      </c>
      <c r="M683" s="445" t="s">
        <v>384</v>
      </c>
      <c r="N683" s="416" t="s">
        <v>385</v>
      </c>
      <c r="O683" s="417"/>
      <c r="P683" s="62">
        <v>1</v>
      </c>
      <c r="Q683" s="360">
        <v>0.1</v>
      </c>
      <c r="R683" s="62"/>
      <c r="S683" s="62">
        <f t="shared" si="20"/>
        <v>0</v>
      </c>
      <c r="T683" s="67">
        <f t="shared" si="21"/>
        <v>0</v>
      </c>
      <c r="U683" s="62" t="s">
        <v>34</v>
      </c>
      <c r="V683" s="116"/>
      <c r="W683" s="113"/>
    </row>
    <row r="684" spans="1:23" ht="16.05" customHeight="1" x14ac:dyDescent="0.45">
      <c r="A684" s="1">
        <v>683</v>
      </c>
      <c r="B684" s="394" t="s">
        <v>924</v>
      </c>
      <c r="C684" s="394" t="s">
        <v>24</v>
      </c>
      <c r="D684" s="358">
        <v>5548</v>
      </c>
      <c r="E684" s="113" t="s">
        <v>1399</v>
      </c>
      <c r="F684" s="113" t="s">
        <v>380</v>
      </c>
      <c r="G684" s="357">
        <v>5051</v>
      </c>
      <c r="H684" s="113" t="s">
        <v>1395</v>
      </c>
      <c r="I684" s="113" t="s">
        <v>28</v>
      </c>
      <c r="J684" s="440" t="s">
        <v>58</v>
      </c>
      <c r="K684" s="440" t="s">
        <v>57</v>
      </c>
      <c r="L684" s="360">
        <v>0.5</v>
      </c>
      <c r="M684" s="445" t="s">
        <v>357</v>
      </c>
      <c r="N684" s="416" t="s">
        <v>386</v>
      </c>
      <c r="O684" s="417"/>
      <c r="P684" s="62">
        <v>1</v>
      </c>
      <c r="Q684" s="360">
        <v>0.1</v>
      </c>
      <c r="R684" s="62"/>
      <c r="S684" s="62">
        <f t="shared" si="20"/>
        <v>0</v>
      </c>
      <c r="T684" s="67">
        <f t="shared" si="21"/>
        <v>0</v>
      </c>
      <c r="U684" s="62" t="s">
        <v>34</v>
      </c>
      <c r="V684" s="116"/>
      <c r="W684" s="113"/>
    </row>
    <row r="685" spans="1:23" ht="16.05" customHeight="1" x14ac:dyDescent="0.45">
      <c r="A685" s="1">
        <v>684</v>
      </c>
      <c r="B685" s="394" t="s">
        <v>924</v>
      </c>
      <c r="C685" s="394" t="s">
        <v>24</v>
      </c>
      <c r="D685" s="358">
        <v>5548</v>
      </c>
      <c r="E685" s="113" t="s">
        <v>1399</v>
      </c>
      <c r="F685" s="113" t="s">
        <v>380</v>
      </c>
      <c r="G685" s="357">
        <v>5051</v>
      </c>
      <c r="H685" s="113" t="s">
        <v>1395</v>
      </c>
      <c r="I685" s="113" t="s">
        <v>28</v>
      </c>
      <c r="J685" s="440" t="s">
        <v>58</v>
      </c>
      <c r="K685" s="440" t="s">
        <v>57</v>
      </c>
      <c r="L685" s="360">
        <v>0.5</v>
      </c>
      <c r="M685" s="445" t="s">
        <v>347</v>
      </c>
      <c r="N685" s="416" t="s">
        <v>348</v>
      </c>
      <c r="O685" s="417"/>
      <c r="P685" s="62">
        <v>1</v>
      </c>
      <c r="Q685" s="360">
        <v>0.1</v>
      </c>
      <c r="R685" s="62"/>
      <c r="S685" s="62">
        <f t="shared" si="20"/>
        <v>0</v>
      </c>
      <c r="T685" s="67">
        <f t="shared" si="21"/>
        <v>0</v>
      </c>
      <c r="U685" s="62" t="s">
        <v>34</v>
      </c>
      <c r="V685" s="116"/>
      <c r="W685" s="113"/>
    </row>
    <row r="686" spans="1:23" ht="16.05" customHeight="1" x14ac:dyDescent="0.45">
      <c r="A686" s="1">
        <v>685</v>
      </c>
      <c r="B686" s="394" t="s">
        <v>924</v>
      </c>
      <c r="C686" s="394" t="s">
        <v>24</v>
      </c>
      <c r="D686" s="358">
        <v>5548</v>
      </c>
      <c r="E686" s="113" t="s">
        <v>1399</v>
      </c>
      <c r="F686" s="113" t="s">
        <v>380</v>
      </c>
      <c r="G686" s="357">
        <v>5051</v>
      </c>
      <c r="H686" s="113" t="s">
        <v>1395</v>
      </c>
      <c r="I686" s="113" t="s">
        <v>28</v>
      </c>
      <c r="J686" s="440" t="s">
        <v>58</v>
      </c>
      <c r="K686" s="440" t="s">
        <v>57</v>
      </c>
      <c r="L686" s="360">
        <v>0.5</v>
      </c>
      <c r="M686" s="445" t="s">
        <v>387</v>
      </c>
      <c r="N686" s="416" t="s">
        <v>388</v>
      </c>
      <c r="O686" s="417"/>
      <c r="P686" s="62">
        <v>1</v>
      </c>
      <c r="Q686" s="360">
        <v>0.1</v>
      </c>
      <c r="R686" s="62"/>
      <c r="S686" s="62">
        <f t="shared" si="20"/>
        <v>0</v>
      </c>
      <c r="T686" s="67">
        <f t="shared" si="21"/>
        <v>0</v>
      </c>
      <c r="U686" s="62" t="s">
        <v>34</v>
      </c>
      <c r="V686" s="116"/>
      <c r="W686" s="113"/>
    </row>
    <row r="687" spans="1:23" ht="16.05" customHeight="1" x14ac:dyDescent="0.45">
      <c r="A687" s="1">
        <v>686</v>
      </c>
      <c r="B687" s="394" t="s">
        <v>924</v>
      </c>
      <c r="C687" s="394" t="s">
        <v>24</v>
      </c>
      <c r="D687" s="358">
        <v>5548</v>
      </c>
      <c r="E687" s="113" t="s">
        <v>1399</v>
      </c>
      <c r="F687" s="113" t="s">
        <v>380</v>
      </c>
      <c r="G687" s="357">
        <v>5051</v>
      </c>
      <c r="H687" s="113" t="s">
        <v>1395</v>
      </c>
      <c r="I687" s="113" t="s">
        <v>28</v>
      </c>
      <c r="J687" s="440" t="s">
        <v>58</v>
      </c>
      <c r="K687" s="440" t="s">
        <v>57</v>
      </c>
      <c r="L687" s="360">
        <v>0.5</v>
      </c>
      <c r="M687" s="445" t="s">
        <v>390</v>
      </c>
      <c r="N687" s="416" t="s">
        <v>1390</v>
      </c>
      <c r="O687" s="417"/>
      <c r="P687" s="62">
        <v>1</v>
      </c>
      <c r="Q687" s="360">
        <v>0.1</v>
      </c>
      <c r="R687" s="62"/>
      <c r="S687" s="62">
        <f t="shared" si="20"/>
        <v>0</v>
      </c>
      <c r="T687" s="67">
        <f t="shared" si="21"/>
        <v>0</v>
      </c>
      <c r="U687" s="62" t="s">
        <v>34</v>
      </c>
      <c r="V687" s="116"/>
      <c r="W687" s="113"/>
    </row>
    <row r="688" spans="1:23" ht="16.05" customHeight="1" x14ac:dyDescent="0.45">
      <c r="A688" s="1">
        <v>687</v>
      </c>
      <c r="B688" s="394" t="s">
        <v>924</v>
      </c>
      <c r="C688" s="394" t="s">
        <v>24</v>
      </c>
      <c r="D688" s="358">
        <v>5548</v>
      </c>
      <c r="E688" s="113" t="s">
        <v>1399</v>
      </c>
      <c r="F688" s="113" t="s">
        <v>380</v>
      </c>
      <c r="G688" s="357">
        <v>5051</v>
      </c>
      <c r="H688" s="113" t="s">
        <v>1395</v>
      </c>
      <c r="I688" s="113" t="s">
        <v>28</v>
      </c>
      <c r="J688" s="440" t="s">
        <v>58</v>
      </c>
      <c r="K688" s="440" t="s">
        <v>57</v>
      </c>
      <c r="L688" s="360">
        <v>0.5</v>
      </c>
      <c r="M688" s="445" t="s">
        <v>392</v>
      </c>
      <c r="N688" s="416" t="s">
        <v>393</v>
      </c>
      <c r="O688" s="417"/>
      <c r="P688" s="62">
        <v>1</v>
      </c>
      <c r="Q688" s="360">
        <v>0.1</v>
      </c>
      <c r="R688" s="62"/>
      <c r="S688" s="62">
        <f t="shared" si="20"/>
        <v>0</v>
      </c>
      <c r="T688" s="67">
        <f t="shared" si="21"/>
        <v>0</v>
      </c>
      <c r="U688" s="62" t="s">
        <v>34</v>
      </c>
      <c r="V688" s="116"/>
      <c r="W688" s="113"/>
    </row>
    <row r="689" spans="1:23" ht="16.05" customHeight="1" x14ac:dyDescent="0.45">
      <c r="A689" s="1">
        <v>688</v>
      </c>
      <c r="B689" s="394" t="s">
        <v>924</v>
      </c>
      <c r="C689" s="394" t="s">
        <v>24</v>
      </c>
      <c r="D689" s="358">
        <v>5548</v>
      </c>
      <c r="E689" s="113" t="s">
        <v>1399</v>
      </c>
      <c r="F689" s="113" t="s">
        <v>380</v>
      </c>
      <c r="G689" s="357">
        <v>5051</v>
      </c>
      <c r="H689" s="113" t="s">
        <v>1395</v>
      </c>
      <c r="I689" s="113" t="s">
        <v>28</v>
      </c>
      <c r="J689" s="448" t="s">
        <v>111</v>
      </c>
      <c r="K689" s="15" t="s">
        <v>110</v>
      </c>
      <c r="L689" s="418">
        <v>0.5</v>
      </c>
      <c r="M689" s="449" t="s">
        <v>373</v>
      </c>
      <c r="N689" s="450" t="s">
        <v>374</v>
      </c>
      <c r="O689" s="421"/>
      <c r="P689" s="422">
        <v>1</v>
      </c>
      <c r="Q689" s="418">
        <v>0.35</v>
      </c>
      <c r="R689" s="422"/>
      <c r="S689" s="422">
        <f t="shared" si="20"/>
        <v>0</v>
      </c>
      <c r="T689" s="142">
        <f t="shared" si="21"/>
        <v>0</v>
      </c>
      <c r="U689" s="422" t="s">
        <v>34</v>
      </c>
      <c r="V689" s="447"/>
      <c r="W689" s="113"/>
    </row>
    <row r="690" spans="1:23" ht="16.05" customHeight="1" x14ac:dyDescent="0.45">
      <c r="A690" s="1">
        <v>689</v>
      </c>
      <c r="B690" s="394" t="s">
        <v>924</v>
      </c>
      <c r="C690" s="394" t="s">
        <v>24</v>
      </c>
      <c r="D690" s="358">
        <v>5548</v>
      </c>
      <c r="E690" s="113" t="s">
        <v>1399</v>
      </c>
      <c r="F690" s="113" t="s">
        <v>380</v>
      </c>
      <c r="G690" s="357">
        <v>5051</v>
      </c>
      <c r="H690" s="113" t="s">
        <v>1395</v>
      </c>
      <c r="I690" s="113" t="s">
        <v>28</v>
      </c>
      <c r="J690" s="448" t="s">
        <v>111</v>
      </c>
      <c r="K690" s="15" t="s">
        <v>110</v>
      </c>
      <c r="L690" s="418">
        <v>0.5</v>
      </c>
      <c r="M690" s="449" t="s">
        <v>376</v>
      </c>
      <c r="N690" s="450" t="s">
        <v>377</v>
      </c>
      <c r="O690" s="421"/>
      <c r="P690" s="422">
        <v>1</v>
      </c>
      <c r="Q690" s="418">
        <v>0.35</v>
      </c>
      <c r="R690" s="422"/>
      <c r="S690" s="422">
        <f t="shared" si="20"/>
        <v>0</v>
      </c>
      <c r="T690" s="142">
        <f t="shared" si="21"/>
        <v>0</v>
      </c>
      <c r="U690" s="422" t="s">
        <v>34</v>
      </c>
      <c r="V690" s="447"/>
      <c r="W690" s="113"/>
    </row>
    <row r="691" spans="1:23" ht="16.05" customHeight="1" x14ac:dyDescent="0.45">
      <c r="A691" s="1">
        <v>690</v>
      </c>
      <c r="B691" s="394" t="s">
        <v>924</v>
      </c>
      <c r="C691" s="394" t="s">
        <v>24</v>
      </c>
      <c r="D691" s="358">
        <v>5548</v>
      </c>
      <c r="E691" s="113" t="s">
        <v>1399</v>
      </c>
      <c r="F691" s="113" t="s">
        <v>380</v>
      </c>
      <c r="G691" s="357">
        <v>5051</v>
      </c>
      <c r="H691" s="113" t="s">
        <v>1395</v>
      </c>
      <c r="I691" s="113" t="s">
        <v>28</v>
      </c>
      <c r="J691" s="448" t="s">
        <v>111</v>
      </c>
      <c r="K691" s="15" t="s">
        <v>110</v>
      </c>
      <c r="L691" s="418">
        <v>0.5</v>
      </c>
      <c r="M691" s="449" t="s">
        <v>396</v>
      </c>
      <c r="N691" s="450" t="s">
        <v>1393</v>
      </c>
      <c r="O691" s="421"/>
      <c r="P691" s="422">
        <v>1</v>
      </c>
      <c r="Q691" s="418">
        <v>0.3</v>
      </c>
      <c r="R691" s="422"/>
      <c r="S691" s="422">
        <f t="shared" si="20"/>
        <v>0</v>
      </c>
      <c r="T691" s="142">
        <f t="shared" si="21"/>
        <v>0</v>
      </c>
      <c r="U691" s="422" t="s">
        <v>34</v>
      </c>
      <c r="V691" s="447"/>
      <c r="W691" s="113"/>
    </row>
    <row r="692" spans="1:23" ht="16.05" customHeight="1" x14ac:dyDescent="0.45">
      <c r="A692" s="1">
        <v>691</v>
      </c>
      <c r="B692" s="94" t="s">
        <v>924</v>
      </c>
      <c r="C692" s="94" t="s">
        <v>24</v>
      </c>
      <c r="D692" s="349">
        <v>5754</v>
      </c>
      <c r="E692" s="99" t="s">
        <v>1400</v>
      </c>
      <c r="F692" s="99" t="s">
        <v>380</v>
      </c>
      <c r="G692" s="91">
        <v>5051</v>
      </c>
      <c r="H692" s="99" t="s">
        <v>1395</v>
      </c>
      <c r="I692" s="99" t="s">
        <v>28</v>
      </c>
      <c r="J692" s="410" t="s">
        <v>58</v>
      </c>
      <c r="K692" s="410" t="s">
        <v>57</v>
      </c>
      <c r="L692" s="350">
        <v>0.5</v>
      </c>
      <c r="M692" s="444" t="s">
        <v>1386</v>
      </c>
      <c r="N692" s="409" t="s">
        <v>1387</v>
      </c>
      <c r="O692" s="410"/>
      <c r="P692" s="103">
        <v>1</v>
      </c>
      <c r="Q692" s="350">
        <v>0.1</v>
      </c>
      <c r="R692" s="103"/>
      <c r="S692" s="103">
        <f t="shared" si="20"/>
        <v>0</v>
      </c>
      <c r="T692" s="51">
        <f t="shared" si="21"/>
        <v>0</v>
      </c>
      <c r="U692" s="103" t="s">
        <v>34</v>
      </c>
      <c r="V692" s="301">
        <f>SUM(T692:T703)%</f>
        <v>0</v>
      </c>
      <c r="W692" s="99"/>
    </row>
    <row r="693" spans="1:23" ht="16.05" customHeight="1" x14ac:dyDescent="0.45">
      <c r="A693" s="1">
        <v>692</v>
      </c>
      <c r="B693" s="394" t="s">
        <v>924</v>
      </c>
      <c r="C693" s="394" t="s">
        <v>24</v>
      </c>
      <c r="D693" s="358">
        <v>5754</v>
      </c>
      <c r="E693" s="113" t="s">
        <v>1400</v>
      </c>
      <c r="F693" s="113" t="s">
        <v>380</v>
      </c>
      <c r="G693" s="357">
        <v>5051</v>
      </c>
      <c r="H693" s="113" t="s">
        <v>1395</v>
      </c>
      <c r="I693" s="113" t="s">
        <v>28</v>
      </c>
      <c r="J693" s="440" t="s">
        <v>58</v>
      </c>
      <c r="K693" s="440" t="s">
        <v>57</v>
      </c>
      <c r="L693" s="360">
        <v>0.5</v>
      </c>
      <c r="M693" s="445" t="s">
        <v>351</v>
      </c>
      <c r="N693" s="416" t="s">
        <v>352</v>
      </c>
      <c r="O693" s="417"/>
      <c r="P693" s="62">
        <v>1</v>
      </c>
      <c r="Q693" s="360">
        <v>0.2</v>
      </c>
      <c r="R693" s="62"/>
      <c r="S693" s="62">
        <f t="shared" si="20"/>
        <v>0</v>
      </c>
      <c r="T693" s="67">
        <f t="shared" si="21"/>
        <v>0</v>
      </c>
      <c r="U693" s="62" t="s">
        <v>34</v>
      </c>
      <c r="V693" s="116"/>
      <c r="W693" s="113"/>
    </row>
    <row r="694" spans="1:23" ht="16.05" customHeight="1" x14ac:dyDescent="0.45">
      <c r="A694" s="1">
        <v>693</v>
      </c>
      <c r="B694" s="394" t="s">
        <v>924</v>
      </c>
      <c r="C694" s="394" t="s">
        <v>24</v>
      </c>
      <c r="D694" s="358">
        <v>5754</v>
      </c>
      <c r="E694" s="113" t="s">
        <v>1400</v>
      </c>
      <c r="F694" s="113" t="s">
        <v>380</v>
      </c>
      <c r="G694" s="357">
        <v>5051</v>
      </c>
      <c r="H694" s="113" t="s">
        <v>1395</v>
      </c>
      <c r="I694" s="113" t="s">
        <v>28</v>
      </c>
      <c r="J694" s="440" t="s">
        <v>58</v>
      </c>
      <c r="K694" s="440" t="s">
        <v>57</v>
      </c>
      <c r="L694" s="360">
        <v>0.5</v>
      </c>
      <c r="M694" s="445" t="s">
        <v>381</v>
      </c>
      <c r="N694" s="416" t="s">
        <v>382</v>
      </c>
      <c r="O694" s="417"/>
      <c r="P694" s="62">
        <v>1</v>
      </c>
      <c r="Q694" s="360">
        <v>0.1</v>
      </c>
      <c r="R694" s="62"/>
      <c r="S694" s="62">
        <f t="shared" si="20"/>
        <v>0</v>
      </c>
      <c r="T694" s="67">
        <f t="shared" si="21"/>
        <v>0</v>
      </c>
      <c r="U694" s="62" t="s">
        <v>34</v>
      </c>
      <c r="V694" s="116"/>
      <c r="W694" s="113"/>
    </row>
    <row r="695" spans="1:23" ht="16.05" customHeight="1" x14ac:dyDescent="0.45">
      <c r="A695" s="1">
        <v>694</v>
      </c>
      <c r="B695" s="394" t="s">
        <v>924</v>
      </c>
      <c r="C695" s="394" t="s">
        <v>24</v>
      </c>
      <c r="D695" s="358">
        <v>5754</v>
      </c>
      <c r="E695" s="113" t="s">
        <v>1400</v>
      </c>
      <c r="F695" s="113" t="s">
        <v>380</v>
      </c>
      <c r="G695" s="357">
        <v>5051</v>
      </c>
      <c r="H695" s="113" t="s">
        <v>1395</v>
      </c>
      <c r="I695" s="113" t="s">
        <v>28</v>
      </c>
      <c r="J695" s="440" t="s">
        <v>58</v>
      </c>
      <c r="K695" s="440" t="s">
        <v>57</v>
      </c>
      <c r="L695" s="360">
        <v>0.5</v>
      </c>
      <c r="M695" s="445" t="s">
        <v>384</v>
      </c>
      <c r="N695" s="416" t="s">
        <v>385</v>
      </c>
      <c r="O695" s="417"/>
      <c r="P695" s="62">
        <v>1</v>
      </c>
      <c r="Q695" s="360">
        <v>0.1</v>
      </c>
      <c r="R695" s="62"/>
      <c r="S695" s="62">
        <f t="shared" si="20"/>
        <v>0</v>
      </c>
      <c r="T695" s="67">
        <f t="shared" si="21"/>
        <v>0</v>
      </c>
      <c r="U695" s="62" t="s">
        <v>34</v>
      </c>
      <c r="V695" s="116"/>
      <c r="W695" s="113"/>
    </row>
    <row r="696" spans="1:23" ht="16.05" customHeight="1" x14ac:dyDescent="0.45">
      <c r="A696" s="1">
        <v>695</v>
      </c>
      <c r="B696" s="394" t="s">
        <v>924</v>
      </c>
      <c r="C696" s="394" t="s">
        <v>24</v>
      </c>
      <c r="D696" s="358">
        <v>5754</v>
      </c>
      <c r="E696" s="113" t="s">
        <v>1400</v>
      </c>
      <c r="F696" s="113" t="s">
        <v>380</v>
      </c>
      <c r="G696" s="357">
        <v>5051</v>
      </c>
      <c r="H696" s="113" t="s">
        <v>1395</v>
      </c>
      <c r="I696" s="113" t="s">
        <v>28</v>
      </c>
      <c r="J696" s="440" t="s">
        <v>58</v>
      </c>
      <c r="K696" s="440" t="s">
        <v>57</v>
      </c>
      <c r="L696" s="360">
        <v>0.5</v>
      </c>
      <c r="M696" s="445" t="s">
        <v>357</v>
      </c>
      <c r="N696" s="416" t="s">
        <v>386</v>
      </c>
      <c r="O696" s="417"/>
      <c r="P696" s="62">
        <v>1</v>
      </c>
      <c r="Q696" s="360">
        <v>0.1</v>
      </c>
      <c r="R696" s="62"/>
      <c r="S696" s="62">
        <f t="shared" si="20"/>
        <v>0</v>
      </c>
      <c r="T696" s="67">
        <f t="shared" si="21"/>
        <v>0</v>
      </c>
      <c r="U696" s="62" t="s">
        <v>34</v>
      </c>
      <c r="V696" s="116"/>
      <c r="W696" s="113"/>
    </row>
    <row r="697" spans="1:23" ht="16.05" customHeight="1" x14ac:dyDescent="0.45">
      <c r="A697" s="1">
        <v>696</v>
      </c>
      <c r="B697" s="394" t="s">
        <v>924</v>
      </c>
      <c r="C697" s="394" t="s">
        <v>24</v>
      </c>
      <c r="D697" s="358">
        <v>5754</v>
      </c>
      <c r="E697" s="113" t="s">
        <v>1400</v>
      </c>
      <c r="F697" s="113" t="s">
        <v>380</v>
      </c>
      <c r="G697" s="357">
        <v>5051</v>
      </c>
      <c r="H697" s="113" t="s">
        <v>1395</v>
      </c>
      <c r="I697" s="113" t="s">
        <v>28</v>
      </c>
      <c r="J697" s="440" t="s">
        <v>58</v>
      </c>
      <c r="K697" s="440" t="s">
        <v>57</v>
      </c>
      <c r="L697" s="360">
        <v>0.5</v>
      </c>
      <c r="M697" s="445" t="s">
        <v>347</v>
      </c>
      <c r="N697" s="416" t="s">
        <v>348</v>
      </c>
      <c r="O697" s="417"/>
      <c r="P697" s="62">
        <v>1</v>
      </c>
      <c r="Q697" s="360">
        <v>0.1</v>
      </c>
      <c r="R697" s="62"/>
      <c r="S697" s="62">
        <f t="shared" si="20"/>
        <v>0</v>
      </c>
      <c r="T697" s="67">
        <f t="shared" si="21"/>
        <v>0</v>
      </c>
      <c r="U697" s="62" t="s">
        <v>34</v>
      </c>
      <c r="V697" s="116"/>
      <c r="W697" s="113"/>
    </row>
    <row r="698" spans="1:23" ht="16.05" customHeight="1" x14ac:dyDescent="0.45">
      <c r="A698" s="1">
        <v>697</v>
      </c>
      <c r="B698" s="394" t="s">
        <v>924</v>
      </c>
      <c r="C698" s="394" t="s">
        <v>24</v>
      </c>
      <c r="D698" s="358">
        <v>5754</v>
      </c>
      <c r="E698" s="113" t="s">
        <v>1400</v>
      </c>
      <c r="F698" s="113" t="s">
        <v>380</v>
      </c>
      <c r="G698" s="357">
        <v>5051</v>
      </c>
      <c r="H698" s="113" t="s">
        <v>1395</v>
      </c>
      <c r="I698" s="113" t="s">
        <v>28</v>
      </c>
      <c r="J698" s="440" t="s">
        <v>58</v>
      </c>
      <c r="K698" s="440" t="s">
        <v>57</v>
      </c>
      <c r="L698" s="360">
        <v>0.5</v>
      </c>
      <c r="M698" s="445" t="s">
        <v>387</v>
      </c>
      <c r="N698" s="416" t="s">
        <v>388</v>
      </c>
      <c r="O698" s="417"/>
      <c r="P698" s="62">
        <v>1</v>
      </c>
      <c r="Q698" s="360">
        <v>0.1</v>
      </c>
      <c r="R698" s="62"/>
      <c r="S698" s="62">
        <f t="shared" si="20"/>
        <v>0</v>
      </c>
      <c r="T698" s="67">
        <f t="shared" si="21"/>
        <v>0</v>
      </c>
      <c r="U698" s="62" t="s">
        <v>34</v>
      </c>
      <c r="V698" s="116"/>
      <c r="W698" s="113"/>
    </row>
    <row r="699" spans="1:23" ht="16.05" customHeight="1" x14ac:dyDescent="0.45">
      <c r="A699" s="1">
        <v>698</v>
      </c>
      <c r="B699" s="394" t="s">
        <v>924</v>
      </c>
      <c r="C699" s="394" t="s">
        <v>24</v>
      </c>
      <c r="D699" s="358">
        <v>5754</v>
      </c>
      <c r="E699" s="113" t="s">
        <v>1400</v>
      </c>
      <c r="F699" s="113" t="s">
        <v>380</v>
      </c>
      <c r="G699" s="357">
        <v>5051</v>
      </c>
      <c r="H699" s="113" t="s">
        <v>1395</v>
      </c>
      <c r="I699" s="113" t="s">
        <v>28</v>
      </c>
      <c r="J699" s="440" t="s">
        <v>58</v>
      </c>
      <c r="K699" s="440" t="s">
        <v>57</v>
      </c>
      <c r="L699" s="360">
        <v>0.5</v>
      </c>
      <c r="M699" s="445" t="s">
        <v>390</v>
      </c>
      <c r="N699" s="416" t="s">
        <v>1390</v>
      </c>
      <c r="O699" s="417"/>
      <c r="P699" s="62">
        <v>1</v>
      </c>
      <c r="Q699" s="360">
        <v>0.1</v>
      </c>
      <c r="R699" s="62"/>
      <c r="S699" s="62">
        <f t="shared" si="20"/>
        <v>0</v>
      </c>
      <c r="T699" s="67">
        <f t="shared" si="21"/>
        <v>0</v>
      </c>
      <c r="U699" s="62" t="s">
        <v>34</v>
      </c>
      <c r="V699" s="116"/>
      <c r="W699" s="113"/>
    </row>
    <row r="700" spans="1:23" ht="16.05" customHeight="1" x14ac:dyDescent="0.45">
      <c r="A700" s="1">
        <v>699</v>
      </c>
      <c r="B700" s="394" t="s">
        <v>924</v>
      </c>
      <c r="C700" s="394" t="s">
        <v>24</v>
      </c>
      <c r="D700" s="358">
        <v>5754</v>
      </c>
      <c r="E700" s="113" t="s">
        <v>1400</v>
      </c>
      <c r="F700" s="113" t="s">
        <v>380</v>
      </c>
      <c r="G700" s="357">
        <v>5051</v>
      </c>
      <c r="H700" s="113" t="s">
        <v>1395</v>
      </c>
      <c r="I700" s="113" t="s">
        <v>28</v>
      </c>
      <c r="J700" s="440" t="s">
        <v>58</v>
      </c>
      <c r="K700" s="440" t="s">
        <v>57</v>
      </c>
      <c r="L700" s="360">
        <v>0.5</v>
      </c>
      <c r="M700" s="445" t="s">
        <v>392</v>
      </c>
      <c r="N700" s="416" t="s">
        <v>393</v>
      </c>
      <c r="O700" s="417"/>
      <c r="P700" s="62">
        <v>1</v>
      </c>
      <c r="Q700" s="360">
        <v>0.1</v>
      </c>
      <c r="R700" s="62"/>
      <c r="S700" s="62">
        <f t="shared" si="20"/>
        <v>0</v>
      </c>
      <c r="T700" s="67">
        <f t="shared" si="21"/>
        <v>0</v>
      </c>
      <c r="U700" s="62" t="s">
        <v>34</v>
      </c>
      <c r="V700" s="116"/>
      <c r="W700" s="113"/>
    </row>
    <row r="701" spans="1:23" ht="16.05" customHeight="1" x14ac:dyDescent="0.45">
      <c r="A701" s="1">
        <v>700</v>
      </c>
      <c r="B701" s="394" t="s">
        <v>924</v>
      </c>
      <c r="C701" s="394" t="s">
        <v>24</v>
      </c>
      <c r="D701" s="358">
        <v>5754</v>
      </c>
      <c r="E701" s="113" t="s">
        <v>1400</v>
      </c>
      <c r="F701" s="113" t="s">
        <v>380</v>
      </c>
      <c r="G701" s="357">
        <v>5051</v>
      </c>
      <c r="H701" s="113" t="s">
        <v>1395</v>
      </c>
      <c r="I701" s="113" t="s">
        <v>28</v>
      </c>
      <c r="J701" s="448" t="s">
        <v>111</v>
      </c>
      <c r="K701" s="15" t="s">
        <v>110</v>
      </c>
      <c r="L701" s="418">
        <v>0.5</v>
      </c>
      <c r="M701" s="449" t="s">
        <v>373</v>
      </c>
      <c r="N701" s="450" t="s">
        <v>374</v>
      </c>
      <c r="O701" s="421"/>
      <c r="P701" s="422">
        <v>1</v>
      </c>
      <c r="Q701" s="418">
        <v>0.35</v>
      </c>
      <c r="R701" s="422"/>
      <c r="S701" s="422">
        <f t="shared" si="20"/>
        <v>0</v>
      </c>
      <c r="T701" s="142">
        <f t="shared" si="21"/>
        <v>0</v>
      </c>
      <c r="U701" s="422" t="s">
        <v>34</v>
      </c>
      <c r="V701" s="447"/>
      <c r="W701" s="113"/>
    </row>
    <row r="702" spans="1:23" ht="16.05" customHeight="1" x14ac:dyDescent="0.45">
      <c r="A702" s="1">
        <v>701</v>
      </c>
      <c r="B702" s="394" t="s">
        <v>924</v>
      </c>
      <c r="C702" s="394" t="s">
        <v>24</v>
      </c>
      <c r="D702" s="358">
        <v>5754</v>
      </c>
      <c r="E702" s="113" t="s">
        <v>1400</v>
      </c>
      <c r="F702" s="113" t="s">
        <v>380</v>
      </c>
      <c r="G702" s="357">
        <v>5051</v>
      </c>
      <c r="H702" s="113" t="s">
        <v>1395</v>
      </c>
      <c r="I702" s="113" t="s">
        <v>28</v>
      </c>
      <c r="J702" s="448" t="s">
        <v>111</v>
      </c>
      <c r="K702" s="15" t="s">
        <v>110</v>
      </c>
      <c r="L702" s="418">
        <v>0.5</v>
      </c>
      <c r="M702" s="449" t="s">
        <v>376</v>
      </c>
      <c r="N702" s="450" t="s">
        <v>377</v>
      </c>
      <c r="O702" s="421"/>
      <c r="P702" s="422">
        <v>1</v>
      </c>
      <c r="Q702" s="418">
        <v>0.35</v>
      </c>
      <c r="R702" s="422"/>
      <c r="S702" s="422">
        <f t="shared" si="20"/>
        <v>0</v>
      </c>
      <c r="T702" s="142">
        <f t="shared" si="21"/>
        <v>0</v>
      </c>
      <c r="U702" s="422" t="s">
        <v>34</v>
      </c>
      <c r="V702" s="447"/>
      <c r="W702" s="113"/>
    </row>
    <row r="703" spans="1:23" ht="16.05" customHeight="1" x14ac:dyDescent="0.45">
      <c r="A703" s="1">
        <v>702</v>
      </c>
      <c r="B703" s="394" t="s">
        <v>924</v>
      </c>
      <c r="C703" s="394" t="s">
        <v>24</v>
      </c>
      <c r="D703" s="358">
        <v>5754</v>
      </c>
      <c r="E703" s="113" t="s">
        <v>1400</v>
      </c>
      <c r="F703" s="113" t="s">
        <v>380</v>
      </c>
      <c r="G703" s="357">
        <v>5051</v>
      </c>
      <c r="H703" s="113" t="s">
        <v>1395</v>
      </c>
      <c r="I703" s="113" t="s">
        <v>28</v>
      </c>
      <c r="J703" s="448" t="s">
        <v>111</v>
      </c>
      <c r="K703" s="15" t="s">
        <v>110</v>
      </c>
      <c r="L703" s="418">
        <v>0.5</v>
      </c>
      <c r="M703" s="449" t="s">
        <v>396</v>
      </c>
      <c r="N703" s="450" t="s">
        <v>1393</v>
      </c>
      <c r="O703" s="421"/>
      <c r="P703" s="422">
        <v>1</v>
      </c>
      <c r="Q703" s="418">
        <v>0.3</v>
      </c>
      <c r="R703" s="422"/>
      <c r="S703" s="422">
        <f t="shared" si="20"/>
        <v>0</v>
      </c>
      <c r="T703" s="142">
        <f t="shared" si="21"/>
        <v>0</v>
      </c>
      <c r="U703" s="422" t="s">
        <v>34</v>
      </c>
      <c r="V703" s="447"/>
      <c r="W703" s="113"/>
    </row>
    <row r="704" spans="1:23" ht="16.05" customHeight="1" x14ac:dyDescent="0.45">
      <c r="A704" s="1">
        <v>703</v>
      </c>
      <c r="B704" s="3" t="s">
        <v>924</v>
      </c>
      <c r="C704" s="3" t="s">
        <v>24</v>
      </c>
      <c r="D704" s="275">
        <v>5812</v>
      </c>
      <c r="E704" s="3" t="s">
        <v>1401</v>
      </c>
      <c r="F704" s="3" t="s">
        <v>1402</v>
      </c>
      <c r="G704" s="3">
        <v>3606</v>
      </c>
      <c r="H704" s="3" t="s">
        <v>1015</v>
      </c>
      <c r="I704" s="3" t="s">
        <v>1403</v>
      </c>
      <c r="J704" s="3" t="s">
        <v>58</v>
      </c>
      <c r="K704" s="2" t="s">
        <v>57</v>
      </c>
      <c r="L704" s="276">
        <v>0.8</v>
      </c>
      <c r="M704" s="3"/>
      <c r="N704" s="3" t="s">
        <v>1404</v>
      </c>
      <c r="O704" s="280" t="s">
        <v>1405</v>
      </c>
      <c r="P704" s="120">
        <v>1</v>
      </c>
      <c r="Q704" s="276">
        <v>0.3</v>
      </c>
      <c r="R704" s="120"/>
      <c r="S704" s="120">
        <f t="shared" si="20"/>
        <v>0</v>
      </c>
      <c r="T704" s="119">
        <f t="shared" si="21"/>
        <v>0</v>
      </c>
      <c r="U704" s="120" t="s">
        <v>34</v>
      </c>
      <c r="V704" s="301">
        <f>SUM(T704:T714)%</f>
        <v>0</v>
      </c>
      <c r="W704" s="3"/>
    </row>
    <row r="705" spans="1:23" ht="16.05" customHeight="1" x14ac:dyDescent="0.45">
      <c r="A705" s="1">
        <v>704</v>
      </c>
      <c r="B705" s="16" t="s">
        <v>924</v>
      </c>
      <c r="C705" s="182" t="s">
        <v>24</v>
      </c>
      <c r="D705" s="281">
        <v>5812</v>
      </c>
      <c r="E705" s="16" t="s">
        <v>1401</v>
      </c>
      <c r="F705" s="16" t="s">
        <v>1402</v>
      </c>
      <c r="G705" s="16">
        <v>3606</v>
      </c>
      <c r="H705" s="16" t="s">
        <v>1015</v>
      </c>
      <c r="I705" s="16" t="s">
        <v>1403</v>
      </c>
      <c r="J705" s="184" t="s">
        <v>58</v>
      </c>
      <c r="K705" s="345" t="s">
        <v>57</v>
      </c>
      <c r="L705" s="346">
        <v>0.8</v>
      </c>
      <c r="M705" s="184"/>
      <c r="N705" s="184" t="s">
        <v>1406</v>
      </c>
      <c r="O705" s="396" t="s">
        <v>1407</v>
      </c>
      <c r="P705" s="35">
        <v>1</v>
      </c>
      <c r="Q705" s="346">
        <v>0.1</v>
      </c>
      <c r="R705" s="35"/>
      <c r="S705" s="35">
        <f t="shared" si="20"/>
        <v>0</v>
      </c>
      <c r="T705" s="42">
        <f t="shared" si="21"/>
        <v>0</v>
      </c>
      <c r="U705" s="35" t="s">
        <v>34</v>
      </c>
      <c r="V705" s="44"/>
      <c r="W705" s="16"/>
    </row>
    <row r="706" spans="1:23" ht="16.05" customHeight="1" x14ac:dyDescent="0.45">
      <c r="A706" s="1">
        <v>705</v>
      </c>
      <c r="B706" s="16" t="s">
        <v>924</v>
      </c>
      <c r="C706" s="182" t="s">
        <v>24</v>
      </c>
      <c r="D706" s="281">
        <v>5812</v>
      </c>
      <c r="E706" s="16" t="s">
        <v>1401</v>
      </c>
      <c r="F706" s="16" t="s">
        <v>1402</v>
      </c>
      <c r="G706" s="16">
        <v>3606</v>
      </c>
      <c r="H706" s="16" t="s">
        <v>1015</v>
      </c>
      <c r="I706" s="16" t="s">
        <v>1403</v>
      </c>
      <c r="J706" s="184" t="s">
        <v>58</v>
      </c>
      <c r="K706" s="345" t="s">
        <v>57</v>
      </c>
      <c r="L706" s="346">
        <v>0.8</v>
      </c>
      <c r="M706" s="184"/>
      <c r="N706" s="184" t="s">
        <v>1408</v>
      </c>
      <c r="O706" s="396" t="s">
        <v>1409</v>
      </c>
      <c r="P706" s="35">
        <v>1</v>
      </c>
      <c r="Q706" s="346">
        <v>0.2</v>
      </c>
      <c r="R706" s="35"/>
      <c r="S706" s="35">
        <f t="shared" ref="S706:S769" si="22">ROUND(IF(OR(P706="",R706=""),0,IF(AND(P706=0,R706=0),1,IF(U706="+",R706/P706,P706/R706))),2)</f>
        <v>0</v>
      </c>
      <c r="T706" s="42">
        <f t="shared" ref="T706:T769" si="23">IF(AND(S706&gt;=60%,S706&lt;100%),S706*((Q706*L706)),IF(S706=100%,((Q706*L706)*S706)*100%,IF(S706&gt;100%,((L706*Q706)*100%)*100%,0)))*100</f>
        <v>0</v>
      </c>
      <c r="U706" s="35" t="s">
        <v>34</v>
      </c>
      <c r="V706" s="44"/>
      <c r="W706" s="16"/>
    </row>
    <row r="707" spans="1:23" ht="16.05" customHeight="1" x14ac:dyDescent="0.45">
      <c r="A707" s="1">
        <v>706</v>
      </c>
      <c r="B707" s="16" t="s">
        <v>924</v>
      </c>
      <c r="C707" s="182" t="s">
        <v>24</v>
      </c>
      <c r="D707" s="281">
        <v>5812</v>
      </c>
      <c r="E707" s="16" t="s">
        <v>1401</v>
      </c>
      <c r="F707" s="16" t="s">
        <v>1402</v>
      </c>
      <c r="G707" s="16">
        <v>3606</v>
      </c>
      <c r="H707" s="16" t="s">
        <v>1015</v>
      </c>
      <c r="I707" s="16" t="s">
        <v>1403</v>
      </c>
      <c r="J707" s="184" t="s">
        <v>58</v>
      </c>
      <c r="K707" s="345" t="s">
        <v>57</v>
      </c>
      <c r="L707" s="346">
        <v>0.8</v>
      </c>
      <c r="M707" s="184"/>
      <c r="N707" s="184" t="s">
        <v>212</v>
      </c>
      <c r="O707" s="396" t="s">
        <v>1410</v>
      </c>
      <c r="P707" s="35">
        <v>1</v>
      </c>
      <c r="Q707" s="346">
        <v>0.1</v>
      </c>
      <c r="R707" s="35"/>
      <c r="S707" s="35">
        <f t="shared" si="22"/>
        <v>0</v>
      </c>
      <c r="T707" s="42">
        <f t="shared" si="23"/>
        <v>0</v>
      </c>
      <c r="U707" s="35" t="s">
        <v>34</v>
      </c>
      <c r="V707" s="44"/>
      <c r="W707" s="16"/>
    </row>
    <row r="708" spans="1:23" ht="16.05" customHeight="1" x14ac:dyDescent="0.45">
      <c r="A708" s="1">
        <v>707</v>
      </c>
      <c r="B708" s="16" t="s">
        <v>924</v>
      </c>
      <c r="C708" s="182" t="s">
        <v>24</v>
      </c>
      <c r="D708" s="281">
        <v>5812</v>
      </c>
      <c r="E708" s="16" t="s">
        <v>1401</v>
      </c>
      <c r="F708" s="16" t="s">
        <v>1402</v>
      </c>
      <c r="G708" s="16">
        <v>3606</v>
      </c>
      <c r="H708" s="16" t="s">
        <v>1015</v>
      </c>
      <c r="I708" s="16" t="s">
        <v>1403</v>
      </c>
      <c r="J708" s="184" t="s">
        <v>58</v>
      </c>
      <c r="K708" s="345" t="s">
        <v>57</v>
      </c>
      <c r="L708" s="346">
        <v>0.8</v>
      </c>
      <c r="M708" s="184"/>
      <c r="N708" s="184" t="s">
        <v>1411</v>
      </c>
      <c r="O708" s="451" t="s">
        <v>1412</v>
      </c>
      <c r="P708" s="35">
        <v>1</v>
      </c>
      <c r="Q708" s="346">
        <v>0.1</v>
      </c>
      <c r="R708" s="35"/>
      <c r="S708" s="35">
        <f t="shared" si="22"/>
        <v>0</v>
      </c>
      <c r="T708" s="42">
        <f t="shared" si="23"/>
        <v>0</v>
      </c>
      <c r="U708" s="35" t="s">
        <v>34</v>
      </c>
      <c r="V708" s="44"/>
      <c r="W708" s="16"/>
    </row>
    <row r="709" spans="1:23" ht="16.05" customHeight="1" x14ac:dyDescent="0.45">
      <c r="A709" s="1">
        <v>708</v>
      </c>
      <c r="B709" s="16" t="s">
        <v>924</v>
      </c>
      <c r="C709" s="182" t="s">
        <v>24</v>
      </c>
      <c r="D709" s="281">
        <v>5812</v>
      </c>
      <c r="E709" s="16" t="s">
        <v>1401</v>
      </c>
      <c r="F709" s="16" t="s">
        <v>1402</v>
      </c>
      <c r="G709" s="16">
        <v>3606</v>
      </c>
      <c r="H709" s="16" t="s">
        <v>1015</v>
      </c>
      <c r="I709" s="16" t="s">
        <v>1403</v>
      </c>
      <c r="J709" s="184" t="s">
        <v>58</v>
      </c>
      <c r="K709" s="345" t="s">
        <v>57</v>
      </c>
      <c r="L709" s="346">
        <v>0.8</v>
      </c>
      <c r="M709" s="184"/>
      <c r="N709" s="184" t="s">
        <v>1413</v>
      </c>
      <c r="O709" s="184"/>
      <c r="P709" s="35">
        <v>1</v>
      </c>
      <c r="Q709" s="346">
        <v>0.05</v>
      </c>
      <c r="R709" s="35"/>
      <c r="S709" s="35">
        <f t="shared" si="22"/>
        <v>0</v>
      </c>
      <c r="T709" s="42">
        <f t="shared" si="23"/>
        <v>0</v>
      </c>
      <c r="U709" s="35" t="s">
        <v>34</v>
      </c>
      <c r="V709" s="44"/>
      <c r="W709" s="16"/>
    </row>
    <row r="710" spans="1:23" ht="16.05" customHeight="1" x14ac:dyDescent="0.45">
      <c r="A710" s="1">
        <v>709</v>
      </c>
      <c r="B710" s="16" t="s">
        <v>924</v>
      </c>
      <c r="C710" s="182" t="s">
        <v>24</v>
      </c>
      <c r="D710" s="281">
        <v>5812</v>
      </c>
      <c r="E710" s="16" t="s">
        <v>1401</v>
      </c>
      <c r="F710" s="16" t="s">
        <v>1402</v>
      </c>
      <c r="G710" s="16">
        <v>3606</v>
      </c>
      <c r="H710" s="16" t="s">
        <v>1015</v>
      </c>
      <c r="I710" s="16" t="s">
        <v>1403</v>
      </c>
      <c r="J710" s="184" t="s">
        <v>58</v>
      </c>
      <c r="K710" s="345" t="s">
        <v>57</v>
      </c>
      <c r="L710" s="346">
        <v>0.8</v>
      </c>
      <c r="M710" s="184"/>
      <c r="N710" s="184" t="s">
        <v>1414</v>
      </c>
      <c r="O710" s="184"/>
      <c r="P710" s="42">
        <v>1</v>
      </c>
      <c r="Q710" s="346">
        <v>0.05</v>
      </c>
      <c r="R710" s="42"/>
      <c r="S710" s="35">
        <f t="shared" si="22"/>
        <v>0</v>
      </c>
      <c r="T710" s="42">
        <f t="shared" si="23"/>
        <v>0</v>
      </c>
      <c r="U710" s="35" t="s">
        <v>34</v>
      </c>
      <c r="V710" s="44"/>
      <c r="W710" s="16"/>
    </row>
    <row r="711" spans="1:23" ht="16.05" customHeight="1" x14ac:dyDescent="0.45">
      <c r="A711" s="1">
        <v>710</v>
      </c>
      <c r="B711" s="16" t="s">
        <v>924</v>
      </c>
      <c r="C711" s="182" t="s">
        <v>24</v>
      </c>
      <c r="D711" s="281">
        <v>5812</v>
      </c>
      <c r="E711" s="16" t="s">
        <v>1401</v>
      </c>
      <c r="F711" s="16" t="s">
        <v>1402</v>
      </c>
      <c r="G711" s="16">
        <v>3606</v>
      </c>
      <c r="H711" s="16" t="s">
        <v>1015</v>
      </c>
      <c r="I711" s="16" t="s">
        <v>1403</v>
      </c>
      <c r="J711" s="184" t="s">
        <v>58</v>
      </c>
      <c r="K711" s="345" t="s">
        <v>57</v>
      </c>
      <c r="L711" s="346">
        <v>0.8</v>
      </c>
      <c r="M711" s="184"/>
      <c r="N711" s="184" t="s">
        <v>1415</v>
      </c>
      <c r="O711" s="184"/>
      <c r="P711" s="35">
        <v>1</v>
      </c>
      <c r="Q711" s="346">
        <v>0.05</v>
      </c>
      <c r="R711" s="35"/>
      <c r="S711" s="35">
        <f t="shared" si="22"/>
        <v>0</v>
      </c>
      <c r="T711" s="42">
        <f t="shared" si="23"/>
        <v>0</v>
      </c>
      <c r="U711" s="35" t="s">
        <v>34</v>
      </c>
      <c r="V711" s="44"/>
      <c r="W711" s="16"/>
    </row>
    <row r="712" spans="1:23" ht="16.05" customHeight="1" x14ac:dyDescent="0.45">
      <c r="A712" s="1">
        <v>711</v>
      </c>
      <c r="B712" s="16" t="s">
        <v>924</v>
      </c>
      <c r="C712" s="182" t="s">
        <v>24</v>
      </c>
      <c r="D712" s="281">
        <v>5812</v>
      </c>
      <c r="E712" s="16" t="s">
        <v>1401</v>
      </c>
      <c r="F712" s="16" t="s">
        <v>1402</v>
      </c>
      <c r="G712" s="16">
        <v>3606</v>
      </c>
      <c r="H712" s="16" t="s">
        <v>1015</v>
      </c>
      <c r="I712" s="16" t="s">
        <v>1403</v>
      </c>
      <c r="J712" s="184" t="s">
        <v>58</v>
      </c>
      <c r="K712" s="345" t="s">
        <v>57</v>
      </c>
      <c r="L712" s="346">
        <v>0.8</v>
      </c>
      <c r="M712" s="184"/>
      <c r="N712" s="452" t="s">
        <v>1416</v>
      </c>
      <c r="O712" s="184" t="s">
        <v>1417</v>
      </c>
      <c r="P712" s="35">
        <v>1</v>
      </c>
      <c r="Q712" s="346">
        <v>0.05</v>
      </c>
      <c r="R712" s="35"/>
      <c r="S712" s="35">
        <f t="shared" si="22"/>
        <v>0</v>
      </c>
      <c r="T712" s="42">
        <f t="shared" si="23"/>
        <v>0</v>
      </c>
      <c r="U712" s="35" t="s">
        <v>34</v>
      </c>
      <c r="V712" s="44"/>
      <c r="W712" s="16"/>
    </row>
    <row r="713" spans="1:23" ht="16.05" customHeight="1" x14ac:dyDescent="0.45">
      <c r="A713" s="1">
        <v>712</v>
      </c>
      <c r="B713" s="16" t="s">
        <v>924</v>
      </c>
      <c r="C713" s="182" t="s">
        <v>24</v>
      </c>
      <c r="D713" s="281">
        <v>5812</v>
      </c>
      <c r="E713" s="16" t="s">
        <v>1401</v>
      </c>
      <c r="F713" s="16" t="s">
        <v>1402</v>
      </c>
      <c r="G713" s="16">
        <v>3606</v>
      </c>
      <c r="H713" s="16" t="s">
        <v>1015</v>
      </c>
      <c r="I713" s="16" t="s">
        <v>1403</v>
      </c>
      <c r="J713" s="448" t="s">
        <v>111</v>
      </c>
      <c r="K713" s="15" t="s">
        <v>110</v>
      </c>
      <c r="L713" s="425">
        <v>0.2</v>
      </c>
      <c r="M713" s="182"/>
      <c r="N713" s="384" t="s">
        <v>1418</v>
      </c>
      <c r="O713" s="384" t="s">
        <v>1419</v>
      </c>
      <c r="P713" s="134">
        <v>1</v>
      </c>
      <c r="Q713" s="425">
        <v>0.5</v>
      </c>
      <c r="R713" s="134"/>
      <c r="S713" s="134">
        <f t="shared" si="22"/>
        <v>0</v>
      </c>
      <c r="T713" s="133">
        <f t="shared" si="23"/>
        <v>0</v>
      </c>
      <c r="U713" s="134" t="s">
        <v>34</v>
      </c>
      <c r="V713" s="162"/>
      <c r="W713" s="182"/>
    </row>
    <row r="714" spans="1:23" ht="16.05" customHeight="1" x14ac:dyDescent="0.45">
      <c r="A714" s="1">
        <v>713</v>
      </c>
      <c r="B714" s="16" t="s">
        <v>924</v>
      </c>
      <c r="C714" s="182" t="s">
        <v>24</v>
      </c>
      <c r="D714" s="281">
        <v>5812</v>
      </c>
      <c r="E714" s="16" t="s">
        <v>1401</v>
      </c>
      <c r="F714" s="16" t="s">
        <v>1402</v>
      </c>
      <c r="G714" s="16">
        <v>3606</v>
      </c>
      <c r="H714" s="16" t="s">
        <v>1015</v>
      </c>
      <c r="I714" s="16" t="s">
        <v>1403</v>
      </c>
      <c r="J714" s="448" t="s">
        <v>111</v>
      </c>
      <c r="K714" s="15" t="s">
        <v>110</v>
      </c>
      <c r="L714" s="425">
        <v>0.2</v>
      </c>
      <c r="M714" s="182"/>
      <c r="N714" s="384" t="s">
        <v>1420</v>
      </c>
      <c r="O714" s="384"/>
      <c r="P714" s="134">
        <v>1</v>
      </c>
      <c r="Q714" s="425">
        <v>0.5</v>
      </c>
      <c r="R714" s="134"/>
      <c r="S714" s="134">
        <f t="shared" si="22"/>
        <v>0</v>
      </c>
      <c r="T714" s="133">
        <f t="shared" si="23"/>
        <v>0</v>
      </c>
      <c r="U714" s="134" t="s">
        <v>34</v>
      </c>
      <c r="V714" s="162"/>
      <c r="W714" s="182"/>
    </row>
    <row r="715" spans="1:23" ht="16.05" customHeight="1" x14ac:dyDescent="0.45">
      <c r="A715" s="1">
        <v>714</v>
      </c>
      <c r="B715" s="3" t="s">
        <v>924</v>
      </c>
      <c r="C715" s="3" t="s">
        <v>24</v>
      </c>
      <c r="D715" s="275">
        <v>6278</v>
      </c>
      <c r="E715" s="3" t="s">
        <v>1421</v>
      </c>
      <c r="F715" s="3" t="s">
        <v>1422</v>
      </c>
      <c r="G715" s="3">
        <v>5812</v>
      </c>
      <c r="H715" s="3" t="s">
        <v>1423</v>
      </c>
      <c r="I715" s="3" t="s">
        <v>1403</v>
      </c>
      <c r="J715" s="3" t="s">
        <v>58</v>
      </c>
      <c r="K715" s="3" t="s">
        <v>57</v>
      </c>
      <c r="L715" s="453">
        <v>0.9</v>
      </c>
      <c r="M715" s="3"/>
      <c r="N715" s="3" t="s">
        <v>1424</v>
      </c>
      <c r="O715" s="3" t="s">
        <v>1425</v>
      </c>
      <c r="P715" s="13">
        <v>1</v>
      </c>
      <c r="Q715" s="453">
        <v>0.2</v>
      </c>
      <c r="R715" s="13"/>
      <c r="S715" s="120">
        <f t="shared" si="22"/>
        <v>0</v>
      </c>
      <c r="T715" s="119">
        <f t="shared" si="23"/>
        <v>0</v>
      </c>
      <c r="U715" s="120" t="s">
        <v>34</v>
      </c>
      <c r="V715" s="301">
        <f>SUM(T715:T725)%</f>
        <v>0</v>
      </c>
      <c r="W715" s="3"/>
    </row>
    <row r="716" spans="1:23" ht="16.05" customHeight="1" x14ac:dyDescent="0.45">
      <c r="A716" s="1">
        <v>715</v>
      </c>
      <c r="B716" s="16" t="s">
        <v>924</v>
      </c>
      <c r="C716" s="182" t="s">
        <v>24</v>
      </c>
      <c r="D716" s="281">
        <v>6278</v>
      </c>
      <c r="E716" s="16" t="s">
        <v>1421</v>
      </c>
      <c r="F716" s="16" t="s">
        <v>1422</v>
      </c>
      <c r="G716" s="16">
        <v>5812</v>
      </c>
      <c r="H716" s="16" t="s">
        <v>1423</v>
      </c>
      <c r="I716" s="16" t="s">
        <v>1403</v>
      </c>
      <c r="J716" s="184" t="s">
        <v>58</v>
      </c>
      <c r="K716" s="184" t="s">
        <v>57</v>
      </c>
      <c r="L716" s="286">
        <v>0.9</v>
      </c>
      <c r="M716" s="184"/>
      <c r="N716" s="184" t="s">
        <v>1426</v>
      </c>
      <c r="O716" s="184" t="s">
        <v>1427</v>
      </c>
      <c r="P716" s="37">
        <v>1</v>
      </c>
      <c r="Q716" s="286">
        <v>0.1</v>
      </c>
      <c r="R716" s="37"/>
      <c r="S716" s="35">
        <f t="shared" si="22"/>
        <v>0</v>
      </c>
      <c r="T716" s="42">
        <f t="shared" si="23"/>
        <v>0</v>
      </c>
      <c r="U716" s="35" t="s">
        <v>34</v>
      </c>
      <c r="V716" s="44"/>
      <c r="W716" s="16"/>
    </row>
    <row r="717" spans="1:23" ht="16.05" customHeight="1" x14ac:dyDescent="0.45">
      <c r="A717" s="1">
        <v>716</v>
      </c>
      <c r="B717" s="16" t="s">
        <v>924</v>
      </c>
      <c r="C717" s="182" t="s">
        <v>24</v>
      </c>
      <c r="D717" s="281">
        <v>6278</v>
      </c>
      <c r="E717" s="16" t="s">
        <v>1421</v>
      </c>
      <c r="F717" s="16" t="s">
        <v>1422</v>
      </c>
      <c r="G717" s="16">
        <v>5812</v>
      </c>
      <c r="H717" s="16" t="s">
        <v>1423</v>
      </c>
      <c r="I717" s="16" t="s">
        <v>1403</v>
      </c>
      <c r="J717" s="184" t="s">
        <v>58</v>
      </c>
      <c r="K717" s="184" t="s">
        <v>57</v>
      </c>
      <c r="L717" s="286">
        <v>0.9</v>
      </c>
      <c r="M717" s="184"/>
      <c r="N717" s="184" t="s">
        <v>1428</v>
      </c>
      <c r="O717" s="184"/>
      <c r="P717" s="37">
        <v>1</v>
      </c>
      <c r="Q717" s="286">
        <v>0.1</v>
      </c>
      <c r="R717" s="37"/>
      <c r="S717" s="35">
        <f t="shared" si="22"/>
        <v>0</v>
      </c>
      <c r="T717" s="42">
        <f t="shared" si="23"/>
        <v>0</v>
      </c>
      <c r="U717" s="35" t="s">
        <v>34</v>
      </c>
      <c r="V717" s="44"/>
      <c r="W717" s="16"/>
    </row>
    <row r="718" spans="1:23" ht="16.05" customHeight="1" x14ac:dyDescent="0.45">
      <c r="A718" s="1">
        <v>717</v>
      </c>
      <c r="B718" s="16" t="s">
        <v>924</v>
      </c>
      <c r="C718" s="182" t="s">
        <v>24</v>
      </c>
      <c r="D718" s="281">
        <v>6278</v>
      </c>
      <c r="E718" s="16" t="s">
        <v>1421</v>
      </c>
      <c r="F718" s="16" t="s">
        <v>1422</v>
      </c>
      <c r="G718" s="16">
        <v>5812</v>
      </c>
      <c r="H718" s="16" t="s">
        <v>1423</v>
      </c>
      <c r="I718" s="16" t="s">
        <v>1403</v>
      </c>
      <c r="J718" s="184" t="s">
        <v>58</v>
      </c>
      <c r="K718" s="184" t="s">
        <v>57</v>
      </c>
      <c r="L718" s="286">
        <v>0.9</v>
      </c>
      <c r="M718" s="184"/>
      <c r="N718" s="184" t="s">
        <v>1429</v>
      </c>
      <c r="O718" s="396"/>
      <c r="P718" s="37">
        <v>1</v>
      </c>
      <c r="Q718" s="286">
        <v>0.1</v>
      </c>
      <c r="R718" s="37"/>
      <c r="S718" s="35">
        <f t="shared" si="22"/>
        <v>0</v>
      </c>
      <c r="T718" s="42">
        <f t="shared" si="23"/>
        <v>0</v>
      </c>
      <c r="U718" s="35" t="s">
        <v>34</v>
      </c>
      <c r="V718" s="44"/>
      <c r="W718" s="16"/>
    </row>
    <row r="719" spans="1:23" ht="16.05" customHeight="1" x14ac:dyDescent="0.45">
      <c r="A719" s="1">
        <v>718</v>
      </c>
      <c r="B719" s="16" t="s">
        <v>924</v>
      </c>
      <c r="C719" s="182" t="s">
        <v>24</v>
      </c>
      <c r="D719" s="281">
        <v>6278</v>
      </c>
      <c r="E719" s="16" t="s">
        <v>1421</v>
      </c>
      <c r="F719" s="16" t="s">
        <v>1422</v>
      </c>
      <c r="G719" s="16">
        <v>5812</v>
      </c>
      <c r="H719" s="16" t="s">
        <v>1423</v>
      </c>
      <c r="I719" s="16" t="s">
        <v>1403</v>
      </c>
      <c r="J719" s="184" t="s">
        <v>58</v>
      </c>
      <c r="K719" s="184" t="s">
        <v>57</v>
      </c>
      <c r="L719" s="286">
        <v>0.9</v>
      </c>
      <c r="M719" s="184"/>
      <c r="N719" s="184" t="s">
        <v>1430</v>
      </c>
      <c r="O719" s="396"/>
      <c r="P719" s="37">
        <v>1</v>
      </c>
      <c r="Q719" s="286">
        <v>0.1</v>
      </c>
      <c r="R719" s="37"/>
      <c r="S719" s="35">
        <f t="shared" si="22"/>
        <v>0</v>
      </c>
      <c r="T719" s="42">
        <f t="shared" si="23"/>
        <v>0</v>
      </c>
      <c r="U719" s="35" t="s">
        <v>34</v>
      </c>
      <c r="V719" s="44"/>
      <c r="W719" s="16"/>
    </row>
    <row r="720" spans="1:23" ht="16.05" customHeight="1" x14ac:dyDescent="0.45">
      <c r="A720" s="1">
        <v>719</v>
      </c>
      <c r="B720" s="16" t="s">
        <v>924</v>
      </c>
      <c r="C720" s="182" t="s">
        <v>24</v>
      </c>
      <c r="D720" s="281">
        <v>6278</v>
      </c>
      <c r="E720" s="16" t="s">
        <v>1421</v>
      </c>
      <c r="F720" s="16" t="s">
        <v>1422</v>
      </c>
      <c r="G720" s="16">
        <v>5812</v>
      </c>
      <c r="H720" s="16" t="s">
        <v>1423</v>
      </c>
      <c r="I720" s="16" t="s">
        <v>1403</v>
      </c>
      <c r="J720" s="184" t="s">
        <v>58</v>
      </c>
      <c r="K720" s="184" t="s">
        <v>57</v>
      </c>
      <c r="L720" s="286">
        <v>0.9</v>
      </c>
      <c r="M720" s="184"/>
      <c r="N720" s="184" t="s">
        <v>1431</v>
      </c>
      <c r="O720" s="184"/>
      <c r="P720" s="37">
        <v>1</v>
      </c>
      <c r="Q720" s="286">
        <v>0.1</v>
      </c>
      <c r="R720" s="37"/>
      <c r="S720" s="35">
        <f t="shared" si="22"/>
        <v>0</v>
      </c>
      <c r="T720" s="42">
        <f t="shared" si="23"/>
        <v>0</v>
      </c>
      <c r="U720" s="35" t="s">
        <v>34</v>
      </c>
      <c r="V720" s="44"/>
      <c r="W720" s="16"/>
    </row>
    <row r="721" spans="1:23" ht="16.05" customHeight="1" x14ac:dyDescent="0.45">
      <c r="A721" s="1">
        <v>720</v>
      </c>
      <c r="B721" s="16" t="s">
        <v>924</v>
      </c>
      <c r="C721" s="182" t="s">
        <v>24</v>
      </c>
      <c r="D721" s="281">
        <v>6278</v>
      </c>
      <c r="E721" s="16" t="s">
        <v>1421</v>
      </c>
      <c r="F721" s="16" t="s">
        <v>1422</v>
      </c>
      <c r="G721" s="16">
        <v>5812</v>
      </c>
      <c r="H721" s="16" t="s">
        <v>1423</v>
      </c>
      <c r="I721" s="16" t="s">
        <v>1403</v>
      </c>
      <c r="J721" s="184" t="s">
        <v>58</v>
      </c>
      <c r="K721" s="184" t="s">
        <v>57</v>
      </c>
      <c r="L721" s="286">
        <v>0.9</v>
      </c>
      <c r="M721" s="184"/>
      <c r="N721" s="184" t="s">
        <v>1432</v>
      </c>
      <c r="O721" s="184" t="s">
        <v>1417</v>
      </c>
      <c r="P721" s="37">
        <v>1</v>
      </c>
      <c r="Q721" s="286">
        <v>0.1</v>
      </c>
      <c r="R721" s="37"/>
      <c r="S721" s="35">
        <f t="shared" si="22"/>
        <v>0</v>
      </c>
      <c r="T721" s="42">
        <f t="shared" si="23"/>
        <v>0</v>
      </c>
      <c r="U721" s="35" t="s">
        <v>34</v>
      </c>
      <c r="V721" s="44"/>
      <c r="W721" s="16"/>
    </row>
    <row r="722" spans="1:23" ht="16.05" customHeight="1" x14ac:dyDescent="0.45">
      <c r="A722" s="1">
        <v>721</v>
      </c>
      <c r="B722" s="16" t="s">
        <v>924</v>
      </c>
      <c r="C722" s="182" t="s">
        <v>24</v>
      </c>
      <c r="D722" s="281">
        <v>6278</v>
      </c>
      <c r="E722" s="16" t="s">
        <v>1421</v>
      </c>
      <c r="F722" s="16" t="s">
        <v>1422</v>
      </c>
      <c r="G722" s="16">
        <v>5812</v>
      </c>
      <c r="H722" s="16" t="s">
        <v>1423</v>
      </c>
      <c r="I722" s="16" t="s">
        <v>1403</v>
      </c>
      <c r="J722" s="184" t="s">
        <v>58</v>
      </c>
      <c r="K722" s="184" t="s">
        <v>57</v>
      </c>
      <c r="L722" s="286">
        <v>0.9</v>
      </c>
      <c r="M722" s="184"/>
      <c r="N722" s="452" t="s">
        <v>1433</v>
      </c>
      <c r="O722" s="184" t="s">
        <v>1434</v>
      </c>
      <c r="P722" s="37">
        <v>1</v>
      </c>
      <c r="Q722" s="286">
        <v>0.1</v>
      </c>
      <c r="R722" s="37"/>
      <c r="S722" s="35">
        <f t="shared" si="22"/>
        <v>0</v>
      </c>
      <c r="T722" s="42">
        <f t="shared" si="23"/>
        <v>0</v>
      </c>
      <c r="U722" s="35" t="s">
        <v>34</v>
      </c>
      <c r="V722" s="44"/>
      <c r="W722" s="16"/>
    </row>
    <row r="723" spans="1:23" ht="16.05" customHeight="1" x14ac:dyDescent="0.45">
      <c r="A723" s="1">
        <v>722</v>
      </c>
      <c r="B723" s="16" t="s">
        <v>924</v>
      </c>
      <c r="C723" s="182" t="s">
        <v>24</v>
      </c>
      <c r="D723" s="281">
        <v>6278</v>
      </c>
      <c r="E723" s="16" t="s">
        <v>1421</v>
      </c>
      <c r="F723" s="16" t="s">
        <v>1422</v>
      </c>
      <c r="G723" s="16">
        <v>5812</v>
      </c>
      <c r="H723" s="16" t="s">
        <v>1423</v>
      </c>
      <c r="I723" s="16" t="s">
        <v>1403</v>
      </c>
      <c r="J723" s="184" t="s">
        <v>58</v>
      </c>
      <c r="K723" s="184" t="s">
        <v>57</v>
      </c>
      <c r="L723" s="286">
        <v>0.9</v>
      </c>
      <c r="M723" s="184"/>
      <c r="N723" s="184" t="s">
        <v>1435</v>
      </c>
      <c r="O723" s="184" t="s">
        <v>1436</v>
      </c>
      <c r="P723" s="37">
        <v>1</v>
      </c>
      <c r="Q723" s="286">
        <v>0.05</v>
      </c>
      <c r="R723" s="37"/>
      <c r="S723" s="35">
        <f t="shared" si="22"/>
        <v>0</v>
      </c>
      <c r="T723" s="42">
        <f t="shared" si="23"/>
        <v>0</v>
      </c>
      <c r="U723" s="35" t="s">
        <v>34</v>
      </c>
      <c r="V723" s="44"/>
      <c r="W723" s="16"/>
    </row>
    <row r="724" spans="1:23" ht="16.05" customHeight="1" x14ac:dyDescent="0.45">
      <c r="A724" s="1">
        <v>723</v>
      </c>
      <c r="B724" s="16" t="s">
        <v>924</v>
      </c>
      <c r="C724" s="182" t="s">
        <v>24</v>
      </c>
      <c r="D724" s="281">
        <v>6278</v>
      </c>
      <c r="E724" s="16" t="s">
        <v>1421</v>
      </c>
      <c r="F724" s="16" t="s">
        <v>1422</v>
      </c>
      <c r="G724" s="16">
        <v>5812</v>
      </c>
      <c r="H724" s="16" t="s">
        <v>1423</v>
      </c>
      <c r="I724" s="16" t="s">
        <v>1403</v>
      </c>
      <c r="J724" s="184" t="s">
        <v>58</v>
      </c>
      <c r="K724" s="184" t="s">
        <v>57</v>
      </c>
      <c r="L724" s="286">
        <v>0.9</v>
      </c>
      <c r="M724" s="184"/>
      <c r="N724" s="184" t="s">
        <v>1415</v>
      </c>
      <c r="O724" s="184"/>
      <c r="P724" s="37">
        <v>1</v>
      </c>
      <c r="Q724" s="286">
        <v>0.05</v>
      </c>
      <c r="R724" s="37"/>
      <c r="S724" s="35">
        <f t="shared" si="22"/>
        <v>0</v>
      </c>
      <c r="T724" s="42">
        <f t="shared" si="23"/>
        <v>0</v>
      </c>
      <c r="U724" s="35" t="s">
        <v>34</v>
      </c>
      <c r="V724" s="44"/>
      <c r="W724" s="16"/>
    </row>
    <row r="725" spans="1:23" ht="16.05" customHeight="1" x14ac:dyDescent="0.45">
      <c r="A725" s="1">
        <v>724</v>
      </c>
      <c r="B725" s="16" t="s">
        <v>924</v>
      </c>
      <c r="C725" s="182" t="s">
        <v>24</v>
      </c>
      <c r="D725" s="281">
        <v>6278</v>
      </c>
      <c r="E725" s="16" t="s">
        <v>1421</v>
      </c>
      <c r="F725" s="16" t="s">
        <v>1422</v>
      </c>
      <c r="G725" s="16">
        <v>5812</v>
      </c>
      <c r="H725" s="16" t="s">
        <v>1423</v>
      </c>
      <c r="I725" s="16" t="s">
        <v>1403</v>
      </c>
      <c r="J725" s="448" t="s">
        <v>111</v>
      </c>
      <c r="K725" s="15" t="s">
        <v>110</v>
      </c>
      <c r="L725" s="454">
        <v>0.1</v>
      </c>
      <c r="M725" s="182"/>
      <c r="N725" s="182" t="s">
        <v>1437</v>
      </c>
      <c r="O725" s="182" t="s">
        <v>1438</v>
      </c>
      <c r="P725" s="284">
        <v>1</v>
      </c>
      <c r="Q725" s="454">
        <v>1</v>
      </c>
      <c r="R725" s="284"/>
      <c r="S725" s="134">
        <f t="shared" si="22"/>
        <v>0</v>
      </c>
      <c r="T725" s="133">
        <f t="shared" si="23"/>
        <v>0</v>
      </c>
      <c r="U725" s="134" t="s">
        <v>34</v>
      </c>
      <c r="V725" s="162"/>
      <c r="W725" s="182"/>
    </row>
    <row r="726" spans="1:23" ht="16.05" customHeight="1" x14ac:dyDescent="0.45">
      <c r="A726" s="1">
        <v>725</v>
      </c>
      <c r="B726" s="3" t="s">
        <v>924</v>
      </c>
      <c r="C726" s="2" t="s">
        <v>24</v>
      </c>
      <c r="D726" s="275">
        <v>3598</v>
      </c>
      <c r="E726" s="3" t="s">
        <v>1439</v>
      </c>
      <c r="F726" s="3" t="s">
        <v>1422</v>
      </c>
      <c r="G726" s="3">
        <v>5812</v>
      </c>
      <c r="H726" s="3" t="s">
        <v>1423</v>
      </c>
      <c r="I726" s="3" t="s">
        <v>1403</v>
      </c>
      <c r="J726" s="3" t="s">
        <v>58</v>
      </c>
      <c r="K726" s="3" t="s">
        <v>57</v>
      </c>
      <c r="L726" s="453">
        <v>1</v>
      </c>
      <c r="M726" s="3"/>
      <c r="N726" s="3" t="s">
        <v>1440</v>
      </c>
      <c r="O726" s="455"/>
      <c r="P726" s="456">
        <v>1</v>
      </c>
      <c r="Q726" s="453">
        <v>0.2</v>
      </c>
      <c r="R726" s="456"/>
      <c r="S726" s="120">
        <f t="shared" si="22"/>
        <v>0</v>
      </c>
      <c r="T726" s="119">
        <f t="shared" si="23"/>
        <v>0</v>
      </c>
      <c r="U726" s="120" t="s">
        <v>34</v>
      </c>
      <c r="V726" s="301">
        <f>SUM(T726:T730)%</f>
        <v>0</v>
      </c>
      <c r="W726" s="3"/>
    </row>
    <row r="727" spans="1:23" ht="16.05" customHeight="1" x14ac:dyDescent="0.45">
      <c r="A727" s="1">
        <v>726</v>
      </c>
      <c r="B727" s="16" t="s">
        <v>924</v>
      </c>
      <c r="C727" s="15" t="s">
        <v>24</v>
      </c>
      <c r="D727" s="281">
        <v>3598</v>
      </c>
      <c r="E727" s="16" t="s">
        <v>1439</v>
      </c>
      <c r="F727" s="16" t="s">
        <v>1422</v>
      </c>
      <c r="G727" s="16">
        <v>5812</v>
      </c>
      <c r="H727" s="16" t="s">
        <v>1423</v>
      </c>
      <c r="I727" s="16" t="s">
        <v>1403</v>
      </c>
      <c r="J727" s="184" t="s">
        <v>58</v>
      </c>
      <c r="K727" s="184" t="s">
        <v>57</v>
      </c>
      <c r="L727" s="286">
        <v>1</v>
      </c>
      <c r="M727" s="184"/>
      <c r="N727" s="184" t="s">
        <v>1441</v>
      </c>
      <c r="O727" s="451" t="s">
        <v>1442</v>
      </c>
      <c r="P727" s="457">
        <v>1</v>
      </c>
      <c r="Q727" s="286">
        <v>0.3</v>
      </c>
      <c r="R727" s="457"/>
      <c r="S727" s="35">
        <f t="shared" si="22"/>
        <v>0</v>
      </c>
      <c r="T727" s="42">
        <f t="shared" si="23"/>
        <v>0</v>
      </c>
      <c r="U727" s="35" t="s">
        <v>34</v>
      </c>
      <c r="V727" s="44"/>
      <c r="W727" s="16"/>
    </row>
    <row r="728" spans="1:23" ht="16.05" customHeight="1" x14ac:dyDescent="0.45">
      <c r="A728" s="1">
        <v>727</v>
      </c>
      <c r="B728" s="16" t="s">
        <v>924</v>
      </c>
      <c r="C728" s="15" t="s">
        <v>24</v>
      </c>
      <c r="D728" s="427">
        <v>3598</v>
      </c>
      <c r="E728" s="16" t="s">
        <v>1439</v>
      </c>
      <c r="F728" s="16" t="s">
        <v>1422</v>
      </c>
      <c r="G728" s="16">
        <v>5812</v>
      </c>
      <c r="H728" s="16" t="s">
        <v>1423</v>
      </c>
      <c r="I728" s="16" t="s">
        <v>1403</v>
      </c>
      <c r="J728" s="184" t="s">
        <v>58</v>
      </c>
      <c r="K728" s="184" t="s">
        <v>57</v>
      </c>
      <c r="L728" s="286">
        <v>1</v>
      </c>
      <c r="M728" s="184"/>
      <c r="N728" s="184" t="s">
        <v>1443</v>
      </c>
      <c r="O728" s="452"/>
      <c r="P728" s="457">
        <v>1</v>
      </c>
      <c r="Q728" s="286">
        <v>0.2</v>
      </c>
      <c r="R728" s="457"/>
      <c r="S728" s="35">
        <f t="shared" si="22"/>
        <v>0</v>
      </c>
      <c r="T728" s="42">
        <f t="shared" si="23"/>
        <v>0</v>
      </c>
      <c r="U728" s="35" t="s">
        <v>34</v>
      </c>
      <c r="V728" s="44"/>
      <c r="W728" s="16"/>
    </row>
    <row r="729" spans="1:23" ht="16.05" customHeight="1" x14ac:dyDescent="0.45">
      <c r="A729" s="1">
        <v>728</v>
      </c>
      <c r="B729" s="16" t="s">
        <v>924</v>
      </c>
      <c r="C729" s="15" t="s">
        <v>24</v>
      </c>
      <c r="D729" s="281">
        <v>3598</v>
      </c>
      <c r="E729" s="16" t="s">
        <v>1439</v>
      </c>
      <c r="F729" s="16" t="s">
        <v>1422</v>
      </c>
      <c r="G729" s="16">
        <v>5812</v>
      </c>
      <c r="H729" s="16" t="s">
        <v>1423</v>
      </c>
      <c r="I729" s="16" t="s">
        <v>1403</v>
      </c>
      <c r="J729" s="184" t="s">
        <v>58</v>
      </c>
      <c r="K729" s="184" t="s">
        <v>57</v>
      </c>
      <c r="L729" s="286">
        <v>1</v>
      </c>
      <c r="M729" s="184"/>
      <c r="N729" s="184" t="s">
        <v>212</v>
      </c>
      <c r="O729" s="451" t="s">
        <v>1444</v>
      </c>
      <c r="P729" s="457">
        <v>1</v>
      </c>
      <c r="Q729" s="286">
        <v>0.1</v>
      </c>
      <c r="R729" s="457"/>
      <c r="S729" s="35">
        <f t="shared" si="22"/>
        <v>0</v>
      </c>
      <c r="T729" s="42">
        <f t="shared" si="23"/>
        <v>0</v>
      </c>
      <c r="U729" s="35" t="s">
        <v>34</v>
      </c>
      <c r="V729" s="44"/>
      <c r="W729" s="16"/>
    </row>
    <row r="730" spans="1:23" ht="16.05" customHeight="1" x14ac:dyDescent="0.45">
      <c r="A730" s="1">
        <v>729</v>
      </c>
      <c r="B730" s="16" t="s">
        <v>924</v>
      </c>
      <c r="C730" s="15" t="s">
        <v>24</v>
      </c>
      <c r="D730" s="427">
        <v>3598</v>
      </c>
      <c r="E730" s="16" t="s">
        <v>1439</v>
      </c>
      <c r="F730" s="16" t="s">
        <v>1422</v>
      </c>
      <c r="G730" s="16">
        <v>5812</v>
      </c>
      <c r="H730" s="16" t="s">
        <v>1423</v>
      </c>
      <c r="I730" s="16" t="s">
        <v>1403</v>
      </c>
      <c r="J730" s="184" t="s">
        <v>58</v>
      </c>
      <c r="K730" s="184" t="s">
        <v>57</v>
      </c>
      <c r="L730" s="286">
        <v>1</v>
      </c>
      <c r="M730" s="184"/>
      <c r="N730" s="184" t="s">
        <v>1445</v>
      </c>
      <c r="O730" s="451"/>
      <c r="P730" s="457">
        <v>1</v>
      </c>
      <c r="Q730" s="286">
        <v>0.2</v>
      </c>
      <c r="R730" s="457"/>
      <c r="S730" s="35">
        <f t="shared" si="22"/>
        <v>0</v>
      </c>
      <c r="T730" s="42">
        <f t="shared" si="23"/>
        <v>0</v>
      </c>
      <c r="U730" s="35" t="s">
        <v>34</v>
      </c>
      <c r="V730" s="44"/>
      <c r="W730" s="16"/>
    </row>
    <row r="731" spans="1:23" ht="16.05" customHeight="1" x14ac:dyDescent="0.45">
      <c r="A731" s="1">
        <v>730</v>
      </c>
      <c r="B731" s="3" t="s">
        <v>924</v>
      </c>
      <c r="C731" s="3" t="s">
        <v>24</v>
      </c>
      <c r="D731" s="349">
        <v>3717</v>
      </c>
      <c r="E731" s="99" t="s">
        <v>1446</v>
      </c>
      <c r="F731" s="99" t="s">
        <v>1447</v>
      </c>
      <c r="G731" s="91">
        <v>6592</v>
      </c>
      <c r="H731" s="91" t="s">
        <v>925</v>
      </c>
      <c r="I731" s="99" t="s">
        <v>175</v>
      </c>
      <c r="J731" s="2" t="s">
        <v>58</v>
      </c>
      <c r="K731" s="99" t="s">
        <v>57</v>
      </c>
      <c r="L731" s="350">
        <v>0.8</v>
      </c>
      <c r="M731" s="458" t="s">
        <v>176</v>
      </c>
      <c r="N731" s="459" t="s">
        <v>177</v>
      </c>
      <c r="O731" s="460"/>
      <c r="P731" s="95">
        <v>0.12</v>
      </c>
      <c r="Q731" s="350">
        <v>0.15</v>
      </c>
      <c r="R731" s="95"/>
      <c r="S731" s="148">
        <f t="shared" si="22"/>
        <v>0</v>
      </c>
      <c r="T731" s="168">
        <f t="shared" si="23"/>
        <v>0</v>
      </c>
      <c r="U731" s="148" t="s">
        <v>83</v>
      </c>
      <c r="V731" s="461">
        <f>SUM(T731:T749)%</f>
        <v>0</v>
      </c>
      <c r="W731" s="462"/>
    </row>
    <row r="732" spans="1:23" ht="16.05" customHeight="1" x14ac:dyDescent="0.45">
      <c r="A732" s="1">
        <v>731</v>
      </c>
      <c r="B732" s="16" t="s">
        <v>924</v>
      </c>
      <c r="C732" s="16" t="s">
        <v>24</v>
      </c>
      <c r="D732" s="358">
        <v>3717</v>
      </c>
      <c r="E732" s="113" t="s">
        <v>1446</v>
      </c>
      <c r="F732" s="113" t="s">
        <v>1447</v>
      </c>
      <c r="G732" s="357">
        <v>6592</v>
      </c>
      <c r="H732" s="113" t="s">
        <v>925</v>
      </c>
      <c r="I732" s="113" t="s">
        <v>175</v>
      </c>
      <c r="J732" s="184" t="s">
        <v>58</v>
      </c>
      <c r="K732" s="290" t="s">
        <v>57</v>
      </c>
      <c r="L732" s="360">
        <v>0.8</v>
      </c>
      <c r="M732" s="458" t="s">
        <v>1448</v>
      </c>
      <c r="N732" s="459" t="s">
        <v>178</v>
      </c>
      <c r="O732" s="39"/>
      <c r="P732" s="391">
        <v>0.03</v>
      </c>
      <c r="Q732" s="360">
        <v>0.15</v>
      </c>
      <c r="R732" s="391"/>
      <c r="S732" s="35">
        <f t="shared" si="22"/>
        <v>0</v>
      </c>
      <c r="T732" s="463">
        <f t="shared" si="23"/>
        <v>0</v>
      </c>
      <c r="U732" s="464" t="s">
        <v>83</v>
      </c>
      <c r="V732" s="464"/>
      <c r="W732" s="439"/>
    </row>
    <row r="733" spans="1:23" ht="16.05" customHeight="1" x14ac:dyDescent="0.45">
      <c r="A733" s="1">
        <v>732</v>
      </c>
      <c r="B733" s="16" t="s">
        <v>924</v>
      </c>
      <c r="C733" s="16" t="s">
        <v>24</v>
      </c>
      <c r="D733" s="358">
        <v>3717</v>
      </c>
      <c r="E733" s="113" t="s">
        <v>1446</v>
      </c>
      <c r="F733" s="113" t="s">
        <v>1447</v>
      </c>
      <c r="G733" s="357">
        <v>6592</v>
      </c>
      <c r="H733" s="113" t="s">
        <v>925</v>
      </c>
      <c r="I733" s="113" t="s">
        <v>175</v>
      </c>
      <c r="J733" s="184" t="s">
        <v>58</v>
      </c>
      <c r="K733" s="184" t="s">
        <v>57</v>
      </c>
      <c r="L733" s="360">
        <v>0.8</v>
      </c>
      <c r="M733" s="184" t="s">
        <v>180</v>
      </c>
      <c r="N733" s="184" t="s">
        <v>181</v>
      </c>
      <c r="O733" s="184"/>
      <c r="P733" s="393">
        <v>50</v>
      </c>
      <c r="Q733" s="360">
        <v>0.25</v>
      </c>
      <c r="R733" s="393"/>
      <c r="S733" s="35">
        <f t="shared" si="22"/>
        <v>0</v>
      </c>
      <c r="T733" s="463">
        <f t="shared" si="23"/>
        <v>0</v>
      </c>
      <c r="U733" s="464" t="s">
        <v>34</v>
      </c>
      <c r="V733" s="464"/>
      <c r="W733" s="439"/>
    </row>
    <row r="734" spans="1:23" ht="16.05" customHeight="1" x14ac:dyDescent="0.45">
      <c r="A734" s="1">
        <v>733</v>
      </c>
      <c r="B734" s="16" t="s">
        <v>924</v>
      </c>
      <c r="C734" s="16" t="s">
        <v>24</v>
      </c>
      <c r="D734" s="358">
        <v>3717</v>
      </c>
      <c r="E734" s="113" t="s">
        <v>1446</v>
      </c>
      <c r="F734" s="113" t="s">
        <v>1447</v>
      </c>
      <c r="G734" s="357">
        <v>6592</v>
      </c>
      <c r="H734" s="113" t="s">
        <v>925</v>
      </c>
      <c r="I734" s="113" t="s">
        <v>175</v>
      </c>
      <c r="J734" s="184" t="s">
        <v>58</v>
      </c>
      <c r="K734" s="290" t="s">
        <v>57</v>
      </c>
      <c r="L734" s="360">
        <v>0.8</v>
      </c>
      <c r="M734" s="465" t="s">
        <v>182</v>
      </c>
      <c r="N734" s="466" t="s">
        <v>183</v>
      </c>
      <c r="O734" s="184"/>
      <c r="P734" s="393">
        <v>0</v>
      </c>
      <c r="Q734" s="360">
        <v>0</v>
      </c>
      <c r="R734" s="393"/>
      <c r="S734" s="35">
        <f t="shared" si="22"/>
        <v>0</v>
      </c>
      <c r="T734" s="463">
        <f t="shared" si="23"/>
        <v>0</v>
      </c>
      <c r="U734" s="464" t="s">
        <v>34</v>
      </c>
      <c r="V734" s="464"/>
      <c r="W734" s="467"/>
    </row>
    <row r="735" spans="1:23" ht="16.05" customHeight="1" x14ac:dyDescent="0.45">
      <c r="A735" s="1">
        <v>734</v>
      </c>
      <c r="B735" s="16" t="s">
        <v>924</v>
      </c>
      <c r="C735" s="16" t="s">
        <v>24</v>
      </c>
      <c r="D735" s="358">
        <v>3717</v>
      </c>
      <c r="E735" s="113" t="s">
        <v>1446</v>
      </c>
      <c r="F735" s="113" t="s">
        <v>1447</v>
      </c>
      <c r="G735" s="357">
        <v>6592</v>
      </c>
      <c r="H735" s="113" t="s">
        <v>925</v>
      </c>
      <c r="I735" s="113" t="s">
        <v>175</v>
      </c>
      <c r="J735" s="184" t="s">
        <v>58</v>
      </c>
      <c r="K735" s="290" t="s">
        <v>57</v>
      </c>
      <c r="L735" s="360">
        <v>0.8</v>
      </c>
      <c r="M735" s="184" t="s">
        <v>185</v>
      </c>
      <c r="N735" s="184" t="s">
        <v>1449</v>
      </c>
      <c r="O735" s="184" t="s">
        <v>1450</v>
      </c>
      <c r="P735" s="391">
        <v>0.01</v>
      </c>
      <c r="Q735" s="360">
        <v>0.1</v>
      </c>
      <c r="R735" s="391"/>
      <c r="S735" s="35">
        <f t="shared" si="22"/>
        <v>0</v>
      </c>
      <c r="T735" s="463">
        <f t="shared" si="23"/>
        <v>0</v>
      </c>
      <c r="U735" s="464" t="s">
        <v>83</v>
      </c>
      <c r="V735" s="464"/>
      <c r="W735" s="467"/>
    </row>
    <row r="736" spans="1:23" ht="16.05" customHeight="1" x14ac:dyDescent="0.45">
      <c r="A736" s="1">
        <v>735</v>
      </c>
      <c r="B736" s="16" t="s">
        <v>924</v>
      </c>
      <c r="C736" s="16" t="s">
        <v>24</v>
      </c>
      <c r="D736" s="358">
        <v>3717</v>
      </c>
      <c r="E736" s="113" t="s">
        <v>1446</v>
      </c>
      <c r="F736" s="113" t="s">
        <v>1447</v>
      </c>
      <c r="G736" s="357">
        <v>6592</v>
      </c>
      <c r="H736" s="113" t="s">
        <v>925</v>
      </c>
      <c r="I736" s="113" t="s">
        <v>175</v>
      </c>
      <c r="J736" s="184" t="s">
        <v>58</v>
      </c>
      <c r="K736" s="290" t="s">
        <v>57</v>
      </c>
      <c r="L736" s="360">
        <v>0.8</v>
      </c>
      <c r="M736" s="184" t="s">
        <v>188</v>
      </c>
      <c r="N736" s="184" t="s">
        <v>189</v>
      </c>
      <c r="O736" s="184" t="s">
        <v>1451</v>
      </c>
      <c r="P736" s="62">
        <v>0.01</v>
      </c>
      <c r="Q736" s="360">
        <v>0.15</v>
      </c>
      <c r="R736" s="62"/>
      <c r="S736" s="35">
        <f t="shared" si="22"/>
        <v>0</v>
      </c>
      <c r="T736" s="463">
        <f t="shared" si="23"/>
        <v>0</v>
      </c>
      <c r="U736" s="464" t="s">
        <v>83</v>
      </c>
      <c r="V736" s="464"/>
      <c r="W736" s="162"/>
    </row>
    <row r="737" spans="1:23" ht="16.05" customHeight="1" x14ac:dyDescent="0.45">
      <c r="A737" s="1">
        <v>736</v>
      </c>
      <c r="B737" s="16" t="s">
        <v>924</v>
      </c>
      <c r="C737" s="16" t="s">
        <v>24</v>
      </c>
      <c r="D737" s="358">
        <v>3717</v>
      </c>
      <c r="E737" s="113" t="s">
        <v>1446</v>
      </c>
      <c r="F737" s="113" t="s">
        <v>1447</v>
      </c>
      <c r="G737" s="357">
        <v>6592</v>
      </c>
      <c r="H737" s="113" t="s">
        <v>925</v>
      </c>
      <c r="I737" s="113" t="s">
        <v>175</v>
      </c>
      <c r="J737" s="184" t="s">
        <v>58</v>
      </c>
      <c r="K737" s="290" t="s">
        <v>57</v>
      </c>
      <c r="L737" s="360">
        <v>0.8</v>
      </c>
      <c r="M737" s="184" t="s">
        <v>191</v>
      </c>
      <c r="N737" s="184" t="s">
        <v>1452</v>
      </c>
      <c r="O737" s="184"/>
      <c r="P737" s="184">
        <v>1800</v>
      </c>
      <c r="Q737" s="360">
        <v>0.1</v>
      </c>
      <c r="R737" s="184"/>
      <c r="S737" s="35">
        <f t="shared" si="22"/>
        <v>0</v>
      </c>
      <c r="T737" s="463">
        <f t="shared" si="23"/>
        <v>0</v>
      </c>
      <c r="U737" s="464" t="s">
        <v>34</v>
      </c>
      <c r="V737" s="464"/>
      <c r="W737" s="162"/>
    </row>
    <row r="738" spans="1:23" ht="16.05" customHeight="1" x14ac:dyDescent="0.45">
      <c r="A738" s="1">
        <v>737</v>
      </c>
      <c r="B738" s="16" t="s">
        <v>924</v>
      </c>
      <c r="C738" s="16" t="s">
        <v>24</v>
      </c>
      <c r="D738" s="358">
        <v>3717</v>
      </c>
      <c r="E738" s="113" t="s">
        <v>1446</v>
      </c>
      <c r="F738" s="113" t="s">
        <v>1447</v>
      </c>
      <c r="G738" s="357">
        <v>6592</v>
      </c>
      <c r="H738" s="113" t="s">
        <v>925</v>
      </c>
      <c r="I738" s="113" t="s">
        <v>175</v>
      </c>
      <c r="J738" s="184" t="s">
        <v>58</v>
      </c>
      <c r="K738" s="290" t="s">
        <v>57</v>
      </c>
      <c r="L738" s="360">
        <v>0.8</v>
      </c>
      <c r="M738" s="184" t="s">
        <v>1453</v>
      </c>
      <c r="N738" s="396" t="s">
        <v>193</v>
      </c>
      <c r="O738" s="184"/>
      <c r="P738" s="184">
        <v>50</v>
      </c>
      <c r="Q738" s="360">
        <v>0.1</v>
      </c>
      <c r="R738" s="30"/>
      <c r="S738" s="35">
        <f t="shared" si="22"/>
        <v>0</v>
      </c>
      <c r="T738" s="463">
        <f t="shared" si="23"/>
        <v>0</v>
      </c>
      <c r="U738" s="464" t="s">
        <v>83</v>
      </c>
      <c r="V738" s="464"/>
      <c r="W738" s="162"/>
    </row>
    <row r="739" spans="1:23" ht="16.05" customHeight="1" x14ac:dyDescent="0.45">
      <c r="A739" s="1">
        <v>738</v>
      </c>
      <c r="B739" s="16" t="s">
        <v>924</v>
      </c>
      <c r="C739" s="16" t="s">
        <v>24</v>
      </c>
      <c r="D739" s="358">
        <v>3717</v>
      </c>
      <c r="E739" s="113" t="s">
        <v>1446</v>
      </c>
      <c r="F739" s="113" t="s">
        <v>1447</v>
      </c>
      <c r="G739" s="357">
        <v>6592</v>
      </c>
      <c r="H739" s="113" t="s">
        <v>925</v>
      </c>
      <c r="I739" s="113" t="s">
        <v>175</v>
      </c>
      <c r="J739" s="334" t="s">
        <v>111</v>
      </c>
      <c r="K739" s="334" t="s">
        <v>110</v>
      </c>
      <c r="L739" s="418">
        <v>0.2</v>
      </c>
      <c r="M739" s="334" t="s">
        <v>200</v>
      </c>
      <c r="N739" s="334" t="s">
        <v>1454</v>
      </c>
      <c r="O739" s="334"/>
      <c r="P739" s="414">
        <v>100</v>
      </c>
      <c r="Q739" s="418">
        <v>0.1</v>
      </c>
      <c r="R739" s="414"/>
      <c r="S739" s="134">
        <f t="shared" si="22"/>
        <v>0</v>
      </c>
      <c r="T739" s="468">
        <f t="shared" si="23"/>
        <v>0</v>
      </c>
      <c r="U739" s="469" t="s">
        <v>34</v>
      </c>
      <c r="V739" s="469"/>
      <c r="W739" s="162"/>
    </row>
    <row r="740" spans="1:23" ht="16.05" customHeight="1" x14ac:dyDescent="0.45">
      <c r="A740" s="1">
        <v>739</v>
      </c>
      <c r="B740" s="182" t="s">
        <v>924</v>
      </c>
      <c r="C740" s="182" t="s">
        <v>24</v>
      </c>
      <c r="D740" s="413">
        <v>3717</v>
      </c>
      <c r="E740" s="59" t="s">
        <v>1446</v>
      </c>
      <c r="F740" s="59" t="s">
        <v>1447</v>
      </c>
      <c r="G740" s="334">
        <v>6592</v>
      </c>
      <c r="H740" s="59" t="s">
        <v>925</v>
      </c>
      <c r="I740" s="59" t="s">
        <v>175</v>
      </c>
      <c r="J740" s="334" t="s">
        <v>111</v>
      </c>
      <c r="K740" s="334" t="s">
        <v>110</v>
      </c>
      <c r="L740" s="418">
        <v>0.2</v>
      </c>
      <c r="M740" s="334" t="s">
        <v>1455</v>
      </c>
      <c r="N740" s="334" t="s">
        <v>1456</v>
      </c>
      <c r="O740" s="334"/>
      <c r="P740" s="414">
        <v>100</v>
      </c>
      <c r="Q740" s="418">
        <v>0.1</v>
      </c>
      <c r="R740" s="414"/>
      <c r="S740" s="134">
        <f t="shared" si="22"/>
        <v>0</v>
      </c>
      <c r="T740" s="468">
        <f t="shared" si="23"/>
        <v>0</v>
      </c>
      <c r="U740" s="469" t="s">
        <v>34</v>
      </c>
      <c r="V740" s="469"/>
      <c r="W740" s="162"/>
    </row>
    <row r="741" spans="1:23" ht="16.05" customHeight="1" x14ac:dyDescent="0.45">
      <c r="A741" s="1">
        <v>740</v>
      </c>
      <c r="B741" s="182" t="s">
        <v>924</v>
      </c>
      <c r="C741" s="182" t="s">
        <v>24</v>
      </c>
      <c r="D741" s="413">
        <v>3717</v>
      </c>
      <c r="E741" s="59" t="s">
        <v>1446</v>
      </c>
      <c r="F741" s="59" t="s">
        <v>1447</v>
      </c>
      <c r="G741" s="334">
        <v>6592</v>
      </c>
      <c r="H741" s="59" t="s">
        <v>925</v>
      </c>
      <c r="I741" s="59" t="s">
        <v>175</v>
      </c>
      <c r="J741" s="334" t="s">
        <v>111</v>
      </c>
      <c r="K741" s="334" t="s">
        <v>110</v>
      </c>
      <c r="L741" s="418">
        <v>0.2</v>
      </c>
      <c r="M741" s="334" t="s">
        <v>1457</v>
      </c>
      <c r="N741" s="334" t="s">
        <v>203</v>
      </c>
      <c r="O741" s="334"/>
      <c r="P741" s="156">
        <v>0.8</v>
      </c>
      <c r="Q741" s="418">
        <v>0.1</v>
      </c>
      <c r="R741" s="156"/>
      <c r="S741" s="134">
        <f t="shared" si="22"/>
        <v>0</v>
      </c>
      <c r="T741" s="468">
        <f t="shared" si="23"/>
        <v>0</v>
      </c>
      <c r="U741" s="469" t="s">
        <v>34</v>
      </c>
      <c r="V741" s="469"/>
      <c r="W741" s="162"/>
    </row>
    <row r="742" spans="1:23" ht="16.05" customHeight="1" x14ac:dyDescent="0.45">
      <c r="A742" s="1">
        <v>741</v>
      </c>
      <c r="B742" s="182" t="s">
        <v>924</v>
      </c>
      <c r="C742" s="182" t="s">
        <v>24</v>
      </c>
      <c r="D742" s="413">
        <v>3717</v>
      </c>
      <c r="E742" s="59" t="s">
        <v>1446</v>
      </c>
      <c r="F742" s="59" t="s">
        <v>1447</v>
      </c>
      <c r="G742" s="334">
        <v>6592</v>
      </c>
      <c r="H742" s="59" t="s">
        <v>925</v>
      </c>
      <c r="I742" s="59" t="s">
        <v>175</v>
      </c>
      <c r="J742" s="334" t="s">
        <v>111</v>
      </c>
      <c r="K742" s="334" t="s">
        <v>110</v>
      </c>
      <c r="L742" s="418">
        <v>0.2</v>
      </c>
      <c r="M742" s="334" t="s">
        <v>1458</v>
      </c>
      <c r="N742" s="334" t="s">
        <v>1459</v>
      </c>
      <c r="O742" s="334"/>
      <c r="P742" s="414">
        <v>100</v>
      </c>
      <c r="Q742" s="418">
        <v>0.05</v>
      </c>
      <c r="R742" s="414"/>
      <c r="S742" s="134">
        <f t="shared" si="22"/>
        <v>0</v>
      </c>
      <c r="T742" s="468">
        <f t="shared" si="23"/>
        <v>0</v>
      </c>
      <c r="U742" s="469" t="s">
        <v>34</v>
      </c>
      <c r="V742" s="469"/>
      <c r="W742" s="162"/>
    </row>
    <row r="743" spans="1:23" ht="16.05" customHeight="1" x14ac:dyDescent="0.45">
      <c r="A743" s="1">
        <v>742</v>
      </c>
      <c r="B743" s="182" t="s">
        <v>924</v>
      </c>
      <c r="C743" s="182" t="s">
        <v>24</v>
      </c>
      <c r="D743" s="413">
        <v>3717</v>
      </c>
      <c r="E743" s="59" t="s">
        <v>1446</v>
      </c>
      <c r="F743" s="59" t="s">
        <v>1447</v>
      </c>
      <c r="G743" s="334">
        <v>6592</v>
      </c>
      <c r="H743" s="59" t="s">
        <v>925</v>
      </c>
      <c r="I743" s="59" t="s">
        <v>175</v>
      </c>
      <c r="J743" s="334" t="s">
        <v>111</v>
      </c>
      <c r="K743" s="334" t="s">
        <v>110</v>
      </c>
      <c r="L743" s="418">
        <v>0.2</v>
      </c>
      <c r="M743" s="334" t="s">
        <v>1460</v>
      </c>
      <c r="N743" s="334" t="s">
        <v>1461</v>
      </c>
      <c r="O743" s="334"/>
      <c r="P743" s="414">
        <v>100</v>
      </c>
      <c r="Q743" s="418">
        <v>0.1</v>
      </c>
      <c r="R743" s="414"/>
      <c r="S743" s="134">
        <f t="shared" si="22"/>
        <v>0</v>
      </c>
      <c r="T743" s="468">
        <f t="shared" si="23"/>
        <v>0</v>
      </c>
      <c r="U743" s="469" t="s">
        <v>34</v>
      </c>
      <c r="V743" s="469"/>
      <c r="W743" s="162"/>
    </row>
    <row r="744" spans="1:23" ht="16.05" customHeight="1" x14ac:dyDescent="0.45">
      <c r="A744" s="1">
        <v>743</v>
      </c>
      <c r="B744" s="182" t="s">
        <v>924</v>
      </c>
      <c r="C744" s="182" t="s">
        <v>24</v>
      </c>
      <c r="D744" s="413">
        <v>3717</v>
      </c>
      <c r="E744" s="59" t="s">
        <v>1446</v>
      </c>
      <c r="F744" s="59" t="s">
        <v>1447</v>
      </c>
      <c r="G744" s="334">
        <v>6592</v>
      </c>
      <c r="H744" s="59" t="s">
        <v>925</v>
      </c>
      <c r="I744" s="59" t="s">
        <v>175</v>
      </c>
      <c r="J744" s="334" t="s">
        <v>111</v>
      </c>
      <c r="K744" s="334" t="s">
        <v>110</v>
      </c>
      <c r="L744" s="418">
        <v>0.2</v>
      </c>
      <c r="M744" s="334" t="s">
        <v>1462</v>
      </c>
      <c r="N744" s="334" t="s">
        <v>1463</v>
      </c>
      <c r="O744" s="334"/>
      <c r="P744" s="334">
        <v>100</v>
      </c>
      <c r="Q744" s="418">
        <v>0.1</v>
      </c>
      <c r="R744" s="334"/>
      <c r="S744" s="134">
        <f t="shared" si="22"/>
        <v>0</v>
      </c>
      <c r="T744" s="468">
        <f t="shared" si="23"/>
        <v>0</v>
      </c>
      <c r="U744" s="469" t="s">
        <v>34</v>
      </c>
      <c r="V744" s="74"/>
      <c r="W744" s="74"/>
    </row>
    <row r="745" spans="1:23" ht="16.05" customHeight="1" x14ac:dyDescent="0.45">
      <c r="A745" s="1">
        <v>744</v>
      </c>
      <c r="B745" s="182" t="s">
        <v>924</v>
      </c>
      <c r="C745" s="182" t="s">
        <v>24</v>
      </c>
      <c r="D745" s="413">
        <v>3717</v>
      </c>
      <c r="E745" s="59" t="s">
        <v>1446</v>
      </c>
      <c r="F745" s="59" t="s">
        <v>1447</v>
      </c>
      <c r="G745" s="334">
        <v>6592</v>
      </c>
      <c r="H745" s="59" t="s">
        <v>925</v>
      </c>
      <c r="I745" s="59" t="s">
        <v>175</v>
      </c>
      <c r="J745" s="334" t="s">
        <v>111</v>
      </c>
      <c r="K745" s="334" t="s">
        <v>110</v>
      </c>
      <c r="L745" s="418">
        <v>0.2</v>
      </c>
      <c r="M745" s="334" t="s">
        <v>1464</v>
      </c>
      <c r="N745" s="73" t="s">
        <v>1465</v>
      </c>
      <c r="O745" s="334"/>
      <c r="P745" s="334">
        <v>1</v>
      </c>
      <c r="Q745" s="418">
        <v>0.1</v>
      </c>
      <c r="R745" s="334"/>
      <c r="S745" s="134">
        <f t="shared" si="22"/>
        <v>0</v>
      </c>
      <c r="T745" s="468">
        <f t="shared" si="23"/>
        <v>0</v>
      </c>
      <c r="U745" s="469" t="s">
        <v>34</v>
      </c>
      <c r="V745" s="74"/>
      <c r="W745" s="74"/>
    </row>
    <row r="746" spans="1:23" ht="16.05" customHeight="1" x14ac:dyDescent="0.45">
      <c r="A746" s="1">
        <v>745</v>
      </c>
      <c r="B746" s="182" t="s">
        <v>924</v>
      </c>
      <c r="C746" s="182" t="s">
        <v>24</v>
      </c>
      <c r="D746" s="413">
        <v>3717</v>
      </c>
      <c r="E746" s="59" t="s">
        <v>1446</v>
      </c>
      <c r="F746" s="59" t="s">
        <v>1447</v>
      </c>
      <c r="G746" s="334">
        <v>6592</v>
      </c>
      <c r="H746" s="59" t="s">
        <v>925</v>
      </c>
      <c r="I746" s="59" t="s">
        <v>175</v>
      </c>
      <c r="J746" s="334" t="s">
        <v>111</v>
      </c>
      <c r="K746" s="334" t="s">
        <v>110</v>
      </c>
      <c r="L746" s="418">
        <v>0.2</v>
      </c>
      <c r="M746" s="333" t="s">
        <v>1466</v>
      </c>
      <c r="N746" s="333" t="s">
        <v>1467</v>
      </c>
      <c r="O746" s="334"/>
      <c r="P746" s="422">
        <v>1</v>
      </c>
      <c r="Q746" s="418">
        <v>0.1</v>
      </c>
      <c r="R746" s="422"/>
      <c r="S746" s="134">
        <f t="shared" si="22"/>
        <v>0</v>
      </c>
      <c r="T746" s="468">
        <f t="shared" si="23"/>
        <v>0</v>
      </c>
      <c r="U746" s="469" t="s">
        <v>34</v>
      </c>
      <c r="V746" s="74"/>
      <c r="W746" s="74"/>
    </row>
    <row r="747" spans="1:23" ht="16.05" customHeight="1" x14ac:dyDescent="0.45">
      <c r="A747" s="1">
        <v>746</v>
      </c>
      <c r="B747" s="182" t="s">
        <v>924</v>
      </c>
      <c r="C747" s="182" t="s">
        <v>24</v>
      </c>
      <c r="D747" s="413">
        <v>3717</v>
      </c>
      <c r="E747" s="59" t="s">
        <v>1446</v>
      </c>
      <c r="F747" s="59" t="s">
        <v>1447</v>
      </c>
      <c r="G747" s="334">
        <v>6592</v>
      </c>
      <c r="H747" s="59" t="s">
        <v>925</v>
      </c>
      <c r="I747" s="59" t="s">
        <v>175</v>
      </c>
      <c r="J747" s="334" t="s">
        <v>111</v>
      </c>
      <c r="K747" s="334" t="s">
        <v>110</v>
      </c>
      <c r="L747" s="418">
        <v>0.2</v>
      </c>
      <c r="M747" s="334" t="s">
        <v>1468</v>
      </c>
      <c r="N747" s="334" t="s">
        <v>1469</v>
      </c>
      <c r="O747" s="334"/>
      <c r="P747" s="470">
        <v>1</v>
      </c>
      <c r="Q747" s="418">
        <v>0.1</v>
      </c>
      <c r="R747" s="470"/>
      <c r="S747" s="134">
        <f t="shared" si="22"/>
        <v>0</v>
      </c>
      <c r="T747" s="468">
        <f t="shared" si="23"/>
        <v>0</v>
      </c>
      <c r="U747" s="469" t="s">
        <v>34</v>
      </c>
      <c r="V747" s="74"/>
      <c r="W747" s="74"/>
    </row>
    <row r="748" spans="1:23" ht="16.05" customHeight="1" x14ac:dyDescent="0.45">
      <c r="A748" s="1">
        <v>747</v>
      </c>
      <c r="B748" s="182" t="s">
        <v>924</v>
      </c>
      <c r="C748" s="182" t="s">
        <v>24</v>
      </c>
      <c r="D748" s="413">
        <v>3717</v>
      </c>
      <c r="E748" s="59" t="s">
        <v>1446</v>
      </c>
      <c r="F748" s="59" t="s">
        <v>1447</v>
      </c>
      <c r="G748" s="334">
        <v>6592</v>
      </c>
      <c r="H748" s="59" t="s">
        <v>925</v>
      </c>
      <c r="I748" s="59" t="s">
        <v>175</v>
      </c>
      <c r="J748" s="334" t="s">
        <v>111</v>
      </c>
      <c r="K748" s="334" t="s">
        <v>110</v>
      </c>
      <c r="L748" s="418">
        <v>0.2</v>
      </c>
      <c r="M748" s="471" t="s">
        <v>1470</v>
      </c>
      <c r="N748" s="472" t="s">
        <v>212</v>
      </c>
      <c r="O748" s="305" t="s">
        <v>1471</v>
      </c>
      <c r="P748" s="46">
        <v>3</v>
      </c>
      <c r="Q748" s="418">
        <v>0.1</v>
      </c>
      <c r="R748" s="46"/>
      <c r="S748" s="134">
        <f t="shared" si="22"/>
        <v>0</v>
      </c>
      <c r="T748" s="468">
        <f t="shared" si="23"/>
        <v>0</v>
      </c>
      <c r="U748" s="469" t="s">
        <v>34</v>
      </c>
      <c r="V748" s="74"/>
      <c r="W748" s="74"/>
    </row>
    <row r="749" spans="1:23" ht="16.05" customHeight="1" x14ac:dyDescent="0.45">
      <c r="A749" s="1">
        <v>748</v>
      </c>
      <c r="B749" s="334" t="s">
        <v>924</v>
      </c>
      <c r="C749" s="334" t="s">
        <v>24</v>
      </c>
      <c r="D749" s="413">
        <v>3717</v>
      </c>
      <c r="E749" s="59" t="s">
        <v>1446</v>
      </c>
      <c r="F749" s="59" t="s">
        <v>1447</v>
      </c>
      <c r="G749" s="334">
        <v>6592</v>
      </c>
      <c r="H749" s="59" t="s">
        <v>925</v>
      </c>
      <c r="I749" s="59" t="s">
        <v>175</v>
      </c>
      <c r="J749" s="334" t="s">
        <v>111</v>
      </c>
      <c r="K749" s="334" t="s">
        <v>110</v>
      </c>
      <c r="L749" s="418">
        <v>0.2</v>
      </c>
      <c r="M749" s="334" t="s">
        <v>1472</v>
      </c>
      <c r="N749" s="333" t="s">
        <v>1473</v>
      </c>
      <c r="O749" s="334"/>
      <c r="P749" s="470">
        <v>1</v>
      </c>
      <c r="Q749" s="418">
        <v>0.05</v>
      </c>
      <c r="R749" s="470"/>
      <c r="S749" s="74">
        <f t="shared" si="22"/>
        <v>0</v>
      </c>
      <c r="T749" s="16">
        <f t="shared" si="23"/>
        <v>0</v>
      </c>
      <c r="U749" s="469" t="s">
        <v>34</v>
      </c>
      <c r="V749" s="74"/>
      <c r="W749" s="74"/>
    </row>
    <row r="750" spans="1:23" ht="16.05" customHeight="1" x14ac:dyDescent="0.45">
      <c r="A750" s="1">
        <v>749</v>
      </c>
      <c r="B750" s="3" t="s">
        <v>924</v>
      </c>
      <c r="C750" s="3" t="s">
        <v>24</v>
      </c>
      <c r="D750" s="349">
        <v>3439</v>
      </c>
      <c r="E750" s="99" t="s">
        <v>1474</v>
      </c>
      <c r="F750" s="99" t="s">
        <v>1475</v>
      </c>
      <c r="G750" s="91">
        <v>3717</v>
      </c>
      <c r="H750" s="91" t="s">
        <v>1476</v>
      </c>
      <c r="I750" s="99" t="s">
        <v>175</v>
      </c>
      <c r="J750" s="2" t="s">
        <v>58</v>
      </c>
      <c r="K750" s="99" t="s">
        <v>57</v>
      </c>
      <c r="L750" s="350">
        <v>0.8</v>
      </c>
      <c r="M750" s="410" t="s">
        <v>176</v>
      </c>
      <c r="N750" s="473" t="s">
        <v>177</v>
      </c>
      <c r="O750" s="473"/>
      <c r="P750" s="97">
        <v>0.15</v>
      </c>
      <c r="Q750" s="350">
        <v>0.2</v>
      </c>
      <c r="R750" s="97"/>
      <c r="S750" s="120">
        <f t="shared" si="22"/>
        <v>0</v>
      </c>
      <c r="T750" s="168">
        <f t="shared" si="23"/>
        <v>0</v>
      </c>
      <c r="U750" s="148" t="s">
        <v>83</v>
      </c>
      <c r="V750" s="461">
        <f>SUM(T750:T762)%</f>
        <v>0</v>
      </c>
      <c r="W750" s="462"/>
    </row>
    <row r="751" spans="1:23" ht="16.05" customHeight="1" x14ac:dyDescent="0.45">
      <c r="A751" s="1">
        <v>750</v>
      </c>
      <c r="B751" s="59" t="s">
        <v>924</v>
      </c>
      <c r="C751" s="57" t="s">
        <v>24</v>
      </c>
      <c r="D751" s="358">
        <v>3439</v>
      </c>
      <c r="E751" s="59" t="s">
        <v>1474</v>
      </c>
      <c r="F751" s="59" t="s">
        <v>1475</v>
      </c>
      <c r="G751" s="357">
        <v>3717</v>
      </c>
      <c r="H751" s="59" t="s">
        <v>1476</v>
      </c>
      <c r="I751" s="113" t="s">
        <v>175</v>
      </c>
      <c r="J751" s="184" t="s">
        <v>58</v>
      </c>
      <c r="K751" s="184" t="s">
        <v>57</v>
      </c>
      <c r="L751" s="360">
        <v>0.8</v>
      </c>
      <c r="M751" s="184" t="s">
        <v>176</v>
      </c>
      <c r="N751" s="463" t="s">
        <v>178</v>
      </c>
      <c r="O751" s="463" t="s">
        <v>1477</v>
      </c>
      <c r="P751" s="127">
        <v>0.04</v>
      </c>
      <c r="Q751" s="360">
        <v>0.25</v>
      </c>
      <c r="R751" s="127"/>
      <c r="S751" s="35">
        <f t="shared" si="22"/>
        <v>0</v>
      </c>
      <c r="T751" s="463">
        <f t="shared" si="23"/>
        <v>0</v>
      </c>
      <c r="U751" s="463" t="s">
        <v>83</v>
      </c>
      <c r="V751" s="463"/>
      <c r="W751" s="439"/>
    </row>
    <row r="752" spans="1:23" ht="16.05" customHeight="1" x14ac:dyDescent="0.45">
      <c r="A752" s="1">
        <v>751</v>
      </c>
      <c r="B752" s="59" t="s">
        <v>924</v>
      </c>
      <c r="C752" s="57" t="s">
        <v>24</v>
      </c>
      <c r="D752" s="358">
        <v>3439</v>
      </c>
      <c r="E752" s="59" t="s">
        <v>1474</v>
      </c>
      <c r="F752" s="59" t="s">
        <v>1475</v>
      </c>
      <c r="G752" s="59">
        <v>3717</v>
      </c>
      <c r="H752" s="59" t="s">
        <v>1476</v>
      </c>
      <c r="I752" s="59" t="s">
        <v>175</v>
      </c>
      <c r="J752" s="184" t="s">
        <v>58</v>
      </c>
      <c r="K752" s="184" t="s">
        <v>57</v>
      </c>
      <c r="L752" s="360">
        <v>0.8</v>
      </c>
      <c r="M752" s="184" t="s">
        <v>1478</v>
      </c>
      <c r="N752" s="184" t="s">
        <v>1479</v>
      </c>
      <c r="O752" s="184"/>
      <c r="P752" s="185">
        <v>13000000000</v>
      </c>
      <c r="Q752" s="360">
        <v>0.1</v>
      </c>
      <c r="R752" s="185"/>
      <c r="S752" s="35">
        <f t="shared" si="22"/>
        <v>0</v>
      </c>
      <c r="T752" s="152">
        <f t="shared" si="23"/>
        <v>0</v>
      </c>
      <c r="U752" s="153" t="s">
        <v>34</v>
      </c>
      <c r="V752" s="153"/>
      <c r="W752" s="156"/>
    </row>
    <row r="753" spans="1:23" ht="16.05" customHeight="1" x14ac:dyDescent="0.45">
      <c r="A753" s="1">
        <v>752</v>
      </c>
      <c r="B753" s="59" t="s">
        <v>924</v>
      </c>
      <c r="C753" s="57" t="s">
        <v>24</v>
      </c>
      <c r="D753" s="358">
        <v>3439</v>
      </c>
      <c r="E753" s="59" t="s">
        <v>1474</v>
      </c>
      <c r="F753" s="59" t="s">
        <v>1475</v>
      </c>
      <c r="G753" s="59">
        <v>3717</v>
      </c>
      <c r="H753" s="59" t="s">
        <v>1476</v>
      </c>
      <c r="I753" s="59" t="s">
        <v>175</v>
      </c>
      <c r="J753" s="184" t="s">
        <v>58</v>
      </c>
      <c r="K753" s="184" t="s">
        <v>57</v>
      </c>
      <c r="L753" s="360">
        <v>0.8</v>
      </c>
      <c r="M753" s="184" t="s">
        <v>188</v>
      </c>
      <c r="N753" s="184" t="s">
        <v>189</v>
      </c>
      <c r="O753" s="184" t="s">
        <v>1480</v>
      </c>
      <c r="P753" s="391">
        <v>0.01</v>
      </c>
      <c r="Q753" s="360">
        <v>0.1</v>
      </c>
      <c r="R753" s="391"/>
      <c r="S753" s="35">
        <f t="shared" si="22"/>
        <v>0</v>
      </c>
      <c r="T753" s="152">
        <f t="shared" si="23"/>
        <v>0</v>
      </c>
      <c r="U753" s="153" t="s">
        <v>83</v>
      </c>
      <c r="V753" s="153"/>
      <c r="W753" s="156"/>
    </row>
    <row r="754" spans="1:23" ht="16.05" customHeight="1" x14ac:dyDescent="0.45">
      <c r="A754" s="1">
        <v>753</v>
      </c>
      <c r="B754" s="59" t="s">
        <v>924</v>
      </c>
      <c r="C754" s="57" t="s">
        <v>24</v>
      </c>
      <c r="D754" s="358">
        <v>3439</v>
      </c>
      <c r="E754" s="59" t="s">
        <v>1474</v>
      </c>
      <c r="F754" s="59" t="s">
        <v>1475</v>
      </c>
      <c r="G754" s="59">
        <v>3717</v>
      </c>
      <c r="H754" s="59" t="s">
        <v>1476</v>
      </c>
      <c r="I754" s="59" t="s">
        <v>175</v>
      </c>
      <c r="J754" s="184" t="s">
        <v>58</v>
      </c>
      <c r="K754" s="184" t="s">
        <v>57</v>
      </c>
      <c r="L754" s="360">
        <v>0.8</v>
      </c>
      <c r="M754" s="184" t="s">
        <v>1481</v>
      </c>
      <c r="N754" s="184" t="s">
        <v>1482</v>
      </c>
      <c r="O754" s="184" t="s">
        <v>1483</v>
      </c>
      <c r="P754" s="185">
        <v>2</v>
      </c>
      <c r="Q754" s="360">
        <v>0.05</v>
      </c>
      <c r="R754" s="185"/>
      <c r="S754" s="35">
        <f t="shared" si="22"/>
        <v>0</v>
      </c>
      <c r="T754" s="152">
        <f t="shared" si="23"/>
        <v>0</v>
      </c>
      <c r="U754" s="153" t="s">
        <v>34</v>
      </c>
      <c r="V754" s="153"/>
      <c r="W754" s="474"/>
    </row>
    <row r="755" spans="1:23" ht="16.05" customHeight="1" x14ac:dyDescent="0.45">
      <c r="A755" s="1">
        <v>754</v>
      </c>
      <c r="B755" s="59" t="s">
        <v>924</v>
      </c>
      <c r="C755" s="57" t="s">
        <v>24</v>
      </c>
      <c r="D755" s="358">
        <v>3439</v>
      </c>
      <c r="E755" s="59" t="s">
        <v>1474</v>
      </c>
      <c r="F755" s="59" t="s">
        <v>1475</v>
      </c>
      <c r="G755" s="59">
        <v>3717</v>
      </c>
      <c r="H755" s="59" t="s">
        <v>1476</v>
      </c>
      <c r="I755" s="59" t="s">
        <v>175</v>
      </c>
      <c r="J755" s="184" t="s">
        <v>58</v>
      </c>
      <c r="K755" s="184" t="s">
        <v>57</v>
      </c>
      <c r="L755" s="360">
        <v>0.8</v>
      </c>
      <c r="M755" s="64" t="s">
        <v>1484</v>
      </c>
      <c r="N755" s="64" t="s">
        <v>1485</v>
      </c>
      <c r="O755" s="64" t="s">
        <v>1486</v>
      </c>
      <c r="P755" s="391">
        <v>0.01</v>
      </c>
      <c r="Q755" s="360">
        <v>0.1</v>
      </c>
      <c r="R755" s="391"/>
      <c r="S755" s="35">
        <f t="shared" si="22"/>
        <v>0</v>
      </c>
      <c r="T755" s="152">
        <f t="shared" si="23"/>
        <v>0</v>
      </c>
      <c r="U755" s="153" t="s">
        <v>83</v>
      </c>
      <c r="V755" s="153"/>
      <c r="W755" s="156"/>
    </row>
    <row r="756" spans="1:23" ht="16.05" customHeight="1" x14ac:dyDescent="0.45">
      <c r="A756" s="1">
        <v>755</v>
      </c>
      <c r="B756" s="59" t="s">
        <v>924</v>
      </c>
      <c r="C756" s="57" t="s">
        <v>24</v>
      </c>
      <c r="D756" s="358">
        <v>3439</v>
      </c>
      <c r="E756" s="59" t="s">
        <v>1474</v>
      </c>
      <c r="F756" s="59" t="s">
        <v>1475</v>
      </c>
      <c r="G756" s="59">
        <v>3717</v>
      </c>
      <c r="H756" s="59" t="s">
        <v>1476</v>
      </c>
      <c r="I756" s="59" t="s">
        <v>175</v>
      </c>
      <c r="J756" s="184" t="s">
        <v>58</v>
      </c>
      <c r="K756" s="184" t="s">
        <v>57</v>
      </c>
      <c r="L756" s="360">
        <v>0.8</v>
      </c>
      <c r="M756" s="64" t="s">
        <v>1487</v>
      </c>
      <c r="N756" s="64" t="s">
        <v>1488</v>
      </c>
      <c r="O756" s="64"/>
      <c r="P756" s="391">
        <v>1</v>
      </c>
      <c r="Q756" s="360">
        <v>0.05</v>
      </c>
      <c r="R756" s="391"/>
      <c r="S756" s="35">
        <f t="shared" si="22"/>
        <v>0</v>
      </c>
      <c r="T756" s="152">
        <f t="shared" si="23"/>
        <v>0</v>
      </c>
      <c r="U756" s="153" t="s">
        <v>34</v>
      </c>
      <c r="V756" s="153"/>
      <c r="W756" s="156"/>
    </row>
    <row r="757" spans="1:23" ht="16.05" customHeight="1" x14ac:dyDescent="0.45">
      <c r="A757" s="1">
        <v>756</v>
      </c>
      <c r="B757" s="59" t="s">
        <v>924</v>
      </c>
      <c r="C757" s="57" t="s">
        <v>24</v>
      </c>
      <c r="D757" s="358">
        <v>3439</v>
      </c>
      <c r="E757" s="59" t="s">
        <v>1474</v>
      </c>
      <c r="F757" s="59" t="s">
        <v>1475</v>
      </c>
      <c r="G757" s="59">
        <v>3717</v>
      </c>
      <c r="H757" s="59" t="s">
        <v>1476</v>
      </c>
      <c r="I757" s="59" t="s">
        <v>175</v>
      </c>
      <c r="J757" s="184" t="s">
        <v>58</v>
      </c>
      <c r="K757" s="184" t="s">
        <v>57</v>
      </c>
      <c r="L757" s="360">
        <v>0.8</v>
      </c>
      <c r="M757" s="64"/>
      <c r="N757" s="287" t="s">
        <v>1489</v>
      </c>
      <c r="O757" s="64"/>
      <c r="P757" s="64">
        <v>40</v>
      </c>
      <c r="Q757" s="360">
        <v>0.15</v>
      </c>
      <c r="R757" s="64"/>
      <c r="S757" s="35">
        <f t="shared" si="22"/>
        <v>0</v>
      </c>
      <c r="T757" s="64">
        <f t="shared" si="23"/>
        <v>0</v>
      </c>
      <c r="U757" s="64" t="s">
        <v>83</v>
      </c>
      <c r="V757" s="64"/>
      <c r="W757" s="334"/>
    </row>
    <row r="758" spans="1:23" ht="16.05" customHeight="1" x14ac:dyDescent="0.45">
      <c r="A758" s="1">
        <v>757</v>
      </c>
      <c r="B758" s="59" t="s">
        <v>924</v>
      </c>
      <c r="C758" s="57" t="s">
        <v>24</v>
      </c>
      <c r="D758" s="358">
        <v>3439</v>
      </c>
      <c r="E758" s="59" t="s">
        <v>1474</v>
      </c>
      <c r="F758" s="59" t="s">
        <v>1475</v>
      </c>
      <c r="G758" s="59">
        <v>3717</v>
      </c>
      <c r="H758" s="59" t="s">
        <v>1476</v>
      </c>
      <c r="I758" s="59" t="s">
        <v>175</v>
      </c>
      <c r="J758" s="182" t="s">
        <v>111</v>
      </c>
      <c r="K758" s="182" t="s">
        <v>110</v>
      </c>
      <c r="L758" s="418">
        <v>0.2</v>
      </c>
      <c r="M758" s="334" t="s">
        <v>1490</v>
      </c>
      <c r="N758" s="334" t="s">
        <v>1491</v>
      </c>
      <c r="O758" s="334"/>
      <c r="P758" s="385">
        <v>1</v>
      </c>
      <c r="Q758" s="418">
        <v>0.25</v>
      </c>
      <c r="R758" s="385"/>
      <c r="S758" s="74">
        <f t="shared" si="22"/>
        <v>0</v>
      </c>
      <c r="T758" s="155">
        <f t="shared" si="23"/>
        <v>0</v>
      </c>
      <c r="U758" s="156" t="s">
        <v>34</v>
      </c>
      <c r="V758" s="156"/>
      <c r="W758" s="156"/>
    </row>
    <row r="759" spans="1:23" ht="16.05" customHeight="1" x14ac:dyDescent="0.45">
      <c r="A759" s="1">
        <v>758</v>
      </c>
      <c r="B759" s="59" t="s">
        <v>924</v>
      </c>
      <c r="C759" s="57" t="s">
        <v>24</v>
      </c>
      <c r="D759" s="358">
        <v>3439</v>
      </c>
      <c r="E759" s="59" t="s">
        <v>1474</v>
      </c>
      <c r="F759" s="59" t="s">
        <v>1475</v>
      </c>
      <c r="G759" s="59">
        <v>3717</v>
      </c>
      <c r="H759" s="59" t="s">
        <v>1476</v>
      </c>
      <c r="I759" s="59" t="s">
        <v>175</v>
      </c>
      <c r="J759" s="182" t="s">
        <v>111</v>
      </c>
      <c r="K759" s="182" t="s">
        <v>110</v>
      </c>
      <c r="L759" s="418">
        <v>0.2</v>
      </c>
      <c r="M759" s="334" t="s">
        <v>1492</v>
      </c>
      <c r="N759" s="334" t="s">
        <v>1493</v>
      </c>
      <c r="O759" s="334"/>
      <c r="P759" s="385">
        <v>0.01</v>
      </c>
      <c r="Q759" s="418">
        <v>0.15</v>
      </c>
      <c r="R759" s="385"/>
      <c r="S759" s="74">
        <f t="shared" si="22"/>
        <v>0</v>
      </c>
      <c r="T759" s="155">
        <f t="shared" si="23"/>
        <v>0</v>
      </c>
      <c r="U759" s="156" t="s">
        <v>83</v>
      </c>
      <c r="V759" s="156"/>
      <c r="W759" s="156"/>
    </row>
    <row r="760" spans="1:23" ht="16.05" customHeight="1" x14ac:dyDescent="0.45">
      <c r="A760" s="1">
        <v>759</v>
      </c>
      <c r="B760" s="59" t="s">
        <v>924</v>
      </c>
      <c r="C760" s="57" t="s">
        <v>24</v>
      </c>
      <c r="D760" s="358">
        <v>3439</v>
      </c>
      <c r="E760" s="59" t="s">
        <v>1474</v>
      </c>
      <c r="F760" s="59" t="s">
        <v>1475</v>
      </c>
      <c r="G760" s="59">
        <v>3717</v>
      </c>
      <c r="H760" s="59" t="s">
        <v>1476</v>
      </c>
      <c r="I760" s="59" t="s">
        <v>175</v>
      </c>
      <c r="J760" s="182" t="s">
        <v>111</v>
      </c>
      <c r="K760" s="182" t="s">
        <v>110</v>
      </c>
      <c r="L760" s="418">
        <v>0.2</v>
      </c>
      <c r="M760" s="334" t="s">
        <v>1494</v>
      </c>
      <c r="N760" s="334" t="s">
        <v>1495</v>
      </c>
      <c r="O760" s="334" t="s">
        <v>1496</v>
      </c>
      <c r="P760" s="385">
        <v>1</v>
      </c>
      <c r="Q760" s="418">
        <v>0.15</v>
      </c>
      <c r="R760" s="385"/>
      <c r="S760" s="74">
        <f t="shared" si="22"/>
        <v>0</v>
      </c>
      <c r="T760" s="155">
        <f t="shared" si="23"/>
        <v>0</v>
      </c>
      <c r="U760" s="156" t="s">
        <v>34</v>
      </c>
      <c r="V760" s="156"/>
      <c r="W760" s="156"/>
    </row>
    <row r="761" spans="1:23" ht="16.05" customHeight="1" x14ac:dyDescent="0.45">
      <c r="A761" s="1">
        <v>760</v>
      </c>
      <c r="B761" s="59" t="s">
        <v>924</v>
      </c>
      <c r="C761" s="57" t="s">
        <v>24</v>
      </c>
      <c r="D761" s="358">
        <v>3439</v>
      </c>
      <c r="E761" s="59" t="s">
        <v>1474</v>
      </c>
      <c r="F761" s="59" t="s">
        <v>1475</v>
      </c>
      <c r="G761" s="59">
        <v>3717</v>
      </c>
      <c r="H761" s="59" t="s">
        <v>1476</v>
      </c>
      <c r="I761" s="59" t="s">
        <v>175</v>
      </c>
      <c r="J761" s="182" t="s">
        <v>111</v>
      </c>
      <c r="K761" s="182" t="s">
        <v>110</v>
      </c>
      <c r="L761" s="418">
        <v>0.2</v>
      </c>
      <c r="M761" s="334" t="s">
        <v>1497</v>
      </c>
      <c r="N761" s="334" t="s">
        <v>1498</v>
      </c>
      <c r="O761" s="182"/>
      <c r="P761" s="385">
        <v>1</v>
      </c>
      <c r="Q761" s="418">
        <v>0.15</v>
      </c>
      <c r="R761" s="385"/>
      <c r="S761" s="74">
        <f t="shared" si="22"/>
        <v>0</v>
      </c>
      <c r="T761" s="161">
        <f t="shared" si="23"/>
        <v>0</v>
      </c>
      <c r="U761" s="160" t="s">
        <v>34</v>
      </c>
      <c r="V761" s="160"/>
      <c r="W761" s="160"/>
    </row>
    <row r="762" spans="1:23" ht="16.05" customHeight="1" x14ac:dyDescent="0.45">
      <c r="A762" s="1">
        <v>761</v>
      </c>
      <c r="B762" s="59" t="s">
        <v>924</v>
      </c>
      <c r="C762" s="57" t="s">
        <v>24</v>
      </c>
      <c r="D762" s="358">
        <v>3439</v>
      </c>
      <c r="E762" s="59" t="s">
        <v>1474</v>
      </c>
      <c r="F762" s="59" t="s">
        <v>1475</v>
      </c>
      <c r="G762" s="59">
        <v>3717</v>
      </c>
      <c r="H762" s="59" t="s">
        <v>1476</v>
      </c>
      <c r="I762" s="59" t="s">
        <v>175</v>
      </c>
      <c r="J762" s="182" t="s">
        <v>111</v>
      </c>
      <c r="K762" s="182" t="s">
        <v>110</v>
      </c>
      <c r="L762" s="418">
        <v>0.2</v>
      </c>
      <c r="M762" s="334"/>
      <c r="N762" s="334" t="s">
        <v>1499</v>
      </c>
      <c r="O762" s="182"/>
      <c r="P762" s="385">
        <v>1</v>
      </c>
      <c r="Q762" s="418">
        <v>0.3</v>
      </c>
      <c r="R762" s="385"/>
      <c r="S762" s="74">
        <f t="shared" si="22"/>
        <v>0</v>
      </c>
      <c r="T762" s="161">
        <f t="shared" si="23"/>
        <v>0</v>
      </c>
      <c r="U762" s="160" t="s">
        <v>34</v>
      </c>
      <c r="V762" s="160"/>
      <c r="W762" s="160"/>
    </row>
    <row r="763" spans="1:23" ht="16.05" customHeight="1" x14ac:dyDescent="0.45">
      <c r="A763" s="1">
        <v>762</v>
      </c>
      <c r="B763" s="7" t="s">
        <v>924</v>
      </c>
      <c r="C763" s="7" t="s">
        <v>24</v>
      </c>
      <c r="D763" s="275">
        <v>5870</v>
      </c>
      <c r="E763" s="7" t="s">
        <v>1500</v>
      </c>
      <c r="F763" s="7" t="s">
        <v>257</v>
      </c>
      <c r="G763" s="7">
        <v>3717</v>
      </c>
      <c r="H763" s="7" t="s">
        <v>1476</v>
      </c>
      <c r="I763" s="7" t="s">
        <v>175</v>
      </c>
      <c r="J763" s="3" t="s">
        <v>58</v>
      </c>
      <c r="K763" s="3" t="s">
        <v>57</v>
      </c>
      <c r="L763" s="276">
        <v>0.8</v>
      </c>
      <c r="M763" s="7" t="s">
        <v>188</v>
      </c>
      <c r="N763" s="7" t="s">
        <v>189</v>
      </c>
      <c r="O763" s="7" t="s">
        <v>1480</v>
      </c>
      <c r="P763" s="120">
        <v>0.01</v>
      </c>
      <c r="Q763" s="276">
        <v>0.1</v>
      </c>
      <c r="R763" s="120"/>
      <c r="S763" s="120">
        <f t="shared" si="22"/>
        <v>0</v>
      </c>
      <c r="T763" s="7">
        <f t="shared" si="23"/>
        <v>0</v>
      </c>
      <c r="U763" s="7" t="s">
        <v>83</v>
      </c>
      <c r="V763" s="461">
        <f>SUM(T763:T773)%</f>
        <v>0</v>
      </c>
      <c r="W763" s="120"/>
    </row>
    <row r="764" spans="1:23" ht="16.05" customHeight="1" x14ac:dyDescent="0.45">
      <c r="A764" s="1">
        <v>763</v>
      </c>
      <c r="B764" s="285" t="s">
        <v>924</v>
      </c>
      <c r="C764" s="285" t="s">
        <v>24</v>
      </c>
      <c r="D764" s="281">
        <v>5870</v>
      </c>
      <c r="E764" s="285" t="s">
        <v>1500</v>
      </c>
      <c r="F764" s="285" t="s">
        <v>257</v>
      </c>
      <c r="G764" s="285">
        <v>3717</v>
      </c>
      <c r="H764" s="285" t="s">
        <v>1476</v>
      </c>
      <c r="I764" s="285" t="s">
        <v>175</v>
      </c>
      <c r="J764" s="35" t="s">
        <v>58</v>
      </c>
      <c r="K764" s="184" t="s">
        <v>57</v>
      </c>
      <c r="L764" s="346">
        <v>0.8</v>
      </c>
      <c r="M764" s="35"/>
      <c r="N764" s="30" t="s">
        <v>177</v>
      </c>
      <c r="O764" s="35"/>
      <c r="P764" s="35">
        <v>0.15</v>
      </c>
      <c r="Q764" s="346">
        <v>0.2</v>
      </c>
      <c r="R764" s="35"/>
      <c r="S764" s="35">
        <f t="shared" si="22"/>
        <v>0</v>
      </c>
      <c r="T764" s="35">
        <f t="shared" si="23"/>
        <v>0</v>
      </c>
      <c r="U764" s="35" t="s">
        <v>83</v>
      </c>
      <c r="V764" s="30"/>
      <c r="W764" s="134"/>
    </row>
    <row r="765" spans="1:23" ht="16.05" customHeight="1" x14ac:dyDescent="0.45">
      <c r="A765" s="1">
        <v>764</v>
      </c>
      <c r="B765" s="285" t="s">
        <v>924</v>
      </c>
      <c r="C765" s="285" t="s">
        <v>24</v>
      </c>
      <c r="D765" s="281">
        <v>5870</v>
      </c>
      <c r="E765" s="285" t="s">
        <v>1500</v>
      </c>
      <c r="F765" s="285" t="s">
        <v>257</v>
      </c>
      <c r="G765" s="285">
        <v>3717</v>
      </c>
      <c r="H765" s="285" t="s">
        <v>1476</v>
      </c>
      <c r="I765" s="285" t="s">
        <v>175</v>
      </c>
      <c r="J765" s="35" t="s">
        <v>58</v>
      </c>
      <c r="K765" s="184" t="s">
        <v>57</v>
      </c>
      <c r="L765" s="346">
        <v>0.8</v>
      </c>
      <c r="M765" s="391"/>
      <c r="N765" s="30" t="s">
        <v>178</v>
      </c>
      <c r="O765" s="35" t="s">
        <v>1477</v>
      </c>
      <c r="P765" s="35">
        <v>0.04</v>
      </c>
      <c r="Q765" s="346">
        <v>0.25</v>
      </c>
      <c r="R765" s="35"/>
      <c r="S765" s="35">
        <f t="shared" si="22"/>
        <v>0</v>
      </c>
      <c r="T765" s="35">
        <f t="shared" si="23"/>
        <v>0</v>
      </c>
      <c r="U765" s="391" t="s">
        <v>83</v>
      </c>
      <c r="V765" s="30"/>
      <c r="W765" s="134"/>
    </row>
    <row r="766" spans="1:23" ht="16.05" customHeight="1" x14ac:dyDescent="0.45">
      <c r="A766" s="1">
        <v>765</v>
      </c>
      <c r="B766" s="285" t="s">
        <v>924</v>
      </c>
      <c r="C766" s="285" t="s">
        <v>24</v>
      </c>
      <c r="D766" s="281">
        <v>5870</v>
      </c>
      <c r="E766" s="285" t="s">
        <v>1500</v>
      </c>
      <c r="F766" s="285" t="s">
        <v>257</v>
      </c>
      <c r="G766" s="285">
        <v>3717</v>
      </c>
      <c r="H766" s="285" t="s">
        <v>1476</v>
      </c>
      <c r="I766" s="285" t="s">
        <v>175</v>
      </c>
      <c r="J766" s="184" t="s">
        <v>58</v>
      </c>
      <c r="K766" s="184" t="s">
        <v>57</v>
      </c>
      <c r="L766" s="346">
        <v>0.8</v>
      </c>
      <c r="M766" s="30" t="s">
        <v>1501</v>
      </c>
      <c r="N766" s="30" t="s">
        <v>1502</v>
      </c>
      <c r="O766" s="30"/>
      <c r="P766" s="35">
        <v>1</v>
      </c>
      <c r="Q766" s="346">
        <v>0.05</v>
      </c>
      <c r="R766" s="35"/>
      <c r="S766" s="35">
        <f t="shared" si="22"/>
        <v>0</v>
      </c>
      <c r="T766" s="30">
        <f t="shared" si="23"/>
        <v>0</v>
      </c>
      <c r="U766" s="35" t="s">
        <v>34</v>
      </c>
      <c r="V766" s="35"/>
      <c r="W766" s="134"/>
    </row>
    <row r="767" spans="1:23" ht="16.05" customHeight="1" x14ac:dyDescent="0.45">
      <c r="A767" s="1">
        <v>766</v>
      </c>
      <c r="B767" s="285" t="s">
        <v>924</v>
      </c>
      <c r="C767" s="285" t="s">
        <v>24</v>
      </c>
      <c r="D767" s="281">
        <v>5870</v>
      </c>
      <c r="E767" s="285" t="s">
        <v>1500</v>
      </c>
      <c r="F767" s="285" t="s">
        <v>257</v>
      </c>
      <c r="G767" s="285">
        <v>3717</v>
      </c>
      <c r="H767" s="285" t="s">
        <v>1476</v>
      </c>
      <c r="I767" s="285" t="s">
        <v>175</v>
      </c>
      <c r="J767" s="184" t="s">
        <v>58</v>
      </c>
      <c r="K767" s="184" t="s">
        <v>57</v>
      </c>
      <c r="L767" s="346">
        <v>0.8</v>
      </c>
      <c r="M767" s="30" t="s">
        <v>1503</v>
      </c>
      <c r="N767" s="30" t="s">
        <v>1504</v>
      </c>
      <c r="O767" s="30"/>
      <c r="P767" s="35">
        <v>1</v>
      </c>
      <c r="Q767" s="346">
        <v>0.1</v>
      </c>
      <c r="R767" s="35"/>
      <c r="S767" s="35">
        <f t="shared" si="22"/>
        <v>0</v>
      </c>
      <c r="T767" s="30">
        <f t="shared" si="23"/>
        <v>0</v>
      </c>
      <c r="U767" s="35" t="s">
        <v>34</v>
      </c>
      <c r="V767" s="35"/>
      <c r="W767" s="134"/>
    </row>
    <row r="768" spans="1:23" ht="16.05" customHeight="1" x14ac:dyDescent="0.45">
      <c r="A768" s="1">
        <v>767</v>
      </c>
      <c r="B768" s="285" t="s">
        <v>924</v>
      </c>
      <c r="C768" s="285" t="s">
        <v>24</v>
      </c>
      <c r="D768" s="281">
        <v>5870</v>
      </c>
      <c r="E768" s="285" t="s">
        <v>1500</v>
      </c>
      <c r="F768" s="285" t="s">
        <v>257</v>
      </c>
      <c r="G768" s="285">
        <v>3717</v>
      </c>
      <c r="H768" s="285" t="s">
        <v>1476</v>
      </c>
      <c r="I768" s="285" t="s">
        <v>175</v>
      </c>
      <c r="J768" s="184" t="s">
        <v>58</v>
      </c>
      <c r="K768" s="184" t="s">
        <v>57</v>
      </c>
      <c r="L768" s="346">
        <v>0.8</v>
      </c>
      <c r="M768" s="30" t="s">
        <v>1505</v>
      </c>
      <c r="N768" s="30" t="s">
        <v>1506</v>
      </c>
      <c r="O768" s="30"/>
      <c r="P768" s="35">
        <v>1</v>
      </c>
      <c r="Q768" s="346">
        <v>0.1</v>
      </c>
      <c r="R768" s="35"/>
      <c r="S768" s="35">
        <f t="shared" si="22"/>
        <v>0</v>
      </c>
      <c r="T768" s="30">
        <f t="shared" si="23"/>
        <v>0</v>
      </c>
      <c r="U768" s="35" t="s">
        <v>34</v>
      </c>
      <c r="V768" s="35"/>
      <c r="W768" s="134"/>
    </row>
    <row r="769" spans="1:23" ht="16.05" customHeight="1" x14ac:dyDescent="0.45">
      <c r="A769" s="1">
        <v>768</v>
      </c>
      <c r="B769" s="285" t="s">
        <v>924</v>
      </c>
      <c r="C769" s="285" t="s">
        <v>24</v>
      </c>
      <c r="D769" s="281">
        <v>5870</v>
      </c>
      <c r="E769" s="285" t="s">
        <v>1500</v>
      </c>
      <c r="F769" s="285" t="s">
        <v>257</v>
      </c>
      <c r="G769" s="285">
        <v>3717</v>
      </c>
      <c r="H769" s="285" t="s">
        <v>1476</v>
      </c>
      <c r="I769" s="285" t="s">
        <v>175</v>
      </c>
      <c r="J769" s="184" t="s">
        <v>58</v>
      </c>
      <c r="K769" s="184" t="s">
        <v>57</v>
      </c>
      <c r="L769" s="346">
        <v>0.8</v>
      </c>
      <c r="M769" s="30" t="s">
        <v>1507</v>
      </c>
      <c r="N769" s="30" t="s">
        <v>1508</v>
      </c>
      <c r="O769" s="30"/>
      <c r="P769" s="35">
        <v>1</v>
      </c>
      <c r="Q769" s="346">
        <v>0.1</v>
      </c>
      <c r="R769" s="35"/>
      <c r="S769" s="35">
        <f t="shared" si="22"/>
        <v>0</v>
      </c>
      <c r="T769" s="30">
        <f t="shared" si="23"/>
        <v>0</v>
      </c>
      <c r="U769" s="35" t="s">
        <v>34</v>
      </c>
      <c r="V769" s="35"/>
      <c r="W769" s="134"/>
    </row>
    <row r="770" spans="1:23" ht="16.05" customHeight="1" x14ac:dyDescent="0.45">
      <c r="A770" s="1">
        <v>769</v>
      </c>
      <c r="B770" s="285" t="s">
        <v>924</v>
      </c>
      <c r="C770" s="285" t="s">
        <v>24</v>
      </c>
      <c r="D770" s="281">
        <v>5870</v>
      </c>
      <c r="E770" s="285" t="s">
        <v>1500</v>
      </c>
      <c r="F770" s="285" t="s">
        <v>257</v>
      </c>
      <c r="G770" s="285">
        <v>3717</v>
      </c>
      <c r="H770" s="285" t="s">
        <v>1476</v>
      </c>
      <c r="I770" s="285" t="s">
        <v>175</v>
      </c>
      <c r="J770" s="184" t="s">
        <v>58</v>
      </c>
      <c r="K770" s="184" t="s">
        <v>57</v>
      </c>
      <c r="L770" s="346">
        <v>0.8</v>
      </c>
      <c r="M770" s="30" t="s">
        <v>1509</v>
      </c>
      <c r="N770" s="30" t="s">
        <v>1510</v>
      </c>
      <c r="O770" s="30"/>
      <c r="P770" s="35">
        <v>1</v>
      </c>
      <c r="Q770" s="346">
        <v>0.1</v>
      </c>
      <c r="R770" s="35"/>
      <c r="S770" s="35">
        <f t="shared" ref="S770:S833" si="24">ROUND(IF(OR(P770="",R770=""),0,IF(AND(P770=0,R770=0),1,IF(U770="+",R770/P770,P770/R770))),2)</f>
        <v>0</v>
      </c>
      <c r="T770" s="30">
        <f t="shared" ref="T770:T833" si="25">IF(AND(S770&gt;=60%,S770&lt;100%),S770*((Q770*L770)),IF(S770=100%,((Q770*L770)*S770)*100%,IF(S770&gt;100%,((L770*Q770)*100%)*100%,0)))*100</f>
        <v>0</v>
      </c>
      <c r="U770" s="35" t="s">
        <v>34</v>
      </c>
      <c r="V770" s="35"/>
      <c r="W770" s="134"/>
    </row>
    <row r="771" spans="1:23" ht="16.05" customHeight="1" x14ac:dyDescent="0.45">
      <c r="A771" s="1">
        <v>770</v>
      </c>
      <c r="B771" s="285" t="s">
        <v>924</v>
      </c>
      <c r="C771" s="285" t="s">
        <v>24</v>
      </c>
      <c r="D771" s="281">
        <v>5870</v>
      </c>
      <c r="E771" s="285" t="s">
        <v>1500</v>
      </c>
      <c r="F771" s="285" t="s">
        <v>257</v>
      </c>
      <c r="G771" s="285">
        <v>3717</v>
      </c>
      <c r="H771" s="285" t="s">
        <v>1476</v>
      </c>
      <c r="I771" s="285" t="s">
        <v>175</v>
      </c>
      <c r="J771" s="182" t="s">
        <v>111</v>
      </c>
      <c r="K771" s="182" t="s">
        <v>110</v>
      </c>
      <c r="L771" s="425">
        <v>0.2</v>
      </c>
      <c r="M771" s="285"/>
      <c r="N771" s="285" t="s">
        <v>1511</v>
      </c>
      <c r="O771" s="285"/>
      <c r="P771" s="414">
        <v>20</v>
      </c>
      <c r="Q771" s="425">
        <v>0.3</v>
      </c>
      <c r="R771" s="414"/>
      <c r="S771" s="74">
        <f t="shared" si="24"/>
        <v>0</v>
      </c>
      <c r="T771" s="285">
        <f t="shared" si="25"/>
        <v>0</v>
      </c>
      <c r="U771" s="134" t="s">
        <v>34</v>
      </c>
      <c r="V771" s="134"/>
      <c r="W771" s="134"/>
    </row>
    <row r="772" spans="1:23" ht="16.05" customHeight="1" x14ac:dyDescent="0.45">
      <c r="A772" s="1">
        <v>771</v>
      </c>
      <c r="B772" s="285" t="s">
        <v>924</v>
      </c>
      <c r="C772" s="285" t="s">
        <v>24</v>
      </c>
      <c r="D772" s="281">
        <v>5870</v>
      </c>
      <c r="E772" s="285" t="s">
        <v>1500</v>
      </c>
      <c r="F772" s="285" t="s">
        <v>257</v>
      </c>
      <c r="G772" s="285">
        <v>3717</v>
      </c>
      <c r="H772" s="285" t="s">
        <v>1476</v>
      </c>
      <c r="I772" s="285" t="s">
        <v>175</v>
      </c>
      <c r="J772" s="182" t="s">
        <v>111</v>
      </c>
      <c r="K772" s="182" t="s">
        <v>110</v>
      </c>
      <c r="L772" s="425">
        <v>0.2</v>
      </c>
      <c r="M772" s="285" t="s">
        <v>1512</v>
      </c>
      <c r="N772" s="475" t="s">
        <v>1513</v>
      </c>
      <c r="O772" s="285"/>
      <c r="P772" s="28">
        <v>1</v>
      </c>
      <c r="Q772" s="425">
        <v>0.3</v>
      </c>
      <c r="R772" s="28"/>
      <c r="S772" s="74">
        <f t="shared" si="24"/>
        <v>0</v>
      </c>
      <c r="T772" s="285">
        <f t="shared" si="25"/>
        <v>0</v>
      </c>
      <c r="U772" s="28" t="s">
        <v>34</v>
      </c>
      <c r="V772" s="28"/>
      <c r="W772" s="28"/>
    </row>
    <row r="773" spans="1:23" ht="16.05" customHeight="1" x14ac:dyDescent="0.45">
      <c r="A773" s="1">
        <v>772</v>
      </c>
      <c r="B773" s="285" t="s">
        <v>924</v>
      </c>
      <c r="C773" s="285" t="s">
        <v>24</v>
      </c>
      <c r="D773" s="281">
        <v>5870</v>
      </c>
      <c r="E773" s="285" t="s">
        <v>1500</v>
      </c>
      <c r="F773" s="285" t="s">
        <v>257</v>
      </c>
      <c r="G773" s="285">
        <v>3717</v>
      </c>
      <c r="H773" s="285" t="s">
        <v>1476</v>
      </c>
      <c r="I773" s="285" t="s">
        <v>175</v>
      </c>
      <c r="J773" s="182" t="s">
        <v>111</v>
      </c>
      <c r="K773" s="182" t="s">
        <v>110</v>
      </c>
      <c r="L773" s="425">
        <v>0.2</v>
      </c>
      <c r="M773" s="285"/>
      <c r="N773" s="475" t="s">
        <v>1499</v>
      </c>
      <c r="O773" s="285"/>
      <c r="P773" s="28">
        <v>1</v>
      </c>
      <c r="Q773" s="425">
        <v>0.4</v>
      </c>
      <c r="R773" s="28"/>
      <c r="S773" s="74">
        <f t="shared" si="24"/>
        <v>0</v>
      </c>
      <c r="T773" s="285">
        <f t="shared" si="25"/>
        <v>0</v>
      </c>
      <c r="U773" s="28" t="s">
        <v>34</v>
      </c>
      <c r="V773" s="28"/>
      <c r="W773" s="28"/>
    </row>
    <row r="774" spans="1:23" ht="16.05" customHeight="1" x14ac:dyDescent="0.45">
      <c r="A774" s="1">
        <v>773</v>
      </c>
      <c r="B774" s="99" t="s">
        <v>924</v>
      </c>
      <c r="C774" s="2" t="s">
        <v>24</v>
      </c>
      <c r="D774" s="349">
        <v>5104</v>
      </c>
      <c r="E774" s="99" t="s">
        <v>1514</v>
      </c>
      <c r="F774" s="99" t="s">
        <v>257</v>
      </c>
      <c r="G774" s="99">
        <v>3717</v>
      </c>
      <c r="H774" s="99" t="s">
        <v>1476</v>
      </c>
      <c r="I774" s="99" t="s">
        <v>175</v>
      </c>
      <c r="J774" s="3" t="s">
        <v>58</v>
      </c>
      <c r="K774" s="3" t="s">
        <v>57</v>
      </c>
      <c r="L774" s="350">
        <v>0.8</v>
      </c>
      <c r="M774" s="3" t="s">
        <v>1515</v>
      </c>
      <c r="N774" s="3" t="s">
        <v>1516</v>
      </c>
      <c r="O774" s="3"/>
      <c r="P774" s="148">
        <v>1</v>
      </c>
      <c r="Q774" s="350">
        <v>0.15</v>
      </c>
      <c r="R774" s="148"/>
      <c r="S774" s="120">
        <f t="shared" si="24"/>
        <v>0</v>
      </c>
      <c r="T774" s="168">
        <f t="shared" si="25"/>
        <v>0</v>
      </c>
      <c r="U774" s="148" t="s">
        <v>34</v>
      </c>
      <c r="V774" s="278">
        <f>SUM(T774:T781)%</f>
        <v>0</v>
      </c>
      <c r="W774" s="3"/>
    </row>
    <row r="775" spans="1:23" ht="16.05" customHeight="1" x14ac:dyDescent="0.45">
      <c r="A775" s="1">
        <v>774</v>
      </c>
      <c r="B775" s="113" t="s">
        <v>924</v>
      </c>
      <c r="C775" s="57" t="s">
        <v>24</v>
      </c>
      <c r="D775" s="358">
        <v>5104</v>
      </c>
      <c r="E775" s="113" t="s">
        <v>1514</v>
      </c>
      <c r="F775" s="113" t="s">
        <v>257</v>
      </c>
      <c r="G775" s="113">
        <v>3717</v>
      </c>
      <c r="H775" s="113" t="s">
        <v>1476</v>
      </c>
      <c r="I775" s="113" t="s">
        <v>175</v>
      </c>
      <c r="J775" s="35" t="s">
        <v>58</v>
      </c>
      <c r="K775" s="184" t="s">
        <v>57</v>
      </c>
      <c r="L775" s="346">
        <v>0.8</v>
      </c>
      <c r="M775" s="35"/>
      <c r="N775" s="30" t="s">
        <v>177</v>
      </c>
      <c r="O775" s="35"/>
      <c r="P775" s="35">
        <v>0.15</v>
      </c>
      <c r="Q775" s="346">
        <v>0.25</v>
      </c>
      <c r="R775" s="35"/>
      <c r="S775" s="35">
        <f t="shared" si="24"/>
        <v>0</v>
      </c>
      <c r="T775" s="35">
        <f t="shared" si="25"/>
        <v>0</v>
      </c>
      <c r="U775" s="35" t="s">
        <v>83</v>
      </c>
      <c r="V775" s="30"/>
      <c r="W775" s="134"/>
    </row>
    <row r="776" spans="1:23" ht="16.05" customHeight="1" x14ac:dyDescent="0.45">
      <c r="A776" s="1">
        <v>775</v>
      </c>
      <c r="B776" s="113" t="s">
        <v>924</v>
      </c>
      <c r="C776" s="57" t="s">
        <v>24</v>
      </c>
      <c r="D776" s="358">
        <v>5104</v>
      </c>
      <c r="E776" s="113" t="s">
        <v>1514</v>
      </c>
      <c r="F776" s="113" t="s">
        <v>257</v>
      </c>
      <c r="G776" s="113">
        <v>3717</v>
      </c>
      <c r="H776" s="113" t="s">
        <v>1476</v>
      </c>
      <c r="I776" s="113" t="s">
        <v>175</v>
      </c>
      <c r="J776" s="35" t="s">
        <v>58</v>
      </c>
      <c r="K776" s="184" t="s">
        <v>57</v>
      </c>
      <c r="L776" s="346">
        <v>0.8</v>
      </c>
      <c r="M776" s="391"/>
      <c r="N776" s="30" t="s">
        <v>178</v>
      </c>
      <c r="O776" s="35" t="s">
        <v>1477</v>
      </c>
      <c r="P776" s="35">
        <v>0.04</v>
      </c>
      <c r="Q776" s="346">
        <v>0.25</v>
      </c>
      <c r="R776" s="35"/>
      <c r="S776" s="35">
        <f t="shared" si="24"/>
        <v>0</v>
      </c>
      <c r="T776" s="35">
        <f t="shared" si="25"/>
        <v>0</v>
      </c>
      <c r="U776" s="391" t="s">
        <v>83</v>
      </c>
      <c r="V776" s="30"/>
      <c r="W776" s="134"/>
    </row>
    <row r="777" spans="1:23" ht="16.05" customHeight="1" x14ac:dyDescent="0.45">
      <c r="A777" s="1">
        <v>776</v>
      </c>
      <c r="B777" s="113" t="s">
        <v>924</v>
      </c>
      <c r="C777" s="57" t="s">
        <v>24</v>
      </c>
      <c r="D777" s="358">
        <v>5104</v>
      </c>
      <c r="E777" s="113" t="s">
        <v>1514</v>
      </c>
      <c r="F777" s="113" t="s">
        <v>257</v>
      </c>
      <c r="G777" s="113">
        <v>3717</v>
      </c>
      <c r="H777" s="113" t="s">
        <v>1476</v>
      </c>
      <c r="I777" s="113" t="s">
        <v>175</v>
      </c>
      <c r="J777" s="184" t="s">
        <v>58</v>
      </c>
      <c r="K777" s="184" t="s">
        <v>57</v>
      </c>
      <c r="L777" s="360">
        <v>0.8</v>
      </c>
      <c r="M777" s="30" t="s">
        <v>1505</v>
      </c>
      <c r="N777" s="476" t="s">
        <v>1506</v>
      </c>
      <c r="O777" s="476"/>
      <c r="P777" s="153">
        <v>1</v>
      </c>
      <c r="Q777" s="360">
        <v>0.35</v>
      </c>
      <c r="R777" s="153"/>
      <c r="S777" s="35">
        <f t="shared" si="24"/>
        <v>0</v>
      </c>
      <c r="T777" s="152">
        <f t="shared" si="25"/>
        <v>0</v>
      </c>
      <c r="U777" s="153" t="s">
        <v>34</v>
      </c>
      <c r="V777" s="153"/>
      <c r="W777" s="156"/>
    </row>
    <row r="778" spans="1:23" ht="16.05" customHeight="1" x14ac:dyDescent="0.45">
      <c r="A778" s="1">
        <v>777</v>
      </c>
      <c r="B778" s="113" t="s">
        <v>924</v>
      </c>
      <c r="C778" s="57" t="s">
        <v>24</v>
      </c>
      <c r="D778" s="358">
        <v>5104</v>
      </c>
      <c r="E778" s="113" t="s">
        <v>1514</v>
      </c>
      <c r="F778" s="113" t="s">
        <v>257</v>
      </c>
      <c r="G778" s="113">
        <v>3717</v>
      </c>
      <c r="H778" s="113" t="s">
        <v>1476</v>
      </c>
      <c r="I778" s="113" t="s">
        <v>175</v>
      </c>
      <c r="J778" s="182" t="s">
        <v>111</v>
      </c>
      <c r="K778" s="182" t="s">
        <v>110</v>
      </c>
      <c r="L778" s="368">
        <v>0.2</v>
      </c>
      <c r="M778" s="334"/>
      <c r="N778" s="334" t="s">
        <v>1511</v>
      </c>
      <c r="O778" s="334"/>
      <c r="P778" s="414">
        <v>20</v>
      </c>
      <c r="Q778" s="368">
        <v>0.3</v>
      </c>
      <c r="R778" s="414"/>
      <c r="S778" s="74">
        <f t="shared" si="24"/>
        <v>0</v>
      </c>
      <c r="T778" s="155">
        <f t="shared" si="25"/>
        <v>0</v>
      </c>
      <c r="U778" s="160" t="s">
        <v>34</v>
      </c>
      <c r="V778" s="160"/>
      <c r="W778" s="156"/>
    </row>
    <row r="779" spans="1:23" ht="16.05" customHeight="1" x14ac:dyDescent="0.45">
      <c r="A779" s="1">
        <v>778</v>
      </c>
      <c r="B779" s="113" t="s">
        <v>924</v>
      </c>
      <c r="C779" s="57" t="s">
        <v>24</v>
      </c>
      <c r="D779" s="358">
        <v>5104</v>
      </c>
      <c r="E779" s="113" t="s">
        <v>1514</v>
      </c>
      <c r="F779" s="113" t="s">
        <v>257</v>
      </c>
      <c r="G779" s="113">
        <v>3717</v>
      </c>
      <c r="H779" s="113" t="s">
        <v>1476</v>
      </c>
      <c r="I779" s="113" t="s">
        <v>175</v>
      </c>
      <c r="J779" s="182" t="s">
        <v>111</v>
      </c>
      <c r="K779" s="182" t="s">
        <v>110</v>
      </c>
      <c r="L779" s="368">
        <v>0.2</v>
      </c>
      <c r="M779" s="334" t="s">
        <v>1517</v>
      </c>
      <c r="N779" s="334" t="s">
        <v>1518</v>
      </c>
      <c r="O779" s="334"/>
      <c r="P779" s="477">
        <v>1</v>
      </c>
      <c r="Q779" s="368">
        <v>0.2</v>
      </c>
      <c r="R779" s="477"/>
      <c r="S779" s="74">
        <f t="shared" si="24"/>
        <v>0</v>
      </c>
      <c r="T779" s="155">
        <f t="shared" si="25"/>
        <v>0</v>
      </c>
      <c r="U779" s="160" t="s">
        <v>34</v>
      </c>
      <c r="V779" s="160"/>
      <c r="W779" s="160"/>
    </row>
    <row r="780" spans="1:23" ht="16.05" customHeight="1" x14ac:dyDescent="0.45">
      <c r="A780" s="1">
        <v>779</v>
      </c>
      <c r="B780" s="113" t="s">
        <v>924</v>
      </c>
      <c r="C780" s="57" t="s">
        <v>24</v>
      </c>
      <c r="D780" s="358">
        <v>5104</v>
      </c>
      <c r="E780" s="113" t="s">
        <v>1514</v>
      </c>
      <c r="F780" s="113" t="s">
        <v>257</v>
      </c>
      <c r="G780" s="113">
        <v>3717</v>
      </c>
      <c r="H780" s="113" t="s">
        <v>1476</v>
      </c>
      <c r="I780" s="113" t="s">
        <v>175</v>
      </c>
      <c r="J780" s="182" t="s">
        <v>111</v>
      </c>
      <c r="K780" s="182" t="s">
        <v>110</v>
      </c>
      <c r="L780" s="368">
        <v>0.2</v>
      </c>
      <c r="M780" s="16" t="s">
        <v>1519</v>
      </c>
      <c r="N780" s="16" t="s">
        <v>1520</v>
      </c>
      <c r="O780" s="16"/>
      <c r="P780" s="477">
        <v>1</v>
      </c>
      <c r="Q780" s="368">
        <v>0.3</v>
      </c>
      <c r="R780" s="477"/>
      <c r="S780" s="74">
        <f t="shared" si="24"/>
        <v>0</v>
      </c>
      <c r="T780" s="155">
        <f t="shared" si="25"/>
        <v>0</v>
      </c>
      <c r="U780" s="160" t="s">
        <v>34</v>
      </c>
      <c r="V780" s="160"/>
      <c r="W780" s="160"/>
    </row>
    <row r="781" spans="1:23" ht="16.05" customHeight="1" x14ac:dyDescent="0.45">
      <c r="A781" s="1">
        <v>780</v>
      </c>
      <c r="B781" s="113" t="s">
        <v>924</v>
      </c>
      <c r="C781" s="57" t="s">
        <v>24</v>
      </c>
      <c r="D781" s="358">
        <v>5104</v>
      </c>
      <c r="E781" s="113" t="s">
        <v>1514</v>
      </c>
      <c r="F781" s="113" t="s">
        <v>257</v>
      </c>
      <c r="G781" s="113">
        <v>3717</v>
      </c>
      <c r="H781" s="113" t="s">
        <v>1476</v>
      </c>
      <c r="I781" s="113" t="s">
        <v>175</v>
      </c>
      <c r="J781" s="182" t="s">
        <v>111</v>
      </c>
      <c r="K781" s="182" t="s">
        <v>110</v>
      </c>
      <c r="L781" s="425">
        <v>0.2</v>
      </c>
      <c r="M781" s="285"/>
      <c r="N781" s="475" t="s">
        <v>1499</v>
      </c>
      <c r="O781" s="285"/>
      <c r="P781" s="28">
        <v>1</v>
      </c>
      <c r="Q781" s="425">
        <v>0.2</v>
      </c>
      <c r="R781" s="28"/>
      <c r="S781" s="74">
        <f t="shared" si="24"/>
        <v>0</v>
      </c>
      <c r="T781" s="285">
        <f t="shared" si="25"/>
        <v>0</v>
      </c>
      <c r="U781" s="28" t="s">
        <v>34</v>
      </c>
      <c r="V781" s="28"/>
      <c r="W781" s="28"/>
    </row>
    <row r="782" spans="1:23" ht="16.05" customHeight="1" x14ac:dyDescent="0.45">
      <c r="A782" s="1">
        <v>781</v>
      </c>
      <c r="B782" s="99" t="s">
        <v>924</v>
      </c>
      <c r="C782" s="2" t="s">
        <v>24</v>
      </c>
      <c r="D782" s="349">
        <v>5577</v>
      </c>
      <c r="E782" s="99" t="s">
        <v>1521</v>
      </c>
      <c r="F782" s="99" t="s">
        <v>1522</v>
      </c>
      <c r="G782" s="99">
        <v>3717</v>
      </c>
      <c r="H782" s="99" t="s">
        <v>1476</v>
      </c>
      <c r="I782" s="2" t="s">
        <v>175</v>
      </c>
      <c r="J782" s="99" t="s">
        <v>58</v>
      </c>
      <c r="K782" s="99" t="s">
        <v>57</v>
      </c>
      <c r="L782" s="350">
        <v>0.8</v>
      </c>
      <c r="M782" s="99" t="s">
        <v>1523</v>
      </c>
      <c r="N782" s="99" t="s">
        <v>1524</v>
      </c>
      <c r="O782" s="2"/>
      <c r="P782" s="91">
        <v>50</v>
      </c>
      <c r="Q782" s="350">
        <v>0.3</v>
      </c>
      <c r="R782" s="91"/>
      <c r="S782" s="120">
        <f t="shared" si="24"/>
        <v>0</v>
      </c>
      <c r="T782" s="99">
        <f t="shared" si="25"/>
        <v>0</v>
      </c>
      <c r="U782" s="120" t="s">
        <v>34</v>
      </c>
      <c r="V782" s="478">
        <f>SUM(T782:T790)%</f>
        <v>0</v>
      </c>
      <c r="W782" s="99"/>
    </row>
    <row r="783" spans="1:23" ht="16.05" customHeight="1" x14ac:dyDescent="0.45">
      <c r="A783" s="1">
        <v>782</v>
      </c>
      <c r="B783" s="113" t="s">
        <v>924</v>
      </c>
      <c r="C783" s="57" t="s">
        <v>24</v>
      </c>
      <c r="D783" s="479">
        <v>5577</v>
      </c>
      <c r="E783" s="480" t="s">
        <v>1521</v>
      </c>
      <c r="F783" s="480" t="s">
        <v>1522</v>
      </c>
      <c r="G783" s="480">
        <v>3717</v>
      </c>
      <c r="H783" s="113" t="s">
        <v>1476</v>
      </c>
      <c r="I783" s="113" t="s">
        <v>175</v>
      </c>
      <c r="J783" s="35" t="s">
        <v>58</v>
      </c>
      <c r="K783" s="184" t="s">
        <v>57</v>
      </c>
      <c r="L783" s="346">
        <v>0.8</v>
      </c>
      <c r="M783" s="35" t="s">
        <v>1525</v>
      </c>
      <c r="N783" s="35" t="s">
        <v>1526</v>
      </c>
      <c r="O783" s="35"/>
      <c r="P783" s="35">
        <v>1</v>
      </c>
      <c r="Q783" s="346">
        <v>0.2</v>
      </c>
      <c r="R783" s="35"/>
      <c r="S783" s="35">
        <f t="shared" si="24"/>
        <v>0</v>
      </c>
      <c r="T783" s="35">
        <f t="shared" si="25"/>
        <v>0</v>
      </c>
      <c r="U783" s="35" t="s">
        <v>34</v>
      </c>
      <c r="V783" s="35"/>
      <c r="W783" s="134"/>
    </row>
    <row r="784" spans="1:23" ht="16.05" customHeight="1" x14ac:dyDescent="0.45">
      <c r="A784" s="1">
        <v>783</v>
      </c>
      <c r="B784" s="113" t="s">
        <v>924</v>
      </c>
      <c r="C784" s="57" t="s">
        <v>24</v>
      </c>
      <c r="D784" s="479">
        <v>5577</v>
      </c>
      <c r="E784" s="480" t="s">
        <v>1521</v>
      </c>
      <c r="F784" s="480" t="s">
        <v>1522</v>
      </c>
      <c r="G784" s="480">
        <v>3717</v>
      </c>
      <c r="H784" s="113" t="s">
        <v>1476</v>
      </c>
      <c r="I784" s="113" t="s">
        <v>175</v>
      </c>
      <c r="J784" s="184" t="s">
        <v>58</v>
      </c>
      <c r="K784" s="184" t="s">
        <v>57</v>
      </c>
      <c r="L784" s="360">
        <v>0.8</v>
      </c>
      <c r="M784" s="184" t="s">
        <v>1527</v>
      </c>
      <c r="N784" s="153" t="s">
        <v>1528</v>
      </c>
      <c r="O784" s="184"/>
      <c r="P784" s="153">
        <v>1</v>
      </c>
      <c r="Q784" s="360">
        <v>0.15</v>
      </c>
      <c r="R784" s="153"/>
      <c r="S784" s="35">
        <f t="shared" si="24"/>
        <v>0</v>
      </c>
      <c r="T784" s="153">
        <f t="shared" si="25"/>
        <v>0</v>
      </c>
      <c r="U784" s="35" t="s">
        <v>34</v>
      </c>
      <c r="V784" s="184"/>
      <c r="W784" s="182"/>
    </row>
    <row r="785" spans="1:23" ht="16.05" customHeight="1" x14ac:dyDescent="0.45">
      <c r="A785" s="1">
        <v>784</v>
      </c>
      <c r="B785" s="113" t="s">
        <v>924</v>
      </c>
      <c r="C785" s="57" t="s">
        <v>24</v>
      </c>
      <c r="D785" s="479">
        <v>5577</v>
      </c>
      <c r="E785" s="480" t="s">
        <v>1521</v>
      </c>
      <c r="F785" s="480" t="s">
        <v>1522</v>
      </c>
      <c r="G785" s="480">
        <v>3717</v>
      </c>
      <c r="H785" s="113" t="s">
        <v>1476</v>
      </c>
      <c r="I785" s="113" t="s">
        <v>175</v>
      </c>
      <c r="J785" s="35" t="s">
        <v>58</v>
      </c>
      <c r="K785" s="184" t="s">
        <v>57</v>
      </c>
      <c r="L785" s="346">
        <v>0.8</v>
      </c>
      <c r="M785" s="35" t="s">
        <v>188</v>
      </c>
      <c r="N785" s="35" t="s">
        <v>189</v>
      </c>
      <c r="O785" s="35"/>
      <c r="P785" s="35">
        <v>0.01</v>
      </c>
      <c r="Q785" s="346">
        <v>0.15</v>
      </c>
      <c r="R785" s="35"/>
      <c r="S785" s="35">
        <f t="shared" si="24"/>
        <v>0</v>
      </c>
      <c r="T785" s="35">
        <f t="shared" si="25"/>
        <v>0</v>
      </c>
      <c r="U785" s="35" t="s">
        <v>83</v>
      </c>
      <c r="V785" s="35"/>
      <c r="W785" s="134"/>
    </row>
    <row r="786" spans="1:23" ht="16.05" customHeight="1" x14ac:dyDescent="0.45">
      <c r="A786" s="1">
        <v>785</v>
      </c>
      <c r="B786" s="113" t="s">
        <v>924</v>
      </c>
      <c r="C786" s="57" t="s">
        <v>24</v>
      </c>
      <c r="D786" s="479">
        <v>5577</v>
      </c>
      <c r="E786" s="480" t="s">
        <v>1521</v>
      </c>
      <c r="F786" s="480" t="s">
        <v>1522</v>
      </c>
      <c r="G786" s="480">
        <v>3717</v>
      </c>
      <c r="H786" s="113" t="s">
        <v>1476</v>
      </c>
      <c r="I786" s="113" t="s">
        <v>175</v>
      </c>
      <c r="J786" s="35" t="s">
        <v>58</v>
      </c>
      <c r="K786" s="184" t="s">
        <v>57</v>
      </c>
      <c r="L786" s="346">
        <v>0.8</v>
      </c>
      <c r="M786" s="35" t="s">
        <v>1529</v>
      </c>
      <c r="N786" s="35" t="s">
        <v>1530</v>
      </c>
      <c r="O786" s="35"/>
      <c r="P786" s="35">
        <v>1</v>
      </c>
      <c r="Q786" s="346">
        <v>0.2</v>
      </c>
      <c r="R786" s="35"/>
      <c r="S786" s="35">
        <f t="shared" si="24"/>
        <v>0</v>
      </c>
      <c r="T786" s="35">
        <f t="shared" si="25"/>
        <v>0</v>
      </c>
      <c r="U786" s="35" t="s">
        <v>34</v>
      </c>
      <c r="V786" s="35"/>
      <c r="W786" s="134"/>
    </row>
    <row r="787" spans="1:23" ht="16.05" customHeight="1" x14ac:dyDescent="0.45">
      <c r="A787" s="1">
        <v>786</v>
      </c>
      <c r="B787" s="113" t="s">
        <v>924</v>
      </c>
      <c r="C787" s="57" t="s">
        <v>24</v>
      </c>
      <c r="D787" s="479">
        <v>5577</v>
      </c>
      <c r="E787" s="480" t="s">
        <v>1521</v>
      </c>
      <c r="F787" s="480" t="s">
        <v>1522</v>
      </c>
      <c r="G787" s="480">
        <v>3717</v>
      </c>
      <c r="H787" s="113" t="s">
        <v>1476</v>
      </c>
      <c r="I787" s="113" t="s">
        <v>175</v>
      </c>
      <c r="J787" s="182" t="s">
        <v>111</v>
      </c>
      <c r="K787" s="182" t="s">
        <v>110</v>
      </c>
      <c r="L787" s="481">
        <v>0.2</v>
      </c>
      <c r="M787" s="16" t="s">
        <v>1531</v>
      </c>
      <c r="N787" s="16" t="s">
        <v>1532</v>
      </c>
      <c r="O787" s="16"/>
      <c r="P787" s="16">
        <v>1</v>
      </c>
      <c r="Q787" s="481">
        <v>0.15</v>
      </c>
      <c r="R787" s="16"/>
      <c r="S787" s="74">
        <f t="shared" si="24"/>
        <v>0</v>
      </c>
      <c r="T787" s="16">
        <f t="shared" si="25"/>
        <v>0</v>
      </c>
      <c r="U787" s="160" t="s">
        <v>34</v>
      </c>
      <c r="V787" s="482"/>
      <c r="W787" s="182"/>
    </row>
    <row r="788" spans="1:23" ht="16.05" customHeight="1" x14ac:dyDescent="0.45">
      <c r="A788" s="1">
        <v>787</v>
      </c>
      <c r="B788" s="113" t="s">
        <v>924</v>
      </c>
      <c r="C788" s="57" t="s">
        <v>24</v>
      </c>
      <c r="D788" s="479">
        <v>5577</v>
      </c>
      <c r="E788" s="480" t="s">
        <v>1521</v>
      </c>
      <c r="F788" s="480" t="s">
        <v>1522</v>
      </c>
      <c r="G788" s="480">
        <v>3717</v>
      </c>
      <c r="H788" s="113" t="s">
        <v>1476</v>
      </c>
      <c r="I788" s="113" t="s">
        <v>175</v>
      </c>
      <c r="J788" s="182" t="s">
        <v>111</v>
      </c>
      <c r="K788" s="182" t="s">
        <v>110</v>
      </c>
      <c r="L788" s="481">
        <v>0.2</v>
      </c>
      <c r="M788" s="16" t="s">
        <v>1533</v>
      </c>
      <c r="N788" s="16" t="s">
        <v>1534</v>
      </c>
      <c r="O788" s="16"/>
      <c r="P788" s="16">
        <v>1</v>
      </c>
      <c r="Q788" s="481">
        <v>0.3</v>
      </c>
      <c r="R788" s="16"/>
      <c r="S788" s="74">
        <f t="shared" si="24"/>
        <v>0</v>
      </c>
      <c r="T788" s="16">
        <f t="shared" si="25"/>
        <v>0</v>
      </c>
      <c r="U788" s="160" t="s">
        <v>34</v>
      </c>
      <c r="V788" s="483"/>
      <c r="W788" s="16"/>
    </row>
    <row r="789" spans="1:23" ht="16.05" customHeight="1" x14ac:dyDescent="0.45">
      <c r="A789" s="1">
        <v>788</v>
      </c>
      <c r="B789" s="113" t="s">
        <v>924</v>
      </c>
      <c r="C789" s="57" t="s">
        <v>24</v>
      </c>
      <c r="D789" s="484">
        <v>5577</v>
      </c>
      <c r="E789" s="480" t="s">
        <v>1521</v>
      </c>
      <c r="F789" s="480" t="s">
        <v>1522</v>
      </c>
      <c r="G789" s="480">
        <v>3717</v>
      </c>
      <c r="H789" s="113" t="s">
        <v>1476</v>
      </c>
      <c r="I789" s="113" t="s">
        <v>175</v>
      </c>
      <c r="J789" s="182" t="s">
        <v>111</v>
      </c>
      <c r="K789" s="182" t="s">
        <v>110</v>
      </c>
      <c r="L789" s="481">
        <v>0.2</v>
      </c>
      <c r="M789" s="16" t="s">
        <v>1535</v>
      </c>
      <c r="N789" s="16" t="s">
        <v>1536</v>
      </c>
      <c r="O789" s="16"/>
      <c r="P789" s="28">
        <v>1</v>
      </c>
      <c r="Q789" s="481">
        <v>0.3</v>
      </c>
      <c r="R789" s="28"/>
      <c r="S789" s="74">
        <f t="shared" si="24"/>
        <v>0</v>
      </c>
      <c r="T789" s="16">
        <f t="shared" si="25"/>
        <v>0</v>
      </c>
      <c r="U789" s="160" t="s">
        <v>34</v>
      </c>
      <c r="V789" s="483"/>
      <c r="W789" s="16"/>
    </row>
    <row r="790" spans="1:23" ht="16.05" customHeight="1" x14ac:dyDescent="0.45">
      <c r="A790" s="1">
        <v>789</v>
      </c>
      <c r="B790" s="113" t="s">
        <v>924</v>
      </c>
      <c r="C790" s="57" t="s">
        <v>24</v>
      </c>
      <c r="D790" s="484">
        <v>5577</v>
      </c>
      <c r="E790" s="480" t="s">
        <v>1521</v>
      </c>
      <c r="F790" s="480" t="s">
        <v>1522</v>
      </c>
      <c r="G790" s="480">
        <v>3717</v>
      </c>
      <c r="H790" s="113" t="s">
        <v>1476</v>
      </c>
      <c r="I790" s="113" t="s">
        <v>175</v>
      </c>
      <c r="J790" s="182" t="s">
        <v>111</v>
      </c>
      <c r="K790" s="182" t="s">
        <v>110</v>
      </c>
      <c r="L790" s="481">
        <v>0.2</v>
      </c>
      <c r="M790" s="16" t="s">
        <v>1537</v>
      </c>
      <c r="N790" s="16" t="s">
        <v>1538</v>
      </c>
      <c r="O790" s="16"/>
      <c r="P790" s="28">
        <v>1</v>
      </c>
      <c r="Q790" s="481">
        <v>0.25</v>
      </c>
      <c r="R790" s="28"/>
      <c r="S790" s="74">
        <f t="shared" si="24"/>
        <v>0</v>
      </c>
      <c r="T790" s="16">
        <f t="shared" si="25"/>
        <v>0</v>
      </c>
      <c r="U790" s="160" t="s">
        <v>34</v>
      </c>
      <c r="V790" s="483"/>
      <c r="W790" s="16"/>
    </row>
    <row r="791" spans="1:23" ht="16.05" customHeight="1" x14ac:dyDescent="0.45">
      <c r="A791" s="1">
        <v>790</v>
      </c>
      <c r="B791" s="99" t="s">
        <v>924</v>
      </c>
      <c r="C791" s="99" t="s">
        <v>24</v>
      </c>
      <c r="D791" s="349">
        <v>6478</v>
      </c>
      <c r="E791" s="99" t="s">
        <v>1539</v>
      </c>
      <c r="F791" s="99" t="s">
        <v>257</v>
      </c>
      <c r="G791" s="99">
        <v>3717</v>
      </c>
      <c r="H791" s="99" t="s">
        <v>1476</v>
      </c>
      <c r="I791" s="99" t="s">
        <v>175</v>
      </c>
      <c r="J791" s="99" t="s">
        <v>58</v>
      </c>
      <c r="K791" s="99" t="s">
        <v>57</v>
      </c>
      <c r="L791" s="350">
        <v>0.8</v>
      </c>
      <c r="M791" s="99" t="s">
        <v>1523</v>
      </c>
      <c r="N791" s="99" t="s">
        <v>1524</v>
      </c>
      <c r="O791" s="99"/>
      <c r="P791" s="91">
        <v>50</v>
      </c>
      <c r="Q791" s="350">
        <v>0.3</v>
      </c>
      <c r="R791" s="91"/>
      <c r="S791" s="120">
        <f t="shared" si="24"/>
        <v>0</v>
      </c>
      <c r="T791" s="99">
        <f t="shared" si="25"/>
        <v>0</v>
      </c>
      <c r="U791" s="99" t="s">
        <v>34</v>
      </c>
      <c r="V791" s="478">
        <f>SUM(T791:T799)%</f>
        <v>0</v>
      </c>
      <c r="W791" s="99"/>
    </row>
    <row r="792" spans="1:23" ht="16.05" customHeight="1" x14ac:dyDescent="0.45">
      <c r="A792" s="1">
        <v>791</v>
      </c>
      <c r="B792" s="113" t="s">
        <v>924</v>
      </c>
      <c r="C792" s="57" t="s">
        <v>24</v>
      </c>
      <c r="D792" s="479">
        <v>6478</v>
      </c>
      <c r="E792" s="480" t="s">
        <v>1539</v>
      </c>
      <c r="F792" s="480" t="s">
        <v>257</v>
      </c>
      <c r="G792" s="480">
        <v>3717</v>
      </c>
      <c r="H792" s="113" t="s">
        <v>1476</v>
      </c>
      <c r="I792" s="113" t="s">
        <v>175</v>
      </c>
      <c r="J792" s="184" t="s">
        <v>58</v>
      </c>
      <c r="K792" s="184" t="s">
        <v>57</v>
      </c>
      <c r="L792" s="346">
        <v>0.8</v>
      </c>
      <c r="M792" s="35" t="s">
        <v>1525</v>
      </c>
      <c r="N792" s="35" t="s">
        <v>1526</v>
      </c>
      <c r="O792" s="35"/>
      <c r="P792" s="35">
        <v>1</v>
      </c>
      <c r="Q792" s="346">
        <v>0.2</v>
      </c>
      <c r="R792" s="35"/>
      <c r="S792" s="35">
        <f t="shared" si="24"/>
        <v>0</v>
      </c>
      <c r="T792" s="35">
        <f t="shared" si="25"/>
        <v>0</v>
      </c>
      <c r="U792" s="35" t="s">
        <v>34</v>
      </c>
      <c r="V792" s="35"/>
      <c r="W792" s="134"/>
    </row>
    <row r="793" spans="1:23" ht="16.05" customHeight="1" x14ac:dyDescent="0.45">
      <c r="A793" s="1">
        <v>792</v>
      </c>
      <c r="B793" s="113" t="s">
        <v>924</v>
      </c>
      <c r="C793" s="57" t="s">
        <v>24</v>
      </c>
      <c r="D793" s="479">
        <v>6478</v>
      </c>
      <c r="E793" s="480" t="s">
        <v>1539</v>
      </c>
      <c r="F793" s="480" t="s">
        <v>257</v>
      </c>
      <c r="G793" s="480">
        <v>3717</v>
      </c>
      <c r="H793" s="113" t="s">
        <v>1476</v>
      </c>
      <c r="I793" s="113" t="s">
        <v>175</v>
      </c>
      <c r="J793" s="35" t="s">
        <v>58</v>
      </c>
      <c r="K793" s="184" t="s">
        <v>57</v>
      </c>
      <c r="L793" s="346">
        <v>0.8</v>
      </c>
      <c r="M793" s="35" t="s">
        <v>1527</v>
      </c>
      <c r="N793" s="35" t="s">
        <v>1528</v>
      </c>
      <c r="O793" s="35"/>
      <c r="P793" s="153">
        <v>1</v>
      </c>
      <c r="Q793" s="346">
        <v>0.15</v>
      </c>
      <c r="R793" s="153"/>
      <c r="S793" s="35">
        <f t="shared" si="24"/>
        <v>0</v>
      </c>
      <c r="T793" s="35">
        <f t="shared" si="25"/>
        <v>0</v>
      </c>
      <c r="U793" s="35" t="s">
        <v>34</v>
      </c>
      <c r="V793" s="35"/>
      <c r="W793" s="134"/>
    </row>
    <row r="794" spans="1:23" ht="16.05" customHeight="1" x14ac:dyDescent="0.45">
      <c r="A794" s="1">
        <v>793</v>
      </c>
      <c r="B794" s="113" t="s">
        <v>924</v>
      </c>
      <c r="C794" s="57" t="s">
        <v>24</v>
      </c>
      <c r="D794" s="479">
        <v>6478</v>
      </c>
      <c r="E794" s="480" t="s">
        <v>1539</v>
      </c>
      <c r="F794" s="480" t="s">
        <v>257</v>
      </c>
      <c r="G794" s="480">
        <v>3717</v>
      </c>
      <c r="H794" s="113" t="s">
        <v>1476</v>
      </c>
      <c r="I794" s="113" t="s">
        <v>175</v>
      </c>
      <c r="J794" s="35" t="s">
        <v>58</v>
      </c>
      <c r="K794" s="184" t="s">
        <v>57</v>
      </c>
      <c r="L794" s="346">
        <v>0.8</v>
      </c>
      <c r="M794" s="35" t="s">
        <v>188</v>
      </c>
      <c r="N794" s="35" t="s">
        <v>189</v>
      </c>
      <c r="O794" s="35"/>
      <c r="P794" s="35">
        <v>0.01</v>
      </c>
      <c r="Q794" s="346">
        <v>0.15</v>
      </c>
      <c r="R794" s="35"/>
      <c r="S794" s="35">
        <f t="shared" si="24"/>
        <v>0</v>
      </c>
      <c r="T794" s="35">
        <f t="shared" si="25"/>
        <v>0</v>
      </c>
      <c r="U794" s="35" t="s">
        <v>83</v>
      </c>
      <c r="V794" s="35"/>
      <c r="W794" s="134"/>
    </row>
    <row r="795" spans="1:23" ht="16.05" customHeight="1" x14ac:dyDescent="0.45">
      <c r="A795" s="1">
        <v>794</v>
      </c>
      <c r="B795" s="113" t="s">
        <v>924</v>
      </c>
      <c r="C795" s="57" t="s">
        <v>24</v>
      </c>
      <c r="D795" s="479">
        <v>6478</v>
      </c>
      <c r="E795" s="480" t="s">
        <v>1539</v>
      </c>
      <c r="F795" s="480" t="s">
        <v>257</v>
      </c>
      <c r="G795" s="480">
        <v>3717</v>
      </c>
      <c r="H795" s="113" t="s">
        <v>1476</v>
      </c>
      <c r="I795" s="113" t="s">
        <v>175</v>
      </c>
      <c r="J795" s="184" t="s">
        <v>58</v>
      </c>
      <c r="K795" s="184" t="s">
        <v>57</v>
      </c>
      <c r="L795" s="346">
        <v>0.8</v>
      </c>
      <c r="M795" s="35" t="s">
        <v>1529</v>
      </c>
      <c r="N795" s="35" t="s">
        <v>1530</v>
      </c>
      <c r="O795" s="35"/>
      <c r="P795" s="35">
        <v>1</v>
      </c>
      <c r="Q795" s="346">
        <v>0.2</v>
      </c>
      <c r="R795" s="35"/>
      <c r="S795" s="35">
        <f t="shared" si="24"/>
        <v>0</v>
      </c>
      <c r="T795" s="35">
        <f t="shared" si="25"/>
        <v>0</v>
      </c>
      <c r="U795" s="35" t="s">
        <v>34</v>
      </c>
      <c r="V795" s="35"/>
      <c r="W795" s="134"/>
    </row>
    <row r="796" spans="1:23" ht="16.05" customHeight="1" x14ac:dyDescent="0.45">
      <c r="A796" s="1">
        <v>795</v>
      </c>
      <c r="B796" s="113" t="s">
        <v>924</v>
      </c>
      <c r="C796" s="57" t="s">
        <v>24</v>
      </c>
      <c r="D796" s="479">
        <v>6478</v>
      </c>
      <c r="E796" s="480" t="s">
        <v>1539</v>
      </c>
      <c r="F796" s="480" t="s">
        <v>257</v>
      </c>
      <c r="G796" s="480">
        <v>3717</v>
      </c>
      <c r="H796" s="113" t="s">
        <v>1476</v>
      </c>
      <c r="I796" s="113" t="s">
        <v>175</v>
      </c>
      <c r="J796" s="182" t="s">
        <v>111</v>
      </c>
      <c r="K796" s="182" t="s">
        <v>110</v>
      </c>
      <c r="L796" s="481">
        <v>0.2</v>
      </c>
      <c r="M796" s="16" t="s">
        <v>1531</v>
      </c>
      <c r="N796" s="16" t="s">
        <v>1532</v>
      </c>
      <c r="O796" s="16"/>
      <c r="P796" s="16">
        <v>1</v>
      </c>
      <c r="Q796" s="481">
        <v>0.15</v>
      </c>
      <c r="R796" s="16"/>
      <c r="S796" s="74">
        <f t="shared" si="24"/>
        <v>0</v>
      </c>
      <c r="T796" s="16">
        <f t="shared" si="25"/>
        <v>0</v>
      </c>
      <c r="U796" s="160" t="s">
        <v>34</v>
      </c>
      <c r="V796" s="482"/>
      <c r="W796" s="182"/>
    </row>
    <row r="797" spans="1:23" ht="16.05" customHeight="1" x14ac:dyDescent="0.45">
      <c r="A797" s="1">
        <v>796</v>
      </c>
      <c r="B797" s="113" t="s">
        <v>924</v>
      </c>
      <c r="C797" s="57" t="s">
        <v>24</v>
      </c>
      <c r="D797" s="479">
        <v>6478</v>
      </c>
      <c r="E797" s="480" t="s">
        <v>1539</v>
      </c>
      <c r="F797" s="480" t="s">
        <v>257</v>
      </c>
      <c r="G797" s="480">
        <v>3717</v>
      </c>
      <c r="H797" s="113" t="s">
        <v>1476</v>
      </c>
      <c r="I797" s="113" t="s">
        <v>175</v>
      </c>
      <c r="J797" s="182" t="s">
        <v>111</v>
      </c>
      <c r="K797" s="182" t="s">
        <v>110</v>
      </c>
      <c r="L797" s="481">
        <v>0.2</v>
      </c>
      <c r="M797" s="16" t="s">
        <v>1533</v>
      </c>
      <c r="N797" s="16" t="s">
        <v>1534</v>
      </c>
      <c r="O797" s="16"/>
      <c r="P797" s="16">
        <v>1</v>
      </c>
      <c r="Q797" s="481">
        <v>0.3</v>
      </c>
      <c r="R797" s="16"/>
      <c r="S797" s="74">
        <f t="shared" si="24"/>
        <v>0</v>
      </c>
      <c r="T797" s="16">
        <f t="shared" si="25"/>
        <v>0</v>
      </c>
      <c r="U797" s="160" t="s">
        <v>34</v>
      </c>
      <c r="V797" s="482"/>
      <c r="W797" s="182"/>
    </row>
    <row r="798" spans="1:23" ht="16.05" customHeight="1" x14ac:dyDescent="0.45">
      <c r="A798" s="1">
        <v>797</v>
      </c>
      <c r="B798" s="113" t="s">
        <v>924</v>
      </c>
      <c r="C798" s="57" t="s">
        <v>24</v>
      </c>
      <c r="D798" s="479">
        <v>6478</v>
      </c>
      <c r="E798" s="480" t="s">
        <v>1539</v>
      </c>
      <c r="F798" s="480" t="s">
        <v>257</v>
      </c>
      <c r="G798" s="480">
        <v>3717</v>
      </c>
      <c r="H798" s="113" t="s">
        <v>1476</v>
      </c>
      <c r="I798" s="113" t="s">
        <v>175</v>
      </c>
      <c r="J798" s="182" t="s">
        <v>111</v>
      </c>
      <c r="K798" s="182" t="s">
        <v>110</v>
      </c>
      <c r="L798" s="481">
        <v>0.2</v>
      </c>
      <c r="M798" s="16" t="s">
        <v>1535</v>
      </c>
      <c r="N798" s="16" t="s">
        <v>1536</v>
      </c>
      <c r="O798" s="16"/>
      <c r="P798" s="28">
        <v>1</v>
      </c>
      <c r="Q798" s="481">
        <v>0.3</v>
      </c>
      <c r="R798" s="28"/>
      <c r="S798" s="74">
        <f t="shared" si="24"/>
        <v>0</v>
      </c>
      <c r="T798" s="16">
        <f t="shared" si="25"/>
        <v>0</v>
      </c>
      <c r="U798" s="160" t="s">
        <v>34</v>
      </c>
      <c r="V798" s="483"/>
      <c r="W798" s="16"/>
    </row>
    <row r="799" spans="1:23" ht="16.05" customHeight="1" x14ac:dyDescent="0.45">
      <c r="A799" s="1">
        <v>798</v>
      </c>
      <c r="B799" s="113" t="s">
        <v>924</v>
      </c>
      <c r="C799" s="57" t="s">
        <v>24</v>
      </c>
      <c r="D799" s="479">
        <v>6478</v>
      </c>
      <c r="E799" s="480" t="s">
        <v>1539</v>
      </c>
      <c r="F799" s="480" t="s">
        <v>257</v>
      </c>
      <c r="G799" s="480">
        <v>3717</v>
      </c>
      <c r="H799" s="113" t="s">
        <v>1476</v>
      </c>
      <c r="I799" s="113" t="s">
        <v>175</v>
      </c>
      <c r="J799" s="182" t="s">
        <v>111</v>
      </c>
      <c r="K799" s="182" t="s">
        <v>110</v>
      </c>
      <c r="L799" s="481">
        <v>0.2</v>
      </c>
      <c r="M799" s="16" t="s">
        <v>1537</v>
      </c>
      <c r="N799" s="16" t="s">
        <v>1540</v>
      </c>
      <c r="O799" s="16"/>
      <c r="P799" s="28">
        <v>1</v>
      </c>
      <c r="Q799" s="481">
        <v>0.25</v>
      </c>
      <c r="R799" s="28"/>
      <c r="S799" s="74">
        <f t="shared" si="24"/>
        <v>0</v>
      </c>
      <c r="T799" s="16">
        <f t="shared" si="25"/>
        <v>0</v>
      </c>
      <c r="U799" s="160" t="s">
        <v>34</v>
      </c>
      <c r="V799" s="483"/>
      <c r="W799" s="16"/>
    </row>
    <row r="800" spans="1:23" ht="16.05" customHeight="1" x14ac:dyDescent="0.45">
      <c r="A800" s="1">
        <v>799</v>
      </c>
      <c r="B800" s="99" t="s">
        <v>924</v>
      </c>
      <c r="C800" s="99" t="s">
        <v>24</v>
      </c>
      <c r="D800" s="349">
        <v>5281</v>
      </c>
      <c r="E800" s="99" t="s">
        <v>1541</v>
      </c>
      <c r="F800" s="99" t="s">
        <v>1542</v>
      </c>
      <c r="G800" s="99">
        <v>3717</v>
      </c>
      <c r="H800" s="99" t="s">
        <v>1476</v>
      </c>
      <c r="I800" s="99" t="s">
        <v>175</v>
      </c>
      <c r="J800" s="99" t="s">
        <v>58</v>
      </c>
      <c r="K800" s="99" t="s">
        <v>57</v>
      </c>
      <c r="L800" s="350">
        <v>0.8</v>
      </c>
      <c r="M800" s="99" t="s">
        <v>1543</v>
      </c>
      <c r="N800" s="99" t="s">
        <v>1544</v>
      </c>
      <c r="O800" s="99"/>
      <c r="P800" s="99" t="s">
        <v>1545</v>
      </c>
      <c r="Q800" s="350">
        <v>0.2</v>
      </c>
      <c r="R800" s="99"/>
      <c r="S800" s="120">
        <f t="shared" si="24"/>
        <v>0</v>
      </c>
      <c r="T800" s="99">
        <f t="shared" si="25"/>
        <v>0</v>
      </c>
      <c r="U800" s="99" t="s">
        <v>34</v>
      </c>
      <c r="V800" s="478">
        <f>SUM(T800:T808)%</f>
        <v>0</v>
      </c>
      <c r="W800" s="99"/>
    </row>
    <row r="801" spans="1:23" ht="16.05" customHeight="1" x14ac:dyDescent="0.45">
      <c r="A801" s="1">
        <v>800</v>
      </c>
      <c r="B801" s="113" t="s">
        <v>924</v>
      </c>
      <c r="C801" s="57" t="s">
        <v>24</v>
      </c>
      <c r="D801" s="479">
        <v>5281</v>
      </c>
      <c r="E801" s="480" t="s">
        <v>1541</v>
      </c>
      <c r="F801" s="480" t="s">
        <v>1542</v>
      </c>
      <c r="G801" s="480">
        <v>3717</v>
      </c>
      <c r="H801" s="113" t="s">
        <v>1476</v>
      </c>
      <c r="I801" s="113" t="s">
        <v>175</v>
      </c>
      <c r="J801" s="184" t="s">
        <v>58</v>
      </c>
      <c r="K801" s="290" t="s">
        <v>57</v>
      </c>
      <c r="L801" s="360">
        <v>0.8</v>
      </c>
      <c r="M801" s="184"/>
      <c r="N801" s="396" t="s">
        <v>1473</v>
      </c>
      <c r="O801" s="184"/>
      <c r="P801" s="391">
        <v>1</v>
      </c>
      <c r="Q801" s="360">
        <v>0.1</v>
      </c>
      <c r="R801" s="391"/>
      <c r="S801" s="35">
        <f t="shared" si="24"/>
        <v>0</v>
      </c>
      <c r="T801" s="463">
        <f t="shared" si="25"/>
        <v>0</v>
      </c>
      <c r="U801" s="464" t="s">
        <v>34</v>
      </c>
      <c r="V801" s="485"/>
      <c r="W801" s="59"/>
    </row>
    <row r="802" spans="1:23" ht="16.05" customHeight="1" x14ac:dyDescent="0.45">
      <c r="A802" s="1">
        <v>801</v>
      </c>
      <c r="B802" s="113" t="s">
        <v>924</v>
      </c>
      <c r="C802" s="57" t="s">
        <v>24</v>
      </c>
      <c r="D802" s="479">
        <v>5281</v>
      </c>
      <c r="E802" s="480" t="s">
        <v>1541</v>
      </c>
      <c r="F802" s="480" t="s">
        <v>1542</v>
      </c>
      <c r="G802" s="480">
        <v>3717</v>
      </c>
      <c r="H802" s="113" t="s">
        <v>1476</v>
      </c>
      <c r="I802" s="113" t="s">
        <v>175</v>
      </c>
      <c r="J802" s="184" t="s">
        <v>58</v>
      </c>
      <c r="K802" s="290" t="s">
        <v>57</v>
      </c>
      <c r="L802" s="346">
        <v>0.8</v>
      </c>
      <c r="M802" s="35" t="s">
        <v>1546</v>
      </c>
      <c r="N802" s="35" t="s">
        <v>1547</v>
      </c>
      <c r="O802" s="35"/>
      <c r="P802" s="486">
        <v>100000000</v>
      </c>
      <c r="Q802" s="346">
        <v>0.1</v>
      </c>
      <c r="R802" s="486"/>
      <c r="S802" s="35">
        <f t="shared" si="24"/>
        <v>0</v>
      </c>
      <c r="T802" s="35">
        <f t="shared" si="25"/>
        <v>0</v>
      </c>
      <c r="U802" s="35" t="s">
        <v>34</v>
      </c>
      <c r="V802" s="35"/>
      <c r="W802" s="134"/>
    </row>
    <row r="803" spans="1:23" ht="16.05" customHeight="1" x14ac:dyDescent="0.45">
      <c r="A803" s="1">
        <v>802</v>
      </c>
      <c r="B803" s="113" t="s">
        <v>924</v>
      </c>
      <c r="C803" s="57" t="s">
        <v>24</v>
      </c>
      <c r="D803" s="479">
        <v>5281</v>
      </c>
      <c r="E803" s="480" t="s">
        <v>1541</v>
      </c>
      <c r="F803" s="480" t="s">
        <v>1542</v>
      </c>
      <c r="G803" s="480">
        <v>3717</v>
      </c>
      <c r="H803" s="113" t="s">
        <v>1476</v>
      </c>
      <c r="I803" s="113" t="s">
        <v>175</v>
      </c>
      <c r="J803" s="184" t="s">
        <v>58</v>
      </c>
      <c r="K803" s="290" t="s">
        <v>57</v>
      </c>
      <c r="L803" s="360">
        <v>0.8</v>
      </c>
      <c r="M803" s="35"/>
      <c r="N803" s="35" t="s">
        <v>1548</v>
      </c>
      <c r="O803" s="35"/>
      <c r="P803" s="487">
        <v>900</v>
      </c>
      <c r="Q803" s="360">
        <v>0.2</v>
      </c>
      <c r="R803" s="487"/>
      <c r="S803" s="35">
        <f t="shared" si="24"/>
        <v>0</v>
      </c>
      <c r="T803" s="35">
        <f t="shared" si="25"/>
        <v>0</v>
      </c>
      <c r="U803" s="35" t="s">
        <v>34</v>
      </c>
      <c r="V803" s="35"/>
      <c r="W803" s="134"/>
    </row>
    <row r="804" spans="1:23" ht="16.05" customHeight="1" x14ac:dyDescent="0.45">
      <c r="A804" s="1">
        <v>803</v>
      </c>
      <c r="B804" s="113" t="s">
        <v>924</v>
      </c>
      <c r="C804" s="57" t="s">
        <v>24</v>
      </c>
      <c r="D804" s="479">
        <v>5281</v>
      </c>
      <c r="E804" s="480" t="s">
        <v>1541</v>
      </c>
      <c r="F804" s="480" t="s">
        <v>1542</v>
      </c>
      <c r="G804" s="480">
        <v>3717</v>
      </c>
      <c r="H804" s="113" t="s">
        <v>1476</v>
      </c>
      <c r="I804" s="113" t="s">
        <v>175</v>
      </c>
      <c r="J804" s="184" t="s">
        <v>58</v>
      </c>
      <c r="K804" s="290" t="s">
        <v>57</v>
      </c>
      <c r="L804" s="346">
        <v>0.8</v>
      </c>
      <c r="M804" s="35" t="s">
        <v>1549</v>
      </c>
      <c r="N804" s="35" t="s">
        <v>1550</v>
      </c>
      <c r="O804" s="35"/>
      <c r="P804" s="42">
        <v>40</v>
      </c>
      <c r="Q804" s="346">
        <v>0.1</v>
      </c>
      <c r="R804" s="42"/>
      <c r="S804" s="35">
        <f t="shared" si="24"/>
        <v>0</v>
      </c>
      <c r="T804" s="35">
        <f t="shared" si="25"/>
        <v>0</v>
      </c>
      <c r="U804" s="35" t="s">
        <v>34</v>
      </c>
      <c r="V804" s="35"/>
      <c r="W804" s="134"/>
    </row>
    <row r="805" spans="1:23" ht="16.05" customHeight="1" x14ac:dyDescent="0.45">
      <c r="A805" s="1">
        <v>804</v>
      </c>
      <c r="B805" s="113" t="s">
        <v>924</v>
      </c>
      <c r="C805" s="57" t="s">
        <v>24</v>
      </c>
      <c r="D805" s="479">
        <v>5281</v>
      </c>
      <c r="E805" s="480" t="s">
        <v>1541</v>
      </c>
      <c r="F805" s="480" t="s">
        <v>1542</v>
      </c>
      <c r="G805" s="480">
        <v>3717</v>
      </c>
      <c r="H805" s="113" t="s">
        <v>1476</v>
      </c>
      <c r="I805" s="113" t="s">
        <v>175</v>
      </c>
      <c r="J805" s="184" t="s">
        <v>58</v>
      </c>
      <c r="K805" s="290" t="s">
        <v>57</v>
      </c>
      <c r="L805" s="346">
        <v>0.8</v>
      </c>
      <c r="M805" s="35"/>
      <c r="N805" s="184" t="s">
        <v>1469</v>
      </c>
      <c r="O805" s="35"/>
      <c r="P805" s="152">
        <v>1</v>
      </c>
      <c r="Q805" s="346">
        <v>0.1</v>
      </c>
      <c r="R805" s="152"/>
      <c r="S805" s="35">
        <f t="shared" si="24"/>
        <v>0</v>
      </c>
      <c r="T805" s="35">
        <f t="shared" si="25"/>
        <v>0</v>
      </c>
      <c r="U805" s="35" t="s">
        <v>34</v>
      </c>
      <c r="V805" s="35"/>
      <c r="W805" s="134"/>
    </row>
    <row r="806" spans="1:23" ht="16.05" customHeight="1" x14ac:dyDescent="0.45">
      <c r="A806" s="1">
        <v>805</v>
      </c>
      <c r="B806" s="113" t="s">
        <v>924</v>
      </c>
      <c r="C806" s="57" t="s">
        <v>24</v>
      </c>
      <c r="D806" s="479">
        <v>5281</v>
      </c>
      <c r="E806" s="480" t="s">
        <v>1541</v>
      </c>
      <c r="F806" s="480" t="s">
        <v>1542</v>
      </c>
      <c r="G806" s="480">
        <v>3717</v>
      </c>
      <c r="H806" s="113" t="s">
        <v>1476</v>
      </c>
      <c r="I806" s="113" t="s">
        <v>175</v>
      </c>
      <c r="J806" s="184" t="s">
        <v>58</v>
      </c>
      <c r="K806" s="290" t="s">
        <v>57</v>
      </c>
      <c r="L806" s="346">
        <v>0.8</v>
      </c>
      <c r="M806" s="488" t="s">
        <v>1551</v>
      </c>
      <c r="N806" s="35" t="s">
        <v>1552</v>
      </c>
      <c r="O806" s="35"/>
      <c r="P806" s="35">
        <v>1</v>
      </c>
      <c r="Q806" s="346">
        <v>0.2</v>
      </c>
      <c r="R806" s="35"/>
      <c r="S806" s="35">
        <f t="shared" si="24"/>
        <v>0</v>
      </c>
      <c r="T806" s="35">
        <f t="shared" si="25"/>
        <v>0</v>
      </c>
      <c r="U806" s="35" t="s">
        <v>34</v>
      </c>
      <c r="V806" s="35"/>
      <c r="W806" s="134"/>
    </row>
    <row r="807" spans="1:23" ht="16.05" customHeight="1" x14ac:dyDescent="0.45">
      <c r="A807" s="1">
        <v>806</v>
      </c>
      <c r="B807" s="113" t="s">
        <v>924</v>
      </c>
      <c r="C807" s="57" t="s">
        <v>24</v>
      </c>
      <c r="D807" s="479">
        <v>5281</v>
      </c>
      <c r="E807" s="480" t="s">
        <v>1541</v>
      </c>
      <c r="F807" s="480" t="s">
        <v>1542</v>
      </c>
      <c r="G807" s="480">
        <v>3717</v>
      </c>
      <c r="H807" s="113" t="s">
        <v>1476</v>
      </c>
      <c r="I807" s="113" t="s">
        <v>175</v>
      </c>
      <c r="J807" s="182" t="s">
        <v>111</v>
      </c>
      <c r="K807" s="182" t="s">
        <v>110</v>
      </c>
      <c r="L807" s="489">
        <v>0.2</v>
      </c>
      <c r="M807" s="16" t="s">
        <v>1553</v>
      </c>
      <c r="N807" s="16" t="s">
        <v>1554</v>
      </c>
      <c r="O807" s="16"/>
      <c r="P807" s="16">
        <v>1</v>
      </c>
      <c r="Q807" s="489">
        <v>0.5</v>
      </c>
      <c r="R807" s="16"/>
      <c r="S807" s="74">
        <f t="shared" si="24"/>
        <v>0</v>
      </c>
      <c r="T807" s="16">
        <f t="shared" si="25"/>
        <v>0</v>
      </c>
      <c r="U807" s="16" t="s">
        <v>34</v>
      </c>
      <c r="V807" s="182"/>
      <c r="W807" s="182"/>
    </row>
    <row r="808" spans="1:23" ht="16.05" customHeight="1" x14ac:dyDescent="0.45">
      <c r="A808" s="1">
        <v>807</v>
      </c>
      <c r="B808" s="113" t="s">
        <v>924</v>
      </c>
      <c r="C808" s="57" t="s">
        <v>24</v>
      </c>
      <c r="D808" s="479">
        <v>5281</v>
      </c>
      <c r="E808" s="480" t="s">
        <v>1541</v>
      </c>
      <c r="F808" s="480" t="s">
        <v>1542</v>
      </c>
      <c r="G808" s="480">
        <v>3717</v>
      </c>
      <c r="H808" s="113" t="s">
        <v>1476</v>
      </c>
      <c r="I808" s="113" t="s">
        <v>175</v>
      </c>
      <c r="J808" s="182" t="s">
        <v>111</v>
      </c>
      <c r="K808" s="182" t="s">
        <v>110</v>
      </c>
      <c r="L808" s="489">
        <v>0.2</v>
      </c>
      <c r="M808" s="16" t="s">
        <v>1555</v>
      </c>
      <c r="N808" s="16" t="s">
        <v>1556</v>
      </c>
      <c r="O808" s="16"/>
      <c r="P808" s="26">
        <v>1</v>
      </c>
      <c r="Q808" s="489">
        <v>0.5</v>
      </c>
      <c r="R808" s="26"/>
      <c r="S808" s="74">
        <f t="shared" si="24"/>
        <v>0</v>
      </c>
      <c r="T808" s="16">
        <f t="shared" si="25"/>
        <v>0</v>
      </c>
      <c r="U808" s="16" t="s">
        <v>34</v>
      </c>
      <c r="V808" s="16"/>
      <c r="W808" s="16"/>
    </row>
    <row r="809" spans="1:23" ht="16.05" customHeight="1" x14ac:dyDescent="0.45">
      <c r="A809" s="1">
        <v>808</v>
      </c>
      <c r="B809" s="3" t="s">
        <v>924</v>
      </c>
      <c r="C809" s="94" t="s">
        <v>24</v>
      </c>
      <c r="D809" s="349">
        <v>3041</v>
      </c>
      <c r="E809" s="99" t="s">
        <v>1557</v>
      </c>
      <c r="F809" s="99" t="s">
        <v>1558</v>
      </c>
      <c r="G809" s="3">
        <v>3717</v>
      </c>
      <c r="H809" s="3" t="s">
        <v>1476</v>
      </c>
      <c r="I809" s="94" t="s">
        <v>175</v>
      </c>
      <c r="J809" s="3" t="s">
        <v>58</v>
      </c>
      <c r="K809" s="388" t="s">
        <v>57</v>
      </c>
      <c r="L809" s="350">
        <v>0.8</v>
      </c>
      <c r="M809" s="410" t="s">
        <v>1559</v>
      </c>
      <c r="N809" s="473" t="s">
        <v>1560</v>
      </c>
      <c r="O809" s="3"/>
      <c r="P809" s="148">
        <v>1</v>
      </c>
      <c r="Q809" s="350">
        <v>0.1</v>
      </c>
      <c r="R809" s="148"/>
      <c r="S809" s="120">
        <f t="shared" si="24"/>
        <v>0</v>
      </c>
      <c r="T809" s="3">
        <f t="shared" si="25"/>
        <v>0</v>
      </c>
      <c r="U809" s="3" t="s">
        <v>34</v>
      </c>
      <c r="V809" s="461">
        <f>SUM(T809:T822)%</f>
        <v>0</v>
      </c>
      <c r="W809" s="3"/>
    </row>
    <row r="810" spans="1:23" ht="16.05" customHeight="1" x14ac:dyDescent="0.45">
      <c r="A810" s="1">
        <v>809</v>
      </c>
      <c r="B810" s="113" t="s">
        <v>924</v>
      </c>
      <c r="C810" s="16" t="s">
        <v>24</v>
      </c>
      <c r="D810" s="358">
        <v>3041</v>
      </c>
      <c r="E810" s="113" t="s">
        <v>1557</v>
      </c>
      <c r="F810" s="113" t="s">
        <v>1558</v>
      </c>
      <c r="G810" s="357">
        <v>3717</v>
      </c>
      <c r="H810" s="113" t="s">
        <v>1476</v>
      </c>
      <c r="I810" s="113" t="s">
        <v>175</v>
      </c>
      <c r="J810" s="184" t="s">
        <v>58</v>
      </c>
      <c r="K810" s="290" t="s">
        <v>57</v>
      </c>
      <c r="L810" s="360">
        <v>0.8</v>
      </c>
      <c r="M810" s="184" t="s">
        <v>1561</v>
      </c>
      <c r="N810" s="153" t="s">
        <v>1562</v>
      </c>
      <c r="O810" s="184"/>
      <c r="P810" s="153">
        <v>1</v>
      </c>
      <c r="Q810" s="360">
        <v>0.1</v>
      </c>
      <c r="R810" s="153"/>
      <c r="S810" s="35">
        <f t="shared" si="24"/>
        <v>0</v>
      </c>
      <c r="T810" s="184">
        <f t="shared" si="25"/>
        <v>0</v>
      </c>
      <c r="U810" s="184" t="s">
        <v>34</v>
      </c>
      <c r="V810" s="184"/>
      <c r="W810" s="182"/>
    </row>
    <row r="811" spans="1:23" ht="16.05" customHeight="1" x14ac:dyDescent="0.45">
      <c r="A811" s="1">
        <v>810</v>
      </c>
      <c r="B811" s="113" t="s">
        <v>924</v>
      </c>
      <c r="C811" s="16" t="s">
        <v>24</v>
      </c>
      <c r="D811" s="358">
        <v>3041</v>
      </c>
      <c r="E811" s="113" t="s">
        <v>1557</v>
      </c>
      <c r="F811" s="113" t="s">
        <v>1558</v>
      </c>
      <c r="G811" s="357">
        <v>3717</v>
      </c>
      <c r="H811" s="113" t="s">
        <v>1476</v>
      </c>
      <c r="I811" s="113" t="s">
        <v>175</v>
      </c>
      <c r="J811" s="184" t="s">
        <v>58</v>
      </c>
      <c r="K811" s="290" t="s">
        <v>57</v>
      </c>
      <c r="L811" s="360">
        <v>0.8</v>
      </c>
      <c r="M811" s="184" t="s">
        <v>1563</v>
      </c>
      <c r="N811" s="153" t="s">
        <v>1564</v>
      </c>
      <c r="O811" s="184"/>
      <c r="P811" s="153">
        <v>1</v>
      </c>
      <c r="Q811" s="360">
        <v>0.05</v>
      </c>
      <c r="R811" s="153"/>
      <c r="S811" s="35">
        <f t="shared" si="24"/>
        <v>0</v>
      </c>
      <c r="T811" s="184">
        <f t="shared" si="25"/>
        <v>0</v>
      </c>
      <c r="U811" s="184" t="s">
        <v>34</v>
      </c>
      <c r="V811" s="184"/>
      <c r="W811" s="182"/>
    </row>
    <row r="812" spans="1:23" ht="16.05" customHeight="1" x14ac:dyDescent="0.45">
      <c r="A812" s="1">
        <v>811</v>
      </c>
      <c r="B812" s="113" t="s">
        <v>924</v>
      </c>
      <c r="C812" s="16" t="s">
        <v>24</v>
      </c>
      <c r="D812" s="358">
        <v>3041</v>
      </c>
      <c r="E812" s="113" t="s">
        <v>1557</v>
      </c>
      <c r="F812" s="113" t="s">
        <v>1558</v>
      </c>
      <c r="G812" s="357">
        <v>3717</v>
      </c>
      <c r="H812" s="113" t="s">
        <v>1476</v>
      </c>
      <c r="I812" s="113" t="s">
        <v>175</v>
      </c>
      <c r="J812" s="184" t="s">
        <v>58</v>
      </c>
      <c r="K812" s="290" t="s">
        <v>57</v>
      </c>
      <c r="L812" s="360">
        <v>0.8</v>
      </c>
      <c r="M812" s="184" t="s">
        <v>1565</v>
      </c>
      <c r="N812" s="153" t="s">
        <v>1566</v>
      </c>
      <c r="O812" s="184"/>
      <c r="P812" s="153">
        <v>1</v>
      </c>
      <c r="Q812" s="360">
        <v>0.05</v>
      </c>
      <c r="R812" s="153"/>
      <c r="S812" s="35">
        <f t="shared" si="24"/>
        <v>0</v>
      </c>
      <c r="T812" s="184">
        <f t="shared" si="25"/>
        <v>0</v>
      </c>
      <c r="U812" s="184" t="s">
        <v>34</v>
      </c>
      <c r="V812" s="184"/>
      <c r="W812" s="182"/>
    </row>
    <row r="813" spans="1:23" ht="16.05" customHeight="1" x14ac:dyDescent="0.45">
      <c r="A813" s="1">
        <v>812</v>
      </c>
      <c r="B813" s="113" t="s">
        <v>924</v>
      </c>
      <c r="C813" s="16" t="s">
        <v>24</v>
      </c>
      <c r="D813" s="358">
        <v>3041</v>
      </c>
      <c r="E813" s="113" t="s">
        <v>1557</v>
      </c>
      <c r="F813" s="113" t="s">
        <v>1558</v>
      </c>
      <c r="G813" s="357">
        <v>3717</v>
      </c>
      <c r="H813" s="113" t="s">
        <v>1476</v>
      </c>
      <c r="I813" s="113" t="s">
        <v>175</v>
      </c>
      <c r="J813" s="184" t="s">
        <v>58</v>
      </c>
      <c r="K813" s="290" t="s">
        <v>57</v>
      </c>
      <c r="L813" s="360">
        <v>0.8</v>
      </c>
      <c r="M813" s="184" t="s">
        <v>1567</v>
      </c>
      <c r="N813" s="153" t="s">
        <v>1568</v>
      </c>
      <c r="O813" s="184"/>
      <c r="P813" s="153">
        <v>1</v>
      </c>
      <c r="Q813" s="360">
        <v>0.1</v>
      </c>
      <c r="R813" s="153"/>
      <c r="S813" s="35">
        <f t="shared" si="24"/>
        <v>0</v>
      </c>
      <c r="T813" s="184">
        <f t="shared" si="25"/>
        <v>0</v>
      </c>
      <c r="U813" s="184" t="s">
        <v>34</v>
      </c>
      <c r="V813" s="184"/>
      <c r="W813" s="182"/>
    </row>
    <row r="814" spans="1:23" ht="16.05" customHeight="1" x14ac:dyDescent="0.45">
      <c r="A814" s="1">
        <v>813</v>
      </c>
      <c r="B814" s="113" t="s">
        <v>924</v>
      </c>
      <c r="C814" s="16" t="s">
        <v>24</v>
      </c>
      <c r="D814" s="358">
        <v>3041</v>
      </c>
      <c r="E814" s="113" t="s">
        <v>1557</v>
      </c>
      <c r="F814" s="113" t="s">
        <v>1558</v>
      </c>
      <c r="G814" s="357">
        <v>3717</v>
      </c>
      <c r="H814" s="113" t="s">
        <v>1476</v>
      </c>
      <c r="I814" s="113" t="s">
        <v>175</v>
      </c>
      <c r="J814" s="184" t="s">
        <v>58</v>
      </c>
      <c r="K814" s="290" t="s">
        <v>57</v>
      </c>
      <c r="L814" s="360">
        <v>0.8</v>
      </c>
      <c r="M814" s="184" t="s">
        <v>1569</v>
      </c>
      <c r="N814" s="153" t="s">
        <v>1570</v>
      </c>
      <c r="O814" s="184"/>
      <c r="P814" s="153">
        <v>1</v>
      </c>
      <c r="Q814" s="360">
        <v>0.05</v>
      </c>
      <c r="R814" s="153"/>
      <c r="S814" s="35">
        <f t="shared" si="24"/>
        <v>0</v>
      </c>
      <c r="T814" s="184">
        <f t="shared" si="25"/>
        <v>0</v>
      </c>
      <c r="U814" s="184" t="s">
        <v>34</v>
      </c>
      <c r="V814" s="184"/>
      <c r="W814" s="182"/>
    </row>
    <row r="815" spans="1:23" ht="16.05" customHeight="1" x14ac:dyDescent="0.45">
      <c r="A815" s="1">
        <v>814</v>
      </c>
      <c r="B815" s="113" t="s">
        <v>924</v>
      </c>
      <c r="C815" s="16" t="s">
        <v>24</v>
      </c>
      <c r="D815" s="358">
        <v>3041</v>
      </c>
      <c r="E815" s="113" t="s">
        <v>1557</v>
      </c>
      <c r="F815" s="113" t="s">
        <v>1558</v>
      </c>
      <c r="G815" s="357">
        <v>3717</v>
      </c>
      <c r="H815" s="113" t="s">
        <v>1476</v>
      </c>
      <c r="I815" s="113" t="s">
        <v>175</v>
      </c>
      <c r="J815" s="184" t="s">
        <v>58</v>
      </c>
      <c r="K815" s="290" t="s">
        <v>57</v>
      </c>
      <c r="L815" s="360">
        <v>0.8</v>
      </c>
      <c r="M815" s="184" t="s">
        <v>1571</v>
      </c>
      <c r="N815" s="153" t="s">
        <v>1572</v>
      </c>
      <c r="O815" s="184"/>
      <c r="P815" s="153">
        <v>1</v>
      </c>
      <c r="Q815" s="360">
        <v>0.05</v>
      </c>
      <c r="R815" s="153"/>
      <c r="S815" s="35">
        <f t="shared" si="24"/>
        <v>0</v>
      </c>
      <c r="T815" s="184">
        <f t="shared" si="25"/>
        <v>0</v>
      </c>
      <c r="U815" s="184" t="s">
        <v>34</v>
      </c>
      <c r="V815" s="184"/>
      <c r="W815" s="182"/>
    </row>
    <row r="816" spans="1:23" ht="16.05" customHeight="1" x14ac:dyDescent="0.45">
      <c r="A816" s="1">
        <v>815</v>
      </c>
      <c r="B816" s="113" t="s">
        <v>924</v>
      </c>
      <c r="C816" s="16" t="s">
        <v>24</v>
      </c>
      <c r="D816" s="358">
        <v>3041</v>
      </c>
      <c r="E816" s="113" t="s">
        <v>1557</v>
      </c>
      <c r="F816" s="113" t="s">
        <v>1558</v>
      </c>
      <c r="G816" s="357">
        <v>3717</v>
      </c>
      <c r="H816" s="113" t="s">
        <v>1476</v>
      </c>
      <c r="I816" s="113" t="s">
        <v>175</v>
      </c>
      <c r="J816" s="184" t="s">
        <v>58</v>
      </c>
      <c r="K816" s="290" t="s">
        <v>57</v>
      </c>
      <c r="L816" s="360">
        <v>0.8</v>
      </c>
      <c r="M816" s="184" t="s">
        <v>1573</v>
      </c>
      <c r="N816" s="153" t="s">
        <v>1574</v>
      </c>
      <c r="O816" s="184"/>
      <c r="P816" s="153">
        <v>1</v>
      </c>
      <c r="Q816" s="360">
        <v>0.1</v>
      </c>
      <c r="R816" s="153"/>
      <c r="S816" s="35">
        <f t="shared" si="24"/>
        <v>0</v>
      </c>
      <c r="T816" s="184">
        <f t="shared" si="25"/>
        <v>0</v>
      </c>
      <c r="U816" s="184" t="s">
        <v>34</v>
      </c>
      <c r="V816" s="184"/>
      <c r="W816" s="182"/>
    </row>
    <row r="817" spans="1:23" ht="16.05" customHeight="1" x14ac:dyDescent="0.45">
      <c r="A817" s="1">
        <v>816</v>
      </c>
      <c r="B817" s="113" t="s">
        <v>924</v>
      </c>
      <c r="C817" s="16" t="s">
        <v>24</v>
      </c>
      <c r="D817" s="358">
        <v>3041</v>
      </c>
      <c r="E817" s="113" t="s">
        <v>1557</v>
      </c>
      <c r="F817" s="113" t="s">
        <v>1558</v>
      </c>
      <c r="G817" s="357">
        <v>3717</v>
      </c>
      <c r="H817" s="113" t="s">
        <v>1476</v>
      </c>
      <c r="I817" s="113" t="s">
        <v>175</v>
      </c>
      <c r="J817" s="184" t="s">
        <v>58</v>
      </c>
      <c r="K817" s="290" t="s">
        <v>57</v>
      </c>
      <c r="L817" s="360">
        <v>0.8</v>
      </c>
      <c r="M817" s="184" t="s">
        <v>1575</v>
      </c>
      <c r="N817" s="153" t="s">
        <v>1576</v>
      </c>
      <c r="O817" s="184"/>
      <c r="P817" s="153">
        <v>1</v>
      </c>
      <c r="Q817" s="360">
        <v>0.05</v>
      </c>
      <c r="R817" s="153"/>
      <c r="S817" s="35">
        <f t="shared" si="24"/>
        <v>0</v>
      </c>
      <c r="T817" s="184">
        <f t="shared" si="25"/>
        <v>0</v>
      </c>
      <c r="U817" s="184" t="s">
        <v>34</v>
      </c>
      <c r="V817" s="184"/>
      <c r="W817" s="182"/>
    </row>
    <row r="818" spans="1:23" ht="16.05" customHeight="1" x14ac:dyDescent="0.45">
      <c r="A818" s="1">
        <v>817</v>
      </c>
      <c r="B818" s="113" t="s">
        <v>924</v>
      </c>
      <c r="C818" s="16" t="s">
        <v>24</v>
      </c>
      <c r="D818" s="358">
        <v>3041</v>
      </c>
      <c r="E818" s="113" t="s">
        <v>1557</v>
      </c>
      <c r="F818" s="113" t="s">
        <v>1558</v>
      </c>
      <c r="G818" s="357">
        <v>3717</v>
      </c>
      <c r="H818" s="113" t="s">
        <v>1476</v>
      </c>
      <c r="I818" s="113" t="s">
        <v>175</v>
      </c>
      <c r="J818" s="184" t="s">
        <v>58</v>
      </c>
      <c r="K818" s="290" t="s">
        <v>57</v>
      </c>
      <c r="L818" s="360">
        <v>0.8</v>
      </c>
      <c r="M818" s="184" t="s">
        <v>1577</v>
      </c>
      <c r="N818" s="153" t="s">
        <v>1578</v>
      </c>
      <c r="O818" s="184"/>
      <c r="P818" s="153">
        <v>1</v>
      </c>
      <c r="Q818" s="360">
        <v>0.1</v>
      </c>
      <c r="R818" s="153"/>
      <c r="S818" s="35">
        <f t="shared" si="24"/>
        <v>0</v>
      </c>
      <c r="T818" s="184">
        <f t="shared" si="25"/>
        <v>0</v>
      </c>
      <c r="U818" s="184" t="s">
        <v>34</v>
      </c>
      <c r="V818" s="184"/>
      <c r="W818" s="182"/>
    </row>
    <row r="819" spans="1:23" ht="16.05" customHeight="1" x14ac:dyDescent="0.45">
      <c r="A819" s="1">
        <v>818</v>
      </c>
      <c r="B819" s="113" t="s">
        <v>924</v>
      </c>
      <c r="C819" s="16" t="s">
        <v>24</v>
      </c>
      <c r="D819" s="358">
        <v>3041</v>
      </c>
      <c r="E819" s="113" t="s">
        <v>1557</v>
      </c>
      <c r="F819" s="113" t="s">
        <v>1558</v>
      </c>
      <c r="G819" s="357">
        <v>3717</v>
      </c>
      <c r="H819" s="113" t="s">
        <v>1476</v>
      </c>
      <c r="I819" s="113" t="s">
        <v>175</v>
      </c>
      <c r="J819" s="184" t="s">
        <v>58</v>
      </c>
      <c r="K819" s="290" t="s">
        <v>57</v>
      </c>
      <c r="L819" s="360">
        <v>0.8</v>
      </c>
      <c r="M819" s="184" t="s">
        <v>1579</v>
      </c>
      <c r="N819" s="153" t="s">
        <v>1580</v>
      </c>
      <c r="O819" s="184"/>
      <c r="P819" s="153">
        <v>1</v>
      </c>
      <c r="Q819" s="360">
        <v>0.1</v>
      </c>
      <c r="R819" s="153"/>
      <c r="S819" s="35">
        <f t="shared" si="24"/>
        <v>0</v>
      </c>
      <c r="T819" s="184">
        <f t="shared" si="25"/>
        <v>0</v>
      </c>
      <c r="U819" s="184" t="s">
        <v>34</v>
      </c>
      <c r="V819" s="184"/>
      <c r="W819" s="182"/>
    </row>
    <row r="820" spans="1:23" ht="16.05" customHeight="1" x14ac:dyDescent="0.45">
      <c r="A820" s="1">
        <v>819</v>
      </c>
      <c r="B820" s="113" t="s">
        <v>924</v>
      </c>
      <c r="C820" s="16" t="s">
        <v>24</v>
      </c>
      <c r="D820" s="358">
        <v>3041</v>
      </c>
      <c r="E820" s="113" t="s">
        <v>1557</v>
      </c>
      <c r="F820" s="113" t="s">
        <v>1558</v>
      </c>
      <c r="G820" s="357">
        <v>3717</v>
      </c>
      <c r="H820" s="113" t="s">
        <v>1476</v>
      </c>
      <c r="I820" s="113" t="s">
        <v>175</v>
      </c>
      <c r="J820" s="184" t="s">
        <v>58</v>
      </c>
      <c r="K820" s="290" t="s">
        <v>57</v>
      </c>
      <c r="L820" s="360">
        <v>0.8</v>
      </c>
      <c r="M820" s="184" t="s">
        <v>1581</v>
      </c>
      <c r="N820" s="153" t="s">
        <v>1582</v>
      </c>
      <c r="O820" s="184"/>
      <c r="P820" s="153">
        <v>1</v>
      </c>
      <c r="Q820" s="360">
        <v>0.05</v>
      </c>
      <c r="R820" s="153"/>
      <c r="S820" s="35">
        <f t="shared" si="24"/>
        <v>0</v>
      </c>
      <c r="T820" s="184">
        <f t="shared" si="25"/>
        <v>0</v>
      </c>
      <c r="U820" s="184" t="s">
        <v>34</v>
      </c>
      <c r="V820" s="184"/>
      <c r="W820" s="182"/>
    </row>
    <row r="821" spans="1:23" ht="16.05" customHeight="1" x14ac:dyDescent="0.45">
      <c r="A821" s="1">
        <v>820</v>
      </c>
      <c r="B821" s="113" t="s">
        <v>924</v>
      </c>
      <c r="C821" s="16" t="s">
        <v>24</v>
      </c>
      <c r="D821" s="358">
        <v>3041</v>
      </c>
      <c r="E821" s="113" t="s">
        <v>1557</v>
      </c>
      <c r="F821" s="113" t="s">
        <v>1558</v>
      </c>
      <c r="G821" s="357">
        <v>3717</v>
      </c>
      <c r="H821" s="113" t="s">
        <v>1476</v>
      </c>
      <c r="I821" s="113" t="s">
        <v>175</v>
      </c>
      <c r="J821" s="184" t="s">
        <v>58</v>
      </c>
      <c r="K821" s="290" t="s">
        <v>57</v>
      </c>
      <c r="L821" s="360">
        <v>0.8</v>
      </c>
      <c r="M821" s="184" t="s">
        <v>1583</v>
      </c>
      <c r="N821" s="153" t="s">
        <v>1584</v>
      </c>
      <c r="O821" s="184"/>
      <c r="P821" s="153">
        <v>1</v>
      </c>
      <c r="Q821" s="360">
        <v>0.1</v>
      </c>
      <c r="R821" s="153"/>
      <c r="S821" s="35">
        <f t="shared" si="24"/>
        <v>0</v>
      </c>
      <c r="T821" s="184">
        <f t="shared" si="25"/>
        <v>0</v>
      </c>
      <c r="U821" s="184" t="s">
        <v>34</v>
      </c>
      <c r="V821" s="184"/>
      <c r="W821" s="182"/>
    </row>
    <row r="822" spans="1:23" ht="16.05" customHeight="1" x14ac:dyDescent="0.45">
      <c r="A822" s="1">
        <v>821</v>
      </c>
      <c r="B822" s="113" t="s">
        <v>924</v>
      </c>
      <c r="C822" s="16" t="s">
        <v>24</v>
      </c>
      <c r="D822" s="358">
        <v>3041</v>
      </c>
      <c r="E822" s="113" t="s">
        <v>1557</v>
      </c>
      <c r="F822" s="113" t="s">
        <v>1558</v>
      </c>
      <c r="G822" s="357">
        <v>3717</v>
      </c>
      <c r="H822" s="113" t="s">
        <v>1476</v>
      </c>
      <c r="I822" s="113" t="s">
        <v>175</v>
      </c>
      <c r="J822" s="357" t="s">
        <v>111</v>
      </c>
      <c r="K822" s="357" t="s">
        <v>110</v>
      </c>
      <c r="L822" s="432">
        <v>0.2</v>
      </c>
      <c r="M822" s="16"/>
      <c r="N822" s="160" t="s">
        <v>1585</v>
      </c>
      <c r="O822" s="16"/>
      <c r="P822" s="387">
        <v>1</v>
      </c>
      <c r="Q822" s="432">
        <v>1</v>
      </c>
      <c r="R822" s="387"/>
      <c r="S822" s="74">
        <f t="shared" si="24"/>
        <v>0</v>
      </c>
      <c r="T822" s="16">
        <f t="shared" si="25"/>
        <v>0</v>
      </c>
      <c r="U822" s="16" t="s">
        <v>34</v>
      </c>
      <c r="V822" s="16"/>
      <c r="W822" s="16"/>
    </row>
    <row r="823" spans="1:23" ht="16.05" customHeight="1" x14ac:dyDescent="0.45">
      <c r="A823" s="1">
        <v>822</v>
      </c>
      <c r="B823" s="99" t="s">
        <v>924</v>
      </c>
      <c r="C823" s="3" t="s">
        <v>24</v>
      </c>
      <c r="D823" s="349">
        <v>6108</v>
      </c>
      <c r="E823" s="99" t="s">
        <v>1586</v>
      </c>
      <c r="F823" s="99" t="s">
        <v>1587</v>
      </c>
      <c r="G823" s="91">
        <v>3041</v>
      </c>
      <c r="H823" s="99" t="s">
        <v>1588</v>
      </c>
      <c r="I823" s="99" t="s">
        <v>175</v>
      </c>
      <c r="J823" s="3" t="s">
        <v>58</v>
      </c>
      <c r="K823" s="388" t="s">
        <v>57</v>
      </c>
      <c r="L823" s="350">
        <v>0.8</v>
      </c>
      <c r="M823" s="410" t="s">
        <v>1589</v>
      </c>
      <c r="N823" s="473" t="s">
        <v>1590</v>
      </c>
      <c r="O823" s="3"/>
      <c r="P823" s="148">
        <v>1</v>
      </c>
      <c r="Q823" s="350">
        <v>0.2</v>
      </c>
      <c r="R823" s="148"/>
      <c r="S823" s="120">
        <f t="shared" si="24"/>
        <v>0</v>
      </c>
      <c r="T823" s="3">
        <f t="shared" si="25"/>
        <v>0</v>
      </c>
      <c r="U823" s="3" t="s">
        <v>34</v>
      </c>
      <c r="V823" s="461">
        <f>SUM(T823:T832)%</f>
        <v>0</v>
      </c>
      <c r="W823" s="3"/>
    </row>
    <row r="824" spans="1:23" ht="16.05" customHeight="1" x14ac:dyDescent="0.45">
      <c r="A824" s="1">
        <v>823</v>
      </c>
      <c r="B824" s="113" t="s">
        <v>924</v>
      </c>
      <c r="C824" s="16" t="s">
        <v>24</v>
      </c>
      <c r="D824" s="358">
        <v>6108</v>
      </c>
      <c r="E824" s="113" t="s">
        <v>1586</v>
      </c>
      <c r="F824" s="113" t="s">
        <v>1587</v>
      </c>
      <c r="G824" s="357">
        <v>3041</v>
      </c>
      <c r="H824" s="113" t="s">
        <v>1588</v>
      </c>
      <c r="I824" s="113" t="s">
        <v>175</v>
      </c>
      <c r="J824" s="184" t="s">
        <v>58</v>
      </c>
      <c r="K824" s="290" t="s">
        <v>57</v>
      </c>
      <c r="L824" s="360">
        <v>0.8</v>
      </c>
      <c r="M824" s="184" t="s">
        <v>1591</v>
      </c>
      <c r="N824" s="184" t="s">
        <v>1592</v>
      </c>
      <c r="O824" s="184"/>
      <c r="P824" s="153">
        <v>1</v>
      </c>
      <c r="Q824" s="360">
        <v>0.1</v>
      </c>
      <c r="R824" s="153"/>
      <c r="S824" s="35">
        <f t="shared" si="24"/>
        <v>0</v>
      </c>
      <c r="T824" s="184">
        <f t="shared" si="25"/>
        <v>0</v>
      </c>
      <c r="U824" s="184" t="s">
        <v>34</v>
      </c>
      <c r="V824" s="184"/>
      <c r="W824" s="182"/>
    </row>
    <row r="825" spans="1:23" ht="16.05" customHeight="1" x14ac:dyDescent="0.45">
      <c r="A825" s="1">
        <v>824</v>
      </c>
      <c r="B825" s="113" t="s">
        <v>924</v>
      </c>
      <c r="C825" s="16" t="s">
        <v>24</v>
      </c>
      <c r="D825" s="358">
        <v>6108</v>
      </c>
      <c r="E825" s="113" t="s">
        <v>1586</v>
      </c>
      <c r="F825" s="113" t="s">
        <v>1587</v>
      </c>
      <c r="G825" s="357">
        <v>3041</v>
      </c>
      <c r="H825" s="113" t="s">
        <v>1588</v>
      </c>
      <c r="I825" s="113" t="s">
        <v>175</v>
      </c>
      <c r="J825" s="184" t="s">
        <v>58</v>
      </c>
      <c r="K825" s="290" t="s">
        <v>57</v>
      </c>
      <c r="L825" s="360">
        <v>0.8</v>
      </c>
      <c r="M825" s="184" t="s">
        <v>1593</v>
      </c>
      <c r="N825" s="184" t="s">
        <v>1594</v>
      </c>
      <c r="O825" s="184"/>
      <c r="P825" s="153">
        <v>1</v>
      </c>
      <c r="Q825" s="360">
        <v>0.1</v>
      </c>
      <c r="R825" s="153"/>
      <c r="S825" s="35">
        <f t="shared" si="24"/>
        <v>0</v>
      </c>
      <c r="T825" s="184">
        <f t="shared" si="25"/>
        <v>0</v>
      </c>
      <c r="U825" s="184" t="s">
        <v>34</v>
      </c>
      <c r="V825" s="184"/>
      <c r="W825" s="182"/>
    </row>
    <row r="826" spans="1:23" ht="16.05" customHeight="1" x14ac:dyDescent="0.45">
      <c r="A826" s="1">
        <v>825</v>
      </c>
      <c r="B826" s="113" t="s">
        <v>924</v>
      </c>
      <c r="C826" s="16" t="s">
        <v>24</v>
      </c>
      <c r="D826" s="358">
        <v>6108</v>
      </c>
      <c r="E826" s="113" t="s">
        <v>1586</v>
      </c>
      <c r="F826" s="113" t="s">
        <v>1587</v>
      </c>
      <c r="G826" s="357">
        <v>3041</v>
      </c>
      <c r="H826" s="113" t="s">
        <v>1588</v>
      </c>
      <c r="I826" s="113" t="s">
        <v>175</v>
      </c>
      <c r="J826" s="184" t="s">
        <v>58</v>
      </c>
      <c r="K826" s="290" t="s">
        <v>57</v>
      </c>
      <c r="L826" s="360">
        <v>0.8</v>
      </c>
      <c r="M826" s="184" t="s">
        <v>1595</v>
      </c>
      <c r="N826" s="184" t="s">
        <v>1596</v>
      </c>
      <c r="O826" s="184"/>
      <c r="P826" s="153">
        <v>1</v>
      </c>
      <c r="Q826" s="360">
        <v>0.1</v>
      </c>
      <c r="R826" s="153"/>
      <c r="S826" s="35">
        <f t="shared" si="24"/>
        <v>0</v>
      </c>
      <c r="T826" s="184">
        <f t="shared" si="25"/>
        <v>0</v>
      </c>
      <c r="U826" s="184" t="s">
        <v>34</v>
      </c>
      <c r="V826" s="184"/>
      <c r="W826" s="182"/>
    </row>
    <row r="827" spans="1:23" ht="16.05" customHeight="1" x14ac:dyDescent="0.45">
      <c r="A827" s="1">
        <v>826</v>
      </c>
      <c r="B827" s="113" t="s">
        <v>924</v>
      </c>
      <c r="C827" s="16" t="s">
        <v>24</v>
      </c>
      <c r="D827" s="358">
        <v>6108</v>
      </c>
      <c r="E827" s="113" t="s">
        <v>1586</v>
      </c>
      <c r="F827" s="113" t="s">
        <v>1587</v>
      </c>
      <c r="G827" s="357">
        <v>3041</v>
      </c>
      <c r="H827" s="113" t="s">
        <v>1588</v>
      </c>
      <c r="I827" s="113" t="s">
        <v>175</v>
      </c>
      <c r="J827" s="184" t="s">
        <v>58</v>
      </c>
      <c r="K827" s="290" t="s">
        <v>57</v>
      </c>
      <c r="L827" s="360">
        <v>0.8</v>
      </c>
      <c r="M827" s="184" t="s">
        <v>1597</v>
      </c>
      <c r="N827" s="184" t="s">
        <v>1598</v>
      </c>
      <c r="O827" s="184"/>
      <c r="P827" s="153">
        <v>1</v>
      </c>
      <c r="Q827" s="360">
        <v>0.1</v>
      </c>
      <c r="R827" s="153"/>
      <c r="S827" s="35">
        <f t="shared" si="24"/>
        <v>0</v>
      </c>
      <c r="T827" s="184">
        <f t="shared" si="25"/>
        <v>0</v>
      </c>
      <c r="U827" s="184" t="s">
        <v>34</v>
      </c>
      <c r="V827" s="184"/>
      <c r="W827" s="182"/>
    </row>
    <row r="828" spans="1:23" ht="16.05" customHeight="1" x14ac:dyDescent="0.45">
      <c r="A828" s="1">
        <v>827</v>
      </c>
      <c r="B828" s="113" t="s">
        <v>924</v>
      </c>
      <c r="C828" s="16" t="s">
        <v>24</v>
      </c>
      <c r="D828" s="358">
        <v>6108</v>
      </c>
      <c r="E828" s="113" t="s">
        <v>1586</v>
      </c>
      <c r="F828" s="113" t="s">
        <v>1587</v>
      </c>
      <c r="G828" s="357">
        <v>3041</v>
      </c>
      <c r="H828" s="113" t="s">
        <v>1588</v>
      </c>
      <c r="I828" s="113" t="s">
        <v>175</v>
      </c>
      <c r="J828" s="184" t="s">
        <v>58</v>
      </c>
      <c r="K828" s="290" t="s">
        <v>57</v>
      </c>
      <c r="L828" s="360">
        <v>0.8</v>
      </c>
      <c r="M828" s="184" t="s">
        <v>1599</v>
      </c>
      <c r="N828" s="184" t="s">
        <v>1600</v>
      </c>
      <c r="O828" s="184"/>
      <c r="P828" s="153">
        <v>1</v>
      </c>
      <c r="Q828" s="360">
        <v>0.1</v>
      </c>
      <c r="R828" s="153"/>
      <c r="S828" s="35">
        <f t="shared" si="24"/>
        <v>0</v>
      </c>
      <c r="T828" s="184">
        <f t="shared" si="25"/>
        <v>0</v>
      </c>
      <c r="U828" s="184" t="s">
        <v>34</v>
      </c>
      <c r="V828" s="184"/>
      <c r="W828" s="182"/>
    </row>
    <row r="829" spans="1:23" ht="16.05" customHeight="1" x14ac:dyDescent="0.45">
      <c r="A829" s="1">
        <v>828</v>
      </c>
      <c r="B829" s="113" t="s">
        <v>924</v>
      </c>
      <c r="C829" s="16" t="s">
        <v>24</v>
      </c>
      <c r="D829" s="358">
        <v>6108</v>
      </c>
      <c r="E829" s="113" t="s">
        <v>1586</v>
      </c>
      <c r="F829" s="113" t="s">
        <v>1587</v>
      </c>
      <c r="G829" s="357">
        <v>3041</v>
      </c>
      <c r="H829" s="113" t="s">
        <v>1588</v>
      </c>
      <c r="I829" s="113" t="s">
        <v>175</v>
      </c>
      <c r="J829" s="184" t="s">
        <v>58</v>
      </c>
      <c r="K829" s="290" t="s">
        <v>57</v>
      </c>
      <c r="L829" s="360">
        <v>0.8</v>
      </c>
      <c r="M829" s="184" t="s">
        <v>1601</v>
      </c>
      <c r="N829" s="184" t="s">
        <v>1602</v>
      </c>
      <c r="O829" s="184"/>
      <c r="P829" s="153">
        <v>1</v>
      </c>
      <c r="Q829" s="360">
        <v>0.1</v>
      </c>
      <c r="R829" s="153"/>
      <c r="S829" s="35">
        <f t="shared" si="24"/>
        <v>0</v>
      </c>
      <c r="T829" s="184">
        <f t="shared" si="25"/>
        <v>0</v>
      </c>
      <c r="U829" s="184" t="s">
        <v>34</v>
      </c>
      <c r="V829" s="184"/>
      <c r="W829" s="182"/>
    </row>
    <row r="830" spans="1:23" ht="16.05" customHeight="1" x14ac:dyDescent="0.45">
      <c r="A830" s="1">
        <v>829</v>
      </c>
      <c r="B830" s="113" t="s">
        <v>924</v>
      </c>
      <c r="C830" s="16" t="s">
        <v>24</v>
      </c>
      <c r="D830" s="358">
        <v>6108</v>
      </c>
      <c r="E830" s="113" t="s">
        <v>1586</v>
      </c>
      <c r="F830" s="113" t="s">
        <v>1587</v>
      </c>
      <c r="G830" s="357">
        <v>3041</v>
      </c>
      <c r="H830" s="113" t="s">
        <v>1588</v>
      </c>
      <c r="I830" s="113" t="s">
        <v>175</v>
      </c>
      <c r="J830" s="184" t="s">
        <v>58</v>
      </c>
      <c r="K830" s="290" t="s">
        <v>57</v>
      </c>
      <c r="L830" s="360">
        <v>0.8</v>
      </c>
      <c r="M830" s="184" t="s">
        <v>1603</v>
      </c>
      <c r="N830" s="184" t="s">
        <v>1604</v>
      </c>
      <c r="O830" s="184"/>
      <c r="P830" s="153">
        <v>1</v>
      </c>
      <c r="Q830" s="360">
        <v>0.1</v>
      </c>
      <c r="R830" s="153"/>
      <c r="S830" s="35">
        <f t="shared" si="24"/>
        <v>0</v>
      </c>
      <c r="T830" s="184">
        <f t="shared" si="25"/>
        <v>0</v>
      </c>
      <c r="U830" s="184" t="s">
        <v>34</v>
      </c>
      <c r="V830" s="184"/>
      <c r="W830" s="182"/>
    </row>
    <row r="831" spans="1:23" ht="16.05" customHeight="1" x14ac:dyDescent="0.45">
      <c r="A831" s="1">
        <v>830</v>
      </c>
      <c r="B831" s="113" t="s">
        <v>924</v>
      </c>
      <c r="C831" s="16" t="s">
        <v>24</v>
      </c>
      <c r="D831" s="358">
        <v>6108</v>
      </c>
      <c r="E831" s="113" t="s">
        <v>1586</v>
      </c>
      <c r="F831" s="113" t="s">
        <v>1587</v>
      </c>
      <c r="G831" s="357">
        <v>3041</v>
      </c>
      <c r="H831" s="113" t="s">
        <v>1588</v>
      </c>
      <c r="I831" s="113" t="s">
        <v>175</v>
      </c>
      <c r="J831" s="184" t="s">
        <v>58</v>
      </c>
      <c r="K831" s="290" t="s">
        <v>57</v>
      </c>
      <c r="L831" s="360">
        <v>0.8</v>
      </c>
      <c r="M831" s="184" t="s">
        <v>1605</v>
      </c>
      <c r="N831" s="184" t="s">
        <v>1606</v>
      </c>
      <c r="O831" s="184"/>
      <c r="P831" s="153">
        <v>1</v>
      </c>
      <c r="Q831" s="360">
        <v>0.1</v>
      </c>
      <c r="R831" s="153"/>
      <c r="S831" s="35">
        <f t="shared" si="24"/>
        <v>0</v>
      </c>
      <c r="T831" s="184">
        <f t="shared" si="25"/>
        <v>0</v>
      </c>
      <c r="U831" s="184" t="s">
        <v>34</v>
      </c>
      <c r="V831" s="184"/>
      <c r="W831" s="182"/>
    </row>
    <row r="832" spans="1:23" ht="16.05" customHeight="1" x14ac:dyDescent="0.45">
      <c r="A832" s="1">
        <v>831</v>
      </c>
      <c r="B832" s="113" t="s">
        <v>924</v>
      </c>
      <c r="C832" s="16" t="s">
        <v>24</v>
      </c>
      <c r="D832" s="358">
        <v>6108</v>
      </c>
      <c r="E832" s="113" t="s">
        <v>1586</v>
      </c>
      <c r="F832" s="113" t="s">
        <v>1587</v>
      </c>
      <c r="G832" s="357">
        <v>3041</v>
      </c>
      <c r="H832" s="113" t="s">
        <v>1588</v>
      </c>
      <c r="I832" s="113" t="s">
        <v>175</v>
      </c>
      <c r="J832" s="357" t="s">
        <v>111</v>
      </c>
      <c r="K832" s="357" t="s">
        <v>110</v>
      </c>
      <c r="L832" s="432">
        <v>0.2</v>
      </c>
      <c r="M832" s="16"/>
      <c r="N832" s="160" t="s">
        <v>1585</v>
      </c>
      <c r="O832" s="16"/>
      <c r="P832" s="387">
        <v>1</v>
      </c>
      <c r="Q832" s="432">
        <v>1</v>
      </c>
      <c r="R832" s="387"/>
      <c r="S832" s="74">
        <f t="shared" si="24"/>
        <v>0</v>
      </c>
      <c r="T832" s="16">
        <f t="shared" si="25"/>
        <v>0</v>
      </c>
      <c r="U832" s="16" t="s">
        <v>34</v>
      </c>
      <c r="V832" s="182"/>
      <c r="W832" s="182"/>
    </row>
    <row r="833" spans="1:23" ht="16.05" customHeight="1" x14ac:dyDescent="0.45">
      <c r="A833" s="1">
        <v>832</v>
      </c>
      <c r="B833" s="3" t="s">
        <v>924</v>
      </c>
      <c r="C833" s="99" t="s">
        <v>24</v>
      </c>
      <c r="D833" s="349">
        <v>6125</v>
      </c>
      <c r="E833" s="3" t="s">
        <v>1607</v>
      </c>
      <c r="F833" s="99" t="s">
        <v>1608</v>
      </c>
      <c r="G833" s="99">
        <v>3041</v>
      </c>
      <c r="H833" s="3" t="s">
        <v>1588</v>
      </c>
      <c r="I833" s="99" t="s">
        <v>175</v>
      </c>
      <c r="J833" s="3" t="s">
        <v>58</v>
      </c>
      <c r="K833" s="99" t="s">
        <v>57</v>
      </c>
      <c r="L833" s="350">
        <v>0.8</v>
      </c>
      <c r="M833" s="99" t="s">
        <v>1609</v>
      </c>
      <c r="N833" s="3" t="s">
        <v>1610</v>
      </c>
      <c r="O833" s="99"/>
      <c r="P833" s="148">
        <v>1</v>
      </c>
      <c r="Q833" s="350">
        <v>0.2</v>
      </c>
      <c r="R833" s="148"/>
      <c r="S833" s="120">
        <f t="shared" si="24"/>
        <v>0</v>
      </c>
      <c r="T833" s="3">
        <f t="shared" si="25"/>
        <v>0</v>
      </c>
      <c r="U833" s="99" t="s">
        <v>34</v>
      </c>
      <c r="V833" s="461">
        <f>SUM(T833:T844)%</f>
        <v>0</v>
      </c>
      <c r="W833" s="3"/>
    </row>
    <row r="834" spans="1:23" ht="16.05" customHeight="1" x14ac:dyDescent="0.45">
      <c r="A834" s="1">
        <v>833</v>
      </c>
      <c r="B834" s="113" t="s">
        <v>924</v>
      </c>
      <c r="C834" s="16" t="s">
        <v>24</v>
      </c>
      <c r="D834" s="358">
        <v>6125</v>
      </c>
      <c r="E834" s="113" t="s">
        <v>1607</v>
      </c>
      <c r="F834" s="113" t="s">
        <v>1608</v>
      </c>
      <c r="G834" s="357">
        <v>3041</v>
      </c>
      <c r="H834" s="113" t="s">
        <v>1588</v>
      </c>
      <c r="I834" s="113" t="s">
        <v>175</v>
      </c>
      <c r="J834" s="184" t="s">
        <v>58</v>
      </c>
      <c r="K834" s="290" t="s">
        <v>57</v>
      </c>
      <c r="L834" s="360">
        <v>0.8</v>
      </c>
      <c r="M834" s="184" t="s">
        <v>1611</v>
      </c>
      <c r="N834" s="184" t="s">
        <v>1612</v>
      </c>
      <c r="O834" s="184"/>
      <c r="P834" s="153">
        <v>1</v>
      </c>
      <c r="Q834" s="360">
        <v>0.1</v>
      </c>
      <c r="R834" s="153"/>
      <c r="S834" s="35">
        <f t="shared" ref="S834:S897" si="26">ROUND(IF(OR(P834="",R834=""),0,IF(AND(P834=0,R834=0),1,IF(U834="+",R834/P834,P834/R834))),2)</f>
        <v>0</v>
      </c>
      <c r="T834" s="184">
        <f t="shared" ref="T834:T897" si="27">IF(AND(S834&gt;=60%,S834&lt;100%),S834*((Q834*L834)),IF(S834=100%,((Q834*L834)*S834)*100%,IF(S834&gt;100%,((L834*Q834)*100%)*100%,0)))*100</f>
        <v>0</v>
      </c>
      <c r="U834" s="184" t="s">
        <v>34</v>
      </c>
      <c r="V834" s="184"/>
      <c r="W834" s="182"/>
    </row>
    <row r="835" spans="1:23" ht="16.05" customHeight="1" x14ac:dyDescent="0.45">
      <c r="A835" s="1">
        <v>834</v>
      </c>
      <c r="B835" s="113" t="s">
        <v>924</v>
      </c>
      <c r="C835" s="16" t="s">
        <v>24</v>
      </c>
      <c r="D835" s="358">
        <v>6125</v>
      </c>
      <c r="E835" s="113" t="s">
        <v>1607</v>
      </c>
      <c r="F835" s="113" t="s">
        <v>1608</v>
      </c>
      <c r="G835" s="357">
        <v>3041</v>
      </c>
      <c r="H835" s="113" t="s">
        <v>1588</v>
      </c>
      <c r="I835" s="113" t="s">
        <v>175</v>
      </c>
      <c r="J835" s="184" t="s">
        <v>58</v>
      </c>
      <c r="K835" s="290" t="s">
        <v>57</v>
      </c>
      <c r="L835" s="360">
        <v>0.8</v>
      </c>
      <c r="M835" s="184" t="s">
        <v>1613</v>
      </c>
      <c r="N835" s="184" t="s">
        <v>1614</v>
      </c>
      <c r="O835" s="184"/>
      <c r="P835" s="153">
        <v>1</v>
      </c>
      <c r="Q835" s="360">
        <v>0.1</v>
      </c>
      <c r="R835" s="153"/>
      <c r="S835" s="35">
        <f t="shared" si="26"/>
        <v>0</v>
      </c>
      <c r="T835" s="184">
        <f t="shared" si="27"/>
        <v>0</v>
      </c>
      <c r="U835" s="184" t="s">
        <v>34</v>
      </c>
      <c r="V835" s="184"/>
      <c r="W835" s="182"/>
    </row>
    <row r="836" spans="1:23" ht="16.05" customHeight="1" x14ac:dyDescent="0.45">
      <c r="A836" s="1">
        <v>835</v>
      </c>
      <c r="B836" s="113" t="s">
        <v>924</v>
      </c>
      <c r="C836" s="16" t="s">
        <v>24</v>
      </c>
      <c r="D836" s="358">
        <v>6125</v>
      </c>
      <c r="E836" s="113" t="s">
        <v>1607</v>
      </c>
      <c r="F836" s="113" t="s">
        <v>1608</v>
      </c>
      <c r="G836" s="357">
        <v>3041</v>
      </c>
      <c r="H836" s="113" t="s">
        <v>1588</v>
      </c>
      <c r="I836" s="113" t="s">
        <v>175</v>
      </c>
      <c r="J836" s="184" t="s">
        <v>58</v>
      </c>
      <c r="K836" s="290" t="s">
        <v>57</v>
      </c>
      <c r="L836" s="360">
        <v>0.8</v>
      </c>
      <c r="M836" s="184" t="s">
        <v>1615</v>
      </c>
      <c r="N836" s="184" t="s">
        <v>1616</v>
      </c>
      <c r="O836" s="184"/>
      <c r="P836" s="153">
        <v>1</v>
      </c>
      <c r="Q836" s="360">
        <v>0.1</v>
      </c>
      <c r="R836" s="153"/>
      <c r="S836" s="35">
        <f t="shared" si="26"/>
        <v>0</v>
      </c>
      <c r="T836" s="184">
        <f t="shared" si="27"/>
        <v>0</v>
      </c>
      <c r="U836" s="184" t="s">
        <v>34</v>
      </c>
      <c r="V836" s="184"/>
      <c r="W836" s="182"/>
    </row>
    <row r="837" spans="1:23" ht="16.05" customHeight="1" x14ac:dyDescent="0.45">
      <c r="A837" s="1">
        <v>836</v>
      </c>
      <c r="B837" s="113" t="s">
        <v>924</v>
      </c>
      <c r="C837" s="16" t="s">
        <v>24</v>
      </c>
      <c r="D837" s="358">
        <v>6125</v>
      </c>
      <c r="E837" s="113" t="s">
        <v>1607</v>
      </c>
      <c r="F837" s="113" t="s">
        <v>1608</v>
      </c>
      <c r="G837" s="357">
        <v>3041</v>
      </c>
      <c r="H837" s="113" t="s">
        <v>1588</v>
      </c>
      <c r="I837" s="113" t="s">
        <v>175</v>
      </c>
      <c r="J837" s="184" t="s">
        <v>58</v>
      </c>
      <c r="K837" s="290" t="s">
        <v>57</v>
      </c>
      <c r="L837" s="360">
        <v>0.8</v>
      </c>
      <c r="M837" s="184" t="s">
        <v>1617</v>
      </c>
      <c r="N837" s="184" t="s">
        <v>1618</v>
      </c>
      <c r="O837" s="184"/>
      <c r="P837" s="153">
        <v>1</v>
      </c>
      <c r="Q837" s="360">
        <v>0.1</v>
      </c>
      <c r="R837" s="153"/>
      <c r="S837" s="35">
        <f t="shared" si="26"/>
        <v>0</v>
      </c>
      <c r="T837" s="184">
        <f t="shared" si="27"/>
        <v>0</v>
      </c>
      <c r="U837" s="184" t="s">
        <v>34</v>
      </c>
      <c r="V837" s="184"/>
      <c r="W837" s="182"/>
    </row>
    <row r="838" spans="1:23" ht="16.05" customHeight="1" x14ac:dyDescent="0.45">
      <c r="A838" s="1">
        <v>837</v>
      </c>
      <c r="B838" s="113" t="s">
        <v>924</v>
      </c>
      <c r="C838" s="16" t="s">
        <v>24</v>
      </c>
      <c r="D838" s="358">
        <v>6125</v>
      </c>
      <c r="E838" s="113" t="s">
        <v>1607</v>
      </c>
      <c r="F838" s="113" t="s">
        <v>1608</v>
      </c>
      <c r="G838" s="357">
        <v>3041</v>
      </c>
      <c r="H838" s="113" t="s">
        <v>1588</v>
      </c>
      <c r="I838" s="113" t="s">
        <v>175</v>
      </c>
      <c r="J838" s="184" t="s">
        <v>58</v>
      </c>
      <c r="K838" s="290" t="s">
        <v>57</v>
      </c>
      <c r="L838" s="360">
        <v>0.8</v>
      </c>
      <c r="M838" s="184" t="s">
        <v>1619</v>
      </c>
      <c r="N838" s="184" t="s">
        <v>1620</v>
      </c>
      <c r="O838" s="184"/>
      <c r="P838" s="153">
        <v>1</v>
      </c>
      <c r="Q838" s="360">
        <v>0.1</v>
      </c>
      <c r="R838" s="153"/>
      <c r="S838" s="35">
        <f t="shared" si="26"/>
        <v>0</v>
      </c>
      <c r="T838" s="184">
        <f t="shared" si="27"/>
        <v>0</v>
      </c>
      <c r="U838" s="184" t="s">
        <v>34</v>
      </c>
      <c r="V838" s="184"/>
      <c r="W838" s="182"/>
    </row>
    <row r="839" spans="1:23" ht="16.05" customHeight="1" x14ac:dyDescent="0.45">
      <c r="A839" s="1">
        <v>838</v>
      </c>
      <c r="B839" s="113" t="s">
        <v>924</v>
      </c>
      <c r="C839" s="16" t="s">
        <v>24</v>
      </c>
      <c r="D839" s="358">
        <v>6125</v>
      </c>
      <c r="E839" s="113" t="s">
        <v>1607</v>
      </c>
      <c r="F839" s="113" t="s">
        <v>1608</v>
      </c>
      <c r="G839" s="357">
        <v>3041</v>
      </c>
      <c r="H839" s="113" t="s">
        <v>1588</v>
      </c>
      <c r="I839" s="113" t="s">
        <v>175</v>
      </c>
      <c r="J839" s="184" t="s">
        <v>58</v>
      </c>
      <c r="K839" s="290" t="s">
        <v>57</v>
      </c>
      <c r="L839" s="360">
        <v>0.8</v>
      </c>
      <c r="M839" s="184" t="s">
        <v>1621</v>
      </c>
      <c r="N839" s="184" t="s">
        <v>1622</v>
      </c>
      <c r="O839" s="184"/>
      <c r="P839" s="153">
        <v>1</v>
      </c>
      <c r="Q839" s="360">
        <v>0.1</v>
      </c>
      <c r="R839" s="153"/>
      <c r="S839" s="35">
        <f t="shared" si="26"/>
        <v>0</v>
      </c>
      <c r="T839" s="184">
        <f t="shared" si="27"/>
        <v>0</v>
      </c>
      <c r="U839" s="184" t="s">
        <v>34</v>
      </c>
      <c r="V839" s="184"/>
      <c r="W839" s="182"/>
    </row>
    <row r="840" spans="1:23" ht="16.05" customHeight="1" x14ac:dyDescent="0.45">
      <c r="A840" s="1">
        <v>839</v>
      </c>
      <c r="B840" s="113" t="s">
        <v>924</v>
      </c>
      <c r="C840" s="16" t="s">
        <v>24</v>
      </c>
      <c r="D840" s="358">
        <v>6125</v>
      </c>
      <c r="E840" s="113" t="s">
        <v>1607</v>
      </c>
      <c r="F840" s="113" t="s">
        <v>1608</v>
      </c>
      <c r="G840" s="357">
        <v>3041</v>
      </c>
      <c r="H840" s="113" t="s">
        <v>1588</v>
      </c>
      <c r="I840" s="113" t="s">
        <v>175</v>
      </c>
      <c r="J840" s="184" t="s">
        <v>58</v>
      </c>
      <c r="K840" s="290" t="s">
        <v>57</v>
      </c>
      <c r="L840" s="360">
        <v>0.8</v>
      </c>
      <c r="M840" s="184" t="s">
        <v>1623</v>
      </c>
      <c r="N840" s="184" t="s">
        <v>1624</v>
      </c>
      <c r="O840" s="184"/>
      <c r="P840" s="153">
        <v>1</v>
      </c>
      <c r="Q840" s="360">
        <v>0.05</v>
      </c>
      <c r="R840" s="153"/>
      <c r="S840" s="35">
        <f t="shared" si="26"/>
        <v>0</v>
      </c>
      <c r="T840" s="184">
        <f t="shared" si="27"/>
        <v>0</v>
      </c>
      <c r="U840" s="184" t="s">
        <v>34</v>
      </c>
      <c r="V840" s="184"/>
      <c r="W840" s="182"/>
    </row>
    <row r="841" spans="1:23" ht="16.05" customHeight="1" x14ac:dyDescent="0.45">
      <c r="A841" s="1">
        <v>840</v>
      </c>
      <c r="B841" s="113" t="s">
        <v>924</v>
      </c>
      <c r="C841" s="16" t="s">
        <v>24</v>
      </c>
      <c r="D841" s="358">
        <v>6125</v>
      </c>
      <c r="E841" s="113" t="s">
        <v>1607</v>
      </c>
      <c r="F841" s="113" t="s">
        <v>1608</v>
      </c>
      <c r="G841" s="357">
        <v>3041</v>
      </c>
      <c r="H841" s="113" t="s">
        <v>1588</v>
      </c>
      <c r="I841" s="113" t="s">
        <v>175</v>
      </c>
      <c r="J841" s="184" t="s">
        <v>58</v>
      </c>
      <c r="K841" s="290" t="s">
        <v>57</v>
      </c>
      <c r="L841" s="360">
        <v>0.8</v>
      </c>
      <c r="M841" s="184" t="s">
        <v>1625</v>
      </c>
      <c r="N841" s="184" t="s">
        <v>1626</v>
      </c>
      <c r="O841" s="184"/>
      <c r="P841" s="153">
        <v>1</v>
      </c>
      <c r="Q841" s="360">
        <v>0.05</v>
      </c>
      <c r="R841" s="153"/>
      <c r="S841" s="35">
        <f t="shared" si="26"/>
        <v>0</v>
      </c>
      <c r="T841" s="184">
        <f t="shared" si="27"/>
        <v>0</v>
      </c>
      <c r="U841" s="184" t="s">
        <v>34</v>
      </c>
      <c r="V841" s="184"/>
      <c r="W841" s="182"/>
    </row>
    <row r="842" spans="1:23" ht="16.05" customHeight="1" x14ac:dyDescent="0.45">
      <c r="A842" s="1">
        <v>841</v>
      </c>
      <c r="B842" s="113" t="s">
        <v>924</v>
      </c>
      <c r="C842" s="16" t="s">
        <v>24</v>
      </c>
      <c r="D842" s="358">
        <v>6125</v>
      </c>
      <c r="E842" s="113" t="s">
        <v>1607</v>
      </c>
      <c r="F842" s="113" t="s">
        <v>1608</v>
      </c>
      <c r="G842" s="357">
        <v>3041</v>
      </c>
      <c r="H842" s="113" t="s">
        <v>1588</v>
      </c>
      <c r="I842" s="113" t="s">
        <v>175</v>
      </c>
      <c r="J842" s="184" t="s">
        <v>58</v>
      </c>
      <c r="K842" s="290" t="s">
        <v>57</v>
      </c>
      <c r="L842" s="360">
        <v>0.8</v>
      </c>
      <c r="M842" s="184" t="s">
        <v>1627</v>
      </c>
      <c r="N842" s="184" t="s">
        <v>1628</v>
      </c>
      <c r="O842" s="184"/>
      <c r="P842" s="153">
        <v>1</v>
      </c>
      <c r="Q842" s="360">
        <v>0.05</v>
      </c>
      <c r="R842" s="153"/>
      <c r="S842" s="35">
        <f t="shared" si="26"/>
        <v>0</v>
      </c>
      <c r="T842" s="184">
        <f t="shared" si="27"/>
        <v>0</v>
      </c>
      <c r="U842" s="184" t="s">
        <v>34</v>
      </c>
      <c r="V842" s="184"/>
      <c r="W842" s="182"/>
    </row>
    <row r="843" spans="1:23" ht="16.05" customHeight="1" x14ac:dyDescent="0.45">
      <c r="A843" s="1">
        <v>842</v>
      </c>
      <c r="B843" s="113" t="s">
        <v>924</v>
      </c>
      <c r="C843" s="16" t="s">
        <v>24</v>
      </c>
      <c r="D843" s="358">
        <v>6125</v>
      </c>
      <c r="E843" s="113" t="s">
        <v>1607</v>
      </c>
      <c r="F843" s="113" t="s">
        <v>1608</v>
      </c>
      <c r="G843" s="357">
        <v>3041</v>
      </c>
      <c r="H843" s="113" t="s">
        <v>1588</v>
      </c>
      <c r="I843" s="113" t="s">
        <v>175</v>
      </c>
      <c r="J843" s="184" t="s">
        <v>58</v>
      </c>
      <c r="K843" s="290" t="s">
        <v>57</v>
      </c>
      <c r="L843" s="360">
        <v>0.8</v>
      </c>
      <c r="M843" s="184" t="s">
        <v>1629</v>
      </c>
      <c r="N843" s="184" t="s">
        <v>1630</v>
      </c>
      <c r="O843" s="184"/>
      <c r="P843" s="153">
        <v>1</v>
      </c>
      <c r="Q843" s="360">
        <v>0.05</v>
      </c>
      <c r="R843" s="153"/>
      <c r="S843" s="35">
        <f t="shared" si="26"/>
        <v>0</v>
      </c>
      <c r="T843" s="184">
        <f t="shared" si="27"/>
        <v>0</v>
      </c>
      <c r="U843" s="184" t="s">
        <v>34</v>
      </c>
      <c r="V843" s="184"/>
      <c r="W843" s="182"/>
    </row>
    <row r="844" spans="1:23" ht="16.05" customHeight="1" x14ac:dyDescent="0.45">
      <c r="A844" s="1">
        <v>843</v>
      </c>
      <c r="B844" s="113" t="s">
        <v>924</v>
      </c>
      <c r="C844" s="16" t="s">
        <v>24</v>
      </c>
      <c r="D844" s="358">
        <v>6125</v>
      </c>
      <c r="E844" s="113" t="s">
        <v>1607</v>
      </c>
      <c r="F844" s="113" t="s">
        <v>1608</v>
      </c>
      <c r="G844" s="357">
        <v>3041</v>
      </c>
      <c r="H844" s="113" t="s">
        <v>1588</v>
      </c>
      <c r="I844" s="113" t="s">
        <v>175</v>
      </c>
      <c r="J844" s="357" t="s">
        <v>111</v>
      </c>
      <c r="K844" s="357" t="s">
        <v>110</v>
      </c>
      <c r="L844" s="432">
        <v>0.2</v>
      </c>
      <c r="M844" s="16"/>
      <c r="N844" s="160" t="s">
        <v>1585</v>
      </c>
      <c r="O844" s="16"/>
      <c r="P844" s="387">
        <v>1</v>
      </c>
      <c r="Q844" s="432">
        <v>1</v>
      </c>
      <c r="R844" s="387"/>
      <c r="S844" s="74">
        <f t="shared" si="26"/>
        <v>0</v>
      </c>
      <c r="T844" s="16">
        <f t="shared" si="27"/>
        <v>0</v>
      </c>
      <c r="U844" s="16" t="s">
        <v>34</v>
      </c>
      <c r="V844" s="182"/>
      <c r="W844" s="182"/>
    </row>
    <row r="845" spans="1:23" ht="16.05" customHeight="1" x14ac:dyDescent="0.45">
      <c r="A845" s="1">
        <v>844</v>
      </c>
      <c r="B845" s="490" t="s">
        <v>924</v>
      </c>
      <c r="C845" s="490" t="s">
        <v>24</v>
      </c>
      <c r="D845" s="491">
        <v>6456</v>
      </c>
      <c r="E845" s="490" t="s">
        <v>1631</v>
      </c>
      <c r="F845" s="490" t="s">
        <v>290</v>
      </c>
      <c r="G845" s="492">
        <v>3717</v>
      </c>
      <c r="H845" s="490" t="s">
        <v>1476</v>
      </c>
      <c r="I845" s="490" t="s">
        <v>1632</v>
      </c>
      <c r="J845" s="492" t="s">
        <v>58</v>
      </c>
      <c r="K845" s="410" t="s">
        <v>57</v>
      </c>
      <c r="L845" s="493">
        <v>0.8</v>
      </c>
      <c r="M845" s="492" t="s">
        <v>1633</v>
      </c>
      <c r="N845" s="492" t="s">
        <v>1634</v>
      </c>
      <c r="O845" s="494"/>
      <c r="P845" s="495">
        <v>100</v>
      </c>
      <c r="Q845" s="493">
        <v>0.25</v>
      </c>
      <c r="R845" s="495"/>
      <c r="S845" s="120">
        <f t="shared" si="26"/>
        <v>0</v>
      </c>
      <c r="T845" s="496">
        <f t="shared" si="27"/>
        <v>0</v>
      </c>
      <c r="U845" s="497" t="s">
        <v>34</v>
      </c>
      <c r="V845" s="478">
        <f>SUM(T845:T849)%</f>
        <v>0</v>
      </c>
      <c r="W845" s="3"/>
    </row>
    <row r="846" spans="1:23" ht="16.05" customHeight="1" x14ac:dyDescent="0.45">
      <c r="A846" s="1">
        <v>845</v>
      </c>
      <c r="B846" s="498" t="s">
        <v>924</v>
      </c>
      <c r="C846" s="498" t="s">
        <v>24</v>
      </c>
      <c r="D846" s="499">
        <v>6456</v>
      </c>
      <c r="E846" s="498" t="s">
        <v>1631</v>
      </c>
      <c r="F846" s="498" t="s">
        <v>290</v>
      </c>
      <c r="G846" s="500">
        <v>3717</v>
      </c>
      <c r="H846" s="498" t="s">
        <v>1476</v>
      </c>
      <c r="I846" s="498" t="s">
        <v>1632</v>
      </c>
      <c r="J846" s="348" t="s">
        <v>58</v>
      </c>
      <c r="K846" s="290" t="s">
        <v>57</v>
      </c>
      <c r="L846" s="501">
        <v>0.8</v>
      </c>
      <c r="M846" s="348" t="s">
        <v>1635</v>
      </c>
      <c r="N846" s="348" t="s">
        <v>1636</v>
      </c>
      <c r="O846" s="502"/>
      <c r="P846" s="503">
        <v>1</v>
      </c>
      <c r="Q846" s="501">
        <v>0.35</v>
      </c>
      <c r="R846" s="503"/>
      <c r="S846" s="35">
        <f t="shared" si="26"/>
        <v>0</v>
      </c>
      <c r="T846" s="504">
        <f t="shared" si="27"/>
        <v>0</v>
      </c>
      <c r="U846" s="505" t="s">
        <v>34</v>
      </c>
      <c r="V846" s="505"/>
      <c r="W846" s="182"/>
    </row>
    <row r="847" spans="1:23" ht="16.05" customHeight="1" x14ac:dyDescent="0.45">
      <c r="A847" s="1">
        <v>846</v>
      </c>
      <c r="B847" s="498" t="s">
        <v>924</v>
      </c>
      <c r="C847" s="498" t="s">
        <v>24</v>
      </c>
      <c r="D847" s="499">
        <v>6456</v>
      </c>
      <c r="E847" s="498" t="s">
        <v>1631</v>
      </c>
      <c r="F847" s="498" t="s">
        <v>290</v>
      </c>
      <c r="G847" s="500">
        <v>3717</v>
      </c>
      <c r="H847" s="498" t="s">
        <v>1476</v>
      </c>
      <c r="I847" s="498" t="s">
        <v>1632</v>
      </c>
      <c r="J847" s="348" t="s">
        <v>58</v>
      </c>
      <c r="K847" s="290" t="s">
        <v>57</v>
      </c>
      <c r="L847" s="501">
        <v>0.8</v>
      </c>
      <c r="M847" s="348" t="s">
        <v>1637</v>
      </c>
      <c r="N847" s="348" t="s">
        <v>1638</v>
      </c>
      <c r="O847" s="502"/>
      <c r="P847" s="506">
        <v>30</v>
      </c>
      <c r="Q847" s="501">
        <v>0.4</v>
      </c>
      <c r="R847" s="506"/>
      <c r="S847" s="35">
        <f t="shared" si="26"/>
        <v>0</v>
      </c>
      <c r="T847" s="504">
        <f t="shared" si="27"/>
        <v>0</v>
      </c>
      <c r="U847" s="505" t="s">
        <v>34</v>
      </c>
      <c r="V847" s="505"/>
      <c r="W847" s="182"/>
    </row>
    <row r="848" spans="1:23" ht="16.05" customHeight="1" x14ac:dyDescent="0.45">
      <c r="A848" s="1">
        <v>847</v>
      </c>
      <c r="B848" s="498" t="s">
        <v>924</v>
      </c>
      <c r="C848" s="498" t="s">
        <v>24</v>
      </c>
      <c r="D848" s="499">
        <v>6456</v>
      </c>
      <c r="E848" s="498" t="s">
        <v>1631</v>
      </c>
      <c r="F848" s="498" t="s">
        <v>290</v>
      </c>
      <c r="G848" s="500">
        <v>3717</v>
      </c>
      <c r="H848" s="498" t="s">
        <v>1476</v>
      </c>
      <c r="I848" s="498" t="s">
        <v>1632</v>
      </c>
      <c r="J848" s="338" t="s">
        <v>111</v>
      </c>
      <c r="K848" s="338" t="s">
        <v>110</v>
      </c>
      <c r="L848" s="489">
        <v>0.2</v>
      </c>
      <c r="M848" s="507" t="s">
        <v>1639</v>
      </c>
      <c r="N848" s="507" t="s">
        <v>1640</v>
      </c>
      <c r="O848" s="508"/>
      <c r="P848" s="509">
        <v>3</v>
      </c>
      <c r="Q848" s="489">
        <v>0.5</v>
      </c>
      <c r="R848" s="509"/>
      <c r="S848" s="74">
        <f t="shared" si="26"/>
        <v>0</v>
      </c>
      <c r="T848" s="510">
        <f t="shared" si="27"/>
        <v>0</v>
      </c>
      <c r="U848" s="511" t="s">
        <v>34</v>
      </c>
      <c r="V848" s="511"/>
      <c r="W848" s="16"/>
    </row>
    <row r="849" spans="1:23" ht="16.05" customHeight="1" x14ac:dyDescent="0.45">
      <c r="A849" s="1">
        <v>848</v>
      </c>
      <c r="B849" s="498" t="s">
        <v>924</v>
      </c>
      <c r="C849" s="498" t="s">
        <v>24</v>
      </c>
      <c r="D849" s="499">
        <v>6456</v>
      </c>
      <c r="E849" s="498" t="s">
        <v>1631</v>
      </c>
      <c r="F849" s="498" t="s">
        <v>290</v>
      </c>
      <c r="G849" s="500">
        <v>3717</v>
      </c>
      <c r="H849" s="498" t="s">
        <v>1476</v>
      </c>
      <c r="I849" s="498" t="s">
        <v>1632</v>
      </c>
      <c r="J849" s="338" t="s">
        <v>111</v>
      </c>
      <c r="K849" s="338" t="s">
        <v>110</v>
      </c>
      <c r="L849" s="489">
        <v>0.2</v>
      </c>
      <c r="M849" s="507" t="s">
        <v>1641</v>
      </c>
      <c r="N849" s="507" t="s">
        <v>1642</v>
      </c>
      <c r="O849" s="508"/>
      <c r="P849" s="509">
        <v>30</v>
      </c>
      <c r="Q849" s="489">
        <v>0.5</v>
      </c>
      <c r="R849" s="509"/>
      <c r="S849" s="74">
        <f t="shared" si="26"/>
        <v>0</v>
      </c>
      <c r="T849" s="510">
        <f t="shared" si="27"/>
        <v>0</v>
      </c>
      <c r="U849" s="511" t="s">
        <v>34</v>
      </c>
      <c r="V849" s="511"/>
      <c r="W849" s="16"/>
    </row>
    <row r="850" spans="1:23" ht="16.05" customHeight="1" x14ac:dyDescent="0.45">
      <c r="A850" s="1">
        <v>849</v>
      </c>
      <c r="B850" s="3" t="s">
        <v>924</v>
      </c>
      <c r="C850" s="3" t="s">
        <v>24</v>
      </c>
      <c r="D850" s="275">
        <v>3642</v>
      </c>
      <c r="E850" s="3" t="s">
        <v>1643</v>
      </c>
      <c r="F850" s="3" t="s">
        <v>1644</v>
      </c>
      <c r="G850" s="91">
        <v>6592</v>
      </c>
      <c r="H850" s="99" t="s">
        <v>925</v>
      </c>
      <c r="I850" s="3" t="s">
        <v>1645</v>
      </c>
      <c r="J850" s="3" t="s">
        <v>58</v>
      </c>
      <c r="K850" s="3" t="s">
        <v>57</v>
      </c>
      <c r="L850" s="276">
        <v>0.5</v>
      </c>
      <c r="M850" s="91" t="s">
        <v>77</v>
      </c>
      <c r="N850" s="512" t="s">
        <v>78</v>
      </c>
      <c r="O850" s="54" t="s">
        <v>79</v>
      </c>
      <c r="P850" s="120">
        <v>0.99</v>
      </c>
      <c r="Q850" s="276">
        <v>0.2</v>
      </c>
      <c r="R850" s="120"/>
      <c r="S850" s="120">
        <f t="shared" si="26"/>
        <v>0</v>
      </c>
      <c r="T850" s="3">
        <f t="shared" si="27"/>
        <v>0</v>
      </c>
      <c r="U850" s="3" t="s">
        <v>34</v>
      </c>
      <c r="V850" s="513">
        <f>SUM(T850:T862)%</f>
        <v>0</v>
      </c>
      <c r="W850" s="3"/>
    </row>
    <row r="851" spans="1:23" ht="16.05" customHeight="1" x14ac:dyDescent="0.45">
      <c r="A851" s="1">
        <v>850</v>
      </c>
      <c r="B851" s="16" t="s">
        <v>924</v>
      </c>
      <c r="C851" s="16" t="s">
        <v>24</v>
      </c>
      <c r="D851" s="281">
        <v>3642</v>
      </c>
      <c r="E851" s="16" t="s">
        <v>1643</v>
      </c>
      <c r="F851" s="16" t="s">
        <v>1644</v>
      </c>
      <c r="G851" s="357">
        <v>6592</v>
      </c>
      <c r="H851" s="113" t="s">
        <v>925</v>
      </c>
      <c r="I851" s="16" t="s">
        <v>1645</v>
      </c>
      <c r="J851" s="184" t="s">
        <v>58</v>
      </c>
      <c r="K851" s="359" t="s">
        <v>57</v>
      </c>
      <c r="L851" s="346">
        <v>0.5</v>
      </c>
      <c r="M851" s="435" t="s">
        <v>80</v>
      </c>
      <c r="N851" s="435" t="s">
        <v>81</v>
      </c>
      <c r="O851" s="435" t="s">
        <v>82</v>
      </c>
      <c r="P851" s="43">
        <v>0.01</v>
      </c>
      <c r="Q851" s="346">
        <v>0.1</v>
      </c>
      <c r="R851" s="43"/>
      <c r="S851" s="35">
        <f t="shared" si="26"/>
        <v>0</v>
      </c>
      <c r="T851" s="184">
        <f t="shared" si="27"/>
        <v>0</v>
      </c>
      <c r="U851" s="184" t="s">
        <v>83</v>
      </c>
      <c r="V851" s="44"/>
      <c r="W851" s="182"/>
    </row>
    <row r="852" spans="1:23" ht="16.05" customHeight="1" x14ac:dyDescent="0.45">
      <c r="A852" s="1">
        <v>851</v>
      </c>
      <c r="B852" s="16" t="s">
        <v>924</v>
      </c>
      <c r="C852" s="16" t="s">
        <v>24</v>
      </c>
      <c r="D852" s="281">
        <v>3642</v>
      </c>
      <c r="E852" s="16" t="s">
        <v>1643</v>
      </c>
      <c r="F852" s="16" t="s">
        <v>1644</v>
      </c>
      <c r="G852" s="357">
        <v>6592</v>
      </c>
      <c r="H852" s="113" t="s">
        <v>925</v>
      </c>
      <c r="I852" s="16" t="s">
        <v>1645</v>
      </c>
      <c r="J852" s="184" t="s">
        <v>58</v>
      </c>
      <c r="K852" s="359" t="s">
        <v>57</v>
      </c>
      <c r="L852" s="346">
        <v>0.5</v>
      </c>
      <c r="M852" s="184" t="s">
        <v>1646</v>
      </c>
      <c r="N852" s="64" t="s">
        <v>1647</v>
      </c>
      <c r="O852" s="40" t="s">
        <v>1648</v>
      </c>
      <c r="P852" s="514">
        <v>5.0000000000000001E-3</v>
      </c>
      <c r="Q852" s="346">
        <v>0.1</v>
      </c>
      <c r="R852" s="514"/>
      <c r="S852" s="35">
        <f t="shared" si="26"/>
        <v>0</v>
      </c>
      <c r="T852" s="184">
        <f t="shared" si="27"/>
        <v>0</v>
      </c>
      <c r="U852" s="184" t="s">
        <v>83</v>
      </c>
      <c r="V852" s="44"/>
      <c r="W852" s="182"/>
    </row>
    <row r="853" spans="1:23" ht="16.05" customHeight="1" x14ac:dyDescent="0.45">
      <c r="A853" s="1">
        <v>852</v>
      </c>
      <c r="B853" s="16" t="s">
        <v>924</v>
      </c>
      <c r="C853" s="16" t="s">
        <v>24</v>
      </c>
      <c r="D853" s="281">
        <v>3642</v>
      </c>
      <c r="E853" s="16" t="s">
        <v>1643</v>
      </c>
      <c r="F853" s="16" t="s">
        <v>1644</v>
      </c>
      <c r="G853" s="357">
        <v>6592</v>
      </c>
      <c r="H853" s="113" t="s">
        <v>925</v>
      </c>
      <c r="I853" s="16" t="s">
        <v>1645</v>
      </c>
      <c r="J853" s="184" t="s">
        <v>58</v>
      </c>
      <c r="K853" s="359" t="s">
        <v>57</v>
      </c>
      <c r="L853" s="346">
        <v>0.5</v>
      </c>
      <c r="M853" s="184" t="s">
        <v>1649</v>
      </c>
      <c r="N853" s="64" t="s">
        <v>1650</v>
      </c>
      <c r="O853" s="40" t="s">
        <v>1651</v>
      </c>
      <c r="P853" s="35">
        <v>0</v>
      </c>
      <c r="Q853" s="346">
        <v>0.15</v>
      </c>
      <c r="R853" s="35"/>
      <c r="S853" s="35">
        <f t="shared" si="26"/>
        <v>0</v>
      </c>
      <c r="T853" s="184">
        <f t="shared" si="27"/>
        <v>0</v>
      </c>
      <c r="U853" s="184" t="s">
        <v>83</v>
      </c>
      <c r="V853" s="44"/>
      <c r="W853" s="182"/>
    </row>
    <row r="854" spans="1:23" ht="16.05" customHeight="1" x14ac:dyDescent="0.45">
      <c r="A854" s="1">
        <v>853</v>
      </c>
      <c r="B854" s="16" t="s">
        <v>924</v>
      </c>
      <c r="C854" s="16" t="s">
        <v>24</v>
      </c>
      <c r="D854" s="281">
        <v>3642</v>
      </c>
      <c r="E854" s="16" t="s">
        <v>1643</v>
      </c>
      <c r="F854" s="16" t="s">
        <v>1644</v>
      </c>
      <c r="G854" s="357">
        <v>6592</v>
      </c>
      <c r="H854" s="113" t="s">
        <v>925</v>
      </c>
      <c r="I854" s="16" t="s">
        <v>1645</v>
      </c>
      <c r="J854" s="184" t="s">
        <v>58</v>
      </c>
      <c r="K854" s="359" t="s">
        <v>57</v>
      </c>
      <c r="L854" s="346">
        <v>0.5</v>
      </c>
      <c r="M854" s="184" t="s">
        <v>1652</v>
      </c>
      <c r="N854" s="64" t="s">
        <v>1653</v>
      </c>
      <c r="O854" s="40" t="s">
        <v>1654</v>
      </c>
      <c r="P854" s="35">
        <v>0.99</v>
      </c>
      <c r="Q854" s="346">
        <v>0.15</v>
      </c>
      <c r="R854" s="35"/>
      <c r="S854" s="35">
        <f t="shared" si="26"/>
        <v>0</v>
      </c>
      <c r="T854" s="184">
        <f t="shared" si="27"/>
        <v>0</v>
      </c>
      <c r="U854" s="184" t="s">
        <v>34</v>
      </c>
      <c r="V854" s="44"/>
      <c r="W854" s="182"/>
    </row>
    <row r="855" spans="1:23" ht="16.05" customHeight="1" x14ac:dyDescent="0.45">
      <c r="A855" s="1">
        <v>854</v>
      </c>
      <c r="B855" s="16" t="s">
        <v>924</v>
      </c>
      <c r="C855" s="16" t="s">
        <v>24</v>
      </c>
      <c r="D855" s="281">
        <v>3642</v>
      </c>
      <c r="E855" s="16" t="s">
        <v>1643</v>
      </c>
      <c r="F855" s="16" t="s">
        <v>1644</v>
      </c>
      <c r="G855" s="357">
        <v>6592</v>
      </c>
      <c r="H855" s="113" t="s">
        <v>925</v>
      </c>
      <c r="I855" s="16" t="s">
        <v>1645</v>
      </c>
      <c r="J855" s="184" t="s">
        <v>58</v>
      </c>
      <c r="K855" s="359" t="s">
        <v>57</v>
      </c>
      <c r="L855" s="346">
        <v>0.5</v>
      </c>
      <c r="M855" s="184" t="s">
        <v>1655</v>
      </c>
      <c r="N855" s="64" t="s">
        <v>1656</v>
      </c>
      <c r="O855" s="40" t="s">
        <v>1657</v>
      </c>
      <c r="P855" s="35">
        <v>1</v>
      </c>
      <c r="Q855" s="346">
        <v>0.1</v>
      </c>
      <c r="R855" s="35"/>
      <c r="S855" s="35">
        <f t="shared" si="26"/>
        <v>0</v>
      </c>
      <c r="T855" s="184">
        <f t="shared" si="27"/>
        <v>0</v>
      </c>
      <c r="U855" s="184" t="s">
        <v>34</v>
      </c>
      <c r="V855" s="44"/>
      <c r="W855" s="182"/>
    </row>
    <row r="856" spans="1:23" ht="16.05" customHeight="1" x14ac:dyDescent="0.45">
      <c r="A856" s="1">
        <v>855</v>
      </c>
      <c r="B856" s="16" t="s">
        <v>924</v>
      </c>
      <c r="C856" s="16" t="s">
        <v>24</v>
      </c>
      <c r="D856" s="281">
        <v>3642</v>
      </c>
      <c r="E856" s="16" t="s">
        <v>1643</v>
      </c>
      <c r="F856" s="16" t="s">
        <v>1644</v>
      </c>
      <c r="G856" s="357">
        <v>6592</v>
      </c>
      <c r="H856" s="113" t="s">
        <v>925</v>
      </c>
      <c r="I856" s="16" t="s">
        <v>1645</v>
      </c>
      <c r="J856" s="184" t="s">
        <v>58</v>
      </c>
      <c r="K856" s="359" t="s">
        <v>57</v>
      </c>
      <c r="L856" s="346">
        <v>0.5</v>
      </c>
      <c r="M856" s="515" t="s">
        <v>1658</v>
      </c>
      <c r="N856" s="430"/>
      <c r="O856" s="516" t="s">
        <v>1659</v>
      </c>
      <c r="P856" s="35">
        <v>1</v>
      </c>
      <c r="Q856" s="346">
        <v>0.1</v>
      </c>
      <c r="R856" s="35"/>
      <c r="S856" s="35">
        <f t="shared" si="26"/>
        <v>0</v>
      </c>
      <c r="T856" s="184">
        <f t="shared" si="27"/>
        <v>0</v>
      </c>
      <c r="U856" s="184" t="s">
        <v>34</v>
      </c>
      <c r="V856" s="44"/>
      <c r="W856" s="182"/>
    </row>
    <row r="857" spans="1:23" ht="16.05" customHeight="1" x14ac:dyDescent="0.45">
      <c r="A857" s="1">
        <v>856</v>
      </c>
      <c r="B857" s="16" t="s">
        <v>924</v>
      </c>
      <c r="C857" s="16" t="s">
        <v>24</v>
      </c>
      <c r="D857" s="281">
        <v>3642</v>
      </c>
      <c r="E857" s="16" t="s">
        <v>1643</v>
      </c>
      <c r="F857" s="16" t="s">
        <v>1644</v>
      </c>
      <c r="G857" s="357">
        <v>6592</v>
      </c>
      <c r="H857" s="113" t="s">
        <v>925</v>
      </c>
      <c r="I857" s="16" t="s">
        <v>1645</v>
      </c>
      <c r="J857" s="184" t="s">
        <v>58</v>
      </c>
      <c r="K857" s="359" t="s">
        <v>57</v>
      </c>
      <c r="L857" s="346">
        <v>0.5</v>
      </c>
      <c r="M857" s="515" t="s">
        <v>525</v>
      </c>
      <c r="N857" s="430"/>
      <c r="O857" s="516" t="s">
        <v>527</v>
      </c>
      <c r="P857" s="35">
        <v>1</v>
      </c>
      <c r="Q857" s="346">
        <v>0.1</v>
      </c>
      <c r="R857" s="35"/>
      <c r="S857" s="35">
        <f t="shared" si="26"/>
        <v>0</v>
      </c>
      <c r="T857" s="184">
        <f t="shared" si="27"/>
        <v>0</v>
      </c>
      <c r="U857" s="184" t="s">
        <v>34</v>
      </c>
      <c r="V857" s="44"/>
      <c r="W857" s="182"/>
    </row>
    <row r="858" spans="1:23" ht="16.05" customHeight="1" x14ac:dyDescent="0.45">
      <c r="A858" s="1">
        <v>857</v>
      </c>
      <c r="B858" s="16" t="s">
        <v>924</v>
      </c>
      <c r="C858" s="16" t="s">
        <v>24</v>
      </c>
      <c r="D858" s="281">
        <v>3642</v>
      </c>
      <c r="E858" s="16" t="s">
        <v>1643</v>
      </c>
      <c r="F858" s="16" t="s">
        <v>1644</v>
      </c>
      <c r="G858" s="357">
        <v>6592</v>
      </c>
      <c r="H858" s="113" t="s">
        <v>925</v>
      </c>
      <c r="I858" s="16" t="s">
        <v>1645</v>
      </c>
      <c r="J858" s="16" t="s">
        <v>111</v>
      </c>
      <c r="K858" s="16" t="s">
        <v>110</v>
      </c>
      <c r="L858" s="292">
        <v>0.5</v>
      </c>
      <c r="M858" s="517" t="s">
        <v>1660</v>
      </c>
      <c r="N858" s="517"/>
      <c r="O858" s="518" t="s">
        <v>1661</v>
      </c>
      <c r="P858" s="156">
        <v>1</v>
      </c>
      <c r="Q858" s="292">
        <v>0.2</v>
      </c>
      <c r="R858" s="156"/>
      <c r="S858" s="134">
        <f t="shared" si="26"/>
        <v>0</v>
      </c>
      <c r="T858" s="182">
        <f t="shared" si="27"/>
        <v>0</v>
      </c>
      <c r="U858" s="16" t="s">
        <v>34</v>
      </c>
      <c r="V858" s="162"/>
      <c r="W858" s="182"/>
    </row>
    <row r="859" spans="1:23" ht="16.05" customHeight="1" x14ac:dyDescent="0.45">
      <c r="A859" s="1">
        <v>858</v>
      </c>
      <c r="B859" s="16" t="s">
        <v>924</v>
      </c>
      <c r="C859" s="16" t="s">
        <v>24</v>
      </c>
      <c r="D859" s="281">
        <v>3642</v>
      </c>
      <c r="E859" s="16" t="s">
        <v>1643</v>
      </c>
      <c r="F859" s="16" t="s">
        <v>1644</v>
      </c>
      <c r="G859" s="357">
        <v>6592</v>
      </c>
      <c r="H859" s="113" t="s">
        <v>925</v>
      </c>
      <c r="I859" s="16" t="s">
        <v>1645</v>
      </c>
      <c r="J859" s="16" t="s">
        <v>111</v>
      </c>
      <c r="K859" s="16" t="s">
        <v>110</v>
      </c>
      <c r="L859" s="292">
        <v>0.5</v>
      </c>
      <c r="M859" s="519" t="s">
        <v>1662</v>
      </c>
      <c r="N859" s="520" t="s">
        <v>533</v>
      </c>
      <c r="O859" s="521"/>
      <c r="P859" s="134">
        <v>1</v>
      </c>
      <c r="Q859" s="292">
        <v>0.2</v>
      </c>
      <c r="R859" s="134"/>
      <c r="S859" s="134">
        <f t="shared" si="26"/>
        <v>0</v>
      </c>
      <c r="T859" s="182">
        <f t="shared" si="27"/>
        <v>0</v>
      </c>
      <c r="U859" s="16" t="s">
        <v>34</v>
      </c>
      <c r="V859" s="73"/>
      <c r="W859" s="16"/>
    </row>
    <row r="860" spans="1:23" ht="16.05" customHeight="1" x14ac:dyDescent="0.45">
      <c r="A860" s="1">
        <v>859</v>
      </c>
      <c r="B860" s="16" t="s">
        <v>924</v>
      </c>
      <c r="C860" s="16" t="s">
        <v>24</v>
      </c>
      <c r="D860" s="281">
        <v>3642</v>
      </c>
      <c r="E860" s="16" t="s">
        <v>1643</v>
      </c>
      <c r="F860" s="16" t="s">
        <v>1644</v>
      </c>
      <c r="G860" s="357">
        <v>6592</v>
      </c>
      <c r="H860" s="113" t="s">
        <v>925</v>
      </c>
      <c r="I860" s="16" t="s">
        <v>1645</v>
      </c>
      <c r="J860" s="16" t="s">
        <v>111</v>
      </c>
      <c r="K860" s="16" t="s">
        <v>110</v>
      </c>
      <c r="L860" s="292">
        <v>0.5</v>
      </c>
      <c r="M860" s="71"/>
      <c r="N860" s="520" t="s">
        <v>1663</v>
      </c>
      <c r="O860" s="162"/>
      <c r="P860" s="156">
        <v>1</v>
      </c>
      <c r="Q860" s="292">
        <v>0.2</v>
      </c>
      <c r="R860" s="156"/>
      <c r="S860" s="134">
        <f t="shared" si="26"/>
        <v>0</v>
      </c>
      <c r="T860" s="182">
        <f t="shared" si="27"/>
        <v>0</v>
      </c>
      <c r="U860" s="16" t="s">
        <v>34</v>
      </c>
      <c r="V860" s="73"/>
      <c r="W860" s="16"/>
    </row>
    <row r="861" spans="1:23" ht="16.05" customHeight="1" x14ac:dyDescent="0.45">
      <c r="A861" s="1">
        <v>860</v>
      </c>
      <c r="B861" s="16" t="s">
        <v>924</v>
      </c>
      <c r="C861" s="16" t="s">
        <v>24</v>
      </c>
      <c r="D861" s="281">
        <v>3642</v>
      </c>
      <c r="E861" s="16" t="s">
        <v>1643</v>
      </c>
      <c r="F861" s="16" t="s">
        <v>1644</v>
      </c>
      <c r="G861" s="357">
        <v>6592</v>
      </c>
      <c r="H861" s="113" t="s">
        <v>925</v>
      </c>
      <c r="I861" s="16" t="s">
        <v>1645</v>
      </c>
      <c r="J861" s="16" t="s">
        <v>111</v>
      </c>
      <c r="K861" s="16" t="s">
        <v>110</v>
      </c>
      <c r="L861" s="292">
        <v>0.5</v>
      </c>
      <c r="M861" s="71"/>
      <c r="N861" s="520" t="s">
        <v>1664</v>
      </c>
      <c r="O861" s="162"/>
      <c r="P861" s="156">
        <v>1</v>
      </c>
      <c r="Q861" s="292">
        <v>0.2</v>
      </c>
      <c r="R861" s="156"/>
      <c r="S861" s="134">
        <f t="shared" si="26"/>
        <v>0</v>
      </c>
      <c r="T861" s="182">
        <f t="shared" si="27"/>
        <v>0</v>
      </c>
      <c r="U861" s="16" t="s">
        <v>34</v>
      </c>
      <c r="V861" s="73"/>
      <c r="W861" s="16"/>
    </row>
    <row r="862" spans="1:23" ht="16.05" customHeight="1" x14ac:dyDescent="0.45">
      <c r="A862" s="1">
        <v>861</v>
      </c>
      <c r="B862" s="16" t="s">
        <v>924</v>
      </c>
      <c r="C862" s="16" t="s">
        <v>24</v>
      </c>
      <c r="D862" s="281">
        <v>3642</v>
      </c>
      <c r="E862" s="16" t="s">
        <v>1643</v>
      </c>
      <c r="F862" s="16" t="s">
        <v>1644</v>
      </c>
      <c r="G862" s="357">
        <v>6592</v>
      </c>
      <c r="H862" s="113" t="s">
        <v>925</v>
      </c>
      <c r="I862" s="16" t="s">
        <v>1645</v>
      </c>
      <c r="J862" s="16" t="s">
        <v>111</v>
      </c>
      <c r="K862" s="16" t="s">
        <v>110</v>
      </c>
      <c r="L862" s="292">
        <v>0.5</v>
      </c>
      <c r="M862" s="71"/>
      <c r="N862" s="384" t="s">
        <v>1665</v>
      </c>
      <c r="O862" s="162"/>
      <c r="P862" s="156">
        <v>1</v>
      </c>
      <c r="Q862" s="292">
        <v>0.2</v>
      </c>
      <c r="R862" s="156"/>
      <c r="S862" s="134">
        <f t="shared" si="26"/>
        <v>0</v>
      </c>
      <c r="T862" s="182">
        <f t="shared" si="27"/>
        <v>0</v>
      </c>
      <c r="U862" s="16" t="s">
        <v>34</v>
      </c>
      <c r="V862" s="73"/>
      <c r="W862" s="16"/>
    </row>
    <row r="863" spans="1:23" ht="16.05" customHeight="1" x14ac:dyDescent="0.45">
      <c r="A863" s="1">
        <v>862</v>
      </c>
      <c r="B863" s="3" t="s">
        <v>924</v>
      </c>
      <c r="C863" s="3" t="s">
        <v>24</v>
      </c>
      <c r="D863" s="275">
        <v>3870</v>
      </c>
      <c r="E863" s="3" t="s">
        <v>1666</v>
      </c>
      <c r="F863" s="3" t="s">
        <v>1667</v>
      </c>
      <c r="G863" s="3">
        <v>3642</v>
      </c>
      <c r="H863" s="3" t="s">
        <v>1643</v>
      </c>
      <c r="I863" s="3" t="s">
        <v>1645</v>
      </c>
      <c r="J863" s="3" t="s">
        <v>58</v>
      </c>
      <c r="K863" s="3" t="s">
        <v>57</v>
      </c>
      <c r="L863" s="276">
        <v>0.6</v>
      </c>
      <c r="M863" s="522" t="s">
        <v>80</v>
      </c>
      <c r="N863" s="522" t="s">
        <v>81</v>
      </c>
      <c r="O863" s="523" t="s">
        <v>82</v>
      </c>
      <c r="P863" s="43">
        <v>0.01</v>
      </c>
      <c r="Q863" s="276">
        <v>0.25</v>
      </c>
      <c r="R863" s="43"/>
      <c r="S863" s="120">
        <f t="shared" si="26"/>
        <v>0</v>
      </c>
      <c r="T863" s="3">
        <f t="shared" si="27"/>
        <v>0</v>
      </c>
      <c r="U863" s="3" t="s">
        <v>83</v>
      </c>
      <c r="V863" s="513">
        <f>SUM(T863:T872)%</f>
        <v>0</v>
      </c>
      <c r="W863" s="3"/>
    </row>
    <row r="864" spans="1:23" ht="16.05" customHeight="1" x14ac:dyDescent="0.45">
      <c r="A864" s="1">
        <v>863</v>
      </c>
      <c r="B864" s="16" t="s">
        <v>924</v>
      </c>
      <c r="C864" s="16" t="s">
        <v>24</v>
      </c>
      <c r="D864" s="281">
        <v>3870</v>
      </c>
      <c r="E864" s="16" t="s">
        <v>1666</v>
      </c>
      <c r="F864" s="16" t="s">
        <v>1667</v>
      </c>
      <c r="G864" s="16">
        <v>3642</v>
      </c>
      <c r="H864" s="16" t="s">
        <v>1643</v>
      </c>
      <c r="I864" s="16" t="s">
        <v>1645</v>
      </c>
      <c r="J864" s="306" t="s">
        <v>58</v>
      </c>
      <c r="K864" s="16" t="s">
        <v>57</v>
      </c>
      <c r="L864" s="346">
        <v>0.6</v>
      </c>
      <c r="M864" s="515" t="s">
        <v>1668</v>
      </c>
      <c r="N864" s="515" t="s">
        <v>1669</v>
      </c>
      <c r="O864" s="524"/>
      <c r="P864" s="35">
        <v>0.95</v>
      </c>
      <c r="Q864" s="346">
        <v>0.15</v>
      </c>
      <c r="R864" s="35"/>
      <c r="S864" s="35">
        <f t="shared" si="26"/>
        <v>0</v>
      </c>
      <c r="T864" s="184">
        <f t="shared" si="27"/>
        <v>0</v>
      </c>
      <c r="U864" s="184" t="s">
        <v>34</v>
      </c>
      <c r="V864" s="35"/>
      <c r="W864" s="182"/>
    </row>
    <row r="865" spans="1:23" ht="16.05" customHeight="1" x14ac:dyDescent="0.45">
      <c r="A865" s="1">
        <v>864</v>
      </c>
      <c r="B865" s="16" t="s">
        <v>924</v>
      </c>
      <c r="C865" s="16" t="s">
        <v>24</v>
      </c>
      <c r="D865" s="281">
        <v>3870</v>
      </c>
      <c r="E865" s="16" t="s">
        <v>1666</v>
      </c>
      <c r="F865" s="16" t="s">
        <v>1667</v>
      </c>
      <c r="G865" s="16">
        <v>3642</v>
      </c>
      <c r="H865" s="16" t="s">
        <v>1643</v>
      </c>
      <c r="I865" s="16" t="s">
        <v>1645</v>
      </c>
      <c r="J865" s="306" t="s">
        <v>58</v>
      </c>
      <c r="K865" s="16" t="s">
        <v>57</v>
      </c>
      <c r="L865" s="346">
        <v>0.6</v>
      </c>
      <c r="M865" s="515" t="s">
        <v>1670</v>
      </c>
      <c r="N865" s="515" t="s">
        <v>1671</v>
      </c>
      <c r="O865" s="524"/>
      <c r="P865" s="35">
        <v>1</v>
      </c>
      <c r="Q865" s="346">
        <v>0.2</v>
      </c>
      <c r="R865" s="35"/>
      <c r="S865" s="35">
        <f t="shared" si="26"/>
        <v>0</v>
      </c>
      <c r="T865" s="184">
        <f t="shared" si="27"/>
        <v>0</v>
      </c>
      <c r="U865" s="184" t="s">
        <v>34</v>
      </c>
      <c r="V865" s="35"/>
      <c r="W865" s="182"/>
    </row>
    <row r="866" spans="1:23" ht="16.05" customHeight="1" x14ac:dyDescent="0.45">
      <c r="A866" s="1">
        <v>865</v>
      </c>
      <c r="B866" s="16" t="s">
        <v>924</v>
      </c>
      <c r="C866" s="16" t="s">
        <v>24</v>
      </c>
      <c r="D866" s="281">
        <v>3870</v>
      </c>
      <c r="E866" s="16" t="s">
        <v>1666</v>
      </c>
      <c r="F866" s="16" t="s">
        <v>1667</v>
      </c>
      <c r="G866" s="16">
        <v>3642</v>
      </c>
      <c r="H866" s="16" t="s">
        <v>1643</v>
      </c>
      <c r="I866" s="16" t="s">
        <v>1645</v>
      </c>
      <c r="J866" s="306" t="s">
        <v>58</v>
      </c>
      <c r="K866" s="16" t="s">
        <v>57</v>
      </c>
      <c r="L866" s="346">
        <v>0.6</v>
      </c>
      <c r="M866" s="515" t="s">
        <v>550</v>
      </c>
      <c r="N866" s="515" t="s">
        <v>567</v>
      </c>
      <c r="O866" s="524"/>
      <c r="P866" s="35">
        <v>1</v>
      </c>
      <c r="Q866" s="346">
        <v>0.2</v>
      </c>
      <c r="R866" s="35"/>
      <c r="S866" s="35">
        <f t="shared" si="26"/>
        <v>0</v>
      </c>
      <c r="T866" s="184">
        <f t="shared" si="27"/>
        <v>0</v>
      </c>
      <c r="U866" s="184" t="s">
        <v>34</v>
      </c>
      <c r="V866" s="35"/>
      <c r="W866" s="182"/>
    </row>
    <row r="867" spans="1:23" ht="16.05" customHeight="1" x14ac:dyDescent="0.45">
      <c r="A867" s="1">
        <v>866</v>
      </c>
      <c r="B867" s="16" t="s">
        <v>924</v>
      </c>
      <c r="C867" s="16" t="s">
        <v>24</v>
      </c>
      <c r="D867" s="281">
        <v>3870</v>
      </c>
      <c r="E867" s="16" t="s">
        <v>1666</v>
      </c>
      <c r="F867" s="16" t="s">
        <v>1667</v>
      </c>
      <c r="G867" s="16">
        <v>3642</v>
      </c>
      <c r="H867" s="16" t="s">
        <v>1643</v>
      </c>
      <c r="I867" s="16" t="s">
        <v>1645</v>
      </c>
      <c r="J867" s="306" t="s">
        <v>58</v>
      </c>
      <c r="K867" s="16" t="s">
        <v>57</v>
      </c>
      <c r="L867" s="346">
        <v>0.6</v>
      </c>
      <c r="M867" s="515" t="s">
        <v>552</v>
      </c>
      <c r="N867" s="515" t="s">
        <v>553</v>
      </c>
      <c r="O867" s="524"/>
      <c r="P867" s="35">
        <v>0.9</v>
      </c>
      <c r="Q867" s="346">
        <v>0.1</v>
      </c>
      <c r="R867" s="35"/>
      <c r="S867" s="35">
        <f t="shared" si="26"/>
        <v>0</v>
      </c>
      <c r="T867" s="184">
        <f t="shared" si="27"/>
        <v>0</v>
      </c>
      <c r="U867" s="184" t="s">
        <v>34</v>
      </c>
      <c r="V867" s="35"/>
      <c r="W867" s="182"/>
    </row>
    <row r="868" spans="1:23" ht="16.05" customHeight="1" x14ac:dyDescent="0.45">
      <c r="A868" s="1">
        <v>867</v>
      </c>
      <c r="B868" s="16" t="s">
        <v>924</v>
      </c>
      <c r="C868" s="16" t="s">
        <v>24</v>
      </c>
      <c r="D868" s="281">
        <v>3870</v>
      </c>
      <c r="E868" s="16" t="s">
        <v>1666</v>
      </c>
      <c r="F868" s="16" t="s">
        <v>1667</v>
      </c>
      <c r="G868" s="16">
        <v>3642</v>
      </c>
      <c r="H868" s="16" t="s">
        <v>1643</v>
      </c>
      <c r="I868" s="16" t="s">
        <v>1645</v>
      </c>
      <c r="J868" s="306" t="s">
        <v>58</v>
      </c>
      <c r="K868" s="16" t="s">
        <v>57</v>
      </c>
      <c r="L868" s="346">
        <v>0.6</v>
      </c>
      <c r="M868" s="515" t="s">
        <v>1180</v>
      </c>
      <c r="N868" s="515" t="s">
        <v>702</v>
      </c>
      <c r="O868" s="524"/>
      <c r="P868" s="35">
        <v>1</v>
      </c>
      <c r="Q868" s="346">
        <v>0.1</v>
      </c>
      <c r="R868" s="35"/>
      <c r="S868" s="35">
        <f t="shared" si="26"/>
        <v>0</v>
      </c>
      <c r="T868" s="184">
        <f t="shared" si="27"/>
        <v>0</v>
      </c>
      <c r="U868" s="184" t="s">
        <v>34</v>
      </c>
      <c r="V868" s="35"/>
      <c r="W868" s="182"/>
    </row>
    <row r="869" spans="1:23" ht="16.05" customHeight="1" x14ac:dyDescent="0.45">
      <c r="A869" s="1">
        <v>868</v>
      </c>
      <c r="B869" s="16" t="s">
        <v>924</v>
      </c>
      <c r="C869" s="16" t="s">
        <v>24</v>
      </c>
      <c r="D869" s="281">
        <v>3870</v>
      </c>
      <c r="E869" s="16" t="s">
        <v>1666</v>
      </c>
      <c r="F869" s="16" t="s">
        <v>1667</v>
      </c>
      <c r="G869" s="16">
        <v>3642</v>
      </c>
      <c r="H869" s="16" t="s">
        <v>1643</v>
      </c>
      <c r="I869" s="16" t="s">
        <v>1645</v>
      </c>
      <c r="J869" s="16" t="s">
        <v>111</v>
      </c>
      <c r="K869" s="16" t="s">
        <v>110</v>
      </c>
      <c r="L869" s="292">
        <v>0.4</v>
      </c>
      <c r="M869" s="519" t="s">
        <v>419</v>
      </c>
      <c r="N869" s="519" t="s">
        <v>555</v>
      </c>
      <c r="O869" s="89" t="s">
        <v>556</v>
      </c>
      <c r="P869" s="74">
        <v>1</v>
      </c>
      <c r="Q869" s="292">
        <v>0.25</v>
      </c>
      <c r="R869" s="74"/>
      <c r="S869" s="74">
        <f t="shared" si="26"/>
        <v>0</v>
      </c>
      <c r="T869" s="16">
        <f t="shared" si="27"/>
        <v>0</v>
      </c>
      <c r="U869" s="16" t="s">
        <v>34</v>
      </c>
      <c r="V869" s="134"/>
      <c r="W869" s="182"/>
    </row>
    <row r="870" spans="1:23" ht="16.05" customHeight="1" x14ac:dyDescent="0.45">
      <c r="A870" s="1">
        <v>869</v>
      </c>
      <c r="B870" s="16" t="s">
        <v>924</v>
      </c>
      <c r="C870" s="16" t="s">
        <v>24</v>
      </c>
      <c r="D870" s="281">
        <v>3870</v>
      </c>
      <c r="E870" s="16" t="s">
        <v>1666</v>
      </c>
      <c r="F870" s="16" t="s">
        <v>1667</v>
      </c>
      <c r="G870" s="16">
        <v>3642</v>
      </c>
      <c r="H870" s="16" t="s">
        <v>1643</v>
      </c>
      <c r="I870" s="16" t="s">
        <v>1645</v>
      </c>
      <c r="J870" s="16" t="s">
        <v>111</v>
      </c>
      <c r="K870" s="16" t="s">
        <v>110</v>
      </c>
      <c r="L870" s="292">
        <v>0.4</v>
      </c>
      <c r="M870" s="519" t="s">
        <v>557</v>
      </c>
      <c r="N870" s="519" t="s">
        <v>558</v>
      </c>
      <c r="O870" s="89" t="s">
        <v>559</v>
      </c>
      <c r="P870" s="74">
        <v>1</v>
      </c>
      <c r="Q870" s="292">
        <v>0.25</v>
      </c>
      <c r="R870" s="74"/>
      <c r="S870" s="74">
        <f t="shared" si="26"/>
        <v>0</v>
      </c>
      <c r="T870" s="16">
        <f t="shared" si="27"/>
        <v>0</v>
      </c>
      <c r="U870" s="16" t="s">
        <v>34</v>
      </c>
      <c r="V870" s="74"/>
      <c r="W870" s="16"/>
    </row>
    <row r="871" spans="1:23" ht="16.05" customHeight="1" x14ac:dyDescent="0.45">
      <c r="A871" s="1">
        <v>870</v>
      </c>
      <c r="B871" s="16" t="s">
        <v>924</v>
      </c>
      <c r="C871" s="16" t="s">
        <v>24</v>
      </c>
      <c r="D871" s="281">
        <v>3870</v>
      </c>
      <c r="E871" s="16" t="s">
        <v>1666</v>
      </c>
      <c r="F871" s="16" t="s">
        <v>1667</v>
      </c>
      <c r="G871" s="16">
        <v>3642</v>
      </c>
      <c r="H871" s="16" t="s">
        <v>1643</v>
      </c>
      <c r="I871" s="16" t="s">
        <v>1645</v>
      </c>
      <c r="J871" s="16" t="s">
        <v>111</v>
      </c>
      <c r="K871" s="16" t="s">
        <v>110</v>
      </c>
      <c r="L871" s="292">
        <v>0.4</v>
      </c>
      <c r="M871" s="519" t="s">
        <v>1672</v>
      </c>
      <c r="N871" s="519" t="s">
        <v>561</v>
      </c>
      <c r="O871" s="89" t="s">
        <v>562</v>
      </c>
      <c r="P871" s="74">
        <v>1</v>
      </c>
      <c r="Q871" s="292">
        <v>0.25</v>
      </c>
      <c r="R871" s="74"/>
      <c r="S871" s="74">
        <f t="shared" si="26"/>
        <v>0</v>
      </c>
      <c r="T871" s="16">
        <f t="shared" si="27"/>
        <v>0</v>
      </c>
      <c r="U871" s="16" t="s">
        <v>34</v>
      </c>
      <c r="V871" s="74"/>
      <c r="W871" s="16"/>
    </row>
    <row r="872" spans="1:23" ht="16.05" customHeight="1" x14ac:dyDescent="0.45">
      <c r="A872" s="1">
        <v>871</v>
      </c>
      <c r="B872" s="16" t="s">
        <v>924</v>
      </c>
      <c r="C872" s="16" t="s">
        <v>24</v>
      </c>
      <c r="D872" s="281">
        <v>3870</v>
      </c>
      <c r="E872" s="16" t="s">
        <v>1666</v>
      </c>
      <c r="F872" s="16" t="s">
        <v>1667</v>
      </c>
      <c r="G872" s="16">
        <v>3642</v>
      </c>
      <c r="H872" s="16" t="s">
        <v>1643</v>
      </c>
      <c r="I872" s="16" t="s">
        <v>1645</v>
      </c>
      <c r="J872" s="16" t="s">
        <v>111</v>
      </c>
      <c r="K872" s="16" t="s">
        <v>110</v>
      </c>
      <c r="L872" s="292">
        <v>0.4</v>
      </c>
      <c r="M872" s="519" t="s">
        <v>563</v>
      </c>
      <c r="N872" s="519" t="s">
        <v>564</v>
      </c>
      <c r="O872" s="89" t="s">
        <v>527</v>
      </c>
      <c r="P872" s="74">
        <v>1</v>
      </c>
      <c r="Q872" s="292">
        <v>0.25</v>
      </c>
      <c r="R872" s="74"/>
      <c r="S872" s="74">
        <f t="shared" si="26"/>
        <v>0</v>
      </c>
      <c r="T872" s="16">
        <f t="shared" si="27"/>
        <v>0</v>
      </c>
      <c r="U872" s="16" t="s">
        <v>34</v>
      </c>
      <c r="V872" s="74"/>
      <c r="W872" s="16"/>
    </row>
    <row r="873" spans="1:23" ht="16.05" customHeight="1" x14ac:dyDescent="0.45">
      <c r="A873" s="1">
        <v>872</v>
      </c>
      <c r="B873" s="3" t="s">
        <v>924</v>
      </c>
      <c r="C873" s="3" t="s">
        <v>24</v>
      </c>
      <c r="D873" s="275">
        <v>6007</v>
      </c>
      <c r="E873" s="3" t="s">
        <v>1673</v>
      </c>
      <c r="F873" s="3" t="s">
        <v>1674</v>
      </c>
      <c r="G873" s="3">
        <v>3642</v>
      </c>
      <c r="H873" s="3" t="s">
        <v>1643</v>
      </c>
      <c r="I873" s="3" t="s">
        <v>1645</v>
      </c>
      <c r="J873" s="3" t="s">
        <v>58</v>
      </c>
      <c r="K873" s="3" t="s">
        <v>57</v>
      </c>
      <c r="L873" s="276">
        <v>0.6</v>
      </c>
      <c r="M873" s="522" t="s">
        <v>80</v>
      </c>
      <c r="N873" s="522" t="s">
        <v>81</v>
      </c>
      <c r="O873" s="523" t="s">
        <v>82</v>
      </c>
      <c r="P873" s="43">
        <v>0.01</v>
      </c>
      <c r="Q873" s="276">
        <v>0.25</v>
      </c>
      <c r="R873" s="43"/>
      <c r="S873" s="120">
        <f t="shared" si="26"/>
        <v>0</v>
      </c>
      <c r="T873" s="3">
        <f t="shared" si="27"/>
        <v>0</v>
      </c>
      <c r="U873" s="3" t="s">
        <v>83</v>
      </c>
      <c r="V873" s="513">
        <f>SUM(T873:T882)%</f>
        <v>0</v>
      </c>
      <c r="W873" s="3"/>
    </row>
    <row r="874" spans="1:23" ht="16.05" customHeight="1" x14ac:dyDescent="0.45">
      <c r="A874" s="1">
        <v>873</v>
      </c>
      <c r="B874" s="16" t="s">
        <v>924</v>
      </c>
      <c r="C874" s="16" t="s">
        <v>24</v>
      </c>
      <c r="D874" s="281">
        <v>6007</v>
      </c>
      <c r="E874" s="16" t="s">
        <v>1673</v>
      </c>
      <c r="F874" s="16" t="s">
        <v>1674</v>
      </c>
      <c r="G874" s="16">
        <v>3642</v>
      </c>
      <c r="H874" s="16" t="s">
        <v>1643</v>
      </c>
      <c r="I874" s="16" t="s">
        <v>1645</v>
      </c>
      <c r="J874" s="306" t="s">
        <v>58</v>
      </c>
      <c r="K874" s="16" t="s">
        <v>57</v>
      </c>
      <c r="L874" s="346">
        <v>0.6</v>
      </c>
      <c r="M874" s="515" t="s">
        <v>1668</v>
      </c>
      <c r="N874" s="515" t="s">
        <v>1669</v>
      </c>
      <c r="O874" s="524"/>
      <c r="P874" s="35">
        <v>0.95</v>
      </c>
      <c r="Q874" s="346">
        <v>0.15</v>
      </c>
      <c r="R874" s="35"/>
      <c r="S874" s="35">
        <f t="shared" si="26"/>
        <v>0</v>
      </c>
      <c r="T874" s="184">
        <f t="shared" si="27"/>
        <v>0</v>
      </c>
      <c r="U874" s="184" t="s">
        <v>34</v>
      </c>
      <c r="V874" s="35"/>
      <c r="W874" s="182"/>
    </row>
    <row r="875" spans="1:23" ht="16.05" customHeight="1" x14ac:dyDescent="0.45">
      <c r="A875" s="1">
        <v>874</v>
      </c>
      <c r="B875" s="16" t="s">
        <v>924</v>
      </c>
      <c r="C875" s="16" t="s">
        <v>24</v>
      </c>
      <c r="D875" s="281">
        <v>6007</v>
      </c>
      <c r="E875" s="16" t="s">
        <v>1673</v>
      </c>
      <c r="F875" s="16" t="s">
        <v>1674</v>
      </c>
      <c r="G875" s="16">
        <v>3642</v>
      </c>
      <c r="H875" s="16" t="s">
        <v>1643</v>
      </c>
      <c r="I875" s="16" t="s">
        <v>1645</v>
      </c>
      <c r="J875" s="306" t="s">
        <v>58</v>
      </c>
      <c r="K875" s="16" t="s">
        <v>57</v>
      </c>
      <c r="L875" s="346">
        <v>0.6</v>
      </c>
      <c r="M875" s="515" t="s">
        <v>1670</v>
      </c>
      <c r="N875" s="515" t="s">
        <v>1671</v>
      </c>
      <c r="O875" s="524"/>
      <c r="P875" s="35">
        <v>1</v>
      </c>
      <c r="Q875" s="346">
        <v>0.2</v>
      </c>
      <c r="R875" s="35"/>
      <c r="S875" s="35">
        <f t="shared" si="26"/>
        <v>0</v>
      </c>
      <c r="T875" s="184">
        <f t="shared" si="27"/>
        <v>0</v>
      </c>
      <c r="U875" s="184" t="s">
        <v>34</v>
      </c>
      <c r="V875" s="35"/>
      <c r="W875" s="182"/>
    </row>
    <row r="876" spans="1:23" ht="16.05" customHeight="1" x14ac:dyDescent="0.45">
      <c r="A876" s="1">
        <v>875</v>
      </c>
      <c r="B876" s="16" t="s">
        <v>924</v>
      </c>
      <c r="C876" s="16" t="s">
        <v>24</v>
      </c>
      <c r="D876" s="281">
        <v>6007</v>
      </c>
      <c r="E876" s="16" t="s">
        <v>1673</v>
      </c>
      <c r="F876" s="16" t="s">
        <v>1674</v>
      </c>
      <c r="G876" s="16">
        <v>3642</v>
      </c>
      <c r="H876" s="16" t="s">
        <v>1643</v>
      </c>
      <c r="I876" s="16" t="s">
        <v>1645</v>
      </c>
      <c r="J876" s="306" t="s">
        <v>58</v>
      </c>
      <c r="K876" s="16" t="s">
        <v>57</v>
      </c>
      <c r="L876" s="346">
        <v>0.6</v>
      </c>
      <c r="M876" s="515" t="s">
        <v>550</v>
      </c>
      <c r="N876" s="515" t="s">
        <v>567</v>
      </c>
      <c r="O876" s="524"/>
      <c r="P876" s="35">
        <v>1</v>
      </c>
      <c r="Q876" s="346">
        <v>0.2</v>
      </c>
      <c r="R876" s="35"/>
      <c r="S876" s="35">
        <f t="shared" si="26"/>
        <v>0</v>
      </c>
      <c r="T876" s="184">
        <f t="shared" si="27"/>
        <v>0</v>
      </c>
      <c r="U876" s="184" t="s">
        <v>34</v>
      </c>
      <c r="V876" s="35"/>
      <c r="W876" s="182"/>
    </row>
    <row r="877" spans="1:23" ht="16.05" customHeight="1" x14ac:dyDescent="0.45">
      <c r="A877" s="1">
        <v>876</v>
      </c>
      <c r="B877" s="16" t="s">
        <v>924</v>
      </c>
      <c r="C877" s="16" t="s">
        <v>24</v>
      </c>
      <c r="D877" s="281">
        <v>6007</v>
      </c>
      <c r="E877" s="16" t="s">
        <v>1673</v>
      </c>
      <c r="F877" s="16" t="s">
        <v>1674</v>
      </c>
      <c r="G877" s="16">
        <v>3642</v>
      </c>
      <c r="H877" s="16" t="s">
        <v>1643</v>
      </c>
      <c r="I877" s="16" t="s">
        <v>1645</v>
      </c>
      <c r="J877" s="306" t="s">
        <v>58</v>
      </c>
      <c r="K877" s="16" t="s">
        <v>57</v>
      </c>
      <c r="L877" s="346">
        <v>0.6</v>
      </c>
      <c r="M877" s="515" t="s">
        <v>552</v>
      </c>
      <c r="N877" s="515" t="s">
        <v>553</v>
      </c>
      <c r="O877" s="524"/>
      <c r="P877" s="35">
        <v>0.9</v>
      </c>
      <c r="Q877" s="346">
        <v>0.1</v>
      </c>
      <c r="R877" s="35"/>
      <c r="S877" s="35">
        <f t="shared" si="26"/>
        <v>0</v>
      </c>
      <c r="T877" s="184">
        <f t="shared" si="27"/>
        <v>0</v>
      </c>
      <c r="U877" s="184" t="s">
        <v>34</v>
      </c>
      <c r="V877" s="35"/>
      <c r="W877" s="182"/>
    </row>
    <row r="878" spans="1:23" ht="16.05" customHeight="1" x14ac:dyDescent="0.45">
      <c r="A878" s="1">
        <v>877</v>
      </c>
      <c r="B878" s="16" t="s">
        <v>924</v>
      </c>
      <c r="C878" s="16" t="s">
        <v>24</v>
      </c>
      <c r="D878" s="281">
        <v>6007</v>
      </c>
      <c r="E878" s="16" t="s">
        <v>1673</v>
      </c>
      <c r="F878" s="16" t="s">
        <v>1674</v>
      </c>
      <c r="G878" s="16">
        <v>3642</v>
      </c>
      <c r="H878" s="16" t="s">
        <v>1643</v>
      </c>
      <c r="I878" s="16" t="s">
        <v>1645</v>
      </c>
      <c r="J878" s="306" t="s">
        <v>58</v>
      </c>
      <c r="K878" s="16" t="s">
        <v>57</v>
      </c>
      <c r="L878" s="346">
        <v>0.6</v>
      </c>
      <c r="M878" s="515" t="s">
        <v>1180</v>
      </c>
      <c r="N878" s="515" t="s">
        <v>702</v>
      </c>
      <c r="O878" s="524"/>
      <c r="P878" s="35">
        <v>1</v>
      </c>
      <c r="Q878" s="346">
        <v>0.1</v>
      </c>
      <c r="R878" s="35"/>
      <c r="S878" s="35">
        <f t="shared" si="26"/>
        <v>0</v>
      </c>
      <c r="T878" s="184">
        <f t="shared" si="27"/>
        <v>0</v>
      </c>
      <c r="U878" s="184" t="s">
        <v>34</v>
      </c>
      <c r="V878" s="35"/>
      <c r="W878" s="182"/>
    </row>
    <row r="879" spans="1:23" ht="16.05" customHeight="1" x14ac:dyDescent="0.45">
      <c r="A879" s="1">
        <v>878</v>
      </c>
      <c r="B879" s="16" t="s">
        <v>924</v>
      </c>
      <c r="C879" s="16" t="s">
        <v>24</v>
      </c>
      <c r="D879" s="281">
        <v>6007</v>
      </c>
      <c r="E879" s="16" t="s">
        <v>1673</v>
      </c>
      <c r="F879" s="16" t="s">
        <v>1674</v>
      </c>
      <c r="G879" s="16">
        <v>3642</v>
      </c>
      <c r="H879" s="16" t="s">
        <v>1643</v>
      </c>
      <c r="I879" s="16" t="s">
        <v>1645</v>
      </c>
      <c r="J879" s="16" t="s">
        <v>111</v>
      </c>
      <c r="K879" s="16" t="s">
        <v>110</v>
      </c>
      <c r="L879" s="292">
        <v>0.4</v>
      </c>
      <c r="M879" s="519" t="s">
        <v>419</v>
      </c>
      <c r="N879" s="519" t="s">
        <v>555</v>
      </c>
      <c r="O879" s="89" t="s">
        <v>556</v>
      </c>
      <c r="P879" s="74">
        <v>1</v>
      </c>
      <c r="Q879" s="292">
        <v>0.25</v>
      </c>
      <c r="R879" s="74"/>
      <c r="S879" s="74">
        <f t="shared" si="26"/>
        <v>0</v>
      </c>
      <c r="T879" s="16">
        <f t="shared" si="27"/>
        <v>0</v>
      </c>
      <c r="U879" s="16" t="s">
        <v>34</v>
      </c>
      <c r="V879" s="134"/>
      <c r="W879" s="182"/>
    </row>
    <row r="880" spans="1:23" ht="16.05" customHeight="1" x14ac:dyDescent="0.45">
      <c r="A880" s="1">
        <v>879</v>
      </c>
      <c r="B880" s="16" t="s">
        <v>924</v>
      </c>
      <c r="C880" s="16" t="s">
        <v>24</v>
      </c>
      <c r="D880" s="281">
        <v>6007</v>
      </c>
      <c r="E880" s="16" t="s">
        <v>1673</v>
      </c>
      <c r="F880" s="16" t="s">
        <v>1674</v>
      </c>
      <c r="G880" s="16">
        <v>3642</v>
      </c>
      <c r="H880" s="16" t="s">
        <v>1643</v>
      </c>
      <c r="I880" s="16" t="s">
        <v>1645</v>
      </c>
      <c r="J880" s="16" t="s">
        <v>111</v>
      </c>
      <c r="K880" s="16" t="s">
        <v>110</v>
      </c>
      <c r="L880" s="292">
        <v>0.4</v>
      </c>
      <c r="M880" s="519" t="s">
        <v>557</v>
      </c>
      <c r="N880" s="519" t="s">
        <v>558</v>
      </c>
      <c r="O880" s="89" t="s">
        <v>559</v>
      </c>
      <c r="P880" s="74">
        <v>1</v>
      </c>
      <c r="Q880" s="292">
        <v>0.25</v>
      </c>
      <c r="R880" s="74"/>
      <c r="S880" s="74">
        <f t="shared" si="26"/>
        <v>0</v>
      </c>
      <c r="T880" s="16">
        <f t="shared" si="27"/>
        <v>0</v>
      </c>
      <c r="U880" s="16" t="s">
        <v>34</v>
      </c>
      <c r="V880" s="74"/>
      <c r="W880" s="16"/>
    </row>
    <row r="881" spans="1:23" ht="16.05" customHeight="1" x14ac:dyDescent="0.45">
      <c r="A881" s="1">
        <v>880</v>
      </c>
      <c r="B881" s="16" t="s">
        <v>924</v>
      </c>
      <c r="C881" s="16" t="s">
        <v>24</v>
      </c>
      <c r="D881" s="281">
        <v>6007</v>
      </c>
      <c r="E881" s="16" t="s">
        <v>1673</v>
      </c>
      <c r="F881" s="16" t="s">
        <v>1674</v>
      </c>
      <c r="G881" s="16">
        <v>3642</v>
      </c>
      <c r="H881" s="16" t="s">
        <v>1643</v>
      </c>
      <c r="I881" s="16" t="s">
        <v>1645</v>
      </c>
      <c r="J881" s="16" t="s">
        <v>111</v>
      </c>
      <c r="K881" s="16" t="s">
        <v>110</v>
      </c>
      <c r="L881" s="292">
        <v>0.4</v>
      </c>
      <c r="M881" s="519" t="s">
        <v>1672</v>
      </c>
      <c r="N881" s="519" t="s">
        <v>561</v>
      </c>
      <c r="O881" s="89" t="s">
        <v>562</v>
      </c>
      <c r="P881" s="74">
        <v>1</v>
      </c>
      <c r="Q881" s="292">
        <v>0.25</v>
      </c>
      <c r="R881" s="74"/>
      <c r="S881" s="74">
        <f t="shared" si="26"/>
        <v>0</v>
      </c>
      <c r="T881" s="16">
        <f t="shared" si="27"/>
        <v>0</v>
      </c>
      <c r="U881" s="16" t="s">
        <v>34</v>
      </c>
      <c r="V881" s="74"/>
      <c r="W881" s="16"/>
    </row>
    <row r="882" spans="1:23" ht="16.05" customHeight="1" x14ac:dyDescent="0.45">
      <c r="A882" s="1">
        <v>881</v>
      </c>
      <c r="B882" s="16" t="s">
        <v>924</v>
      </c>
      <c r="C882" s="16" t="s">
        <v>24</v>
      </c>
      <c r="D882" s="281">
        <v>6007</v>
      </c>
      <c r="E882" s="16" t="s">
        <v>1673</v>
      </c>
      <c r="F882" s="16" t="s">
        <v>1674</v>
      </c>
      <c r="G882" s="16">
        <v>3642</v>
      </c>
      <c r="H882" s="16" t="s">
        <v>1643</v>
      </c>
      <c r="I882" s="16" t="s">
        <v>1645</v>
      </c>
      <c r="J882" s="16" t="s">
        <v>111</v>
      </c>
      <c r="K882" s="16" t="s">
        <v>110</v>
      </c>
      <c r="L882" s="292">
        <v>0.4</v>
      </c>
      <c r="M882" s="519" t="s">
        <v>563</v>
      </c>
      <c r="N882" s="519" t="s">
        <v>564</v>
      </c>
      <c r="O882" s="89" t="s">
        <v>527</v>
      </c>
      <c r="P882" s="74">
        <v>1</v>
      </c>
      <c r="Q882" s="292">
        <v>0.25</v>
      </c>
      <c r="R882" s="74"/>
      <c r="S882" s="74">
        <f t="shared" si="26"/>
        <v>0</v>
      </c>
      <c r="T882" s="16">
        <f t="shared" si="27"/>
        <v>0</v>
      </c>
      <c r="U882" s="16" t="s">
        <v>34</v>
      </c>
      <c r="V882" s="74"/>
      <c r="W882" s="16"/>
    </row>
    <row r="883" spans="1:23" ht="16.05" customHeight="1" x14ac:dyDescent="0.45">
      <c r="A883" s="1">
        <v>882</v>
      </c>
      <c r="B883" s="3" t="s">
        <v>924</v>
      </c>
      <c r="C883" s="3" t="s">
        <v>24</v>
      </c>
      <c r="D883" s="275">
        <v>3834</v>
      </c>
      <c r="E883" s="3" t="s">
        <v>1675</v>
      </c>
      <c r="F883" s="3" t="s">
        <v>1676</v>
      </c>
      <c r="G883" s="3">
        <v>3642</v>
      </c>
      <c r="H883" s="3" t="s">
        <v>1643</v>
      </c>
      <c r="I883" s="3" t="s">
        <v>1645</v>
      </c>
      <c r="J883" s="3" t="s">
        <v>58</v>
      </c>
      <c r="K883" s="3" t="s">
        <v>57</v>
      </c>
      <c r="L883" s="276">
        <v>0.6</v>
      </c>
      <c r="M883" s="522" t="s">
        <v>80</v>
      </c>
      <c r="N883" s="522" t="s">
        <v>81</v>
      </c>
      <c r="O883" s="523" t="s">
        <v>82</v>
      </c>
      <c r="P883" s="43">
        <v>0.01</v>
      </c>
      <c r="Q883" s="276">
        <v>0.25</v>
      </c>
      <c r="R883" s="43"/>
      <c r="S883" s="120">
        <f t="shared" si="26"/>
        <v>0</v>
      </c>
      <c r="T883" s="3">
        <f t="shared" si="27"/>
        <v>0</v>
      </c>
      <c r="U883" s="3" t="s">
        <v>83</v>
      </c>
      <c r="V883" s="513">
        <f>SUM(T883:T892)%</f>
        <v>0</v>
      </c>
      <c r="W883" s="3"/>
    </row>
    <row r="884" spans="1:23" ht="16.05" customHeight="1" x14ac:dyDescent="0.45">
      <c r="A884" s="1">
        <v>883</v>
      </c>
      <c r="B884" s="16" t="s">
        <v>924</v>
      </c>
      <c r="C884" s="16" t="s">
        <v>24</v>
      </c>
      <c r="D884" s="281">
        <v>3834</v>
      </c>
      <c r="E884" s="16" t="s">
        <v>1675</v>
      </c>
      <c r="F884" s="16" t="s">
        <v>1676</v>
      </c>
      <c r="G884" s="16">
        <v>3642</v>
      </c>
      <c r="H884" s="16" t="s">
        <v>1643</v>
      </c>
      <c r="I884" s="16" t="s">
        <v>1645</v>
      </c>
      <c r="J884" s="306" t="s">
        <v>58</v>
      </c>
      <c r="K884" s="16" t="s">
        <v>57</v>
      </c>
      <c r="L884" s="346">
        <v>0.6</v>
      </c>
      <c r="M884" s="515" t="s">
        <v>1668</v>
      </c>
      <c r="N884" s="515" t="s">
        <v>1669</v>
      </c>
      <c r="O884" s="524"/>
      <c r="P884" s="35">
        <v>0.95</v>
      </c>
      <c r="Q884" s="346">
        <v>0.15</v>
      </c>
      <c r="R884" s="35"/>
      <c r="S884" s="35">
        <f t="shared" si="26"/>
        <v>0</v>
      </c>
      <c r="T884" s="184">
        <f t="shared" si="27"/>
        <v>0</v>
      </c>
      <c r="U884" s="184" t="s">
        <v>34</v>
      </c>
      <c r="V884" s="35"/>
      <c r="W884" s="182"/>
    </row>
    <row r="885" spans="1:23" ht="16.05" customHeight="1" x14ac:dyDescent="0.45">
      <c r="A885" s="1">
        <v>884</v>
      </c>
      <c r="B885" s="16" t="s">
        <v>924</v>
      </c>
      <c r="C885" s="16" t="s">
        <v>24</v>
      </c>
      <c r="D885" s="281">
        <v>3834</v>
      </c>
      <c r="E885" s="16" t="s">
        <v>1675</v>
      </c>
      <c r="F885" s="16" t="s">
        <v>1676</v>
      </c>
      <c r="G885" s="16">
        <v>3642</v>
      </c>
      <c r="H885" s="16" t="s">
        <v>1643</v>
      </c>
      <c r="I885" s="16" t="s">
        <v>1645</v>
      </c>
      <c r="J885" s="306" t="s">
        <v>58</v>
      </c>
      <c r="K885" s="16" t="s">
        <v>57</v>
      </c>
      <c r="L885" s="346">
        <v>0.6</v>
      </c>
      <c r="M885" s="515" t="s">
        <v>1670</v>
      </c>
      <c r="N885" s="515" t="s">
        <v>1671</v>
      </c>
      <c r="O885" s="524"/>
      <c r="P885" s="35">
        <v>1</v>
      </c>
      <c r="Q885" s="346">
        <v>0.2</v>
      </c>
      <c r="R885" s="35"/>
      <c r="S885" s="35">
        <f t="shared" si="26"/>
        <v>0</v>
      </c>
      <c r="T885" s="184">
        <f t="shared" si="27"/>
        <v>0</v>
      </c>
      <c r="U885" s="184" t="s">
        <v>34</v>
      </c>
      <c r="V885" s="35"/>
      <c r="W885" s="182"/>
    </row>
    <row r="886" spans="1:23" ht="16.05" customHeight="1" x14ac:dyDescent="0.45">
      <c r="A886" s="1">
        <v>885</v>
      </c>
      <c r="B886" s="16" t="s">
        <v>924</v>
      </c>
      <c r="C886" s="16" t="s">
        <v>24</v>
      </c>
      <c r="D886" s="281">
        <v>3834</v>
      </c>
      <c r="E886" s="16" t="s">
        <v>1675</v>
      </c>
      <c r="F886" s="16" t="s">
        <v>1676</v>
      </c>
      <c r="G886" s="16">
        <v>3642</v>
      </c>
      <c r="H886" s="16" t="s">
        <v>1643</v>
      </c>
      <c r="I886" s="16" t="s">
        <v>1645</v>
      </c>
      <c r="J886" s="306" t="s">
        <v>58</v>
      </c>
      <c r="K886" s="16" t="s">
        <v>57</v>
      </c>
      <c r="L886" s="346">
        <v>0.6</v>
      </c>
      <c r="M886" s="515" t="s">
        <v>550</v>
      </c>
      <c r="N886" s="515" t="s">
        <v>567</v>
      </c>
      <c r="O886" s="524"/>
      <c r="P886" s="35">
        <v>1</v>
      </c>
      <c r="Q886" s="346">
        <v>0.2</v>
      </c>
      <c r="R886" s="35"/>
      <c r="S886" s="35">
        <f t="shared" si="26"/>
        <v>0</v>
      </c>
      <c r="T886" s="184">
        <f t="shared" si="27"/>
        <v>0</v>
      </c>
      <c r="U886" s="184" t="s">
        <v>34</v>
      </c>
      <c r="V886" s="35"/>
      <c r="W886" s="182"/>
    </row>
    <row r="887" spans="1:23" ht="16.05" customHeight="1" x14ac:dyDescent="0.45">
      <c r="A887" s="1">
        <v>886</v>
      </c>
      <c r="B887" s="16" t="s">
        <v>924</v>
      </c>
      <c r="C887" s="16" t="s">
        <v>24</v>
      </c>
      <c r="D887" s="281">
        <v>3834</v>
      </c>
      <c r="E887" s="16" t="s">
        <v>1675</v>
      </c>
      <c r="F887" s="16" t="s">
        <v>1676</v>
      </c>
      <c r="G887" s="16">
        <v>3642</v>
      </c>
      <c r="H887" s="16" t="s">
        <v>1643</v>
      </c>
      <c r="I887" s="16" t="s">
        <v>1645</v>
      </c>
      <c r="J887" s="306" t="s">
        <v>58</v>
      </c>
      <c r="K887" s="16" t="s">
        <v>57</v>
      </c>
      <c r="L887" s="346">
        <v>0.6</v>
      </c>
      <c r="M887" s="515" t="s">
        <v>552</v>
      </c>
      <c r="N887" s="515" t="s">
        <v>553</v>
      </c>
      <c r="O887" s="524"/>
      <c r="P887" s="35">
        <v>0.9</v>
      </c>
      <c r="Q887" s="346">
        <v>0.1</v>
      </c>
      <c r="R887" s="35"/>
      <c r="S887" s="35">
        <f t="shared" si="26"/>
        <v>0</v>
      </c>
      <c r="T887" s="184">
        <f t="shared" si="27"/>
        <v>0</v>
      </c>
      <c r="U887" s="184" t="s">
        <v>34</v>
      </c>
      <c r="V887" s="35"/>
      <c r="W887" s="182"/>
    </row>
    <row r="888" spans="1:23" ht="16.05" customHeight="1" x14ac:dyDescent="0.45">
      <c r="A888" s="1">
        <v>887</v>
      </c>
      <c r="B888" s="16" t="s">
        <v>924</v>
      </c>
      <c r="C888" s="16" t="s">
        <v>24</v>
      </c>
      <c r="D888" s="281">
        <v>3834</v>
      </c>
      <c r="E888" s="16" t="s">
        <v>1675</v>
      </c>
      <c r="F888" s="16" t="s">
        <v>1676</v>
      </c>
      <c r="G888" s="16">
        <v>3642</v>
      </c>
      <c r="H888" s="16" t="s">
        <v>1643</v>
      </c>
      <c r="I888" s="16" t="s">
        <v>1645</v>
      </c>
      <c r="J888" s="306" t="s">
        <v>58</v>
      </c>
      <c r="K888" s="16" t="s">
        <v>57</v>
      </c>
      <c r="L888" s="346">
        <v>0.6</v>
      </c>
      <c r="M888" s="515" t="s">
        <v>1180</v>
      </c>
      <c r="N888" s="515" t="s">
        <v>702</v>
      </c>
      <c r="O888" s="524"/>
      <c r="P888" s="35">
        <v>1</v>
      </c>
      <c r="Q888" s="346">
        <v>0.1</v>
      </c>
      <c r="R888" s="35"/>
      <c r="S888" s="35">
        <f t="shared" si="26"/>
        <v>0</v>
      </c>
      <c r="T888" s="184">
        <f t="shared" si="27"/>
        <v>0</v>
      </c>
      <c r="U888" s="184" t="s">
        <v>34</v>
      </c>
      <c r="V888" s="35"/>
      <c r="W888" s="182"/>
    </row>
    <row r="889" spans="1:23" ht="16.05" customHeight="1" x14ac:dyDescent="0.45">
      <c r="A889" s="1">
        <v>888</v>
      </c>
      <c r="B889" s="16" t="s">
        <v>924</v>
      </c>
      <c r="C889" s="16" t="s">
        <v>24</v>
      </c>
      <c r="D889" s="281">
        <v>3834</v>
      </c>
      <c r="E889" s="16" t="s">
        <v>1675</v>
      </c>
      <c r="F889" s="16" t="s">
        <v>1676</v>
      </c>
      <c r="G889" s="16">
        <v>3642</v>
      </c>
      <c r="H889" s="16" t="s">
        <v>1643</v>
      </c>
      <c r="I889" s="16" t="s">
        <v>1645</v>
      </c>
      <c r="J889" s="16" t="s">
        <v>111</v>
      </c>
      <c r="K889" s="16" t="s">
        <v>110</v>
      </c>
      <c r="L889" s="292">
        <v>0.4</v>
      </c>
      <c r="M889" s="519" t="s">
        <v>419</v>
      </c>
      <c r="N889" s="519" t="s">
        <v>555</v>
      </c>
      <c r="O889" s="89" t="s">
        <v>556</v>
      </c>
      <c r="P889" s="74">
        <v>1</v>
      </c>
      <c r="Q889" s="292">
        <v>0.25</v>
      </c>
      <c r="R889" s="74"/>
      <c r="S889" s="74">
        <f t="shared" si="26"/>
        <v>0</v>
      </c>
      <c r="T889" s="16">
        <f t="shared" si="27"/>
        <v>0</v>
      </c>
      <c r="U889" s="16" t="s">
        <v>34</v>
      </c>
      <c r="V889" s="134"/>
      <c r="W889" s="182"/>
    </row>
    <row r="890" spans="1:23" ht="16.05" customHeight="1" x14ac:dyDescent="0.45">
      <c r="A890" s="1">
        <v>889</v>
      </c>
      <c r="B890" s="16" t="s">
        <v>924</v>
      </c>
      <c r="C890" s="16" t="s">
        <v>24</v>
      </c>
      <c r="D890" s="281">
        <v>3834</v>
      </c>
      <c r="E890" s="16" t="s">
        <v>1675</v>
      </c>
      <c r="F890" s="16" t="s">
        <v>1676</v>
      </c>
      <c r="G890" s="16">
        <v>3642</v>
      </c>
      <c r="H890" s="16" t="s">
        <v>1643</v>
      </c>
      <c r="I890" s="16" t="s">
        <v>1645</v>
      </c>
      <c r="J890" s="16" t="s">
        <v>111</v>
      </c>
      <c r="K890" s="16" t="s">
        <v>110</v>
      </c>
      <c r="L890" s="292">
        <v>0.4</v>
      </c>
      <c r="M890" s="519" t="s">
        <v>557</v>
      </c>
      <c r="N890" s="519" t="s">
        <v>558</v>
      </c>
      <c r="O890" s="89" t="s">
        <v>559</v>
      </c>
      <c r="P890" s="74">
        <v>1</v>
      </c>
      <c r="Q890" s="292">
        <v>0.25</v>
      </c>
      <c r="R890" s="74"/>
      <c r="S890" s="74">
        <f t="shared" si="26"/>
        <v>0</v>
      </c>
      <c r="T890" s="16">
        <f t="shared" si="27"/>
        <v>0</v>
      </c>
      <c r="U890" s="16" t="s">
        <v>34</v>
      </c>
      <c r="V890" s="134"/>
      <c r="W890" s="182"/>
    </row>
    <row r="891" spans="1:23" ht="16.05" customHeight="1" x14ac:dyDescent="0.45">
      <c r="A891" s="1">
        <v>890</v>
      </c>
      <c r="B891" s="16" t="s">
        <v>924</v>
      </c>
      <c r="C891" s="16" t="s">
        <v>24</v>
      </c>
      <c r="D891" s="281">
        <v>3834</v>
      </c>
      <c r="E891" s="16" t="s">
        <v>1675</v>
      </c>
      <c r="F891" s="16" t="s">
        <v>1676</v>
      </c>
      <c r="G891" s="16">
        <v>3642</v>
      </c>
      <c r="H891" s="16" t="s">
        <v>1643</v>
      </c>
      <c r="I891" s="16" t="s">
        <v>1645</v>
      </c>
      <c r="J891" s="16" t="s">
        <v>111</v>
      </c>
      <c r="K891" s="16" t="s">
        <v>110</v>
      </c>
      <c r="L891" s="292">
        <v>0.4</v>
      </c>
      <c r="M891" s="519" t="s">
        <v>1672</v>
      </c>
      <c r="N891" s="519" t="s">
        <v>561</v>
      </c>
      <c r="O891" s="89" t="s">
        <v>562</v>
      </c>
      <c r="P891" s="74">
        <v>1</v>
      </c>
      <c r="Q891" s="292">
        <v>0.25</v>
      </c>
      <c r="R891" s="74"/>
      <c r="S891" s="74">
        <f t="shared" si="26"/>
        <v>0</v>
      </c>
      <c r="T891" s="16">
        <f t="shared" si="27"/>
        <v>0</v>
      </c>
      <c r="U891" s="16" t="s">
        <v>34</v>
      </c>
      <c r="V891" s="74"/>
      <c r="W891" s="16"/>
    </row>
    <row r="892" spans="1:23" ht="16.05" customHeight="1" x14ac:dyDescent="0.45">
      <c r="A892" s="1">
        <v>891</v>
      </c>
      <c r="B892" s="16" t="s">
        <v>924</v>
      </c>
      <c r="C892" s="16" t="s">
        <v>24</v>
      </c>
      <c r="D892" s="281">
        <v>3834</v>
      </c>
      <c r="E892" s="16" t="s">
        <v>1675</v>
      </c>
      <c r="F892" s="16" t="s">
        <v>1676</v>
      </c>
      <c r="G892" s="16">
        <v>3642</v>
      </c>
      <c r="H892" s="16" t="s">
        <v>1643</v>
      </c>
      <c r="I892" s="16" t="s">
        <v>1645</v>
      </c>
      <c r="J892" s="16" t="s">
        <v>111</v>
      </c>
      <c r="K892" s="16" t="s">
        <v>110</v>
      </c>
      <c r="L892" s="292">
        <v>0.4</v>
      </c>
      <c r="M892" s="519" t="s">
        <v>563</v>
      </c>
      <c r="N892" s="519" t="s">
        <v>564</v>
      </c>
      <c r="O892" s="89" t="s">
        <v>527</v>
      </c>
      <c r="P892" s="74">
        <v>1</v>
      </c>
      <c r="Q892" s="292">
        <v>0.25</v>
      </c>
      <c r="R892" s="74"/>
      <c r="S892" s="74">
        <f t="shared" si="26"/>
        <v>0</v>
      </c>
      <c r="T892" s="16">
        <f t="shared" si="27"/>
        <v>0</v>
      </c>
      <c r="U892" s="16" t="s">
        <v>34</v>
      </c>
      <c r="V892" s="74"/>
      <c r="W892" s="16"/>
    </row>
    <row r="893" spans="1:23" ht="16.05" customHeight="1" x14ac:dyDescent="0.45">
      <c r="A893" s="1">
        <v>892</v>
      </c>
      <c r="B893" s="3" t="s">
        <v>924</v>
      </c>
      <c r="C893" s="3" t="s">
        <v>24</v>
      </c>
      <c r="D893" s="275">
        <v>3821</v>
      </c>
      <c r="E893" s="3" t="s">
        <v>1677</v>
      </c>
      <c r="F893" s="3" t="s">
        <v>1678</v>
      </c>
      <c r="G893" s="3">
        <v>3642</v>
      </c>
      <c r="H893" s="3" t="s">
        <v>1679</v>
      </c>
      <c r="I893" s="3" t="s">
        <v>1645</v>
      </c>
      <c r="J893" s="3" t="s">
        <v>58</v>
      </c>
      <c r="K893" s="3" t="s">
        <v>57</v>
      </c>
      <c r="L893" s="276">
        <v>0.6</v>
      </c>
      <c r="M893" s="435" t="s">
        <v>80</v>
      </c>
      <c r="N893" s="435" t="s">
        <v>81</v>
      </c>
      <c r="O893" s="435" t="s">
        <v>82</v>
      </c>
      <c r="P893" s="43">
        <v>0.01</v>
      </c>
      <c r="Q893" s="276">
        <v>0.25</v>
      </c>
      <c r="R893" s="43"/>
      <c r="S893" s="120">
        <f t="shared" si="26"/>
        <v>0</v>
      </c>
      <c r="T893" s="3">
        <f t="shared" si="27"/>
        <v>0</v>
      </c>
      <c r="U893" s="3" t="s">
        <v>83</v>
      </c>
      <c r="V893" s="513">
        <f>SUM(T893:T902)%</f>
        <v>0</v>
      </c>
      <c r="W893" s="3"/>
    </row>
    <row r="894" spans="1:23" ht="16.05" customHeight="1" x14ac:dyDescent="0.45">
      <c r="A894" s="1">
        <v>893</v>
      </c>
      <c r="B894" s="16" t="s">
        <v>924</v>
      </c>
      <c r="C894" s="16" t="s">
        <v>24</v>
      </c>
      <c r="D894" s="281">
        <v>3821</v>
      </c>
      <c r="E894" s="16" t="s">
        <v>1677</v>
      </c>
      <c r="F894" s="16" t="s">
        <v>1678</v>
      </c>
      <c r="G894" s="16">
        <v>3642</v>
      </c>
      <c r="H894" s="182" t="s">
        <v>1679</v>
      </c>
      <c r="I894" s="16" t="s">
        <v>1645</v>
      </c>
      <c r="J894" s="184" t="s">
        <v>58</v>
      </c>
      <c r="K894" s="16" t="s">
        <v>57</v>
      </c>
      <c r="L894" s="346">
        <v>0.6</v>
      </c>
      <c r="M894" s="430" t="s">
        <v>1668</v>
      </c>
      <c r="N894" s="430" t="s">
        <v>1669</v>
      </c>
      <c r="O894" s="44"/>
      <c r="P894" s="35">
        <v>0.95</v>
      </c>
      <c r="Q894" s="346">
        <v>0.15</v>
      </c>
      <c r="R894" s="35"/>
      <c r="S894" s="35">
        <f t="shared" si="26"/>
        <v>0</v>
      </c>
      <c r="T894" s="184">
        <f t="shared" si="27"/>
        <v>0</v>
      </c>
      <c r="U894" s="184" t="s">
        <v>34</v>
      </c>
      <c r="V894" s="35"/>
      <c r="W894" s="182"/>
    </row>
    <row r="895" spans="1:23" ht="16.05" customHeight="1" x14ac:dyDescent="0.45">
      <c r="A895" s="1">
        <v>894</v>
      </c>
      <c r="B895" s="16" t="s">
        <v>924</v>
      </c>
      <c r="C895" s="16" t="s">
        <v>24</v>
      </c>
      <c r="D895" s="281">
        <v>3821</v>
      </c>
      <c r="E895" s="16" t="s">
        <v>1677</v>
      </c>
      <c r="F895" s="16" t="s">
        <v>1678</v>
      </c>
      <c r="G895" s="16">
        <v>3642</v>
      </c>
      <c r="H895" s="182" t="s">
        <v>1679</v>
      </c>
      <c r="I895" s="16" t="s">
        <v>1645</v>
      </c>
      <c r="J895" s="184" t="s">
        <v>58</v>
      </c>
      <c r="K895" s="16" t="s">
        <v>57</v>
      </c>
      <c r="L895" s="346">
        <v>0.6</v>
      </c>
      <c r="M895" s="430" t="s">
        <v>1670</v>
      </c>
      <c r="N895" s="430" t="s">
        <v>1671</v>
      </c>
      <c r="O895" s="44"/>
      <c r="P895" s="35">
        <v>1</v>
      </c>
      <c r="Q895" s="346">
        <v>0.2</v>
      </c>
      <c r="R895" s="35"/>
      <c r="S895" s="35">
        <f t="shared" si="26"/>
        <v>0</v>
      </c>
      <c r="T895" s="184">
        <f t="shared" si="27"/>
        <v>0</v>
      </c>
      <c r="U895" s="184" t="s">
        <v>34</v>
      </c>
      <c r="V895" s="35"/>
      <c r="W895" s="182"/>
    </row>
    <row r="896" spans="1:23" ht="16.05" customHeight="1" x14ac:dyDescent="0.45">
      <c r="A896" s="1">
        <v>895</v>
      </c>
      <c r="B896" s="16" t="s">
        <v>924</v>
      </c>
      <c r="C896" s="16" t="s">
        <v>24</v>
      </c>
      <c r="D896" s="281">
        <v>3821</v>
      </c>
      <c r="E896" s="16" t="s">
        <v>1677</v>
      </c>
      <c r="F896" s="16" t="s">
        <v>1678</v>
      </c>
      <c r="G896" s="16">
        <v>3642</v>
      </c>
      <c r="H896" s="182" t="s">
        <v>1679</v>
      </c>
      <c r="I896" s="16" t="s">
        <v>1645</v>
      </c>
      <c r="J896" s="184" t="s">
        <v>58</v>
      </c>
      <c r="K896" s="16" t="s">
        <v>57</v>
      </c>
      <c r="L896" s="346">
        <v>0.6</v>
      </c>
      <c r="M896" s="430" t="s">
        <v>550</v>
      </c>
      <c r="N896" s="430" t="s">
        <v>567</v>
      </c>
      <c r="O896" s="44"/>
      <c r="P896" s="35">
        <v>1</v>
      </c>
      <c r="Q896" s="346">
        <v>0.2</v>
      </c>
      <c r="R896" s="35"/>
      <c r="S896" s="35">
        <f t="shared" si="26"/>
        <v>0</v>
      </c>
      <c r="T896" s="184">
        <f t="shared" si="27"/>
        <v>0</v>
      </c>
      <c r="U896" s="184" t="s">
        <v>34</v>
      </c>
      <c r="V896" s="35"/>
      <c r="W896" s="182"/>
    </row>
    <row r="897" spans="1:23" ht="16.05" customHeight="1" x14ac:dyDescent="0.45">
      <c r="A897" s="1">
        <v>896</v>
      </c>
      <c r="B897" s="16" t="s">
        <v>924</v>
      </c>
      <c r="C897" s="16" t="s">
        <v>24</v>
      </c>
      <c r="D897" s="281">
        <v>3821</v>
      </c>
      <c r="E897" s="16" t="s">
        <v>1677</v>
      </c>
      <c r="F897" s="16" t="s">
        <v>1678</v>
      </c>
      <c r="G897" s="16">
        <v>3642</v>
      </c>
      <c r="H897" s="182" t="s">
        <v>1679</v>
      </c>
      <c r="I897" s="16" t="s">
        <v>1645</v>
      </c>
      <c r="J897" s="184" t="s">
        <v>58</v>
      </c>
      <c r="K897" s="16" t="s">
        <v>57</v>
      </c>
      <c r="L897" s="346">
        <v>0.6</v>
      </c>
      <c r="M897" s="430" t="s">
        <v>552</v>
      </c>
      <c r="N897" s="430" t="s">
        <v>553</v>
      </c>
      <c r="O897" s="44"/>
      <c r="P897" s="35">
        <v>0.9</v>
      </c>
      <c r="Q897" s="346">
        <v>0.1</v>
      </c>
      <c r="R897" s="35"/>
      <c r="S897" s="35">
        <f t="shared" si="26"/>
        <v>0</v>
      </c>
      <c r="T897" s="184">
        <f t="shared" si="27"/>
        <v>0</v>
      </c>
      <c r="U897" s="184" t="s">
        <v>34</v>
      </c>
      <c r="V897" s="35"/>
      <c r="W897" s="182"/>
    </row>
    <row r="898" spans="1:23" ht="16.05" customHeight="1" x14ac:dyDescent="0.45">
      <c r="A898" s="1">
        <v>897</v>
      </c>
      <c r="B898" s="16" t="s">
        <v>924</v>
      </c>
      <c r="C898" s="16" t="s">
        <v>24</v>
      </c>
      <c r="D898" s="281">
        <v>3821</v>
      </c>
      <c r="E898" s="16" t="s">
        <v>1677</v>
      </c>
      <c r="F898" s="16" t="s">
        <v>1678</v>
      </c>
      <c r="G898" s="16">
        <v>3642</v>
      </c>
      <c r="H898" s="182" t="s">
        <v>1679</v>
      </c>
      <c r="I898" s="16" t="s">
        <v>1645</v>
      </c>
      <c r="J898" s="184" t="s">
        <v>58</v>
      </c>
      <c r="K898" s="16" t="s">
        <v>57</v>
      </c>
      <c r="L898" s="346">
        <v>0.6</v>
      </c>
      <c r="M898" s="430" t="s">
        <v>1180</v>
      </c>
      <c r="N898" s="430" t="s">
        <v>702</v>
      </c>
      <c r="O898" s="44"/>
      <c r="P898" s="35">
        <v>1</v>
      </c>
      <c r="Q898" s="346">
        <v>0.1</v>
      </c>
      <c r="R898" s="35"/>
      <c r="S898" s="35">
        <f t="shared" ref="S898:S961" si="28">ROUND(IF(OR(P898="",R898=""),0,IF(AND(P898=0,R898=0),1,IF(U898="+",R898/P898,P898/R898))),2)</f>
        <v>0</v>
      </c>
      <c r="T898" s="184">
        <f t="shared" ref="T898:T961" si="29">IF(AND(S898&gt;=60%,S898&lt;100%),S898*((Q898*L898)),IF(S898=100%,((Q898*L898)*S898)*100%,IF(S898&gt;100%,((L898*Q898)*100%)*100%,0)))*100</f>
        <v>0</v>
      </c>
      <c r="U898" s="184" t="s">
        <v>34</v>
      </c>
      <c r="V898" s="35"/>
      <c r="W898" s="182"/>
    </row>
    <row r="899" spans="1:23" ht="16.05" customHeight="1" x14ac:dyDescent="0.45">
      <c r="A899" s="1">
        <v>898</v>
      </c>
      <c r="B899" s="16" t="s">
        <v>924</v>
      </c>
      <c r="C899" s="16" t="s">
        <v>24</v>
      </c>
      <c r="D899" s="281">
        <v>3821</v>
      </c>
      <c r="E899" s="16" t="s">
        <v>1677</v>
      </c>
      <c r="F899" s="16" t="s">
        <v>1678</v>
      </c>
      <c r="G899" s="16">
        <v>3642</v>
      </c>
      <c r="H899" s="182" t="s">
        <v>1679</v>
      </c>
      <c r="I899" s="16" t="s">
        <v>1645</v>
      </c>
      <c r="J899" s="16" t="s">
        <v>111</v>
      </c>
      <c r="K899" s="16" t="s">
        <v>110</v>
      </c>
      <c r="L899" s="292">
        <v>0.4</v>
      </c>
      <c r="M899" s="71" t="s">
        <v>419</v>
      </c>
      <c r="N899" s="71" t="s">
        <v>555</v>
      </c>
      <c r="O899" s="73" t="s">
        <v>556</v>
      </c>
      <c r="P899" s="74">
        <v>1</v>
      </c>
      <c r="Q899" s="292">
        <v>0.25</v>
      </c>
      <c r="R899" s="74"/>
      <c r="S899" s="74">
        <f t="shared" si="28"/>
        <v>0</v>
      </c>
      <c r="T899" s="16">
        <f t="shared" si="29"/>
        <v>0</v>
      </c>
      <c r="U899" s="16" t="s">
        <v>34</v>
      </c>
      <c r="V899" s="134"/>
      <c r="W899" s="182"/>
    </row>
    <row r="900" spans="1:23" ht="16.05" customHeight="1" x14ac:dyDescent="0.45">
      <c r="A900" s="1">
        <v>899</v>
      </c>
      <c r="B900" s="16" t="s">
        <v>924</v>
      </c>
      <c r="C900" s="16" t="s">
        <v>24</v>
      </c>
      <c r="D900" s="281">
        <v>3821</v>
      </c>
      <c r="E900" s="16" t="s">
        <v>1677</v>
      </c>
      <c r="F900" s="16" t="s">
        <v>1678</v>
      </c>
      <c r="G900" s="16">
        <v>3642</v>
      </c>
      <c r="H900" s="182" t="s">
        <v>1679</v>
      </c>
      <c r="I900" s="16" t="s">
        <v>1645</v>
      </c>
      <c r="J900" s="16" t="s">
        <v>111</v>
      </c>
      <c r="K900" s="16" t="s">
        <v>110</v>
      </c>
      <c r="L900" s="292">
        <v>0.4</v>
      </c>
      <c r="M900" s="71" t="s">
        <v>557</v>
      </c>
      <c r="N900" s="71" t="s">
        <v>558</v>
      </c>
      <c r="O900" s="73" t="s">
        <v>559</v>
      </c>
      <c r="P900" s="74">
        <v>1</v>
      </c>
      <c r="Q900" s="292">
        <v>0.25</v>
      </c>
      <c r="R900" s="74"/>
      <c r="S900" s="74">
        <f t="shared" si="28"/>
        <v>0</v>
      </c>
      <c r="T900" s="16">
        <f t="shared" si="29"/>
        <v>0</v>
      </c>
      <c r="U900" s="16" t="s">
        <v>34</v>
      </c>
      <c r="V900" s="74"/>
      <c r="W900" s="16"/>
    </row>
    <row r="901" spans="1:23" ht="16.05" customHeight="1" x14ac:dyDescent="0.45">
      <c r="A901" s="1">
        <v>900</v>
      </c>
      <c r="B901" s="16" t="s">
        <v>924</v>
      </c>
      <c r="C901" s="16" t="s">
        <v>24</v>
      </c>
      <c r="D901" s="281">
        <v>3821</v>
      </c>
      <c r="E901" s="16" t="s">
        <v>1677</v>
      </c>
      <c r="F901" s="16" t="s">
        <v>1678</v>
      </c>
      <c r="G901" s="16">
        <v>3642</v>
      </c>
      <c r="H901" s="182" t="s">
        <v>1679</v>
      </c>
      <c r="I901" s="16" t="s">
        <v>1645</v>
      </c>
      <c r="J901" s="16" t="s">
        <v>111</v>
      </c>
      <c r="K901" s="16" t="s">
        <v>110</v>
      </c>
      <c r="L901" s="292">
        <v>0.4</v>
      </c>
      <c r="M901" s="71" t="s">
        <v>1672</v>
      </c>
      <c r="N901" s="71" t="s">
        <v>561</v>
      </c>
      <c r="O901" s="73" t="s">
        <v>562</v>
      </c>
      <c r="P901" s="74">
        <v>1</v>
      </c>
      <c r="Q901" s="292">
        <v>0.25</v>
      </c>
      <c r="R901" s="74"/>
      <c r="S901" s="74">
        <f t="shared" si="28"/>
        <v>0</v>
      </c>
      <c r="T901" s="16">
        <f t="shared" si="29"/>
        <v>0</v>
      </c>
      <c r="U901" s="16" t="s">
        <v>34</v>
      </c>
      <c r="V901" s="74"/>
      <c r="W901" s="16"/>
    </row>
    <row r="902" spans="1:23" ht="16.05" customHeight="1" x14ac:dyDescent="0.45">
      <c r="A902" s="1">
        <v>901</v>
      </c>
      <c r="B902" s="16" t="s">
        <v>924</v>
      </c>
      <c r="C902" s="16" t="s">
        <v>24</v>
      </c>
      <c r="D902" s="281">
        <v>3821</v>
      </c>
      <c r="E902" s="16" t="s">
        <v>1677</v>
      </c>
      <c r="F902" s="16" t="s">
        <v>1678</v>
      </c>
      <c r="G902" s="16">
        <v>3642</v>
      </c>
      <c r="H902" s="182" t="s">
        <v>1679</v>
      </c>
      <c r="I902" s="16" t="s">
        <v>1645</v>
      </c>
      <c r="J902" s="16" t="s">
        <v>111</v>
      </c>
      <c r="K902" s="16" t="s">
        <v>110</v>
      </c>
      <c r="L902" s="292">
        <v>0.4</v>
      </c>
      <c r="M902" s="71" t="s">
        <v>563</v>
      </c>
      <c r="N902" s="71" t="s">
        <v>564</v>
      </c>
      <c r="O902" s="73" t="s">
        <v>527</v>
      </c>
      <c r="P902" s="74">
        <v>1</v>
      </c>
      <c r="Q902" s="292">
        <v>0.25</v>
      </c>
      <c r="R902" s="74"/>
      <c r="S902" s="74">
        <f t="shared" si="28"/>
        <v>0</v>
      </c>
      <c r="T902" s="16">
        <f t="shared" si="29"/>
        <v>0</v>
      </c>
      <c r="U902" s="16" t="s">
        <v>34</v>
      </c>
      <c r="V902" s="74"/>
      <c r="W902" s="16"/>
    </row>
    <row r="903" spans="1:23" ht="16.05" customHeight="1" x14ac:dyDescent="0.45">
      <c r="A903" s="1">
        <v>902</v>
      </c>
      <c r="B903" s="3" t="s">
        <v>924</v>
      </c>
      <c r="C903" s="3" t="s">
        <v>24</v>
      </c>
      <c r="D903" s="275">
        <v>3624</v>
      </c>
      <c r="E903" s="3" t="s">
        <v>1680</v>
      </c>
      <c r="F903" s="3" t="s">
        <v>1676</v>
      </c>
      <c r="G903" s="3">
        <v>3642</v>
      </c>
      <c r="H903" s="3" t="s">
        <v>1679</v>
      </c>
      <c r="I903" s="3" t="s">
        <v>1645</v>
      </c>
      <c r="J903" s="3" t="s">
        <v>58</v>
      </c>
      <c r="K903" s="3" t="s">
        <v>57</v>
      </c>
      <c r="L903" s="276">
        <v>0.6</v>
      </c>
      <c r="M903" s="522" t="s">
        <v>80</v>
      </c>
      <c r="N903" s="522" t="s">
        <v>81</v>
      </c>
      <c r="O903" s="523" t="s">
        <v>82</v>
      </c>
      <c r="P903" s="43">
        <v>0.01</v>
      </c>
      <c r="Q903" s="276">
        <v>0.25</v>
      </c>
      <c r="R903" s="43"/>
      <c r="S903" s="120">
        <f t="shared" si="28"/>
        <v>0</v>
      </c>
      <c r="T903" s="3">
        <f t="shared" si="29"/>
        <v>0</v>
      </c>
      <c r="U903" s="3" t="s">
        <v>83</v>
      </c>
      <c r="V903" s="513">
        <f>SUM(T903:T912)%</f>
        <v>0</v>
      </c>
      <c r="W903" s="3"/>
    </row>
    <row r="904" spans="1:23" ht="16.05" customHeight="1" x14ac:dyDescent="0.45">
      <c r="A904" s="1">
        <v>903</v>
      </c>
      <c r="B904" s="16" t="s">
        <v>924</v>
      </c>
      <c r="C904" s="16" t="s">
        <v>24</v>
      </c>
      <c r="D904" s="281">
        <v>3624</v>
      </c>
      <c r="E904" s="16" t="s">
        <v>1680</v>
      </c>
      <c r="F904" s="16" t="s">
        <v>1676</v>
      </c>
      <c r="G904" s="16">
        <v>3642</v>
      </c>
      <c r="H904" s="182" t="s">
        <v>1679</v>
      </c>
      <c r="I904" s="16" t="s">
        <v>1645</v>
      </c>
      <c r="J904" s="306" t="s">
        <v>58</v>
      </c>
      <c r="K904" s="16" t="s">
        <v>57</v>
      </c>
      <c r="L904" s="346">
        <v>0.6</v>
      </c>
      <c r="M904" s="430" t="s">
        <v>1668</v>
      </c>
      <c r="N904" s="430" t="s">
        <v>1669</v>
      </c>
      <c r="O904" s="44"/>
      <c r="P904" s="35">
        <v>0.95</v>
      </c>
      <c r="Q904" s="346">
        <v>0.15</v>
      </c>
      <c r="R904" s="35"/>
      <c r="S904" s="35">
        <f t="shared" si="28"/>
        <v>0</v>
      </c>
      <c r="T904" s="184">
        <f t="shared" si="29"/>
        <v>0</v>
      </c>
      <c r="U904" s="184" t="s">
        <v>34</v>
      </c>
      <c r="V904" s="35"/>
      <c r="W904" s="182"/>
    </row>
    <row r="905" spans="1:23" ht="16.05" customHeight="1" x14ac:dyDescent="0.45">
      <c r="A905" s="1">
        <v>904</v>
      </c>
      <c r="B905" s="16" t="s">
        <v>924</v>
      </c>
      <c r="C905" s="16" t="s">
        <v>24</v>
      </c>
      <c r="D905" s="281">
        <v>3624</v>
      </c>
      <c r="E905" s="16" t="s">
        <v>1680</v>
      </c>
      <c r="F905" s="16" t="s">
        <v>1676</v>
      </c>
      <c r="G905" s="16">
        <v>3642</v>
      </c>
      <c r="H905" s="182" t="s">
        <v>1679</v>
      </c>
      <c r="I905" s="16" t="s">
        <v>1645</v>
      </c>
      <c r="J905" s="306" t="s">
        <v>58</v>
      </c>
      <c r="K905" s="16" t="s">
        <v>57</v>
      </c>
      <c r="L905" s="346">
        <v>0.6</v>
      </c>
      <c r="M905" s="430" t="s">
        <v>1670</v>
      </c>
      <c r="N905" s="430" t="s">
        <v>1671</v>
      </c>
      <c r="O905" s="44"/>
      <c r="P905" s="35">
        <v>1</v>
      </c>
      <c r="Q905" s="346">
        <v>0.2</v>
      </c>
      <c r="R905" s="35"/>
      <c r="S905" s="35">
        <f t="shared" si="28"/>
        <v>0</v>
      </c>
      <c r="T905" s="184">
        <f t="shared" si="29"/>
        <v>0</v>
      </c>
      <c r="U905" s="184" t="s">
        <v>34</v>
      </c>
      <c r="V905" s="35"/>
      <c r="W905" s="182"/>
    </row>
    <row r="906" spans="1:23" ht="16.05" customHeight="1" x14ac:dyDescent="0.45">
      <c r="A906" s="1">
        <v>905</v>
      </c>
      <c r="B906" s="16" t="s">
        <v>924</v>
      </c>
      <c r="C906" s="16" t="s">
        <v>24</v>
      </c>
      <c r="D906" s="281">
        <v>3624</v>
      </c>
      <c r="E906" s="16" t="s">
        <v>1680</v>
      </c>
      <c r="F906" s="16" t="s">
        <v>1676</v>
      </c>
      <c r="G906" s="16">
        <v>3642</v>
      </c>
      <c r="H906" s="182" t="s">
        <v>1679</v>
      </c>
      <c r="I906" s="16" t="s">
        <v>1645</v>
      </c>
      <c r="J906" s="306" t="s">
        <v>58</v>
      </c>
      <c r="K906" s="16" t="s">
        <v>57</v>
      </c>
      <c r="L906" s="346">
        <v>0.6</v>
      </c>
      <c r="M906" s="430" t="s">
        <v>550</v>
      </c>
      <c r="N906" s="430" t="s">
        <v>567</v>
      </c>
      <c r="O906" s="44"/>
      <c r="P906" s="35">
        <v>1</v>
      </c>
      <c r="Q906" s="346">
        <v>0.2</v>
      </c>
      <c r="R906" s="35"/>
      <c r="S906" s="35">
        <f t="shared" si="28"/>
        <v>0</v>
      </c>
      <c r="T906" s="184">
        <f t="shared" si="29"/>
        <v>0</v>
      </c>
      <c r="U906" s="184" t="s">
        <v>34</v>
      </c>
      <c r="V906" s="35"/>
      <c r="W906" s="182"/>
    </row>
    <row r="907" spans="1:23" ht="16.05" customHeight="1" x14ac:dyDescent="0.45">
      <c r="A907" s="1">
        <v>906</v>
      </c>
      <c r="B907" s="16" t="s">
        <v>924</v>
      </c>
      <c r="C907" s="16" t="s">
        <v>24</v>
      </c>
      <c r="D907" s="281">
        <v>3624</v>
      </c>
      <c r="E907" s="16" t="s">
        <v>1680</v>
      </c>
      <c r="F907" s="16" t="s">
        <v>1676</v>
      </c>
      <c r="G907" s="16">
        <v>3642</v>
      </c>
      <c r="H907" s="182" t="s">
        <v>1679</v>
      </c>
      <c r="I907" s="16" t="s">
        <v>1645</v>
      </c>
      <c r="J907" s="306" t="s">
        <v>58</v>
      </c>
      <c r="K907" s="16" t="s">
        <v>57</v>
      </c>
      <c r="L907" s="346">
        <v>0.6</v>
      </c>
      <c r="M907" s="430" t="s">
        <v>552</v>
      </c>
      <c r="N907" s="430" t="s">
        <v>553</v>
      </c>
      <c r="O907" s="44"/>
      <c r="P907" s="35">
        <v>0.9</v>
      </c>
      <c r="Q907" s="346">
        <v>0.1</v>
      </c>
      <c r="R907" s="35"/>
      <c r="S907" s="35">
        <f t="shared" si="28"/>
        <v>0</v>
      </c>
      <c r="T907" s="184">
        <f t="shared" si="29"/>
        <v>0</v>
      </c>
      <c r="U907" s="184" t="s">
        <v>34</v>
      </c>
      <c r="V907" s="35"/>
      <c r="W907" s="182"/>
    </row>
    <row r="908" spans="1:23" ht="16.05" customHeight="1" x14ac:dyDescent="0.45">
      <c r="A908" s="1">
        <v>907</v>
      </c>
      <c r="B908" s="16" t="s">
        <v>924</v>
      </c>
      <c r="C908" s="16" t="s">
        <v>24</v>
      </c>
      <c r="D908" s="281">
        <v>3624</v>
      </c>
      <c r="E908" s="16" t="s">
        <v>1680</v>
      </c>
      <c r="F908" s="16" t="s">
        <v>1676</v>
      </c>
      <c r="G908" s="16">
        <v>3642</v>
      </c>
      <c r="H908" s="182" t="s">
        <v>1679</v>
      </c>
      <c r="I908" s="16" t="s">
        <v>1645</v>
      </c>
      <c r="J908" s="306" t="s">
        <v>58</v>
      </c>
      <c r="K908" s="16" t="s">
        <v>57</v>
      </c>
      <c r="L908" s="346">
        <v>0.6</v>
      </c>
      <c r="M908" s="430" t="s">
        <v>1180</v>
      </c>
      <c r="N908" s="430" t="s">
        <v>702</v>
      </c>
      <c r="O908" s="44"/>
      <c r="P908" s="35">
        <v>1</v>
      </c>
      <c r="Q908" s="346">
        <v>0.1</v>
      </c>
      <c r="R908" s="35"/>
      <c r="S908" s="35">
        <f t="shared" si="28"/>
        <v>0</v>
      </c>
      <c r="T908" s="184">
        <f t="shared" si="29"/>
        <v>0</v>
      </c>
      <c r="U908" s="184" t="s">
        <v>34</v>
      </c>
      <c r="V908" s="35"/>
      <c r="W908" s="182"/>
    </row>
    <row r="909" spans="1:23" ht="16.05" customHeight="1" x14ac:dyDescent="0.45">
      <c r="A909" s="1">
        <v>908</v>
      </c>
      <c r="B909" s="16" t="s">
        <v>924</v>
      </c>
      <c r="C909" s="16" t="s">
        <v>24</v>
      </c>
      <c r="D909" s="281">
        <v>3624</v>
      </c>
      <c r="E909" s="16" t="s">
        <v>1680</v>
      </c>
      <c r="F909" s="16" t="s">
        <v>1676</v>
      </c>
      <c r="G909" s="16">
        <v>3642</v>
      </c>
      <c r="H909" s="182" t="s">
        <v>1679</v>
      </c>
      <c r="I909" s="16" t="s">
        <v>1645</v>
      </c>
      <c r="J909" s="16" t="s">
        <v>111</v>
      </c>
      <c r="K909" s="16" t="s">
        <v>110</v>
      </c>
      <c r="L909" s="292">
        <v>0.4</v>
      </c>
      <c r="M909" s="71" t="s">
        <v>419</v>
      </c>
      <c r="N909" s="71" t="s">
        <v>555</v>
      </c>
      <c r="O909" s="73" t="s">
        <v>556</v>
      </c>
      <c r="P909" s="74">
        <v>1</v>
      </c>
      <c r="Q909" s="292">
        <v>0.25</v>
      </c>
      <c r="R909" s="74"/>
      <c r="S909" s="74">
        <f t="shared" si="28"/>
        <v>0</v>
      </c>
      <c r="T909" s="16">
        <f t="shared" si="29"/>
        <v>0</v>
      </c>
      <c r="U909" s="16" t="s">
        <v>34</v>
      </c>
      <c r="V909" s="134"/>
      <c r="W909" s="182"/>
    </row>
    <row r="910" spans="1:23" ht="16.05" customHeight="1" x14ac:dyDescent="0.45">
      <c r="A910" s="1">
        <v>909</v>
      </c>
      <c r="B910" s="16" t="s">
        <v>924</v>
      </c>
      <c r="C910" s="16" t="s">
        <v>24</v>
      </c>
      <c r="D910" s="281">
        <v>3624</v>
      </c>
      <c r="E910" s="16" t="s">
        <v>1680</v>
      </c>
      <c r="F910" s="16" t="s">
        <v>1676</v>
      </c>
      <c r="G910" s="16">
        <v>3642</v>
      </c>
      <c r="H910" s="182" t="s">
        <v>1679</v>
      </c>
      <c r="I910" s="16" t="s">
        <v>1645</v>
      </c>
      <c r="J910" s="16" t="s">
        <v>111</v>
      </c>
      <c r="K910" s="16" t="s">
        <v>110</v>
      </c>
      <c r="L910" s="292">
        <v>0.4</v>
      </c>
      <c r="M910" s="71" t="s">
        <v>557</v>
      </c>
      <c r="N910" s="71" t="s">
        <v>558</v>
      </c>
      <c r="O910" s="73" t="s">
        <v>559</v>
      </c>
      <c r="P910" s="74">
        <v>1</v>
      </c>
      <c r="Q910" s="292">
        <v>0.25</v>
      </c>
      <c r="R910" s="74"/>
      <c r="S910" s="74">
        <f t="shared" si="28"/>
        <v>0</v>
      </c>
      <c r="T910" s="16">
        <f t="shared" si="29"/>
        <v>0</v>
      </c>
      <c r="U910" s="16" t="s">
        <v>34</v>
      </c>
      <c r="V910" s="74"/>
      <c r="W910" s="16"/>
    </row>
    <row r="911" spans="1:23" ht="16.05" customHeight="1" x14ac:dyDescent="0.45">
      <c r="A911" s="1">
        <v>910</v>
      </c>
      <c r="B911" s="16" t="s">
        <v>924</v>
      </c>
      <c r="C911" s="16" t="s">
        <v>24</v>
      </c>
      <c r="D911" s="281">
        <v>3624</v>
      </c>
      <c r="E911" s="16" t="s">
        <v>1680</v>
      </c>
      <c r="F911" s="16" t="s">
        <v>1676</v>
      </c>
      <c r="G911" s="16">
        <v>3642</v>
      </c>
      <c r="H911" s="182" t="s">
        <v>1679</v>
      </c>
      <c r="I911" s="16" t="s">
        <v>1645</v>
      </c>
      <c r="J911" s="16" t="s">
        <v>111</v>
      </c>
      <c r="K911" s="16" t="s">
        <v>110</v>
      </c>
      <c r="L911" s="292">
        <v>0.4</v>
      </c>
      <c r="M911" s="71" t="s">
        <v>1672</v>
      </c>
      <c r="N911" s="71" t="s">
        <v>561</v>
      </c>
      <c r="O911" s="73" t="s">
        <v>562</v>
      </c>
      <c r="P911" s="74">
        <v>1</v>
      </c>
      <c r="Q911" s="292">
        <v>0.25</v>
      </c>
      <c r="R911" s="74"/>
      <c r="S911" s="74">
        <f t="shared" si="28"/>
        <v>0</v>
      </c>
      <c r="T911" s="16">
        <f t="shared" si="29"/>
        <v>0</v>
      </c>
      <c r="U911" s="16" t="s">
        <v>34</v>
      </c>
      <c r="V911" s="74"/>
      <c r="W911" s="16"/>
    </row>
    <row r="912" spans="1:23" ht="16.05" customHeight="1" x14ac:dyDescent="0.45">
      <c r="A912" s="1">
        <v>911</v>
      </c>
      <c r="B912" s="16" t="s">
        <v>924</v>
      </c>
      <c r="C912" s="16" t="s">
        <v>24</v>
      </c>
      <c r="D912" s="281">
        <v>3624</v>
      </c>
      <c r="E912" s="16" t="s">
        <v>1680</v>
      </c>
      <c r="F912" s="16" t="s">
        <v>1676</v>
      </c>
      <c r="G912" s="16">
        <v>3642</v>
      </c>
      <c r="H912" s="182" t="s">
        <v>1679</v>
      </c>
      <c r="I912" s="16" t="s">
        <v>1645</v>
      </c>
      <c r="J912" s="16" t="s">
        <v>111</v>
      </c>
      <c r="K912" s="16" t="s">
        <v>110</v>
      </c>
      <c r="L912" s="292">
        <v>0.4</v>
      </c>
      <c r="M912" s="71" t="s">
        <v>563</v>
      </c>
      <c r="N912" s="71" t="s">
        <v>564</v>
      </c>
      <c r="O912" s="73" t="s">
        <v>527</v>
      </c>
      <c r="P912" s="74">
        <v>1</v>
      </c>
      <c r="Q912" s="292">
        <v>0.25</v>
      </c>
      <c r="R912" s="74"/>
      <c r="S912" s="74">
        <f t="shared" si="28"/>
        <v>0</v>
      </c>
      <c r="T912" s="16">
        <f t="shared" si="29"/>
        <v>0</v>
      </c>
      <c r="U912" s="16" t="s">
        <v>34</v>
      </c>
      <c r="V912" s="74"/>
      <c r="W912" s="16"/>
    </row>
    <row r="913" spans="1:23" ht="16.05" customHeight="1" x14ac:dyDescent="0.45">
      <c r="A913" s="1">
        <v>912</v>
      </c>
      <c r="B913" s="3" t="s">
        <v>924</v>
      </c>
      <c r="C913" s="3" t="s">
        <v>24</v>
      </c>
      <c r="D913" s="275">
        <v>3082</v>
      </c>
      <c r="E913" s="3" t="s">
        <v>1681</v>
      </c>
      <c r="F913" s="3" t="s">
        <v>1682</v>
      </c>
      <c r="G913" s="3">
        <v>5933</v>
      </c>
      <c r="H913" s="3" t="s">
        <v>1683</v>
      </c>
      <c r="I913" s="3" t="s">
        <v>1684</v>
      </c>
      <c r="J913" s="3" t="s">
        <v>58</v>
      </c>
      <c r="K913" s="3" t="s">
        <v>57</v>
      </c>
      <c r="L913" s="276">
        <v>0.6</v>
      </c>
      <c r="M913" s="522" t="s">
        <v>80</v>
      </c>
      <c r="N913" s="522" t="s">
        <v>81</v>
      </c>
      <c r="O913" s="523" t="s">
        <v>82</v>
      </c>
      <c r="P913" s="43">
        <v>0.01</v>
      </c>
      <c r="Q913" s="276">
        <v>0.2</v>
      </c>
      <c r="R913" s="43"/>
      <c r="S913" s="120">
        <f t="shared" si="28"/>
        <v>0</v>
      </c>
      <c r="T913" s="3">
        <f t="shared" si="29"/>
        <v>0</v>
      </c>
      <c r="U913" s="3" t="s">
        <v>83</v>
      </c>
      <c r="V913" s="513">
        <f>SUM(T913:T922)%</f>
        <v>0</v>
      </c>
      <c r="W913" s="171"/>
    </row>
    <row r="914" spans="1:23" ht="16.05" customHeight="1" x14ac:dyDescent="0.45">
      <c r="A914" s="1">
        <v>913</v>
      </c>
      <c r="B914" s="16" t="s">
        <v>924</v>
      </c>
      <c r="C914" s="182" t="s">
        <v>24</v>
      </c>
      <c r="D914" s="281">
        <v>3082</v>
      </c>
      <c r="E914" s="16" t="s">
        <v>1681</v>
      </c>
      <c r="F914" s="16" t="s">
        <v>1682</v>
      </c>
      <c r="G914" s="16">
        <v>5933</v>
      </c>
      <c r="H914" s="16" t="s">
        <v>1683</v>
      </c>
      <c r="I914" s="16" t="s">
        <v>1684</v>
      </c>
      <c r="J914" s="184" t="s">
        <v>58</v>
      </c>
      <c r="K914" s="16" t="s">
        <v>57</v>
      </c>
      <c r="L914" s="346">
        <v>0.6</v>
      </c>
      <c r="M914" s="430" t="s">
        <v>1668</v>
      </c>
      <c r="N914" s="430" t="s">
        <v>1669</v>
      </c>
      <c r="O914" s="44"/>
      <c r="P914" s="35">
        <v>0.95</v>
      </c>
      <c r="Q914" s="346">
        <v>0.2</v>
      </c>
      <c r="R914" s="35"/>
      <c r="S914" s="35">
        <f t="shared" si="28"/>
        <v>0</v>
      </c>
      <c r="T914" s="184">
        <f t="shared" si="29"/>
        <v>0</v>
      </c>
      <c r="U914" s="184" t="s">
        <v>34</v>
      </c>
      <c r="V914" s="35"/>
      <c r="W914" s="134"/>
    </row>
    <row r="915" spans="1:23" ht="16.05" customHeight="1" x14ac:dyDescent="0.45">
      <c r="A915" s="1">
        <v>914</v>
      </c>
      <c r="B915" s="16" t="s">
        <v>924</v>
      </c>
      <c r="C915" s="182" t="s">
        <v>24</v>
      </c>
      <c r="D915" s="281">
        <v>3082</v>
      </c>
      <c r="E915" s="16" t="s">
        <v>1681</v>
      </c>
      <c r="F915" s="16" t="s">
        <v>1682</v>
      </c>
      <c r="G915" s="16">
        <v>5933</v>
      </c>
      <c r="H915" s="16" t="s">
        <v>1683</v>
      </c>
      <c r="I915" s="16" t="s">
        <v>1684</v>
      </c>
      <c r="J915" s="184" t="s">
        <v>58</v>
      </c>
      <c r="K915" s="16" t="s">
        <v>57</v>
      </c>
      <c r="L915" s="346">
        <v>0.6</v>
      </c>
      <c r="M915" s="430" t="s">
        <v>1670</v>
      </c>
      <c r="N915" s="430" t="s">
        <v>1671</v>
      </c>
      <c r="O915" s="44"/>
      <c r="P915" s="35">
        <v>0.9</v>
      </c>
      <c r="Q915" s="346">
        <v>0.2</v>
      </c>
      <c r="R915" s="35"/>
      <c r="S915" s="35">
        <f t="shared" si="28"/>
        <v>0</v>
      </c>
      <c r="T915" s="184">
        <f t="shared" si="29"/>
        <v>0</v>
      </c>
      <c r="U915" s="184" t="s">
        <v>34</v>
      </c>
      <c r="V915" s="35"/>
      <c r="W915" s="134"/>
    </row>
    <row r="916" spans="1:23" ht="16.05" customHeight="1" x14ac:dyDescent="0.45">
      <c r="A916" s="1">
        <v>915</v>
      </c>
      <c r="B916" s="16" t="s">
        <v>924</v>
      </c>
      <c r="C916" s="182" t="s">
        <v>24</v>
      </c>
      <c r="D916" s="281">
        <v>3082</v>
      </c>
      <c r="E916" s="16" t="s">
        <v>1681</v>
      </c>
      <c r="F916" s="16" t="s">
        <v>1682</v>
      </c>
      <c r="G916" s="16">
        <v>5933</v>
      </c>
      <c r="H916" s="16" t="s">
        <v>1683</v>
      </c>
      <c r="I916" s="16" t="s">
        <v>1684</v>
      </c>
      <c r="J916" s="184" t="s">
        <v>58</v>
      </c>
      <c r="K916" s="16" t="s">
        <v>57</v>
      </c>
      <c r="L916" s="346">
        <v>0.6</v>
      </c>
      <c r="M916" s="430" t="s">
        <v>550</v>
      </c>
      <c r="N916" s="430" t="s">
        <v>567</v>
      </c>
      <c r="O916" s="44"/>
      <c r="P916" s="35">
        <v>0.9</v>
      </c>
      <c r="Q916" s="346">
        <v>0.2</v>
      </c>
      <c r="R916" s="35"/>
      <c r="S916" s="35">
        <f t="shared" si="28"/>
        <v>0</v>
      </c>
      <c r="T916" s="184">
        <f t="shared" si="29"/>
        <v>0</v>
      </c>
      <c r="U916" s="184" t="s">
        <v>34</v>
      </c>
      <c r="V916" s="35"/>
      <c r="W916" s="134"/>
    </row>
    <row r="917" spans="1:23" ht="16.05" customHeight="1" x14ac:dyDescent="0.45">
      <c r="A917" s="1">
        <v>916</v>
      </c>
      <c r="B917" s="16" t="s">
        <v>924</v>
      </c>
      <c r="C917" s="182" t="s">
        <v>24</v>
      </c>
      <c r="D917" s="281">
        <v>3082</v>
      </c>
      <c r="E917" s="16" t="s">
        <v>1681</v>
      </c>
      <c r="F917" s="16" t="s">
        <v>1682</v>
      </c>
      <c r="G917" s="16">
        <v>5933</v>
      </c>
      <c r="H917" s="16" t="s">
        <v>1683</v>
      </c>
      <c r="I917" s="16" t="s">
        <v>1684</v>
      </c>
      <c r="J917" s="184" t="s">
        <v>58</v>
      </c>
      <c r="K917" s="16" t="s">
        <v>57</v>
      </c>
      <c r="L917" s="346">
        <v>0.6</v>
      </c>
      <c r="M917" s="430" t="s">
        <v>552</v>
      </c>
      <c r="N917" s="430" t="s">
        <v>553</v>
      </c>
      <c r="O917" s="44"/>
      <c r="P917" s="35">
        <v>0.9</v>
      </c>
      <c r="Q917" s="346">
        <v>0.1</v>
      </c>
      <c r="R917" s="35"/>
      <c r="S917" s="35">
        <f t="shared" si="28"/>
        <v>0</v>
      </c>
      <c r="T917" s="184">
        <f t="shared" si="29"/>
        <v>0</v>
      </c>
      <c r="U917" s="184" t="s">
        <v>34</v>
      </c>
      <c r="V917" s="35"/>
      <c r="W917" s="134"/>
    </row>
    <row r="918" spans="1:23" ht="16.05" customHeight="1" x14ac:dyDescent="0.45">
      <c r="A918" s="1">
        <v>917</v>
      </c>
      <c r="B918" s="16" t="s">
        <v>924</v>
      </c>
      <c r="C918" s="182" t="s">
        <v>24</v>
      </c>
      <c r="D918" s="281">
        <v>3082</v>
      </c>
      <c r="E918" s="16" t="s">
        <v>1681</v>
      </c>
      <c r="F918" s="16" t="s">
        <v>1682</v>
      </c>
      <c r="G918" s="16">
        <v>5933</v>
      </c>
      <c r="H918" s="16" t="s">
        <v>1683</v>
      </c>
      <c r="I918" s="16" t="s">
        <v>1684</v>
      </c>
      <c r="J918" s="184" t="s">
        <v>58</v>
      </c>
      <c r="K918" s="16" t="s">
        <v>57</v>
      </c>
      <c r="L918" s="346">
        <v>0.6</v>
      </c>
      <c r="M918" s="430" t="s">
        <v>1180</v>
      </c>
      <c r="N918" s="430" t="s">
        <v>702</v>
      </c>
      <c r="O918" s="44" t="s">
        <v>1685</v>
      </c>
      <c r="P918" s="35">
        <v>1</v>
      </c>
      <c r="Q918" s="346">
        <v>0.1</v>
      </c>
      <c r="R918" s="35"/>
      <c r="S918" s="35">
        <f t="shared" si="28"/>
        <v>0</v>
      </c>
      <c r="T918" s="184">
        <f t="shared" si="29"/>
        <v>0</v>
      </c>
      <c r="U918" s="184" t="s">
        <v>34</v>
      </c>
      <c r="V918" s="35"/>
      <c r="W918" s="134"/>
    </row>
    <row r="919" spans="1:23" ht="16.05" customHeight="1" x14ac:dyDescent="0.45">
      <c r="A919" s="1">
        <v>918</v>
      </c>
      <c r="B919" s="16" t="s">
        <v>924</v>
      </c>
      <c r="C919" s="182" t="s">
        <v>24</v>
      </c>
      <c r="D919" s="281">
        <v>3082</v>
      </c>
      <c r="E919" s="16" t="s">
        <v>1681</v>
      </c>
      <c r="F919" s="16" t="s">
        <v>1682</v>
      </c>
      <c r="G919" s="16">
        <v>5933</v>
      </c>
      <c r="H919" s="16" t="s">
        <v>1683</v>
      </c>
      <c r="I919" s="16" t="s">
        <v>1684</v>
      </c>
      <c r="J919" s="16" t="s">
        <v>111</v>
      </c>
      <c r="K919" s="16" t="s">
        <v>110</v>
      </c>
      <c r="L919" s="292">
        <v>0.4</v>
      </c>
      <c r="M919" s="71" t="s">
        <v>419</v>
      </c>
      <c r="N919" s="71" t="s">
        <v>555</v>
      </c>
      <c r="O919" s="73" t="s">
        <v>556</v>
      </c>
      <c r="P919" s="74">
        <v>1</v>
      </c>
      <c r="Q919" s="292">
        <v>0.25</v>
      </c>
      <c r="R919" s="74"/>
      <c r="S919" s="74">
        <f t="shared" si="28"/>
        <v>0</v>
      </c>
      <c r="T919" s="16">
        <f t="shared" si="29"/>
        <v>0</v>
      </c>
      <c r="U919" s="16" t="s">
        <v>34</v>
      </c>
      <c r="V919" s="134"/>
      <c r="W919" s="134"/>
    </row>
    <row r="920" spans="1:23" ht="16.05" customHeight="1" x14ac:dyDescent="0.45">
      <c r="A920" s="1">
        <v>919</v>
      </c>
      <c r="B920" s="16" t="s">
        <v>924</v>
      </c>
      <c r="C920" s="182" t="s">
        <v>24</v>
      </c>
      <c r="D920" s="281">
        <v>3082</v>
      </c>
      <c r="E920" s="16" t="s">
        <v>1681</v>
      </c>
      <c r="F920" s="16" t="s">
        <v>1682</v>
      </c>
      <c r="G920" s="16">
        <v>5933</v>
      </c>
      <c r="H920" s="16" t="s">
        <v>1683</v>
      </c>
      <c r="I920" s="16" t="s">
        <v>1684</v>
      </c>
      <c r="J920" s="16" t="s">
        <v>111</v>
      </c>
      <c r="K920" s="16" t="s">
        <v>110</v>
      </c>
      <c r="L920" s="292">
        <v>0.4</v>
      </c>
      <c r="M920" s="71" t="s">
        <v>557</v>
      </c>
      <c r="N920" s="71" t="s">
        <v>558</v>
      </c>
      <c r="O920" s="73" t="s">
        <v>559</v>
      </c>
      <c r="P920" s="74">
        <v>1</v>
      </c>
      <c r="Q920" s="292">
        <v>0.25</v>
      </c>
      <c r="R920" s="74"/>
      <c r="S920" s="74">
        <f t="shared" si="28"/>
        <v>0</v>
      </c>
      <c r="T920" s="16">
        <f t="shared" si="29"/>
        <v>0</v>
      </c>
      <c r="U920" s="16" t="s">
        <v>34</v>
      </c>
      <c r="V920" s="74"/>
      <c r="W920" s="74"/>
    </row>
    <row r="921" spans="1:23" ht="16.05" customHeight="1" x14ac:dyDescent="0.45">
      <c r="A921" s="1">
        <v>920</v>
      </c>
      <c r="B921" s="16" t="s">
        <v>924</v>
      </c>
      <c r="C921" s="182" t="s">
        <v>24</v>
      </c>
      <c r="D921" s="281">
        <v>3082</v>
      </c>
      <c r="E921" s="16" t="s">
        <v>1681</v>
      </c>
      <c r="F921" s="16" t="s">
        <v>1682</v>
      </c>
      <c r="G921" s="16">
        <v>5933</v>
      </c>
      <c r="H921" s="16" t="s">
        <v>1683</v>
      </c>
      <c r="I921" s="16" t="s">
        <v>1684</v>
      </c>
      <c r="J921" s="16" t="s">
        <v>111</v>
      </c>
      <c r="K921" s="16" t="s">
        <v>110</v>
      </c>
      <c r="L921" s="292">
        <v>0.4</v>
      </c>
      <c r="M921" s="71" t="s">
        <v>1672</v>
      </c>
      <c r="N921" s="71" t="s">
        <v>561</v>
      </c>
      <c r="O921" s="73" t="s">
        <v>562</v>
      </c>
      <c r="P921" s="74">
        <v>1</v>
      </c>
      <c r="Q921" s="292">
        <v>0.25</v>
      </c>
      <c r="R921" s="74"/>
      <c r="S921" s="74">
        <f t="shared" si="28"/>
        <v>0</v>
      </c>
      <c r="T921" s="16">
        <f t="shared" si="29"/>
        <v>0</v>
      </c>
      <c r="U921" s="16" t="s">
        <v>34</v>
      </c>
      <c r="V921" s="74"/>
      <c r="W921" s="74"/>
    </row>
    <row r="922" spans="1:23" ht="16.05" customHeight="1" x14ac:dyDescent="0.45">
      <c r="A922" s="1">
        <v>921</v>
      </c>
      <c r="B922" s="16" t="s">
        <v>924</v>
      </c>
      <c r="C922" s="182" t="s">
        <v>24</v>
      </c>
      <c r="D922" s="281">
        <v>3082</v>
      </c>
      <c r="E922" s="16" t="s">
        <v>1681</v>
      </c>
      <c r="F922" s="16" t="s">
        <v>1682</v>
      </c>
      <c r="G922" s="16">
        <v>5933</v>
      </c>
      <c r="H922" s="16" t="s">
        <v>1683</v>
      </c>
      <c r="I922" s="16" t="s">
        <v>1684</v>
      </c>
      <c r="J922" s="16" t="s">
        <v>111</v>
      </c>
      <c r="K922" s="16" t="s">
        <v>110</v>
      </c>
      <c r="L922" s="292">
        <v>0.4</v>
      </c>
      <c r="M922" s="71" t="s">
        <v>563</v>
      </c>
      <c r="N922" s="71" t="s">
        <v>564</v>
      </c>
      <c r="O922" s="73" t="s">
        <v>527</v>
      </c>
      <c r="P922" s="74">
        <v>1</v>
      </c>
      <c r="Q922" s="292">
        <v>0.25</v>
      </c>
      <c r="R922" s="74"/>
      <c r="S922" s="74">
        <f t="shared" si="28"/>
        <v>0</v>
      </c>
      <c r="T922" s="16">
        <f t="shared" si="29"/>
        <v>0</v>
      </c>
      <c r="U922" s="16" t="s">
        <v>34</v>
      </c>
      <c r="V922" s="74"/>
      <c r="W922" s="74"/>
    </row>
    <row r="923" spans="1:23" ht="16.05" customHeight="1" x14ac:dyDescent="0.45">
      <c r="A923" s="1">
        <v>922</v>
      </c>
      <c r="B923" s="3" t="s">
        <v>924</v>
      </c>
      <c r="C923" s="3" t="s">
        <v>24</v>
      </c>
      <c r="D923" s="275">
        <v>5546</v>
      </c>
      <c r="E923" s="3" t="s">
        <v>1686</v>
      </c>
      <c r="F923" s="3" t="s">
        <v>1687</v>
      </c>
      <c r="G923" s="91">
        <v>6592</v>
      </c>
      <c r="H923" s="99" t="s">
        <v>925</v>
      </c>
      <c r="I923" s="91" t="s">
        <v>1688</v>
      </c>
      <c r="J923" s="3" t="s">
        <v>58</v>
      </c>
      <c r="K923" s="3" t="s">
        <v>57</v>
      </c>
      <c r="L923" s="453">
        <v>0.5</v>
      </c>
      <c r="M923" s="512"/>
      <c r="N923" s="512" t="s">
        <v>1689</v>
      </c>
      <c r="O923" s="512" t="s">
        <v>1690</v>
      </c>
      <c r="P923" s="120">
        <v>1</v>
      </c>
      <c r="Q923" s="453">
        <v>0.25</v>
      </c>
      <c r="R923" s="120"/>
      <c r="S923" s="13">
        <f t="shared" si="28"/>
        <v>0</v>
      </c>
      <c r="T923" s="7">
        <f t="shared" si="29"/>
        <v>0</v>
      </c>
      <c r="U923" s="3" t="s">
        <v>34</v>
      </c>
      <c r="V923" s="278">
        <f>SUM(T923:T934)%</f>
        <v>0</v>
      </c>
      <c r="W923" s="3"/>
    </row>
    <row r="924" spans="1:23" ht="16.05" customHeight="1" x14ac:dyDescent="0.45">
      <c r="A924" s="1">
        <v>923</v>
      </c>
      <c r="B924" s="16" t="s">
        <v>924</v>
      </c>
      <c r="C924" s="16" t="s">
        <v>24</v>
      </c>
      <c r="D924" s="281">
        <v>5546</v>
      </c>
      <c r="E924" s="16" t="s">
        <v>1686</v>
      </c>
      <c r="F924" s="16" t="s">
        <v>1687</v>
      </c>
      <c r="G924" s="16">
        <v>6592</v>
      </c>
      <c r="H924" s="16" t="s">
        <v>925</v>
      </c>
      <c r="I924" s="16" t="s">
        <v>1688</v>
      </c>
      <c r="J924" s="184" t="s">
        <v>58</v>
      </c>
      <c r="K924" s="184" t="s">
        <v>57</v>
      </c>
      <c r="L924" s="286">
        <v>0.5</v>
      </c>
      <c r="M924" s="287"/>
      <c r="N924" s="287" t="s">
        <v>1691</v>
      </c>
      <c r="O924" s="396" t="s">
        <v>1692</v>
      </c>
      <c r="P924" s="514">
        <v>5.0000000000000001E-3</v>
      </c>
      <c r="Q924" s="286">
        <v>0.25</v>
      </c>
      <c r="R924" s="514"/>
      <c r="S924" s="37">
        <f t="shared" si="28"/>
        <v>0</v>
      </c>
      <c r="T924" s="30">
        <f t="shared" si="29"/>
        <v>0</v>
      </c>
      <c r="U924" s="184" t="s">
        <v>34</v>
      </c>
      <c r="V924" s="184"/>
      <c r="W924" s="182"/>
    </row>
    <row r="925" spans="1:23" ht="16.05" customHeight="1" x14ac:dyDescent="0.45">
      <c r="A925" s="1">
        <v>924</v>
      </c>
      <c r="B925" s="16" t="s">
        <v>924</v>
      </c>
      <c r="C925" s="16" t="s">
        <v>24</v>
      </c>
      <c r="D925" s="281">
        <v>5546</v>
      </c>
      <c r="E925" s="16" t="s">
        <v>1686</v>
      </c>
      <c r="F925" s="16" t="s">
        <v>1687</v>
      </c>
      <c r="G925" s="16">
        <v>6592</v>
      </c>
      <c r="H925" s="16" t="s">
        <v>925</v>
      </c>
      <c r="I925" s="16" t="s">
        <v>1688</v>
      </c>
      <c r="J925" s="184" t="s">
        <v>58</v>
      </c>
      <c r="K925" s="184" t="s">
        <v>57</v>
      </c>
      <c r="L925" s="346">
        <v>0.5</v>
      </c>
      <c r="M925" s="287"/>
      <c r="N925" s="287" t="s">
        <v>100</v>
      </c>
      <c r="O925" s="287" t="s">
        <v>101</v>
      </c>
      <c r="P925" s="35">
        <v>0.95</v>
      </c>
      <c r="Q925" s="346">
        <v>0.1</v>
      </c>
      <c r="R925" s="35"/>
      <c r="S925" s="37">
        <f t="shared" si="28"/>
        <v>0</v>
      </c>
      <c r="T925" s="30">
        <f t="shared" si="29"/>
        <v>0</v>
      </c>
      <c r="U925" s="184" t="s">
        <v>34</v>
      </c>
      <c r="V925" s="184"/>
      <c r="W925" s="182"/>
    </row>
    <row r="926" spans="1:23" ht="16.05" customHeight="1" x14ac:dyDescent="0.45">
      <c r="A926" s="1">
        <v>925</v>
      </c>
      <c r="B926" s="16" t="s">
        <v>924</v>
      </c>
      <c r="C926" s="16" t="s">
        <v>24</v>
      </c>
      <c r="D926" s="281">
        <v>5546</v>
      </c>
      <c r="E926" s="16" t="s">
        <v>1686</v>
      </c>
      <c r="F926" s="16" t="s">
        <v>1687</v>
      </c>
      <c r="G926" s="16">
        <v>6592</v>
      </c>
      <c r="H926" s="16" t="s">
        <v>925</v>
      </c>
      <c r="I926" s="16" t="s">
        <v>1688</v>
      </c>
      <c r="J926" s="184" t="s">
        <v>58</v>
      </c>
      <c r="K926" s="184" t="s">
        <v>57</v>
      </c>
      <c r="L926" s="346">
        <v>0.5</v>
      </c>
      <c r="M926" s="287"/>
      <c r="N926" s="287" t="s">
        <v>1693</v>
      </c>
      <c r="O926" s="287" t="s">
        <v>1694</v>
      </c>
      <c r="P926" s="35">
        <v>0.03</v>
      </c>
      <c r="Q926" s="346">
        <v>0.2</v>
      </c>
      <c r="R926" s="35"/>
      <c r="S926" s="37">
        <f t="shared" si="28"/>
        <v>0</v>
      </c>
      <c r="T926" s="30">
        <f t="shared" si="29"/>
        <v>0</v>
      </c>
      <c r="U926" s="184" t="s">
        <v>34</v>
      </c>
      <c r="V926" s="184"/>
      <c r="W926" s="182"/>
    </row>
    <row r="927" spans="1:23" ht="16.05" customHeight="1" x14ac:dyDescent="0.45">
      <c r="A927" s="1">
        <v>926</v>
      </c>
      <c r="B927" s="16" t="s">
        <v>924</v>
      </c>
      <c r="C927" s="16" t="s">
        <v>24</v>
      </c>
      <c r="D927" s="281">
        <v>5546</v>
      </c>
      <c r="E927" s="16" t="s">
        <v>1686</v>
      </c>
      <c r="F927" s="16" t="s">
        <v>1687</v>
      </c>
      <c r="G927" s="16">
        <v>6592</v>
      </c>
      <c r="H927" s="16" t="s">
        <v>925</v>
      </c>
      <c r="I927" s="16" t="s">
        <v>1688</v>
      </c>
      <c r="J927" s="184" t="s">
        <v>58</v>
      </c>
      <c r="K927" s="184" t="s">
        <v>57</v>
      </c>
      <c r="L927" s="346">
        <v>0.5</v>
      </c>
      <c r="M927" s="287"/>
      <c r="N927" s="287" t="s">
        <v>1695</v>
      </c>
      <c r="O927" s="287" t="s">
        <v>1696</v>
      </c>
      <c r="P927" s="35">
        <v>1</v>
      </c>
      <c r="Q927" s="346">
        <v>0.1</v>
      </c>
      <c r="R927" s="35"/>
      <c r="S927" s="37">
        <f t="shared" si="28"/>
        <v>0</v>
      </c>
      <c r="T927" s="30">
        <f t="shared" si="29"/>
        <v>0</v>
      </c>
      <c r="U927" s="184" t="s">
        <v>34</v>
      </c>
      <c r="V927" s="184"/>
      <c r="W927" s="182"/>
    </row>
    <row r="928" spans="1:23" ht="16.05" customHeight="1" x14ac:dyDescent="0.45">
      <c r="A928" s="1">
        <v>927</v>
      </c>
      <c r="B928" s="16" t="s">
        <v>924</v>
      </c>
      <c r="C928" s="16" t="s">
        <v>24</v>
      </c>
      <c r="D928" s="281">
        <v>5546</v>
      </c>
      <c r="E928" s="16" t="s">
        <v>1686</v>
      </c>
      <c r="F928" s="16" t="s">
        <v>1687</v>
      </c>
      <c r="G928" s="16">
        <v>6592</v>
      </c>
      <c r="H928" s="16" t="s">
        <v>925</v>
      </c>
      <c r="I928" s="16" t="s">
        <v>1688</v>
      </c>
      <c r="J928" s="184" t="s">
        <v>58</v>
      </c>
      <c r="K928" s="184" t="s">
        <v>57</v>
      </c>
      <c r="L928" s="346">
        <v>0.5</v>
      </c>
      <c r="M928" s="287"/>
      <c r="N928" s="287" t="s">
        <v>1697</v>
      </c>
      <c r="O928" s="287" t="s">
        <v>1698</v>
      </c>
      <c r="P928" s="35">
        <v>1</v>
      </c>
      <c r="Q928" s="346">
        <v>0.1</v>
      </c>
      <c r="R928" s="35"/>
      <c r="S928" s="37">
        <f t="shared" si="28"/>
        <v>0</v>
      </c>
      <c r="T928" s="30">
        <f t="shared" si="29"/>
        <v>0</v>
      </c>
      <c r="U928" s="184" t="s">
        <v>34</v>
      </c>
      <c r="V928" s="184"/>
      <c r="W928" s="182"/>
    </row>
    <row r="929" spans="1:23" ht="16.05" customHeight="1" x14ac:dyDescent="0.45">
      <c r="A929" s="1">
        <v>928</v>
      </c>
      <c r="B929" s="16" t="s">
        <v>924</v>
      </c>
      <c r="C929" s="16" t="s">
        <v>24</v>
      </c>
      <c r="D929" s="281">
        <v>5546</v>
      </c>
      <c r="E929" s="16" t="s">
        <v>1686</v>
      </c>
      <c r="F929" s="16" t="s">
        <v>1687</v>
      </c>
      <c r="G929" s="16">
        <v>6592</v>
      </c>
      <c r="H929" s="16" t="s">
        <v>925</v>
      </c>
      <c r="I929" s="16" t="s">
        <v>1688</v>
      </c>
      <c r="J929" s="16" t="s">
        <v>111</v>
      </c>
      <c r="K929" s="16" t="s">
        <v>110</v>
      </c>
      <c r="L929" s="292">
        <v>0.5</v>
      </c>
      <c r="M929" s="333"/>
      <c r="N929" s="333" t="s">
        <v>1699</v>
      </c>
      <c r="O929" s="16"/>
      <c r="P929" s="74">
        <v>1</v>
      </c>
      <c r="Q929" s="292">
        <v>0.2</v>
      </c>
      <c r="R929" s="74"/>
      <c r="S929" s="284">
        <f t="shared" si="28"/>
        <v>0</v>
      </c>
      <c r="T929" s="285">
        <f t="shared" si="29"/>
        <v>0</v>
      </c>
      <c r="U929" s="16" t="s">
        <v>34</v>
      </c>
      <c r="V929" s="16"/>
      <c r="W929" s="182"/>
    </row>
    <row r="930" spans="1:23" ht="16.05" customHeight="1" x14ac:dyDescent="0.45">
      <c r="A930" s="1">
        <v>929</v>
      </c>
      <c r="B930" s="16" t="s">
        <v>924</v>
      </c>
      <c r="C930" s="16" t="s">
        <v>24</v>
      </c>
      <c r="D930" s="281">
        <v>5546</v>
      </c>
      <c r="E930" s="16" t="s">
        <v>1686</v>
      </c>
      <c r="F930" s="16" t="s">
        <v>1687</v>
      </c>
      <c r="G930" s="16">
        <v>6592</v>
      </c>
      <c r="H930" s="16" t="s">
        <v>925</v>
      </c>
      <c r="I930" s="16" t="s">
        <v>1688</v>
      </c>
      <c r="J930" s="16" t="s">
        <v>111</v>
      </c>
      <c r="K930" s="16" t="s">
        <v>110</v>
      </c>
      <c r="L930" s="292">
        <v>0.5</v>
      </c>
      <c r="M930" s="333"/>
      <c r="N930" s="333" t="s">
        <v>1700</v>
      </c>
      <c r="O930" s="16"/>
      <c r="P930" s="74">
        <v>1</v>
      </c>
      <c r="Q930" s="292">
        <v>0.2</v>
      </c>
      <c r="R930" s="74"/>
      <c r="S930" s="284">
        <f t="shared" si="28"/>
        <v>0</v>
      </c>
      <c r="T930" s="285">
        <f t="shared" si="29"/>
        <v>0</v>
      </c>
      <c r="U930" s="16" t="s">
        <v>34</v>
      </c>
      <c r="V930" s="16"/>
      <c r="W930" s="182"/>
    </row>
    <row r="931" spans="1:23" ht="16.05" customHeight="1" x14ac:dyDescent="0.45">
      <c r="A931" s="1">
        <v>930</v>
      </c>
      <c r="B931" s="16" t="s">
        <v>924</v>
      </c>
      <c r="C931" s="16" t="s">
        <v>24</v>
      </c>
      <c r="D931" s="281">
        <v>5546</v>
      </c>
      <c r="E931" s="16" t="s">
        <v>1686</v>
      </c>
      <c r="F931" s="16" t="s">
        <v>1687</v>
      </c>
      <c r="G931" s="16">
        <v>6592</v>
      </c>
      <c r="H931" s="16" t="s">
        <v>925</v>
      </c>
      <c r="I931" s="16" t="s">
        <v>1688</v>
      </c>
      <c r="J931" s="16" t="s">
        <v>111</v>
      </c>
      <c r="K931" s="16" t="s">
        <v>110</v>
      </c>
      <c r="L931" s="292">
        <v>0.5</v>
      </c>
      <c r="M931" s="333"/>
      <c r="N931" s="333" t="s">
        <v>1701</v>
      </c>
      <c r="O931" s="16"/>
      <c r="P931" s="74">
        <v>1</v>
      </c>
      <c r="Q931" s="292">
        <v>0.1</v>
      </c>
      <c r="R931" s="74"/>
      <c r="S931" s="284">
        <f t="shared" si="28"/>
        <v>0</v>
      </c>
      <c r="T931" s="285">
        <f t="shared" si="29"/>
        <v>0</v>
      </c>
      <c r="U931" s="16" t="s">
        <v>34</v>
      </c>
      <c r="V931" s="16"/>
      <c r="W931" s="16"/>
    </row>
    <row r="932" spans="1:23" ht="16.05" customHeight="1" x14ac:dyDescent="0.45">
      <c r="A932" s="1">
        <v>931</v>
      </c>
      <c r="B932" s="16" t="s">
        <v>924</v>
      </c>
      <c r="C932" s="16" t="s">
        <v>24</v>
      </c>
      <c r="D932" s="281">
        <v>5546</v>
      </c>
      <c r="E932" s="16" t="s">
        <v>1686</v>
      </c>
      <c r="F932" s="16" t="s">
        <v>1687</v>
      </c>
      <c r="G932" s="16">
        <v>6592</v>
      </c>
      <c r="H932" s="16" t="s">
        <v>925</v>
      </c>
      <c r="I932" s="16" t="s">
        <v>1688</v>
      </c>
      <c r="J932" s="16" t="s">
        <v>111</v>
      </c>
      <c r="K932" s="16" t="s">
        <v>110</v>
      </c>
      <c r="L932" s="292">
        <v>0.5</v>
      </c>
      <c r="M932" s="333"/>
      <c r="N932" s="333" t="s">
        <v>1702</v>
      </c>
      <c r="O932" s="16"/>
      <c r="P932" s="74">
        <v>1</v>
      </c>
      <c r="Q932" s="292">
        <v>0.1</v>
      </c>
      <c r="R932" s="74"/>
      <c r="S932" s="284">
        <f t="shared" si="28"/>
        <v>0</v>
      </c>
      <c r="T932" s="285">
        <f t="shared" si="29"/>
        <v>0</v>
      </c>
      <c r="U932" s="16" t="s">
        <v>34</v>
      </c>
      <c r="V932" s="16"/>
      <c r="W932" s="16"/>
    </row>
    <row r="933" spans="1:23" ht="16.05" customHeight="1" x14ac:dyDescent="0.45">
      <c r="A933" s="1">
        <v>932</v>
      </c>
      <c r="B933" s="16" t="s">
        <v>924</v>
      </c>
      <c r="C933" s="16" t="s">
        <v>24</v>
      </c>
      <c r="D933" s="281">
        <v>5546</v>
      </c>
      <c r="E933" s="16" t="s">
        <v>1686</v>
      </c>
      <c r="F933" s="16" t="s">
        <v>1687</v>
      </c>
      <c r="G933" s="16">
        <v>6592</v>
      </c>
      <c r="H933" s="16" t="s">
        <v>925</v>
      </c>
      <c r="I933" s="16" t="s">
        <v>1688</v>
      </c>
      <c r="J933" s="16" t="s">
        <v>111</v>
      </c>
      <c r="K933" s="16" t="s">
        <v>110</v>
      </c>
      <c r="L933" s="292">
        <v>0.5</v>
      </c>
      <c r="M933" s="333"/>
      <c r="N933" s="333" t="s">
        <v>1703</v>
      </c>
      <c r="O933" s="16"/>
      <c r="P933" s="74">
        <v>1</v>
      </c>
      <c r="Q933" s="292">
        <v>0.2</v>
      </c>
      <c r="R933" s="74"/>
      <c r="S933" s="284">
        <f t="shared" si="28"/>
        <v>0</v>
      </c>
      <c r="T933" s="285">
        <f t="shared" si="29"/>
        <v>0</v>
      </c>
      <c r="U933" s="16" t="s">
        <v>34</v>
      </c>
      <c r="V933" s="16"/>
      <c r="W933" s="16"/>
    </row>
    <row r="934" spans="1:23" ht="16.05" customHeight="1" x14ac:dyDescent="0.45">
      <c r="A934" s="1">
        <v>933</v>
      </c>
      <c r="B934" s="16" t="s">
        <v>924</v>
      </c>
      <c r="C934" s="16" t="s">
        <v>24</v>
      </c>
      <c r="D934" s="281">
        <v>5546</v>
      </c>
      <c r="E934" s="16" t="s">
        <v>1686</v>
      </c>
      <c r="F934" s="16" t="s">
        <v>1687</v>
      </c>
      <c r="G934" s="16">
        <v>6592</v>
      </c>
      <c r="H934" s="16" t="s">
        <v>925</v>
      </c>
      <c r="I934" s="16" t="s">
        <v>1688</v>
      </c>
      <c r="J934" s="16" t="s">
        <v>111</v>
      </c>
      <c r="K934" s="16" t="s">
        <v>110</v>
      </c>
      <c r="L934" s="292">
        <v>0.5</v>
      </c>
      <c r="M934" s="333"/>
      <c r="N934" s="333" t="s">
        <v>1704</v>
      </c>
      <c r="O934" s="16"/>
      <c r="P934" s="74">
        <v>1</v>
      </c>
      <c r="Q934" s="292">
        <v>0.2</v>
      </c>
      <c r="R934" s="74"/>
      <c r="S934" s="284">
        <f t="shared" si="28"/>
        <v>0</v>
      </c>
      <c r="T934" s="285">
        <f t="shared" si="29"/>
        <v>0</v>
      </c>
      <c r="U934" s="16" t="s">
        <v>34</v>
      </c>
      <c r="V934" s="16"/>
      <c r="W934" s="16"/>
    </row>
    <row r="935" spans="1:23" ht="16.05" customHeight="1" x14ac:dyDescent="0.45">
      <c r="A935" s="1">
        <v>934</v>
      </c>
      <c r="B935" s="3" t="s">
        <v>924</v>
      </c>
      <c r="C935" s="3" t="s">
        <v>24</v>
      </c>
      <c r="D935" s="349">
        <v>3064</v>
      </c>
      <c r="E935" s="91" t="s">
        <v>1705</v>
      </c>
      <c r="F935" s="525" t="s">
        <v>1706</v>
      </c>
      <c r="G935" s="91">
        <v>6592</v>
      </c>
      <c r="H935" s="99" t="s">
        <v>925</v>
      </c>
      <c r="I935" s="3" t="s">
        <v>570</v>
      </c>
      <c r="J935" s="3" t="s">
        <v>58</v>
      </c>
      <c r="K935" s="3" t="s">
        <v>57</v>
      </c>
      <c r="L935" s="276">
        <v>0.5</v>
      </c>
      <c r="M935" s="91" t="s">
        <v>1707</v>
      </c>
      <c r="N935" s="91" t="s">
        <v>1689</v>
      </c>
      <c r="O935" s="54" t="s">
        <v>1690</v>
      </c>
      <c r="P935" s="120">
        <v>1</v>
      </c>
      <c r="Q935" s="276">
        <v>0.15</v>
      </c>
      <c r="R935" s="120"/>
      <c r="S935" s="148">
        <f t="shared" si="28"/>
        <v>0</v>
      </c>
      <c r="T935" s="168">
        <f t="shared" si="29"/>
        <v>0</v>
      </c>
      <c r="U935" s="3" t="s">
        <v>34</v>
      </c>
      <c r="V935" s="278">
        <f>SUM(T935:T944)%</f>
        <v>0</v>
      </c>
      <c r="W935" s="146"/>
    </row>
    <row r="936" spans="1:23" ht="16.05" customHeight="1" x14ac:dyDescent="0.45">
      <c r="A936" s="1">
        <v>935</v>
      </c>
      <c r="B936" s="16" t="s">
        <v>924</v>
      </c>
      <c r="C936" s="16" t="s">
        <v>24</v>
      </c>
      <c r="D936" s="413">
        <v>3064</v>
      </c>
      <c r="E936" s="334" t="s">
        <v>1705</v>
      </c>
      <c r="F936" s="526" t="s">
        <v>1706</v>
      </c>
      <c r="G936" s="412">
        <v>6592</v>
      </c>
      <c r="H936" s="412" t="s">
        <v>925</v>
      </c>
      <c r="I936" s="182" t="s">
        <v>570</v>
      </c>
      <c r="J936" s="184" t="s">
        <v>58</v>
      </c>
      <c r="K936" s="184" t="s">
        <v>57</v>
      </c>
      <c r="L936" s="346">
        <v>0.5</v>
      </c>
      <c r="M936" s="334"/>
      <c r="N936" s="334" t="s">
        <v>1708</v>
      </c>
      <c r="O936" s="40" t="s">
        <v>1709</v>
      </c>
      <c r="P936" s="514">
        <v>0.96199999999999997</v>
      </c>
      <c r="Q936" s="346">
        <v>0.3</v>
      </c>
      <c r="R936" s="514"/>
      <c r="S936" s="153">
        <f t="shared" si="28"/>
        <v>0</v>
      </c>
      <c r="T936" s="152">
        <f t="shared" si="29"/>
        <v>0</v>
      </c>
      <c r="U936" s="184" t="s">
        <v>34</v>
      </c>
      <c r="V936" s="44"/>
      <c r="W936" s="162"/>
    </row>
    <row r="937" spans="1:23" ht="16.05" customHeight="1" x14ac:dyDescent="0.45">
      <c r="A937" s="1">
        <v>936</v>
      </c>
      <c r="B937" s="16" t="s">
        <v>924</v>
      </c>
      <c r="C937" s="16" t="s">
        <v>24</v>
      </c>
      <c r="D937" s="413">
        <v>3064</v>
      </c>
      <c r="E937" s="334" t="s">
        <v>1705</v>
      </c>
      <c r="F937" s="526" t="s">
        <v>1706</v>
      </c>
      <c r="G937" s="412">
        <v>6592</v>
      </c>
      <c r="H937" s="412" t="s">
        <v>925</v>
      </c>
      <c r="I937" s="182" t="s">
        <v>570</v>
      </c>
      <c r="J937" s="184" t="s">
        <v>58</v>
      </c>
      <c r="K937" s="184" t="s">
        <v>57</v>
      </c>
      <c r="L937" s="346">
        <v>0.5</v>
      </c>
      <c r="M937" s="334" t="s">
        <v>99</v>
      </c>
      <c r="N937" s="334" t="s">
        <v>100</v>
      </c>
      <c r="O937" s="40" t="s">
        <v>101</v>
      </c>
      <c r="P937" s="35">
        <v>0.95</v>
      </c>
      <c r="Q937" s="346">
        <v>0.2</v>
      </c>
      <c r="R937" s="35"/>
      <c r="S937" s="153">
        <f t="shared" si="28"/>
        <v>0</v>
      </c>
      <c r="T937" s="152">
        <f t="shared" si="29"/>
        <v>0</v>
      </c>
      <c r="U937" s="184" t="s">
        <v>34</v>
      </c>
      <c r="V937" s="44"/>
      <c r="W937" s="162"/>
    </row>
    <row r="938" spans="1:23" ht="16.05" customHeight="1" x14ac:dyDescent="0.45">
      <c r="A938" s="1">
        <v>937</v>
      </c>
      <c r="B938" s="16" t="s">
        <v>924</v>
      </c>
      <c r="C938" s="16" t="s">
        <v>24</v>
      </c>
      <c r="D938" s="413">
        <v>3064</v>
      </c>
      <c r="E938" s="334" t="s">
        <v>1705</v>
      </c>
      <c r="F938" s="526" t="s">
        <v>1706</v>
      </c>
      <c r="G938" s="412">
        <v>6592</v>
      </c>
      <c r="H938" s="412" t="s">
        <v>925</v>
      </c>
      <c r="I938" s="182" t="s">
        <v>570</v>
      </c>
      <c r="J938" s="184" t="s">
        <v>58</v>
      </c>
      <c r="K938" s="184" t="s">
        <v>57</v>
      </c>
      <c r="L938" s="346">
        <v>0.5</v>
      </c>
      <c r="M938" s="334" t="s">
        <v>1710</v>
      </c>
      <c r="N938" s="334" t="s">
        <v>1693</v>
      </c>
      <c r="O938" s="40" t="s">
        <v>1694</v>
      </c>
      <c r="P938" s="35">
        <v>0.03</v>
      </c>
      <c r="Q938" s="346">
        <v>0.1</v>
      </c>
      <c r="R938" s="35"/>
      <c r="S938" s="153">
        <f t="shared" si="28"/>
        <v>0</v>
      </c>
      <c r="T938" s="152">
        <f t="shared" si="29"/>
        <v>0</v>
      </c>
      <c r="U938" s="184" t="s">
        <v>83</v>
      </c>
      <c r="V938" s="44"/>
      <c r="W938" s="162"/>
    </row>
    <row r="939" spans="1:23" ht="16.05" customHeight="1" x14ac:dyDescent="0.45">
      <c r="A939" s="1">
        <v>938</v>
      </c>
      <c r="B939" s="16" t="s">
        <v>924</v>
      </c>
      <c r="C939" s="16" t="s">
        <v>24</v>
      </c>
      <c r="D939" s="413">
        <v>3064</v>
      </c>
      <c r="E939" s="334" t="s">
        <v>1705</v>
      </c>
      <c r="F939" s="526" t="s">
        <v>1706</v>
      </c>
      <c r="G939" s="412">
        <v>6592</v>
      </c>
      <c r="H939" s="412" t="s">
        <v>925</v>
      </c>
      <c r="I939" s="182" t="s">
        <v>570</v>
      </c>
      <c r="J939" s="184" t="s">
        <v>58</v>
      </c>
      <c r="K939" s="184" t="s">
        <v>57</v>
      </c>
      <c r="L939" s="346">
        <v>0.5</v>
      </c>
      <c r="M939" s="334" t="s">
        <v>1711</v>
      </c>
      <c r="N939" s="334" t="s">
        <v>1695</v>
      </c>
      <c r="O939" s="40" t="s">
        <v>1696</v>
      </c>
      <c r="P939" s="35">
        <v>1</v>
      </c>
      <c r="Q939" s="346">
        <v>0.15</v>
      </c>
      <c r="R939" s="35"/>
      <c r="S939" s="153">
        <f t="shared" si="28"/>
        <v>0</v>
      </c>
      <c r="T939" s="152">
        <f t="shared" si="29"/>
        <v>0</v>
      </c>
      <c r="U939" s="184" t="s">
        <v>34</v>
      </c>
      <c r="V939" s="44"/>
      <c r="W939" s="162"/>
    </row>
    <row r="940" spans="1:23" ht="16.05" customHeight="1" x14ac:dyDescent="0.45">
      <c r="A940" s="1">
        <v>939</v>
      </c>
      <c r="B940" s="16" t="s">
        <v>924</v>
      </c>
      <c r="C940" s="16" t="s">
        <v>24</v>
      </c>
      <c r="D940" s="413">
        <v>3064</v>
      </c>
      <c r="E940" s="334" t="s">
        <v>1705</v>
      </c>
      <c r="F940" s="526" t="s">
        <v>1706</v>
      </c>
      <c r="G940" s="412">
        <v>6592</v>
      </c>
      <c r="H940" s="412" t="s">
        <v>925</v>
      </c>
      <c r="I940" s="182" t="s">
        <v>570</v>
      </c>
      <c r="J940" s="184" t="s">
        <v>58</v>
      </c>
      <c r="K940" s="184" t="s">
        <v>57</v>
      </c>
      <c r="L940" s="346">
        <v>0.5</v>
      </c>
      <c r="M940" s="334" t="s">
        <v>1712</v>
      </c>
      <c r="N940" s="334" t="s">
        <v>1697</v>
      </c>
      <c r="O940" s="40" t="s">
        <v>1698</v>
      </c>
      <c r="P940" s="35">
        <v>1</v>
      </c>
      <c r="Q940" s="346">
        <v>0.1</v>
      </c>
      <c r="R940" s="35"/>
      <c r="S940" s="153">
        <f t="shared" si="28"/>
        <v>0</v>
      </c>
      <c r="T940" s="152">
        <f t="shared" si="29"/>
        <v>0</v>
      </c>
      <c r="U940" s="184" t="s">
        <v>34</v>
      </c>
      <c r="V940" s="44"/>
      <c r="W940" s="162"/>
    </row>
    <row r="941" spans="1:23" ht="16.05" customHeight="1" x14ac:dyDescent="0.45">
      <c r="A941" s="1">
        <v>940</v>
      </c>
      <c r="B941" s="16" t="s">
        <v>924</v>
      </c>
      <c r="C941" s="16" t="s">
        <v>24</v>
      </c>
      <c r="D941" s="302">
        <v>3064</v>
      </c>
      <c r="E941" s="71" t="s">
        <v>1705</v>
      </c>
      <c r="F941" s="526" t="s">
        <v>1706</v>
      </c>
      <c r="G941" s="16">
        <v>6592</v>
      </c>
      <c r="H941" s="16" t="s">
        <v>925</v>
      </c>
      <c r="I941" s="16" t="s">
        <v>570</v>
      </c>
      <c r="J941" s="16" t="s">
        <v>111</v>
      </c>
      <c r="K941" s="16" t="s">
        <v>110</v>
      </c>
      <c r="L941" s="292">
        <v>0.5</v>
      </c>
      <c r="M941" s="71"/>
      <c r="N941" s="71" t="s">
        <v>1713</v>
      </c>
      <c r="O941" s="182"/>
      <c r="P941" s="156">
        <v>1</v>
      </c>
      <c r="Q941" s="292">
        <v>0.3</v>
      </c>
      <c r="R941" s="156"/>
      <c r="S941" s="156">
        <f t="shared" si="28"/>
        <v>0</v>
      </c>
      <c r="T941" s="155">
        <f t="shared" si="29"/>
        <v>0</v>
      </c>
      <c r="U941" s="16" t="s">
        <v>34</v>
      </c>
      <c r="V941" s="73"/>
      <c r="W941" s="162"/>
    </row>
    <row r="942" spans="1:23" ht="16.05" customHeight="1" x14ac:dyDescent="0.45">
      <c r="A942" s="1">
        <v>941</v>
      </c>
      <c r="B942" s="16" t="s">
        <v>924</v>
      </c>
      <c r="C942" s="16" t="s">
        <v>24</v>
      </c>
      <c r="D942" s="302">
        <v>3064</v>
      </c>
      <c r="E942" s="71" t="s">
        <v>1705</v>
      </c>
      <c r="F942" s="526" t="s">
        <v>1706</v>
      </c>
      <c r="G942" s="16">
        <v>6592</v>
      </c>
      <c r="H942" s="16" t="s">
        <v>925</v>
      </c>
      <c r="I942" s="16" t="s">
        <v>570</v>
      </c>
      <c r="J942" s="16" t="s">
        <v>111</v>
      </c>
      <c r="K942" s="16" t="s">
        <v>110</v>
      </c>
      <c r="L942" s="292">
        <v>0.5</v>
      </c>
      <c r="M942" s="71"/>
      <c r="N942" s="71" t="s">
        <v>1714</v>
      </c>
      <c r="O942" s="182"/>
      <c r="P942" s="156">
        <v>1</v>
      </c>
      <c r="Q942" s="292">
        <v>0.3</v>
      </c>
      <c r="R942" s="156"/>
      <c r="S942" s="156">
        <f t="shared" si="28"/>
        <v>0</v>
      </c>
      <c r="T942" s="155">
        <f t="shared" si="29"/>
        <v>0</v>
      </c>
      <c r="U942" s="16" t="s">
        <v>34</v>
      </c>
      <c r="V942" s="73"/>
      <c r="W942" s="73"/>
    </row>
    <row r="943" spans="1:23" ht="16.05" customHeight="1" x14ac:dyDescent="0.45">
      <c r="A943" s="1">
        <v>942</v>
      </c>
      <c r="B943" s="16" t="s">
        <v>924</v>
      </c>
      <c r="C943" s="16" t="s">
        <v>24</v>
      </c>
      <c r="D943" s="302">
        <v>3064</v>
      </c>
      <c r="E943" s="71" t="s">
        <v>1705</v>
      </c>
      <c r="F943" s="526" t="s">
        <v>1706</v>
      </c>
      <c r="G943" s="16">
        <v>6592</v>
      </c>
      <c r="H943" s="16" t="s">
        <v>925</v>
      </c>
      <c r="I943" s="16" t="s">
        <v>570</v>
      </c>
      <c r="J943" s="16" t="s">
        <v>111</v>
      </c>
      <c r="K943" s="16" t="s">
        <v>110</v>
      </c>
      <c r="L943" s="292">
        <v>0.5</v>
      </c>
      <c r="M943" s="71"/>
      <c r="N943" s="71" t="s">
        <v>1715</v>
      </c>
      <c r="O943" s="182"/>
      <c r="P943" s="156">
        <v>0.5</v>
      </c>
      <c r="Q943" s="292">
        <v>0.2</v>
      </c>
      <c r="R943" s="156"/>
      <c r="S943" s="156">
        <f t="shared" si="28"/>
        <v>0</v>
      </c>
      <c r="T943" s="155">
        <f t="shared" si="29"/>
        <v>0</v>
      </c>
      <c r="U943" s="16" t="s">
        <v>34</v>
      </c>
      <c r="V943" s="73"/>
      <c r="W943" s="73"/>
    </row>
    <row r="944" spans="1:23" ht="16.05" customHeight="1" x14ac:dyDescent="0.45">
      <c r="A944" s="1">
        <v>943</v>
      </c>
      <c r="B944" s="16" t="s">
        <v>924</v>
      </c>
      <c r="C944" s="16" t="s">
        <v>24</v>
      </c>
      <c r="D944" s="302">
        <v>3064</v>
      </c>
      <c r="E944" s="71" t="s">
        <v>1705</v>
      </c>
      <c r="F944" s="526" t="s">
        <v>1706</v>
      </c>
      <c r="G944" s="16">
        <v>6592</v>
      </c>
      <c r="H944" s="16" t="s">
        <v>925</v>
      </c>
      <c r="I944" s="16" t="s">
        <v>570</v>
      </c>
      <c r="J944" s="16" t="s">
        <v>111</v>
      </c>
      <c r="K944" s="16" t="s">
        <v>110</v>
      </c>
      <c r="L944" s="292">
        <v>0.5</v>
      </c>
      <c r="M944" s="71"/>
      <c r="N944" s="71" t="s">
        <v>1716</v>
      </c>
      <c r="O944" s="182"/>
      <c r="P944" s="156">
        <v>0.5</v>
      </c>
      <c r="Q944" s="292">
        <v>0.2</v>
      </c>
      <c r="R944" s="156"/>
      <c r="S944" s="156">
        <f t="shared" si="28"/>
        <v>0</v>
      </c>
      <c r="T944" s="155">
        <f t="shared" si="29"/>
        <v>0</v>
      </c>
      <c r="U944" s="16" t="s">
        <v>34</v>
      </c>
      <c r="V944" s="73"/>
      <c r="W944" s="73"/>
    </row>
    <row r="945" spans="1:23" ht="16.05" customHeight="1" x14ac:dyDescent="0.45">
      <c r="A945" s="1">
        <v>944</v>
      </c>
      <c r="B945" s="3" t="s">
        <v>924</v>
      </c>
      <c r="C945" s="527" t="s">
        <v>24</v>
      </c>
      <c r="D945" s="349">
        <v>5595</v>
      </c>
      <c r="E945" s="99" t="s">
        <v>1717</v>
      </c>
      <c r="F945" s="525" t="s">
        <v>605</v>
      </c>
      <c r="G945" s="525">
        <v>3064</v>
      </c>
      <c r="H945" s="528" t="s">
        <v>1718</v>
      </c>
      <c r="I945" s="525" t="s">
        <v>1719</v>
      </c>
      <c r="J945" s="3" t="s">
        <v>58</v>
      </c>
      <c r="K945" s="3" t="s">
        <v>57</v>
      </c>
      <c r="L945" s="350">
        <v>0.7</v>
      </c>
      <c r="M945" s="512" t="s">
        <v>1720</v>
      </c>
      <c r="N945" s="512" t="s">
        <v>1721</v>
      </c>
      <c r="O945" s="280" t="s">
        <v>1722</v>
      </c>
      <c r="P945" s="14">
        <v>0.95</v>
      </c>
      <c r="Q945" s="350">
        <v>0.15</v>
      </c>
      <c r="R945" s="14"/>
      <c r="S945" s="148">
        <f t="shared" si="28"/>
        <v>0</v>
      </c>
      <c r="T945" s="168">
        <f t="shared" si="29"/>
        <v>0</v>
      </c>
      <c r="U945" s="148" t="s">
        <v>34</v>
      </c>
      <c r="V945" s="278">
        <f>SUM(T945:T958)%</f>
        <v>0</v>
      </c>
      <c r="W945" s="146"/>
    </row>
    <row r="946" spans="1:23" ht="16.05" customHeight="1" x14ac:dyDescent="0.45">
      <c r="A946" s="1">
        <v>945</v>
      </c>
      <c r="B946" s="16" t="s">
        <v>924</v>
      </c>
      <c r="C946" s="57" t="s">
        <v>24</v>
      </c>
      <c r="D946" s="413">
        <v>5595</v>
      </c>
      <c r="E946" s="59" t="s">
        <v>1717</v>
      </c>
      <c r="F946" s="526" t="s">
        <v>605</v>
      </c>
      <c r="G946" s="526">
        <v>3064</v>
      </c>
      <c r="H946" s="529" t="s">
        <v>1718</v>
      </c>
      <c r="I946" s="526" t="s">
        <v>1719</v>
      </c>
      <c r="J946" s="184" t="s">
        <v>58</v>
      </c>
      <c r="K946" s="184" t="s">
        <v>57</v>
      </c>
      <c r="L946" s="360">
        <v>0.7</v>
      </c>
      <c r="M946" s="287" t="s">
        <v>1723</v>
      </c>
      <c r="N946" s="287" t="s">
        <v>1724</v>
      </c>
      <c r="O946" s="396" t="s">
        <v>1725</v>
      </c>
      <c r="P946" s="66">
        <v>0.95</v>
      </c>
      <c r="Q946" s="360">
        <v>0.15</v>
      </c>
      <c r="R946" s="66"/>
      <c r="S946" s="153">
        <f t="shared" si="28"/>
        <v>0</v>
      </c>
      <c r="T946" s="152">
        <f t="shared" si="29"/>
        <v>0</v>
      </c>
      <c r="U946" s="153" t="s">
        <v>34</v>
      </c>
      <c r="V946" s="35"/>
      <c r="W946" s="162"/>
    </row>
    <row r="947" spans="1:23" ht="16.05" customHeight="1" x14ac:dyDescent="0.45">
      <c r="A947" s="1">
        <v>946</v>
      </c>
      <c r="B947" s="16" t="s">
        <v>924</v>
      </c>
      <c r="C947" s="530" t="s">
        <v>24</v>
      </c>
      <c r="D947" s="413">
        <v>5595</v>
      </c>
      <c r="E947" s="59" t="s">
        <v>1717</v>
      </c>
      <c r="F947" s="526" t="s">
        <v>605</v>
      </c>
      <c r="G947" s="526">
        <v>3064</v>
      </c>
      <c r="H947" s="529" t="s">
        <v>1718</v>
      </c>
      <c r="I947" s="526" t="s">
        <v>1719</v>
      </c>
      <c r="J947" s="184" t="s">
        <v>58</v>
      </c>
      <c r="K947" s="184" t="s">
        <v>57</v>
      </c>
      <c r="L947" s="360">
        <v>0.7</v>
      </c>
      <c r="M947" s="396" t="s">
        <v>1726</v>
      </c>
      <c r="N947" s="287" t="s">
        <v>1727</v>
      </c>
      <c r="O947" s="287" t="s">
        <v>1728</v>
      </c>
      <c r="P947" s="35">
        <v>0.7</v>
      </c>
      <c r="Q947" s="360">
        <v>0.1</v>
      </c>
      <c r="R947" s="35"/>
      <c r="S947" s="153">
        <f t="shared" si="28"/>
        <v>0</v>
      </c>
      <c r="T947" s="152">
        <f t="shared" si="29"/>
        <v>0</v>
      </c>
      <c r="U947" s="153" t="s">
        <v>34</v>
      </c>
      <c r="V947" s="35"/>
      <c r="W947" s="162"/>
    </row>
    <row r="948" spans="1:23" ht="16.05" customHeight="1" x14ac:dyDescent="0.45">
      <c r="A948" s="1">
        <v>947</v>
      </c>
      <c r="B948" s="16" t="s">
        <v>924</v>
      </c>
      <c r="C948" s="57" t="s">
        <v>24</v>
      </c>
      <c r="D948" s="413">
        <v>5595</v>
      </c>
      <c r="E948" s="59" t="s">
        <v>1717</v>
      </c>
      <c r="F948" s="526" t="s">
        <v>605</v>
      </c>
      <c r="G948" s="526">
        <v>3064</v>
      </c>
      <c r="H948" s="529" t="s">
        <v>1718</v>
      </c>
      <c r="I948" s="526" t="s">
        <v>1719</v>
      </c>
      <c r="J948" s="184" t="s">
        <v>58</v>
      </c>
      <c r="K948" s="184" t="s">
        <v>57</v>
      </c>
      <c r="L948" s="360">
        <v>0.7</v>
      </c>
      <c r="M948" s="396" t="s">
        <v>1729</v>
      </c>
      <c r="N948" s="396" t="s">
        <v>1730</v>
      </c>
      <c r="O948" s="396" t="s">
        <v>1731</v>
      </c>
      <c r="P948" s="488">
        <v>0.05</v>
      </c>
      <c r="Q948" s="360">
        <v>0.08</v>
      </c>
      <c r="R948" s="488"/>
      <c r="S948" s="153">
        <f t="shared" si="28"/>
        <v>0</v>
      </c>
      <c r="T948" s="152">
        <f t="shared" si="29"/>
        <v>0</v>
      </c>
      <c r="U948" s="153" t="s">
        <v>34</v>
      </c>
      <c r="V948" s="35"/>
      <c r="W948" s="162"/>
    </row>
    <row r="949" spans="1:23" ht="16.05" customHeight="1" x14ac:dyDescent="0.45">
      <c r="A949" s="1">
        <v>948</v>
      </c>
      <c r="B949" s="16" t="s">
        <v>924</v>
      </c>
      <c r="C949" s="530" t="s">
        <v>24</v>
      </c>
      <c r="D949" s="413">
        <v>5595</v>
      </c>
      <c r="E949" s="59" t="s">
        <v>1717</v>
      </c>
      <c r="F949" s="526" t="s">
        <v>605</v>
      </c>
      <c r="G949" s="526">
        <v>3064</v>
      </c>
      <c r="H949" s="529" t="s">
        <v>1718</v>
      </c>
      <c r="I949" s="526" t="s">
        <v>1719</v>
      </c>
      <c r="J949" s="184" t="s">
        <v>58</v>
      </c>
      <c r="K949" s="184" t="s">
        <v>57</v>
      </c>
      <c r="L949" s="360">
        <v>0.7</v>
      </c>
      <c r="M949" s="287" t="s">
        <v>1732</v>
      </c>
      <c r="N949" s="287" t="s">
        <v>1733</v>
      </c>
      <c r="O949" s="287" t="s">
        <v>1734</v>
      </c>
      <c r="P949" s="66">
        <v>1</v>
      </c>
      <c r="Q949" s="360">
        <v>0.1</v>
      </c>
      <c r="R949" s="66"/>
      <c r="S949" s="153">
        <f t="shared" si="28"/>
        <v>0</v>
      </c>
      <c r="T949" s="152">
        <f t="shared" si="29"/>
        <v>0</v>
      </c>
      <c r="U949" s="153" t="s">
        <v>34</v>
      </c>
      <c r="V949" s="35"/>
      <c r="W949" s="162"/>
    </row>
    <row r="950" spans="1:23" ht="16.05" customHeight="1" x14ac:dyDescent="0.45">
      <c r="A950" s="1">
        <v>949</v>
      </c>
      <c r="B950" s="16" t="s">
        <v>924</v>
      </c>
      <c r="C950" s="57" t="s">
        <v>24</v>
      </c>
      <c r="D950" s="413">
        <v>5595</v>
      </c>
      <c r="E950" s="59" t="s">
        <v>1717</v>
      </c>
      <c r="F950" s="526" t="s">
        <v>605</v>
      </c>
      <c r="G950" s="526">
        <v>3064</v>
      </c>
      <c r="H950" s="529" t="s">
        <v>1718</v>
      </c>
      <c r="I950" s="526" t="s">
        <v>1719</v>
      </c>
      <c r="J950" s="184" t="s">
        <v>58</v>
      </c>
      <c r="K950" s="184" t="s">
        <v>57</v>
      </c>
      <c r="L950" s="360">
        <v>0.7</v>
      </c>
      <c r="M950" s="287" t="s">
        <v>624</v>
      </c>
      <c r="N950" s="287" t="s">
        <v>1735</v>
      </c>
      <c r="O950" s="287" t="s">
        <v>1736</v>
      </c>
      <c r="P950" s="485">
        <v>0.05</v>
      </c>
      <c r="Q950" s="360">
        <v>0.15</v>
      </c>
      <c r="R950" s="485"/>
      <c r="S950" s="153">
        <f t="shared" si="28"/>
        <v>0</v>
      </c>
      <c r="T950" s="152">
        <f t="shared" si="29"/>
        <v>0</v>
      </c>
      <c r="U950" s="153" t="s">
        <v>83</v>
      </c>
      <c r="V950" s="35"/>
      <c r="W950" s="162"/>
    </row>
    <row r="951" spans="1:23" ht="16.05" customHeight="1" x14ac:dyDescent="0.45">
      <c r="A951" s="1">
        <v>950</v>
      </c>
      <c r="B951" s="16" t="s">
        <v>924</v>
      </c>
      <c r="C951" s="530" t="s">
        <v>24</v>
      </c>
      <c r="D951" s="413">
        <v>5595</v>
      </c>
      <c r="E951" s="59" t="s">
        <v>1717</v>
      </c>
      <c r="F951" s="526" t="s">
        <v>605</v>
      </c>
      <c r="G951" s="526">
        <v>3064</v>
      </c>
      <c r="H951" s="529" t="s">
        <v>1718</v>
      </c>
      <c r="I951" s="526" t="s">
        <v>1719</v>
      </c>
      <c r="J951" s="184" t="s">
        <v>58</v>
      </c>
      <c r="K951" s="184" t="s">
        <v>57</v>
      </c>
      <c r="L951" s="360">
        <v>0.7</v>
      </c>
      <c r="M951" s="287" t="s">
        <v>1737</v>
      </c>
      <c r="N951" s="287" t="s">
        <v>1738</v>
      </c>
      <c r="O951" s="287" t="s">
        <v>1739</v>
      </c>
      <c r="P951" s="485">
        <v>0.05</v>
      </c>
      <c r="Q951" s="360">
        <v>0.1</v>
      </c>
      <c r="R951" s="485"/>
      <c r="S951" s="153">
        <f t="shared" si="28"/>
        <v>0</v>
      </c>
      <c r="T951" s="152">
        <f t="shared" si="29"/>
        <v>0</v>
      </c>
      <c r="U951" s="153" t="s">
        <v>34</v>
      </c>
      <c r="V951" s="35"/>
      <c r="W951" s="162"/>
    </row>
    <row r="952" spans="1:23" ht="16.05" customHeight="1" x14ac:dyDescent="0.45">
      <c r="A952" s="1">
        <v>951</v>
      </c>
      <c r="B952" s="16" t="s">
        <v>924</v>
      </c>
      <c r="C952" s="57" t="s">
        <v>24</v>
      </c>
      <c r="D952" s="413">
        <v>5595</v>
      </c>
      <c r="E952" s="59" t="s">
        <v>1717</v>
      </c>
      <c r="F952" s="526" t="s">
        <v>605</v>
      </c>
      <c r="G952" s="526">
        <v>3064</v>
      </c>
      <c r="H952" s="529" t="s">
        <v>1718</v>
      </c>
      <c r="I952" s="526" t="s">
        <v>1719</v>
      </c>
      <c r="J952" s="184" t="s">
        <v>58</v>
      </c>
      <c r="K952" s="184" t="s">
        <v>57</v>
      </c>
      <c r="L952" s="360">
        <v>0.7</v>
      </c>
      <c r="M952" s="287" t="s">
        <v>1740</v>
      </c>
      <c r="N952" s="287" t="s">
        <v>1741</v>
      </c>
      <c r="O952" s="287" t="s">
        <v>1742</v>
      </c>
      <c r="P952" s="485">
        <v>0.9</v>
      </c>
      <c r="Q952" s="360">
        <v>0.12</v>
      </c>
      <c r="R952" s="485"/>
      <c r="S952" s="153">
        <f t="shared" si="28"/>
        <v>0</v>
      </c>
      <c r="T952" s="152">
        <f t="shared" si="29"/>
        <v>0</v>
      </c>
      <c r="U952" s="153" t="s">
        <v>34</v>
      </c>
      <c r="V952" s="35"/>
      <c r="W952" s="162"/>
    </row>
    <row r="953" spans="1:23" ht="16.05" customHeight="1" x14ac:dyDescent="0.45">
      <c r="A953" s="1">
        <v>952</v>
      </c>
      <c r="B953" s="16" t="s">
        <v>924</v>
      </c>
      <c r="C953" s="530" t="s">
        <v>24</v>
      </c>
      <c r="D953" s="413">
        <v>5595</v>
      </c>
      <c r="E953" s="59" t="s">
        <v>1717</v>
      </c>
      <c r="F953" s="526" t="s">
        <v>605</v>
      </c>
      <c r="G953" s="526">
        <v>3064</v>
      </c>
      <c r="H953" s="529" t="s">
        <v>1718</v>
      </c>
      <c r="I953" s="526" t="s">
        <v>1719</v>
      </c>
      <c r="J953" s="184" t="s">
        <v>58</v>
      </c>
      <c r="K953" s="184" t="s">
        <v>57</v>
      </c>
      <c r="L953" s="360">
        <v>0.7</v>
      </c>
      <c r="M953" s="287" t="s">
        <v>1743</v>
      </c>
      <c r="N953" s="287" t="s">
        <v>1744</v>
      </c>
      <c r="O953" s="287" t="s">
        <v>1745</v>
      </c>
      <c r="P953" s="485">
        <v>1</v>
      </c>
      <c r="Q953" s="360">
        <v>0.05</v>
      </c>
      <c r="R953" s="485"/>
      <c r="S953" s="153">
        <f t="shared" si="28"/>
        <v>0</v>
      </c>
      <c r="T953" s="152">
        <f t="shared" si="29"/>
        <v>0</v>
      </c>
      <c r="U953" s="153" t="s">
        <v>34</v>
      </c>
      <c r="V953" s="35"/>
      <c r="W953" s="162"/>
    </row>
    <row r="954" spans="1:23" ht="16.05" customHeight="1" x14ac:dyDescent="0.45">
      <c r="A954" s="1">
        <v>953</v>
      </c>
      <c r="B954" s="16" t="s">
        <v>924</v>
      </c>
      <c r="C954" s="57" t="s">
        <v>24</v>
      </c>
      <c r="D954" s="413">
        <v>5595</v>
      </c>
      <c r="E954" s="59" t="s">
        <v>1717</v>
      </c>
      <c r="F954" s="526" t="s">
        <v>605</v>
      </c>
      <c r="G954" s="526">
        <v>3064</v>
      </c>
      <c r="H954" s="529" t="s">
        <v>1718</v>
      </c>
      <c r="I954" s="526" t="s">
        <v>1719</v>
      </c>
      <c r="J954" s="16" t="s">
        <v>111</v>
      </c>
      <c r="K954" s="16" t="s">
        <v>110</v>
      </c>
      <c r="L954" s="418">
        <v>0.3</v>
      </c>
      <c r="M954" s="333" t="s">
        <v>1746</v>
      </c>
      <c r="N954" s="333" t="s">
        <v>1747</v>
      </c>
      <c r="O954" s="333"/>
      <c r="P954" s="474">
        <v>1</v>
      </c>
      <c r="Q954" s="418">
        <v>0.1</v>
      </c>
      <c r="R954" s="474"/>
      <c r="S954" s="156">
        <f t="shared" si="28"/>
        <v>0</v>
      </c>
      <c r="T954" s="155">
        <f t="shared" si="29"/>
        <v>0</v>
      </c>
      <c r="U954" s="134" t="s">
        <v>34</v>
      </c>
      <c r="V954" s="134"/>
      <c r="W954" s="162"/>
    </row>
    <row r="955" spans="1:23" ht="16.05" customHeight="1" x14ac:dyDescent="0.45">
      <c r="A955" s="1">
        <v>954</v>
      </c>
      <c r="B955" s="16" t="s">
        <v>924</v>
      </c>
      <c r="C955" s="530" t="s">
        <v>24</v>
      </c>
      <c r="D955" s="531">
        <v>5595</v>
      </c>
      <c r="E955" s="532" t="s">
        <v>1717</v>
      </c>
      <c r="F955" s="533" t="s">
        <v>605</v>
      </c>
      <c r="G955" s="533">
        <v>3064</v>
      </c>
      <c r="H955" s="534" t="s">
        <v>1718</v>
      </c>
      <c r="I955" s="533" t="s">
        <v>1719</v>
      </c>
      <c r="J955" s="16" t="s">
        <v>111</v>
      </c>
      <c r="K955" s="16" t="s">
        <v>110</v>
      </c>
      <c r="L955" s="535">
        <v>0.3</v>
      </c>
      <c r="M955" s="536" t="s">
        <v>1748</v>
      </c>
      <c r="N955" s="537" t="s">
        <v>1749</v>
      </c>
      <c r="O955" s="537"/>
      <c r="P955" s="538">
        <v>0.7</v>
      </c>
      <c r="Q955" s="535">
        <v>0.3</v>
      </c>
      <c r="R955" s="538"/>
      <c r="S955" s="539">
        <f t="shared" si="28"/>
        <v>0</v>
      </c>
      <c r="T955" s="540">
        <f t="shared" si="29"/>
        <v>0</v>
      </c>
      <c r="U955" s="541" t="s">
        <v>34</v>
      </c>
      <c r="V955" s="541"/>
      <c r="W955" s="73"/>
    </row>
    <row r="956" spans="1:23" ht="16.05" customHeight="1" x14ac:dyDescent="0.45">
      <c r="A956" s="1">
        <v>955</v>
      </c>
      <c r="B956" s="16" t="s">
        <v>924</v>
      </c>
      <c r="C956" s="57" t="s">
        <v>24</v>
      </c>
      <c r="D956" s="413">
        <v>5595</v>
      </c>
      <c r="E956" s="59" t="s">
        <v>1717</v>
      </c>
      <c r="F956" s="526" t="s">
        <v>605</v>
      </c>
      <c r="G956" s="526">
        <v>3064</v>
      </c>
      <c r="H956" s="529" t="s">
        <v>1718</v>
      </c>
      <c r="I956" s="526" t="s">
        <v>1719</v>
      </c>
      <c r="J956" s="16" t="s">
        <v>111</v>
      </c>
      <c r="K956" s="16" t="s">
        <v>110</v>
      </c>
      <c r="L956" s="418">
        <v>0.3</v>
      </c>
      <c r="M956" s="446" t="s">
        <v>1750</v>
      </c>
      <c r="N956" s="542" t="s">
        <v>1751</v>
      </c>
      <c r="O956" s="542"/>
      <c r="P956" s="422">
        <v>0.8</v>
      </c>
      <c r="Q956" s="418">
        <v>0.2</v>
      </c>
      <c r="R956" s="422"/>
      <c r="S956" s="156">
        <f t="shared" si="28"/>
        <v>0</v>
      </c>
      <c r="T956" s="155">
        <f t="shared" si="29"/>
        <v>0</v>
      </c>
      <c r="U956" s="134" t="s">
        <v>34</v>
      </c>
      <c r="V956" s="134"/>
      <c r="W956" s="73"/>
    </row>
    <row r="957" spans="1:23" ht="16.05" customHeight="1" x14ac:dyDescent="0.45">
      <c r="A957" s="1">
        <v>956</v>
      </c>
      <c r="B957" s="16" t="s">
        <v>924</v>
      </c>
      <c r="C957" s="530" t="s">
        <v>24</v>
      </c>
      <c r="D957" s="531">
        <v>5595</v>
      </c>
      <c r="E957" s="532" t="s">
        <v>1717</v>
      </c>
      <c r="F957" s="533" t="s">
        <v>605</v>
      </c>
      <c r="G957" s="533">
        <v>3064</v>
      </c>
      <c r="H957" s="534" t="s">
        <v>1718</v>
      </c>
      <c r="I957" s="533" t="s">
        <v>1719</v>
      </c>
      <c r="J957" s="16" t="s">
        <v>111</v>
      </c>
      <c r="K957" s="16" t="s">
        <v>110</v>
      </c>
      <c r="L957" s="535">
        <v>0.3</v>
      </c>
      <c r="M957" s="536" t="s">
        <v>1752</v>
      </c>
      <c r="N957" s="537" t="s">
        <v>1753</v>
      </c>
      <c r="O957" s="537"/>
      <c r="P957" s="538">
        <v>1</v>
      </c>
      <c r="Q957" s="535">
        <v>0.3</v>
      </c>
      <c r="R957" s="538"/>
      <c r="S957" s="539">
        <f t="shared" si="28"/>
        <v>0</v>
      </c>
      <c r="T957" s="540">
        <f t="shared" si="29"/>
        <v>0</v>
      </c>
      <c r="U957" s="541" t="s">
        <v>34</v>
      </c>
      <c r="V957" s="541"/>
      <c r="W957" s="73"/>
    </row>
    <row r="958" spans="1:23" ht="16.05" customHeight="1" x14ac:dyDescent="0.45">
      <c r="A958" s="1">
        <v>957</v>
      </c>
      <c r="B958" s="16" t="s">
        <v>924</v>
      </c>
      <c r="C958" s="57" t="s">
        <v>24</v>
      </c>
      <c r="D958" s="413">
        <v>5595</v>
      </c>
      <c r="E958" s="59" t="s">
        <v>1717</v>
      </c>
      <c r="F958" s="526" t="s">
        <v>605</v>
      </c>
      <c r="G958" s="526">
        <v>3064</v>
      </c>
      <c r="H958" s="529" t="s">
        <v>1718</v>
      </c>
      <c r="I958" s="526" t="s">
        <v>1719</v>
      </c>
      <c r="J958" s="16" t="s">
        <v>111</v>
      </c>
      <c r="K958" s="16" t="s">
        <v>110</v>
      </c>
      <c r="L958" s="418">
        <v>0.3</v>
      </c>
      <c r="M958" s="446" t="s">
        <v>1754</v>
      </c>
      <c r="N958" s="542" t="s">
        <v>1755</v>
      </c>
      <c r="O958" s="542"/>
      <c r="P958" s="422">
        <v>1</v>
      </c>
      <c r="Q958" s="418">
        <v>0.1</v>
      </c>
      <c r="R958" s="422"/>
      <c r="S958" s="156">
        <f t="shared" si="28"/>
        <v>0</v>
      </c>
      <c r="T958" s="155">
        <f t="shared" si="29"/>
        <v>0</v>
      </c>
      <c r="U958" s="134" t="s">
        <v>34</v>
      </c>
      <c r="V958" s="134"/>
      <c r="W958" s="73"/>
    </row>
    <row r="959" spans="1:23" ht="16.05" customHeight="1" x14ac:dyDescent="0.45">
      <c r="A959" s="1">
        <v>958</v>
      </c>
      <c r="B959" s="3" t="s">
        <v>924</v>
      </c>
      <c r="C959" s="527" t="s">
        <v>24</v>
      </c>
      <c r="D959" s="349">
        <v>3073</v>
      </c>
      <c r="E959" s="99" t="s">
        <v>1756</v>
      </c>
      <c r="F959" s="525" t="s">
        <v>1757</v>
      </c>
      <c r="G959" s="525">
        <v>3064</v>
      </c>
      <c r="H959" s="528" t="s">
        <v>1718</v>
      </c>
      <c r="I959" s="525" t="s">
        <v>1758</v>
      </c>
      <c r="J959" s="3" t="s">
        <v>58</v>
      </c>
      <c r="K959" s="3" t="s">
        <v>57</v>
      </c>
      <c r="L959" s="350">
        <v>0.7</v>
      </c>
      <c r="M959" s="512" t="s">
        <v>1720</v>
      </c>
      <c r="N959" s="512" t="s">
        <v>1721</v>
      </c>
      <c r="O959" s="543" t="s">
        <v>1722</v>
      </c>
      <c r="P959" s="103">
        <v>0.95</v>
      </c>
      <c r="Q959" s="350">
        <v>0.15</v>
      </c>
      <c r="R959" s="103"/>
      <c r="S959" s="148">
        <f t="shared" si="28"/>
        <v>0</v>
      </c>
      <c r="T959" s="168">
        <f t="shared" si="29"/>
        <v>0</v>
      </c>
      <c r="U959" s="148" t="s">
        <v>34</v>
      </c>
      <c r="V959" s="278">
        <f>SUM(T959:T968)%</f>
        <v>0</v>
      </c>
      <c r="W959" s="146"/>
    </row>
    <row r="960" spans="1:23" ht="16.05" customHeight="1" x14ac:dyDescent="0.45">
      <c r="A960" s="1">
        <v>959</v>
      </c>
      <c r="B960" s="16" t="s">
        <v>924</v>
      </c>
      <c r="C960" s="57" t="s">
        <v>24</v>
      </c>
      <c r="D960" s="413">
        <v>3073</v>
      </c>
      <c r="E960" s="59" t="s">
        <v>1756</v>
      </c>
      <c r="F960" s="526" t="s">
        <v>1757</v>
      </c>
      <c r="G960" s="526">
        <v>3064</v>
      </c>
      <c r="H960" s="529" t="s">
        <v>1718</v>
      </c>
      <c r="I960" s="526" t="s">
        <v>1758</v>
      </c>
      <c r="J960" s="184" t="s">
        <v>58</v>
      </c>
      <c r="K960" s="184" t="s">
        <v>57</v>
      </c>
      <c r="L960" s="360">
        <v>0.7</v>
      </c>
      <c r="M960" s="287" t="s">
        <v>1723</v>
      </c>
      <c r="N960" s="287" t="s">
        <v>1724</v>
      </c>
      <c r="O960" s="544" t="s">
        <v>1725</v>
      </c>
      <c r="P960" s="62">
        <v>0.95</v>
      </c>
      <c r="Q960" s="360">
        <v>0.15</v>
      </c>
      <c r="R960" s="62"/>
      <c r="S960" s="153">
        <f t="shared" si="28"/>
        <v>0</v>
      </c>
      <c r="T960" s="152">
        <f t="shared" si="29"/>
        <v>0</v>
      </c>
      <c r="U960" s="153" t="s">
        <v>34</v>
      </c>
      <c r="V960" s="35"/>
      <c r="W960" s="162"/>
    </row>
    <row r="961" spans="1:23" ht="16.05" customHeight="1" x14ac:dyDescent="0.45">
      <c r="A961" s="1">
        <v>960</v>
      </c>
      <c r="B961" s="16" t="s">
        <v>924</v>
      </c>
      <c r="C961" s="530" t="s">
        <v>24</v>
      </c>
      <c r="D961" s="413">
        <v>3073</v>
      </c>
      <c r="E961" s="59" t="s">
        <v>1756</v>
      </c>
      <c r="F961" s="526" t="s">
        <v>1757</v>
      </c>
      <c r="G961" s="526">
        <v>3064</v>
      </c>
      <c r="H961" s="529" t="s">
        <v>1718</v>
      </c>
      <c r="I961" s="526" t="s">
        <v>1758</v>
      </c>
      <c r="J961" s="184" t="s">
        <v>58</v>
      </c>
      <c r="K961" s="184" t="s">
        <v>57</v>
      </c>
      <c r="L961" s="360">
        <v>0.7</v>
      </c>
      <c r="M961" s="445" t="s">
        <v>1726</v>
      </c>
      <c r="N961" s="544" t="s">
        <v>1727</v>
      </c>
      <c r="O961" s="544" t="s">
        <v>1728</v>
      </c>
      <c r="P961" s="62">
        <v>0.7</v>
      </c>
      <c r="Q961" s="360">
        <v>0.1</v>
      </c>
      <c r="R961" s="62"/>
      <c r="S961" s="153">
        <f t="shared" si="28"/>
        <v>0</v>
      </c>
      <c r="T961" s="152">
        <f t="shared" si="29"/>
        <v>0</v>
      </c>
      <c r="U961" s="153" t="s">
        <v>34</v>
      </c>
      <c r="V961" s="35"/>
      <c r="W961" s="162"/>
    </row>
    <row r="962" spans="1:23" ht="16.05" customHeight="1" x14ac:dyDescent="0.45">
      <c r="A962" s="1">
        <v>961</v>
      </c>
      <c r="B962" s="16" t="s">
        <v>924</v>
      </c>
      <c r="C962" s="57" t="s">
        <v>24</v>
      </c>
      <c r="D962" s="413">
        <v>3073</v>
      </c>
      <c r="E962" s="59" t="s">
        <v>1756</v>
      </c>
      <c r="F962" s="526" t="s">
        <v>1757</v>
      </c>
      <c r="G962" s="526">
        <v>3064</v>
      </c>
      <c r="H962" s="529" t="s">
        <v>1718</v>
      </c>
      <c r="I962" s="526" t="s">
        <v>1758</v>
      </c>
      <c r="J962" s="184" t="s">
        <v>58</v>
      </c>
      <c r="K962" s="184" t="s">
        <v>57</v>
      </c>
      <c r="L962" s="360">
        <v>0.7</v>
      </c>
      <c r="M962" s="445" t="s">
        <v>1729</v>
      </c>
      <c r="N962" s="544" t="s">
        <v>1730</v>
      </c>
      <c r="O962" s="544" t="s">
        <v>1731</v>
      </c>
      <c r="P962" s="62">
        <v>0.05</v>
      </c>
      <c r="Q962" s="360">
        <v>0.08</v>
      </c>
      <c r="R962" s="62"/>
      <c r="S962" s="153">
        <f t="shared" ref="S962:S1025" si="30">ROUND(IF(OR(P962="",R962=""),0,IF(AND(P962=0,R962=0),1,IF(U962="+",R962/P962,P962/R962))),2)</f>
        <v>0</v>
      </c>
      <c r="T962" s="152">
        <f t="shared" ref="T962:T1025" si="31">IF(AND(S962&gt;=60%,S962&lt;100%),S962*((Q962*L962)),IF(S962=100%,((Q962*L962)*S962)*100%,IF(S962&gt;100%,((L962*Q962)*100%)*100%,0)))*100</f>
        <v>0</v>
      </c>
      <c r="U962" s="153" t="s">
        <v>34</v>
      </c>
      <c r="V962" s="35"/>
      <c r="W962" s="162"/>
    </row>
    <row r="963" spans="1:23" ht="16.05" customHeight="1" x14ac:dyDescent="0.45">
      <c r="A963" s="1">
        <v>962</v>
      </c>
      <c r="B963" s="16" t="s">
        <v>924</v>
      </c>
      <c r="C963" s="530" t="s">
        <v>24</v>
      </c>
      <c r="D963" s="413">
        <v>3073</v>
      </c>
      <c r="E963" s="59" t="s">
        <v>1756</v>
      </c>
      <c r="F963" s="526" t="s">
        <v>1757</v>
      </c>
      <c r="G963" s="526">
        <v>3064</v>
      </c>
      <c r="H963" s="529" t="s">
        <v>1718</v>
      </c>
      <c r="I963" s="526" t="s">
        <v>1758</v>
      </c>
      <c r="J963" s="184" t="s">
        <v>58</v>
      </c>
      <c r="K963" s="184" t="s">
        <v>57</v>
      </c>
      <c r="L963" s="360">
        <v>0.7</v>
      </c>
      <c r="M963" s="445" t="s">
        <v>1732</v>
      </c>
      <c r="N963" s="544" t="s">
        <v>1733</v>
      </c>
      <c r="O963" s="544" t="s">
        <v>1734</v>
      </c>
      <c r="P963" s="62">
        <v>1</v>
      </c>
      <c r="Q963" s="360">
        <v>0.1</v>
      </c>
      <c r="R963" s="62"/>
      <c r="S963" s="153">
        <f t="shared" si="30"/>
        <v>0</v>
      </c>
      <c r="T963" s="152">
        <f t="shared" si="31"/>
        <v>0</v>
      </c>
      <c r="U963" s="153" t="s">
        <v>34</v>
      </c>
      <c r="V963" s="35"/>
      <c r="W963" s="162"/>
    </row>
    <row r="964" spans="1:23" ht="16.05" customHeight="1" x14ac:dyDescent="0.45">
      <c r="A964" s="1">
        <v>963</v>
      </c>
      <c r="B964" s="16" t="s">
        <v>924</v>
      </c>
      <c r="C964" s="57" t="s">
        <v>24</v>
      </c>
      <c r="D964" s="413">
        <v>3073</v>
      </c>
      <c r="E964" s="59" t="s">
        <v>1756</v>
      </c>
      <c r="F964" s="526" t="s">
        <v>1757</v>
      </c>
      <c r="G964" s="526">
        <v>3064</v>
      </c>
      <c r="H964" s="529" t="s">
        <v>1718</v>
      </c>
      <c r="I964" s="526" t="s">
        <v>1758</v>
      </c>
      <c r="J964" s="184" t="s">
        <v>58</v>
      </c>
      <c r="K964" s="184" t="s">
        <v>57</v>
      </c>
      <c r="L964" s="360">
        <v>0.7</v>
      </c>
      <c r="M964" s="445" t="s">
        <v>624</v>
      </c>
      <c r="N964" s="544" t="s">
        <v>1735</v>
      </c>
      <c r="O964" s="544" t="s">
        <v>1736</v>
      </c>
      <c r="P964" s="62">
        <v>0.05</v>
      </c>
      <c r="Q964" s="360">
        <v>0.15</v>
      </c>
      <c r="R964" s="62"/>
      <c r="S964" s="153">
        <f t="shared" si="30"/>
        <v>0</v>
      </c>
      <c r="T964" s="152">
        <f t="shared" si="31"/>
        <v>0</v>
      </c>
      <c r="U964" s="153" t="s">
        <v>83</v>
      </c>
      <c r="V964" s="35"/>
      <c r="W964" s="162"/>
    </row>
    <row r="965" spans="1:23" ht="16.05" customHeight="1" x14ac:dyDescent="0.45">
      <c r="A965" s="1">
        <v>964</v>
      </c>
      <c r="B965" s="16" t="s">
        <v>924</v>
      </c>
      <c r="C965" s="530" t="s">
        <v>24</v>
      </c>
      <c r="D965" s="413">
        <v>3073</v>
      </c>
      <c r="E965" s="59" t="s">
        <v>1756</v>
      </c>
      <c r="F965" s="526" t="s">
        <v>1757</v>
      </c>
      <c r="G965" s="526">
        <v>3064</v>
      </c>
      <c r="H965" s="529" t="s">
        <v>1718</v>
      </c>
      <c r="I965" s="526" t="s">
        <v>1758</v>
      </c>
      <c r="J965" s="184" t="s">
        <v>58</v>
      </c>
      <c r="K965" s="184" t="s">
        <v>57</v>
      </c>
      <c r="L965" s="360">
        <v>0.7</v>
      </c>
      <c r="M965" s="445" t="s">
        <v>1737</v>
      </c>
      <c r="N965" s="544" t="s">
        <v>1738</v>
      </c>
      <c r="O965" s="544" t="s">
        <v>1739</v>
      </c>
      <c r="P965" s="62">
        <v>0.05</v>
      </c>
      <c r="Q965" s="360">
        <v>0.1</v>
      </c>
      <c r="R965" s="62"/>
      <c r="S965" s="153">
        <f t="shared" si="30"/>
        <v>0</v>
      </c>
      <c r="T965" s="152">
        <f t="shared" si="31"/>
        <v>0</v>
      </c>
      <c r="U965" s="153" t="s">
        <v>34</v>
      </c>
      <c r="V965" s="35"/>
      <c r="W965" s="162"/>
    </row>
    <row r="966" spans="1:23" ht="16.05" customHeight="1" x14ac:dyDescent="0.45">
      <c r="A966" s="1">
        <v>965</v>
      </c>
      <c r="B966" s="16" t="s">
        <v>924</v>
      </c>
      <c r="C966" s="57" t="s">
        <v>24</v>
      </c>
      <c r="D966" s="413">
        <v>3073</v>
      </c>
      <c r="E966" s="59" t="s">
        <v>1756</v>
      </c>
      <c r="F966" s="526" t="s">
        <v>1757</v>
      </c>
      <c r="G966" s="526">
        <v>3064</v>
      </c>
      <c r="H966" s="529" t="s">
        <v>1718</v>
      </c>
      <c r="I966" s="526" t="s">
        <v>1758</v>
      </c>
      <c r="J966" s="184" t="s">
        <v>58</v>
      </c>
      <c r="K966" s="184" t="s">
        <v>57</v>
      </c>
      <c r="L966" s="360">
        <v>0.7</v>
      </c>
      <c r="M966" s="445" t="s">
        <v>1740</v>
      </c>
      <c r="N966" s="544" t="s">
        <v>1741</v>
      </c>
      <c r="O966" s="544" t="s">
        <v>1742</v>
      </c>
      <c r="P966" s="62">
        <v>0.9</v>
      </c>
      <c r="Q966" s="360">
        <v>0.12</v>
      </c>
      <c r="R966" s="62"/>
      <c r="S966" s="153">
        <f t="shared" si="30"/>
        <v>0</v>
      </c>
      <c r="T966" s="152">
        <f t="shared" si="31"/>
        <v>0</v>
      </c>
      <c r="U966" s="153" t="s">
        <v>34</v>
      </c>
      <c r="V966" s="35"/>
      <c r="W966" s="162"/>
    </row>
    <row r="967" spans="1:23" ht="16.05" customHeight="1" x14ac:dyDescent="0.45">
      <c r="A967" s="1">
        <v>966</v>
      </c>
      <c r="B967" s="16" t="s">
        <v>924</v>
      </c>
      <c r="C967" s="530" t="s">
        <v>24</v>
      </c>
      <c r="D967" s="413">
        <v>3073</v>
      </c>
      <c r="E967" s="59" t="s">
        <v>1756</v>
      </c>
      <c r="F967" s="526" t="s">
        <v>1757</v>
      </c>
      <c r="G967" s="526">
        <v>3064</v>
      </c>
      <c r="H967" s="529" t="s">
        <v>1718</v>
      </c>
      <c r="I967" s="526" t="s">
        <v>1758</v>
      </c>
      <c r="J967" s="184" t="s">
        <v>58</v>
      </c>
      <c r="K967" s="184" t="s">
        <v>57</v>
      </c>
      <c r="L967" s="360">
        <v>0.7</v>
      </c>
      <c r="M967" s="445" t="s">
        <v>1743</v>
      </c>
      <c r="N967" s="544" t="s">
        <v>1744</v>
      </c>
      <c r="O967" s="544" t="s">
        <v>1745</v>
      </c>
      <c r="P967" s="62">
        <v>1</v>
      </c>
      <c r="Q967" s="360">
        <v>0.05</v>
      </c>
      <c r="R967" s="62"/>
      <c r="S967" s="153">
        <f t="shared" si="30"/>
        <v>0</v>
      </c>
      <c r="T967" s="152">
        <f t="shared" si="31"/>
        <v>0</v>
      </c>
      <c r="U967" s="153" t="s">
        <v>34</v>
      </c>
      <c r="V967" s="35"/>
      <c r="W967" s="162"/>
    </row>
    <row r="968" spans="1:23" ht="16.05" customHeight="1" x14ac:dyDescent="0.45">
      <c r="A968" s="1">
        <v>967</v>
      </c>
      <c r="B968" s="16" t="s">
        <v>924</v>
      </c>
      <c r="C968" s="57" t="s">
        <v>24</v>
      </c>
      <c r="D968" s="413">
        <v>3073</v>
      </c>
      <c r="E968" s="59" t="s">
        <v>1756</v>
      </c>
      <c r="F968" s="526" t="s">
        <v>1757</v>
      </c>
      <c r="G968" s="526">
        <v>3064</v>
      </c>
      <c r="H968" s="529" t="s">
        <v>1718</v>
      </c>
      <c r="I968" s="526" t="s">
        <v>1758</v>
      </c>
      <c r="J968" s="16" t="s">
        <v>111</v>
      </c>
      <c r="K968" s="16" t="s">
        <v>110</v>
      </c>
      <c r="L968" s="418">
        <v>0.3</v>
      </c>
      <c r="M968" s="446" t="s">
        <v>1759</v>
      </c>
      <c r="N968" s="542" t="s">
        <v>1760</v>
      </c>
      <c r="O968" s="542"/>
      <c r="P968" s="422">
        <v>1</v>
      </c>
      <c r="Q968" s="418">
        <v>1</v>
      </c>
      <c r="R968" s="422"/>
      <c r="S968" s="156">
        <f t="shared" si="30"/>
        <v>0</v>
      </c>
      <c r="T968" s="155">
        <f t="shared" si="31"/>
        <v>0</v>
      </c>
      <c r="U968" s="134" t="s">
        <v>34</v>
      </c>
      <c r="V968" s="134"/>
      <c r="W968" s="73"/>
    </row>
    <row r="969" spans="1:23" ht="16.05" customHeight="1" x14ac:dyDescent="0.45">
      <c r="A969" s="1">
        <v>968</v>
      </c>
      <c r="B969" s="3" t="s">
        <v>924</v>
      </c>
      <c r="C969" s="527" t="s">
        <v>24</v>
      </c>
      <c r="D969" s="349">
        <v>5217</v>
      </c>
      <c r="E969" s="99" t="s">
        <v>1761</v>
      </c>
      <c r="F969" s="525" t="s">
        <v>1762</v>
      </c>
      <c r="G969" s="525">
        <v>3064</v>
      </c>
      <c r="H969" s="528" t="s">
        <v>1718</v>
      </c>
      <c r="I969" s="525" t="s">
        <v>1763</v>
      </c>
      <c r="J969" s="3" t="s">
        <v>58</v>
      </c>
      <c r="K969" s="3" t="s">
        <v>57</v>
      </c>
      <c r="L969" s="350">
        <v>0.7</v>
      </c>
      <c r="M969" s="512" t="s">
        <v>1720</v>
      </c>
      <c r="N969" s="512" t="s">
        <v>1721</v>
      </c>
      <c r="O969" s="543" t="s">
        <v>1722</v>
      </c>
      <c r="P969" s="103">
        <v>0.95</v>
      </c>
      <c r="Q969" s="350">
        <v>0.15</v>
      </c>
      <c r="R969" s="103"/>
      <c r="S969" s="148">
        <f t="shared" si="30"/>
        <v>0</v>
      </c>
      <c r="T969" s="168">
        <f t="shared" si="31"/>
        <v>0</v>
      </c>
      <c r="U969" s="148" t="s">
        <v>34</v>
      </c>
      <c r="V969" s="278">
        <f>SUM(T969:T982)%</f>
        <v>0</v>
      </c>
      <c r="W969" s="146"/>
    </row>
    <row r="970" spans="1:23" ht="16.05" customHeight="1" x14ac:dyDescent="0.45">
      <c r="A970" s="1">
        <v>969</v>
      </c>
      <c r="B970" s="16" t="s">
        <v>924</v>
      </c>
      <c r="C970" s="57" t="s">
        <v>24</v>
      </c>
      <c r="D970" s="413">
        <v>5217</v>
      </c>
      <c r="E970" s="59" t="s">
        <v>1761</v>
      </c>
      <c r="F970" s="526" t="s">
        <v>1762</v>
      </c>
      <c r="G970" s="526">
        <v>3064</v>
      </c>
      <c r="H970" s="529" t="s">
        <v>1718</v>
      </c>
      <c r="I970" s="526" t="s">
        <v>1763</v>
      </c>
      <c r="J970" s="184" t="s">
        <v>58</v>
      </c>
      <c r="K970" s="184" t="s">
        <v>57</v>
      </c>
      <c r="L970" s="360">
        <v>0.7</v>
      </c>
      <c r="M970" s="287" t="s">
        <v>1723</v>
      </c>
      <c r="N970" s="287" t="s">
        <v>1724</v>
      </c>
      <c r="O970" s="544" t="s">
        <v>1725</v>
      </c>
      <c r="P970" s="62">
        <v>0.95</v>
      </c>
      <c r="Q970" s="360">
        <v>0.15</v>
      </c>
      <c r="R970" s="62"/>
      <c r="S970" s="153">
        <f t="shared" si="30"/>
        <v>0</v>
      </c>
      <c r="T970" s="152">
        <f t="shared" si="31"/>
        <v>0</v>
      </c>
      <c r="U970" s="153" t="s">
        <v>34</v>
      </c>
      <c r="V970" s="35"/>
      <c r="W970" s="162"/>
    </row>
    <row r="971" spans="1:23" ht="16.05" customHeight="1" x14ac:dyDescent="0.45">
      <c r="A971" s="1">
        <v>970</v>
      </c>
      <c r="B971" s="16" t="s">
        <v>924</v>
      </c>
      <c r="C971" s="530" t="s">
        <v>24</v>
      </c>
      <c r="D971" s="413">
        <v>5217</v>
      </c>
      <c r="E971" s="59" t="s">
        <v>1761</v>
      </c>
      <c r="F971" s="526" t="s">
        <v>1762</v>
      </c>
      <c r="G971" s="526">
        <v>3064</v>
      </c>
      <c r="H971" s="529" t="s">
        <v>1718</v>
      </c>
      <c r="I971" s="526" t="s">
        <v>1763</v>
      </c>
      <c r="J971" s="184" t="s">
        <v>58</v>
      </c>
      <c r="K971" s="184" t="s">
        <v>57</v>
      </c>
      <c r="L971" s="360">
        <v>0.7</v>
      </c>
      <c r="M971" s="445" t="s">
        <v>1726</v>
      </c>
      <c r="N971" s="544" t="s">
        <v>1727</v>
      </c>
      <c r="O971" s="544" t="s">
        <v>1728</v>
      </c>
      <c r="P971" s="62">
        <v>0.7</v>
      </c>
      <c r="Q971" s="360">
        <v>0.1</v>
      </c>
      <c r="R971" s="62"/>
      <c r="S971" s="153">
        <f t="shared" si="30"/>
        <v>0</v>
      </c>
      <c r="T971" s="152">
        <f t="shared" si="31"/>
        <v>0</v>
      </c>
      <c r="U971" s="153" t="s">
        <v>34</v>
      </c>
      <c r="V971" s="35"/>
      <c r="W971" s="162"/>
    </row>
    <row r="972" spans="1:23" ht="16.05" customHeight="1" x14ac:dyDescent="0.45">
      <c r="A972" s="1">
        <v>971</v>
      </c>
      <c r="B972" s="16" t="s">
        <v>924</v>
      </c>
      <c r="C972" s="57" t="s">
        <v>24</v>
      </c>
      <c r="D972" s="413">
        <v>5217</v>
      </c>
      <c r="E972" s="59" t="s">
        <v>1761</v>
      </c>
      <c r="F972" s="526" t="s">
        <v>1762</v>
      </c>
      <c r="G972" s="526">
        <v>3064</v>
      </c>
      <c r="H972" s="529" t="s">
        <v>1718</v>
      </c>
      <c r="I972" s="526" t="s">
        <v>1763</v>
      </c>
      <c r="J972" s="184" t="s">
        <v>58</v>
      </c>
      <c r="K972" s="184" t="s">
        <v>57</v>
      </c>
      <c r="L972" s="360">
        <v>0.7</v>
      </c>
      <c r="M972" s="445" t="s">
        <v>1729</v>
      </c>
      <c r="N972" s="544" t="s">
        <v>1730</v>
      </c>
      <c r="O972" s="544" t="s">
        <v>1731</v>
      </c>
      <c r="P972" s="62">
        <v>0.05</v>
      </c>
      <c r="Q972" s="360">
        <v>0.08</v>
      </c>
      <c r="R972" s="62"/>
      <c r="S972" s="153">
        <f t="shared" si="30"/>
        <v>0</v>
      </c>
      <c r="T972" s="152">
        <f t="shared" si="31"/>
        <v>0</v>
      </c>
      <c r="U972" s="153" t="s">
        <v>34</v>
      </c>
      <c r="V972" s="35"/>
      <c r="W972" s="162"/>
    </row>
    <row r="973" spans="1:23" ht="16.05" customHeight="1" x14ac:dyDescent="0.45">
      <c r="A973" s="1">
        <v>972</v>
      </c>
      <c r="B973" s="16" t="s">
        <v>924</v>
      </c>
      <c r="C973" s="530" t="s">
        <v>24</v>
      </c>
      <c r="D973" s="413">
        <v>5217</v>
      </c>
      <c r="E973" s="59" t="s">
        <v>1761</v>
      </c>
      <c r="F973" s="526" t="s">
        <v>1762</v>
      </c>
      <c r="G973" s="526">
        <v>3064</v>
      </c>
      <c r="H973" s="529" t="s">
        <v>1718</v>
      </c>
      <c r="I973" s="526" t="s">
        <v>1763</v>
      </c>
      <c r="J973" s="184" t="s">
        <v>58</v>
      </c>
      <c r="K973" s="184" t="s">
        <v>57</v>
      </c>
      <c r="L973" s="360">
        <v>0.7</v>
      </c>
      <c r="M973" s="445" t="s">
        <v>1732</v>
      </c>
      <c r="N973" s="544" t="s">
        <v>1733</v>
      </c>
      <c r="O973" s="544" t="s">
        <v>1734</v>
      </c>
      <c r="P973" s="62">
        <v>1</v>
      </c>
      <c r="Q973" s="360">
        <v>0.1</v>
      </c>
      <c r="R973" s="62"/>
      <c r="S973" s="153">
        <f t="shared" si="30"/>
        <v>0</v>
      </c>
      <c r="T973" s="152">
        <f t="shared" si="31"/>
        <v>0</v>
      </c>
      <c r="U973" s="153" t="s">
        <v>34</v>
      </c>
      <c r="V973" s="35"/>
      <c r="W973" s="162"/>
    </row>
    <row r="974" spans="1:23" ht="16.05" customHeight="1" x14ac:dyDescent="0.45">
      <c r="A974" s="1">
        <v>973</v>
      </c>
      <c r="B974" s="16" t="s">
        <v>924</v>
      </c>
      <c r="C974" s="57" t="s">
        <v>24</v>
      </c>
      <c r="D974" s="413">
        <v>5217</v>
      </c>
      <c r="E974" s="59" t="s">
        <v>1761</v>
      </c>
      <c r="F974" s="526" t="s">
        <v>1762</v>
      </c>
      <c r="G974" s="526">
        <v>3064</v>
      </c>
      <c r="H974" s="529" t="s">
        <v>1718</v>
      </c>
      <c r="I974" s="526" t="s">
        <v>1763</v>
      </c>
      <c r="J974" s="184" t="s">
        <v>58</v>
      </c>
      <c r="K974" s="184" t="s">
        <v>57</v>
      </c>
      <c r="L974" s="360">
        <v>0.7</v>
      </c>
      <c r="M974" s="445" t="s">
        <v>624</v>
      </c>
      <c r="N974" s="544" t="s">
        <v>1735</v>
      </c>
      <c r="O974" s="544" t="s">
        <v>1736</v>
      </c>
      <c r="P974" s="62">
        <v>0.05</v>
      </c>
      <c r="Q974" s="360">
        <v>0.15</v>
      </c>
      <c r="R974" s="62"/>
      <c r="S974" s="153">
        <f t="shared" si="30"/>
        <v>0</v>
      </c>
      <c r="T974" s="152">
        <f t="shared" si="31"/>
        <v>0</v>
      </c>
      <c r="U974" s="153" t="s">
        <v>83</v>
      </c>
      <c r="V974" s="35"/>
      <c r="W974" s="162"/>
    </row>
    <row r="975" spans="1:23" ht="16.05" customHeight="1" x14ac:dyDescent="0.45">
      <c r="A975" s="1">
        <v>974</v>
      </c>
      <c r="B975" s="16" t="s">
        <v>924</v>
      </c>
      <c r="C975" s="530" t="s">
        <v>24</v>
      </c>
      <c r="D975" s="413">
        <v>5217</v>
      </c>
      <c r="E975" s="59" t="s">
        <v>1761</v>
      </c>
      <c r="F975" s="526" t="s">
        <v>1762</v>
      </c>
      <c r="G975" s="526">
        <v>3064</v>
      </c>
      <c r="H975" s="529" t="s">
        <v>1718</v>
      </c>
      <c r="I975" s="526" t="s">
        <v>1763</v>
      </c>
      <c r="J975" s="184" t="s">
        <v>58</v>
      </c>
      <c r="K975" s="184" t="s">
        <v>57</v>
      </c>
      <c r="L975" s="360">
        <v>0.7</v>
      </c>
      <c r="M975" s="445" t="s">
        <v>1737</v>
      </c>
      <c r="N975" s="544" t="s">
        <v>1738</v>
      </c>
      <c r="O975" s="544" t="s">
        <v>1739</v>
      </c>
      <c r="P975" s="62">
        <v>0.05</v>
      </c>
      <c r="Q975" s="360">
        <v>0.1</v>
      </c>
      <c r="R975" s="62"/>
      <c r="S975" s="153">
        <f t="shared" si="30"/>
        <v>0</v>
      </c>
      <c r="T975" s="152">
        <f t="shared" si="31"/>
        <v>0</v>
      </c>
      <c r="U975" s="153" t="s">
        <v>34</v>
      </c>
      <c r="V975" s="35"/>
      <c r="W975" s="162"/>
    </row>
    <row r="976" spans="1:23" ht="16.05" customHeight="1" x14ac:dyDescent="0.45">
      <c r="A976" s="1">
        <v>975</v>
      </c>
      <c r="B976" s="16" t="s">
        <v>924</v>
      </c>
      <c r="C976" s="57" t="s">
        <v>24</v>
      </c>
      <c r="D976" s="413">
        <v>5217</v>
      </c>
      <c r="E976" s="59" t="s">
        <v>1761</v>
      </c>
      <c r="F976" s="526" t="s">
        <v>1762</v>
      </c>
      <c r="G976" s="526">
        <v>3064</v>
      </c>
      <c r="H976" s="529" t="s">
        <v>1718</v>
      </c>
      <c r="I976" s="526" t="s">
        <v>1763</v>
      </c>
      <c r="J976" s="184" t="s">
        <v>58</v>
      </c>
      <c r="K976" s="184" t="s">
        <v>57</v>
      </c>
      <c r="L976" s="360">
        <v>0.7</v>
      </c>
      <c r="M976" s="445" t="s">
        <v>1740</v>
      </c>
      <c r="N976" s="544" t="s">
        <v>1741</v>
      </c>
      <c r="O976" s="544" t="s">
        <v>1742</v>
      </c>
      <c r="P976" s="62">
        <v>0.9</v>
      </c>
      <c r="Q976" s="360">
        <v>0.12</v>
      </c>
      <c r="R976" s="62"/>
      <c r="S976" s="153">
        <f t="shared" si="30"/>
        <v>0</v>
      </c>
      <c r="T976" s="152">
        <f t="shared" si="31"/>
        <v>0</v>
      </c>
      <c r="U976" s="153" t="s">
        <v>34</v>
      </c>
      <c r="V976" s="35"/>
      <c r="W976" s="162"/>
    </row>
    <row r="977" spans="1:23" ht="16.05" customHeight="1" x14ac:dyDescent="0.45">
      <c r="A977" s="1">
        <v>976</v>
      </c>
      <c r="B977" s="16" t="s">
        <v>924</v>
      </c>
      <c r="C977" s="530" t="s">
        <v>24</v>
      </c>
      <c r="D977" s="413">
        <v>5217</v>
      </c>
      <c r="E977" s="59" t="s">
        <v>1761</v>
      </c>
      <c r="F977" s="526" t="s">
        <v>1762</v>
      </c>
      <c r="G977" s="526">
        <v>3064</v>
      </c>
      <c r="H977" s="529" t="s">
        <v>1718</v>
      </c>
      <c r="I977" s="526" t="s">
        <v>1763</v>
      </c>
      <c r="J977" s="184" t="s">
        <v>58</v>
      </c>
      <c r="K977" s="184" t="s">
        <v>57</v>
      </c>
      <c r="L977" s="360">
        <v>0.7</v>
      </c>
      <c r="M977" s="445" t="s">
        <v>1743</v>
      </c>
      <c r="N977" s="544" t="s">
        <v>1744</v>
      </c>
      <c r="O977" s="544" t="s">
        <v>1745</v>
      </c>
      <c r="P977" s="62">
        <v>1</v>
      </c>
      <c r="Q977" s="360">
        <v>0.05</v>
      </c>
      <c r="R977" s="62"/>
      <c r="S977" s="153">
        <f t="shared" si="30"/>
        <v>0</v>
      </c>
      <c r="T977" s="152">
        <f t="shared" si="31"/>
        <v>0</v>
      </c>
      <c r="U977" s="153" t="s">
        <v>34</v>
      </c>
      <c r="V977" s="35"/>
      <c r="W977" s="162"/>
    </row>
    <row r="978" spans="1:23" ht="16.05" customHeight="1" x14ac:dyDescent="0.45">
      <c r="A978" s="1">
        <v>977</v>
      </c>
      <c r="B978" s="16" t="s">
        <v>924</v>
      </c>
      <c r="C978" s="57" t="s">
        <v>24</v>
      </c>
      <c r="D978" s="413">
        <v>5217</v>
      </c>
      <c r="E978" s="59" t="s">
        <v>1761</v>
      </c>
      <c r="F978" s="526" t="s">
        <v>1762</v>
      </c>
      <c r="G978" s="526">
        <v>3064</v>
      </c>
      <c r="H978" s="529" t="s">
        <v>1718</v>
      </c>
      <c r="I978" s="526" t="s">
        <v>1763</v>
      </c>
      <c r="J978" s="16" t="s">
        <v>111</v>
      </c>
      <c r="K978" s="16" t="s">
        <v>110</v>
      </c>
      <c r="L978" s="418">
        <v>0.3</v>
      </c>
      <c r="M978" s="446" t="s">
        <v>1748</v>
      </c>
      <c r="N978" s="542" t="s">
        <v>1764</v>
      </c>
      <c r="O978" s="542"/>
      <c r="P978" s="422">
        <v>0.7</v>
      </c>
      <c r="Q978" s="418">
        <v>0.3</v>
      </c>
      <c r="R978" s="422"/>
      <c r="S978" s="156">
        <f t="shared" si="30"/>
        <v>0</v>
      </c>
      <c r="T978" s="155">
        <f t="shared" si="31"/>
        <v>0</v>
      </c>
      <c r="U978" s="134" t="s">
        <v>34</v>
      </c>
      <c r="V978" s="134"/>
      <c r="W978" s="73"/>
    </row>
    <row r="979" spans="1:23" ht="16.05" customHeight="1" x14ac:dyDescent="0.45">
      <c r="A979" s="1">
        <v>978</v>
      </c>
      <c r="B979" s="16" t="s">
        <v>924</v>
      </c>
      <c r="C979" s="530" t="s">
        <v>24</v>
      </c>
      <c r="D979" s="531">
        <v>5217</v>
      </c>
      <c r="E979" s="532" t="s">
        <v>1761</v>
      </c>
      <c r="F979" s="533" t="s">
        <v>1762</v>
      </c>
      <c r="G979" s="533">
        <v>3064</v>
      </c>
      <c r="H979" s="534" t="s">
        <v>1718</v>
      </c>
      <c r="I979" s="533" t="s">
        <v>1763</v>
      </c>
      <c r="J979" s="16" t="s">
        <v>111</v>
      </c>
      <c r="K979" s="16" t="s">
        <v>110</v>
      </c>
      <c r="L979" s="535">
        <v>0.3</v>
      </c>
      <c r="M979" s="536" t="s">
        <v>1765</v>
      </c>
      <c r="N979" s="537" t="s">
        <v>1766</v>
      </c>
      <c r="O979" s="537"/>
      <c r="P979" s="538">
        <v>0.8</v>
      </c>
      <c r="Q979" s="535">
        <v>0.2</v>
      </c>
      <c r="R979" s="538"/>
      <c r="S979" s="539">
        <f t="shared" si="30"/>
        <v>0</v>
      </c>
      <c r="T979" s="540">
        <f t="shared" si="31"/>
        <v>0</v>
      </c>
      <c r="U979" s="541" t="s">
        <v>34</v>
      </c>
      <c r="V979" s="541"/>
      <c r="W979" s="73"/>
    </row>
    <row r="980" spans="1:23" ht="16.05" customHeight="1" x14ac:dyDescent="0.45">
      <c r="A980" s="1">
        <v>979</v>
      </c>
      <c r="B980" s="16" t="s">
        <v>924</v>
      </c>
      <c r="C980" s="57" t="s">
        <v>24</v>
      </c>
      <c r="D980" s="413">
        <v>5217</v>
      </c>
      <c r="E980" s="59" t="s">
        <v>1761</v>
      </c>
      <c r="F980" s="526" t="s">
        <v>1762</v>
      </c>
      <c r="G980" s="526">
        <v>3064</v>
      </c>
      <c r="H980" s="529" t="s">
        <v>1718</v>
      </c>
      <c r="I980" s="526" t="s">
        <v>1763</v>
      </c>
      <c r="J980" s="16" t="s">
        <v>111</v>
      </c>
      <c r="K980" s="16" t="s">
        <v>110</v>
      </c>
      <c r="L980" s="418">
        <v>0.3</v>
      </c>
      <c r="M980" s="446" t="s">
        <v>1767</v>
      </c>
      <c r="N980" s="542" t="s">
        <v>1768</v>
      </c>
      <c r="O980" s="542"/>
      <c r="P980" s="422">
        <v>1</v>
      </c>
      <c r="Q980" s="418">
        <v>0.1</v>
      </c>
      <c r="R980" s="422"/>
      <c r="S980" s="156">
        <f t="shared" si="30"/>
        <v>0</v>
      </c>
      <c r="T980" s="155">
        <f t="shared" si="31"/>
        <v>0</v>
      </c>
      <c r="U980" s="134" t="s">
        <v>34</v>
      </c>
      <c r="V980" s="134"/>
      <c r="W980" s="73"/>
    </row>
    <row r="981" spans="1:23" ht="16.05" customHeight="1" x14ac:dyDescent="0.45">
      <c r="A981" s="1">
        <v>980</v>
      </c>
      <c r="B981" s="16" t="s">
        <v>924</v>
      </c>
      <c r="C981" s="530" t="s">
        <v>24</v>
      </c>
      <c r="D981" s="531">
        <v>5217</v>
      </c>
      <c r="E981" s="532" t="s">
        <v>1761</v>
      </c>
      <c r="F981" s="533" t="s">
        <v>1762</v>
      </c>
      <c r="G981" s="533">
        <v>3064</v>
      </c>
      <c r="H981" s="534" t="s">
        <v>1718</v>
      </c>
      <c r="I981" s="533" t="s">
        <v>1763</v>
      </c>
      <c r="J981" s="16" t="s">
        <v>111</v>
      </c>
      <c r="K981" s="16" t="s">
        <v>110</v>
      </c>
      <c r="L981" s="535">
        <v>0.3</v>
      </c>
      <c r="M981" s="536" t="s">
        <v>1769</v>
      </c>
      <c r="N981" s="537" t="s">
        <v>1770</v>
      </c>
      <c r="O981" s="537"/>
      <c r="P981" s="538">
        <v>1</v>
      </c>
      <c r="Q981" s="535">
        <v>0.2</v>
      </c>
      <c r="R981" s="538"/>
      <c r="S981" s="539">
        <f t="shared" si="30"/>
        <v>0</v>
      </c>
      <c r="T981" s="540">
        <f t="shared" si="31"/>
        <v>0</v>
      </c>
      <c r="U981" s="541" t="s">
        <v>34</v>
      </c>
      <c r="V981" s="541"/>
      <c r="W981" s="73"/>
    </row>
    <row r="982" spans="1:23" ht="16.05" customHeight="1" x14ac:dyDescent="0.45">
      <c r="A982" s="1">
        <v>981</v>
      </c>
      <c r="B982" s="16" t="s">
        <v>924</v>
      </c>
      <c r="C982" s="57" t="s">
        <v>24</v>
      </c>
      <c r="D982" s="413">
        <v>5217</v>
      </c>
      <c r="E982" s="59" t="s">
        <v>1761</v>
      </c>
      <c r="F982" s="526" t="s">
        <v>1762</v>
      </c>
      <c r="G982" s="526">
        <v>3064</v>
      </c>
      <c r="H982" s="529" t="s">
        <v>1718</v>
      </c>
      <c r="I982" s="526" t="s">
        <v>1763</v>
      </c>
      <c r="J982" s="16" t="s">
        <v>111</v>
      </c>
      <c r="K982" s="16" t="s">
        <v>110</v>
      </c>
      <c r="L982" s="418">
        <v>0.3</v>
      </c>
      <c r="M982" s="446" t="s">
        <v>1771</v>
      </c>
      <c r="N982" s="542" t="s">
        <v>1772</v>
      </c>
      <c r="O982" s="542"/>
      <c r="P982" s="422">
        <v>0.7</v>
      </c>
      <c r="Q982" s="418">
        <v>0.2</v>
      </c>
      <c r="R982" s="422"/>
      <c r="S982" s="156">
        <f t="shared" si="30"/>
        <v>0</v>
      </c>
      <c r="T982" s="155">
        <f t="shared" si="31"/>
        <v>0</v>
      </c>
      <c r="U982" s="134" t="s">
        <v>34</v>
      </c>
      <c r="V982" s="134"/>
      <c r="W982" s="73"/>
    </row>
    <row r="983" spans="1:23" ht="16.05" customHeight="1" x14ac:dyDescent="0.45">
      <c r="A983" s="1">
        <v>982</v>
      </c>
      <c r="B983" s="3" t="s">
        <v>924</v>
      </c>
      <c r="C983" s="527" t="s">
        <v>24</v>
      </c>
      <c r="D983" s="349">
        <v>5392</v>
      </c>
      <c r="E983" s="99" t="s">
        <v>1773</v>
      </c>
      <c r="F983" s="525" t="s">
        <v>1774</v>
      </c>
      <c r="G983" s="525">
        <v>6592</v>
      </c>
      <c r="H983" s="528" t="s">
        <v>925</v>
      </c>
      <c r="I983" s="525" t="s">
        <v>1775</v>
      </c>
      <c r="J983" s="3" t="s">
        <v>58</v>
      </c>
      <c r="K983" s="3" t="s">
        <v>57</v>
      </c>
      <c r="L983" s="350">
        <v>0.7</v>
      </c>
      <c r="M983" s="512" t="s">
        <v>1720</v>
      </c>
      <c r="N983" s="512" t="s">
        <v>1721</v>
      </c>
      <c r="O983" s="543" t="s">
        <v>1722</v>
      </c>
      <c r="P983" s="103">
        <v>0.95</v>
      </c>
      <c r="Q983" s="350">
        <v>0.15</v>
      </c>
      <c r="R983" s="103"/>
      <c r="S983" s="148">
        <f t="shared" si="30"/>
        <v>0</v>
      </c>
      <c r="T983" s="168">
        <f t="shared" si="31"/>
        <v>0</v>
      </c>
      <c r="U983" s="148" t="s">
        <v>34</v>
      </c>
      <c r="V983" s="278">
        <f>SUM(T983:T996)%</f>
        <v>0</v>
      </c>
      <c r="W983" s="146"/>
    </row>
    <row r="984" spans="1:23" ht="16.05" customHeight="1" x14ac:dyDescent="0.45">
      <c r="A984" s="1">
        <v>983</v>
      </c>
      <c r="B984" s="16" t="s">
        <v>924</v>
      </c>
      <c r="C984" s="57" t="s">
        <v>24</v>
      </c>
      <c r="D984" s="413">
        <v>5392</v>
      </c>
      <c r="E984" s="59" t="s">
        <v>1773</v>
      </c>
      <c r="F984" s="526" t="s">
        <v>1774</v>
      </c>
      <c r="G984" s="526">
        <v>6592</v>
      </c>
      <c r="H984" s="529" t="s">
        <v>925</v>
      </c>
      <c r="I984" s="526" t="s">
        <v>1775</v>
      </c>
      <c r="J984" s="184" t="s">
        <v>58</v>
      </c>
      <c r="K984" s="184" t="s">
        <v>57</v>
      </c>
      <c r="L984" s="360">
        <v>0.7</v>
      </c>
      <c r="M984" s="287" t="s">
        <v>1723</v>
      </c>
      <c r="N984" s="287" t="s">
        <v>1724</v>
      </c>
      <c r="O984" s="544" t="s">
        <v>1725</v>
      </c>
      <c r="P984" s="62">
        <v>0.95</v>
      </c>
      <c r="Q984" s="360">
        <v>0.15</v>
      </c>
      <c r="R984" s="62"/>
      <c r="S984" s="153">
        <f t="shared" si="30"/>
        <v>0</v>
      </c>
      <c r="T984" s="152">
        <f t="shared" si="31"/>
        <v>0</v>
      </c>
      <c r="U984" s="153" t="s">
        <v>34</v>
      </c>
      <c r="V984" s="35"/>
      <c r="W984" s="162"/>
    </row>
    <row r="985" spans="1:23" ht="16.05" customHeight="1" x14ac:dyDescent="0.45">
      <c r="A985" s="1">
        <v>984</v>
      </c>
      <c r="B985" s="16" t="s">
        <v>924</v>
      </c>
      <c r="C985" s="530" t="s">
        <v>24</v>
      </c>
      <c r="D985" s="413">
        <v>5392</v>
      </c>
      <c r="E985" s="59" t="s">
        <v>1773</v>
      </c>
      <c r="F985" s="526" t="s">
        <v>1774</v>
      </c>
      <c r="G985" s="526">
        <v>6592</v>
      </c>
      <c r="H985" s="529" t="s">
        <v>925</v>
      </c>
      <c r="I985" s="526" t="s">
        <v>1775</v>
      </c>
      <c r="J985" s="184" t="s">
        <v>58</v>
      </c>
      <c r="K985" s="184" t="s">
        <v>57</v>
      </c>
      <c r="L985" s="360">
        <v>0.7</v>
      </c>
      <c r="M985" s="445" t="s">
        <v>1726</v>
      </c>
      <c r="N985" s="544" t="s">
        <v>1727</v>
      </c>
      <c r="O985" s="544" t="s">
        <v>1728</v>
      </c>
      <c r="P985" s="62">
        <v>0.7</v>
      </c>
      <c r="Q985" s="360">
        <v>0.15</v>
      </c>
      <c r="R985" s="62"/>
      <c r="S985" s="153">
        <f t="shared" si="30"/>
        <v>0</v>
      </c>
      <c r="T985" s="152">
        <f t="shared" si="31"/>
        <v>0</v>
      </c>
      <c r="U985" s="153" t="s">
        <v>34</v>
      </c>
      <c r="V985" s="35"/>
      <c r="W985" s="162"/>
    </row>
    <row r="986" spans="1:23" ht="16.05" customHeight="1" x14ac:dyDescent="0.45">
      <c r="A986" s="1">
        <v>985</v>
      </c>
      <c r="B986" s="16" t="s">
        <v>924</v>
      </c>
      <c r="C986" s="57" t="s">
        <v>24</v>
      </c>
      <c r="D986" s="413">
        <v>5392</v>
      </c>
      <c r="E986" s="59" t="s">
        <v>1773</v>
      </c>
      <c r="F986" s="526" t="s">
        <v>1774</v>
      </c>
      <c r="G986" s="526">
        <v>6592</v>
      </c>
      <c r="H986" s="529" t="s">
        <v>925</v>
      </c>
      <c r="I986" s="526" t="s">
        <v>1775</v>
      </c>
      <c r="J986" s="184" t="s">
        <v>58</v>
      </c>
      <c r="K986" s="184" t="s">
        <v>57</v>
      </c>
      <c r="L986" s="360">
        <v>0.7</v>
      </c>
      <c r="M986" s="445" t="s">
        <v>1729</v>
      </c>
      <c r="N986" s="544" t="s">
        <v>1730</v>
      </c>
      <c r="O986" s="544" t="s">
        <v>1731</v>
      </c>
      <c r="P986" s="62">
        <v>0.05</v>
      </c>
      <c r="Q986" s="360">
        <v>0.15</v>
      </c>
      <c r="R986" s="62"/>
      <c r="S986" s="153">
        <f t="shared" si="30"/>
        <v>0</v>
      </c>
      <c r="T986" s="152">
        <f t="shared" si="31"/>
        <v>0</v>
      </c>
      <c r="U986" s="153" t="s">
        <v>34</v>
      </c>
      <c r="V986" s="35"/>
      <c r="W986" s="162"/>
    </row>
    <row r="987" spans="1:23" ht="16.05" customHeight="1" x14ac:dyDescent="0.45">
      <c r="A987" s="1">
        <v>986</v>
      </c>
      <c r="B987" s="16" t="s">
        <v>924</v>
      </c>
      <c r="C987" s="530" t="s">
        <v>24</v>
      </c>
      <c r="D987" s="413">
        <v>5392</v>
      </c>
      <c r="E987" s="59" t="s">
        <v>1773</v>
      </c>
      <c r="F987" s="526" t="s">
        <v>1774</v>
      </c>
      <c r="G987" s="526">
        <v>6592</v>
      </c>
      <c r="H987" s="529" t="s">
        <v>925</v>
      </c>
      <c r="I987" s="526" t="s">
        <v>1775</v>
      </c>
      <c r="J987" s="184" t="s">
        <v>58</v>
      </c>
      <c r="K987" s="184" t="s">
        <v>57</v>
      </c>
      <c r="L987" s="360">
        <v>0.7</v>
      </c>
      <c r="M987" s="445" t="s">
        <v>1732</v>
      </c>
      <c r="N987" s="544" t="s">
        <v>1733</v>
      </c>
      <c r="O987" s="544" t="s">
        <v>1734</v>
      </c>
      <c r="P987" s="62">
        <v>1</v>
      </c>
      <c r="Q987" s="360">
        <v>0.15</v>
      </c>
      <c r="R987" s="62"/>
      <c r="S987" s="153">
        <f t="shared" si="30"/>
        <v>0</v>
      </c>
      <c r="T987" s="152">
        <f t="shared" si="31"/>
        <v>0</v>
      </c>
      <c r="U987" s="153" t="s">
        <v>34</v>
      </c>
      <c r="V987" s="35"/>
      <c r="W987" s="162"/>
    </row>
    <row r="988" spans="1:23" ht="16.05" customHeight="1" x14ac:dyDescent="0.45">
      <c r="A988" s="1">
        <v>987</v>
      </c>
      <c r="B988" s="16" t="s">
        <v>924</v>
      </c>
      <c r="C988" s="57" t="s">
        <v>24</v>
      </c>
      <c r="D988" s="413">
        <v>5392</v>
      </c>
      <c r="E988" s="59" t="s">
        <v>1773</v>
      </c>
      <c r="F988" s="526" t="s">
        <v>1774</v>
      </c>
      <c r="G988" s="526">
        <v>6592</v>
      </c>
      <c r="H988" s="529" t="s">
        <v>925</v>
      </c>
      <c r="I988" s="526" t="s">
        <v>1775</v>
      </c>
      <c r="J988" s="184" t="s">
        <v>58</v>
      </c>
      <c r="K988" s="184" t="s">
        <v>57</v>
      </c>
      <c r="L988" s="360">
        <v>0.7</v>
      </c>
      <c r="M988" s="445" t="s">
        <v>1740</v>
      </c>
      <c r="N988" s="544" t="s">
        <v>1741</v>
      </c>
      <c r="O988" s="544" t="s">
        <v>1742</v>
      </c>
      <c r="P988" s="62">
        <v>0.9</v>
      </c>
      <c r="Q988" s="360">
        <v>0.15</v>
      </c>
      <c r="R988" s="62"/>
      <c r="S988" s="153">
        <f t="shared" si="30"/>
        <v>0</v>
      </c>
      <c r="T988" s="152">
        <f t="shared" si="31"/>
        <v>0</v>
      </c>
      <c r="U988" s="153" t="s">
        <v>34</v>
      </c>
      <c r="V988" s="35"/>
      <c r="W988" s="162"/>
    </row>
    <row r="989" spans="1:23" ht="16.05" customHeight="1" x14ac:dyDescent="0.45">
      <c r="A989" s="1">
        <v>988</v>
      </c>
      <c r="B989" s="16" t="s">
        <v>924</v>
      </c>
      <c r="C989" s="530" t="s">
        <v>24</v>
      </c>
      <c r="D989" s="413">
        <v>5392</v>
      </c>
      <c r="E989" s="59" t="s">
        <v>1773</v>
      </c>
      <c r="F989" s="526" t="s">
        <v>1774</v>
      </c>
      <c r="G989" s="526">
        <v>6592</v>
      </c>
      <c r="H989" s="529" t="s">
        <v>925</v>
      </c>
      <c r="I989" s="526" t="s">
        <v>1775</v>
      </c>
      <c r="J989" s="184" t="s">
        <v>58</v>
      </c>
      <c r="K989" s="184" t="s">
        <v>57</v>
      </c>
      <c r="L989" s="360">
        <v>0.7</v>
      </c>
      <c r="M989" s="445" t="s">
        <v>1743</v>
      </c>
      <c r="N989" s="544" t="s">
        <v>1744</v>
      </c>
      <c r="O989" s="544" t="s">
        <v>1745</v>
      </c>
      <c r="P989" s="62">
        <v>1</v>
      </c>
      <c r="Q989" s="360">
        <v>0.1</v>
      </c>
      <c r="R989" s="62"/>
      <c r="S989" s="153">
        <f t="shared" si="30"/>
        <v>0</v>
      </c>
      <c r="T989" s="152">
        <f t="shared" si="31"/>
        <v>0</v>
      </c>
      <c r="U989" s="153" t="s">
        <v>34</v>
      </c>
      <c r="V989" s="35"/>
      <c r="W989" s="162"/>
    </row>
    <row r="990" spans="1:23" ht="16.05" customHeight="1" x14ac:dyDescent="0.45">
      <c r="A990" s="1">
        <v>989</v>
      </c>
      <c r="B990" s="16" t="s">
        <v>924</v>
      </c>
      <c r="C990" s="57" t="s">
        <v>24</v>
      </c>
      <c r="D990" s="413">
        <v>5392</v>
      </c>
      <c r="E990" s="59" t="s">
        <v>1773</v>
      </c>
      <c r="F990" s="526" t="s">
        <v>1774</v>
      </c>
      <c r="G990" s="526">
        <v>6592</v>
      </c>
      <c r="H990" s="529" t="s">
        <v>925</v>
      </c>
      <c r="I990" s="526" t="s">
        <v>1775</v>
      </c>
      <c r="J990" s="16" t="s">
        <v>111</v>
      </c>
      <c r="K990" s="16" t="s">
        <v>110</v>
      </c>
      <c r="L990" s="418">
        <v>0.3</v>
      </c>
      <c r="M990" s="446" t="s">
        <v>1776</v>
      </c>
      <c r="N990" s="542" t="s">
        <v>1777</v>
      </c>
      <c r="O990" s="542"/>
      <c r="P990" s="422">
        <v>1</v>
      </c>
      <c r="Q990" s="418">
        <v>0.1</v>
      </c>
      <c r="R990" s="422"/>
      <c r="S990" s="156">
        <f t="shared" si="30"/>
        <v>0</v>
      </c>
      <c r="T990" s="155">
        <f t="shared" si="31"/>
        <v>0</v>
      </c>
      <c r="U990" s="134" t="s">
        <v>34</v>
      </c>
      <c r="V990" s="134"/>
      <c r="W990" s="73"/>
    </row>
    <row r="991" spans="1:23" ht="16.05" customHeight="1" x14ac:dyDescent="0.45">
      <c r="A991" s="1">
        <v>990</v>
      </c>
      <c r="B991" s="16" t="s">
        <v>924</v>
      </c>
      <c r="C991" s="530" t="s">
        <v>24</v>
      </c>
      <c r="D991" s="531">
        <v>5392</v>
      </c>
      <c r="E991" s="532" t="s">
        <v>1773</v>
      </c>
      <c r="F991" s="533" t="s">
        <v>1774</v>
      </c>
      <c r="G991" s="533">
        <v>6592</v>
      </c>
      <c r="H991" s="534" t="s">
        <v>925</v>
      </c>
      <c r="I991" s="533" t="s">
        <v>1775</v>
      </c>
      <c r="J991" s="16" t="s">
        <v>111</v>
      </c>
      <c r="K991" s="16" t="s">
        <v>110</v>
      </c>
      <c r="L991" s="535">
        <v>0.3</v>
      </c>
      <c r="M991" s="536" t="s">
        <v>1778</v>
      </c>
      <c r="N991" s="537" t="s">
        <v>1779</v>
      </c>
      <c r="O991" s="537"/>
      <c r="P991" s="538">
        <v>0.5</v>
      </c>
      <c r="Q991" s="535">
        <v>0.2</v>
      </c>
      <c r="R991" s="538"/>
      <c r="S991" s="539">
        <f t="shared" si="30"/>
        <v>0</v>
      </c>
      <c r="T991" s="540">
        <f t="shared" si="31"/>
        <v>0</v>
      </c>
      <c r="U991" s="541" t="s">
        <v>34</v>
      </c>
      <c r="V991" s="541"/>
      <c r="W991" s="73"/>
    </row>
    <row r="992" spans="1:23" ht="16.05" customHeight="1" x14ac:dyDescent="0.45">
      <c r="A992" s="1">
        <v>991</v>
      </c>
      <c r="B992" s="16" t="s">
        <v>924</v>
      </c>
      <c r="C992" s="57" t="s">
        <v>24</v>
      </c>
      <c r="D992" s="413">
        <v>5392</v>
      </c>
      <c r="E992" s="59" t="s">
        <v>1773</v>
      </c>
      <c r="F992" s="526" t="s">
        <v>1774</v>
      </c>
      <c r="G992" s="526">
        <v>6592</v>
      </c>
      <c r="H992" s="529" t="s">
        <v>925</v>
      </c>
      <c r="I992" s="526" t="s">
        <v>1775</v>
      </c>
      <c r="J992" s="16" t="s">
        <v>111</v>
      </c>
      <c r="K992" s="16" t="s">
        <v>110</v>
      </c>
      <c r="L992" s="418">
        <v>0.3</v>
      </c>
      <c r="M992" s="446" t="s">
        <v>1780</v>
      </c>
      <c r="N992" s="545" t="s">
        <v>1781</v>
      </c>
      <c r="O992" s="542"/>
      <c r="P992" s="422">
        <v>1</v>
      </c>
      <c r="Q992" s="418">
        <v>0.1</v>
      </c>
      <c r="R992" s="422"/>
      <c r="S992" s="156">
        <f t="shared" si="30"/>
        <v>0</v>
      </c>
      <c r="T992" s="155">
        <f t="shared" si="31"/>
        <v>0</v>
      </c>
      <c r="U992" s="134" t="s">
        <v>34</v>
      </c>
      <c r="V992" s="134"/>
      <c r="W992" s="73"/>
    </row>
    <row r="993" spans="1:23" ht="16.05" customHeight="1" x14ac:dyDescent="0.45">
      <c r="A993" s="1">
        <v>992</v>
      </c>
      <c r="B993" s="16" t="s">
        <v>924</v>
      </c>
      <c r="C993" s="530" t="s">
        <v>24</v>
      </c>
      <c r="D993" s="531">
        <v>5392</v>
      </c>
      <c r="E993" s="532" t="s">
        <v>1773</v>
      </c>
      <c r="F993" s="533" t="s">
        <v>1774</v>
      </c>
      <c r="G993" s="533">
        <v>6592</v>
      </c>
      <c r="H993" s="534" t="s">
        <v>925</v>
      </c>
      <c r="I993" s="533" t="s">
        <v>1775</v>
      </c>
      <c r="J993" s="16" t="s">
        <v>111</v>
      </c>
      <c r="K993" s="16" t="s">
        <v>110</v>
      </c>
      <c r="L993" s="535">
        <v>0.3</v>
      </c>
      <c r="M993" s="546" t="s">
        <v>1782</v>
      </c>
      <c r="N993" s="547" t="s">
        <v>1783</v>
      </c>
      <c r="O993" s="547"/>
      <c r="P993" s="539">
        <v>1</v>
      </c>
      <c r="Q993" s="535">
        <v>0.2</v>
      </c>
      <c r="R993" s="539"/>
      <c r="S993" s="539">
        <f t="shared" si="30"/>
        <v>0</v>
      </c>
      <c r="T993" s="540">
        <f t="shared" si="31"/>
        <v>0</v>
      </c>
      <c r="U993" s="539" t="s">
        <v>34</v>
      </c>
      <c r="V993" s="539"/>
      <c r="W993" s="73"/>
    </row>
    <row r="994" spans="1:23" ht="16.05" customHeight="1" x14ac:dyDescent="0.45">
      <c r="A994" s="1">
        <v>993</v>
      </c>
      <c r="B994" s="16" t="s">
        <v>924</v>
      </c>
      <c r="C994" s="57" t="s">
        <v>24</v>
      </c>
      <c r="D994" s="413">
        <v>5392</v>
      </c>
      <c r="E994" s="59" t="s">
        <v>1773</v>
      </c>
      <c r="F994" s="526" t="s">
        <v>1774</v>
      </c>
      <c r="G994" s="526">
        <v>6592</v>
      </c>
      <c r="H994" s="529" t="s">
        <v>925</v>
      </c>
      <c r="I994" s="526" t="s">
        <v>1775</v>
      </c>
      <c r="J994" s="16" t="s">
        <v>111</v>
      </c>
      <c r="K994" s="16" t="s">
        <v>110</v>
      </c>
      <c r="L994" s="418">
        <v>0.3</v>
      </c>
      <c r="M994" s="498" t="s">
        <v>1784</v>
      </c>
      <c r="N994" s="545" t="s">
        <v>1785</v>
      </c>
      <c r="O994" s="545"/>
      <c r="P994" s="156">
        <v>1</v>
      </c>
      <c r="Q994" s="418">
        <v>0.2</v>
      </c>
      <c r="R994" s="156"/>
      <c r="S994" s="156">
        <f t="shared" si="30"/>
        <v>0</v>
      </c>
      <c r="T994" s="155">
        <f t="shared" si="31"/>
        <v>0</v>
      </c>
      <c r="U994" s="156" t="s">
        <v>34</v>
      </c>
      <c r="V994" s="156"/>
      <c r="W994" s="73"/>
    </row>
    <row r="995" spans="1:23" ht="16.05" customHeight="1" x14ac:dyDescent="0.45">
      <c r="A995" s="1">
        <v>994</v>
      </c>
      <c r="B995" s="16" t="s">
        <v>924</v>
      </c>
      <c r="C995" s="530" t="s">
        <v>24</v>
      </c>
      <c r="D995" s="531">
        <v>5392</v>
      </c>
      <c r="E995" s="532" t="s">
        <v>1773</v>
      </c>
      <c r="F995" s="533" t="s">
        <v>1774</v>
      </c>
      <c r="G995" s="533">
        <v>6592</v>
      </c>
      <c r="H995" s="534" t="s">
        <v>925</v>
      </c>
      <c r="I995" s="533" t="s">
        <v>1775</v>
      </c>
      <c r="J995" s="16" t="s">
        <v>111</v>
      </c>
      <c r="K995" s="16" t="s">
        <v>110</v>
      </c>
      <c r="L995" s="535">
        <v>0.3</v>
      </c>
      <c r="M995" s="546" t="s">
        <v>1786</v>
      </c>
      <c r="N995" s="547" t="s">
        <v>1787</v>
      </c>
      <c r="O995" s="547"/>
      <c r="P995" s="539">
        <v>1</v>
      </c>
      <c r="Q995" s="535">
        <v>0.1</v>
      </c>
      <c r="R995" s="539"/>
      <c r="S995" s="539">
        <f t="shared" si="30"/>
        <v>0</v>
      </c>
      <c r="T995" s="540">
        <f t="shared" si="31"/>
        <v>0</v>
      </c>
      <c r="U995" s="539" t="s">
        <v>34</v>
      </c>
      <c r="V995" s="539"/>
      <c r="W995" s="73"/>
    </row>
    <row r="996" spans="1:23" ht="16.05" customHeight="1" x14ac:dyDescent="0.45">
      <c r="A996" s="1">
        <v>995</v>
      </c>
      <c r="B996" s="16" t="s">
        <v>924</v>
      </c>
      <c r="C996" s="57" t="s">
        <v>24</v>
      </c>
      <c r="D996" s="413">
        <v>5392</v>
      </c>
      <c r="E996" s="59" t="s">
        <v>1773</v>
      </c>
      <c r="F996" s="526" t="s">
        <v>1774</v>
      </c>
      <c r="G996" s="526">
        <v>6592</v>
      </c>
      <c r="H996" s="529" t="s">
        <v>925</v>
      </c>
      <c r="I996" s="526" t="s">
        <v>1775</v>
      </c>
      <c r="J996" s="16" t="s">
        <v>111</v>
      </c>
      <c r="K996" s="16" t="s">
        <v>110</v>
      </c>
      <c r="L996" s="418">
        <v>0.3</v>
      </c>
      <c r="M996" s="446" t="s">
        <v>1788</v>
      </c>
      <c r="N996" s="542" t="s">
        <v>1789</v>
      </c>
      <c r="O996" s="542"/>
      <c r="P996" s="422">
        <v>1</v>
      </c>
      <c r="Q996" s="418">
        <v>0.1</v>
      </c>
      <c r="R996" s="422"/>
      <c r="S996" s="156">
        <f t="shared" si="30"/>
        <v>0</v>
      </c>
      <c r="T996" s="155">
        <f t="shared" si="31"/>
        <v>0</v>
      </c>
      <c r="U996" s="134" t="s">
        <v>34</v>
      </c>
      <c r="V996" s="134"/>
      <c r="W996" s="73"/>
    </row>
    <row r="997" spans="1:23" ht="16.05" customHeight="1" x14ac:dyDescent="0.45">
      <c r="A997" s="1">
        <v>996</v>
      </c>
      <c r="B997" s="3" t="s">
        <v>924</v>
      </c>
      <c r="C997" s="2" t="s">
        <v>24</v>
      </c>
      <c r="D997" s="349">
        <v>3681</v>
      </c>
      <c r="E997" s="99" t="s">
        <v>1790</v>
      </c>
      <c r="F997" s="525" t="s">
        <v>1791</v>
      </c>
      <c r="G997" s="525">
        <v>6592</v>
      </c>
      <c r="H997" s="528" t="s">
        <v>925</v>
      </c>
      <c r="I997" s="525" t="s">
        <v>1792</v>
      </c>
      <c r="J997" s="3" t="s">
        <v>58</v>
      </c>
      <c r="K997" s="3" t="s">
        <v>57</v>
      </c>
      <c r="L997" s="350">
        <v>0.7</v>
      </c>
      <c r="M997" s="280" t="s">
        <v>1793</v>
      </c>
      <c r="N997" s="280" t="s">
        <v>1794</v>
      </c>
      <c r="O997" s="280" t="s">
        <v>1795</v>
      </c>
      <c r="P997" s="172">
        <v>0.95</v>
      </c>
      <c r="Q997" s="350">
        <v>0.2</v>
      </c>
      <c r="R997" s="172"/>
      <c r="S997" s="148">
        <f t="shared" si="30"/>
        <v>0</v>
      </c>
      <c r="T997" s="168">
        <f t="shared" si="31"/>
        <v>0</v>
      </c>
      <c r="U997" s="148" t="s">
        <v>34</v>
      </c>
      <c r="V997" s="278">
        <f>SUM(T997:T1006)%</f>
        <v>0</v>
      </c>
      <c r="W997" s="146"/>
    </row>
    <row r="998" spans="1:23" ht="16.05" customHeight="1" x14ac:dyDescent="0.45">
      <c r="A998" s="1">
        <v>997</v>
      </c>
      <c r="B998" s="16" t="s">
        <v>924</v>
      </c>
      <c r="C998" s="530" t="s">
        <v>24</v>
      </c>
      <c r="D998" s="413">
        <v>3681</v>
      </c>
      <c r="E998" s="59" t="s">
        <v>1790</v>
      </c>
      <c r="F998" s="526" t="s">
        <v>1791</v>
      </c>
      <c r="G998" s="526">
        <v>6592</v>
      </c>
      <c r="H998" s="529" t="s">
        <v>925</v>
      </c>
      <c r="I998" s="526" t="s">
        <v>1792</v>
      </c>
      <c r="J998" s="184" t="s">
        <v>58</v>
      </c>
      <c r="K998" s="184" t="s">
        <v>57</v>
      </c>
      <c r="L998" s="360">
        <v>0.7</v>
      </c>
      <c r="M998" s="396" t="s">
        <v>1796</v>
      </c>
      <c r="N998" s="396" t="s">
        <v>1797</v>
      </c>
      <c r="O998" s="396" t="s">
        <v>1798</v>
      </c>
      <c r="P998" s="485">
        <v>0.95</v>
      </c>
      <c r="Q998" s="360">
        <v>0.2</v>
      </c>
      <c r="R998" s="485"/>
      <c r="S998" s="153">
        <f t="shared" si="30"/>
        <v>0</v>
      </c>
      <c r="T998" s="152">
        <f t="shared" si="31"/>
        <v>0</v>
      </c>
      <c r="U998" s="153" t="s">
        <v>34</v>
      </c>
      <c r="V998" s="35"/>
      <c r="W998" s="162"/>
    </row>
    <row r="999" spans="1:23" ht="16.05" customHeight="1" x14ac:dyDescent="0.45">
      <c r="A999" s="1">
        <v>998</v>
      </c>
      <c r="B999" s="16" t="s">
        <v>924</v>
      </c>
      <c r="C999" s="57" t="s">
        <v>24</v>
      </c>
      <c r="D999" s="413">
        <v>3681</v>
      </c>
      <c r="E999" s="59" t="s">
        <v>1790</v>
      </c>
      <c r="F999" s="526" t="s">
        <v>1791</v>
      </c>
      <c r="G999" s="526">
        <v>6592</v>
      </c>
      <c r="H999" s="529" t="s">
        <v>925</v>
      </c>
      <c r="I999" s="526" t="s">
        <v>1792</v>
      </c>
      <c r="J999" s="184" t="s">
        <v>58</v>
      </c>
      <c r="K999" s="184" t="s">
        <v>57</v>
      </c>
      <c r="L999" s="360">
        <v>0.7</v>
      </c>
      <c r="M999" s="396" t="s">
        <v>1799</v>
      </c>
      <c r="N999" s="396" t="s">
        <v>1800</v>
      </c>
      <c r="O999" s="396" t="s">
        <v>1801</v>
      </c>
      <c r="P999" s="485">
        <v>1</v>
      </c>
      <c r="Q999" s="360">
        <v>0.2</v>
      </c>
      <c r="R999" s="485"/>
      <c r="S999" s="153">
        <f t="shared" si="30"/>
        <v>0</v>
      </c>
      <c r="T999" s="152">
        <f t="shared" si="31"/>
        <v>0</v>
      </c>
      <c r="U999" s="153" t="s">
        <v>34</v>
      </c>
      <c r="V999" s="35"/>
      <c r="W999" s="162"/>
    </row>
    <row r="1000" spans="1:23" ht="16.05" customHeight="1" x14ac:dyDescent="0.45">
      <c r="A1000" s="1">
        <v>999</v>
      </c>
      <c r="B1000" s="16" t="s">
        <v>924</v>
      </c>
      <c r="C1000" s="530" t="s">
        <v>24</v>
      </c>
      <c r="D1000" s="413">
        <v>3681</v>
      </c>
      <c r="E1000" s="59" t="s">
        <v>1790</v>
      </c>
      <c r="F1000" s="526" t="s">
        <v>1791</v>
      </c>
      <c r="G1000" s="526">
        <v>6592</v>
      </c>
      <c r="H1000" s="529" t="s">
        <v>925</v>
      </c>
      <c r="I1000" s="526" t="s">
        <v>1792</v>
      </c>
      <c r="J1000" s="184" t="s">
        <v>58</v>
      </c>
      <c r="K1000" s="184" t="s">
        <v>57</v>
      </c>
      <c r="L1000" s="360">
        <v>0.7</v>
      </c>
      <c r="M1000" s="396" t="s">
        <v>1802</v>
      </c>
      <c r="N1000" s="396" t="s">
        <v>1803</v>
      </c>
      <c r="O1000" s="396" t="s">
        <v>1804</v>
      </c>
      <c r="P1000" s="485">
        <v>0.98</v>
      </c>
      <c r="Q1000" s="360">
        <v>0.2</v>
      </c>
      <c r="R1000" s="485"/>
      <c r="S1000" s="153">
        <f t="shared" si="30"/>
        <v>0</v>
      </c>
      <c r="T1000" s="152">
        <f t="shared" si="31"/>
        <v>0</v>
      </c>
      <c r="U1000" s="153" t="s">
        <v>34</v>
      </c>
      <c r="V1000" s="35"/>
      <c r="W1000" s="162"/>
    </row>
    <row r="1001" spans="1:23" ht="16.05" customHeight="1" x14ac:dyDescent="0.45">
      <c r="A1001" s="1">
        <v>1000</v>
      </c>
      <c r="B1001" s="16" t="s">
        <v>924</v>
      </c>
      <c r="C1001" s="57" t="s">
        <v>24</v>
      </c>
      <c r="D1001" s="413">
        <v>3681</v>
      </c>
      <c r="E1001" s="59" t="s">
        <v>1790</v>
      </c>
      <c r="F1001" s="526" t="s">
        <v>1791</v>
      </c>
      <c r="G1001" s="526">
        <v>6592</v>
      </c>
      <c r="H1001" s="529" t="s">
        <v>925</v>
      </c>
      <c r="I1001" s="526" t="s">
        <v>1792</v>
      </c>
      <c r="J1001" s="184" t="s">
        <v>58</v>
      </c>
      <c r="K1001" s="184" t="s">
        <v>57</v>
      </c>
      <c r="L1001" s="360">
        <v>0.7</v>
      </c>
      <c r="M1001" s="396" t="s">
        <v>1805</v>
      </c>
      <c r="N1001" s="396" t="s">
        <v>1806</v>
      </c>
      <c r="O1001" s="396" t="s">
        <v>1807</v>
      </c>
      <c r="P1001" s="488">
        <v>0.9</v>
      </c>
      <c r="Q1001" s="360">
        <v>0.15</v>
      </c>
      <c r="R1001" s="488"/>
      <c r="S1001" s="153">
        <f t="shared" si="30"/>
        <v>0</v>
      </c>
      <c r="T1001" s="152">
        <f t="shared" si="31"/>
        <v>0</v>
      </c>
      <c r="U1001" s="153" t="s">
        <v>34</v>
      </c>
      <c r="V1001" s="35"/>
      <c r="W1001" s="162"/>
    </row>
    <row r="1002" spans="1:23" ht="16.05" customHeight="1" x14ac:dyDescent="0.45">
      <c r="A1002" s="1">
        <v>1001</v>
      </c>
      <c r="B1002" s="16" t="s">
        <v>924</v>
      </c>
      <c r="C1002" s="530" t="s">
        <v>24</v>
      </c>
      <c r="D1002" s="413">
        <v>3681</v>
      </c>
      <c r="E1002" s="59" t="s">
        <v>1790</v>
      </c>
      <c r="F1002" s="526" t="s">
        <v>1791</v>
      </c>
      <c r="G1002" s="526">
        <v>6592</v>
      </c>
      <c r="H1002" s="529" t="s">
        <v>925</v>
      </c>
      <c r="I1002" s="526" t="s">
        <v>1792</v>
      </c>
      <c r="J1002" s="184" t="s">
        <v>58</v>
      </c>
      <c r="K1002" s="184" t="s">
        <v>57</v>
      </c>
      <c r="L1002" s="360">
        <v>0.7</v>
      </c>
      <c r="M1002" s="445" t="s">
        <v>1743</v>
      </c>
      <c r="N1002" s="544" t="s">
        <v>1744</v>
      </c>
      <c r="O1002" s="544" t="s">
        <v>1745</v>
      </c>
      <c r="P1002" s="62">
        <v>1</v>
      </c>
      <c r="Q1002" s="360">
        <v>0.05</v>
      </c>
      <c r="R1002" s="62"/>
      <c r="S1002" s="153">
        <f t="shared" si="30"/>
        <v>0</v>
      </c>
      <c r="T1002" s="152">
        <f t="shared" si="31"/>
        <v>0</v>
      </c>
      <c r="U1002" s="153" t="s">
        <v>34</v>
      </c>
      <c r="V1002" s="35"/>
      <c r="W1002" s="162"/>
    </row>
    <row r="1003" spans="1:23" ht="16.05" customHeight="1" x14ac:dyDescent="0.45">
      <c r="A1003" s="1">
        <v>1002</v>
      </c>
      <c r="B1003" s="16" t="s">
        <v>924</v>
      </c>
      <c r="C1003" s="57" t="s">
        <v>24</v>
      </c>
      <c r="D1003" s="413">
        <v>3681</v>
      </c>
      <c r="E1003" s="59" t="s">
        <v>1790</v>
      </c>
      <c r="F1003" s="526" t="s">
        <v>1791</v>
      </c>
      <c r="G1003" s="526">
        <v>6592</v>
      </c>
      <c r="H1003" s="529" t="s">
        <v>925</v>
      </c>
      <c r="I1003" s="526" t="s">
        <v>1792</v>
      </c>
      <c r="J1003" s="16" t="s">
        <v>111</v>
      </c>
      <c r="K1003" s="16" t="s">
        <v>110</v>
      </c>
      <c r="L1003" s="418">
        <v>0.3</v>
      </c>
      <c r="M1003" s="446" t="s">
        <v>1808</v>
      </c>
      <c r="N1003" s="542" t="s">
        <v>1809</v>
      </c>
      <c r="O1003" s="542"/>
      <c r="P1003" s="422">
        <v>1</v>
      </c>
      <c r="Q1003" s="418">
        <v>0.35</v>
      </c>
      <c r="R1003" s="422"/>
      <c r="S1003" s="156">
        <f t="shared" si="30"/>
        <v>0</v>
      </c>
      <c r="T1003" s="155">
        <f t="shared" si="31"/>
        <v>0</v>
      </c>
      <c r="U1003" s="134" t="s">
        <v>34</v>
      </c>
      <c r="V1003" s="134"/>
      <c r="W1003" s="162"/>
    </row>
    <row r="1004" spans="1:23" ht="16.05" customHeight="1" x14ac:dyDescent="0.45">
      <c r="A1004" s="1">
        <v>1003</v>
      </c>
      <c r="B1004" s="16" t="s">
        <v>924</v>
      </c>
      <c r="C1004" s="530" t="s">
        <v>24</v>
      </c>
      <c r="D1004" s="531">
        <v>3681</v>
      </c>
      <c r="E1004" s="532" t="s">
        <v>1790</v>
      </c>
      <c r="F1004" s="533" t="s">
        <v>1791</v>
      </c>
      <c r="G1004" s="533">
        <v>6592</v>
      </c>
      <c r="H1004" s="534" t="s">
        <v>925</v>
      </c>
      <c r="I1004" s="533" t="s">
        <v>1792</v>
      </c>
      <c r="J1004" s="16" t="s">
        <v>111</v>
      </c>
      <c r="K1004" s="16" t="s">
        <v>110</v>
      </c>
      <c r="L1004" s="535">
        <v>0.3</v>
      </c>
      <c r="M1004" s="536" t="s">
        <v>1810</v>
      </c>
      <c r="N1004" s="537" t="s">
        <v>1811</v>
      </c>
      <c r="O1004" s="537"/>
      <c r="P1004" s="538">
        <v>1</v>
      </c>
      <c r="Q1004" s="535">
        <v>0.2</v>
      </c>
      <c r="R1004" s="538"/>
      <c r="S1004" s="539">
        <f t="shared" si="30"/>
        <v>0</v>
      </c>
      <c r="T1004" s="540">
        <f t="shared" si="31"/>
        <v>0</v>
      </c>
      <c r="U1004" s="541" t="s">
        <v>34</v>
      </c>
      <c r="V1004" s="541"/>
      <c r="W1004" s="73"/>
    </row>
    <row r="1005" spans="1:23" ht="16.05" customHeight="1" x14ac:dyDescent="0.45">
      <c r="A1005" s="1">
        <v>1004</v>
      </c>
      <c r="B1005" s="16" t="s">
        <v>924</v>
      </c>
      <c r="C1005" s="57" t="s">
        <v>24</v>
      </c>
      <c r="D1005" s="413">
        <v>3681</v>
      </c>
      <c r="E1005" s="59" t="s">
        <v>1790</v>
      </c>
      <c r="F1005" s="526" t="s">
        <v>1791</v>
      </c>
      <c r="G1005" s="526">
        <v>6592</v>
      </c>
      <c r="H1005" s="529" t="s">
        <v>925</v>
      </c>
      <c r="I1005" s="526" t="s">
        <v>1792</v>
      </c>
      <c r="J1005" s="16" t="s">
        <v>111</v>
      </c>
      <c r="K1005" s="16" t="s">
        <v>110</v>
      </c>
      <c r="L1005" s="418">
        <v>0.3</v>
      </c>
      <c r="M1005" s="446" t="s">
        <v>1812</v>
      </c>
      <c r="N1005" s="542" t="s">
        <v>1813</v>
      </c>
      <c r="O1005" s="542"/>
      <c r="P1005" s="422">
        <v>1</v>
      </c>
      <c r="Q1005" s="418">
        <v>0.3</v>
      </c>
      <c r="R1005" s="422"/>
      <c r="S1005" s="156">
        <f t="shared" si="30"/>
        <v>0</v>
      </c>
      <c r="T1005" s="155">
        <f t="shared" si="31"/>
        <v>0</v>
      </c>
      <c r="U1005" s="134" t="s">
        <v>34</v>
      </c>
      <c r="V1005" s="134"/>
      <c r="W1005" s="73"/>
    </row>
    <row r="1006" spans="1:23" ht="16.05" customHeight="1" x14ac:dyDescent="0.45">
      <c r="A1006" s="1">
        <v>1005</v>
      </c>
      <c r="B1006" s="16" t="s">
        <v>924</v>
      </c>
      <c r="C1006" s="530" t="s">
        <v>24</v>
      </c>
      <c r="D1006" s="531">
        <v>3681</v>
      </c>
      <c r="E1006" s="532" t="s">
        <v>1790</v>
      </c>
      <c r="F1006" s="533" t="s">
        <v>1791</v>
      </c>
      <c r="G1006" s="533">
        <v>6592</v>
      </c>
      <c r="H1006" s="534" t="s">
        <v>925</v>
      </c>
      <c r="I1006" s="533" t="s">
        <v>1792</v>
      </c>
      <c r="J1006" s="16" t="s">
        <v>111</v>
      </c>
      <c r="K1006" s="16" t="s">
        <v>110</v>
      </c>
      <c r="L1006" s="535">
        <v>0.3</v>
      </c>
      <c r="M1006" s="536" t="s">
        <v>1814</v>
      </c>
      <c r="N1006" s="537" t="s">
        <v>1815</v>
      </c>
      <c r="O1006" s="537"/>
      <c r="P1006" s="538">
        <v>1</v>
      </c>
      <c r="Q1006" s="535">
        <v>0.15</v>
      </c>
      <c r="R1006" s="538"/>
      <c r="S1006" s="539">
        <f t="shared" si="30"/>
        <v>0</v>
      </c>
      <c r="T1006" s="540">
        <f t="shared" si="31"/>
        <v>0</v>
      </c>
      <c r="U1006" s="541" t="s">
        <v>34</v>
      </c>
      <c r="V1006" s="541"/>
      <c r="W1006" s="73"/>
    </row>
    <row r="1007" spans="1:23" ht="16.05" customHeight="1" x14ac:dyDescent="0.45">
      <c r="A1007" s="1">
        <v>1006</v>
      </c>
      <c r="B1007" s="3" t="s">
        <v>924</v>
      </c>
      <c r="C1007" s="2" t="s">
        <v>24</v>
      </c>
      <c r="D1007" s="349">
        <v>3527</v>
      </c>
      <c r="E1007" s="99" t="s">
        <v>1816</v>
      </c>
      <c r="F1007" s="525" t="s">
        <v>1817</v>
      </c>
      <c r="G1007" s="525">
        <v>6592</v>
      </c>
      <c r="H1007" s="528" t="s">
        <v>925</v>
      </c>
      <c r="I1007" s="525" t="s">
        <v>1818</v>
      </c>
      <c r="J1007" s="3" t="s">
        <v>58</v>
      </c>
      <c r="K1007" s="3" t="s">
        <v>57</v>
      </c>
      <c r="L1007" s="350">
        <v>0.7</v>
      </c>
      <c r="M1007" s="444" t="s">
        <v>1819</v>
      </c>
      <c r="N1007" s="543" t="s">
        <v>1820</v>
      </c>
      <c r="O1007" s="543" t="s">
        <v>1821</v>
      </c>
      <c r="P1007" s="103">
        <v>0.95</v>
      </c>
      <c r="Q1007" s="350">
        <v>0.1</v>
      </c>
      <c r="R1007" s="103"/>
      <c r="S1007" s="148">
        <f t="shared" si="30"/>
        <v>0</v>
      </c>
      <c r="T1007" s="168">
        <f t="shared" si="31"/>
        <v>0</v>
      </c>
      <c r="U1007" s="148" t="s">
        <v>34</v>
      </c>
      <c r="V1007" s="278">
        <f>SUM(T1007:T1015)%</f>
        <v>0</v>
      </c>
      <c r="W1007" s="146"/>
    </row>
    <row r="1008" spans="1:23" ht="16.05" customHeight="1" x14ac:dyDescent="0.45">
      <c r="A1008" s="1">
        <v>1007</v>
      </c>
      <c r="B1008" s="16" t="s">
        <v>924</v>
      </c>
      <c r="C1008" s="530" t="s">
        <v>24</v>
      </c>
      <c r="D1008" s="413">
        <v>3527</v>
      </c>
      <c r="E1008" s="59" t="s">
        <v>1816</v>
      </c>
      <c r="F1008" s="526" t="s">
        <v>1817</v>
      </c>
      <c r="G1008" s="526">
        <v>6592</v>
      </c>
      <c r="H1008" s="529" t="s">
        <v>925</v>
      </c>
      <c r="I1008" s="526" t="s">
        <v>1818</v>
      </c>
      <c r="J1008" s="184" t="s">
        <v>58</v>
      </c>
      <c r="K1008" s="184" t="s">
        <v>57</v>
      </c>
      <c r="L1008" s="360">
        <v>0.7</v>
      </c>
      <c r="M1008" s="445" t="s">
        <v>1822</v>
      </c>
      <c r="N1008" s="544" t="s">
        <v>1721</v>
      </c>
      <c r="O1008" s="544" t="s">
        <v>1722</v>
      </c>
      <c r="P1008" s="62">
        <v>0.95</v>
      </c>
      <c r="Q1008" s="360">
        <v>0.1</v>
      </c>
      <c r="R1008" s="62"/>
      <c r="S1008" s="153">
        <f t="shared" si="30"/>
        <v>0</v>
      </c>
      <c r="T1008" s="152">
        <f t="shared" si="31"/>
        <v>0</v>
      </c>
      <c r="U1008" s="153" t="s">
        <v>34</v>
      </c>
      <c r="V1008" s="35"/>
      <c r="W1008" s="162"/>
    </row>
    <row r="1009" spans="1:23" ht="16.05" customHeight="1" x14ac:dyDescent="0.45">
      <c r="A1009" s="1">
        <v>1008</v>
      </c>
      <c r="B1009" s="16" t="s">
        <v>924</v>
      </c>
      <c r="C1009" s="57" t="s">
        <v>24</v>
      </c>
      <c r="D1009" s="413">
        <v>3527</v>
      </c>
      <c r="E1009" s="59" t="s">
        <v>1816</v>
      </c>
      <c r="F1009" s="526" t="s">
        <v>1817</v>
      </c>
      <c r="G1009" s="526">
        <v>6592</v>
      </c>
      <c r="H1009" s="529" t="s">
        <v>925</v>
      </c>
      <c r="I1009" s="526" t="s">
        <v>1818</v>
      </c>
      <c r="J1009" s="184" t="s">
        <v>58</v>
      </c>
      <c r="K1009" s="184" t="s">
        <v>57</v>
      </c>
      <c r="L1009" s="360">
        <v>0.7</v>
      </c>
      <c r="M1009" s="445" t="s">
        <v>1823</v>
      </c>
      <c r="N1009" s="184" t="s">
        <v>1824</v>
      </c>
      <c r="O1009" s="184" t="s">
        <v>1825</v>
      </c>
      <c r="P1009" s="62">
        <v>0.05</v>
      </c>
      <c r="Q1009" s="360">
        <v>0.1</v>
      </c>
      <c r="R1009" s="62"/>
      <c r="S1009" s="153">
        <f t="shared" si="30"/>
        <v>0</v>
      </c>
      <c r="T1009" s="152">
        <f t="shared" si="31"/>
        <v>0</v>
      </c>
      <c r="U1009" s="153" t="s">
        <v>83</v>
      </c>
      <c r="V1009" s="35"/>
      <c r="W1009" s="162"/>
    </row>
    <row r="1010" spans="1:23" ht="16.05" customHeight="1" x14ac:dyDescent="0.45">
      <c r="A1010" s="1">
        <v>1009</v>
      </c>
      <c r="B1010" s="16" t="s">
        <v>924</v>
      </c>
      <c r="C1010" s="530" t="s">
        <v>24</v>
      </c>
      <c r="D1010" s="413">
        <v>3527</v>
      </c>
      <c r="E1010" s="59" t="s">
        <v>1816</v>
      </c>
      <c r="F1010" s="526" t="s">
        <v>1817</v>
      </c>
      <c r="G1010" s="526">
        <v>6592</v>
      </c>
      <c r="H1010" s="529" t="s">
        <v>925</v>
      </c>
      <c r="I1010" s="526" t="s">
        <v>1818</v>
      </c>
      <c r="J1010" s="184" t="s">
        <v>58</v>
      </c>
      <c r="K1010" s="184" t="s">
        <v>57</v>
      </c>
      <c r="L1010" s="360">
        <v>0.7</v>
      </c>
      <c r="M1010" s="445" t="s">
        <v>1826</v>
      </c>
      <c r="N1010" s="544" t="s">
        <v>1827</v>
      </c>
      <c r="O1010" s="544" t="s">
        <v>1828</v>
      </c>
      <c r="P1010" s="62">
        <v>0.05</v>
      </c>
      <c r="Q1010" s="360">
        <v>0.15</v>
      </c>
      <c r="R1010" s="62"/>
      <c r="S1010" s="153">
        <f t="shared" si="30"/>
        <v>0</v>
      </c>
      <c r="T1010" s="152">
        <f t="shared" si="31"/>
        <v>0</v>
      </c>
      <c r="U1010" s="153" t="s">
        <v>83</v>
      </c>
      <c r="V1010" s="35"/>
      <c r="W1010" s="162"/>
    </row>
    <row r="1011" spans="1:23" ht="16.05" customHeight="1" x14ac:dyDescent="0.45">
      <c r="A1011" s="1">
        <v>1010</v>
      </c>
      <c r="B1011" s="16" t="s">
        <v>924</v>
      </c>
      <c r="C1011" s="57" t="s">
        <v>24</v>
      </c>
      <c r="D1011" s="413">
        <v>3527</v>
      </c>
      <c r="E1011" s="59" t="s">
        <v>1816</v>
      </c>
      <c r="F1011" s="526" t="s">
        <v>1817</v>
      </c>
      <c r="G1011" s="526">
        <v>6592</v>
      </c>
      <c r="H1011" s="529" t="s">
        <v>925</v>
      </c>
      <c r="I1011" s="526" t="s">
        <v>1818</v>
      </c>
      <c r="J1011" s="184" t="s">
        <v>58</v>
      </c>
      <c r="K1011" s="184" t="s">
        <v>57</v>
      </c>
      <c r="L1011" s="360">
        <v>0.7</v>
      </c>
      <c r="M1011" s="445" t="s">
        <v>1740</v>
      </c>
      <c r="N1011" s="544" t="s">
        <v>1829</v>
      </c>
      <c r="O1011" s="544" t="s">
        <v>1742</v>
      </c>
      <c r="P1011" s="62">
        <v>0.9</v>
      </c>
      <c r="Q1011" s="360">
        <v>0.15</v>
      </c>
      <c r="R1011" s="62"/>
      <c r="S1011" s="153">
        <f t="shared" si="30"/>
        <v>0</v>
      </c>
      <c r="T1011" s="152">
        <f t="shared" si="31"/>
        <v>0</v>
      </c>
      <c r="U1011" s="153" t="s">
        <v>34</v>
      </c>
      <c r="V1011" s="35"/>
      <c r="W1011" s="162"/>
    </row>
    <row r="1012" spans="1:23" ht="16.05" customHeight="1" x14ac:dyDescent="0.45">
      <c r="A1012" s="1">
        <v>1011</v>
      </c>
      <c r="B1012" s="16" t="s">
        <v>924</v>
      </c>
      <c r="C1012" s="530" t="s">
        <v>24</v>
      </c>
      <c r="D1012" s="413">
        <v>3527</v>
      </c>
      <c r="E1012" s="59" t="s">
        <v>1816</v>
      </c>
      <c r="F1012" s="526" t="s">
        <v>1817</v>
      </c>
      <c r="G1012" s="526">
        <v>6592</v>
      </c>
      <c r="H1012" s="529" t="s">
        <v>925</v>
      </c>
      <c r="I1012" s="526" t="s">
        <v>1818</v>
      </c>
      <c r="J1012" s="184" t="s">
        <v>58</v>
      </c>
      <c r="K1012" s="184" t="s">
        <v>57</v>
      </c>
      <c r="L1012" s="360">
        <v>0.7</v>
      </c>
      <c r="M1012" s="445" t="s">
        <v>1830</v>
      </c>
      <c r="N1012" s="544" t="s">
        <v>1831</v>
      </c>
      <c r="O1012" s="544" t="s">
        <v>1734</v>
      </c>
      <c r="P1012" s="61">
        <v>0</v>
      </c>
      <c r="Q1012" s="360">
        <v>0.15</v>
      </c>
      <c r="R1012" s="61"/>
      <c r="S1012" s="153">
        <f t="shared" si="30"/>
        <v>0</v>
      </c>
      <c r="T1012" s="152">
        <f t="shared" si="31"/>
        <v>0</v>
      </c>
      <c r="U1012" s="153" t="s">
        <v>83</v>
      </c>
      <c r="V1012" s="35"/>
      <c r="W1012" s="162"/>
    </row>
    <row r="1013" spans="1:23" ht="16.05" customHeight="1" x14ac:dyDescent="0.45">
      <c r="A1013" s="1">
        <v>1012</v>
      </c>
      <c r="B1013" s="16" t="s">
        <v>924</v>
      </c>
      <c r="C1013" s="57" t="s">
        <v>24</v>
      </c>
      <c r="D1013" s="413">
        <v>3527</v>
      </c>
      <c r="E1013" s="59" t="s">
        <v>1816</v>
      </c>
      <c r="F1013" s="526" t="s">
        <v>1817</v>
      </c>
      <c r="G1013" s="526">
        <v>6592</v>
      </c>
      <c r="H1013" s="529" t="s">
        <v>925</v>
      </c>
      <c r="I1013" s="526" t="s">
        <v>1818</v>
      </c>
      <c r="J1013" s="184" t="s">
        <v>58</v>
      </c>
      <c r="K1013" s="184" t="s">
        <v>57</v>
      </c>
      <c r="L1013" s="360">
        <v>0.7</v>
      </c>
      <c r="M1013" s="445" t="s">
        <v>1726</v>
      </c>
      <c r="N1013" s="544" t="s">
        <v>1727</v>
      </c>
      <c r="O1013" s="544" t="s">
        <v>1728</v>
      </c>
      <c r="P1013" s="62">
        <v>0.7</v>
      </c>
      <c r="Q1013" s="360">
        <v>0.15</v>
      </c>
      <c r="R1013" s="62"/>
      <c r="S1013" s="153">
        <f t="shared" si="30"/>
        <v>0</v>
      </c>
      <c r="T1013" s="152">
        <f t="shared" si="31"/>
        <v>0</v>
      </c>
      <c r="U1013" s="153" t="s">
        <v>34</v>
      </c>
      <c r="V1013" s="35"/>
      <c r="W1013" s="162"/>
    </row>
    <row r="1014" spans="1:23" ht="16.05" customHeight="1" x14ac:dyDescent="0.45">
      <c r="A1014" s="1">
        <v>1013</v>
      </c>
      <c r="B1014" s="16" t="s">
        <v>924</v>
      </c>
      <c r="C1014" s="530" t="s">
        <v>24</v>
      </c>
      <c r="D1014" s="413">
        <v>3527</v>
      </c>
      <c r="E1014" s="59" t="s">
        <v>1816</v>
      </c>
      <c r="F1014" s="526" t="s">
        <v>1817</v>
      </c>
      <c r="G1014" s="526">
        <v>6592</v>
      </c>
      <c r="H1014" s="529" t="s">
        <v>925</v>
      </c>
      <c r="I1014" s="526" t="s">
        <v>1818</v>
      </c>
      <c r="J1014" s="184" t="s">
        <v>58</v>
      </c>
      <c r="K1014" s="184" t="s">
        <v>57</v>
      </c>
      <c r="L1014" s="360">
        <v>0.7</v>
      </c>
      <c r="M1014" s="445" t="s">
        <v>1743</v>
      </c>
      <c r="N1014" s="544" t="s">
        <v>1744</v>
      </c>
      <c r="O1014" s="544" t="s">
        <v>1745</v>
      </c>
      <c r="P1014" s="62">
        <v>1</v>
      </c>
      <c r="Q1014" s="360">
        <v>0.1</v>
      </c>
      <c r="R1014" s="62"/>
      <c r="S1014" s="153">
        <f t="shared" si="30"/>
        <v>0</v>
      </c>
      <c r="T1014" s="152">
        <f t="shared" si="31"/>
        <v>0</v>
      </c>
      <c r="U1014" s="153" t="s">
        <v>34</v>
      </c>
      <c r="V1014" s="35"/>
      <c r="W1014" s="162"/>
    </row>
    <row r="1015" spans="1:23" ht="16.05" customHeight="1" x14ac:dyDescent="0.45">
      <c r="A1015" s="1">
        <v>1014</v>
      </c>
      <c r="B1015" s="16" t="s">
        <v>924</v>
      </c>
      <c r="C1015" s="57" t="s">
        <v>24</v>
      </c>
      <c r="D1015" s="413">
        <v>3527</v>
      </c>
      <c r="E1015" s="59" t="s">
        <v>1816</v>
      </c>
      <c r="F1015" s="526" t="s">
        <v>1817</v>
      </c>
      <c r="G1015" s="526">
        <v>6592</v>
      </c>
      <c r="H1015" s="529" t="s">
        <v>925</v>
      </c>
      <c r="I1015" s="526" t="s">
        <v>1818</v>
      </c>
      <c r="J1015" s="16" t="s">
        <v>111</v>
      </c>
      <c r="K1015" s="16" t="s">
        <v>110</v>
      </c>
      <c r="L1015" s="418">
        <v>0.3</v>
      </c>
      <c r="M1015" s="446" t="s">
        <v>1832</v>
      </c>
      <c r="N1015" s="542" t="s">
        <v>1833</v>
      </c>
      <c r="O1015" s="542"/>
      <c r="P1015" s="422">
        <v>1</v>
      </c>
      <c r="Q1015" s="418">
        <v>1</v>
      </c>
      <c r="R1015" s="422"/>
      <c r="S1015" s="156">
        <f t="shared" si="30"/>
        <v>0</v>
      </c>
      <c r="T1015" s="155">
        <f t="shared" si="31"/>
        <v>0</v>
      </c>
      <c r="U1015" s="134" t="s">
        <v>34</v>
      </c>
      <c r="V1015" s="134"/>
      <c r="W1015" s="73"/>
    </row>
    <row r="1016" spans="1:23" ht="16.05" customHeight="1" x14ac:dyDescent="0.45">
      <c r="A1016" s="1">
        <v>1015</v>
      </c>
      <c r="B1016" s="3" t="s">
        <v>924</v>
      </c>
      <c r="C1016" s="2" t="s">
        <v>24</v>
      </c>
      <c r="D1016" s="349">
        <v>6328</v>
      </c>
      <c r="E1016" s="99" t="s">
        <v>1834</v>
      </c>
      <c r="F1016" s="525" t="s">
        <v>1835</v>
      </c>
      <c r="G1016" s="525">
        <v>5595</v>
      </c>
      <c r="H1016" s="528" t="s">
        <v>1717</v>
      </c>
      <c r="I1016" s="525" t="s">
        <v>1719</v>
      </c>
      <c r="J1016" s="3" t="s">
        <v>58</v>
      </c>
      <c r="K1016" s="3" t="s">
        <v>57</v>
      </c>
      <c r="L1016" s="350">
        <v>0.7</v>
      </c>
      <c r="M1016" s="280" t="s">
        <v>1723</v>
      </c>
      <c r="N1016" s="3" t="s">
        <v>1724</v>
      </c>
      <c r="O1016" s="280" t="s">
        <v>1725</v>
      </c>
      <c r="P1016" s="148">
        <v>0.95</v>
      </c>
      <c r="Q1016" s="350">
        <v>0.15</v>
      </c>
      <c r="R1016" s="148"/>
      <c r="S1016" s="148">
        <f t="shared" si="30"/>
        <v>0</v>
      </c>
      <c r="T1016" s="168">
        <f t="shared" si="31"/>
        <v>0</v>
      </c>
      <c r="U1016" s="148" t="s">
        <v>34</v>
      </c>
      <c r="V1016" s="278">
        <f>SUM(T1016:T1023)%</f>
        <v>0</v>
      </c>
      <c r="W1016" s="146"/>
    </row>
    <row r="1017" spans="1:23" ht="16.05" customHeight="1" x14ac:dyDescent="0.45">
      <c r="A1017" s="1">
        <v>1016</v>
      </c>
      <c r="B1017" s="16" t="s">
        <v>924</v>
      </c>
      <c r="C1017" s="530" t="s">
        <v>24</v>
      </c>
      <c r="D1017" s="413">
        <v>6328</v>
      </c>
      <c r="E1017" s="59" t="s">
        <v>1834</v>
      </c>
      <c r="F1017" s="526" t="s">
        <v>1835</v>
      </c>
      <c r="G1017" s="526">
        <v>5595</v>
      </c>
      <c r="H1017" s="529" t="s">
        <v>1717</v>
      </c>
      <c r="I1017" s="526" t="s">
        <v>1719</v>
      </c>
      <c r="J1017" s="184" t="s">
        <v>58</v>
      </c>
      <c r="K1017" s="184" t="s">
        <v>57</v>
      </c>
      <c r="L1017" s="360">
        <v>0.7</v>
      </c>
      <c r="M1017" s="396" t="s">
        <v>1836</v>
      </c>
      <c r="N1017" s="184" t="s">
        <v>1837</v>
      </c>
      <c r="O1017" s="184" t="s">
        <v>1838</v>
      </c>
      <c r="P1017" s="153">
        <v>0.95</v>
      </c>
      <c r="Q1017" s="360">
        <v>0.15</v>
      </c>
      <c r="R1017" s="153"/>
      <c r="S1017" s="153">
        <f t="shared" si="30"/>
        <v>0</v>
      </c>
      <c r="T1017" s="152">
        <f t="shared" si="31"/>
        <v>0</v>
      </c>
      <c r="U1017" s="153" t="s">
        <v>34</v>
      </c>
      <c r="V1017" s="153"/>
      <c r="W1017" s="162"/>
    </row>
    <row r="1018" spans="1:23" ht="16.05" customHeight="1" x14ac:dyDescent="0.45">
      <c r="A1018" s="1">
        <v>1017</v>
      </c>
      <c r="B1018" s="16" t="s">
        <v>924</v>
      </c>
      <c r="C1018" s="57" t="s">
        <v>24</v>
      </c>
      <c r="D1018" s="413">
        <v>6328</v>
      </c>
      <c r="E1018" s="59" t="s">
        <v>1834</v>
      </c>
      <c r="F1018" s="526" t="s">
        <v>1835</v>
      </c>
      <c r="G1018" s="526">
        <v>5595</v>
      </c>
      <c r="H1018" s="529" t="s">
        <v>1717</v>
      </c>
      <c r="I1018" s="526" t="s">
        <v>1719</v>
      </c>
      <c r="J1018" s="184" t="s">
        <v>58</v>
      </c>
      <c r="K1018" s="184" t="s">
        <v>57</v>
      </c>
      <c r="L1018" s="360">
        <v>0.7</v>
      </c>
      <c r="M1018" s="396" t="s">
        <v>1823</v>
      </c>
      <c r="N1018" s="184" t="s">
        <v>1824</v>
      </c>
      <c r="O1018" s="184" t="s">
        <v>1825</v>
      </c>
      <c r="P1018" s="391">
        <v>0.05</v>
      </c>
      <c r="Q1018" s="360">
        <v>0.1</v>
      </c>
      <c r="R1018" s="391"/>
      <c r="S1018" s="153">
        <f t="shared" si="30"/>
        <v>0</v>
      </c>
      <c r="T1018" s="152">
        <f t="shared" si="31"/>
        <v>0</v>
      </c>
      <c r="U1018" s="153" t="s">
        <v>83</v>
      </c>
      <c r="V1018" s="153"/>
      <c r="W1018" s="162"/>
    </row>
    <row r="1019" spans="1:23" ht="16.05" customHeight="1" x14ac:dyDescent="0.45">
      <c r="A1019" s="1">
        <v>1018</v>
      </c>
      <c r="B1019" s="16" t="s">
        <v>924</v>
      </c>
      <c r="C1019" s="530" t="s">
        <v>24</v>
      </c>
      <c r="D1019" s="413">
        <v>6328</v>
      </c>
      <c r="E1019" s="59" t="s">
        <v>1834</v>
      </c>
      <c r="F1019" s="526" t="s">
        <v>1835</v>
      </c>
      <c r="G1019" s="526">
        <v>5595</v>
      </c>
      <c r="H1019" s="529" t="s">
        <v>1717</v>
      </c>
      <c r="I1019" s="526" t="s">
        <v>1719</v>
      </c>
      <c r="J1019" s="184" t="s">
        <v>58</v>
      </c>
      <c r="K1019" s="184" t="s">
        <v>57</v>
      </c>
      <c r="L1019" s="360">
        <v>0.7</v>
      </c>
      <c r="M1019" s="396" t="s">
        <v>1839</v>
      </c>
      <c r="N1019" s="184" t="s">
        <v>1840</v>
      </c>
      <c r="O1019" s="451" t="s">
        <v>1841</v>
      </c>
      <c r="P1019" s="153">
        <v>0.95</v>
      </c>
      <c r="Q1019" s="360">
        <v>0.1</v>
      </c>
      <c r="R1019" s="153"/>
      <c r="S1019" s="153">
        <f t="shared" si="30"/>
        <v>0</v>
      </c>
      <c r="T1019" s="152">
        <f t="shared" si="31"/>
        <v>0</v>
      </c>
      <c r="U1019" s="153" t="s">
        <v>34</v>
      </c>
      <c r="V1019" s="153"/>
      <c r="W1019" s="162"/>
    </row>
    <row r="1020" spans="1:23" ht="16.05" customHeight="1" x14ac:dyDescent="0.45">
      <c r="A1020" s="1">
        <v>1019</v>
      </c>
      <c r="B1020" s="16" t="s">
        <v>924</v>
      </c>
      <c r="C1020" s="57" t="s">
        <v>24</v>
      </c>
      <c r="D1020" s="413">
        <v>6328</v>
      </c>
      <c r="E1020" s="59" t="s">
        <v>1834</v>
      </c>
      <c r="F1020" s="526" t="s">
        <v>1835</v>
      </c>
      <c r="G1020" s="526">
        <v>5595</v>
      </c>
      <c r="H1020" s="529" t="s">
        <v>1717</v>
      </c>
      <c r="I1020" s="526" t="s">
        <v>1719</v>
      </c>
      <c r="J1020" s="184" t="s">
        <v>58</v>
      </c>
      <c r="K1020" s="184" t="s">
        <v>57</v>
      </c>
      <c r="L1020" s="360">
        <v>0.7</v>
      </c>
      <c r="M1020" s="287" t="s">
        <v>1842</v>
      </c>
      <c r="N1020" s="64" t="s">
        <v>1843</v>
      </c>
      <c r="O1020" s="64" t="s">
        <v>1844</v>
      </c>
      <c r="P1020" s="153">
        <v>0.9</v>
      </c>
      <c r="Q1020" s="360">
        <v>0.2</v>
      </c>
      <c r="R1020" s="153"/>
      <c r="S1020" s="153">
        <f t="shared" si="30"/>
        <v>0</v>
      </c>
      <c r="T1020" s="42">
        <f t="shared" si="31"/>
        <v>0</v>
      </c>
      <c r="U1020" s="35" t="s">
        <v>34</v>
      </c>
      <c r="V1020" s="35"/>
      <c r="W1020" s="162"/>
    </row>
    <row r="1021" spans="1:23" ht="16.05" customHeight="1" x14ac:dyDescent="0.45">
      <c r="A1021" s="1">
        <v>1020</v>
      </c>
      <c r="B1021" s="16" t="s">
        <v>924</v>
      </c>
      <c r="C1021" s="530" t="s">
        <v>24</v>
      </c>
      <c r="D1021" s="413">
        <v>6328</v>
      </c>
      <c r="E1021" s="59" t="s">
        <v>1834</v>
      </c>
      <c r="F1021" s="526" t="s">
        <v>1835</v>
      </c>
      <c r="G1021" s="526">
        <v>5595</v>
      </c>
      <c r="H1021" s="529" t="s">
        <v>1717</v>
      </c>
      <c r="I1021" s="526" t="s">
        <v>1719</v>
      </c>
      <c r="J1021" s="184" t="s">
        <v>58</v>
      </c>
      <c r="K1021" s="184" t="s">
        <v>57</v>
      </c>
      <c r="L1021" s="360">
        <v>0.7</v>
      </c>
      <c r="M1021" s="287" t="s">
        <v>1845</v>
      </c>
      <c r="N1021" s="64" t="s">
        <v>1846</v>
      </c>
      <c r="O1021" s="64" t="s">
        <v>1847</v>
      </c>
      <c r="P1021" s="152">
        <v>0</v>
      </c>
      <c r="Q1021" s="360">
        <v>0.1</v>
      </c>
      <c r="R1021" s="152"/>
      <c r="S1021" s="153">
        <f t="shared" si="30"/>
        <v>0</v>
      </c>
      <c r="T1021" s="42">
        <f t="shared" si="31"/>
        <v>0</v>
      </c>
      <c r="U1021" s="35" t="s">
        <v>83</v>
      </c>
      <c r="V1021" s="35"/>
      <c r="W1021" s="162"/>
    </row>
    <row r="1022" spans="1:23" ht="16.05" customHeight="1" x14ac:dyDescent="0.45">
      <c r="A1022" s="1">
        <v>1021</v>
      </c>
      <c r="B1022" s="16" t="s">
        <v>924</v>
      </c>
      <c r="C1022" s="57" t="s">
        <v>24</v>
      </c>
      <c r="D1022" s="413">
        <v>6328</v>
      </c>
      <c r="E1022" s="59" t="s">
        <v>1834</v>
      </c>
      <c r="F1022" s="526" t="s">
        <v>1835</v>
      </c>
      <c r="G1022" s="526">
        <v>5595</v>
      </c>
      <c r="H1022" s="529" t="s">
        <v>1717</v>
      </c>
      <c r="I1022" s="526" t="s">
        <v>1719</v>
      </c>
      <c r="J1022" s="184" t="s">
        <v>58</v>
      </c>
      <c r="K1022" s="184" t="s">
        <v>57</v>
      </c>
      <c r="L1022" s="360">
        <v>0.7</v>
      </c>
      <c r="M1022" s="287" t="s">
        <v>1848</v>
      </c>
      <c r="N1022" s="64" t="s">
        <v>1849</v>
      </c>
      <c r="O1022" s="287" t="s">
        <v>1850</v>
      </c>
      <c r="P1022" s="153">
        <v>0.9</v>
      </c>
      <c r="Q1022" s="360">
        <v>0.2</v>
      </c>
      <c r="R1022" s="153"/>
      <c r="S1022" s="153">
        <f t="shared" si="30"/>
        <v>0</v>
      </c>
      <c r="T1022" s="42">
        <f t="shared" si="31"/>
        <v>0</v>
      </c>
      <c r="U1022" s="35" t="s">
        <v>34</v>
      </c>
      <c r="V1022" s="35"/>
      <c r="W1022" s="162"/>
    </row>
    <row r="1023" spans="1:23" ht="16.05" customHeight="1" x14ac:dyDescent="0.45">
      <c r="A1023" s="1">
        <v>1022</v>
      </c>
      <c r="B1023" s="16" t="s">
        <v>924</v>
      </c>
      <c r="C1023" s="530" t="s">
        <v>24</v>
      </c>
      <c r="D1023" s="531">
        <v>6328</v>
      </c>
      <c r="E1023" s="532" t="s">
        <v>1834</v>
      </c>
      <c r="F1023" s="533" t="s">
        <v>1835</v>
      </c>
      <c r="G1023" s="533">
        <v>5595</v>
      </c>
      <c r="H1023" s="534" t="s">
        <v>1717</v>
      </c>
      <c r="I1023" s="533" t="s">
        <v>1719</v>
      </c>
      <c r="J1023" s="16" t="s">
        <v>111</v>
      </c>
      <c r="K1023" s="16" t="s">
        <v>110</v>
      </c>
      <c r="L1023" s="535">
        <v>0.3</v>
      </c>
      <c r="M1023" s="548" t="s">
        <v>1851</v>
      </c>
      <c r="N1023" s="549" t="s">
        <v>1852</v>
      </c>
      <c r="O1023" s="548" t="s">
        <v>1853</v>
      </c>
      <c r="P1023" s="539">
        <v>1</v>
      </c>
      <c r="Q1023" s="535">
        <v>1</v>
      </c>
      <c r="R1023" s="539"/>
      <c r="S1023" s="539">
        <f t="shared" si="30"/>
        <v>0</v>
      </c>
      <c r="T1023" s="550">
        <f t="shared" si="31"/>
        <v>0</v>
      </c>
      <c r="U1023" s="541" t="s">
        <v>34</v>
      </c>
      <c r="V1023" s="541"/>
      <c r="W1023" s="73"/>
    </row>
    <row r="1024" spans="1:23" ht="16.05" customHeight="1" x14ac:dyDescent="0.45">
      <c r="A1024" s="1">
        <v>1023</v>
      </c>
      <c r="B1024" s="3" t="s">
        <v>924</v>
      </c>
      <c r="C1024" s="2" t="s">
        <v>24</v>
      </c>
      <c r="D1024" s="349">
        <v>6556</v>
      </c>
      <c r="E1024" s="99" t="s">
        <v>1854</v>
      </c>
      <c r="F1024" s="525" t="s">
        <v>1855</v>
      </c>
      <c r="G1024" s="525">
        <v>5595</v>
      </c>
      <c r="H1024" s="528" t="s">
        <v>1717</v>
      </c>
      <c r="I1024" s="525" t="s">
        <v>1719</v>
      </c>
      <c r="J1024" s="3" t="s">
        <v>58</v>
      </c>
      <c r="K1024" s="3" t="s">
        <v>57</v>
      </c>
      <c r="L1024" s="350">
        <v>1</v>
      </c>
      <c r="M1024" s="280" t="s">
        <v>1856</v>
      </c>
      <c r="N1024" s="280" t="s">
        <v>1857</v>
      </c>
      <c r="O1024" s="280" t="s">
        <v>1858</v>
      </c>
      <c r="P1024" s="148">
        <v>0.98</v>
      </c>
      <c r="Q1024" s="350">
        <v>0.2</v>
      </c>
      <c r="R1024" s="148"/>
      <c r="S1024" s="148">
        <f t="shared" si="30"/>
        <v>0</v>
      </c>
      <c r="T1024" s="168">
        <f t="shared" si="31"/>
        <v>0</v>
      </c>
      <c r="U1024" s="148" t="s">
        <v>34</v>
      </c>
      <c r="V1024" s="278">
        <f>SUM(T1024:T1030)%</f>
        <v>0</v>
      </c>
      <c r="W1024" s="146"/>
    </row>
    <row r="1025" spans="1:23" ht="16.05" customHeight="1" x14ac:dyDescent="0.45">
      <c r="A1025" s="1">
        <v>1024</v>
      </c>
      <c r="B1025" s="16" t="s">
        <v>924</v>
      </c>
      <c r="C1025" s="530" t="s">
        <v>24</v>
      </c>
      <c r="D1025" s="413">
        <v>6556</v>
      </c>
      <c r="E1025" s="59" t="s">
        <v>1854</v>
      </c>
      <c r="F1025" s="526" t="s">
        <v>1855</v>
      </c>
      <c r="G1025" s="526">
        <v>5595</v>
      </c>
      <c r="H1025" s="529" t="s">
        <v>1717</v>
      </c>
      <c r="I1025" s="526" t="s">
        <v>1719</v>
      </c>
      <c r="J1025" s="184" t="s">
        <v>58</v>
      </c>
      <c r="K1025" s="184" t="s">
        <v>57</v>
      </c>
      <c r="L1025" s="360">
        <v>1</v>
      </c>
      <c r="M1025" s="396" t="s">
        <v>1839</v>
      </c>
      <c r="N1025" s="184" t="s">
        <v>1840</v>
      </c>
      <c r="O1025" s="451" t="s">
        <v>1841</v>
      </c>
      <c r="P1025" s="153">
        <v>0.95</v>
      </c>
      <c r="Q1025" s="360">
        <v>0.15</v>
      </c>
      <c r="R1025" s="153"/>
      <c r="S1025" s="153">
        <f t="shared" si="30"/>
        <v>0</v>
      </c>
      <c r="T1025" s="152">
        <f t="shared" si="31"/>
        <v>0</v>
      </c>
      <c r="U1025" s="153" t="s">
        <v>34</v>
      </c>
      <c r="V1025" s="153"/>
      <c r="W1025" s="162"/>
    </row>
    <row r="1026" spans="1:23" ht="16.05" customHeight="1" x14ac:dyDescent="0.45">
      <c r="A1026" s="1">
        <v>1025</v>
      </c>
      <c r="B1026" s="16" t="s">
        <v>924</v>
      </c>
      <c r="C1026" s="57" t="s">
        <v>24</v>
      </c>
      <c r="D1026" s="413">
        <v>6556</v>
      </c>
      <c r="E1026" s="59" t="s">
        <v>1854</v>
      </c>
      <c r="F1026" s="526" t="s">
        <v>1855</v>
      </c>
      <c r="G1026" s="526">
        <v>5595</v>
      </c>
      <c r="H1026" s="529" t="s">
        <v>1717</v>
      </c>
      <c r="I1026" s="526" t="s">
        <v>1719</v>
      </c>
      <c r="J1026" s="184" t="s">
        <v>58</v>
      </c>
      <c r="K1026" s="184" t="s">
        <v>57</v>
      </c>
      <c r="L1026" s="360">
        <v>1</v>
      </c>
      <c r="M1026" s="396" t="s">
        <v>1859</v>
      </c>
      <c r="N1026" s="184" t="s">
        <v>1860</v>
      </c>
      <c r="O1026" s="184" t="s">
        <v>1861</v>
      </c>
      <c r="P1026" s="153">
        <v>0.95</v>
      </c>
      <c r="Q1026" s="360">
        <v>0.15</v>
      </c>
      <c r="R1026" s="153"/>
      <c r="S1026" s="153">
        <f t="shared" ref="S1026:S1089" si="32">ROUND(IF(OR(P1026="",R1026=""),0,IF(AND(P1026=0,R1026=0),1,IF(U1026="+",R1026/P1026,P1026/R1026))),2)</f>
        <v>0</v>
      </c>
      <c r="T1026" s="152">
        <f t="shared" ref="T1026:T1089" si="33">IF(AND(S1026&gt;=60%,S1026&lt;100%),S1026*((Q1026*L1026)),IF(S1026=100%,((Q1026*L1026)*S1026)*100%,IF(S1026&gt;100%,((L1026*Q1026)*100%)*100%,0)))*100</f>
        <v>0</v>
      </c>
      <c r="U1026" s="153" t="s">
        <v>83</v>
      </c>
      <c r="V1026" s="153"/>
      <c r="W1026" s="162"/>
    </row>
    <row r="1027" spans="1:23" ht="16.05" customHeight="1" x14ac:dyDescent="0.45">
      <c r="A1027" s="1">
        <v>1026</v>
      </c>
      <c r="B1027" s="16" t="s">
        <v>924</v>
      </c>
      <c r="C1027" s="530" t="s">
        <v>24</v>
      </c>
      <c r="D1027" s="413">
        <v>6556</v>
      </c>
      <c r="E1027" s="59" t="s">
        <v>1854</v>
      </c>
      <c r="F1027" s="526" t="s">
        <v>1855</v>
      </c>
      <c r="G1027" s="526">
        <v>5595</v>
      </c>
      <c r="H1027" s="529" t="s">
        <v>1717</v>
      </c>
      <c r="I1027" s="526" t="s">
        <v>1719</v>
      </c>
      <c r="J1027" s="184" t="s">
        <v>58</v>
      </c>
      <c r="K1027" s="184" t="s">
        <v>57</v>
      </c>
      <c r="L1027" s="360">
        <v>1</v>
      </c>
      <c r="M1027" s="396" t="s">
        <v>1862</v>
      </c>
      <c r="N1027" s="184" t="s">
        <v>1863</v>
      </c>
      <c r="O1027" s="396" t="s">
        <v>1864</v>
      </c>
      <c r="P1027" s="153">
        <v>1</v>
      </c>
      <c r="Q1027" s="360">
        <v>0.15</v>
      </c>
      <c r="R1027" s="153"/>
      <c r="S1027" s="153">
        <f t="shared" si="32"/>
        <v>0</v>
      </c>
      <c r="T1027" s="152">
        <f t="shared" si="33"/>
        <v>0</v>
      </c>
      <c r="U1027" s="153" t="s">
        <v>34</v>
      </c>
      <c r="V1027" s="153"/>
      <c r="W1027" s="162"/>
    </row>
    <row r="1028" spans="1:23" ht="16.05" customHeight="1" x14ac:dyDescent="0.45">
      <c r="A1028" s="1">
        <v>1027</v>
      </c>
      <c r="B1028" s="16" t="s">
        <v>924</v>
      </c>
      <c r="C1028" s="57" t="s">
        <v>24</v>
      </c>
      <c r="D1028" s="413">
        <v>6556</v>
      </c>
      <c r="E1028" s="59" t="s">
        <v>1854</v>
      </c>
      <c r="F1028" s="526" t="s">
        <v>1855</v>
      </c>
      <c r="G1028" s="526">
        <v>5595</v>
      </c>
      <c r="H1028" s="529" t="s">
        <v>1717</v>
      </c>
      <c r="I1028" s="526" t="s">
        <v>1719</v>
      </c>
      <c r="J1028" s="184" t="s">
        <v>58</v>
      </c>
      <c r="K1028" s="184" t="s">
        <v>57</v>
      </c>
      <c r="L1028" s="360">
        <v>1</v>
      </c>
      <c r="M1028" s="287" t="s">
        <v>1842</v>
      </c>
      <c r="N1028" s="64" t="s">
        <v>1843</v>
      </c>
      <c r="O1028" s="64" t="s">
        <v>1844</v>
      </c>
      <c r="P1028" s="153">
        <v>0.9</v>
      </c>
      <c r="Q1028" s="360">
        <v>0.1</v>
      </c>
      <c r="R1028" s="153"/>
      <c r="S1028" s="153">
        <f t="shared" si="32"/>
        <v>0</v>
      </c>
      <c r="T1028" s="42">
        <f t="shared" si="33"/>
        <v>0</v>
      </c>
      <c r="U1028" s="35" t="s">
        <v>34</v>
      </c>
      <c r="V1028" s="35"/>
      <c r="W1028" s="162"/>
    </row>
    <row r="1029" spans="1:23" ht="16.05" customHeight="1" x14ac:dyDescent="0.45">
      <c r="A1029" s="1">
        <v>1028</v>
      </c>
      <c r="B1029" s="16" t="s">
        <v>924</v>
      </c>
      <c r="C1029" s="530" t="s">
        <v>24</v>
      </c>
      <c r="D1029" s="413">
        <v>6556</v>
      </c>
      <c r="E1029" s="59" t="s">
        <v>1854</v>
      </c>
      <c r="F1029" s="526" t="s">
        <v>1855</v>
      </c>
      <c r="G1029" s="526">
        <v>5595</v>
      </c>
      <c r="H1029" s="529" t="s">
        <v>1717</v>
      </c>
      <c r="I1029" s="526" t="s">
        <v>1719</v>
      </c>
      <c r="J1029" s="184" t="s">
        <v>58</v>
      </c>
      <c r="K1029" s="184" t="s">
        <v>57</v>
      </c>
      <c r="L1029" s="360">
        <v>1</v>
      </c>
      <c r="M1029" s="287" t="s">
        <v>1845</v>
      </c>
      <c r="N1029" s="64" t="s">
        <v>1846</v>
      </c>
      <c r="O1029" s="64" t="s">
        <v>1847</v>
      </c>
      <c r="P1029" s="152">
        <v>0</v>
      </c>
      <c r="Q1029" s="360">
        <v>0.15</v>
      </c>
      <c r="R1029" s="152"/>
      <c r="S1029" s="153">
        <f t="shared" si="32"/>
        <v>0</v>
      </c>
      <c r="T1029" s="42">
        <f t="shared" si="33"/>
        <v>0</v>
      </c>
      <c r="U1029" s="35" t="s">
        <v>83</v>
      </c>
      <c r="V1029" s="35"/>
      <c r="W1029" s="162"/>
    </row>
    <row r="1030" spans="1:23" ht="16.05" customHeight="1" x14ac:dyDescent="0.45">
      <c r="A1030" s="1">
        <v>1029</v>
      </c>
      <c r="B1030" s="16" t="s">
        <v>924</v>
      </c>
      <c r="C1030" s="57" t="s">
        <v>24</v>
      </c>
      <c r="D1030" s="413">
        <v>6556</v>
      </c>
      <c r="E1030" s="59" t="s">
        <v>1854</v>
      </c>
      <c r="F1030" s="526" t="s">
        <v>1855</v>
      </c>
      <c r="G1030" s="526">
        <v>5595</v>
      </c>
      <c r="H1030" s="529" t="s">
        <v>1717</v>
      </c>
      <c r="I1030" s="526" t="s">
        <v>1719</v>
      </c>
      <c r="J1030" s="184" t="s">
        <v>58</v>
      </c>
      <c r="K1030" s="184" t="s">
        <v>57</v>
      </c>
      <c r="L1030" s="360">
        <v>1</v>
      </c>
      <c r="M1030" s="287" t="s">
        <v>1848</v>
      </c>
      <c r="N1030" s="64" t="s">
        <v>1849</v>
      </c>
      <c r="O1030" s="287" t="s">
        <v>1850</v>
      </c>
      <c r="P1030" s="153">
        <v>0.9</v>
      </c>
      <c r="Q1030" s="360">
        <v>0.1</v>
      </c>
      <c r="R1030" s="153"/>
      <c r="S1030" s="153">
        <f t="shared" si="32"/>
        <v>0</v>
      </c>
      <c r="T1030" s="42">
        <f t="shared" si="33"/>
        <v>0</v>
      </c>
      <c r="U1030" s="35" t="s">
        <v>34</v>
      </c>
      <c r="V1030" s="35"/>
      <c r="W1030" s="162"/>
    </row>
    <row r="1031" spans="1:23" ht="16.05" customHeight="1" x14ac:dyDescent="0.45">
      <c r="A1031" s="1">
        <v>1030</v>
      </c>
      <c r="B1031" s="3" t="s">
        <v>924</v>
      </c>
      <c r="C1031" s="527" t="s">
        <v>24</v>
      </c>
      <c r="D1031" s="275">
        <v>3421</v>
      </c>
      <c r="E1031" s="99" t="s">
        <v>1865</v>
      </c>
      <c r="F1031" s="525" t="s">
        <v>1866</v>
      </c>
      <c r="G1031" s="525">
        <v>6592</v>
      </c>
      <c r="H1031" s="528" t="s">
        <v>925</v>
      </c>
      <c r="I1031" s="525" t="s">
        <v>1867</v>
      </c>
      <c r="J1031" s="3" t="s">
        <v>58</v>
      </c>
      <c r="K1031" s="3" t="s">
        <v>57</v>
      </c>
      <c r="L1031" s="350">
        <v>0.7</v>
      </c>
      <c r="M1031" s="444" t="s">
        <v>1868</v>
      </c>
      <c r="N1031" s="543" t="s">
        <v>1869</v>
      </c>
      <c r="O1031" s="543" t="s">
        <v>1722</v>
      </c>
      <c r="P1031" s="103">
        <v>0.95</v>
      </c>
      <c r="Q1031" s="350">
        <v>0.15</v>
      </c>
      <c r="R1031" s="103"/>
      <c r="S1031" s="148">
        <f t="shared" si="32"/>
        <v>0</v>
      </c>
      <c r="T1031" s="168">
        <f t="shared" si="33"/>
        <v>0</v>
      </c>
      <c r="U1031" s="148" t="s">
        <v>34</v>
      </c>
      <c r="V1031" s="278">
        <f>SUM(T1031:T1038)%</f>
        <v>0</v>
      </c>
      <c r="W1031" s="146"/>
    </row>
    <row r="1032" spans="1:23" ht="16.05" customHeight="1" x14ac:dyDescent="0.45">
      <c r="A1032" s="1">
        <v>1031</v>
      </c>
      <c r="B1032" s="16" t="s">
        <v>924</v>
      </c>
      <c r="C1032" s="57" t="s">
        <v>24</v>
      </c>
      <c r="D1032" s="427">
        <v>3421</v>
      </c>
      <c r="E1032" s="59" t="s">
        <v>1865</v>
      </c>
      <c r="F1032" s="526" t="s">
        <v>1866</v>
      </c>
      <c r="G1032" s="526">
        <v>6592</v>
      </c>
      <c r="H1032" s="529" t="s">
        <v>925</v>
      </c>
      <c r="I1032" s="526" t="s">
        <v>1867</v>
      </c>
      <c r="J1032" s="184" t="s">
        <v>58</v>
      </c>
      <c r="K1032" s="184" t="s">
        <v>57</v>
      </c>
      <c r="L1032" s="360">
        <v>0.7</v>
      </c>
      <c r="M1032" s="445" t="s">
        <v>1870</v>
      </c>
      <c r="N1032" s="544" t="s">
        <v>1871</v>
      </c>
      <c r="O1032" s="544" t="s">
        <v>1725</v>
      </c>
      <c r="P1032" s="62">
        <v>0.95</v>
      </c>
      <c r="Q1032" s="360">
        <v>0.15</v>
      </c>
      <c r="R1032" s="62"/>
      <c r="S1032" s="153">
        <f t="shared" si="32"/>
        <v>0</v>
      </c>
      <c r="T1032" s="152">
        <f t="shared" si="33"/>
        <v>0</v>
      </c>
      <c r="U1032" s="153" t="s">
        <v>34</v>
      </c>
      <c r="V1032" s="153"/>
      <c r="W1032" s="162"/>
    </row>
    <row r="1033" spans="1:23" ht="16.05" customHeight="1" x14ac:dyDescent="0.45">
      <c r="A1033" s="1">
        <v>1032</v>
      </c>
      <c r="B1033" s="16" t="s">
        <v>924</v>
      </c>
      <c r="C1033" s="530" t="s">
        <v>24</v>
      </c>
      <c r="D1033" s="427">
        <v>3421</v>
      </c>
      <c r="E1033" s="59" t="s">
        <v>1865</v>
      </c>
      <c r="F1033" s="526" t="s">
        <v>1866</v>
      </c>
      <c r="G1033" s="526">
        <v>6592</v>
      </c>
      <c r="H1033" s="529" t="s">
        <v>925</v>
      </c>
      <c r="I1033" s="526" t="s">
        <v>1867</v>
      </c>
      <c r="J1033" s="184" t="s">
        <v>58</v>
      </c>
      <c r="K1033" s="184" t="s">
        <v>57</v>
      </c>
      <c r="L1033" s="360">
        <v>0.7</v>
      </c>
      <c r="M1033" s="445" t="s">
        <v>1726</v>
      </c>
      <c r="N1033" s="544" t="s">
        <v>1727</v>
      </c>
      <c r="O1033" s="544" t="s">
        <v>1728</v>
      </c>
      <c r="P1033" s="62">
        <v>0.7</v>
      </c>
      <c r="Q1033" s="360">
        <v>0.15</v>
      </c>
      <c r="R1033" s="62"/>
      <c r="S1033" s="153">
        <f t="shared" si="32"/>
        <v>0</v>
      </c>
      <c r="T1033" s="152">
        <f t="shared" si="33"/>
        <v>0</v>
      </c>
      <c r="U1033" s="153" t="s">
        <v>34</v>
      </c>
      <c r="V1033" s="153"/>
      <c r="W1033" s="162"/>
    </row>
    <row r="1034" spans="1:23" ht="16.05" customHeight="1" x14ac:dyDescent="0.45">
      <c r="A1034" s="1">
        <v>1033</v>
      </c>
      <c r="B1034" s="16" t="s">
        <v>924</v>
      </c>
      <c r="C1034" s="57" t="s">
        <v>24</v>
      </c>
      <c r="D1034" s="427">
        <v>3421</v>
      </c>
      <c r="E1034" s="59" t="s">
        <v>1865</v>
      </c>
      <c r="F1034" s="526" t="s">
        <v>1866</v>
      </c>
      <c r="G1034" s="526">
        <v>6592</v>
      </c>
      <c r="H1034" s="529" t="s">
        <v>925</v>
      </c>
      <c r="I1034" s="526" t="s">
        <v>1867</v>
      </c>
      <c r="J1034" s="184" t="s">
        <v>58</v>
      </c>
      <c r="K1034" s="184" t="s">
        <v>57</v>
      </c>
      <c r="L1034" s="360">
        <v>0.7</v>
      </c>
      <c r="M1034" s="445" t="s">
        <v>1729</v>
      </c>
      <c r="N1034" s="544" t="s">
        <v>1730</v>
      </c>
      <c r="O1034" s="544" t="s">
        <v>1731</v>
      </c>
      <c r="P1034" s="62">
        <v>0.05</v>
      </c>
      <c r="Q1034" s="360">
        <v>0.15</v>
      </c>
      <c r="R1034" s="62"/>
      <c r="S1034" s="153">
        <f t="shared" si="32"/>
        <v>0</v>
      </c>
      <c r="T1034" s="42">
        <f t="shared" si="33"/>
        <v>0</v>
      </c>
      <c r="U1034" s="153" t="s">
        <v>34</v>
      </c>
      <c r="V1034" s="35"/>
      <c r="W1034" s="162"/>
    </row>
    <row r="1035" spans="1:23" ht="16.05" customHeight="1" x14ac:dyDescent="0.45">
      <c r="A1035" s="1">
        <v>1034</v>
      </c>
      <c r="B1035" s="16" t="s">
        <v>924</v>
      </c>
      <c r="C1035" s="530" t="s">
        <v>24</v>
      </c>
      <c r="D1035" s="427">
        <v>3421</v>
      </c>
      <c r="E1035" s="59" t="s">
        <v>1865</v>
      </c>
      <c r="F1035" s="526" t="s">
        <v>1866</v>
      </c>
      <c r="G1035" s="526">
        <v>6592</v>
      </c>
      <c r="H1035" s="529" t="s">
        <v>925</v>
      </c>
      <c r="I1035" s="526" t="s">
        <v>1867</v>
      </c>
      <c r="J1035" s="184" t="s">
        <v>58</v>
      </c>
      <c r="K1035" s="184" t="s">
        <v>57</v>
      </c>
      <c r="L1035" s="360">
        <v>0.7</v>
      </c>
      <c r="M1035" s="445" t="s">
        <v>1732</v>
      </c>
      <c r="N1035" s="544" t="s">
        <v>1733</v>
      </c>
      <c r="O1035" s="544" t="s">
        <v>1734</v>
      </c>
      <c r="P1035" s="62">
        <v>1</v>
      </c>
      <c r="Q1035" s="360">
        <v>0.15</v>
      </c>
      <c r="R1035" s="62"/>
      <c r="S1035" s="153">
        <f t="shared" si="32"/>
        <v>0</v>
      </c>
      <c r="T1035" s="42">
        <f t="shared" si="33"/>
        <v>0</v>
      </c>
      <c r="U1035" s="35" t="s">
        <v>34</v>
      </c>
      <c r="V1035" s="35"/>
      <c r="W1035" s="162"/>
    </row>
    <row r="1036" spans="1:23" ht="16.05" customHeight="1" x14ac:dyDescent="0.45">
      <c r="A1036" s="1">
        <v>1035</v>
      </c>
      <c r="B1036" s="16" t="s">
        <v>924</v>
      </c>
      <c r="C1036" s="57" t="s">
        <v>24</v>
      </c>
      <c r="D1036" s="427">
        <v>3421</v>
      </c>
      <c r="E1036" s="59" t="s">
        <v>1865</v>
      </c>
      <c r="F1036" s="526" t="s">
        <v>1866</v>
      </c>
      <c r="G1036" s="526">
        <v>6592</v>
      </c>
      <c r="H1036" s="529" t="s">
        <v>925</v>
      </c>
      <c r="I1036" s="526" t="s">
        <v>1867</v>
      </c>
      <c r="J1036" s="184" t="s">
        <v>58</v>
      </c>
      <c r="K1036" s="184" t="s">
        <v>57</v>
      </c>
      <c r="L1036" s="360">
        <v>0.7</v>
      </c>
      <c r="M1036" s="445" t="s">
        <v>1740</v>
      </c>
      <c r="N1036" s="544" t="s">
        <v>1741</v>
      </c>
      <c r="O1036" s="544" t="s">
        <v>1742</v>
      </c>
      <c r="P1036" s="62">
        <v>0.9</v>
      </c>
      <c r="Q1036" s="360">
        <v>0.15</v>
      </c>
      <c r="R1036" s="62"/>
      <c r="S1036" s="153">
        <f t="shared" si="32"/>
        <v>0</v>
      </c>
      <c r="T1036" s="42">
        <f t="shared" si="33"/>
        <v>0</v>
      </c>
      <c r="U1036" s="35" t="s">
        <v>34</v>
      </c>
      <c r="V1036" s="35"/>
      <c r="W1036" s="162"/>
    </row>
    <row r="1037" spans="1:23" ht="16.05" customHeight="1" x14ac:dyDescent="0.45">
      <c r="A1037" s="1">
        <v>1036</v>
      </c>
      <c r="B1037" s="16" t="s">
        <v>924</v>
      </c>
      <c r="C1037" s="530" t="s">
        <v>24</v>
      </c>
      <c r="D1037" s="427">
        <v>3421</v>
      </c>
      <c r="E1037" s="59" t="s">
        <v>1865</v>
      </c>
      <c r="F1037" s="526" t="s">
        <v>1866</v>
      </c>
      <c r="G1037" s="526">
        <v>6592</v>
      </c>
      <c r="H1037" s="529" t="s">
        <v>925</v>
      </c>
      <c r="I1037" s="526" t="s">
        <v>1867</v>
      </c>
      <c r="J1037" s="184" t="s">
        <v>58</v>
      </c>
      <c r="K1037" s="184" t="s">
        <v>57</v>
      </c>
      <c r="L1037" s="360">
        <v>0.7</v>
      </c>
      <c r="M1037" s="445" t="s">
        <v>1743</v>
      </c>
      <c r="N1037" s="544" t="s">
        <v>1744</v>
      </c>
      <c r="O1037" s="544" t="s">
        <v>1745</v>
      </c>
      <c r="P1037" s="62">
        <v>1</v>
      </c>
      <c r="Q1037" s="360">
        <v>0.1</v>
      </c>
      <c r="R1037" s="62"/>
      <c r="S1037" s="153">
        <f t="shared" si="32"/>
        <v>0</v>
      </c>
      <c r="T1037" s="152">
        <f t="shared" si="33"/>
        <v>0</v>
      </c>
      <c r="U1037" s="153" t="s">
        <v>34</v>
      </c>
      <c r="V1037" s="35"/>
      <c r="W1037" s="162"/>
    </row>
    <row r="1038" spans="1:23" ht="16.05" customHeight="1" x14ac:dyDescent="0.45">
      <c r="A1038" s="1">
        <v>1037</v>
      </c>
      <c r="B1038" s="16" t="s">
        <v>924</v>
      </c>
      <c r="C1038" s="57" t="s">
        <v>24</v>
      </c>
      <c r="D1038" s="427">
        <v>3421</v>
      </c>
      <c r="E1038" s="59" t="s">
        <v>1865</v>
      </c>
      <c r="F1038" s="526" t="s">
        <v>1866</v>
      </c>
      <c r="G1038" s="526">
        <v>6592</v>
      </c>
      <c r="H1038" s="529" t="s">
        <v>925</v>
      </c>
      <c r="I1038" s="526" t="s">
        <v>1867</v>
      </c>
      <c r="J1038" s="16" t="s">
        <v>111</v>
      </c>
      <c r="K1038" s="16" t="s">
        <v>110</v>
      </c>
      <c r="L1038" s="418">
        <v>0.3</v>
      </c>
      <c r="M1038" s="333" t="s">
        <v>1851</v>
      </c>
      <c r="N1038" s="334" t="s">
        <v>1852</v>
      </c>
      <c r="O1038" s="333" t="s">
        <v>1853</v>
      </c>
      <c r="P1038" s="156">
        <v>1</v>
      </c>
      <c r="Q1038" s="418">
        <v>1</v>
      </c>
      <c r="R1038" s="156"/>
      <c r="S1038" s="156">
        <f t="shared" si="32"/>
        <v>0</v>
      </c>
      <c r="T1038" s="133">
        <f t="shared" si="33"/>
        <v>0</v>
      </c>
      <c r="U1038" s="134" t="s">
        <v>34</v>
      </c>
      <c r="V1038" s="134"/>
      <c r="W1038" s="73"/>
    </row>
    <row r="1039" spans="1:23" ht="16.05" customHeight="1" x14ac:dyDescent="0.45">
      <c r="A1039" s="1">
        <v>1038</v>
      </c>
      <c r="B1039" s="3" t="s">
        <v>924</v>
      </c>
      <c r="C1039" s="2" t="s">
        <v>24</v>
      </c>
      <c r="D1039" s="349">
        <v>3076</v>
      </c>
      <c r="E1039" s="99" t="s">
        <v>1872</v>
      </c>
      <c r="F1039" s="99" t="s">
        <v>1873</v>
      </c>
      <c r="G1039" s="99">
        <v>5392</v>
      </c>
      <c r="H1039" s="528" t="s">
        <v>1874</v>
      </c>
      <c r="I1039" s="525" t="s">
        <v>1775</v>
      </c>
      <c r="J1039" s="3" t="s">
        <v>58</v>
      </c>
      <c r="K1039" s="3" t="s">
        <v>57</v>
      </c>
      <c r="L1039" s="350">
        <v>0.7</v>
      </c>
      <c r="M1039" s="280" t="s">
        <v>1868</v>
      </c>
      <c r="N1039" s="280" t="s">
        <v>1869</v>
      </c>
      <c r="O1039" s="280" t="s">
        <v>1722</v>
      </c>
      <c r="P1039" s="148">
        <v>0.95</v>
      </c>
      <c r="Q1039" s="350">
        <v>0.2</v>
      </c>
      <c r="R1039" s="148"/>
      <c r="S1039" s="148">
        <f t="shared" si="32"/>
        <v>0</v>
      </c>
      <c r="T1039" s="168">
        <f t="shared" si="33"/>
        <v>0</v>
      </c>
      <c r="U1039" s="148" t="s">
        <v>34</v>
      </c>
      <c r="V1039" s="278">
        <f>SUM(T1039:T1045)%</f>
        <v>0</v>
      </c>
      <c r="W1039" s="146"/>
    </row>
    <row r="1040" spans="1:23" ht="16.05" customHeight="1" x14ac:dyDescent="0.45">
      <c r="A1040" s="1">
        <v>1039</v>
      </c>
      <c r="B1040" s="16" t="s">
        <v>924</v>
      </c>
      <c r="C1040" s="530" t="s">
        <v>24</v>
      </c>
      <c r="D1040" s="413">
        <v>3076</v>
      </c>
      <c r="E1040" s="59" t="s">
        <v>1872</v>
      </c>
      <c r="F1040" s="59" t="s">
        <v>1873</v>
      </c>
      <c r="G1040" s="59">
        <v>5392</v>
      </c>
      <c r="H1040" s="529" t="s">
        <v>1874</v>
      </c>
      <c r="I1040" s="526" t="s">
        <v>1775</v>
      </c>
      <c r="J1040" s="184" t="s">
        <v>58</v>
      </c>
      <c r="K1040" s="184" t="s">
        <v>57</v>
      </c>
      <c r="L1040" s="360">
        <v>0.7</v>
      </c>
      <c r="M1040" s="396" t="s">
        <v>1870</v>
      </c>
      <c r="N1040" s="396" t="s">
        <v>1871</v>
      </c>
      <c r="O1040" s="396" t="s">
        <v>1725</v>
      </c>
      <c r="P1040" s="153">
        <v>0.95</v>
      </c>
      <c r="Q1040" s="360">
        <v>0.2</v>
      </c>
      <c r="R1040" s="153"/>
      <c r="S1040" s="153">
        <f t="shared" si="32"/>
        <v>0</v>
      </c>
      <c r="T1040" s="152">
        <f t="shared" si="33"/>
        <v>0</v>
      </c>
      <c r="U1040" s="153" t="s">
        <v>34</v>
      </c>
      <c r="V1040" s="153"/>
      <c r="W1040" s="162"/>
    </row>
    <row r="1041" spans="1:23" ht="16.05" customHeight="1" x14ac:dyDescent="0.45">
      <c r="A1041" s="1">
        <v>1040</v>
      </c>
      <c r="B1041" s="16" t="s">
        <v>924</v>
      </c>
      <c r="C1041" s="57" t="s">
        <v>24</v>
      </c>
      <c r="D1041" s="413">
        <v>3076</v>
      </c>
      <c r="E1041" s="59" t="s">
        <v>1872</v>
      </c>
      <c r="F1041" s="59" t="s">
        <v>1873</v>
      </c>
      <c r="G1041" s="59">
        <v>5392</v>
      </c>
      <c r="H1041" s="529" t="s">
        <v>1874</v>
      </c>
      <c r="I1041" s="526" t="s">
        <v>1775</v>
      </c>
      <c r="J1041" s="184" t="s">
        <v>58</v>
      </c>
      <c r="K1041" s="184" t="s">
        <v>57</v>
      </c>
      <c r="L1041" s="360">
        <v>0.7</v>
      </c>
      <c r="M1041" s="396" t="s">
        <v>1726</v>
      </c>
      <c r="N1041" s="396" t="s">
        <v>1727</v>
      </c>
      <c r="O1041" s="451" t="s">
        <v>1728</v>
      </c>
      <c r="P1041" s="153">
        <v>0.7</v>
      </c>
      <c r="Q1041" s="360">
        <v>0.15</v>
      </c>
      <c r="R1041" s="153"/>
      <c r="S1041" s="153">
        <f t="shared" si="32"/>
        <v>0</v>
      </c>
      <c r="T1041" s="152">
        <f t="shared" si="33"/>
        <v>0</v>
      </c>
      <c r="U1041" s="153" t="s">
        <v>34</v>
      </c>
      <c r="V1041" s="153"/>
      <c r="W1041" s="162"/>
    </row>
    <row r="1042" spans="1:23" ht="16.05" customHeight="1" x14ac:dyDescent="0.45">
      <c r="A1042" s="1">
        <v>1041</v>
      </c>
      <c r="B1042" s="16" t="s">
        <v>924</v>
      </c>
      <c r="C1042" s="530" t="s">
        <v>24</v>
      </c>
      <c r="D1042" s="413">
        <v>3076</v>
      </c>
      <c r="E1042" s="59" t="s">
        <v>1872</v>
      </c>
      <c r="F1042" s="59" t="s">
        <v>1873</v>
      </c>
      <c r="G1042" s="59">
        <v>5392</v>
      </c>
      <c r="H1042" s="529" t="s">
        <v>1874</v>
      </c>
      <c r="I1042" s="526" t="s">
        <v>1775</v>
      </c>
      <c r="J1042" s="184" t="s">
        <v>58</v>
      </c>
      <c r="K1042" s="184" t="s">
        <v>57</v>
      </c>
      <c r="L1042" s="360">
        <v>0.7</v>
      </c>
      <c r="M1042" s="396" t="s">
        <v>1729</v>
      </c>
      <c r="N1042" s="396" t="s">
        <v>1730</v>
      </c>
      <c r="O1042" s="451" t="s">
        <v>1731</v>
      </c>
      <c r="P1042" s="153">
        <v>0.05</v>
      </c>
      <c r="Q1042" s="360">
        <v>0.15</v>
      </c>
      <c r="R1042" s="153"/>
      <c r="S1042" s="153">
        <f t="shared" si="32"/>
        <v>0</v>
      </c>
      <c r="T1042" s="152">
        <f t="shared" si="33"/>
        <v>0</v>
      </c>
      <c r="U1042" s="153" t="s">
        <v>34</v>
      </c>
      <c r="V1042" s="153"/>
      <c r="W1042" s="162"/>
    </row>
    <row r="1043" spans="1:23" ht="16.05" customHeight="1" x14ac:dyDescent="0.45">
      <c r="A1043" s="1">
        <v>1042</v>
      </c>
      <c r="B1043" s="16" t="s">
        <v>924</v>
      </c>
      <c r="C1043" s="57" t="s">
        <v>24</v>
      </c>
      <c r="D1043" s="413">
        <v>3076</v>
      </c>
      <c r="E1043" s="59" t="s">
        <v>1872</v>
      </c>
      <c r="F1043" s="59" t="s">
        <v>1873</v>
      </c>
      <c r="G1043" s="59">
        <v>5392</v>
      </c>
      <c r="H1043" s="529" t="s">
        <v>1874</v>
      </c>
      <c r="I1043" s="526" t="s">
        <v>1775</v>
      </c>
      <c r="J1043" s="184" t="s">
        <v>58</v>
      </c>
      <c r="K1043" s="184" t="s">
        <v>57</v>
      </c>
      <c r="L1043" s="360">
        <v>0.7</v>
      </c>
      <c r="M1043" s="396" t="s">
        <v>1732</v>
      </c>
      <c r="N1043" s="396" t="s">
        <v>1733</v>
      </c>
      <c r="O1043" s="451" t="s">
        <v>1734</v>
      </c>
      <c r="P1043" s="153">
        <v>1</v>
      </c>
      <c r="Q1043" s="360">
        <v>0.15</v>
      </c>
      <c r="R1043" s="153"/>
      <c r="S1043" s="153">
        <f t="shared" si="32"/>
        <v>0</v>
      </c>
      <c r="T1043" s="152">
        <f t="shared" si="33"/>
        <v>0</v>
      </c>
      <c r="U1043" s="153" t="s">
        <v>34</v>
      </c>
      <c r="V1043" s="153"/>
      <c r="W1043" s="162"/>
    </row>
    <row r="1044" spans="1:23" ht="16.05" customHeight="1" x14ac:dyDescent="0.45">
      <c r="A1044" s="1">
        <v>1043</v>
      </c>
      <c r="B1044" s="16" t="s">
        <v>924</v>
      </c>
      <c r="C1044" s="530" t="s">
        <v>24</v>
      </c>
      <c r="D1044" s="413">
        <v>3076</v>
      </c>
      <c r="E1044" s="59" t="s">
        <v>1872</v>
      </c>
      <c r="F1044" s="59" t="s">
        <v>1873</v>
      </c>
      <c r="G1044" s="59">
        <v>5392</v>
      </c>
      <c r="H1044" s="529" t="s">
        <v>1874</v>
      </c>
      <c r="I1044" s="526" t="s">
        <v>1775</v>
      </c>
      <c r="J1044" s="184" t="s">
        <v>58</v>
      </c>
      <c r="K1044" s="184" t="s">
        <v>57</v>
      </c>
      <c r="L1044" s="360">
        <v>0.7</v>
      </c>
      <c r="M1044" s="287" t="s">
        <v>1740</v>
      </c>
      <c r="N1044" s="287" t="s">
        <v>1741</v>
      </c>
      <c r="O1044" s="287" t="s">
        <v>1742</v>
      </c>
      <c r="P1044" s="153">
        <v>0.9</v>
      </c>
      <c r="Q1044" s="360">
        <v>0.15</v>
      </c>
      <c r="R1044" s="153"/>
      <c r="S1044" s="153">
        <f t="shared" si="32"/>
        <v>0</v>
      </c>
      <c r="T1044" s="152">
        <f t="shared" si="33"/>
        <v>0</v>
      </c>
      <c r="U1044" s="153" t="s">
        <v>34</v>
      </c>
      <c r="V1044" s="153"/>
      <c r="W1044" s="162"/>
    </row>
    <row r="1045" spans="1:23" ht="16.05" customHeight="1" x14ac:dyDescent="0.45">
      <c r="A1045" s="1">
        <v>1044</v>
      </c>
      <c r="B1045" s="16" t="s">
        <v>924</v>
      </c>
      <c r="C1045" s="57" t="s">
        <v>24</v>
      </c>
      <c r="D1045" s="413">
        <v>3076</v>
      </c>
      <c r="E1045" s="59" t="s">
        <v>1872</v>
      </c>
      <c r="F1045" s="59" t="s">
        <v>1873</v>
      </c>
      <c r="G1045" s="59">
        <v>5392</v>
      </c>
      <c r="H1045" s="529" t="s">
        <v>1874</v>
      </c>
      <c r="I1045" s="526" t="s">
        <v>1775</v>
      </c>
      <c r="J1045" s="16" t="s">
        <v>111</v>
      </c>
      <c r="K1045" s="16" t="s">
        <v>110</v>
      </c>
      <c r="L1045" s="418">
        <v>0.3</v>
      </c>
      <c r="M1045" s="333" t="s">
        <v>1851</v>
      </c>
      <c r="N1045" s="333" t="s">
        <v>1852</v>
      </c>
      <c r="O1045" s="333" t="s">
        <v>1853</v>
      </c>
      <c r="P1045" s="156">
        <v>1</v>
      </c>
      <c r="Q1045" s="418">
        <v>1</v>
      </c>
      <c r="R1045" s="156"/>
      <c r="S1045" s="156">
        <f t="shared" si="32"/>
        <v>0</v>
      </c>
      <c r="T1045" s="155">
        <f t="shared" si="33"/>
        <v>0</v>
      </c>
      <c r="U1045" s="134" t="s">
        <v>34</v>
      </c>
      <c r="V1045" s="156"/>
      <c r="W1045" s="73"/>
    </row>
    <row r="1046" spans="1:23" ht="16.05" customHeight="1" x14ac:dyDescent="0.45">
      <c r="A1046" s="1">
        <v>1045</v>
      </c>
      <c r="B1046" s="3" t="s">
        <v>924</v>
      </c>
      <c r="C1046" s="527" t="s">
        <v>24</v>
      </c>
      <c r="D1046" s="349">
        <v>5431</v>
      </c>
      <c r="E1046" s="99" t="s">
        <v>1875</v>
      </c>
      <c r="F1046" s="99" t="s">
        <v>1876</v>
      </c>
      <c r="G1046" s="99">
        <v>5392</v>
      </c>
      <c r="H1046" s="528" t="s">
        <v>1874</v>
      </c>
      <c r="I1046" s="525" t="s">
        <v>1775</v>
      </c>
      <c r="J1046" s="3" t="s">
        <v>58</v>
      </c>
      <c r="K1046" s="3" t="s">
        <v>57</v>
      </c>
      <c r="L1046" s="350">
        <v>0.7</v>
      </c>
      <c r="M1046" s="280" t="s">
        <v>1877</v>
      </c>
      <c r="N1046" s="280" t="s">
        <v>1878</v>
      </c>
      <c r="O1046" s="280" t="s">
        <v>1879</v>
      </c>
      <c r="P1046" s="148">
        <v>0.95</v>
      </c>
      <c r="Q1046" s="350">
        <v>0.25</v>
      </c>
      <c r="R1046" s="148"/>
      <c r="S1046" s="148">
        <f t="shared" si="32"/>
        <v>0</v>
      </c>
      <c r="T1046" s="168">
        <f t="shared" si="33"/>
        <v>0</v>
      </c>
      <c r="U1046" s="148" t="s">
        <v>34</v>
      </c>
      <c r="V1046" s="278">
        <f>SUM(T1046:T1051)%</f>
        <v>0</v>
      </c>
      <c r="W1046" s="146"/>
    </row>
    <row r="1047" spans="1:23" ht="16.05" customHeight="1" x14ac:dyDescent="0.45">
      <c r="A1047" s="1">
        <v>1046</v>
      </c>
      <c r="B1047" s="16" t="s">
        <v>924</v>
      </c>
      <c r="C1047" s="57" t="s">
        <v>24</v>
      </c>
      <c r="D1047" s="413">
        <v>5431</v>
      </c>
      <c r="E1047" s="59" t="s">
        <v>1875</v>
      </c>
      <c r="F1047" s="59" t="s">
        <v>1876</v>
      </c>
      <c r="G1047" s="59">
        <v>5392</v>
      </c>
      <c r="H1047" s="529" t="s">
        <v>1874</v>
      </c>
      <c r="I1047" s="526" t="s">
        <v>1775</v>
      </c>
      <c r="J1047" s="184" t="s">
        <v>58</v>
      </c>
      <c r="K1047" s="184" t="s">
        <v>57</v>
      </c>
      <c r="L1047" s="360">
        <v>0.7</v>
      </c>
      <c r="M1047" s="396" t="s">
        <v>1880</v>
      </c>
      <c r="N1047" s="184" t="s">
        <v>1881</v>
      </c>
      <c r="O1047" s="396" t="s">
        <v>1882</v>
      </c>
      <c r="P1047" s="153">
        <v>0.95</v>
      </c>
      <c r="Q1047" s="360">
        <v>0.25</v>
      </c>
      <c r="R1047" s="153"/>
      <c r="S1047" s="153">
        <f t="shared" si="32"/>
        <v>0</v>
      </c>
      <c r="T1047" s="152">
        <f t="shared" si="33"/>
        <v>0</v>
      </c>
      <c r="U1047" s="153" t="s">
        <v>34</v>
      </c>
      <c r="V1047" s="153"/>
      <c r="W1047" s="162"/>
    </row>
    <row r="1048" spans="1:23" ht="16.05" customHeight="1" x14ac:dyDescent="0.45">
      <c r="A1048" s="1">
        <v>1047</v>
      </c>
      <c r="B1048" s="16" t="s">
        <v>924</v>
      </c>
      <c r="C1048" s="530" t="s">
        <v>24</v>
      </c>
      <c r="D1048" s="413">
        <v>5431</v>
      </c>
      <c r="E1048" s="59" t="s">
        <v>1875</v>
      </c>
      <c r="F1048" s="59" t="s">
        <v>1876</v>
      </c>
      <c r="G1048" s="59">
        <v>5392</v>
      </c>
      <c r="H1048" s="529" t="s">
        <v>1874</v>
      </c>
      <c r="I1048" s="526" t="s">
        <v>1775</v>
      </c>
      <c r="J1048" s="184" t="s">
        <v>58</v>
      </c>
      <c r="K1048" s="184" t="s">
        <v>57</v>
      </c>
      <c r="L1048" s="360">
        <v>0.7</v>
      </c>
      <c r="M1048" s="396" t="s">
        <v>1883</v>
      </c>
      <c r="N1048" s="184" t="s">
        <v>1843</v>
      </c>
      <c r="O1048" s="451" t="s">
        <v>1844</v>
      </c>
      <c r="P1048" s="153">
        <v>0.9</v>
      </c>
      <c r="Q1048" s="360">
        <v>0.25</v>
      </c>
      <c r="R1048" s="153"/>
      <c r="S1048" s="153">
        <f t="shared" si="32"/>
        <v>0</v>
      </c>
      <c r="T1048" s="152">
        <f t="shared" si="33"/>
        <v>0</v>
      </c>
      <c r="U1048" s="153" t="s">
        <v>34</v>
      </c>
      <c r="V1048" s="153"/>
      <c r="W1048" s="162"/>
    </row>
    <row r="1049" spans="1:23" ht="16.05" customHeight="1" x14ac:dyDescent="0.45">
      <c r="A1049" s="1">
        <v>1048</v>
      </c>
      <c r="B1049" s="16" t="s">
        <v>924</v>
      </c>
      <c r="C1049" s="57" t="s">
        <v>24</v>
      </c>
      <c r="D1049" s="413">
        <v>5431</v>
      </c>
      <c r="E1049" s="59" t="s">
        <v>1875</v>
      </c>
      <c r="F1049" s="59" t="s">
        <v>1876</v>
      </c>
      <c r="G1049" s="59">
        <v>5392</v>
      </c>
      <c r="H1049" s="529" t="s">
        <v>1874</v>
      </c>
      <c r="I1049" s="526" t="s">
        <v>1775</v>
      </c>
      <c r="J1049" s="184" t="s">
        <v>58</v>
      </c>
      <c r="K1049" s="184" t="s">
        <v>57</v>
      </c>
      <c r="L1049" s="360">
        <v>0.7</v>
      </c>
      <c r="M1049" s="396" t="s">
        <v>1884</v>
      </c>
      <c r="N1049" s="184" t="s">
        <v>1885</v>
      </c>
      <c r="O1049" s="451"/>
      <c r="P1049" s="153">
        <v>0</v>
      </c>
      <c r="Q1049" s="360">
        <v>0.1</v>
      </c>
      <c r="R1049" s="153"/>
      <c r="S1049" s="153">
        <f t="shared" si="32"/>
        <v>0</v>
      </c>
      <c r="T1049" s="152">
        <f t="shared" si="33"/>
        <v>0</v>
      </c>
      <c r="U1049" s="153" t="s">
        <v>83</v>
      </c>
      <c r="V1049" s="153"/>
      <c r="W1049" s="162"/>
    </row>
    <row r="1050" spans="1:23" ht="16.05" customHeight="1" x14ac:dyDescent="0.45">
      <c r="A1050" s="1">
        <v>1049</v>
      </c>
      <c r="B1050" s="16" t="s">
        <v>924</v>
      </c>
      <c r="C1050" s="530" t="s">
        <v>24</v>
      </c>
      <c r="D1050" s="413">
        <v>5431</v>
      </c>
      <c r="E1050" s="59" t="s">
        <v>1875</v>
      </c>
      <c r="F1050" s="59" t="s">
        <v>1876</v>
      </c>
      <c r="G1050" s="59">
        <v>5392</v>
      </c>
      <c r="H1050" s="529" t="s">
        <v>1874</v>
      </c>
      <c r="I1050" s="526" t="s">
        <v>1775</v>
      </c>
      <c r="J1050" s="184" t="s">
        <v>58</v>
      </c>
      <c r="K1050" s="184" t="s">
        <v>57</v>
      </c>
      <c r="L1050" s="360">
        <v>0.7</v>
      </c>
      <c r="M1050" s="287" t="s">
        <v>1886</v>
      </c>
      <c r="N1050" s="64" t="s">
        <v>1849</v>
      </c>
      <c r="O1050" s="287" t="s">
        <v>1850</v>
      </c>
      <c r="P1050" s="153">
        <v>0.9</v>
      </c>
      <c r="Q1050" s="360">
        <v>0.15</v>
      </c>
      <c r="R1050" s="153"/>
      <c r="S1050" s="153">
        <f t="shared" si="32"/>
        <v>0</v>
      </c>
      <c r="T1050" s="152">
        <f t="shared" si="33"/>
        <v>0</v>
      </c>
      <c r="U1050" s="153" t="s">
        <v>34</v>
      </c>
      <c r="V1050" s="153"/>
      <c r="W1050" s="162"/>
    </row>
    <row r="1051" spans="1:23" ht="16.05" customHeight="1" x14ac:dyDescent="0.45">
      <c r="A1051" s="1">
        <v>1050</v>
      </c>
      <c r="B1051" s="16" t="s">
        <v>924</v>
      </c>
      <c r="C1051" s="57" t="s">
        <v>24</v>
      </c>
      <c r="D1051" s="413">
        <v>5431</v>
      </c>
      <c r="E1051" s="59" t="s">
        <v>1875</v>
      </c>
      <c r="F1051" s="59" t="s">
        <v>1876</v>
      </c>
      <c r="G1051" s="59">
        <v>5392</v>
      </c>
      <c r="H1051" s="529" t="s">
        <v>1874</v>
      </c>
      <c r="I1051" s="526" t="s">
        <v>1775</v>
      </c>
      <c r="J1051" s="16" t="s">
        <v>111</v>
      </c>
      <c r="K1051" s="16" t="s">
        <v>110</v>
      </c>
      <c r="L1051" s="418">
        <v>0.3</v>
      </c>
      <c r="M1051" s="333" t="s">
        <v>1851</v>
      </c>
      <c r="N1051" s="334" t="s">
        <v>1852</v>
      </c>
      <c r="O1051" s="333" t="s">
        <v>1853</v>
      </c>
      <c r="P1051" s="156">
        <v>1</v>
      </c>
      <c r="Q1051" s="418">
        <v>1</v>
      </c>
      <c r="R1051" s="156"/>
      <c r="S1051" s="156">
        <f t="shared" si="32"/>
        <v>0</v>
      </c>
      <c r="T1051" s="155">
        <f t="shared" si="33"/>
        <v>0</v>
      </c>
      <c r="U1051" s="134" t="s">
        <v>34</v>
      </c>
      <c r="V1051" s="156"/>
      <c r="W1051" s="73"/>
    </row>
    <row r="1052" spans="1:23" ht="16.05" customHeight="1" x14ac:dyDescent="0.45">
      <c r="A1052" s="1">
        <v>1051</v>
      </c>
      <c r="B1052" s="3" t="s">
        <v>924</v>
      </c>
      <c r="C1052" s="2" t="s">
        <v>24</v>
      </c>
      <c r="D1052" s="349">
        <v>3652</v>
      </c>
      <c r="E1052" s="99" t="s">
        <v>1887</v>
      </c>
      <c r="F1052" s="525" t="s">
        <v>1757</v>
      </c>
      <c r="G1052" s="525">
        <v>6586</v>
      </c>
      <c r="H1052" s="528" t="s">
        <v>1888</v>
      </c>
      <c r="I1052" s="525" t="s">
        <v>1889</v>
      </c>
      <c r="J1052" s="3" t="s">
        <v>58</v>
      </c>
      <c r="K1052" s="3" t="s">
        <v>57</v>
      </c>
      <c r="L1052" s="350">
        <v>0.7</v>
      </c>
      <c r="M1052" s="280" t="s">
        <v>1720</v>
      </c>
      <c r="N1052" s="3" t="s">
        <v>1721</v>
      </c>
      <c r="O1052" s="339" t="s">
        <v>1722</v>
      </c>
      <c r="P1052" s="148">
        <v>0.95</v>
      </c>
      <c r="Q1052" s="350">
        <v>0.16</v>
      </c>
      <c r="R1052" s="148"/>
      <c r="S1052" s="148">
        <f t="shared" si="32"/>
        <v>0</v>
      </c>
      <c r="T1052" s="168">
        <f t="shared" si="33"/>
        <v>0</v>
      </c>
      <c r="U1052" s="148" t="s">
        <v>34</v>
      </c>
      <c r="V1052" s="278">
        <f>SUM(T1052:T1063)%</f>
        <v>0</v>
      </c>
      <c r="W1052" s="146"/>
    </row>
    <row r="1053" spans="1:23" ht="16.05" customHeight="1" x14ac:dyDescent="0.45">
      <c r="A1053" s="1">
        <v>1052</v>
      </c>
      <c r="B1053" s="16" t="s">
        <v>924</v>
      </c>
      <c r="C1053" s="57" t="s">
        <v>24</v>
      </c>
      <c r="D1053" s="413">
        <v>3652</v>
      </c>
      <c r="E1053" s="59" t="s">
        <v>1887</v>
      </c>
      <c r="F1053" s="526" t="s">
        <v>1757</v>
      </c>
      <c r="G1053" s="526">
        <v>6586</v>
      </c>
      <c r="H1053" s="529" t="s">
        <v>1888</v>
      </c>
      <c r="I1053" s="526" t="s">
        <v>1889</v>
      </c>
      <c r="J1053" s="184" t="s">
        <v>58</v>
      </c>
      <c r="K1053" s="184" t="s">
        <v>57</v>
      </c>
      <c r="L1053" s="360">
        <v>0.7</v>
      </c>
      <c r="M1053" s="289" t="s">
        <v>1890</v>
      </c>
      <c r="N1053" s="435" t="s">
        <v>1891</v>
      </c>
      <c r="O1053" s="523" t="s">
        <v>1892</v>
      </c>
      <c r="P1053" s="551">
        <v>90000</v>
      </c>
      <c r="Q1053" s="360">
        <v>0.1</v>
      </c>
      <c r="R1053" s="153"/>
      <c r="S1053" s="153">
        <f t="shared" si="32"/>
        <v>0</v>
      </c>
      <c r="T1053" s="152">
        <f t="shared" si="33"/>
        <v>0</v>
      </c>
      <c r="U1053" s="153" t="s">
        <v>34</v>
      </c>
      <c r="V1053" s="153"/>
      <c r="W1053" s="162"/>
    </row>
    <row r="1054" spans="1:23" ht="16.05" customHeight="1" x14ac:dyDescent="0.45">
      <c r="A1054" s="1">
        <v>1053</v>
      </c>
      <c r="B1054" s="16" t="s">
        <v>924</v>
      </c>
      <c r="C1054" s="530" t="s">
        <v>24</v>
      </c>
      <c r="D1054" s="413">
        <v>3652</v>
      </c>
      <c r="E1054" s="59" t="s">
        <v>1887</v>
      </c>
      <c r="F1054" s="526" t="s">
        <v>1757</v>
      </c>
      <c r="G1054" s="526">
        <v>6586</v>
      </c>
      <c r="H1054" s="529" t="s">
        <v>1888</v>
      </c>
      <c r="I1054" s="526" t="s">
        <v>1889</v>
      </c>
      <c r="J1054" s="184" t="s">
        <v>58</v>
      </c>
      <c r="K1054" s="184" t="s">
        <v>57</v>
      </c>
      <c r="L1054" s="360">
        <v>0.7</v>
      </c>
      <c r="M1054" s="396" t="s">
        <v>1723</v>
      </c>
      <c r="N1054" s="184" t="s">
        <v>1724</v>
      </c>
      <c r="O1054" s="344" t="s">
        <v>1725</v>
      </c>
      <c r="P1054" s="153">
        <v>0.95</v>
      </c>
      <c r="Q1054" s="360">
        <v>0.1</v>
      </c>
      <c r="R1054" s="153"/>
      <c r="S1054" s="153">
        <f t="shared" si="32"/>
        <v>0</v>
      </c>
      <c r="T1054" s="152">
        <f t="shared" si="33"/>
        <v>0</v>
      </c>
      <c r="U1054" s="153" t="s">
        <v>34</v>
      </c>
      <c r="V1054" s="552"/>
      <c r="W1054" s="162"/>
    </row>
    <row r="1055" spans="1:23" ht="16.05" customHeight="1" x14ac:dyDescent="0.45">
      <c r="A1055" s="1">
        <v>1054</v>
      </c>
      <c r="B1055" s="16" t="s">
        <v>924</v>
      </c>
      <c r="C1055" s="57" t="s">
        <v>24</v>
      </c>
      <c r="D1055" s="413">
        <v>3652</v>
      </c>
      <c r="E1055" s="59" t="s">
        <v>1887</v>
      </c>
      <c r="F1055" s="526" t="s">
        <v>1757</v>
      </c>
      <c r="G1055" s="526">
        <v>6586</v>
      </c>
      <c r="H1055" s="529" t="s">
        <v>1888</v>
      </c>
      <c r="I1055" s="526" t="s">
        <v>1889</v>
      </c>
      <c r="J1055" s="184" t="s">
        <v>58</v>
      </c>
      <c r="K1055" s="184" t="s">
        <v>57</v>
      </c>
      <c r="L1055" s="360">
        <v>0.7</v>
      </c>
      <c r="M1055" s="553" t="s">
        <v>1726</v>
      </c>
      <c r="N1055" s="344" t="s">
        <v>1727</v>
      </c>
      <c r="O1055" s="344" t="s">
        <v>1728</v>
      </c>
      <c r="P1055" s="153">
        <v>0.7</v>
      </c>
      <c r="Q1055" s="360">
        <v>7.0000000000000007E-2</v>
      </c>
      <c r="R1055" s="153"/>
      <c r="S1055" s="153">
        <f t="shared" si="32"/>
        <v>0</v>
      </c>
      <c r="T1055" s="152">
        <f t="shared" si="33"/>
        <v>0</v>
      </c>
      <c r="U1055" s="153" t="s">
        <v>34</v>
      </c>
      <c r="V1055" s="153"/>
      <c r="W1055" s="162"/>
    </row>
    <row r="1056" spans="1:23" ht="16.05" customHeight="1" x14ac:dyDescent="0.45">
      <c r="A1056" s="1">
        <v>1055</v>
      </c>
      <c r="B1056" s="16" t="s">
        <v>924</v>
      </c>
      <c r="C1056" s="530" t="s">
        <v>24</v>
      </c>
      <c r="D1056" s="413">
        <v>3652</v>
      </c>
      <c r="E1056" s="59" t="s">
        <v>1887</v>
      </c>
      <c r="F1056" s="526" t="s">
        <v>1757</v>
      </c>
      <c r="G1056" s="526">
        <v>6586</v>
      </c>
      <c r="H1056" s="529" t="s">
        <v>1888</v>
      </c>
      <c r="I1056" s="526" t="s">
        <v>1889</v>
      </c>
      <c r="J1056" s="184" t="s">
        <v>58</v>
      </c>
      <c r="K1056" s="184" t="s">
        <v>57</v>
      </c>
      <c r="L1056" s="360">
        <v>0.7</v>
      </c>
      <c r="M1056" s="553" t="s">
        <v>1729</v>
      </c>
      <c r="N1056" s="344" t="s">
        <v>1730</v>
      </c>
      <c r="O1056" s="344" t="s">
        <v>1731</v>
      </c>
      <c r="P1056" s="153">
        <v>0.05</v>
      </c>
      <c r="Q1056" s="360">
        <v>0.08</v>
      </c>
      <c r="R1056" s="153"/>
      <c r="S1056" s="153">
        <f t="shared" si="32"/>
        <v>0</v>
      </c>
      <c r="T1056" s="152">
        <f t="shared" si="33"/>
        <v>0</v>
      </c>
      <c r="U1056" s="153" t="s">
        <v>34</v>
      </c>
      <c r="V1056" s="552"/>
      <c r="W1056" s="162"/>
    </row>
    <row r="1057" spans="1:23" ht="16.05" customHeight="1" x14ac:dyDescent="0.45">
      <c r="A1057" s="1">
        <v>1056</v>
      </c>
      <c r="B1057" s="16" t="s">
        <v>924</v>
      </c>
      <c r="C1057" s="57" t="s">
        <v>24</v>
      </c>
      <c r="D1057" s="413">
        <v>3652</v>
      </c>
      <c r="E1057" s="59" t="s">
        <v>1887</v>
      </c>
      <c r="F1057" s="526" t="s">
        <v>1757</v>
      </c>
      <c r="G1057" s="526">
        <v>6586</v>
      </c>
      <c r="H1057" s="529" t="s">
        <v>1888</v>
      </c>
      <c r="I1057" s="526" t="s">
        <v>1889</v>
      </c>
      <c r="J1057" s="184" t="s">
        <v>58</v>
      </c>
      <c r="K1057" s="184" t="s">
        <v>57</v>
      </c>
      <c r="L1057" s="360">
        <v>0.7</v>
      </c>
      <c r="M1057" s="553" t="s">
        <v>1732</v>
      </c>
      <c r="N1057" s="344" t="s">
        <v>1733</v>
      </c>
      <c r="O1057" s="344" t="s">
        <v>1734</v>
      </c>
      <c r="P1057" s="153">
        <v>1</v>
      </c>
      <c r="Q1057" s="360">
        <v>7.0000000000000007E-2</v>
      </c>
      <c r="R1057" s="153"/>
      <c r="S1057" s="153">
        <f t="shared" si="32"/>
        <v>0</v>
      </c>
      <c r="T1057" s="152">
        <f t="shared" si="33"/>
        <v>0</v>
      </c>
      <c r="U1057" s="153" t="s">
        <v>34</v>
      </c>
      <c r="V1057" s="153"/>
      <c r="W1057" s="162"/>
    </row>
    <row r="1058" spans="1:23" ht="16.05" customHeight="1" x14ac:dyDescent="0.45">
      <c r="A1058" s="1">
        <v>1057</v>
      </c>
      <c r="B1058" s="16" t="s">
        <v>924</v>
      </c>
      <c r="C1058" s="530" t="s">
        <v>24</v>
      </c>
      <c r="D1058" s="413">
        <v>3652</v>
      </c>
      <c r="E1058" s="59" t="s">
        <v>1887</v>
      </c>
      <c r="F1058" s="526" t="s">
        <v>1757</v>
      </c>
      <c r="G1058" s="526">
        <v>6586</v>
      </c>
      <c r="H1058" s="529" t="s">
        <v>1888</v>
      </c>
      <c r="I1058" s="526" t="s">
        <v>1889</v>
      </c>
      <c r="J1058" s="184" t="s">
        <v>58</v>
      </c>
      <c r="K1058" s="184" t="s">
        <v>57</v>
      </c>
      <c r="L1058" s="360">
        <v>0.7</v>
      </c>
      <c r="M1058" s="553" t="s">
        <v>624</v>
      </c>
      <c r="N1058" s="344" t="s">
        <v>1735</v>
      </c>
      <c r="O1058" s="344" t="s">
        <v>1736</v>
      </c>
      <c r="P1058" s="153">
        <v>0.05</v>
      </c>
      <c r="Q1058" s="360">
        <v>0.18</v>
      </c>
      <c r="R1058" s="153"/>
      <c r="S1058" s="153">
        <f t="shared" si="32"/>
        <v>0</v>
      </c>
      <c r="T1058" s="152">
        <f t="shared" si="33"/>
        <v>0</v>
      </c>
      <c r="U1058" s="153" t="s">
        <v>83</v>
      </c>
      <c r="V1058" s="552"/>
      <c r="W1058" s="162"/>
    </row>
    <row r="1059" spans="1:23" ht="16.05" customHeight="1" x14ac:dyDescent="0.45">
      <c r="A1059" s="1">
        <v>1058</v>
      </c>
      <c r="B1059" s="16" t="s">
        <v>924</v>
      </c>
      <c r="C1059" s="57" t="s">
        <v>24</v>
      </c>
      <c r="D1059" s="413">
        <v>3652</v>
      </c>
      <c r="E1059" s="59" t="s">
        <v>1887</v>
      </c>
      <c r="F1059" s="526" t="s">
        <v>1757</v>
      </c>
      <c r="G1059" s="526">
        <v>6586</v>
      </c>
      <c r="H1059" s="529" t="s">
        <v>1888</v>
      </c>
      <c r="I1059" s="526" t="s">
        <v>1889</v>
      </c>
      <c r="J1059" s="184" t="s">
        <v>58</v>
      </c>
      <c r="K1059" s="184" t="s">
        <v>57</v>
      </c>
      <c r="L1059" s="360">
        <v>0.7</v>
      </c>
      <c r="M1059" s="553" t="s">
        <v>1737</v>
      </c>
      <c r="N1059" s="344" t="s">
        <v>1738</v>
      </c>
      <c r="O1059" s="344" t="s">
        <v>1739</v>
      </c>
      <c r="P1059" s="153">
        <v>0.05</v>
      </c>
      <c r="Q1059" s="360">
        <v>0.1</v>
      </c>
      <c r="R1059" s="153"/>
      <c r="S1059" s="153">
        <f t="shared" si="32"/>
        <v>0</v>
      </c>
      <c r="T1059" s="152">
        <f t="shared" si="33"/>
        <v>0</v>
      </c>
      <c r="U1059" s="153" t="s">
        <v>34</v>
      </c>
      <c r="V1059" s="153"/>
      <c r="W1059" s="162"/>
    </row>
    <row r="1060" spans="1:23" ht="16.05" customHeight="1" x14ac:dyDescent="0.45">
      <c r="A1060" s="1">
        <v>1059</v>
      </c>
      <c r="B1060" s="16" t="s">
        <v>924</v>
      </c>
      <c r="C1060" s="530" t="s">
        <v>24</v>
      </c>
      <c r="D1060" s="413">
        <v>3652</v>
      </c>
      <c r="E1060" s="59" t="s">
        <v>1887</v>
      </c>
      <c r="F1060" s="526" t="s">
        <v>1757</v>
      </c>
      <c r="G1060" s="526">
        <v>6586</v>
      </c>
      <c r="H1060" s="529" t="s">
        <v>1888</v>
      </c>
      <c r="I1060" s="526" t="s">
        <v>1889</v>
      </c>
      <c r="J1060" s="184" t="s">
        <v>58</v>
      </c>
      <c r="K1060" s="184" t="s">
        <v>57</v>
      </c>
      <c r="L1060" s="360">
        <v>0.7</v>
      </c>
      <c r="M1060" s="553" t="s">
        <v>1740</v>
      </c>
      <c r="N1060" s="344" t="s">
        <v>1741</v>
      </c>
      <c r="O1060" s="344" t="s">
        <v>1742</v>
      </c>
      <c r="P1060" s="153">
        <v>0.9</v>
      </c>
      <c r="Q1060" s="360">
        <v>0.12</v>
      </c>
      <c r="R1060" s="153"/>
      <c r="S1060" s="153">
        <f t="shared" si="32"/>
        <v>0</v>
      </c>
      <c r="T1060" s="152">
        <f t="shared" si="33"/>
        <v>0</v>
      </c>
      <c r="U1060" s="153" t="s">
        <v>34</v>
      </c>
      <c r="V1060" s="552"/>
      <c r="W1060" s="162"/>
    </row>
    <row r="1061" spans="1:23" ht="16.05" customHeight="1" x14ac:dyDescent="0.45">
      <c r="A1061" s="1">
        <v>1060</v>
      </c>
      <c r="B1061" s="16" t="s">
        <v>924</v>
      </c>
      <c r="C1061" s="57" t="s">
        <v>24</v>
      </c>
      <c r="D1061" s="413">
        <v>3652</v>
      </c>
      <c r="E1061" s="59" t="s">
        <v>1887</v>
      </c>
      <c r="F1061" s="526" t="s">
        <v>1757</v>
      </c>
      <c r="G1061" s="526">
        <v>6586</v>
      </c>
      <c r="H1061" s="529" t="s">
        <v>1888</v>
      </c>
      <c r="I1061" s="526" t="s">
        <v>1889</v>
      </c>
      <c r="J1061" s="184" t="s">
        <v>58</v>
      </c>
      <c r="K1061" s="184" t="s">
        <v>57</v>
      </c>
      <c r="L1061" s="360">
        <v>0.7</v>
      </c>
      <c r="M1061" s="553" t="s">
        <v>1743</v>
      </c>
      <c r="N1061" s="344" t="s">
        <v>1744</v>
      </c>
      <c r="O1061" s="344" t="s">
        <v>1745</v>
      </c>
      <c r="P1061" s="153">
        <v>1</v>
      </c>
      <c r="Q1061" s="360">
        <v>0.02</v>
      </c>
      <c r="R1061" s="153"/>
      <c r="S1061" s="153">
        <f t="shared" si="32"/>
        <v>0</v>
      </c>
      <c r="T1061" s="152">
        <f t="shared" si="33"/>
        <v>0</v>
      </c>
      <c r="U1061" s="153" t="s">
        <v>34</v>
      </c>
      <c r="V1061" s="153"/>
      <c r="W1061" s="162"/>
    </row>
    <row r="1062" spans="1:23" ht="16.05" customHeight="1" x14ac:dyDescent="0.45">
      <c r="A1062" s="1">
        <v>1061</v>
      </c>
      <c r="B1062" s="16" t="s">
        <v>924</v>
      </c>
      <c r="C1062" s="530" t="s">
        <v>24</v>
      </c>
      <c r="D1062" s="413">
        <v>3652</v>
      </c>
      <c r="E1062" s="59" t="s">
        <v>1887</v>
      </c>
      <c r="F1062" s="526" t="s">
        <v>1757</v>
      </c>
      <c r="G1062" s="526">
        <v>6586</v>
      </c>
      <c r="H1062" s="529" t="s">
        <v>1888</v>
      </c>
      <c r="I1062" s="526" t="s">
        <v>1889</v>
      </c>
      <c r="J1062" s="16" t="s">
        <v>111</v>
      </c>
      <c r="K1062" s="16" t="s">
        <v>110</v>
      </c>
      <c r="L1062" s="418">
        <v>0.3</v>
      </c>
      <c r="M1062" s="498" t="s">
        <v>1893</v>
      </c>
      <c r="N1062" s="545" t="s">
        <v>1894</v>
      </c>
      <c r="O1062" s="545"/>
      <c r="P1062" s="156">
        <v>1</v>
      </c>
      <c r="Q1062" s="418">
        <v>0.5</v>
      </c>
      <c r="R1062" s="156"/>
      <c r="S1062" s="156">
        <f t="shared" si="32"/>
        <v>0</v>
      </c>
      <c r="T1062" s="155">
        <f t="shared" si="33"/>
        <v>0</v>
      </c>
      <c r="U1062" s="156" t="s">
        <v>34</v>
      </c>
      <c r="V1062" s="539"/>
      <c r="W1062" s="162"/>
    </row>
    <row r="1063" spans="1:23" ht="16.05" customHeight="1" x14ac:dyDescent="0.45">
      <c r="A1063" s="1">
        <v>1062</v>
      </c>
      <c r="B1063" s="16" t="s">
        <v>924</v>
      </c>
      <c r="C1063" s="57" t="s">
        <v>24</v>
      </c>
      <c r="D1063" s="413">
        <v>3652</v>
      </c>
      <c r="E1063" s="59" t="s">
        <v>1887</v>
      </c>
      <c r="F1063" s="526" t="s">
        <v>1757</v>
      </c>
      <c r="G1063" s="526">
        <v>6586</v>
      </c>
      <c r="H1063" s="529" t="s">
        <v>1888</v>
      </c>
      <c r="I1063" s="526" t="s">
        <v>1889</v>
      </c>
      <c r="J1063" s="16" t="s">
        <v>111</v>
      </c>
      <c r="K1063" s="16" t="s">
        <v>110</v>
      </c>
      <c r="L1063" s="418">
        <v>0.3</v>
      </c>
      <c r="M1063" s="498" t="s">
        <v>1895</v>
      </c>
      <c r="N1063" s="545" t="s">
        <v>1896</v>
      </c>
      <c r="O1063" s="545"/>
      <c r="P1063" s="156">
        <v>1</v>
      </c>
      <c r="Q1063" s="418">
        <v>0.5</v>
      </c>
      <c r="R1063" s="156"/>
      <c r="S1063" s="156">
        <f t="shared" si="32"/>
        <v>0</v>
      </c>
      <c r="T1063" s="155">
        <f t="shared" si="33"/>
        <v>0</v>
      </c>
      <c r="U1063" s="156" t="s">
        <v>34</v>
      </c>
      <c r="V1063" s="156"/>
      <c r="W1063" s="73"/>
    </row>
    <row r="1064" spans="1:23" ht="16.05" customHeight="1" x14ac:dyDescent="0.45">
      <c r="A1064" s="1">
        <v>1063</v>
      </c>
      <c r="B1064" s="3" t="s">
        <v>924</v>
      </c>
      <c r="C1064" s="527" t="s">
        <v>24</v>
      </c>
      <c r="D1064" s="349">
        <v>5927</v>
      </c>
      <c r="E1064" s="99" t="s">
        <v>1897</v>
      </c>
      <c r="F1064" s="525" t="s">
        <v>1762</v>
      </c>
      <c r="G1064" s="525">
        <v>6586</v>
      </c>
      <c r="H1064" s="528" t="s">
        <v>1888</v>
      </c>
      <c r="I1064" s="525" t="s">
        <v>1898</v>
      </c>
      <c r="J1064" s="3" t="s">
        <v>58</v>
      </c>
      <c r="K1064" s="3" t="s">
        <v>57</v>
      </c>
      <c r="L1064" s="350">
        <v>0.7</v>
      </c>
      <c r="M1064" s="280" t="s">
        <v>1720</v>
      </c>
      <c r="N1064" s="3" t="s">
        <v>1721</v>
      </c>
      <c r="O1064" s="339" t="s">
        <v>1722</v>
      </c>
      <c r="P1064" s="148">
        <v>0.95</v>
      </c>
      <c r="Q1064" s="350">
        <v>0.16</v>
      </c>
      <c r="R1064" s="148"/>
      <c r="S1064" s="148">
        <f t="shared" si="32"/>
        <v>0</v>
      </c>
      <c r="T1064" s="168">
        <f t="shared" si="33"/>
        <v>0</v>
      </c>
      <c r="U1064" s="148" t="s">
        <v>34</v>
      </c>
      <c r="V1064" s="278">
        <f>SUM(T1064:T1075)%</f>
        <v>0</v>
      </c>
      <c r="W1064" s="146"/>
    </row>
    <row r="1065" spans="1:23" ht="16.05" customHeight="1" x14ac:dyDescent="0.45">
      <c r="A1065" s="1">
        <v>1064</v>
      </c>
      <c r="B1065" s="16" t="s">
        <v>924</v>
      </c>
      <c r="C1065" s="57" t="s">
        <v>24</v>
      </c>
      <c r="D1065" s="413">
        <v>5927</v>
      </c>
      <c r="E1065" s="59" t="s">
        <v>1897</v>
      </c>
      <c r="F1065" s="526" t="s">
        <v>1762</v>
      </c>
      <c r="G1065" s="526">
        <v>6586</v>
      </c>
      <c r="H1065" s="529" t="s">
        <v>1888</v>
      </c>
      <c r="I1065" s="526" t="s">
        <v>1898</v>
      </c>
      <c r="J1065" s="184" t="s">
        <v>58</v>
      </c>
      <c r="K1065" s="184" t="s">
        <v>57</v>
      </c>
      <c r="L1065" s="360">
        <v>0.7</v>
      </c>
      <c r="M1065" s="396" t="s">
        <v>1723</v>
      </c>
      <c r="N1065" s="184" t="s">
        <v>1724</v>
      </c>
      <c r="O1065" s="344" t="s">
        <v>1725</v>
      </c>
      <c r="P1065" s="153">
        <v>0.95</v>
      </c>
      <c r="Q1065" s="360">
        <v>0.1</v>
      </c>
      <c r="R1065" s="153"/>
      <c r="S1065" s="153">
        <f>ROUND(IF(OR(P1065="",R1065=""),0,IF(AND(P1065=0,R1065=0),1,IF(U1065="+",R1065/P1065,P1065/R1065))),2)</f>
        <v>0</v>
      </c>
      <c r="T1065" s="152">
        <f t="shared" si="33"/>
        <v>0</v>
      </c>
      <c r="U1065" s="153" t="s">
        <v>34</v>
      </c>
      <c r="V1065" s="153"/>
      <c r="W1065" s="162"/>
    </row>
    <row r="1066" spans="1:23" ht="16.05" customHeight="1" x14ac:dyDescent="0.45">
      <c r="A1066" s="1">
        <v>1065</v>
      </c>
      <c r="B1066" s="16" t="s">
        <v>924</v>
      </c>
      <c r="C1066" s="530" t="s">
        <v>24</v>
      </c>
      <c r="D1066" s="413">
        <v>5927</v>
      </c>
      <c r="E1066" s="59" t="s">
        <v>1897</v>
      </c>
      <c r="F1066" s="526" t="s">
        <v>1762</v>
      </c>
      <c r="G1066" s="526">
        <v>6586</v>
      </c>
      <c r="H1066" s="529" t="s">
        <v>1888</v>
      </c>
      <c r="I1066" s="526" t="s">
        <v>1898</v>
      </c>
      <c r="J1066" s="184" t="s">
        <v>58</v>
      </c>
      <c r="K1066" s="184" t="s">
        <v>57</v>
      </c>
      <c r="L1066" s="360">
        <v>0.7</v>
      </c>
      <c r="M1066" s="289" t="s">
        <v>1890</v>
      </c>
      <c r="N1066" s="435" t="s">
        <v>1891</v>
      </c>
      <c r="O1066" s="523" t="s">
        <v>1892</v>
      </c>
      <c r="P1066" s="551">
        <v>90000</v>
      </c>
      <c r="Q1066" s="360">
        <v>0.1</v>
      </c>
      <c r="R1066" s="153"/>
      <c r="S1066" s="153">
        <f>ROUND(IF(OR(P1066="",R1066=""),0,IF(AND(P1066=0,R1066=0),1,IF(U1066="+",R1066/P1066,P1066/R1066))),2)</f>
        <v>0</v>
      </c>
      <c r="T1066" s="152">
        <f t="shared" si="33"/>
        <v>0</v>
      </c>
      <c r="U1066" s="153" t="s">
        <v>34</v>
      </c>
      <c r="V1066" s="153"/>
      <c r="W1066" s="162"/>
    </row>
    <row r="1067" spans="1:23" ht="16.05" customHeight="1" x14ac:dyDescent="0.45">
      <c r="A1067" s="1">
        <v>1066</v>
      </c>
      <c r="B1067" s="16" t="s">
        <v>924</v>
      </c>
      <c r="C1067" s="530" t="s">
        <v>24</v>
      </c>
      <c r="D1067" s="413">
        <v>5927</v>
      </c>
      <c r="E1067" s="59" t="s">
        <v>1897</v>
      </c>
      <c r="F1067" s="526" t="s">
        <v>1762</v>
      </c>
      <c r="G1067" s="526">
        <v>6586</v>
      </c>
      <c r="H1067" s="529" t="s">
        <v>1888</v>
      </c>
      <c r="I1067" s="526" t="s">
        <v>1898</v>
      </c>
      <c r="J1067" s="184" t="s">
        <v>58</v>
      </c>
      <c r="K1067" s="184" t="s">
        <v>57</v>
      </c>
      <c r="L1067" s="360">
        <v>0.7</v>
      </c>
      <c r="M1067" s="553" t="s">
        <v>1726</v>
      </c>
      <c r="N1067" s="344" t="s">
        <v>1727</v>
      </c>
      <c r="O1067" s="344" t="s">
        <v>1728</v>
      </c>
      <c r="P1067" s="153">
        <v>0.7</v>
      </c>
      <c r="Q1067" s="360">
        <v>7.0000000000000007E-2</v>
      </c>
      <c r="R1067" s="153"/>
      <c r="S1067" s="153">
        <f t="shared" si="32"/>
        <v>0</v>
      </c>
      <c r="T1067" s="152">
        <f t="shared" si="33"/>
        <v>0</v>
      </c>
      <c r="U1067" s="153" t="s">
        <v>34</v>
      </c>
      <c r="V1067" s="552"/>
      <c r="W1067" s="162"/>
    </row>
    <row r="1068" spans="1:23" ht="16.05" customHeight="1" x14ac:dyDescent="0.45">
      <c r="A1068" s="1">
        <v>1067</v>
      </c>
      <c r="B1068" s="16" t="s">
        <v>924</v>
      </c>
      <c r="C1068" s="57" t="s">
        <v>24</v>
      </c>
      <c r="D1068" s="413">
        <v>5927</v>
      </c>
      <c r="E1068" s="59" t="s">
        <v>1897</v>
      </c>
      <c r="F1068" s="526" t="s">
        <v>1762</v>
      </c>
      <c r="G1068" s="526">
        <v>6586</v>
      </c>
      <c r="H1068" s="529" t="s">
        <v>1888</v>
      </c>
      <c r="I1068" s="526" t="s">
        <v>1898</v>
      </c>
      <c r="J1068" s="184" t="s">
        <v>58</v>
      </c>
      <c r="K1068" s="184" t="s">
        <v>57</v>
      </c>
      <c r="L1068" s="360">
        <v>0.7</v>
      </c>
      <c r="M1068" s="553" t="s">
        <v>1729</v>
      </c>
      <c r="N1068" s="344" t="s">
        <v>1730</v>
      </c>
      <c r="O1068" s="344" t="s">
        <v>1731</v>
      </c>
      <c r="P1068" s="153">
        <v>0.05</v>
      </c>
      <c r="Q1068" s="360">
        <v>0.08</v>
      </c>
      <c r="R1068" s="153"/>
      <c r="S1068" s="153">
        <f t="shared" si="32"/>
        <v>0</v>
      </c>
      <c r="T1068" s="152">
        <f t="shared" si="33"/>
        <v>0</v>
      </c>
      <c r="U1068" s="153" t="s">
        <v>34</v>
      </c>
      <c r="V1068" s="153"/>
      <c r="W1068" s="162"/>
    </row>
    <row r="1069" spans="1:23" ht="16.05" customHeight="1" x14ac:dyDescent="0.45">
      <c r="A1069" s="1">
        <v>1068</v>
      </c>
      <c r="B1069" s="16" t="s">
        <v>924</v>
      </c>
      <c r="C1069" s="530" t="s">
        <v>24</v>
      </c>
      <c r="D1069" s="413">
        <v>5927</v>
      </c>
      <c r="E1069" s="59" t="s">
        <v>1897</v>
      </c>
      <c r="F1069" s="526" t="s">
        <v>1762</v>
      </c>
      <c r="G1069" s="526">
        <v>6586</v>
      </c>
      <c r="H1069" s="529" t="s">
        <v>1888</v>
      </c>
      <c r="I1069" s="526" t="s">
        <v>1898</v>
      </c>
      <c r="J1069" s="184" t="s">
        <v>58</v>
      </c>
      <c r="K1069" s="184" t="s">
        <v>57</v>
      </c>
      <c r="L1069" s="360">
        <v>0.7</v>
      </c>
      <c r="M1069" s="553" t="s">
        <v>1732</v>
      </c>
      <c r="N1069" s="344" t="s">
        <v>1733</v>
      </c>
      <c r="O1069" s="344" t="s">
        <v>1734</v>
      </c>
      <c r="P1069" s="153">
        <v>1</v>
      </c>
      <c r="Q1069" s="360">
        <v>7.0000000000000007E-2</v>
      </c>
      <c r="R1069" s="153"/>
      <c r="S1069" s="153">
        <f t="shared" si="32"/>
        <v>0</v>
      </c>
      <c r="T1069" s="152">
        <f t="shared" si="33"/>
        <v>0</v>
      </c>
      <c r="U1069" s="153" t="s">
        <v>34</v>
      </c>
      <c r="V1069" s="552"/>
      <c r="W1069" s="162"/>
    </row>
    <row r="1070" spans="1:23" ht="16.05" customHeight="1" x14ac:dyDescent="0.45">
      <c r="A1070" s="1">
        <v>1069</v>
      </c>
      <c r="B1070" s="16" t="s">
        <v>924</v>
      </c>
      <c r="C1070" s="57" t="s">
        <v>24</v>
      </c>
      <c r="D1070" s="413">
        <v>5927</v>
      </c>
      <c r="E1070" s="59" t="s">
        <v>1897</v>
      </c>
      <c r="F1070" s="526" t="s">
        <v>1762</v>
      </c>
      <c r="G1070" s="526">
        <v>6586</v>
      </c>
      <c r="H1070" s="529" t="s">
        <v>1888</v>
      </c>
      <c r="I1070" s="526" t="s">
        <v>1898</v>
      </c>
      <c r="J1070" s="184" t="s">
        <v>58</v>
      </c>
      <c r="K1070" s="184" t="s">
        <v>57</v>
      </c>
      <c r="L1070" s="360">
        <v>0.7</v>
      </c>
      <c r="M1070" s="553" t="s">
        <v>624</v>
      </c>
      <c r="N1070" s="344" t="s">
        <v>1735</v>
      </c>
      <c r="O1070" s="344" t="s">
        <v>1736</v>
      </c>
      <c r="P1070" s="153">
        <v>0.05</v>
      </c>
      <c r="Q1070" s="360">
        <v>0.18</v>
      </c>
      <c r="R1070" s="153"/>
      <c r="S1070" s="153">
        <f t="shared" si="32"/>
        <v>0</v>
      </c>
      <c r="T1070" s="152">
        <f t="shared" si="33"/>
        <v>0</v>
      </c>
      <c r="U1070" s="153" t="s">
        <v>83</v>
      </c>
      <c r="V1070" s="153"/>
      <c r="W1070" s="162"/>
    </row>
    <row r="1071" spans="1:23" ht="16.05" customHeight="1" x14ac:dyDescent="0.45">
      <c r="A1071" s="1">
        <v>1070</v>
      </c>
      <c r="B1071" s="16" t="s">
        <v>924</v>
      </c>
      <c r="C1071" s="530" t="s">
        <v>24</v>
      </c>
      <c r="D1071" s="413">
        <v>5927</v>
      </c>
      <c r="E1071" s="59" t="s">
        <v>1897</v>
      </c>
      <c r="F1071" s="526" t="s">
        <v>1762</v>
      </c>
      <c r="G1071" s="526">
        <v>6586</v>
      </c>
      <c r="H1071" s="529" t="s">
        <v>1888</v>
      </c>
      <c r="I1071" s="526" t="s">
        <v>1898</v>
      </c>
      <c r="J1071" s="184" t="s">
        <v>58</v>
      </c>
      <c r="K1071" s="184" t="s">
        <v>57</v>
      </c>
      <c r="L1071" s="360">
        <v>0.7</v>
      </c>
      <c r="M1071" s="553" t="s">
        <v>1737</v>
      </c>
      <c r="N1071" s="344" t="s">
        <v>1738</v>
      </c>
      <c r="O1071" s="344" t="s">
        <v>1739</v>
      </c>
      <c r="P1071" s="153">
        <v>0.05</v>
      </c>
      <c r="Q1071" s="360">
        <v>0.1</v>
      </c>
      <c r="R1071" s="153"/>
      <c r="S1071" s="153">
        <f t="shared" si="32"/>
        <v>0</v>
      </c>
      <c r="T1071" s="152">
        <f t="shared" si="33"/>
        <v>0</v>
      </c>
      <c r="U1071" s="153" t="s">
        <v>34</v>
      </c>
      <c r="V1071" s="552"/>
      <c r="W1071" s="162"/>
    </row>
    <row r="1072" spans="1:23" ht="16.05" customHeight="1" x14ac:dyDescent="0.45">
      <c r="A1072" s="1">
        <v>1071</v>
      </c>
      <c r="B1072" s="16" t="s">
        <v>924</v>
      </c>
      <c r="C1072" s="57" t="s">
        <v>24</v>
      </c>
      <c r="D1072" s="413">
        <v>5927</v>
      </c>
      <c r="E1072" s="59" t="s">
        <v>1897</v>
      </c>
      <c r="F1072" s="526" t="s">
        <v>1762</v>
      </c>
      <c r="G1072" s="526">
        <v>6586</v>
      </c>
      <c r="H1072" s="529" t="s">
        <v>1888</v>
      </c>
      <c r="I1072" s="526" t="s">
        <v>1898</v>
      </c>
      <c r="J1072" s="184" t="s">
        <v>58</v>
      </c>
      <c r="K1072" s="184" t="s">
        <v>57</v>
      </c>
      <c r="L1072" s="360">
        <v>0.7</v>
      </c>
      <c r="M1072" s="553" t="s">
        <v>1740</v>
      </c>
      <c r="N1072" s="344" t="s">
        <v>1741</v>
      </c>
      <c r="O1072" s="344" t="s">
        <v>1742</v>
      </c>
      <c r="P1072" s="153">
        <v>0.9</v>
      </c>
      <c r="Q1072" s="360">
        <v>0.12</v>
      </c>
      <c r="R1072" s="153"/>
      <c r="S1072" s="153">
        <f t="shared" si="32"/>
        <v>0</v>
      </c>
      <c r="T1072" s="152">
        <f t="shared" si="33"/>
        <v>0</v>
      </c>
      <c r="U1072" s="153" t="s">
        <v>34</v>
      </c>
      <c r="V1072" s="153"/>
      <c r="W1072" s="162"/>
    </row>
    <row r="1073" spans="1:23" ht="16.05" customHeight="1" x14ac:dyDescent="0.45">
      <c r="A1073" s="1">
        <v>1072</v>
      </c>
      <c r="B1073" s="16" t="s">
        <v>924</v>
      </c>
      <c r="C1073" s="530" t="s">
        <v>24</v>
      </c>
      <c r="D1073" s="413">
        <v>5927</v>
      </c>
      <c r="E1073" s="59" t="s">
        <v>1897</v>
      </c>
      <c r="F1073" s="526" t="s">
        <v>1762</v>
      </c>
      <c r="G1073" s="526">
        <v>6586</v>
      </c>
      <c r="H1073" s="529" t="s">
        <v>1888</v>
      </c>
      <c r="I1073" s="526" t="s">
        <v>1898</v>
      </c>
      <c r="J1073" s="184" t="s">
        <v>58</v>
      </c>
      <c r="K1073" s="184" t="s">
        <v>57</v>
      </c>
      <c r="L1073" s="360">
        <v>0.7</v>
      </c>
      <c r="M1073" s="553" t="s">
        <v>1743</v>
      </c>
      <c r="N1073" s="344" t="s">
        <v>1744</v>
      </c>
      <c r="O1073" s="344" t="s">
        <v>1745</v>
      </c>
      <c r="P1073" s="153">
        <v>1</v>
      </c>
      <c r="Q1073" s="360">
        <v>0.02</v>
      </c>
      <c r="R1073" s="153"/>
      <c r="S1073" s="153">
        <f t="shared" si="32"/>
        <v>0</v>
      </c>
      <c r="T1073" s="152">
        <f t="shared" si="33"/>
        <v>0</v>
      </c>
      <c r="U1073" s="153" t="s">
        <v>34</v>
      </c>
      <c r="V1073" s="552"/>
      <c r="W1073" s="162"/>
    </row>
    <row r="1074" spans="1:23" ht="16.05" customHeight="1" x14ac:dyDescent="0.45">
      <c r="A1074" s="1">
        <v>1073</v>
      </c>
      <c r="B1074" s="16" t="s">
        <v>924</v>
      </c>
      <c r="C1074" s="57" t="s">
        <v>24</v>
      </c>
      <c r="D1074" s="413">
        <v>5927</v>
      </c>
      <c r="E1074" s="59" t="s">
        <v>1897</v>
      </c>
      <c r="F1074" s="526" t="s">
        <v>1762</v>
      </c>
      <c r="G1074" s="526">
        <v>6586</v>
      </c>
      <c r="H1074" s="529" t="s">
        <v>1888</v>
      </c>
      <c r="I1074" s="526" t="s">
        <v>1898</v>
      </c>
      <c r="J1074" s="16" t="s">
        <v>111</v>
      </c>
      <c r="K1074" s="16" t="s">
        <v>110</v>
      </c>
      <c r="L1074" s="418">
        <v>0.3</v>
      </c>
      <c r="M1074" s="498" t="s">
        <v>1899</v>
      </c>
      <c r="N1074" s="545" t="s">
        <v>1900</v>
      </c>
      <c r="O1074" s="545"/>
      <c r="P1074" s="156">
        <v>1</v>
      </c>
      <c r="Q1074" s="418">
        <v>0.5</v>
      </c>
      <c r="R1074" s="156"/>
      <c r="S1074" s="156">
        <f t="shared" si="32"/>
        <v>0</v>
      </c>
      <c r="T1074" s="155">
        <f t="shared" si="33"/>
        <v>0</v>
      </c>
      <c r="U1074" s="156" t="s">
        <v>34</v>
      </c>
      <c r="V1074" s="156"/>
      <c r="W1074" s="73"/>
    </row>
    <row r="1075" spans="1:23" ht="16.05" customHeight="1" x14ac:dyDescent="0.45">
      <c r="A1075" s="1">
        <v>1074</v>
      </c>
      <c r="B1075" s="16" t="s">
        <v>924</v>
      </c>
      <c r="C1075" s="530" t="s">
        <v>24</v>
      </c>
      <c r="D1075" s="413">
        <v>5927</v>
      </c>
      <c r="E1075" s="59" t="s">
        <v>1897</v>
      </c>
      <c r="F1075" s="526" t="s">
        <v>1762</v>
      </c>
      <c r="G1075" s="526">
        <v>6586</v>
      </c>
      <c r="H1075" s="529" t="s">
        <v>1888</v>
      </c>
      <c r="I1075" s="526" t="s">
        <v>1898</v>
      </c>
      <c r="J1075" s="16" t="s">
        <v>111</v>
      </c>
      <c r="K1075" s="16" t="s">
        <v>110</v>
      </c>
      <c r="L1075" s="418">
        <v>0.3</v>
      </c>
      <c r="M1075" s="498" t="s">
        <v>1901</v>
      </c>
      <c r="N1075" s="545" t="s">
        <v>1902</v>
      </c>
      <c r="O1075" s="545"/>
      <c r="P1075" s="156">
        <v>1</v>
      </c>
      <c r="Q1075" s="418">
        <v>0.5</v>
      </c>
      <c r="R1075" s="156"/>
      <c r="S1075" s="156">
        <f t="shared" si="32"/>
        <v>0</v>
      </c>
      <c r="T1075" s="155">
        <f t="shared" si="33"/>
        <v>0</v>
      </c>
      <c r="U1075" s="156" t="s">
        <v>34</v>
      </c>
      <c r="V1075" s="539"/>
      <c r="W1075" s="73"/>
    </row>
    <row r="1076" spans="1:23" ht="16.05" customHeight="1" x14ac:dyDescent="0.45">
      <c r="A1076" s="1">
        <v>1075</v>
      </c>
      <c r="B1076" s="2" t="s">
        <v>924</v>
      </c>
      <c r="C1076" s="2" t="s">
        <v>24</v>
      </c>
      <c r="D1076" s="275">
        <v>6586</v>
      </c>
      <c r="E1076" s="3" t="s">
        <v>1888</v>
      </c>
      <c r="F1076" s="3" t="s">
        <v>1903</v>
      </c>
      <c r="G1076" s="91">
        <v>6592</v>
      </c>
      <c r="H1076" s="99" t="s">
        <v>925</v>
      </c>
      <c r="I1076" s="2" t="s">
        <v>1904</v>
      </c>
      <c r="J1076" s="3" t="s">
        <v>58</v>
      </c>
      <c r="K1076" s="3" t="s">
        <v>57</v>
      </c>
      <c r="L1076" s="554">
        <v>0.5</v>
      </c>
      <c r="M1076" s="181" t="s">
        <v>68</v>
      </c>
      <c r="N1076" s="91" t="s">
        <v>69</v>
      </c>
      <c r="O1076" s="54" t="s">
        <v>70</v>
      </c>
      <c r="P1076" s="118">
        <v>0.95</v>
      </c>
      <c r="Q1076" s="554">
        <v>0.1</v>
      </c>
      <c r="R1076" s="118"/>
      <c r="S1076" s="148">
        <f t="shared" si="32"/>
        <v>0</v>
      </c>
      <c r="T1076" s="168">
        <f t="shared" si="33"/>
        <v>0</v>
      </c>
      <c r="U1076" s="555" t="s">
        <v>34</v>
      </c>
      <c r="V1076" s="556">
        <f>SUM(T1076:T1095)%</f>
        <v>0</v>
      </c>
      <c r="W1076" s="555"/>
    </row>
    <row r="1077" spans="1:23" ht="16.05" customHeight="1" x14ac:dyDescent="0.45">
      <c r="A1077" s="1">
        <v>1076</v>
      </c>
      <c r="B1077" s="57" t="s">
        <v>924</v>
      </c>
      <c r="C1077" s="57" t="s">
        <v>24</v>
      </c>
      <c r="D1077" s="281">
        <v>6586</v>
      </c>
      <c r="E1077" s="16" t="s">
        <v>1888</v>
      </c>
      <c r="F1077" s="16" t="s">
        <v>1903</v>
      </c>
      <c r="G1077" s="57">
        <v>6592</v>
      </c>
      <c r="H1077" s="57" t="s">
        <v>925</v>
      </c>
      <c r="I1077" s="57" t="s">
        <v>1904</v>
      </c>
      <c r="J1077" s="390" t="s">
        <v>58</v>
      </c>
      <c r="K1077" s="359" t="s">
        <v>57</v>
      </c>
      <c r="L1077" s="557">
        <v>0.5</v>
      </c>
      <c r="M1077" s="558" t="s">
        <v>71</v>
      </c>
      <c r="N1077" s="287" t="s">
        <v>1905</v>
      </c>
      <c r="O1077" s="41" t="s">
        <v>73</v>
      </c>
      <c r="P1077" s="123">
        <v>1</v>
      </c>
      <c r="Q1077" s="557">
        <v>0.1</v>
      </c>
      <c r="R1077" s="123"/>
      <c r="S1077" s="153">
        <f t="shared" si="32"/>
        <v>0</v>
      </c>
      <c r="T1077" s="152">
        <f t="shared" si="33"/>
        <v>0</v>
      </c>
      <c r="U1077" s="559" t="s">
        <v>83</v>
      </c>
      <c r="V1077" s="560"/>
      <c r="W1077" s="561"/>
    </row>
    <row r="1078" spans="1:23" ht="16.05" customHeight="1" x14ac:dyDescent="0.45">
      <c r="A1078" s="1">
        <v>1077</v>
      </c>
      <c r="B1078" s="57" t="s">
        <v>924</v>
      </c>
      <c r="C1078" s="57" t="s">
        <v>24</v>
      </c>
      <c r="D1078" s="281">
        <v>6586</v>
      </c>
      <c r="E1078" s="16" t="s">
        <v>1888</v>
      </c>
      <c r="F1078" s="16" t="s">
        <v>1903</v>
      </c>
      <c r="G1078" s="57">
        <v>6592</v>
      </c>
      <c r="H1078" s="57" t="s">
        <v>925</v>
      </c>
      <c r="I1078" s="57" t="s">
        <v>1904</v>
      </c>
      <c r="J1078" s="390" t="s">
        <v>58</v>
      </c>
      <c r="K1078" s="359" t="s">
        <v>57</v>
      </c>
      <c r="L1078" s="557">
        <v>0.5</v>
      </c>
      <c r="M1078" s="558" t="s">
        <v>108</v>
      </c>
      <c r="N1078" s="287" t="s">
        <v>109</v>
      </c>
      <c r="O1078" s="39" t="s">
        <v>1906</v>
      </c>
      <c r="P1078" s="123">
        <v>0.85</v>
      </c>
      <c r="Q1078" s="557">
        <v>0.1</v>
      </c>
      <c r="R1078" s="123"/>
      <c r="S1078" s="153">
        <f t="shared" si="32"/>
        <v>0</v>
      </c>
      <c r="T1078" s="152">
        <f t="shared" si="33"/>
        <v>0</v>
      </c>
      <c r="U1078" s="559" t="s">
        <v>34</v>
      </c>
      <c r="V1078" s="560"/>
      <c r="W1078" s="561"/>
    </row>
    <row r="1079" spans="1:23" ht="16.05" customHeight="1" x14ac:dyDescent="0.45">
      <c r="A1079" s="1">
        <v>1078</v>
      </c>
      <c r="B1079" s="57" t="s">
        <v>924</v>
      </c>
      <c r="C1079" s="57" t="s">
        <v>24</v>
      </c>
      <c r="D1079" s="281">
        <v>6586</v>
      </c>
      <c r="E1079" s="16" t="s">
        <v>1888</v>
      </c>
      <c r="F1079" s="16" t="s">
        <v>1903</v>
      </c>
      <c r="G1079" s="57">
        <v>6592</v>
      </c>
      <c r="H1079" s="57" t="s">
        <v>925</v>
      </c>
      <c r="I1079" s="57" t="s">
        <v>1904</v>
      </c>
      <c r="J1079" s="390" t="s">
        <v>58</v>
      </c>
      <c r="K1079" s="359" t="s">
        <v>57</v>
      </c>
      <c r="L1079" s="557">
        <v>0.5</v>
      </c>
      <c r="M1079" s="443" t="s">
        <v>1907</v>
      </c>
      <c r="N1079" s="287" t="s">
        <v>1908</v>
      </c>
      <c r="O1079" s="40" t="s">
        <v>1909</v>
      </c>
      <c r="P1079" s="123">
        <v>0.03</v>
      </c>
      <c r="Q1079" s="557">
        <v>0.1</v>
      </c>
      <c r="R1079" s="123"/>
      <c r="S1079" s="153">
        <f t="shared" si="32"/>
        <v>0</v>
      </c>
      <c r="T1079" s="152">
        <f t="shared" si="33"/>
        <v>0</v>
      </c>
      <c r="U1079" s="559" t="s">
        <v>83</v>
      </c>
      <c r="V1079" s="560"/>
      <c r="W1079" s="561"/>
    </row>
    <row r="1080" spans="1:23" ht="16.05" customHeight="1" x14ac:dyDescent="0.45">
      <c r="A1080" s="1">
        <v>1079</v>
      </c>
      <c r="B1080" s="57" t="s">
        <v>924</v>
      </c>
      <c r="C1080" s="57" t="s">
        <v>24</v>
      </c>
      <c r="D1080" s="281">
        <v>6586</v>
      </c>
      <c r="E1080" s="16" t="s">
        <v>1888</v>
      </c>
      <c r="F1080" s="16" t="s">
        <v>1903</v>
      </c>
      <c r="G1080" s="57">
        <v>6592</v>
      </c>
      <c r="H1080" s="57" t="s">
        <v>925</v>
      </c>
      <c r="I1080" s="57" t="s">
        <v>1904</v>
      </c>
      <c r="J1080" s="390" t="s">
        <v>58</v>
      </c>
      <c r="K1080" s="359" t="s">
        <v>57</v>
      </c>
      <c r="L1080" s="557">
        <v>0.5</v>
      </c>
      <c r="M1080" s="443" t="s">
        <v>74</v>
      </c>
      <c r="N1080" s="287" t="s">
        <v>75</v>
      </c>
      <c r="O1080" s="40" t="s">
        <v>76</v>
      </c>
      <c r="P1080" s="562">
        <v>0.9</v>
      </c>
      <c r="Q1080" s="557">
        <v>0.1</v>
      </c>
      <c r="R1080" s="562"/>
      <c r="S1080" s="153">
        <f t="shared" si="32"/>
        <v>0</v>
      </c>
      <c r="T1080" s="152">
        <f t="shared" si="33"/>
        <v>0</v>
      </c>
      <c r="U1080" s="563" t="s">
        <v>34</v>
      </c>
      <c r="V1080" s="560"/>
      <c r="W1080" s="561"/>
    </row>
    <row r="1081" spans="1:23" ht="16.05" customHeight="1" x14ac:dyDescent="0.45">
      <c r="A1081" s="1">
        <v>1080</v>
      </c>
      <c r="B1081" s="57" t="s">
        <v>924</v>
      </c>
      <c r="C1081" s="57" t="s">
        <v>24</v>
      </c>
      <c r="D1081" s="281">
        <v>6586</v>
      </c>
      <c r="E1081" s="16" t="s">
        <v>1888</v>
      </c>
      <c r="F1081" s="16" t="s">
        <v>1903</v>
      </c>
      <c r="G1081" s="57">
        <v>6592</v>
      </c>
      <c r="H1081" s="57" t="s">
        <v>925</v>
      </c>
      <c r="I1081" s="57" t="s">
        <v>1904</v>
      </c>
      <c r="J1081" s="390" t="s">
        <v>58</v>
      </c>
      <c r="K1081" s="359" t="s">
        <v>57</v>
      </c>
      <c r="L1081" s="557">
        <v>0.5</v>
      </c>
      <c r="M1081" s="443" t="s">
        <v>1910</v>
      </c>
      <c r="N1081" s="287" t="s">
        <v>1911</v>
      </c>
      <c r="O1081" s="40" t="s">
        <v>1912</v>
      </c>
      <c r="P1081" s="123">
        <v>0</v>
      </c>
      <c r="Q1081" s="557">
        <v>0.1</v>
      </c>
      <c r="R1081" s="123"/>
      <c r="S1081" s="153">
        <f t="shared" si="32"/>
        <v>0</v>
      </c>
      <c r="T1081" s="152">
        <f t="shared" si="33"/>
        <v>0</v>
      </c>
      <c r="U1081" s="559" t="s">
        <v>83</v>
      </c>
      <c r="V1081" s="560"/>
      <c r="W1081" s="561"/>
    </row>
    <row r="1082" spans="1:23" ht="16.05" customHeight="1" x14ac:dyDescent="0.45">
      <c r="A1082" s="1">
        <v>1081</v>
      </c>
      <c r="B1082" s="57" t="s">
        <v>924</v>
      </c>
      <c r="C1082" s="57" t="s">
        <v>24</v>
      </c>
      <c r="D1082" s="281">
        <v>6586</v>
      </c>
      <c r="E1082" s="16" t="s">
        <v>1888</v>
      </c>
      <c r="F1082" s="16" t="s">
        <v>1903</v>
      </c>
      <c r="G1082" s="57">
        <v>6592</v>
      </c>
      <c r="H1082" s="57" t="s">
        <v>925</v>
      </c>
      <c r="I1082" s="57" t="s">
        <v>1904</v>
      </c>
      <c r="J1082" s="390" t="s">
        <v>58</v>
      </c>
      <c r="K1082" s="359" t="s">
        <v>57</v>
      </c>
      <c r="L1082" s="557">
        <v>0.5</v>
      </c>
      <c r="M1082" s="558" t="s">
        <v>1913</v>
      </c>
      <c r="N1082" s="287" t="s">
        <v>1914</v>
      </c>
      <c r="O1082" s="40" t="s">
        <v>1915</v>
      </c>
      <c r="P1082" s="123">
        <v>1</v>
      </c>
      <c r="Q1082" s="557">
        <v>0.1</v>
      </c>
      <c r="R1082" s="123"/>
      <c r="S1082" s="153">
        <f t="shared" si="32"/>
        <v>0</v>
      </c>
      <c r="T1082" s="152">
        <f t="shared" si="33"/>
        <v>0</v>
      </c>
      <c r="U1082" s="430" t="s">
        <v>34</v>
      </c>
      <c r="V1082" s="560"/>
      <c r="W1082" s="561"/>
    </row>
    <row r="1083" spans="1:23" ht="16.05" customHeight="1" x14ac:dyDescent="0.45">
      <c r="A1083" s="1">
        <v>1082</v>
      </c>
      <c r="B1083" s="57" t="s">
        <v>924</v>
      </c>
      <c r="C1083" s="57" t="s">
        <v>24</v>
      </c>
      <c r="D1083" s="281">
        <v>6586</v>
      </c>
      <c r="E1083" s="16" t="s">
        <v>1888</v>
      </c>
      <c r="F1083" s="16" t="s">
        <v>1903</v>
      </c>
      <c r="G1083" s="57">
        <v>6592</v>
      </c>
      <c r="H1083" s="57" t="s">
        <v>925</v>
      </c>
      <c r="I1083" s="57" t="s">
        <v>1904</v>
      </c>
      <c r="J1083" s="390" t="s">
        <v>58</v>
      </c>
      <c r="K1083" s="359" t="s">
        <v>57</v>
      </c>
      <c r="L1083" s="557">
        <v>0.5</v>
      </c>
      <c r="M1083" s="558" t="s">
        <v>1916</v>
      </c>
      <c r="N1083" s="64" t="s">
        <v>1917</v>
      </c>
      <c r="O1083" s="40" t="s">
        <v>1918</v>
      </c>
      <c r="P1083" s="123">
        <v>1</v>
      </c>
      <c r="Q1083" s="557">
        <v>0.05</v>
      </c>
      <c r="R1083" s="123"/>
      <c r="S1083" s="153">
        <f t="shared" si="32"/>
        <v>0</v>
      </c>
      <c r="T1083" s="152">
        <f t="shared" si="33"/>
        <v>0</v>
      </c>
      <c r="U1083" s="430" t="s">
        <v>34</v>
      </c>
      <c r="V1083" s="560"/>
      <c r="W1083" s="561"/>
    </row>
    <row r="1084" spans="1:23" ht="16.05" customHeight="1" x14ac:dyDescent="0.45">
      <c r="A1084" s="1">
        <v>1083</v>
      </c>
      <c r="B1084" s="57" t="s">
        <v>924</v>
      </c>
      <c r="C1084" s="57" t="s">
        <v>24</v>
      </c>
      <c r="D1084" s="281">
        <v>6586</v>
      </c>
      <c r="E1084" s="16" t="s">
        <v>1888</v>
      </c>
      <c r="F1084" s="16" t="s">
        <v>1903</v>
      </c>
      <c r="G1084" s="57">
        <v>6592</v>
      </c>
      <c r="H1084" s="57" t="s">
        <v>925</v>
      </c>
      <c r="I1084" s="57" t="s">
        <v>1904</v>
      </c>
      <c r="J1084" s="390" t="s">
        <v>58</v>
      </c>
      <c r="K1084" s="359" t="s">
        <v>57</v>
      </c>
      <c r="L1084" s="557">
        <v>0.5</v>
      </c>
      <c r="M1084" s="443" t="s">
        <v>102</v>
      </c>
      <c r="N1084" s="64" t="s">
        <v>1919</v>
      </c>
      <c r="O1084" s="40" t="s">
        <v>1920</v>
      </c>
      <c r="P1084" s="123">
        <v>1</v>
      </c>
      <c r="Q1084" s="557">
        <v>0.05</v>
      </c>
      <c r="R1084" s="123"/>
      <c r="S1084" s="153">
        <f t="shared" si="32"/>
        <v>0</v>
      </c>
      <c r="T1084" s="152">
        <f t="shared" si="33"/>
        <v>0</v>
      </c>
      <c r="U1084" s="430" t="s">
        <v>34</v>
      </c>
      <c r="V1084" s="560"/>
      <c r="W1084" s="561"/>
    </row>
    <row r="1085" spans="1:23" ht="16.05" customHeight="1" x14ac:dyDescent="0.45">
      <c r="A1085" s="1">
        <v>1084</v>
      </c>
      <c r="B1085" s="57" t="s">
        <v>924</v>
      </c>
      <c r="C1085" s="57" t="s">
        <v>24</v>
      </c>
      <c r="D1085" s="281">
        <v>6586</v>
      </c>
      <c r="E1085" s="16" t="s">
        <v>1888</v>
      </c>
      <c r="F1085" s="16" t="s">
        <v>1903</v>
      </c>
      <c r="G1085" s="57">
        <v>6592</v>
      </c>
      <c r="H1085" s="57" t="s">
        <v>925</v>
      </c>
      <c r="I1085" s="57" t="s">
        <v>1904</v>
      </c>
      <c r="J1085" s="390" t="s">
        <v>58</v>
      </c>
      <c r="K1085" s="359" t="s">
        <v>57</v>
      </c>
      <c r="L1085" s="557">
        <v>0.5</v>
      </c>
      <c r="M1085" s="443" t="s">
        <v>1890</v>
      </c>
      <c r="N1085" s="64" t="s">
        <v>1891</v>
      </c>
      <c r="O1085" s="39" t="s">
        <v>1921</v>
      </c>
      <c r="P1085" s="564">
        <v>90000</v>
      </c>
      <c r="Q1085" s="557">
        <v>0.05</v>
      </c>
      <c r="R1085" s="564"/>
      <c r="S1085" s="153">
        <f t="shared" si="32"/>
        <v>0</v>
      </c>
      <c r="T1085" s="152">
        <f t="shared" si="33"/>
        <v>0</v>
      </c>
      <c r="U1085" s="430" t="s">
        <v>34</v>
      </c>
      <c r="V1085" s="560"/>
      <c r="W1085" s="561"/>
    </row>
    <row r="1086" spans="1:23" ht="16.05" customHeight="1" x14ac:dyDescent="0.45">
      <c r="A1086" s="1">
        <v>1085</v>
      </c>
      <c r="B1086" s="57" t="s">
        <v>924</v>
      </c>
      <c r="C1086" s="57" t="s">
        <v>24</v>
      </c>
      <c r="D1086" s="281">
        <v>6586</v>
      </c>
      <c r="E1086" s="16" t="s">
        <v>1888</v>
      </c>
      <c r="F1086" s="16" t="s">
        <v>1903</v>
      </c>
      <c r="G1086" s="57">
        <v>6592</v>
      </c>
      <c r="H1086" s="57" t="s">
        <v>925</v>
      </c>
      <c r="I1086" s="57" t="s">
        <v>1904</v>
      </c>
      <c r="J1086" s="390" t="s">
        <v>58</v>
      </c>
      <c r="K1086" s="359" t="s">
        <v>57</v>
      </c>
      <c r="L1086" s="557">
        <v>0.5</v>
      </c>
      <c r="M1086" s="443" t="s">
        <v>1922</v>
      </c>
      <c r="N1086" s="64" t="s">
        <v>1923</v>
      </c>
      <c r="O1086" s="39"/>
      <c r="P1086" s="565">
        <v>0.995</v>
      </c>
      <c r="Q1086" s="557">
        <v>0.05</v>
      </c>
      <c r="R1086" s="565"/>
      <c r="S1086" s="153">
        <f t="shared" si="32"/>
        <v>0</v>
      </c>
      <c r="T1086" s="152">
        <f t="shared" si="33"/>
        <v>0</v>
      </c>
      <c r="U1086" s="430" t="s">
        <v>34</v>
      </c>
      <c r="V1086" s="560"/>
      <c r="W1086" s="561"/>
    </row>
    <row r="1087" spans="1:23" ht="16.05" customHeight="1" x14ac:dyDescent="0.45">
      <c r="A1087" s="1">
        <v>1086</v>
      </c>
      <c r="B1087" s="57" t="s">
        <v>924</v>
      </c>
      <c r="C1087" s="57" t="s">
        <v>24</v>
      </c>
      <c r="D1087" s="281">
        <v>6586</v>
      </c>
      <c r="E1087" s="16" t="s">
        <v>1888</v>
      </c>
      <c r="F1087" s="16" t="s">
        <v>1903</v>
      </c>
      <c r="G1087" s="57">
        <v>6592</v>
      </c>
      <c r="H1087" s="57" t="s">
        <v>925</v>
      </c>
      <c r="I1087" s="57" t="s">
        <v>1904</v>
      </c>
      <c r="J1087" s="390" t="s">
        <v>58</v>
      </c>
      <c r="K1087" s="359" t="s">
        <v>57</v>
      </c>
      <c r="L1087" s="557">
        <v>0.5</v>
      </c>
      <c r="M1087" s="443" t="s">
        <v>1924</v>
      </c>
      <c r="N1087" s="287" t="s">
        <v>1925</v>
      </c>
      <c r="O1087" s="40" t="s">
        <v>107</v>
      </c>
      <c r="P1087" s="123">
        <v>1</v>
      </c>
      <c r="Q1087" s="557">
        <v>0.1</v>
      </c>
      <c r="R1087" s="123"/>
      <c r="S1087" s="153">
        <f t="shared" si="32"/>
        <v>0</v>
      </c>
      <c r="T1087" s="152">
        <f t="shared" si="33"/>
        <v>0</v>
      </c>
      <c r="U1087" s="430" t="s">
        <v>34</v>
      </c>
      <c r="V1087" s="560"/>
      <c r="W1087" s="561"/>
    </row>
    <row r="1088" spans="1:23" ht="16.05" customHeight="1" x14ac:dyDescent="0.45">
      <c r="A1088" s="1">
        <v>1087</v>
      </c>
      <c r="B1088" s="57" t="s">
        <v>924</v>
      </c>
      <c r="C1088" s="57" t="s">
        <v>24</v>
      </c>
      <c r="D1088" s="281">
        <v>6586</v>
      </c>
      <c r="E1088" s="16" t="s">
        <v>1888</v>
      </c>
      <c r="F1088" s="16" t="s">
        <v>1903</v>
      </c>
      <c r="G1088" s="57">
        <v>6592</v>
      </c>
      <c r="H1088" s="57" t="s">
        <v>925</v>
      </c>
      <c r="I1088" s="57" t="s">
        <v>1904</v>
      </c>
      <c r="J1088" s="334" t="s">
        <v>111</v>
      </c>
      <c r="K1088" s="182" t="s">
        <v>110</v>
      </c>
      <c r="L1088" s="566">
        <v>0.5</v>
      </c>
      <c r="M1088" s="567" t="s">
        <v>1926</v>
      </c>
      <c r="N1088" s="334" t="s">
        <v>1927</v>
      </c>
      <c r="O1088" s="136"/>
      <c r="P1088" s="568">
        <v>1</v>
      </c>
      <c r="Q1088" s="566">
        <v>0.15</v>
      </c>
      <c r="R1088" s="568"/>
      <c r="S1088" s="156">
        <f t="shared" si="32"/>
        <v>0</v>
      </c>
      <c r="T1088" s="155">
        <f t="shared" si="33"/>
        <v>0</v>
      </c>
      <c r="U1088" s="71" t="s">
        <v>34</v>
      </c>
      <c r="V1088" s="73"/>
      <c r="W1088" s="73"/>
    </row>
    <row r="1089" spans="1:23" ht="16.05" customHeight="1" x14ac:dyDescent="0.45">
      <c r="A1089" s="1">
        <v>1088</v>
      </c>
      <c r="B1089" s="57" t="s">
        <v>924</v>
      </c>
      <c r="C1089" s="57" t="s">
        <v>24</v>
      </c>
      <c r="D1089" s="281">
        <v>6586</v>
      </c>
      <c r="E1089" s="16" t="s">
        <v>1888</v>
      </c>
      <c r="F1089" s="16" t="s">
        <v>1903</v>
      </c>
      <c r="G1089" s="57">
        <v>6592</v>
      </c>
      <c r="H1089" s="57" t="s">
        <v>925</v>
      </c>
      <c r="I1089" s="57" t="s">
        <v>1904</v>
      </c>
      <c r="J1089" s="334" t="s">
        <v>111</v>
      </c>
      <c r="K1089" s="182" t="s">
        <v>110</v>
      </c>
      <c r="L1089" s="566">
        <v>0.5</v>
      </c>
      <c r="M1089" s="567" t="s">
        <v>419</v>
      </c>
      <c r="N1089" s="334" t="s">
        <v>420</v>
      </c>
      <c r="O1089" s="136"/>
      <c r="P1089" s="568">
        <v>1</v>
      </c>
      <c r="Q1089" s="566">
        <v>0.1</v>
      </c>
      <c r="R1089" s="568"/>
      <c r="S1089" s="156">
        <f t="shared" si="32"/>
        <v>0</v>
      </c>
      <c r="T1089" s="155">
        <f t="shared" si="33"/>
        <v>0</v>
      </c>
      <c r="U1089" s="71" t="s">
        <v>34</v>
      </c>
      <c r="V1089" s="73"/>
      <c r="W1089" s="73"/>
    </row>
    <row r="1090" spans="1:23" ht="16.05" customHeight="1" x14ac:dyDescent="0.45">
      <c r="A1090" s="1">
        <v>1089</v>
      </c>
      <c r="B1090" s="57" t="s">
        <v>924</v>
      </c>
      <c r="C1090" s="57" t="s">
        <v>24</v>
      </c>
      <c r="D1090" s="281">
        <v>6586</v>
      </c>
      <c r="E1090" s="16" t="s">
        <v>1888</v>
      </c>
      <c r="F1090" s="16" t="s">
        <v>1903</v>
      </c>
      <c r="G1090" s="57">
        <v>6592</v>
      </c>
      <c r="H1090" s="57" t="s">
        <v>925</v>
      </c>
      <c r="I1090" s="57" t="s">
        <v>1904</v>
      </c>
      <c r="J1090" s="334" t="s">
        <v>111</v>
      </c>
      <c r="K1090" s="182" t="s">
        <v>110</v>
      </c>
      <c r="L1090" s="566">
        <v>0.5</v>
      </c>
      <c r="M1090" s="567" t="s">
        <v>1928</v>
      </c>
      <c r="N1090" s="334" t="s">
        <v>1929</v>
      </c>
      <c r="O1090" s="569"/>
      <c r="P1090" s="132">
        <v>0.1</v>
      </c>
      <c r="Q1090" s="566">
        <v>0.15</v>
      </c>
      <c r="R1090" s="132"/>
      <c r="S1090" s="156">
        <f t="shared" ref="S1090:S1153" si="34">ROUND(IF(OR(P1090="",R1090=""),0,IF(AND(P1090=0,R1090=0),1,IF(U1090="+",R1090/P1090,P1090/R1090))),2)</f>
        <v>0</v>
      </c>
      <c r="T1090" s="155">
        <f t="shared" ref="T1090:T1153" si="35">IF(AND(S1090&gt;=60%,S1090&lt;100%),S1090*((Q1090*L1090)),IF(S1090=100%,((Q1090*L1090)*S1090)*100%,IF(S1090&gt;100%,((L1090*Q1090)*100%)*100%,0)))*100</f>
        <v>0</v>
      </c>
      <c r="U1090" s="71" t="s">
        <v>83</v>
      </c>
      <c r="V1090" s="73"/>
      <c r="W1090" s="73"/>
    </row>
    <row r="1091" spans="1:23" ht="16.05" customHeight="1" x14ac:dyDescent="0.45">
      <c r="A1091" s="1">
        <v>1090</v>
      </c>
      <c r="B1091" s="57" t="s">
        <v>924</v>
      </c>
      <c r="C1091" s="57" t="s">
        <v>24</v>
      </c>
      <c r="D1091" s="281">
        <v>6586</v>
      </c>
      <c r="E1091" s="16" t="s">
        <v>1888</v>
      </c>
      <c r="F1091" s="16" t="s">
        <v>1903</v>
      </c>
      <c r="G1091" s="57">
        <v>6592</v>
      </c>
      <c r="H1091" s="57" t="s">
        <v>925</v>
      </c>
      <c r="I1091" s="57" t="s">
        <v>1904</v>
      </c>
      <c r="J1091" s="334" t="s">
        <v>111</v>
      </c>
      <c r="K1091" s="182" t="s">
        <v>110</v>
      </c>
      <c r="L1091" s="566">
        <v>0.5</v>
      </c>
      <c r="M1091" s="567" t="s">
        <v>1930</v>
      </c>
      <c r="N1091" s="334" t="s">
        <v>1931</v>
      </c>
      <c r="O1091" s="569"/>
      <c r="P1091" s="132">
        <v>1</v>
      </c>
      <c r="Q1091" s="566">
        <v>0.15</v>
      </c>
      <c r="R1091" s="132"/>
      <c r="S1091" s="156">
        <f t="shared" si="34"/>
        <v>0</v>
      </c>
      <c r="T1091" s="155">
        <f t="shared" si="35"/>
        <v>0</v>
      </c>
      <c r="U1091" s="71" t="s">
        <v>34</v>
      </c>
      <c r="V1091" s="73"/>
      <c r="W1091" s="73"/>
    </row>
    <row r="1092" spans="1:23" ht="16.05" customHeight="1" x14ac:dyDescent="0.45">
      <c r="A1092" s="1">
        <v>1091</v>
      </c>
      <c r="B1092" s="57" t="s">
        <v>924</v>
      </c>
      <c r="C1092" s="57" t="s">
        <v>24</v>
      </c>
      <c r="D1092" s="281">
        <v>6586</v>
      </c>
      <c r="E1092" s="16" t="s">
        <v>1888</v>
      </c>
      <c r="F1092" s="16" t="s">
        <v>1903</v>
      </c>
      <c r="G1092" s="57">
        <v>6592</v>
      </c>
      <c r="H1092" s="57" t="s">
        <v>925</v>
      </c>
      <c r="I1092" s="57" t="s">
        <v>1904</v>
      </c>
      <c r="J1092" s="334" t="s">
        <v>111</v>
      </c>
      <c r="K1092" s="182" t="s">
        <v>110</v>
      </c>
      <c r="L1092" s="566">
        <v>0.5</v>
      </c>
      <c r="M1092" s="567" t="s">
        <v>1932</v>
      </c>
      <c r="N1092" s="334" t="s">
        <v>1933</v>
      </c>
      <c r="O1092" s="570"/>
      <c r="P1092" s="132">
        <v>1</v>
      </c>
      <c r="Q1092" s="566">
        <v>0.15</v>
      </c>
      <c r="R1092" s="132"/>
      <c r="S1092" s="156">
        <f t="shared" si="34"/>
        <v>0</v>
      </c>
      <c r="T1092" s="155">
        <f t="shared" si="35"/>
        <v>0</v>
      </c>
      <c r="U1092" s="71" t="s">
        <v>34</v>
      </c>
      <c r="V1092" s="73"/>
      <c r="W1092" s="73"/>
    </row>
    <row r="1093" spans="1:23" ht="16.05" customHeight="1" x14ac:dyDescent="0.45">
      <c r="A1093" s="1">
        <v>1092</v>
      </c>
      <c r="B1093" s="57" t="s">
        <v>924</v>
      </c>
      <c r="C1093" s="57" t="s">
        <v>24</v>
      </c>
      <c r="D1093" s="281">
        <v>6586</v>
      </c>
      <c r="E1093" s="16" t="s">
        <v>1888</v>
      </c>
      <c r="F1093" s="16" t="s">
        <v>1903</v>
      </c>
      <c r="G1093" s="57">
        <v>6592</v>
      </c>
      <c r="H1093" s="57" t="s">
        <v>925</v>
      </c>
      <c r="I1093" s="57" t="s">
        <v>1904</v>
      </c>
      <c r="J1093" s="334" t="s">
        <v>111</v>
      </c>
      <c r="K1093" s="182" t="s">
        <v>110</v>
      </c>
      <c r="L1093" s="566">
        <v>0.5</v>
      </c>
      <c r="M1093" s="567" t="s">
        <v>1662</v>
      </c>
      <c r="N1093" s="571" t="s">
        <v>1934</v>
      </c>
      <c r="O1093" s="572"/>
      <c r="P1093" s="573">
        <v>2</v>
      </c>
      <c r="Q1093" s="566">
        <v>0.1</v>
      </c>
      <c r="R1093" s="573"/>
      <c r="S1093" s="156">
        <f t="shared" si="34"/>
        <v>0</v>
      </c>
      <c r="T1093" s="155">
        <f t="shared" si="35"/>
        <v>0</v>
      </c>
      <c r="U1093" s="16" t="s">
        <v>34</v>
      </c>
      <c r="V1093" s="73"/>
      <c r="W1093" s="16"/>
    </row>
    <row r="1094" spans="1:23" ht="16.05" customHeight="1" x14ac:dyDescent="0.5">
      <c r="A1094" s="1">
        <v>1093</v>
      </c>
      <c r="B1094" s="57" t="s">
        <v>924</v>
      </c>
      <c r="C1094" s="57" t="s">
        <v>24</v>
      </c>
      <c r="D1094" s="281">
        <v>6586</v>
      </c>
      <c r="E1094" s="16" t="s">
        <v>1888</v>
      </c>
      <c r="F1094" s="16" t="s">
        <v>1903</v>
      </c>
      <c r="G1094" s="57">
        <v>6592</v>
      </c>
      <c r="H1094" s="57" t="s">
        <v>925</v>
      </c>
      <c r="I1094" s="57" t="s">
        <v>1904</v>
      </c>
      <c r="J1094" s="334" t="s">
        <v>111</v>
      </c>
      <c r="K1094" s="182" t="s">
        <v>110</v>
      </c>
      <c r="L1094" s="566">
        <v>0.5</v>
      </c>
      <c r="M1094" s="574" t="s">
        <v>1658</v>
      </c>
      <c r="N1094" s="575" t="s">
        <v>1935</v>
      </c>
      <c r="O1094" s="136"/>
      <c r="P1094" s="132">
        <v>0.5</v>
      </c>
      <c r="Q1094" s="566">
        <v>0.1</v>
      </c>
      <c r="R1094" s="132"/>
      <c r="S1094" s="156">
        <f t="shared" si="34"/>
        <v>0</v>
      </c>
      <c r="T1094" s="155">
        <f t="shared" si="35"/>
        <v>0</v>
      </c>
      <c r="U1094" s="71" t="s">
        <v>34</v>
      </c>
      <c r="V1094" s="73"/>
      <c r="W1094" s="73"/>
    </row>
    <row r="1095" spans="1:23" ht="16.05" customHeight="1" x14ac:dyDescent="0.45">
      <c r="A1095" s="1">
        <v>1094</v>
      </c>
      <c r="B1095" s="57" t="s">
        <v>924</v>
      </c>
      <c r="C1095" s="57" t="s">
        <v>24</v>
      </c>
      <c r="D1095" s="281">
        <v>6586</v>
      </c>
      <c r="E1095" s="16" t="s">
        <v>1888</v>
      </c>
      <c r="F1095" s="16" t="s">
        <v>1903</v>
      </c>
      <c r="G1095" s="57">
        <v>6592</v>
      </c>
      <c r="H1095" s="57" t="s">
        <v>925</v>
      </c>
      <c r="I1095" s="57" t="s">
        <v>1904</v>
      </c>
      <c r="J1095" s="334" t="s">
        <v>111</v>
      </c>
      <c r="K1095" s="549" t="s">
        <v>110</v>
      </c>
      <c r="L1095" s="566">
        <v>0.5</v>
      </c>
      <c r="M1095" s="576" t="s">
        <v>1936</v>
      </c>
      <c r="N1095" s="537" t="s">
        <v>1937</v>
      </c>
      <c r="O1095" s="577"/>
      <c r="P1095" s="578">
        <v>0.3</v>
      </c>
      <c r="Q1095" s="566">
        <v>0.1</v>
      </c>
      <c r="R1095" s="578"/>
      <c r="S1095" s="156">
        <f t="shared" si="34"/>
        <v>0</v>
      </c>
      <c r="T1095" s="155">
        <f t="shared" si="35"/>
        <v>0</v>
      </c>
      <c r="U1095" s="71" t="s">
        <v>34</v>
      </c>
      <c r="V1095" s="73"/>
      <c r="W1095" s="73"/>
    </row>
    <row r="1096" spans="1:23" ht="16.05" customHeight="1" x14ac:dyDescent="0.45">
      <c r="A1096" s="1">
        <v>1095</v>
      </c>
      <c r="B1096" s="2" t="s">
        <v>924</v>
      </c>
      <c r="C1096" s="2" t="s">
        <v>24</v>
      </c>
      <c r="D1096" s="275">
        <v>5962</v>
      </c>
      <c r="E1096" s="3" t="s">
        <v>1938</v>
      </c>
      <c r="F1096" s="3" t="s">
        <v>1939</v>
      </c>
      <c r="G1096" s="91">
        <v>6592</v>
      </c>
      <c r="H1096" s="99" t="s">
        <v>925</v>
      </c>
      <c r="I1096" s="2" t="s">
        <v>1904</v>
      </c>
      <c r="J1096" s="3" t="s">
        <v>58</v>
      </c>
      <c r="K1096" s="3" t="s">
        <v>57</v>
      </c>
      <c r="L1096" s="554">
        <v>0.5</v>
      </c>
      <c r="M1096" s="181" t="s">
        <v>68</v>
      </c>
      <c r="N1096" s="91" t="s">
        <v>69</v>
      </c>
      <c r="O1096" s="54" t="s">
        <v>70</v>
      </c>
      <c r="P1096" s="118">
        <v>0.95</v>
      </c>
      <c r="Q1096" s="554">
        <v>0.1</v>
      </c>
      <c r="R1096" s="118"/>
      <c r="S1096" s="148">
        <f t="shared" si="34"/>
        <v>0</v>
      </c>
      <c r="T1096" s="168">
        <f t="shared" si="35"/>
        <v>0</v>
      </c>
      <c r="U1096" s="555" t="s">
        <v>34</v>
      </c>
      <c r="V1096" s="556">
        <f>SUM(T1096:T1114)%</f>
        <v>0</v>
      </c>
      <c r="W1096" s="555"/>
    </row>
    <row r="1097" spans="1:23" ht="16.05" customHeight="1" x14ac:dyDescent="0.45">
      <c r="A1097" s="1">
        <v>1096</v>
      </c>
      <c r="B1097" s="57" t="s">
        <v>924</v>
      </c>
      <c r="C1097" s="57" t="s">
        <v>24</v>
      </c>
      <c r="D1097" s="281">
        <v>5962</v>
      </c>
      <c r="E1097" s="16" t="s">
        <v>1938</v>
      </c>
      <c r="F1097" s="16" t="s">
        <v>1939</v>
      </c>
      <c r="G1097" s="57">
        <v>6592</v>
      </c>
      <c r="H1097" s="57" t="s">
        <v>925</v>
      </c>
      <c r="I1097" s="57" t="s">
        <v>1904</v>
      </c>
      <c r="J1097" s="390" t="s">
        <v>58</v>
      </c>
      <c r="K1097" s="306" t="s">
        <v>57</v>
      </c>
      <c r="L1097" s="557">
        <v>0.5</v>
      </c>
      <c r="M1097" s="558" t="s">
        <v>71</v>
      </c>
      <c r="N1097" s="287" t="s">
        <v>1905</v>
      </c>
      <c r="O1097" s="41" t="s">
        <v>73</v>
      </c>
      <c r="P1097" s="123">
        <v>1</v>
      </c>
      <c r="Q1097" s="557">
        <v>0.1</v>
      </c>
      <c r="R1097" s="123"/>
      <c r="S1097" s="153">
        <f t="shared" si="34"/>
        <v>0</v>
      </c>
      <c r="T1097" s="152">
        <f t="shared" si="35"/>
        <v>0</v>
      </c>
      <c r="U1097" s="559" t="s">
        <v>83</v>
      </c>
      <c r="V1097" s="560"/>
      <c r="W1097" s="561"/>
    </row>
    <row r="1098" spans="1:23" ht="16.05" customHeight="1" x14ac:dyDescent="0.45">
      <c r="A1098" s="1">
        <v>1097</v>
      </c>
      <c r="B1098" s="57" t="s">
        <v>924</v>
      </c>
      <c r="C1098" s="57" t="s">
        <v>24</v>
      </c>
      <c r="D1098" s="281">
        <v>5962</v>
      </c>
      <c r="E1098" s="16" t="s">
        <v>1938</v>
      </c>
      <c r="F1098" s="16" t="s">
        <v>1939</v>
      </c>
      <c r="G1098" s="57">
        <v>6592</v>
      </c>
      <c r="H1098" s="57" t="s">
        <v>925</v>
      </c>
      <c r="I1098" s="57" t="s">
        <v>1904</v>
      </c>
      <c r="J1098" s="390" t="s">
        <v>58</v>
      </c>
      <c r="K1098" s="306" t="s">
        <v>57</v>
      </c>
      <c r="L1098" s="557">
        <v>0.5</v>
      </c>
      <c r="M1098" s="558" t="s">
        <v>108</v>
      </c>
      <c r="N1098" s="287" t="s">
        <v>109</v>
      </c>
      <c r="O1098" s="39" t="s">
        <v>1906</v>
      </c>
      <c r="P1098" s="123">
        <v>0.85</v>
      </c>
      <c r="Q1098" s="557">
        <v>0.1</v>
      </c>
      <c r="R1098" s="123"/>
      <c r="S1098" s="153">
        <f t="shared" si="34"/>
        <v>0</v>
      </c>
      <c r="T1098" s="152">
        <f t="shared" si="35"/>
        <v>0</v>
      </c>
      <c r="U1098" s="559" t="s">
        <v>34</v>
      </c>
      <c r="V1098" s="560"/>
      <c r="W1098" s="561"/>
    </row>
    <row r="1099" spans="1:23" ht="16.05" customHeight="1" x14ac:dyDescent="0.45">
      <c r="A1099" s="1">
        <v>1098</v>
      </c>
      <c r="B1099" s="57" t="s">
        <v>924</v>
      </c>
      <c r="C1099" s="57" t="s">
        <v>24</v>
      </c>
      <c r="D1099" s="281">
        <v>5962</v>
      </c>
      <c r="E1099" s="16" t="s">
        <v>1938</v>
      </c>
      <c r="F1099" s="16" t="s">
        <v>1939</v>
      </c>
      <c r="G1099" s="57">
        <v>6592</v>
      </c>
      <c r="H1099" s="57" t="s">
        <v>925</v>
      </c>
      <c r="I1099" s="57" t="s">
        <v>1904</v>
      </c>
      <c r="J1099" s="390" t="s">
        <v>58</v>
      </c>
      <c r="K1099" s="306" t="s">
        <v>57</v>
      </c>
      <c r="L1099" s="557">
        <v>0.5</v>
      </c>
      <c r="M1099" s="443" t="s">
        <v>1907</v>
      </c>
      <c r="N1099" s="287" t="s">
        <v>1908</v>
      </c>
      <c r="O1099" s="40" t="s">
        <v>1909</v>
      </c>
      <c r="P1099" s="123">
        <v>0.03</v>
      </c>
      <c r="Q1099" s="557">
        <v>0.1</v>
      </c>
      <c r="R1099" s="123"/>
      <c r="S1099" s="153">
        <f t="shared" si="34"/>
        <v>0</v>
      </c>
      <c r="T1099" s="152">
        <f t="shared" si="35"/>
        <v>0</v>
      </c>
      <c r="U1099" s="559" t="s">
        <v>83</v>
      </c>
      <c r="V1099" s="560"/>
      <c r="W1099" s="561"/>
    </row>
    <row r="1100" spans="1:23" ht="16.05" customHeight="1" x14ac:dyDescent="0.45">
      <c r="A1100" s="1">
        <v>1099</v>
      </c>
      <c r="B1100" s="57" t="s">
        <v>924</v>
      </c>
      <c r="C1100" s="57" t="s">
        <v>24</v>
      </c>
      <c r="D1100" s="281">
        <v>5962</v>
      </c>
      <c r="E1100" s="16" t="s">
        <v>1938</v>
      </c>
      <c r="F1100" s="16" t="s">
        <v>1939</v>
      </c>
      <c r="G1100" s="57">
        <v>6592</v>
      </c>
      <c r="H1100" s="57" t="s">
        <v>925</v>
      </c>
      <c r="I1100" s="57" t="s">
        <v>1904</v>
      </c>
      <c r="J1100" s="390" t="s">
        <v>58</v>
      </c>
      <c r="K1100" s="306" t="s">
        <v>57</v>
      </c>
      <c r="L1100" s="557">
        <v>0.5</v>
      </c>
      <c r="M1100" s="443" t="s">
        <v>74</v>
      </c>
      <c r="N1100" s="287" t="s">
        <v>75</v>
      </c>
      <c r="O1100" s="40" t="s">
        <v>76</v>
      </c>
      <c r="P1100" s="562">
        <v>0.9</v>
      </c>
      <c r="Q1100" s="557">
        <v>0.1</v>
      </c>
      <c r="R1100" s="562"/>
      <c r="S1100" s="153">
        <f t="shared" si="34"/>
        <v>0</v>
      </c>
      <c r="T1100" s="152">
        <f t="shared" si="35"/>
        <v>0</v>
      </c>
      <c r="U1100" s="563" t="s">
        <v>34</v>
      </c>
      <c r="V1100" s="560"/>
      <c r="W1100" s="561"/>
    </row>
    <row r="1101" spans="1:23" ht="16.05" customHeight="1" x14ac:dyDescent="0.45">
      <c r="A1101" s="1">
        <v>1100</v>
      </c>
      <c r="B1101" s="57" t="s">
        <v>924</v>
      </c>
      <c r="C1101" s="57" t="s">
        <v>24</v>
      </c>
      <c r="D1101" s="281">
        <v>5962</v>
      </c>
      <c r="E1101" s="16" t="s">
        <v>1938</v>
      </c>
      <c r="F1101" s="16" t="s">
        <v>1939</v>
      </c>
      <c r="G1101" s="57">
        <v>6592</v>
      </c>
      <c r="H1101" s="57" t="s">
        <v>925</v>
      </c>
      <c r="I1101" s="57" t="s">
        <v>1904</v>
      </c>
      <c r="J1101" s="390" t="s">
        <v>58</v>
      </c>
      <c r="K1101" s="306" t="s">
        <v>57</v>
      </c>
      <c r="L1101" s="557">
        <v>0.5</v>
      </c>
      <c r="M1101" s="443" t="s">
        <v>1910</v>
      </c>
      <c r="N1101" s="287" t="s">
        <v>1911</v>
      </c>
      <c r="O1101" s="40" t="s">
        <v>1912</v>
      </c>
      <c r="P1101" s="123">
        <v>0</v>
      </c>
      <c r="Q1101" s="557">
        <v>0.1</v>
      </c>
      <c r="R1101" s="123"/>
      <c r="S1101" s="153">
        <f t="shared" si="34"/>
        <v>0</v>
      </c>
      <c r="T1101" s="152">
        <f t="shared" si="35"/>
        <v>0</v>
      </c>
      <c r="U1101" s="559" t="s">
        <v>83</v>
      </c>
      <c r="V1101" s="560"/>
      <c r="W1101" s="561"/>
    </row>
    <row r="1102" spans="1:23" ht="16.05" customHeight="1" x14ac:dyDescent="0.45">
      <c r="A1102" s="1">
        <v>1101</v>
      </c>
      <c r="B1102" s="57" t="s">
        <v>924</v>
      </c>
      <c r="C1102" s="57" t="s">
        <v>24</v>
      </c>
      <c r="D1102" s="281">
        <v>5962</v>
      </c>
      <c r="E1102" s="16" t="s">
        <v>1938</v>
      </c>
      <c r="F1102" s="16" t="s">
        <v>1939</v>
      </c>
      <c r="G1102" s="57">
        <v>6592</v>
      </c>
      <c r="H1102" s="57" t="s">
        <v>925</v>
      </c>
      <c r="I1102" s="57" t="s">
        <v>1904</v>
      </c>
      <c r="J1102" s="390" t="s">
        <v>58</v>
      </c>
      <c r="K1102" s="306" t="s">
        <v>57</v>
      </c>
      <c r="L1102" s="557">
        <v>0.5</v>
      </c>
      <c r="M1102" s="558" t="s">
        <v>1913</v>
      </c>
      <c r="N1102" s="287" t="s">
        <v>1914</v>
      </c>
      <c r="O1102" s="40" t="s">
        <v>1915</v>
      </c>
      <c r="P1102" s="123">
        <v>1</v>
      </c>
      <c r="Q1102" s="557">
        <v>0.1</v>
      </c>
      <c r="R1102" s="123"/>
      <c r="S1102" s="153">
        <f t="shared" si="34"/>
        <v>0</v>
      </c>
      <c r="T1102" s="152">
        <f t="shared" si="35"/>
        <v>0</v>
      </c>
      <c r="U1102" s="430" t="s">
        <v>34</v>
      </c>
      <c r="V1102" s="560"/>
      <c r="W1102" s="561"/>
    </row>
    <row r="1103" spans="1:23" ht="16.05" customHeight="1" x14ac:dyDescent="0.45">
      <c r="A1103" s="1">
        <v>1102</v>
      </c>
      <c r="B1103" s="57" t="s">
        <v>924</v>
      </c>
      <c r="C1103" s="57" t="s">
        <v>24</v>
      </c>
      <c r="D1103" s="281">
        <v>5962</v>
      </c>
      <c r="E1103" s="16" t="s">
        <v>1938</v>
      </c>
      <c r="F1103" s="16" t="s">
        <v>1939</v>
      </c>
      <c r="G1103" s="57">
        <v>6592</v>
      </c>
      <c r="H1103" s="57" t="s">
        <v>925</v>
      </c>
      <c r="I1103" s="57" t="s">
        <v>1904</v>
      </c>
      <c r="J1103" s="390" t="s">
        <v>58</v>
      </c>
      <c r="K1103" s="306" t="s">
        <v>57</v>
      </c>
      <c r="L1103" s="557">
        <v>0.5</v>
      </c>
      <c r="M1103" s="558" t="s">
        <v>1916</v>
      </c>
      <c r="N1103" s="64" t="s">
        <v>1917</v>
      </c>
      <c r="O1103" s="40" t="s">
        <v>1918</v>
      </c>
      <c r="P1103" s="123">
        <v>1</v>
      </c>
      <c r="Q1103" s="557">
        <v>0.05</v>
      </c>
      <c r="R1103" s="123"/>
      <c r="S1103" s="153">
        <f t="shared" si="34"/>
        <v>0</v>
      </c>
      <c r="T1103" s="152">
        <f t="shared" si="35"/>
        <v>0</v>
      </c>
      <c r="U1103" s="430" t="s">
        <v>34</v>
      </c>
      <c r="V1103" s="560"/>
      <c r="W1103" s="561"/>
    </row>
    <row r="1104" spans="1:23" ht="16.05" customHeight="1" x14ac:dyDescent="0.45">
      <c r="A1104" s="1">
        <v>1103</v>
      </c>
      <c r="B1104" s="57" t="s">
        <v>924</v>
      </c>
      <c r="C1104" s="57" t="s">
        <v>24</v>
      </c>
      <c r="D1104" s="281">
        <v>5962</v>
      </c>
      <c r="E1104" s="16" t="s">
        <v>1938</v>
      </c>
      <c r="F1104" s="16" t="s">
        <v>1939</v>
      </c>
      <c r="G1104" s="57">
        <v>6592</v>
      </c>
      <c r="H1104" s="57" t="s">
        <v>925</v>
      </c>
      <c r="I1104" s="57" t="s">
        <v>1904</v>
      </c>
      <c r="J1104" s="390" t="s">
        <v>58</v>
      </c>
      <c r="K1104" s="306" t="s">
        <v>57</v>
      </c>
      <c r="L1104" s="557">
        <v>0.5</v>
      </c>
      <c r="M1104" s="443" t="s">
        <v>102</v>
      </c>
      <c r="N1104" s="64" t="s">
        <v>1919</v>
      </c>
      <c r="O1104" s="40" t="s">
        <v>1920</v>
      </c>
      <c r="P1104" s="123">
        <v>1</v>
      </c>
      <c r="Q1104" s="557">
        <v>0.05</v>
      </c>
      <c r="R1104" s="123"/>
      <c r="S1104" s="153">
        <f t="shared" si="34"/>
        <v>0</v>
      </c>
      <c r="T1104" s="152">
        <f t="shared" si="35"/>
        <v>0</v>
      </c>
      <c r="U1104" s="430" t="s">
        <v>34</v>
      </c>
      <c r="V1104" s="560"/>
      <c r="W1104" s="561"/>
    </row>
    <row r="1105" spans="1:23" ht="16.05" customHeight="1" x14ac:dyDescent="0.45">
      <c r="A1105" s="1">
        <v>1104</v>
      </c>
      <c r="B1105" s="57" t="s">
        <v>924</v>
      </c>
      <c r="C1105" s="57" t="s">
        <v>24</v>
      </c>
      <c r="D1105" s="281">
        <v>5962</v>
      </c>
      <c r="E1105" s="16" t="s">
        <v>1938</v>
      </c>
      <c r="F1105" s="16" t="s">
        <v>1939</v>
      </c>
      <c r="G1105" s="57">
        <v>6592</v>
      </c>
      <c r="H1105" s="57" t="s">
        <v>925</v>
      </c>
      <c r="I1105" s="57" t="s">
        <v>1904</v>
      </c>
      <c r="J1105" s="390" t="s">
        <v>58</v>
      </c>
      <c r="K1105" s="306" t="s">
        <v>57</v>
      </c>
      <c r="L1105" s="557">
        <v>0.5</v>
      </c>
      <c r="M1105" s="443" t="s">
        <v>1890</v>
      </c>
      <c r="N1105" s="64" t="s">
        <v>1891</v>
      </c>
      <c r="O1105" s="39" t="s">
        <v>1921</v>
      </c>
      <c r="P1105" s="564">
        <v>90000</v>
      </c>
      <c r="Q1105" s="557">
        <v>0.05</v>
      </c>
      <c r="R1105" s="564"/>
      <c r="S1105" s="153">
        <f t="shared" si="34"/>
        <v>0</v>
      </c>
      <c r="T1105" s="152">
        <f t="shared" si="35"/>
        <v>0</v>
      </c>
      <c r="U1105" s="430" t="s">
        <v>34</v>
      </c>
      <c r="V1105" s="560"/>
      <c r="W1105" s="561"/>
    </row>
    <row r="1106" spans="1:23" ht="16.05" customHeight="1" x14ac:dyDescent="0.45">
      <c r="A1106" s="1">
        <v>1105</v>
      </c>
      <c r="B1106" s="57" t="s">
        <v>924</v>
      </c>
      <c r="C1106" s="57" t="s">
        <v>24</v>
      </c>
      <c r="D1106" s="302">
        <v>5962</v>
      </c>
      <c r="E1106" s="16" t="s">
        <v>1938</v>
      </c>
      <c r="F1106" s="71" t="s">
        <v>1939</v>
      </c>
      <c r="G1106" s="57">
        <v>6592</v>
      </c>
      <c r="H1106" s="57" t="s">
        <v>925</v>
      </c>
      <c r="I1106" s="57" t="s">
        <v>1904</v>
      </c>
      <c r="J1106" s="390" t="s">
        <v>58</v>
      </c>
      <c r="K1106" s="306" t="s">
        <v>57</v>
      </c>
      <c r="L1106" s="557">
        <v>0.5</v>
      </c>
      <c r="M1106" s="443" t="s">
        <v>1922</v>
      </c>
      <c r="N1106" s="64" t="s">
        <v>1923</v>
      </c>
      <c r="O1106" s="39"/>
      <c r="P1106" s="565">
        <v>0.995</v>
      </c>
      <c r="Q1106" s="557">
        <v>0.05</v>
      </c>
      <c r="R1106" s="565"/>
      <c r="S1106" s="153">
        <f t="shared" si="34"/>
        <v>0</v>
      </c>
      <c r="T1106" s="152">
        <f t="shared" si="35"/>
        <v>0</v>
      </c>
      <c r="U1106" s="430" t="s">
        <v>34</v>
      </c>
      <c r="V1106" s="560"/>
      <c r="W1106" s="561"/>
    </row>
    <row r="1107" spans="1:23" ht="16.05" customHeight="1" x14ac:dyDescent="0.45">
      <c r="A1107" s="1">
        <v>1106</v>
      </c>
      <c r="B1107" s="57" t="s">
        <v>924</v>
      </c>
      <c r="C1107" s="57" t="s">
        <v>24</v>
      </c>
      <c r="D1107" s="302">
        <v>5962</v>
      </c>
      <c r="E1107" s="16" t="s">
        <v>1938</v>
      </c>
      <c r="F1107" s="71" t="s">
        <v>1939</v>
      </c>
      <c r="G1107" s="57">
        <v>6592</v>
      </c>
      <c r="H1107" s="57" t="s">
        <v>925</v>
      </c>
      <c r="I1107" s="57" t="s">
        <v>1904</v>
      </c>
      <c r="J1107" s="390" t="s">
        <v>58</v>
      </c>
      <c r="K1107" s="306" t="s">
        <v>57</v>
      </c>
      <c r="L1107" s="557">
        <v>0.5</v>
      </c>
      <c r="M1107" s="443" t="s">
        <v>1924</v>
      </c>
      <c r="N1107" s="287" t="s">
        <v>1925</v>
      </c>
      <c r="O1107" s="40" t="s">
        <v>107</v>
      </c>
      <c r="P1107" s="123">
        <v>1</v>
      </c>
      <c r="Q1107" s="557">
        <v>0.1</v>
      </c>
      <c r="R1107" s="123"/>
      <c r="S1107" s="153">
        <f t="shared" si="34"/>
        <v>0</v>
      </c>
      <c r="T1107" s="152">
        <f t="shared" si="35"/>
        <v>0</v>
      </c>
      <c r="U1107" s="430" t="s">
        <v>34</v>
      </c>
      <c r="V1107" s="560"/>
      <c r="W1107" s="561"/>
    </row>
    <row r="1108" spans="1:23" ht="16.05" customHeight="1" x14ac:dyDescent="0.45">
      <c r="A1108" s="1">
        <v>1107</v>
      </c>
      <c r="B1108" s="57" t="s">
        <v>924</v>
      </c>
      <c r="C1108" s="57" t="s">
        <v>24</v>
      </c>
      <c r="D1108" s="302">
        <v>5962</v>
      </c>
      <c r="E1108" s="16" t="s">
        <v>1938</v>
      </c>
      <c r="F1108" s="71" t="s">
        <v>1939</v>
      </c>
      <c r="G1108" s="57">
        <v>6592</v>
      </c>
      <c r="H1108" s="57" t="s">
        <v>925</v>
      </c>
      <c r="I1108" s="57" t="s">
        <v>1904</v>
      </c>
      <c r="J1108" s="334" t="s">
        <v>111</v>
      </c>
      <c r="K1108" s="182" t="s">
        <v>110</v>
      </c>
      <c r="L1108" s="566">
        <v>0.5</v>
      </c>
      <c r="M1108" s="357" t="s">
        <v>1926</v>
      </c>
      <c r="N1108" s="334" t="s">
        <v>1927</v>
      </c>
      <c r="O1108" s="136"/>
      <c r="P1108" s="138">
        <v>1</v>
      </c>
      <c r="Q1108" s="566">
        <v>0.2</v>
      </c>
      <c r="R1108" s="138"/>
      <c r="S1108" s="156">
        <f t="shared" si="34"/>
        <v>0</v>
      </c>
      <c r="T1108" s="155">
        <f t="shared" si="35"/>
        <v>0</v>
      </c>
      <c r="U1108" s="71" t="s">
        <v>34</v>
      </c>
      <c r="V1108" s="73"/>
      <c r="W1108" s="73"/>
    </row>
    <row r="1109" spans="1:23" ht="16.05" customHeight="1" x14ac:dyDescent="0.45">
      <c r="A1109" s="1">
        <v>1108</v>
      </c>
      <c r="B1109" s="57" t="s">
        <v>924</v>
      </c>
      <c r="C1109" s="57" t="s">
        <v>24</v>
      </c>
      <c r="D1109" s="302">
        <v>5962</v>
      </c>
      <c r="E1109" s="16" t="s">
        <v>1938</v>
      </c>
      <c r="F1109" s="71" t="s">
        <v>1939</v>
      </c>
      <c r="G1109" s="57">
        <v>6592</v>
      </c>
      <c r="H1109" s="57" t="s">
        <v>925</v>
      </c>
      <c r="I1109" s="57" t="s">
        <v>1904</v>
      </c>
      <c r="J1109" s="334" t="s">
        <v>111</v>
      </c>
      <c r="K1109" s="182" t="s">
        <v>110</v>
      </c>
      <c r="L1109" s="566">
        <v>0.5</v>
      </c>
      <c r="M1109" s="357" t="s">
        <v>419</v>
      </c>
      <c r="N1109" s="334" t="s">
        <v>420</v>
      </c>
      <c r="O1109" s="136"/>
      <c r="P1109" s="138">
        <v>1</v>
      </c>
      <c r="Q1109" s="566">
        <v>0.15</v>
      </c>
      <c r="R1109" s="138"/>
      <c r="S1109" s="156">
        <f t="shared" si="34"/>
        <v>0</v>
      </c>
      <c r="T1109" s="155">
        <f t="shared" si="35"/>
        <v>0</v>
      </c>
      <c r="U1109" s="71" t="s">
        <v>34</v>
      </c>
      <c r="V1109" s="73"/>
      <c r="W1109" s="73"/>
    </row>
    <row r="1110" spans="1:23" ht="16.05" customHeight="1" x14ac:dyDescent="0.45">
      <c r="A1110" s="1">
        <v>1109</v>
      </c>
      <c r="B1110" s="57" t="s">
        <v>924</v>
      </c>
      <c r="C1110" s="57" t="s">
        <v>24</v>
      </c>
      <c r="D1110" s="281">
        <v>5962</v>
      </c>
      <c r="E1110" s="16" t="s">
        <v>1938</v>
      </c>
      <c r="F1110" s="16" t="s">
        <v>1939</v>
      </c>
      <c r="G1110" s="57">
        <v>6592</v>
      </c>
      <c r="H1110" s="57" t="s">
        <v>925</v>
      </c>
      <c r="I1110" s="57" t="s">
        <v>1904</v>
      </c>
      <c r="J1110" s="334" t="s">
        <v>111</v>
      </c>
      <c r="K1110" s="182" t="s">
        <v>110</v>
      </c>
      <c r="L1110" s="566">
        <v>0.5</v>
      </c>
      <c r="M1110" s="357" t="s">
        <v>1928</v>
      </c>
      <c r="N1110" s="334" t="s">
        <v>1929</v>
      </c>
      <c r="O1110" s="569"/>
      <c r="P1110" s="134">
        <v>0.1</v>
      </c>
      <c r="Q1110" s="566">
        <v>0.15</v>
      </c>
      <c r="R1110" s="134"/>
      <c r="S1110" s="156">
        <f t="shared" si="34"/>
        <v>0</v>
      </c>
      <c r="T1110" s="155">
        <f t="shared" si="35"/>
        <v>0</v>
      </c>
      <c r="U1110" s="71" t="s">
        <v>83</v>
      </c>
      <c r="V1110" s="73"/>
      <c r="W1110" s="73"/>
    </row>
    <row r="1111" spans="1:23" ht="16.05" customHeight="1" x14ac:dyDescent="0.45">
      <c r="A1111" s="1">
        <v>1110</v>
      </c>
      <c r="B1111" s="57" t="s">
        <v>924</v>
      </c>
      <c r="C1111" s="57" t="s">
        <v>24</v>
      </c>
      <c r="D1111" s="302">
        <v>5962</v>
      </c>
      <c r="E1111" s="16" t="s">
        <v>1938</v>
      </c>
      <c r="F1111" s="71" t="s">
        <v>1939</v>
      </c>
      <c r="G1111" s="57">
        <v>6592</v>
      </c>
      <c r="H1111" s="57" t="s">
        <v>925</v>
      </c>
      <c r="I1111" s="57" t="s">
        <v>1904</v>
      </c>
      <c r="J1111" s="334" t="s">
        <v>111</v>
      </c>
      <c r="K1111" s="182" t="s">
        <v>110</v>
      </c>
      <c r="L1111" s="566">
        <v>0.5</v>
      </c>
      <c r="M1111" s="357" t="s">
        <v>1932</v>
      </c>
      <c r="N1111" s="334" t="s">
        <v>1933</v>
      </c>
      <c r="O1111" s="572"/>
      <c r="P1111" s="134">
        <v>1</v>
      </c>
      <c r="Q1111" s="566">
        <v>0.2</v>
      </c>
      <c r="R1111" s="134"/>
      <c r="S1111" s="156">
        <f t="shared" si="34"/>
        <v>0</v>
      </c>
      <c r="T1111" s="155">
        <f t="shared" si="35"/>
        <v>0</v>
      </c>
      <c r="U1111" s="16" t="s">
        <v>34</v>
      </c>
      <c r="V1111" s="73"/>
      <c r="W1111" s="16"/>
    </row>
    <row r="1112" spans="1:23" ht="16.05" customHeight="1" x14ac:dyDescent="0.45">
      <c r="A1112" s="1">
        <v>1111</v>
      </c>
      <c r="B1112" s="57" t="s">
        <v>924</v>
      </c>
      <c r="C1112" s="57" t="s">
        <v>24</v>
      </c>
      <c r="D1112" s="302">
        <v>5962</v>
      </c>
      <c r="E1112" s="16" t="s">
        <v>1938</v>
      </c>
      <c r="F1112" s="71" t="s">
        <v>1939</v>
      </c>
      <c r="G1112" s="57">
        <v>6592</v>
      </c>
      <c r="H1112" s="57" t="s">
        <v>925</v>
      </c>
      <c r="I1112" s="57" t="s">
        <v>1904</v>
      </c>
      <c r="J1112" s="334" t="s">
        <v>111</v>
      </c>
      <c r="K1112" s="182" t="s">
        <v>110</v>
      </c>
      <c r="L1112" s="566">
        <v>0.5</v>
      </c>
      <c r="M1112" s="357" t="s">
        <v>1662</v>
      </c>
      <c r="N1112" s="571" t="s">
        <v>1934</v>
      </c>
      <c r="O1112" s="136"/>
      <c r="P1112" s="133">
        <v>2</v>
      </c>
      <c r="Q1112" s="566">
        <v>0.1</v>
      </c>
      <c r="R1112" s="133"/>
      <c r="S1112" s="156">
        <f t="shared" si="34"/>
        <v>0</v>
      </c>
      <c r="T1112" s="155">
        <f t="shared" si="35"/>
        <v>0</v>
      </c>
      <c r="U1112" s="71" t="s">
        <v>34</v>
      </c>
      <c r="V1112" s="73"/>
      <c r="W1112" s="73"/>
    </row>
    <row r="1113" spans="1:23" ht="16.05" customHeight="1" x14ac:dyDescent="0.45">
      <c r="A1113" s="1">
        <v>1112</v>
      </c>
      <c r="B1113" s="57" t="s">
        <v>924</v>
      </c>
      <c r="C1113" s="57" t="s">
        <v>24</v>
      </c>
      <c r="D1113" s="302">
        <v>5962</v>
      </c>
      <c r="E1113" s="16" t="s">
        <v>1938</v>
      </c>
      <c r="F1113" s="71" t="s">
        <v>1939</v>
      </c>
      <c r="G1113" s="57">
        <v>6592</v>
      </c>
      <c r="H1113" s="57" t="s">
        <v>925</v>
      </c>
      <c r="I1113" s="57" t="s">
        <v>1904</v>
      </c>
      <c r="J1113" s="334" t="s">
        <v>111</v>
      </c>
      <c r="K1113" s="549" t="s">
        <v>110</v>
      </c>
      <c r="L1113" s="566">
        <v>0.5</v>
      </c>
      <c r="M1113" s="579" t="s">
        <v>1658</v>
      </c>
      <c r="N1113" s="575" t="s">
        <v>1935</v>
      </c>
      <c r="O1113" s="577"/>
      <c r="P1113" s="134">
        <v>0.5</v>
      </c>
      <c r="Q1113" s="566">
        <v>0.1</v>
      </c>
      <c r="R1113" s="134"/>
      <c r="S1113" s="156">
        <f t="shared" si="34"/>
        <v>0</v>
      </c>
      <c r="T1113" s="155">
        <f t="shared" si="35"/>
        <v>0</v>
      </c>
      <c r="U1113" s="71" t="s">
        <v>34</v>
      </c>
      <c r="V1113" s="73"/>
      <c r="W1113" s="73"/>
    </row>
    <row r="1114" spans="1:23" ht="16.05" customHeight="1" x14ac:dyDescent="0.45">
      <c r="A1114" s="1">
        <v>1113</v>
      </c>
      <c r="B1114" s="57" t="s">
        <v>924</v>
      </c>
      <c r="C1114" s="57" t="s">
        <v>24</v>
      </c>
      <c r="D1114" s="281">
        <v>5962</v>
      </c>
      <c r="E1114" s="16" t="s">
        <v>1938</v>
      </c>
      <c r="F1114" s="16" t="s">
        <v>1939</v>
      </c>
      <c r="G1114" s="57">
        <v>6592</v>
      </c>
      <c r="H1114" s="57" t="s">
        <v>925</v>
      </c>
      <c r="I1114" s="57" t="s">
        <v>1904</v>
      </c>
      <c r="J1114" s="334" t="s">
        <v>111</v>
      </c>
      <c r="K1114" s="182" t="s">
        <v>110</v>
      </c>
      <c r="L1114" s="566">
        <v>0.5</v>
      </c>
      <c r="M1114" s="536" t="s">
        <v>1936</v>
      </c>
      <c r="N1114" s="537" t="s">
        <v>1937</v>
      </c>
      <c r="O1114" s="73"/>
      <c r="P1114" s="538">
        <v>0.3</v>
      </c>
      <c r="Q1114" s="566">
        <v>0.1</v>
      </c>
      <c r="R1114" s="538"/>
      <c r="S1114" s="156">
        <f t="shared" si="34"/>
        <v>0</v>
      </c>
      <c r="T1114" s="155">
        <f t="shared" si="35"/>
        <v>0</v>
      </c>
      <c r="U1114" s="71" t="s">
        <v>34</v>
      </c>
      <c r="V1114" s="73"/>
      <c r="W1114" s="73"/>
    </row>
    <row r="1115" spans="1:23" ht="16.05" customHeight="1" x14ac:dyDescent="0.45">
      <c r="A1115" s="1">
        <v>1114</v>
      </c>
      <c r="B1115" s="2" t="s">
        <v>924</v>
      </c>
      <c r="C1115" s="2" t="s">
        <v>24</v>
      </c>
      <c r="D1115" s="275">
        <v>5766</v>
      </c>
      <c r="E1115" s="3" t="s">
        <v>1940</v>
      </c>
      <c r="F1115" s="3" t="s">
        <v>1941</v>
      </c>
      <c r="G1115" s="2">
        <v>5962</v>
      </c>
      <c r="H1115" s="2" t="s">
        <v>1938</v>
      </c>
      <c r="I1115" s="2" t="s">
        <v>1904</v>
      </c>
      <c r="J1115" s="388" t="s">
        <v>58</v>
      </c>
      <c r="K1115" s="3" t="s">
        <v>57</v>
      </c>
      <c r="L1115" s="453">
        <v>1</v>
      </c>
      <c r="M1115" s="3" t="s">
        <v>928</v>
      </c>
      <c r="N1115" s="3" t="s">
        <v>929</v>
      </c>
      <c r="O1115" s="580"/>
      <c r="P1115" s="462">
        <v>81000</v>
      </c>
      <c r="Q1115" s="453">
        <v>0.15</v>
      </c>
      <c r="R1115" s="462"/>
      <c r="S1115" s="148">
        <f t="shared" si="34"/>
        <v>0</v>
      </c>
      <c r="T1115" s="168">
        <f t="shared" si="35"/>
        <v>0</v>
      </c>
      <c r="U1115" s="407" t="s">
        <v>34</v>
      </c>
      <c r="V1115" s="461">
        <f>SUM(T1115:T1130)%</f>
        <v>0</v>
      </c>
      <c r="W1115" s="146"/>
    </row>
    <row r="1116" spans="1:23" ht="16.05" customHeight="1" x14ac:dyDescent="0.45">
      <c r="A1116" s="1">
        <v>1115</v>
      </c>
      <c r="B1116" s="57" t="s">
        <v>924</v>
      </c>
      <c r="C1116" s="57" t="s">
        <v>24</v>
      </c>
      <c r="D1116" s="427">
        <v>5766</v>
      </c>
      <c r="E1116" s="182" t="s">
        <v>1940</v>
      </c>
      <c r="F1116" s="412" t="s">
        <v>1941</v>
      </c>
      <c r="G1116" s="57">
        <v>5962</v>
      </c>
      <c r="H1116" s="57" t="s">
        <v>1938</v>
      </c>
      <c r="I1116" s="57" t="s">
        <v>1904</v>
      </c>
      <c r="J1116" s="390" t="s">
        <v>58</v>
      </c>
      <c r="K1116" s="184" t="s">
        <v>57</v>
      </c>
      <c r="L1116" s="286">
        <v>1</v>
      </c>
      <c r="M1116" s="289" t="s">
        <v>1922</v>
      </c>
      <c r="N1116" s="435" t="s">
        <v>1923</v>
      </c>
      <c r="O1116" s="523" t="s">
        <v>1942</v>
      </c>
      <c r="P1116" s="581">
        <v>0.995</v>
      </c>
      <c r="Q1116" s="286">
        <v>0.1</v>
      </c>
      <c r="R1116" s="581"/>
      <c r="S1116" s="153">
        <f t="shared" si="34"/>
        <v>0</v>
      </c>
      <c r="T1116" s="152">
        <f t="shared" si="35"/>
        <v>0</v>
      </c>
      <c r="U1116" s="430" t="s">
        <v>34</v>
      </c>
      <c r="V1116" s="35"/>
      <c r="W1116" s="162"/>
    </row>
    <row r="1117" spans="1:23" ht="16.05" customHeight="1" x14ac:dyDescent="0.45">
      <c r="A1117" s="1">
        <v>1116</v>
      </c>
      <c r="B1117" s="57" t="s">
        <v>924</v>
      </c>
      <c r="C1117" s="57" t="s">
        <v>24</v>
      </c>
      <c r="D1117" s="427">
        <v>5766</v>
      </c>
      <c r="E1117" s="182" t="s">
        <v>1940</v>
      </c>
      <c r="F1117" s="412" t="s">
        <v>1941</v>
      </c>
      <c r="G1117" s="57">
        <v>5962</v>
      </c>
      <c r="H1117" s="57" t="s">
        <v>1938</v>
      </c>
      <c r="I1117" s="57" t="s">
        <v>1904</v>
      </c>
      <c r="J1117" s="390" t="s">
        <v>58</v>
      </c>
      <c r="K1117" s="184" t="s">
        <v>57</v>
      </c>
      <c r="L1117" s="286">
        <v>1</v>
      </c>
      <c r="M1117" s="289" t="s">
        <v>1890</v>
      </c>
      <c r="N1117" s="435" t="s">
        <v>1891</v>
      </c>
      <c r="O1117" s="523" t="s">
        <v>1892</v>
      </c>
      <c r="P1117" s="551">
        <v>90000</v>
      </c>
      <c r="Q1117" s="286">
        <v>7.0000000000000007E-2</v>
      </c>
      <c r="R1117" s="551"/>
      <c r="S1117" s="153">
        <f t="shared" si="34"/>
        <v>0</v>
      </c>
      <c r="T1117" s="152">
        <f t="shared" si="35"/>
        <v>0</v>
      </c>
      <c r="U1117" s="430" t="s">
        <v>34</v>
      </c>
      <c r="V1117" s="35"/>
      <c r="W1117" s="162"/>
    </row>
    <row r="1118" spans="1:23" ht="16.05" customHeight="1" x14ac:dyDescent="0.45">
      <c r="A1118" s="1">
        <v>1117</v>
      </c>
      <c r="B1118" s="57" t="s">
        <v>924</v>
      </c>
      <c r="C1118" s="57" t="s">
        <v>24</v>
      </c>
      <c r="D1118" s="281">
        <v>5766</v>
      </c>
      <c r="E1118" s="16" t="s">
        <v>1940</v>
      </c>
      <c r="F1118" s="71" t="s">
        <v>1941</v>
      </c>
      <c r="G1118" s="57">
        <v>5962</v>
      </c>
      <c r="H1118" s="57" t="s">
        <v>1938</v>
      </c>
      <c r="I1118" s="57" t="s">
        <v>1904</v>
      </c>
      <c r="J1118" s="390" t="s">
        <v>58</v>
      </c>
      <c r="K1118" s="184" t="s">
        <v>57</v>
      </c>
      <c r="L1118" s="286">
        <v>1</v>
      </c>
      <c r="M1118" s="184" t="s">
        <v>444</v>
      </c>
      <c r="N1118" s="184" t="s">
        <v>445</v>
      </c>
      <c r="O1118" s="38" t="s">
        <v>456</v>
      </c>
      <c r="P1118" s="127">
        <v>1</v>
      </c>
      <c r="Q1118" s="286">
        <v>0.05</v>
      </c>
      <c r="R1118" s="127"/>
      <c r="S1118" s="153">
        <f t="shared" si="34"/>
        <v>0</v>
      </c>
      <c r="T1118" s="152">
        <f t="shared" si="35"/>
        <v>0</v>
      </c>
      <c r="U1118" s="430" t="s">
        <v>34</v>
      </c>
      <c r="V1118" s="44"/>
      <c r="W1118" s="73"/>
    </row>
    <row r="1119" spans="1:23" ht="16.05" customHeight="1" x14ac:dyDescent="0.45">
      <c r="A1119" s="1">
        <v>1118</v>
      </c>
      <c r="B1119" s="57" t="s">
        <v>924</v>
      </c>
      <c r="C1119" s="57" t="s">
        <v>24</v>
      </c>
      <c r="D1119" s="281">
        <v>5766</v>
      </c>
      <c r="E1119" s="16" t="s">
        <v>1940</v>
      </c>
      <c r="F1119" s="71" t="s">
        <v>1941</v>
      </c>
      <c r="G1119" s="57">
        <v>5962</v>
      </c>
      <c r="H1119" s="57" t="s">
        <v>1938</v>
      </c>
      <c r="I1119" s="57" t="s">
        <v>1904</v>
      </c>
      <c r="J1119" s="390" t="s">
        <v>58</v>
      </c>
      <c r="K1119" s="184" t="s">
        <v>57</v>
      </c>
      <c r="L1119" s="286">
        <v>1</v>
      </c>
      <c r="M1119" s="184" t="s">
        <v>1943</v>
      </c>
      <c r="N1119" s="184" t="s">
        <v>1944</v>
      </c>
      <c r="O1119" s="38" t="s">
        <v>458</v>
      </c>
      <c r="P1119" s="127">
        <v>0.85</v>
      </c>
      <c r="Q1119" s="286">
        <v>0.1</v>
      </c>
      <c r="R1119" s="127"/>
      <c r="S1119" s="153">
        <f t="shared" si="34"/>
        <v>0</v>
      </c>
      <c r="T1119" s="152">
        <f t="shared" si="35"/>
        <v>0</v>
      </c>
      <c r="U1119" s="430" t="s">
        <v>34</v>
      </c>
      <c r="V1119" s="44"/>
      <c r="W1119" s="73"/>
    </row>
    <row r="1120" spans="1:23" ht="16.05" customHeight="1" x14ac:dyDescent="0.45">
      <c r="A1120" s="1">
        <v>1119</v>
      </c>
      <c r="B1120" s="57" t="s">
        <v>924</v>
      </c>
      <c r="C1120" s="57" t="s">
        <v>24</v>
      </c>
      <c r="D1120" s="281">
        <v>5766</v>
      </c>
      <c r="E1120" s="16" t="s">
        <v>1940</v>
      </c>
      <c r="F1120" s="71" t="s">
        <v>1941</v>
      </c>
      <c r="G1120" s="57">
        <v>5962</v>
      </c>
      <c r="H1120" s="57" t="s">
        <v>1938</v>
      </c>
      <c r="I1120" s="57" t="s">
        <v>1904</v>
      </c>
      <c r="J1120" s="390" t="s">
        <v>58</v>
      </c>
      <c r="K1120" s="184" t="s">
        <v>57</v>
      </c>
      <c r="L1120" s="286">
        <v>1</v>
      </c>
      <c r="M1120" s="288" t="s">
        <v>80</v>
      </c>
      <c r="N1120" s="288" t="s">
        <v>81</v>
      </c>
      <c r="O1120" s="289" t="s">
        <v>82</v>
      </c>
      <c r="P1120" s="43">
        <v>0.01</v>
      </c>
      <c r="Q1120" s="286">
        <v>0.03</v>
      </c>
      <c r="R1120" s="43"/>
      <c r="S1120" s="153">
        <f t="shared" si="34"/>
        <v>0</v>
      </c>
      <c r="T1120" s="152">
        <f t="shared" si="35"/>
        <v>0</v>
      </c>
      <c r="U1120" s="430" t="s">
        <v>83</v>
      </c>
      <c r="V1120" s="44"/>
      <c r="W1120" s="73"/>
    </row>
    <row r="1121" spans="1:23" ht="16.05" customHeight="1" x14ac:dyDescent="0.45">
      <c r="A1121" s="1">
        <v>1120</v>
      </c>
      <c r="B1121" s="57" t="s">
        <v>924</v>
      </c>
      <c r="C1121" s="57" t="s">
        <v>24</v>
      </c>
      <c r="D1121" s="281">
        <v>5766</v>
      </c>
      <c r="E1121" s="16" t="s">
        <v>1940</v>
      </c>
      <c r="F1121" s="71" t="s">
        <v>1941</v>
      </c>
      <c r="G1121" s="57">
        <v>5962</v>
      </c>
      <c r="H1121" s="57" t="s">
        <v>1938</v>
      </c>
      <c r="I1121" s="57" t="s">
        <v>1904</v>
      </c>
      <c r="J1121" s="390" t="s">
        <v>58</v>
      </c>
      <c r="K1121" s="184" t="s">
        <v>57</v>
      </c>
      <c r="L1121" s="286">
        <v>1</v>
      </c>
      <c r="M1121" s="184" t="s">
        <v>1732</v>
      </c>
      <c r="N1121" s="184" t="s">
        <v>1733</v>
      </c>
      <c r="O1121" s="38" t="s">
        <v>461</v>
      </c>
      <c r="P1121" s="127">
        <v>1</v>
      </c>
      <c r="Q1121" s="286">
        <v>7.0000000000000007E-2</v>
      </c>
      <c r="R1121" s="127"/>
      <c r="S1121" s="153">
        <f t="shared" si="34"/>
        <v>0</v>
      </c>
      <c r="T1121" s="152">
        <f t="shared" si="35"/>
        <v>0</v>
      </c>
      <c r="U1121" s="430" t="s">
        <v>83</v>
      </c>
      <c r="V1121" s="44"/>
      <c r="W1121" s="73"/>
    </row>
    <row r="1122" spans="1:23" ht="16.05" customHeight="1" x14ac:dyDescent="0.45">
      <c r="A1122" s="1">
        <v>1121</v>
      </c>
      <c r="B1122" s="57" t="s">
        <v>924</v>
      </c>
      <c r="C1122" s="57" t="s">
        <v>24</v>
      </c>
      <c r="D1122" s="281">
        <v>5766</v>
      </c>
      <c r="E1122" s="16" t="s">
        <v>1940</v>
      </c>
      <c r="F1122" s="71" t="s">
        <v>1941</v>
      </c>
      <c r="G1122" s="57">
        <v>5962</v>
      </c>
      <c r="H1122" s="57" t="s">
        <v>1938</v>
      </c>
      <c r="I1122" s="57" t="s">
        <v>1904</v>
      </c>
      <c r="J1122" s="390" t="s">
        <v>58</v>
      </c>
      <c r="K1122" s="184" t="s">
        <v>57</v>
      </c>
      <c r="L1122" s="286">
        <v>1</v>
      </c>
      <c r="M1122" s="184" t="s">
        <v>1945</v>
      </c>
      <c r="N1122" s="184" t="s">
        <v>1946</v>
      </c>
      <c r="O1122" s="38" t="s">
        <v>453</v>
      </c>
      <c r="P1122" s="129">
        <v>0.99199999999999999</v>
      </c>
      <c r="Q1122" s="286">
        <v>0.1</v>
      </c>
      <c r="R1122" s="129"/>
      <c r="S1122" s="153">
        <f t="shared" si="34"/>
        <v>0</v>
      </c>
      <c r="T1122" s="152">
        <f t="shared" si="35"/>
        <v>0</v>
      </c>
      <c r="U1122" s="430" t="s">
        <v>34</v>
      </c>
      <c r="V1122" s="44"/>
      <c r="W1122" s="73"/>
    </row>
    <row r="1123" spans="1:23" ht="16.05" customHeight="1" x14ac:dyDescent="0.45">
      <c r="A1123" s="1">
        <v>1122</v>
      </c>
      <c r="B1123" s="57" t="s">
        <v>924</v>
      </c>
      <c r="C1123" s="57" t="s">
        <v>24</v>
      </c>
      <c r="D1123" s="281">
        <v>5766</v>
      </c>
      <c r="E1123" s="16" t="s">
        <v>1940</v>
      </c>
      <c r="F1123" s="71" t="s">
        <v>1941</v>
      </c>
      <c r="G1123" s="57">
        <v>5962</v>
      </c>
      <c r="H1123" s="57" t="s">
        <v>1938</v>
      </c>
      <c r="I1123" s="57" t="s">
        <v>1904</v>
      </c>
      <c r="J1123" s="390" t="s">
        <v>58</v>
      </c>
      <c r="K1123" s="184" t="s">
        <v>57</v>
      </c>
      <c r="L1123" s="286">
        <v>1</v>
      </c>
      <c r="M1123" s="184" t="s">
        <v>442</v>
      </c>
      <c r="N1123" s="184" t="s">
        <v>443</v>
      </c>
      <c r="O1123" s="38" t="s">
        <v>1947</v>
      </c>
      <c r="P1123" s="127">
        <v>1</v>
      </c>
      <c r="Q1123" s="286">
        <v>0.05</v>
      </c>
      <c r="R1123" s="127"/>
      <c r="S1123" s="153">
        <f t="shared" si="34"/>
        <v>0</v>
      </c>
      <c r="T1123" s="152">
        <f t="shared" si="35"/>
        <v>0</v>
      </c>
      <c r="U1123" s="430" t="s">
        <v>34</v>
      </c>
      <c r="V1123" s="44"/>
      <c r="W1123" s="73"/>
    </row>
    <row r="1124" spans="1:23" ht="16.05" customHeight="1" x14ac:dyDescent="0.45">
      <c r="A1124" s="1">
        <v>1123</v>
      </c>
      <c r="B1124" s="57" t="s">
        <v>924</v>
      </c>
      <c r="C1124" s="57" t="s">
        <v>24</v>
      </c>
      <c r="D1124" s="281">
        <v>5766</v>
      </c>
      <c r="E1124" s="16" t="s">
        <v>1940</v>
      </c>
      <c r="F1124" s="71" t="s">
        <v>1941</v>
      </c>
      <c r="G1124" s="57">
        <v>5962</v>
      </c>
      <c r="H1124" s="57" t="s">
        <v>1938</v>
      </c>
      <c r="I1124" s="57" t="s">
        <v>1904</v>
      </c>
      <c r="J1124" s="390" t="s">
        <v>58</v>
      </c>
      <c r="K1124" s="184" t="s">
        <v>57</v>
      </c>
      <c r="L1124" s="286">
        <v>1</v>
      </c>
      <c r="M1124" s="184" t="s">
        <v>497</v>
      </c>
      <c r="N1124" s="582" t="s">
        <v>1948</v>
      </c>
      <c r="O1124" s="33" t="s">
        <v>499</v>
      </c>
      <c r="P1124" s="35">
        <v>1</v>
      </c>
      <c r="Q1124" s="286">
        <v>0.05</v>
      </c>
      <c r="R1124" s="35"/>
      <c r="S1124" s="153">
        <f t="shared" si="34"/>
        <v>0</v>
      </c>
      <c r="T1124" s="152">
        <f t="shared" si="35"/>
        <v>0</v>
      </c>
      <c r="U1124" s="430" t="s">
        <v>83</v>
      </c>
      <c r="V1124" s="44"/>
      <c r="W1124" s="73"/>
    </row>
    <row r="1125" spans="1:23" ht="16.05" customHeight="1" x14ac:dyDescent="0.45">
      <c r="A1125" s="1">
        <v>1124</v>
      </c>
      <c r="B1125" s="57" t="s">
        <v>924</v>
      </c>
      <c r="C1125" s="57" t="s">
        <v>24</v>
      </c>
      <c r="D1125" s="281">
        <v>5766</v>
      </c>
      <c r="E1125" s="16" t="s">
        <v>1940</v>
      </c>
      <c r="F1125" s="71" t="s">
        <v>1941</v>
      </c>
      <c r="G1125" s="57">
        <v>5962</v>
      </c>
      <c r="H1125" s="57" t="s">
        <v>1938</v>
      </c>
      <c r="I1125" s="57" t="s">
        <v>1904</v>
      </c>
      <c r="J1125" s="390" t="s">
        <v>58</v>
      </c>
      <c r="K1125" s="184" t="s">
        <v>57</v>
      </c>
      <c r="L1125" s="286">
        <v>1</v>
      </c>
      <c r="M1125" s="184" t="s">
        <v>1949</v>
      </c>
      <c r="N1125" s="582" t="s">
        <v>517</v>
      </c>
      <c r="O1125" s="33"/>
      <c r="P1125" s="35">
        <v>1</v>
      </c>
      <c r="Q1125" s="286">
        <v>0.01</v>
      </c>
      <c r="R1125" s="35"/>
      <c r="S1125" s="153">
        <f t="shared" si="34"/>
        <v>0</v>
      </c>
      <c r="T1125" s="152">
        <f t="shared" si="35"/>
        <v>0</v>
      </c>
      <c r="U1125" s="430" t="s">
        <v>34</v>
      </c>
      <c r="V1125" s="44"/>
      <c r="W1125" s="73"/>
    </row>
    <row r="1126" spans="1:23" ht="16.05" customHeight="1" x14ac:dyDescent="0.45">
      <c r="A1126" s="1">
        <v>1125</v>
      </c>
      <c r="B1126" s="57" t="s">
        <v>924</v>
      </c>
      <c r="C1126" s="57" t="s">
        <v>24</v>
      </c>
      <c r="D1126" s="281">
        <v>5766</v>
      </c>
      <c r="E1126" s="16" t="s">
        <v>1940</v>
      </c>
      <c r="F1126" s="71" t="s">
        <v>1941</v>
      </c>
      <c r="G1126" s="57">
        <v>5962</v>
      </c>
      <c r="H1126" s="57" t="s">
        <v>1938</v>
      </c>
      <c r="I1126" s="57" t="s">
        <v>1904</v>
      </c>
      <c r="J1126" s="390" t="s">
        <v>58</v>
      </c>
      <c r="K1126" s="184" t="s">
        <v>57</v>
      </c>
      <c r="L1126" s="286">
        <v>1</v>
      </c>
      <c r="M1126" s="184" t="s">
        <v>518</v>
      </c>
      <c r="N1126" s="582" t="s">
        <v>1950</v>
      </c>
      <c r="O1126" s="33" t="s">
        <v>520</v>
      </c>
      <c r="P1126" s="35">
        <v>1</v>
      </c>
      <c r="Q1126" s="286">
        <v>0.02</v>
      </c>
      <c r="R1126" s="35"/>
      <c r="S1126" s="153">
        <f t="shared" si="34"/>
        <v>0</v>
      </c>
      <c r="T1126" s="152">
        <f t="shared" si="35"/>
        <v>0</v>
      </c>
      <c r="U1126" s="430" t="s">
        <v>34</v>
      </c>
      <c r="V1126" s="44"/>
      <c r="W1126" s="73"/>
    </row>
    <row r="1127" spans="1:23" ht="16.05" customHeight="1" x14ac:dyDescent="0.45">
      <c r="A1127" s="1">
        <v>1126</v>
      </c>
      <c r="B1127" s="57" t="s">
        <v>924</v>
      </c>
      <c r="C1127" s="57" t="s">
        <v>24</v>
      </c>
      <c r="D1127" s="281">
        <v>5766</v>
      </c>
      <c r="E1127" s="16" t="s">
        <v>1940</v>
      </c>
      <c r="F1127" s="71" t="s">
        <v>1941</v>
      </c>
      <c r="G1127" s="57">
        <v>5962</v>
      </c>
      <c r="H1127" s="57" t="s">
        <v>1938</v>
      </c>
      <c r="I1127" s="57" t="s">
        <v>1904</v>
      </c>
      <c r="J1127" s="390" t="s">
        <v>58</v>
      </c>
      <c r="K1127" s="184" t="s">
        <v>57</v>
      </c>
      <c r="L1127" s="286">
        <v>1</v>
      </c>
      <c r="M1127" s="445" t="s">
        <v>621</v>
      </c>
      <c r="N1127" s="544" t="s">
        <v>1951</v>
      </c>
      <c r="O1127" s="145" t="s">
        <v>623</v>
      </c>
      <c r="P1127" s="62">
        <v>0.9</v>
      </c>
      <c r="Q1127" s="286">
        <v>0.08</v>
      </c>
      <c r="R1127" s="62"/>
      <c r="S1127" s="153">
        <f t="shared" si="34"/>
        <v>0</v>
      </c>
      <c r="T1127" s="152">
        <f t="shared" si="35"/>
        <v>0</v>
      </c>
      <c r="U1127" s="430" t="s">
        <v>34</v>
      </c>
      <c r="V1127" s="44"/>
      <c r="W1127" s="73"/>
    </row>
    <row r="1128" spans="1:23" ht="16.05" customHeight="1" x14ac:dyDescent="0.45">
      <c r="A1128" s="1">
        <v>1127</v>
      </c>
      <c r="B1128" s="57" t="s">
        <v>924</v>
      </c>
      <c r="C1128" s="57" t="s">
        <v>24</v>
      </c>
      <c r="D1128" s="281">
        <v>5766</v>
      </c>
      <c r="E1128" s="16" t="s">
        <v>1940</v>
      </c>
      <c r="F1128" s="71" t="s">
        <v>1941</v>
      </c>
      <c r="G1128" s="57">
        <v>5962</v>
      </c>
      <c r="H1128" s="57" t="s">
        <v>1938</v>
      </c>
      <c r="I1128" s="57" t="s">
        <v>1904</v>
      </c>
      <c r="J1128" s="390" t="s">
        <v>58</v>
      </c>
      <c r="K1128" s="184" t="s">
        <v>57</v>
      </c>
      <c r="L1128" s="286">
        <v>1</v>
      </c>
      <c r="M1128" s="445" t="s">
        <v>1952</v>
      </c>
      <c r="N1128" s="544" t="s">
        <v>1953</v>
      </c>
      <c r="O1128" s="583" t="s">
        <v>1731</v>
      </c>
      <c r="P1128" s="62">
        <v>0.05</v>
      </c>
      <c r="Q1128" s="286">
        <v>0.03</v>
      </c>
      <c r="R1128" s="62"/>
      <c r="S1128" s="153">
        <f t="shared" si="34"/>
        <v>0</v>
      </c>
      <c r="T1128" s="152">
        <f t="shared" si="35"/>
        <v>0</v>
      </c>
      <c r="U1128" s="430" t="s">
        <v>83</v>
      </c>
      <c r="V1128" s="44"/>
      <c r="W1128" s="73"/>
    </row>
    <row r="1129" spans="1:23" ht="16.05" customHeight="1" x14ac:dyDescent="0.45">
      <c r="A1129" s="1">
        <v>1128</v>
      </c>
      <c r="B1129" s="57" t="s">
        <v>924</v>
      </c>
      <c r="C1129" s="57" t="s">
        <v>24</v>
      </c>
      <c r="D1129" s="281">
        <v>5766</v>
      </c>
      <c r="E1129" s="16" t="s">
        <v>1940</v>
      </c>
      <c r="F1129" s="71" t="s">
        <v>1941</v>
      </c>
      <c r="G1129" s="57">
        <v>5962</v>
      </c>
      <c r="H1129" s="57" t="s">
        <v>1938</v>
      </c>
      <c r="I1129" s="57" t="s">
        <v>1904</v>
      </c>
      <c r="J1129" s="390" t="s">
        <v>58</v>
      </c>
      <c r="K1129" s="184" t="s">
        <v>57</v>
      </c>
      <c r="L1129" s="286">
        <v>1</v>
      </c>
      <c r="M1129" s="445" t="s">
        <v>1954</v>
      </c>
      <c r="N1129" s="416" t="s">
        <v>1727</v>
      </c>
      <c r="O1129" s="145" t="s">
        <v>1728</v>
      </c>
      <c r="P1129" s="62">
        <v>0.4</v>
      </c>
      <c r="Q1129" s="286">
        <v>0.05</v>
      </c>
      <c r="R1129" s="62"/>
      <c r="S1129" s="153">
        <f t="shared" si="34"/>
        <v>0</v>
      </c>
      <c r="T1129" s="152">
        <f t="shared" si="35"/>
        <v>0</v>
      </c>
      <c r="U1129" s="430" t="s">
        <v>34</v>
      </c>
      <c r="V1129" s="44"/>
      <c r="W1129" s="73"/>
    </row>
    <row r="1130" spans="1:23" ht="16.05" customHeight="1" x14ac:dyDescent="0.45">
      <c r="A1130" s="1">
        <v>1129</v>
      </c>
      <c r="B1130" s="57" t="s">
        <v>924</v>
      </c>
      <c r="C1130" s="57" t="s">
        <v>24</v>
      </c>
      <c r="D1130" s="281">
        <v>5766</v>
      </c>
      <c r="E1130" s="16" t="s">
        <v>1940</v>
      </c>
      <c r="F1130" s="71" t="s">
        <v>1941</v>
      </c>
      <c r="G1130" s="57">
        <v>5962</v>
      </c>
      <c r="H1130" s="57" t="s">
        <v>1938</v>
      </c>
      <c r="I1130" s="57" t="s">
        <v>1904</v>
      </c>
      <c r="J1130" s="390" t="s">
        <v>58</v>
      </c>
      <c r="K1130" s="184" t="s">
        <v>57</v>
      </c>
      <c r="L1130" s="286">
        <v>1</v>
      </c>
      <c r="M1130" s="445" t="s">
        <v>1955</v>
      </c>
      <c r="N1130" s="544" t="s">
        <v>1956</v>
      </c>
      <c r="O1130" s="145" t="s">
        <v>1736</v>
      </c>
      <c r="P1130" s="62">
        <v>0.08</v>
      </c>
      <c r="Q1130" s="286">
        <v>0.04</v>
      </c>
      <c r="R1130" s="62"/>
      <c r="S1130" s="153">
        <f t="shared" si="34"/>
        <v>0</v>
      </c>
      <c r="T1130" s="152">
        <f t="shared" si="35"/>
        <v>0</v>
      </c>
      <c r="U1130" s="430" t="s">
        <v>34</v>
      </c>
      <c r="V1130" s="44"/>
      <c r="W1130" s="73"/>
    </row>
    <row r="1131" spans="1:23" ht="16.05" customHeight="1" x14ac:dyDescent="0.45">
      <c r="A1131" s="1">
        <v>1130</v>
      </c>
      <c r="B1131" s="2" t="s">
        <v>924</v>
      </c>
      <c r="C1131" s="2" t="s">
        <v>24</v>
      </c>
      <c r="D1131" s="275">
        <v>5090</v>
      </c>
      <c r="E1131" s="3" t="s">
        <v>1957</v>
      </c>
      <c r="F1131" s="3" t="s">
        <v>1958</v>
      </c>
      <c r="G1131" s="2">
        <v>5962</v>
      </c>
      <c r="H1131" s="2" t="s">
        <v>1938</v>
      </c>
      <c r="I1131" s="2" t="s">
        <v>1904</v>
      </c>
      <c r="J1131" s="388" t="s">
        <v>58</v>
      </c>
      <c r="K1131" s="3" t="s">
        <v>57</v>
      </c>
      <c r="L1131" s="453">
        <v>1</v>
      </c>
      <c r="M1131" s="3" t="s">
        <v>928</v>
      </c>
      <c r="N1131" s="3" t="s">
        <v>929</v>
      </c>
      <c r="O1131" s="580"/>
      <c r="P1131" s="462">
        <v>81000</v>
      </c>
      <c r="Q1131" s="453">
        <v>0.25</v>
      </c>
      <c r="R1131" s="462"/>
      <c r="S1131" s="148">
        <f t="shared" si="34"/>
        <v>0</v>
      </c>
      <c r="T1131" s="168">
        <f t="shared" si="35"/>
        <v>0</v>
      </c>
      <c r="U1131" s="407" t="s">
        <v>34</v>
      </c>
      <c r="V1131" s="461">
        <f>SUM(T1131:T1144)%</f>
        <v>0</v>
      </c>
      <c r="W1131" s="146"/>
    </row>
    <row r="1132" spans="1:23" ht="16.05" customHeight="1" x14ac:dyDescent="0.45">
      <c r="A1132" s="1">
        <v>1131</v>
      </c>
      <c r="B1132" s="57" t="s">
        <v>924</v>
      </c>
      <c r="C1132" s="57" t="s">
        <v>24</v>
      </c>
      <c r="D1132" s="281">
        <v>5090</v>
      </c>
      <c r="E1132" s="16" t="s">
        <v>1957</v>
      </c>
      <c r="F1132" s="16" t="s">
        <v>1958</v>
      </c>
      <c r="G1132" s="57">
        <v>5962</v>
      </c>
      <c r="H1132" s="57" t="s">
        <v>1938</v>
      </c>
      <c r="I1132" s="57" t="s">
        <v>1904</v>
      </c>
      <c r="J1132" s="390" t="s">
        <v>58</v>
      </c>
      <c r="K1132" s="184" t="s">
        <v>57</v>
      </c>
      <c r="L1132" s="286">
        <v>1</v>
      </c>
      <c r="M1132" s="184" t="s">
        <v>444</v>
      </c>
      <c r="N1132" s="184" t="s">
        <v>445</v>
      </c>
      <c r="O1132" s="38" t="s">
        <v>456</v>
      </c>
      <c r="P1132" s="127">
        <v>1</v>
      </c>
      <c r="Q1132" s="286">
        <v>0.05</v>
      </c>
      <c r="R1132" s="127"/>
      <c r="S1132" s="153">
        <f t="shared" si="34"/>
        <v>0</v>
      </c>
      <c r="T1132" s="152">
        <f t="shared" si="35"/>
        <v>0</v>
      </c>
      <c r="U1132" s="430" t="s">
        <v>34</v>
      </c>
      <c r="V1132" s="44"/>
      <c r="W1132" s="73"/>
    </row>
    <row r="1133" spans="1:23" ht="16.05" customHeight="1" x14ac:dyDescent="0.45">
      <c r="A1133" s="1">
        <v>1132</v>
      </c>
      <c r="B1133" s="57" t="s">
        <v>924</v>
      </c>
      <c r="C1133" s="57" t="s">
        <v>24</v>
      </c>
      <c r="D1133" s="281">
        <v>5090</v>
      </c>
      <c r="E1133" s="16" t="s">
        <v>1957</v>
      </c>
      <c r="F1133" s="16" t="s">
        <v>1958</v>
      </c>
      <c r="G1133" s="57">
        <v>5962</v>
      </c>
      <c r="H1133" s="57" t="s">
        <v>1938</v>
      </c>
      <c r="I1133" s="57" t="s">
        <v>1904</v>
      </c>
      <c r="J1133" s="390" t="s">
        <v>58</v>
      </c>
      <c r="K1133" s="184" t="s">
        <v>57</v>
      </c>
      <c r="L1133" s="286">
        <v>1</v>
      </c>
      <c r="M1133" s="184" t="s">
        <v>1943</v>
      </c>
      <c r="N1133" s="184" t="s">
        <v>1944</v>
      </c>
      <c r="O1133" s="38" t="s">
        <v>458</v>
      </c>
      <c r="P1133" s="127">
        <v>0.85</v>
      </c>
      <c r="Q1133" s="286">
        <v>0.15</v>
      </c>
      <c r="R1133" s="127"/>
      <c r="S1133" s="153">
        <f t="shared" si="34"/>
        <v>0</v>
      </c>
      <c r="T1133" s="152">
        <f t="shared" si="35"/>
        <v>0</v>
      </c>
      <c r="U1133" s="430" t="s">
        <v>34</v>
      </c>
      <c r="V1133" s="44"/>
      <c r="W1133" s="73"/>
    </row>
    <row r="1134" spans="1:23" ht="16.05" customHeight="1" x14ac:dyDescent="0.45">
      <c r="A1134" s="1">
        <v>1133</v>
      </c>
      <c r="B1134" s="57" t="s">
        <v>924</v>
      </c>
      <c r="C1134" s="57" t="s">
        <v>24</v>
      </c>
      <c r="D1134" s="281">
        <v>5090</v>
      </c>
      <c r="E1134" s="16" t="s">
        <v>1957</v>
      </c>
      <c r="F1134" s="16" t="s">
        <v>1958</v>
      </c>
      <c r="G1134" s="57">
        <v>5962</v>
      </c>
      <c r="H1134" s="57" t="s">
        <v>1938</v>
      </c>
      <c r="I1134" s="57" t="s">
        <v>1904</v>
      </c>
      <c r="J1134" s="390" t="s">
        <v>58</v>
      </c>
      <c r="K1134" s="184" t="s">
        <v>57</v>
      </c>
      <c r="L1134" s="286">
        <v>1</v>
      </c>
      <c r="M1134" s="288" t="s">
        <v>80</v>
      </c>
      <c r="N1134" s="288" t="s">
        <v>81</v>
      </c>
      <c r="O1134" s="289" t="s">
        <v>82</v>
      </c>
      <c r="P1134" s="43">
        <v>0.01</v>
      </c>
      <c r="Q1134" s="286">
        <v>0.03</v>
      </c>
      <c r="R1134" s="43"/>
      <c r="S1134" s="153">
        <f t="shared" si="34"/>
        <v>0</v>
      </c>
      <c r="T1134" s="152">
        <f t="shared" si="35"/>
        <v>0</v>
      </c>
      <c r="U1134" s="430" t="s">
        <v>83</v>
      </c>
      <c r="V1134" s="44"/>
      <c r="W1134" s="73"/>
    </row>
    <row r="1135" spans="1:23" ht="16.05" customHeight="1" x14ac:dyDescent="0.45">
      <c r="A1135" s="1">
        <v>1134</v>
      </c>
      <c r="B1135" s="57" t="s">
        <v>924</v>
      </c>
      <c r="C1135" s="57" t="s">
        <v>24</v>
      </c>
      <c r="D1135" s="281">
        <v>5090</v>
      </c>
      <c r="E1135" s="16" t="s">
        <v>1957</v>
      </c>
      <c r="F1135" s="16" t="s">
        <v>1958</v>
      </c>
      <c r="G1135" s="57">
        <v>5962</v>
      </c>
      <c r="H1135" s="57" t="s">
        <v>1938</v>
      </c>
      <c r="I1135" s="57" t="s">
        <v>1904</v>
      </c>
      <c r="J1135" s="390" t="s">
        <v>58</v>
      </c>
      <c r="K1135" s="184" t="s">
        <v>57</v>
      </c>
      <c r="L1135" s="286">
        <v>1</v>
      </c>
      <c r="M1135" s="184" t="s">
        <v>1732</v>
      </c>
      <c r="N1135" s="184" t="s">
        <v>1733</v>
      </c>
      <c r="O1135" s="38" t="s">
        <v>461</v>
      </c>
      <c r="P1135" s="127">
        <v>1</v>
      </c>
      <c r="Q1135" s="286">
        <v>7.0000000000000007E-2</v>
      </c>
      <c r="R1135" s="127"/>
      <c r="S1135" s="153">
        <f t="shared" si="34"/>
        <v>0</v>
      </c>
      <c r="T1135" s="152">
        <f t="shared" si="35"/>
        <v>0</v>
      </c>
      <c r="U1135" s="430" t="s">
        <v>83</v>
      </c>
      <c r="V1135" s="44"/>
      <c r="W1135" s="73"/>
    </row>
    <row r="1136" spans="1:23" ht="16.05" customHeight="1" x14ac:dyDescent="0.45">
      <c r="A1136" s="1">
        <v>1135</v>
      </c>
      <c r="B1136" s="57" t="s">
        <v>924</v>
      </c>
      <c r="C1136" s="57" t="s">
        <v>24</v>
      </c>
      <c r="D1136" s="281">
        <v>5090</v>
      </c>
      <c r="E1136" s="16" t="s">
        <v>1957</v>
      </c>
      <c r="F1136" s="16" t="s">
        <v>1958</v>
      </c>
      <c r="G1136" s="57">
        <v>5962</v>
      </c>
      <c r="H1136" s="57" t="s">
        <v>1938</v>
      </c>
      <c r="I1136" s="57" t="s">
        <v>1904</v>
      </c>
      <c r="J1136" s="390" t="s">
        <v>58</v>
      </c>
      <c r="K1136" s="184" t="s">
        <v>57</v>
      </c>
      <c r="L1136" s="286">
        <v>1</v>
      </c>
      <c r="M1136" s="184" t="s">
        <v>1945</v>
      </c>
      <c r="N1136" s="184" t="s">
        <v>1946</v>
      </c>
      <c r="O1136" s="38" t="s">
        <v>453</v>
      </c>
      <c r="P1136" s="129">
        <v>0.99199999999999999</v>
      </c>
      <c r="Q1136" s="286">
        <v>0.12</v>
      </c>
      <c r="R1136" s="129"/>
      <c r="S1136" s="153">
        <f t="shared" si="34"/>
        <v>0</v>
      </c>
      <c r="T1136" s="152">
        <f t="shared" si="35"/>
        <v>0</v>
      </c>
      <c r="U1136" s="430" t="s">
        <v>34</v>
      </c>
      <c r="V1136" s="44"/>
      <c r="W1136" s="73"/>
    </row>
    <row r="1137" spans="1:23" ht="16.05" customHeight="1" x14ac:dyDescent="0.45">
      <c r="A1137" s="1">
        <v>1136</v>
      </c>
      <c r="B1137" s="57" t="s">
        <v>924</v>
      </c>
      <c r="C1137" s="57" t="s">
        <v>24</v>
      </c>
      <c r="D1137" s="281">
        <v>5090</v>
      </c>
      <c r="E1137" s="16" t="s">
        <v>1957</v>
      </c>
      <c r="F1137" s="16" t="s">
        <v>1958</v>
      </c>
      <c r="G1137" s="57">
        <v>5962</v>
      </c>
      <c r="H1137" s="57" t="s">
        <v>1938</v>
      </c>
      <c r="I1137" s="57" t="s">
        <v>1904</v>
      </c>
      <c r="J1137" s="390" t="s">
        <v>58</v>
      </c>
      <c r="K1137" s="184" t="s">
        <v>57</v>
      </c>
      <c r="L1137" s="286">
        <v>1</v>
      </c>
      <c r="M1137" s="184" t="s">
        <v>442</v>
      </c>
      <c r="N1137" s="184" t="s">
        <v>443</v>
      </c>
      <c r="O1137" s="38" t="s">
        <v>1947</v>
      </c>
      <c r="P1137" s="127">
        <v>1</v>
      </c>
      <c r="Q1137" s="286">
        <v>0.05</v>
      </c>
      <c r="R1137" s="127"/>
      <c r="S1137" s="153">
        <f t="shared" si="34"/>
        <v>0</v>
      </c>
      <c r="T1137" s="152">
        <f t="shared" si="35"/>
        <v>0</v>
      </c>
      <c r="U1137" s="430" t="s">
        <v>34</v>
      </c>
      <c r="V1137" s="44"/>
      <c r="W1137" s="73"/>
    </row>
    <row r="1138" spans="1:23" ht="16.05" customHeight="1" x14ac:dyDescent="0.45">
      <c r="A1138" s="1">
        <v>1137</v>
      </c>
      <c r="B1138" s="57" t="s">
        <v>924</v>
      </c>
      <c r="C1138" s="57" t="s">
        <v>24</v>
      </c>
      <c r="D1138" s="281">
        <v>5090</v>
      </c>
      <c r="E1138" s="16" t="s">
        <v>1957</v>
      </c>
      <c r="F1138" s="16" t="s">
        <v>1958</v>
      </c>
      <c r="G1138" s="57">
        <v>5962</v>
      </c>
      <c r="H1138" s="57" t="s">
        <v>1938</v>
      </c>
      <c r="I1138" s="57" t="s">
        <v>1904</v>
      </c>
      <c r="J1138" s="390" t="s">
        <v>58</v>
      </c>
      <c r="K1138" s="184" t="s">
        <v>57</v>
      </c>
      <c r="L1138" s="286">
        <v>1</v>
      </c>
      <c r="M1138" s="184" t="s">
        <v>497</v>
      </c>
      <c r="N1138" s="582" t="s">
        <v>1948</v>
      </c>
      <c r="O1138" s="33" t="s">
        <v>499</v>
      </c>
      <c r="P1138" s="35">
        <v>1</v>
      </c>
      <c r="Q1138" s="286">
        <v>0.05</v>
      </c>
      <c r="R1138" s="35"/>
      <c r="S1138" s="153">
        <f t="shared" si="34"/>
        <v>0</v>
      </c>
      <c r="T1138" s="152">
        <f t="shared" si="35"/>
        <v>0</v>
      </c>
      <c r="U1138" s="430" t="s">
        <v>83</v>
      </c>
      <c r="V1138" s="44"/>
      <c r="W1138" s="73"/>
    </row>
    <row r="1139" spans="1:23" ht="16.05" customHeight="1" x14ac:dyDescent="0.45">
      <c r="A1139" s="1">
        <v>1138</v>
      </c>
      <c r="B1139" s="57" t="s">
        <v>924</v>
      </c>
      <c r="C1139" s="57" t="s">
        <v>24</v>
      </c>
      <c r="D1139" s="281">
        <v>5090</v>
      </c>
      <c r="E1139" s="16" t="s">
        <v>1957</v>
      </c>
      <c r="F1139" s="16" t="s">
        <v>1958</v>
      </c>
      <c r="G1139" s="57">
        <v>5962</v>
      </c>
      <c r="H1139" s="57" t="s">
        <v>1938</v>
      </c>
      <c r="I1139" s="57" t="s">
        <v>1904</v>
      </c>
      <c r="J1139" s="390" t="s">
        <v>58</v>
      </c>
      <c r="K1139" s="184" t="s">
        <v>57</v>
      </c>
      <c r="L1139" s="286">
        <v>1</v>
      </c>
      <c r="M1139" s="184" t="s">
        <v>1949</v>
      </c>
      <c r="N1139" s="582" t="s">
        <v>517</v>
      </c>
      <c r="O1139" s="33"/>
      <c r="P1139" s="35">
        <v>1</v>
      </c>
      <c r="Q1139" s="286">
        <v>0.01</v>
      </c>
      <c r="R1139" s="35"/>
      <c r="S1139" s="153">
        <f t="shared" si="34"/>
        <v>0</v>
      </c>
      <c r="T1139" s="152">
        <f t="shared" si="35"/>
        <v>0</v>
      </c>
      <c r="U1139" s="430" t="s">
        <v>34</v>
      </c>
      <c r="V1139" s="44"/>
      <c r="W1139" s="73"/>
    </row>
    <row r="1140" spans="1:23" ht="16.05" customHeight="1" x14ac:dyDescent="0.45">
      <c r="A1140" s="1">
        <v>1139</v>
      </c>
      <c r="B1140" s="57" t="s">
        <v>924</v>
      </c>
      <c r="C1140" s="57" t="s">
        <v>24</v>
      </c>
      <c r="D1140" s="281">
        <v>5090</v>
      </c>
      <c r="E1140" s="16" t="s">
        <v>1957</v>
      </c>
      <c r="F1140" s="16" t="s">
        <v>1958</v>
      </c>
      <c r="G1140" s="57">
        <v>5962</v>
      </c>
      <c r="H1140" s="57" t="s">
        <v>1938</v>
      </c>
      <c r="I1140" s="57" t="s">
        <v>1904</v>
      </c>
      <c r="J1140" s="390" t="s">
        <v>58</v>
      </c>
      <c r="K1140" s="184" t="s">
        <v>57</v>
      </c>
      <c r="L1140" s="286">
        <v>1</v>
      </c>
      <c r="M1140" s="184" t="s">
        <v>518</v>
      </c>
      <c r="N1140" s="582" t="s">
        <v>1950</v>
      </c>
      <c r="O1140" s="33" t="s">
        <v>520</v>
      </c>
      <c r="P1140" s="35">
        <v>1</v>
      </c>
      <c r="Q1140" s="286">
        <v>0.02</v>
      </c>
      <c r="R1140" s="35"/>
      <c r="S1140" s="153">
        <f t="shared" si="34"/>
        <v>0</v>
      </c>
      <c r="T1140" s="152">
        <f t="shared" si="35"/>
        <v>0</v>
      </c>
      <c r="U1140" s="430" t="s">
        <v>34</v>
      </c>
      <c r="V1140" s="44"/>
      <c r="W1140" s="73"/>
    </row>
    <row r="1141" spans="1:23" ht="16.05" customHeight="1" x14ac:dyDescent="0.45">
      <c r="A1141" s="1">
        <v>1140</v>
      </c>
      <c r="B1141" s="57" t="s">
        <v>924</v>
      </c>
      <c r="C1141" s="57" t="s">
        <v>24</v>
      </c>
      <c r="D1141" s="281">
        <v>5090</v>
      </c>
      <c r="E1141" s="16" t="s">
        <v>1957</v>
      </c>
      <c r="F1141" s="16" t="s">
        <v>1958</v>
      </c>
      <c r="G1141" s="57">
        <v>5962</v>
      </c>
      <c r="H1141" s="57" t="s">
        <v>1938</v>
      </c>
      <c r="I1141" s="57" t="s">
        <v>1904</v>
      </c>
      <c r="J1141" s="390" t="s">
        <v>58</v>
      </c>
      <c r="K1141" s="184" t="s">
        <v>57</v>
      </c>
      <c r="L1141" s="286">
        <v>1</v>
      </c>
      <c r="M1141" s="445" t="s">
        <v>621</v>
      </c>
      <c r="N1141" s="544" t="s">
        <v>1951</v>
      </c>
      <c r="O1141" s="145" t="s">
        <v>623</v>
      </c>
      <c r="P1141" s="62">
        <v>0.9</v>
      </c>
      <c r="Q1141" s="286">
        <v>0.08</v>
      </c>
      <c r="R1141" s="62"/>
      <c r="S1141" s="153">
        <f t="shared" si="34"/>
        <v>0</v>
      </c>
      <c r="T1141" s="152">
        <f t="shared" si="35"/>
        <v>0</v>
      </c>
      <c r="U1141" s="430" t="s">
        <v>34</v>
      </c>
      <c r="V1141" s="44"/>
      <c r="W1141" s="73"/>
    </row>
    <row r="1142" spans="1:23" ht="16.05" customHeight="1" x14ac:dyDescent="0.45">
      <c r="A1142" s="1">
        <v>1141</v>
      </c>
      <c r="B1142" s="57" t="s">
        <v>924</v>
      </c>
      <c r="C1142" s="57" t="s">
        <v>24</v>
      </c>
      <c r="D1142" s="281">
        <v>5090</v>
      </c>
      <c r="E1142" s="16" t="s">
        <v>1957</v>
      </c>
      <c r="F1142" s="16" t="s">
        <v>1958</v>
      </c>
      <c r="G1142" s="57">
        <v>5962</v>
      </c>
      <c r="H1142" s="57" t="s">
        <v>1938</v>
      </c>
      <c r="I1142" s="57" t="s">
        <v>1904</v>
      </c>
      <c r="J1142" s="390" t="s">
        <v>58</v>
      </c>
      <c r="K1142" s="184" t="s">
        <v>57</v>
      </c>
      <c r="L1142" s="286">
        <v>1</v>
      </c>
      <c r="M1142" s="445" t="s">
        <v>1952</v>
      </c>
      <c r="N1142" s="544" t="s">
        <v>1953</v>
      </c>
      <c r="O1142" s="583" t="s">
        <v>1731</v>
      </c>
      <c r="P1142" s="62">
        <v>0.05</v>
      </c>
      <c r="Q1142" s="286">
        <v>0.03</v>
      </c>
      <c r="R1142" s="62"/>
      <c r="S1142" s="153">
        <f t="shared" si="34"/>
        <v>0</v>
      </c>
      <c r="T1142" s="152">
        <f t="shared" si="35"/>
        <v>0</v>
      </c>
      <c r="U1142" s="430" t="s">
        <v>83</v>
      </c>
      <c r="V1142" s="44"/>
      <c r="W1142" s="73"/>
    </row>
    <row r="1143" spans="1:23" ht="16.05" customHeight="1" x14ac:dyDescent="0.45">
      <c r="A1143" s="1">
        <v>1142</v>
      </c>
      <c r="B1143" s="57" t="s">
        <v>924</v>
      </c>
      <c r="C1143" s="57" t="s">
        <v>24</v>
      </c>
      <c r="D1143" s="281">
        <v>5090</v>
      </c>
      <c r="E1143" s="16" t="s">
        <v>1957</v>
      </c>
      <c r="F1143" s="16" t="s">
        <v>1958</v>
      </c>
      <c r="G1143" s="57">
        <v>5962</v>
      </c>
      <c r="H1143" s="57" t="s">
        <v>1938</v>
      </c>
      <c r="I1143" s="57" t="s">
        <v>1904</v>
      </c>
      <c r="J1143" s="390" t="s">
        <v>58</v>
      </c>
      <c r="K1143" s="184" t="s">
        <v>57</v>
      </c>
      <c r="L1143" s="286">
        <v>1</v>
      </c>
      <c r="M1143" s="445" t="s">
        <v>1954</v>
      </c>
      <c r="N1143" s="416" t="s">
        <v>1727</v>
      </c>
      <c r="O1143" s="145" t="s">
        <v>1728</v>
      </c>
      <c r="P1143" s="62">
        <v>0.4</v>
      </c>
      <c r="Q1143" s="286">
        <v>0.05</v>
      </c>
      <c r="R1143" s="62"/>
      <c r="S1143" s="153">
        <f t="shared" si="34"/>
        <v>0</v>
      </c>
      <c r="T1143" s="152">
        <f t="shared" si="35"/>
        <v>0</v>
      </c>
      <c r="U1143" s="430" t="s">
        <v>34</v>
      </c>
      <c r="V1143" s="44"/>
      <c r="W1143" s="73"/>
    </row>
    <row r="1144" spans="1:23" ht="16.05" customHeight="1" x14ac:dyDescent="0.45">
      <c r="A1144" s="1">
        <v>1143</v>
      </c>
      <c r="B1144" s="57" t="s">
        <v>924</v>
      </c>
      <c r="C1144" s="57" t="s">
        <v>24</v>
      </c>
      <c r="D1144" s="281">
        <v>5090</v>
      </c>
      <c r="E1144" s="16" t="s">
        <v>1957</v>
      </c>
      <c r="F1144" s="16" t="s">
        <v>1958</v>
      </c>
      <c r="G1144" s="57">
        <v>5962</v>
      </c>
      <c r="H1144" s="57" t="s">
        <v>1938</v>
      </c>
      <c r="I1144" s="57" t="s">
        <v>1904</v>
      </c>
      <c r="J1144" s="390" t="s">
        <v>58</v>
      </c>
      <c r="K1144" s="184" t="s">
        <v>57</v>
      </c>
      <c r="L1144" s="286">
        <v>1</v>
      </c>
      <c r="M1144" s="445" t="s">
        <v>1955</v>
      </c>
      <c r="N1144" s="544" t="s">
        <v>1956</v>
      </c>
      <c r="O1144" s="145" t="s">
        <v>1736</v>
      </c>
      <c r="P1144" s="62">
        <v>0.08</v>
      </c>
      <c r="Q1144" s="286">
        <v>0.04</v>
      </c>
      <c r="R1144" s="62"/>
      <c r="S1144" s="153">
        <f t="shared" si="34"/>
        <v>0</v>
      </c>
      <c r="T1144" s="152">
        <f t="shared" si="35"/>
        <v>0</v>
      </c>
      <c r="U1144" s="430" t="s">
        <v>34</v>
      </c>
      <c r="V1144" s="44"/>
      <c r="W1144" s="73"/>
    </row>
    <row r="1145" spans="1:23" ht="16.05" customHeight="1" x14ac:dyDescent="0.45">
      <c r="A1145" s="1">
        <v>1144</v>
      </c>
      <c r="B1145" s="2" t="s">
        <v>924</v>
      </c>
      <c r="C1145" s="2" t="s">
        <v>24</v>
      </c>
      <c r="D1145" s="275">
        <v>5214</v>
      </c>
      <c r="E1145" s="3" t="s">
        <v>1959</v>
      </c>
      <c r="F1145" s="3" t="s">
        <v>1960</v>
      </c>
      <c r="G1145" s="2">
        <v>5962</v>
      </c>
      <c r="H1145" s="2" t="s">
        <v>1938</v>
      </c>
      <c r="I1145" s="2" t="s">
        <v>1904</v>
      </c>
      <c r="J1145" s="388" t="s">
        <v>58</v>
      </c>
      <c r="K1145" s="3" t="s">
        <v>57</v>
      </c>
      <c r="L1145" s="453">
        <v>1</v>
      </c>
      <c r="M1145" s="3" t="s">
        <v>928</v>
      </c>
      <c r="N1145" s="3" t="s">
        <v>929</v>
      </c>
      <c r="O1145" s="580"/>
      <c r="P1145" s="462">
        <v>81000</v>
      </c>
      <c r="Q1145" s="453">
        <v>0.17</v>
      </c>
      <c r="R1145" s="462"/>
      <c r="S1145" s="148">
        <f t="shared" si="34"/>
        <v>0</v>
      </c>
      <c r="T1145" s="168">
        <f t="shared" si="35"/>
        <v>0</v>
      </c>
      <c r="U1145" s="407" t="s">
        <v>34</v>
      </c>
      <c r="V1145" s="461">
        <f>SUM(T1145:T1159)%</f>
        <v>0</v>
      </c>
      <c r="W1145" s="146"/>
    </row>
    <row r="1146" spans="1:23" ht="16.05" customHeight="1" x14ac:dyDescent="0.45">
      <c r="A1146" s="1">
        <v>1145</v>
      </c>
      <c r="B1146" s="57" t="s">
        <v>924</v>
      </c>
      <c r="C1146" s="57" t="s">
        <v>24</v>
      </c>
      <c r="D1146" s="281">
        <v>5214</v>
      </c>
      <c r="E1146" s="16" t="s">
        <v>1959</v>
      </c>
      <c r="F1146" s="16" t="s">
        <v>1960</v>
      </c>
      <c r="G1146" s="57">
        <v>5962</v>
      </c>
      <c r="H1146" s="57" t="s">
        <v>1938</v>
      </c>
      <c r="I1146" s="57" t="s">
        <v>1904</v>
      </c>
      <c r="J1146" s="390" t="s">
        <v>58</v>
      </c>
      <c r="K1146" s="306" t="s">
        <v>57</v>
      </c>
      <c r="L1146" s="286">
        <v>1</v>
      </c>
      <c r="M1146" s="184" t="s">
        <v>444</v>
      </c>
      <c r="N1146" s="184" t="s">
        <v>445</v>
      </c>
      <c r="O1146" s="38" t="s">
        <v>456</v>
      </c>
      <c r="P1146" s="127">
        <v>1</v>
      </c>
      <c r="Q1146" s="286">
        <v>0.1</v>
      </c>
      <c r="R1146" s="127"/>
      <c r="S1146" s="153">
        <f t="shared" si="34"/>
        <v>0</v>
      </c>
      <c r="T1146" s="152">
        <f t="shared" si="35"/>
        <v>0</v>
      </c>
      <c r="U1146" s="430" t="s">
        <v>34</v>
      </c>
      <c r="V1146" s="44"/>
      <c r="W1146" s="73"/>
    </row>
    <row r="1147" spans="1:23" ht="16.05" customHeight="1" x14ac:dyDescent="0.45">
      <c r="A1147" s="1">
        <v>1146</v>
      </c>
      <c r="B1147" s="57" t="s">
        <v>924</v>
      </c>
      <c r="C1147" s="57" t="s">
        <v>24</v>
      </c>
      <c r="D1147" s="281">
        <v>5214</v>
      </c>
      <c r="E1147" s="16" t="s">
        <v>1959</v>
      </c>
      <c r="F1147" s="16" t="s">
        <v>1960</v>
      </c>
      <c r="G1147" s="57">
        <v>5962</v>
      </c>
      <c r="H1147" s="57" t="s">
        <v>1938</v>
      </c>
      <c r="I1147" s="57" t="s">
        <v>1904</v>
      </c>
      <c r="J1147" s="390" t="s">
        <v>58</v>
      </c>
      <c r="K1147" s="306" t="s">
        <v>57</v>
      </c>
      <c r="L1147" s="286">
        <v>1</v>
      </c>
      <c r="M1147" s="289" t="s">
        <v>1890</v>
      </c>
      <c r="N1147" s="435" t="s">
        <v>1891</v>
      </c>
      <c r="O1147" s="523" t="s">
        <v>1892</v>
      </c>
      <c r="P1147" s="551">
        <v>90000</v>
      </c>
      <c r="Q1147" s="286">
        <v>0.1</v>
      </c>
      <c r="R1147" s="551"/>
      <c r="S1147" s="153">
        <f t="shared" si="34"/>
        <v>0</v>
      </c>
      <c r="T1147" s="152">
        <f t="shared" si="35"/>
        <v>0</v>
      </c>
      <c r="U1147" s="430" t="s">
        <v>34</v>
      </c>
      <c r="V1147" s="44"/>
      <c r="W1147" s="73"/>
    </row>
    <row r="1148" spans="1:23" ht="16.05" customHeight="1" x14ac:dyDescent="0.45">
      <c r="A1148" s="1">
        <v>1147</v>
      </c>
      <c r="B1148" s="57" t="s">
        <v>924</v>
      </c>
      <c r="C1148" s="57" t="s">
        <v>24</v>
      </c>
      <c r="D1148" s="281">
        <v>5214</v>
      </c>
      <c r="E1148" s="16" t="s">
        <v>1959</v>
      </c>
      <c r="F1148" s="16" t="s">
        <v>1960</v>
      </c>
      <c r="G1148" s="57">
        <v>5962</v>
      </c>
      <c r="H1148" s="57" t="s">
        <v>1938</v>
      </c>
      <c r="I1148" s="57" t="s">
        <v>1904</v>
      </c>
      <c r="J1148" s="390" t="s">
        <v>58</v>
      </c>
      <c r="K1148" s="306" t="s">
        <v>57</v>
      </c>
      <c r="L1148" s="286">
        <v>1</v>
      </c>
      <c r="M1148" s="184" t="s">
        <v>1943</v>
      </c>
      <c r="N1148" s="184" t="s">
        <v>1944</v>
      </c>
      <c r="O1148" s="38" t="s">
        <v>458</v>
      </c>
      <c r="P1148" s="127">
        <v>0.85</v>
      </c>
      <c r="Q1148" s="286">
        <v>0.1</v>
      </c>
      <c r="R1148" s="127"/>
      <c r="S1148" s="153">
        <f t="shared" si="34"/>
        <v>0</v>
      </c>
      <c r="T1148" s="152">
        <f t="shared" si="35"/>
        <v>0</v>
      </c>
      <c r="U1148" s="430" t="s">
        <v>34</v>
      </c>
      <c r="V1148" s="44"/>
      <c r="W1148" s="73"/>
    </row>
    <row r="1149" spans="1:23" ht="16.05" customHeight="1" x14ac:dyDescent="0.45">
      <c r="A1149" s="1">
        <v>1148</v>
      </c>
      <c r="B1149" s="57" t="s">
        <v>924</v>
      </c>
      <c r="C1149" s="57" t="s">
        <v>24</v>
      </c>
      <c r="D1149" s="281">
        <v>5214</v>
      </c>
      <c r="E1149" s="16" t="s">
        <v>1959</v>
      </c>
      <c r="F1149" s="16" t="s">
        <v>1960</v>
      </c>
      <c r="G1149" s="57">
        <v>5962</v>
      </c>
      <c r="H1149" s="57" t="s">
        <v>1938</v>
      </c>
      <c r="I1149" s="57" t="s">
        <v>1904</v>
      </c>
      <c r="J1149" s="390" t="s">
        <v>58</v>
      </c>
      <c r="K1149" s="306" t="s">
        <v>57</v>
      </c>
      <c r="L1149" s="286">
        <v>1</v>
      </c>
      <c r="M1149" s="288" t="s">
        <v>80</v>
      </c>
      <c r="N1149" s="288" t="s">
        <v>81</v>
      </c>
      <c r="O1149" s="289" t="s">
        <v>82</v>
      </c>
      <c r="P1149" s="43">
        <v>0.01</v>
      </c>
      <c r="Q1149" s="286">
        <v>0.03</v>
      </c>
      <c r="R1149" s="43"/>
      <c r="S1149" s="153">
        <f t="shared" si="34"/>
        <v>0</v>
      </c>
      <c r="T1149" s="152">
        <f t="shared" si="35"/>
        <v>0</v>
      </c>
      <c r="U1149" s="430" t="s">
        <v>83</v>
      </c>
      <c r="V1149" s="44"/>
      <c r="W1149" s="73"/>
    </row>
    <row r="1150" spans="1:23" ht="16.05" customHeight="1" x14ac:dyDescent="0.45">
      <c r="A1150" s="1">
        <v>1149</v>
      </c>
      <c r="B1150" s="57" t="s">
        <v>924</v>
      </c>
      <c r="C1150" s="57" t="s">
        <v>24</v>
      </c>
      <c r="D1150" s="281">
        <v>5214</v>
      </c>
      <c r="E1150" s="16" t="s">
        <v>1959</v>
      </c>
      <c r="F1150" s="16" t="s">
        <v>1960</v>
      </c>
      <c r="G1150" s="57">
        <v>5962</v>
      </c>
      <c r="H1150" s="57" t="s">
        <v>1938</v>
      </c>
      <c r="I1150" s="57" t="s">
        <v>1904</v>
      </c>
      <c r="J1150" s="390" t="s">
        <v>58</v>
      </c>
      <c r="K1150" s="306" t="s">
        <v>57</v>
      </c>
      <c r="L1150" s="286">
        <v>1</v>
      </c>
      <c r="M1150" s="184" t="s">
        <v>1732</v>
      </c>
      <c r="N1150" s="184" t="s">
        <v>1733</v>
      </c>
      <c r="O1150" s="38" t="s">
        <v>461</v>
      </c>
      <c r="P1150" s="127">
        <v>1</v>
      </c>
      <c r="Q1150" s="286">
        <v>7.0000000000000007E-2</v>
      </c>
      <c r="R1150" s="127"/>
      <c r="S1150" s="153">
        <f t="shared" si="34"/>
        <v>0</v>
      </c>
      <c r="T1150" s="152">
        <f t="shared" si="35"/>
        <v>0</v>
      </c>
      <c r="U1150" s="430" t="s">
        <v>83</v>
      </c>
      <c r="V1150" s="44"/>
      <c r="W1150" s="73"/>
    </row>
    <row r="1151" spans="1:23" ht="16.05" customHeight="1" x14ac:dyDescent="0.45">
      <c r="A1151" s="1">
        <v>1150</v>
      </c>
      <c r="B1151" s="57" t="s">
        <v>924</v>
      </c>
      <c r="C1151" s="57" t="s">
        <v>24</v>
      </c>
      <c r="D1151" s="281">
        <v>5214</v>
      </c>
      <c r="E1151" s="16" t="s">
        <v>1959</v>
      </c>
      <c r="F1151" s="16" t="s">
        <v>1960</v>
      </c>
      <c r="G1151" s="57">
        <v>5962</v>
      </c>
      <c r="H1151" s="57" t="s">
        <v>1938</v>
      </c>
      <c r="I1151" s="57" t="s">
        <v>1904</v>
      </c>
      <c r="J1151" s="390" t="s">
        <v>58</v>
      </c>
      <c r="K1151" s="306" t="s">
        <v>57</v>
      </c>
      <c r="L1151" s="286">
        <v>1</v>
      </c>
      <c r="M1151" s="184" t="s">
        <v>1945</v>
      </c>
      <c r="N1151" s="184" t="s">
        <v>1946</v>
      </c>
      <c r="O1151" s="38" t="s">
        <v>453</v>
      </c>
      <c r="P1151" s="129">
        <v>0.99199999999999999</v>
      </c>
      <c r="Q1151" s="286">
        <v>0.1</v>
      </c>
      <c r="R1151" s="129"/>
      <c r="S1151" s="153">
        <f t="shared" si="34"/>
        <v>0</v>
      </c>
      <c r="T1151" s="152">
        <f t="shared" si="35"/>
        <v>0</v>
      </c>
      <c r="U1151" s="430" t="s">
        <v>34</v>
      </c>
      <c r="V1151" s="44"/>
      <c r="W1151" s="73"/>
    </row>
    <row r="1152" spans="1:23" ht="16.05" customHeight="1" x14ac:dyDescent="0.45">
      <c r="A1152" s="1">
        <v>1151</v>
      </c>
      <c r="B1152" s="57" t="s">
        <v>924</v>
      </c>
      <c r="C1152" s="57" t="s">
        <v>24</v>
      </c>
      <c r="D1152" s="281">
        <v>5214</v>
      </c>
      <c r="E1152" s="16" t="s">
        <v>1959</v>
      </c>
      <c r="F1152" s="16" t="s">
        <v>1960</v>
      </c>
      <c r="G1152" s="57">
        <v>5962</v>
      </c>
      <c r="H1152" s="57" t="s">
        <v>1938</v>
      </c>
      <c r="I1152" s="57" t="s">
        <v>1904</v>
      </c>
      <c r="J1152" s="390" t="s">
        <v>58</v>
      </c>
      <c r="K1152" s="306" t="s">
        <v>57</v>
      </c>
      <c r="L1152" s="286">
        <v>1</v>
      </c>
      <c r="M1152" s="184" t="s">
        <v>442</v>
      </c>
      <c r="N1152" s="184" t="s">
        <v>443</v>
      </c>
      <c r="O1152" s="38" t="s">
        <v>1947</v>
      </c>
      <c r="P1152" s="127">
        <v>1</v>
      </c>
      <c r="Q1152" s="286">
        <v>0.05</v>
      </c>
      <c r="R1152" s="127"/>
      <c r="S1152" s="153">
        <f t="shared" si="34"/>
        <v>0</v>
      </c>
      <c r="T1152" s="152">
        <f t="shared" si="35"/>
        <v>0</v>
      </c>
      <c r="U1152" s="430" t="s">
        <v>34</v>
      </c>
      <c r="V1152" s="44"/>
      <c r="W1152" s="73"/>
    </row>
    <row r="1153" spans="1:23" ht="16.05" customHeight="1" x14ac:dyDescent="0.45">
      <c r="A1153" s="1">
        <v>1152</v>
      </c>
      <c r="B1153" s="57" t="s">
        <v>924</v>
      </c>
      <c r="C1153" s="57" t="s">
        <v>24</v>
      </c>
      <c r="D1153" s="281">
        <v>5214</v>
      </c>
      <c r="E1153" s="16" t="s">
        <v>1959</v>
      </c>
      <c r="F1153" s="16" t="s">
        <v>1960</v>
      </c>
      <c r="G1153" s="57">
        <v>5962</v>
      </c>
      <c r="H1153" s="57" t="s">
        <v>1938</v>
      </c>
      <c r="I1153" s="57" t="s">
        <v>1904</v>
      </c>
      <c r="J1153" s="390" t="s">
        <v>58</v>
      </c>
      <c r="K1153" s="306" t="s">
        <v>57</v>
      </c>
      <c r="L1153" s="286">
        <v>1</v>
      </c>
      <c r="M1153" s="184" t="s">
        <v>497</v>
      </c>
      <c r="N1153" s="582" t="s">
        <v>1948</v>
      </c>
      <c r="O1153" s="33" t="s">
        <v>499</v>
      </c>
      <c r="P1153" s="35">
        <v>1</v>
      </c>
      <c r="Q1153" s="286">
        <v>0.05</v>
      </c>
      <c r="R1153" s="35"/>
      <c r="S1153" s="153">
        <f t="shared" si="34"/>
        <v>0</v>
      </c>
      <c r="T1153" s="152">
        <f t="shared" si="35"/>
        <v>0</v>
      </c>
      <c r="U1153" s="430" t="s">
        <v>83</v>
      </c>
      <c r="V1153" s="44"/>
      <c r="W1153" s="73"/>
    </row>
    <row r="1154" spans="1:23" ht="16.05" customHeight="1" x14ac:dyDescent="0.45">
      <c r="A1154" s="1">
        <v>1153</v>
      </c>
      <c r="B1154" s="57" t="s">
        <v>924</v>
      </c>
      <c r="C1154" s="57" t="s">
        <v>24</v>
      </c>
      <c r="D1154" s="281">
        <v>5214</v>
      </c>
      <c r="E1154" s="16" t="s">
        <v>1959</v>
      </c>
      <c r="F1154" s="16" t="s">
        <v>1960</v>
      </c>
      <c r="G1154" s="57">
        <v>5962</v>
      </c>
      <c r="H1154" s="57" t="s">
        <v>1938</v>
      </c>
      <c r="I1154" s="57" t="s">
        <v>1904</v>
      </c>
      <c r="J1154" s="390" t="s">
        <v>58</v>
      </c>
      <c r="K1154" s="306" t="s">
        <v>57</v>
      </c>
      <c r="L1154" s="286">
        <v>1</v>
      </c>
      <c r="M1154" s="184" t="s">
        <v>1949</v>
      </c>
      <c r="N1154" s="582" t="s">
        <v>517</v>
      </c>
      <c r="O1154" s="33"/>
      <c r="P1154" s="35">
        <v>1</v>
      </c>
      <c r="Q1154" s="286">
        <v>0.01</v>
      </c>
      <c r="R1154" s="35"/>
      <c r="S1154" s="153">
        <f t="shared" ref="S1154:S1217" si="36">ROUND(IF(OR(P1154="",R1154=""),0,IF(AND(P1154=0,R1154=0),1,IF(U1154="+",R1154/P1154,P1154/R1154))),2)</f>
        <v>0</v>
      </c>
      <c r="T1154" s="152">
        <f t="shared" ref="T1154:T1217" si="37">IF(AND(S1154&gt;=60%,S1154&lt;100%),S1154*((Q1154*L1154)),IF(S1154=100%,((Q1154*L1154)*S1154)*100%,IF(S1154&gt;100%,((L1154*Q1154)*100%)*100%,0)))*100</f>
        <v>0</v>
      </c>
      <c r="U1154" s="430" t="s">
        <v>34</v>
      </c>
      <c r="V1154" s="44"/>
      <c r="W1154" s="73"/>
    </row>
    <row r="1155" spans="1:23" ht="16.05" customHeight="1" x14ac:dyDescent="0.45">
      <c r="A1155" s="1">
        <v>1154</v>
      </c>
      <c r="B1155" s="57" t="s">
        <v>924</v>
      </c>
      <c r="C1155" s="57" t="s">
        <v>24</v>
      </c>
      <c r="D1155" s="281">
        <v>5214</v>
      </c>
      <c r="E1155" s="16" t="s">
        <v>1959</v>
      </c>
      <c r="F1155" s="16" t="s">
        <v>1960</v>
      </c>
      <c r="G1155" s="57">
        <v>5962</v>
      </c>
      <c r="H1155" s="57" t="s">
        <v>1938</v>
      </c>
      <c r="I1155" s="57" t="s">
        <v>1904</v>
      </c>
      <c r="J1155" s="390" t="s">
        <v>58</v>
      </c>
      <c r="K1155" s="306" t="s">
        <v>57</v>
      </c>
      <c r="L1155" s="286">
        <v>1</v>
      </c>
      <c r="M1155" s="184" t="s">
        <v>518</v>
      </c>
      <c r="N1155" s="582" t="s">
        <v>1950</v>
      </c>
      <c r="O1155" s="33" t="s">
        <v>520</v>
      </c>
      <c r="P1155" s="35">
        <v>1</v>
      </c>
      <c r="Q1155" s="286">
        <v>0.02</v>
      </c>
      <c r="R1155" s="35"/>
      <c r="S1155" s="153">
        <f t="shared" si="36"/>
        <v>0</v>
      </c>
      <c r="T1155" s="152">
        <f t="shared" si="37"/>
        <v>0</v>
      </c>
      <c r="U1155" s="430" t="s">
        <v>34</v>
      </c>
      <c r="V1155" s="44"/>
      <c r="W1155" s="73"/>
    </row>
    <row r="1156" spans="1:23" ht="16.05" customHeight="1" x14ac:dyDescent="0.45">
      <c r="A1156" s="1">
        <v>1155</v>
      </c>
      <c r="B1156" s="57" t="s">
        <v>924</v>
      </c>
      <c r="C1156" s="57" t="s">
        <v>24</v>
      </c>
      <c r="D1156" s="281">
        <v>5214</v>
      </c>
      <c r="E1156" s="16" t="s">
        <v>1959</v>
      </c>
      <c r="F1156" s="16" t="s">
        <v>1960</v>
      </c>
      <c r="G1156" s="57">
        <v>5962</v>
      </c>
      <c r="H1156" s="57" t="s">
        <v>1938</v>
      </c>
      <c r="I1156" s="57" t="s">
        <v>1904</v>
      </c>
      <c r="J1156" s="390" t="s">
        <v>58</v>
      </c>
      <c r="K1156" s="306" t="s">
        <v>57</v>
      </c>
      <c r="L1156" s="286">
        <v>1</v>
      </c>
      <c r="M1156" s="445" t="s">
        <v>621</v>
      </c>
      <c r="N1156" s="544" t="s">
        <v>1951</v>
      </c>
      <c r="O1156" s="145" t="s">
        <v>623</v>
      </c>
      <c r="P1156" s="62">
        <v>0.9</v>
      </c>
      <c r="Q1156" s="286">
        <v>0.08</v>
      </c>
      <c r="R1156" s="62"/>
      <c r="S1156" s="153">
        <f t="shared" si="36"/>
        <v>0</v>
      </c>
      <c r="T1156" s="152">
        <f t="shared" si="37"/>
        <v>0</v>
      </c>
      <c r="U1156" s="430" t="s">
        <v>34</v>
      </c>
      <c r="V1156" s="44"/>
      <c r="W1156" s="73"/>
    </row>
    <row r="1157" spans="1:23" ht="16.05" customHeight="1" x14ac:dyDescent="0.45">
      <c r="A1157" s="1">
        <v>1156</v>
      </c>
      <c r="B1157" s="57" t="s">
        <v>924</v>
      </c>
      <c r="C1157" s="57" t="s">
        <v>24</v>
      </c>
      <c r="D1157" s="281">
        <v>5214</v>
      </c>
      <c r="E1157" s="16" t="s">
        <v>1959</v>
      </c>
      <c r="F1157" s="16" t="s">
        <v>1960</v>
      </c>
      <c r="G1157" s="57">
        <v>5962</v>
      </c>
      <c r="H1157" s="57" t="s">
        <v>1938</v>
      </c>
      <c r="I1157" s="57" t="s">
        <v>1904</v>
      </c>
      <c r="J1157" s="390" t="s">
        <v>58</v>
      </c>
      <c r="K1157" s="306" t="s">
        <v>57</v>
      </c>
      <c r="L1157" s="286">
        <v>1</v>
      </c>
      <c r="M1157" s="445" t="s">
        <v>1952</v>
      </c>
      <c r="N1157" s="544" t="s">
        <v>1953</v>
      </c>
      <c r="O1157" s="583" t="s">
        <v>1731</v>
      </c>
      <c r="P1157" s="62">
        <v>0.05</v>
      </c>
      <c r="Q1157" s="286">
        <v>0.03</v>
      </c>
      <c r="R1157" s="62"/>
      <c r="S1157" s="153">
        <f t="shared" si="36"/>
        <v>0</v>
      </c>
      <c r="T1157" s="152">
        <f t="shared" si="37"/>
        <v>0</v>
      </c>
      <c r="U1157" s="430" t="s">
        <v>83</v>
      </c>
      <c r="V1157" s="44"/>
      <c r="W1157" s="73"/>
    </row>
    <row r="1158" spans="1:23" ht="16.05" customHeight="1" x14ac:dyDescent="0.45">
      <c r="A1158" s="1">
        <v>1157</v>
      </c>
      <c r="B1158" s="57" t="s">
        <v>924</v>
      </c>
      <c r="C1158" s="57" t="s">
        <v>24</v>
      </c>
      <c r="D1158" s="281">
        <v>5214</v>
      </c>
      <c r="E1158" s="16" t="s">
        <v>1959</v>
      </c>
      <c r="F1158" s="16" t="s">
        <v>1960</v>
      </c>
      <c r="G1158" s="57">
        <v>5962</v>
      </c>
      <c r="H1158" s="57" t="s">
        <v>1938</v>
      </c>
      <c r="I1158" s="57" t="s">
        <v>1904</v>
      </c>
      <c r="J1158" s="390" t="s">
        <v>58</v>
      </c>
      <c r="K1158" s="306" t="s">
        <v>57</v>
      </c>
      <c r="L1158" s="286">
        <v>1</v>
      </c>
      <c r="M1158" s="445" t="s">
        <v>1954</v>
      </c>
      <c r="N1158" s="416" t="s">
        <v>1727</v>
      </c>
      <c r="O1158" s="145" t="s">
        <v>1728</v>
      </c>
      <c r="P1158" s="62">
        <v>0.4</v>
      </c>
      <c r="Q1158" s="286">
        <v>0.05</v>
      </c>
      <c r="R1158" s="62"/>
      <c r="S1158" s="153">
        <f t="shared" si="36"/>
        <v>0</v>
      </c>
      <c r="T1158" s="152">
        <f t="shared" si="37"/>
        <v>0</v>
      </c>
      <c r="U1158" s="430" t="s">
        <v>34</v>
      </c>
      <c r="V1158" s="44"/>
      <c r="W1158" s="73"/>
    </row>
    <row r="1159" spans="1:23" ht="16.05" customHeight="1" x14ac:dyDescent="0.45">
      <c r="A1159" s="1">
        <v>1158</v>
      </c>
      <c r="B1159" s="57" t="s">
        <v>924</v>
      </c>
      <c r="C1159" s="57" t="s">
        <v>24</v>
      </c>
      <c r="D1159" s="281">
        <v>5214</v>
      </c>
      <c r="E1159" s="16" t="s">
        <v>1959</v>
      </c>
      <c r="F1159" s="16" t="s">
        <v>1960</v>
      </c>
      <c r="G1159" s="57">
        <v>5962</v>
      </c>
      <c r="H1159" s="57" t="s">
        <v>1938</v>
      </c>
      <c r="I1159" s="57" t="s">
        <v>1904</v>
      </c>
      <c r="J1159" s="390" t="s">
        <v>58</v>
      </c>
      <c r="K1159" s="306" t="s">
        <v>57</v>
      </c>
      <c r="L1159" s="286">
        <v>1</v>
      </c>
      <c r="M1159" s="445" t="s">
        <v>1955</v>
      </c>
      <c r="N1159" s="544" t="s">
        <v>1956</v>
      </c>
      <c r="O1159" s="145" t="s">
        <v>1736</v>
      </c>
      <c r="P1159" s="62">
        <v>0.08</v>
      </c>
      <c r="Q1159" s="286">
        <v>0.04</v>
      </c>
      <c r="R1159" s="62"/>
      <c r="S1159" s="153">
        <f t="shared" si="36"/>
        <v>0</v>
      </c>
      <c r="T1159" s="152">
        <f t="shared" si="37"/>
        <v>0</v>
      </c>
      <c r="U1159" s="430" t="s">
        <v>34</v>
      </c>
      <c r="V1159" s="44"/>
      <c r="W1159" s="73"/>
    </row>
    <row r="1160" spans="1:23" ht="16.05" customHeight="1" x14ac:dyDescent="0.45">
      <c r="A1160" s="1">
        <v>1159</v>
      </c>
      <c r="B1160" s="584" t="s">
        <v>924</v>
      </c>
      <c r="C1160" s="584" t="s">
        <v>24</v>
      </c>
      <c r="D1160" s="585">
        <v>3203</v>
      </c>
      <c r="E1160" s="586" t="s">
        <v>1961</v>
      </c>
      <c r="F1160" s="587" t="s">
        <v>401</v>
      </c>
      <c r="G1160" s="584">
        <v>6592</v>
      </c>
      <c r="H1160" s="584" t="s">
        <v>925</v>
      </c>
      <c r="I1160" s="584" t="s">
        <v>1962</v>
      </c>
      <c r="J1160" s="588" t="s">
        <v>58</v>
      </c>
      <c r="K1160" s="588" t="s">
        <v>57</v>
      </c>
      <c r="L1160" s="589">
        <v>0.5</v>
      </c>
      <c r="M1160" s="91" t="s">
        <v>68</v>
      </c>
      <c r="N1160" s="91" t="s">
        <v>69</v>
      </c>
      <c r="O1160" s="460" t="s">
        <v>70</v>
      </c>
      <c r="P1160" s="590">
        <v>0.95</v>
      </c>
      <c r="Q1160" s="589">
        <v>0.2</v>
      </c>
      <c r="R1160" s="590"/>
      <c r="S1160" s="591">
        <f t="shared" si="36"/>
        <v>0</v>
      </c>
      <c r="T1160" s="592">
        <f t="shared" si="37"/>
        <v>0</v>
      </c>
      <c r="U1160" s="591" t="s">
        <v>34</v>
      </c>
      <c r="V1160" s="593">
        <f>SUM(T1160:T1175)%</f>
        <v>0</v>
      </c>
      <c r="W1160" s="594"/>
    </row>
    <row r="1161" spans="1:23" ht="16.05" customHeight="1" x14ac:dyDescent="0.45">
      <c r="A1161" s="1">
        <v>1160</v>
      </c>
      <c r="B1161" s="595" t="s">
        <v>924</v>
      </c>
      <c r="C1161" s="595" t="s">
        <v>24</v>
      </c>
      <c r="D1161" s="596">
        <v>3203</v>
      </c>
      <c r="E1161" s="597" t="s">
        <v>1961</v>
      </c>
      <c r="F1161" s="598" t="s">
        <v>401</v>
      </c>
      <c r="G1161" s="595">
        <v>6592</v>
      </c>
      <c r="H1161" s="595" t="s">
        <v>925</v>
      </c>
      <c r="I1161" s="595" t="s">
        <v>1962</v>
      </c>
      <c r="J1161" s="599" t="s">
        <v>58</v>
      </c>
      <c r="K1161" s="599" t="s">
        <v>57</v>
      </c>
      <c r="L1161" s="600">
        <v>0.5</v>
      </c>
      <c r="M1161" s="64" t="s">
        <v>71</v>
      </c>
      <c r="N1161" s="287" t="s">
        <v>72</v>
      </c>
      <c r="O1161" s="601" t="s">
        <v>73</v>
      </c>
      <c r="P1161" s="602">
        <v>1</v>
      </c>
      <c r="Q1161" s="600">
        <v>0.1</v>
      </c>
      <c r="R1161" s="602"/>
      <c r="S1161" s="603">
        <f t="shared" si="36"/>
        <v>0</v>
      </c>
      <c r="T1161" s="604">
        <f t="shared" si="37"/>
        <v>0</v>
      </c>
      <c r="U1161" s="603" t="s">
        <v>83</v>
      </c>
      <c r="V1161" s="603"/>
      <c r="W1161" s="605"/>
    </row>
    <row r="1162" spans="1:23" ht="16.05" customHeight="1" x14ac:dyDescent="0.45">
      <c r="A1162" s="1">
        <v>1161</v>
      </c>
      <c r="B1162" s="595" t="s">
        <v>924</v>
      </c>
      <c r="C1162" s="595" t="s">
        <v>24</v>
      </c>
      <c r="D1162" s="596">
        <v>3203</v>
      </c>
      <c r="E1162" s="597" t="s">
        <v>1961</v>
      </c>
      <c r="F1162" s="598" t="s">
        <v>401</v>
      </c>
      <c r="G1162" s="595">
        <v>6592</v>
      </c>
      <c r="H1162" s="595" t="s">
        <v>925</v>
      </c>
      <c r="I1162" s="595" t="s">
        <v>1962</v>
      </c>
      <c r="J1162" s="599" t="s">
        <v>58</v>
      </c>
      <c r="K1162" s="599" t="s">
        <v>57</v>
      </c>
      <c r="L1162" s="600">
        <v>0.5</v>
      </c>
      <c r="M1162" s="64" t="s">
        <v>108</v>
      </c>
      <c r="N1162" s="64" t="s">
        <v>109</v>
      </c>
      <c r="O1162" s="39" t="s">
        <v>1906</v>
      </c>
      <c r="P1162" s="602">
        <v>0.85</v>
      </c>
      <c r="Q1162" s="600">
        <v>0.1</v>
      </c>
      <c r="R1162" s="602"/>
      <c r="S1162" s="603">
        <f t="shared" si="36"/>
        <v>0</v>
      </c>
      <c r="T1162" s="604">
        <f t="shared" si="37"/>
        <v>0</v>
      </c>
      <c r="U1162" s="603" t="s">
        <v>34</v>
      </c>
      <c r="V1162" s="603"/>
      <c r="W1162" s="605"/>
    </row>
    <row r="1163" spans="1:23" ht="16.05" customHeight="1" x14ac:dyDescent="0.45">
      <c r="A1163" s="1">
        <v>1162</v>
      </c>
      <c r="B1163" s="595" t="s">
        <v>924</v>
      </c>
      <c r="C1163" s="595" t="s">
        <v>24</v>
      </c>
      <c r="D1163" s="596">
        <v>3203</v>
      </c>
      <c r="E1163" s="597" t="s">
        <v>1961</v>
      </c>
      <c r="F1163" s="598" t="s">
        <v>401</v>
      </c>
      <c r="G1163" s="595">
        <v>6592</v>
      </c>
      <c r="H1163" s="595" t="s">
        <v>925</v>
      </c>
      <c r="I1163" s="595" t="s">
        <v>1962</v>
      </c>
      <c r="J1163" s="599" t="s">
        <v>58</v>
      </c>
      <c r="K1163" s="599" t="s">
        <v>57</v>
      </c>
      <c r="L1163" s="600">
        <v>0.5</v>
      </c>
      <c r="M1163" s="184" t="s">
        <v>1907</v>
      </c>
      <c r="N1163" s="64" t="s">
        <v>1908</v>
      </c>
      <c r="O1163" s="39" t="s">
        <v>1909</v>
      </c>
      <c r="P1163" s="602">
        <v>0.03</v>
      </c>
      <c r="Q1163" s="600">
        <v>0.1</v>
      </c>
      <c r="R1163" s="602"/>
      <c r="S1163" s="603">
        <f t="shared" si="36"/>
        <v>0</v>
      </c>
      <c r="T1163" s="604">
        <f t="shared" si="37"/>
        <v>0</v>
      </c>
      <c r="U1163" s="603" t="s">
        <v>83</v>
      </c>
      <c r="V1163" s="603"/>
      <c r="W1163" s="605"/>
    </row>
    <row r="1164" spans="1:23" ht="16.05" customHeight="1" x14ac:dyDescent="0.45">
      <c r="A1164" s="1">
        <v>1163</v>
      </c>
      <c r="B1164" s="595" t="s">
        <v>924</v>
      </c>
      <c r="C1164" s="595" t="s">
        <v>24</v>
      </c>
      <c r="D1164" s="596">
        <v>3203</v>
      </c>
      <c r="E1164" s="597" t="s">
        <v>1961</v>
      </c>
      <c r="F1164" s="598" t="s">
        <v>401</v>
      </c>
      <c r="G1164" s="595">
        <v>6592</v>
      </c>
      <c r="H1164" s="595" t="s">
        <v>925</v>
      </c>
      <c r="I1164" s="595" t="s">
        <v>1962</v>
      </c>
      <c r="J1164" s="599" t="s">
        <v>58</v>
      </c>
      <c r="K1164" s="599" t="s">
        <v>57</v>
      </c>
      <c r="L1164" s="600">
        <v>0.5</v>
      </c>
      <c r="M1164" s="184" t="s">
        <v>74</v>
      </c>
      <c r="N1164" s="64" t="s">
        <v>75</v>
      </c>
      <c r="O1164" s="39" t="s">
        <v>76</v>
      </c>
      <c r="P1164" s="606">
        <v>0.9</v>
      </c>
      <c r="Q1164" s="600">
        <v>0.05</v>
      </c>
      <c r="R1164" s="606"/>
      <c r="S1164" s="603">
        <f t="shared" si="36"/>
        <v>0</v>
      </c>
      <c r="T1164" s="604">
        <f t="shared" si="37"/>
        <v>0</v>
      </c>
      <c r="U1164" s="603" t="s">
        <v>34</v>
      </c>
      <c r="V1164" s="603"/>
      <c r="W1164" s="605"/>
    </row>
    <row r="1165" spans="1:23" ht="16.05" customHeight="1" x14ac:dyDescent="0.45">
      <c r="A1165" s="1">
        <v>1164</v>
      </c>
      <c r="B1165" s="595" t="s">
        <v>924</v>
      </c>
      <c r="C1165" s="595" t="s">
        <v>24</v>
      </c>
      <c r="D1165" s="596">
        <v>3203</v>
      </c>
      <c r="E1165" s="597" t="s">
        <v>1961</v>
      </c>
      <c r="F1165" s="598" t="s">
        <v>401</v>
      </c>
      <c r="G1165" s="595">
        <v>6592</v>
      </c>
      <c r="H1165" s="595" t="s">
        <v>925</v>
      </c>
      <c r="I1165" s="595" t="s">
        <v>1962</v>
      </c>
      <c r="J1165" s="599" t="s">
        <v>58</v>
      </c>
      <c r="K1165" s="599" t="s">
        <v>57</v>
      </c>
      <c r="L1165" s="600">
        <v>0.5</v>
      </c>
      <c r="M1165" s="184" t="s">
        <v>1910</v>
      </c>
      <c r="N1165" s="64" t="s">
        <v>1911</v>
      </c>
      <c r="O1165" s="39" t="s">
        <v>1912</v>
      </c>
      <c r="P1165" s="602">
        <v>0</v>
      </c>
      <c r="Q1165" s="600">
        <v>0.05</v>
      </c>
      <c r="R1165" s="602"/>
      <c r="S1165" s="607">
        <f t="shared" si="36"/>
        <v>0</v>
      </c>
      <c r="T1165" s="608">
        <f t="shared" si="37"/>
        <v>0</v>
      </c>
      <c r="U1165" s="607" t="s">
        <v>83</v>
      </c>
      <c r="V1165" s="607"/>
      <c r="W1165" s="609"/>
    </row>
    <row r="1166" spans="1:23" ht="16.05" customHeight="1" x14ac:dyDescent="0.45">
      <c r="A1166" s="1">
        <v>1165</v>
      </c>
      <c r="B1166" s="595" t="s">
        <v>924</v>
      </c>
      <c r="C1166" s="595" t="s">
        <v>24</v>
      </c>
      <c r="D1166" s="596">
        <v>3203</v>
      </c>
      <c r="E1166" s="597" t="s">
        <v>1961</v>
      </c>
      <c r="F1166" s="598" t="s">
        <v>401</v>
      </c>
      <c r="G1166" s="595">
        <v>6592</v>
      </c>
      <c r="H1166" s="595" t="s">
        <v>925</v>
      </c>
      <c r="I1166" s="595" t="s">
        <v>1962</v>
      </c>
      <c r="J1166" s="599" t="s">
        <v>58</v>
      </c>
      <c r="K1166" s="599" t="s">
        <v>57</v>
      </c>
      <c r="L1166" s="600">
        <v>0.5</v>
      </c>
      <c r="M1166" s="64" t="s">
        <v>1913</v>
      </c>
      <c r="N1166" s="64" t="s">
        <v>1914</v>
      </c>
      <c r="O1166" s="39" t="s">
        <v>1915</v>
      </c>
      <c r="P1166" s="602">
        <v>1</v>
      </c>
      <c r="Q1166" s="600">
        <v>0.1</v>
      </c>
      <c r="R1166" s="602"/>
      <c r="S1166" s="603">
        <f t="shared" si="36"/>
        <v>0</v>
      </c>
      <c r="T1166" s="604">
        <f t="shared" si="37"/>
        <v>0</v>
      </c>
      <c r="U1166" s="603" t="s">
        <v>34</v>
      </c>
      <c r="V1166" s="603"/>
      <c r="W1166" s="605"/>
    </row>
    <row r="1167" spans="1:23" ht="16.05" customHeight="1" x14ac:dyDescent="0.45">
      <c r="A1167" s="1">
        <v>1166</v>
      </c>
      <c r="B1167" s="595" t="s">
        <v>924</v>
      </c>
      <c r="C1167" s="595" t="s">
        <v>24</v>
      </c>
      <c r="D1167" s="596">
        <v>3203</v>
      </c>
      <c r="E1167" s="597" t="s">
        <v>1961</v>
      </c>
      <c r="F1167" s="598" t="s">
        <v>401</v>
      </c>
      <c r="G1167" s="595">
        <v>6592</v>
      </c>
      <c r="H1167" s="595" t="s">
        <v>925</v>
      </c>
      <c r="I1167" s="595" t="s">
        <v>1962</v>
      </c>
      <c r="J1167" s="599" t="s">
        <v>58</v>
      </c>
      <c r="K1167" s="599" t="s">
        <v>57</v>
      </c>
      <c r="L1167" s="600">
        <v>0.5</v>
      </c>
      <c r="M1167" s="64" t="s">
        <v>1916</v>
      </c>
      <c r="N1167" s="64" t="s">
        <v>1917</v>
      </c>
      <c r="O1167" s="39" t="s">
        <v>1918</v>
      </c>
      <c r="P1167" s="602">
        <v>1</v>
      </c>
      <c r="Q1167" s="600">
        <v>0.1</v>
      </c>
      <c r="R1167" s="602"/>
      <c r="S1167" s="603">
        <f t="shared" si="36"/>
        <v>0</v>
      </c>
      <c r="T1167" s="604">
        <f t="shared" si="37"/>
        <v>0</v>
      </c>
      <c r="U1167" s="603" t="s">
        <v>34</v>
      </c>
      <c r="V1167" s="603"/>
      <c r="W1167" s="605"/>
    </row>
    <row r="1168" spans="1:23" ht="16.05" customHeight="1" x14ac:dyDescent="0.45">
      <c r="A1168" s="1">
        <v>1167</v>
      </c>
      <c r="B1168" s="595" t="s">
        <v>924</v>
      </c>
      <c r="C1168" s="595" t="s">
        <v>24</v>
      </c>
      <c r="D1168" s="596">
        <v>3203</v>
      </c>
      <c r="E1168" s="597" t="s">
        <v>1961</v>
      </c>
      <c r="F1168" s="598" t="s">
        <v>401</v>
      </c>
      <c r="G1168" s="595">
        <v>6592</v>
      </c>
      <c r="H1168" s="595" t="s">
        <v>925</v>
      </c>
      <c r="I1168" s="595" t="s">
        <v>1962</v>
      </c>
      <c r="J1168" s="599" t="s">
        <v>58</v>
      </c>
      <c r="K1168" s="599" t="s">
        <v>57</v>
      </c>
      <c r="L1168" s="600">
        <v>0.5</v>
      </c>
      <c r="M1168" s="184" t="s">
        <v>102</v>
      </c>
      <c r="N1168" s="64" t="s">
        <v>1919</v>
      </c>
      <c r="O1168" s="39" t="s">
        <v>1920</v>
      </c>
      <c r="P1168" s="602">
        <v>1</v>
      </c>
      <c r="Q1168" s="600">
        <v>0.1</v>
      </c>
      <c r="R1168" s="602"/>
      <c r="S1168" s="603">
        <f t="shared" si="36"/>
        <v>0</v>
      </c>
      <c r="T1168" s="604">
        <f t="shared" si="37"/>
        <v>0</v>
      </c>
      <c r="U1168" s="603" t="s">
        <v>34</v>
      </c>
      <c r="V1168" s="603"/>
      <c r="W1168" s="605"/>
    </row>
    <row r="1169" spans="1:23" ht="16.05" customHeight="1" x14ac:dyDescent="0.45">
      <c r="A1169" s="1">
        <v>1168</v>
      </c>
      <c r="B1169" s="595" t="s">
        <v>924</v>
      </c>
      <c r="C1169" s="595" t="s">
        <v>24</v>
      </c>
      <c r="D1169" s="596">
        <v>3203</v>
      </c>
      <c r="E1169" s="597" t="s">
        <v>1961</v>
      </c>
      <c r="F1169" s="598" t="s">
        <v>401</v>
      </c>
      <c r="G1169" s="595">
        <v>6592</v>
      </c>
      <c r="H1169" s="595" t="s">
        <v>925</v>
      </c>
      <c r="I1169" s="595" t="s">
        <v>1962</v>
      </c>
      <c r="J1169" s="599" t="s">
        <v>58</v>
      </c>
      <c r="K1169" s="599" t="s">
        <v>57</v>
      </c>
      <c r="L1169" s="600">
        <v>0.5</v>
      </c>
      <c r="M1169" s="184" t="s">
        <v>1924</v>
      </c>
      <c r="N1169" s="287" t="s">
        <v>1925</v>
      </c>
      <c r="O1169" s="39" t="s">
        <v>107</v>
      </c>
      <c r="P1169" s="602">
        <v>1</v>
      </c>
      <c r="Q1169" s="600">
        <v>0.1</v>
      </c>
      <c r="R1169" s="602"/>
      <c r="S1169" s="603">
        <f t="shared" si="36"/>
        <v>0</v>
      </c>
      <c r="T1169" s="604">
        <f t="shared" si="37"/>
        <v>0</v>
      </c>
      <c r="U1169" s="603" t="s">
        <v>34</v>
      </c>
      <c r="V1169" s="603"/>
      <c r="W1169" s="605"/>
    </row>
    <row r="1170" spans="1:23" ht="16.05" customHeight="1" x14ac:dyDescent="0.45">
      <c r="A1170" s="1">
        <v>1169</v>
      </c>
      <c r="B1170" s="595" t="s">
        <v>924</v>
      </c>
      <c r="C1170" s="595" t="s">
        <v>24</v>
      </c>
      <c r="D1170" s="596">
        <v>3203</v>
      </c>
      <c r="E1170" s="597" t="s">
        <v>1961</v>
      </c>
      <c r="F1170" s="598" t="s">
        <v>401</v>
      </c>
      <c r="G1170" s="595">
        <v>6592</v>
      </c>
      <c r="H1170" s="595" t="s">
        <v>925</v>
      </c>
      <c r="I1170" s="595" t="s">
        <v>1962</v>
      </c>
      <c r="J1170" s="610" t="s">
        <v>111</v>
      </c>
      <c r="K1170" s="610" t="s">
        <v>110</v>
      </c>
      <c r="L1170" s="611">
        <v>0.5</v>
      </c>
      <c r="M1170" s="612"/>
      <c r="N1170" s="612" t="s">
        <v>1963</v>
      </c>
      <c r="O1170" s="613"/>
      <c r="P1170" s="614">
        <v>1</v>
      </c>
      <c r="Q1170" s="611">
        <v>0.15</v>
      </c>
      <c r="R1170" s="614"/>
      <c r="S1170" s="605">
        <f t="shared" si="36"/>
        <v>0</v>
      </c>
      <c r="T1170" s="615">
        <f t="shared" si="37"/>
        <v>0</v>
      </c>
      <c r="U1170" s="605" t="s">
        <v>34</v>
      </c>
      <c r="V1170" s="605"/>
      <c r="W1170" s="605"/>
    </row>
    <row r="1171" spans="1:23" ht="16.05" customHeight="1" x14ac:dyDescent="0.45">
      <c r="A1171" s="1">
        <v>1170</v>
      </c>
      <c r="B1171" s="595" t="s">
        <v>924</v>
      </c>
      <c r="C1171" s="595" t="s">
        <v>24</v>
      </c>
      <c r="D1171" s="596">
        <v>3203</v>
      </c>
      <c r="E1171" s="597" t="s">
        <v>1961</v>
      </c>
      <c r="F1171" s="598" t="s">
        <v>401</v>
      </c>
      <c r="G1171" s="595">
        <v>6592</v>
      </c>
      <c r="H1171" s="595" t="s">
        <v>925</v>
      </c>
      <c r="I1171" s="595" t="s">
        <v>1962</v>
      </c>
      <c r="J1171" s="610" t="s">
        <v>111</v>
      </c>
      <c r="K1171" s="610" t="s">
        <v>110</v>
      </c>
      <c r="L1171" s="611">
        <v>0.5</v>
      </c>
      <c r="M1171" s="612"/>
      <c r="N1171" s="612" t="s">
        <v>1964</v>
      </c>
      <c r="O1171" s="613"/>
      <c r="P1171" s="614">
        <v>1</v>
      </c>
      <c r="Q1171" s="611">
        <v>0.25</v>
      </c>
      <c r="R1171" s="614"/>
      <c r="S1171" s="605">
        <f t="shared" si="36"/>
        <v>0</v>
      </c>
      <c r="T1171" s="615">
        <f t="shared" si="37"/>
        <v>0</v>
      </c>
      <c r="U1171" s="605" t="s">
        <v>34</v>
      </c>
      <c r="V1171" s="605"/>
      <c r="W1171" s="605"/>
    </row>
    <row r="1172" spans="1:23" ht="16.05" customHeight="1" x14ac:dyDescent="0.45">
      <c r="A1172" s="1">
        <v>1171</v>
      </c>
      <c r="B1172" s="595" t="s">
        <v>924</v>
      </c>
      <c r="C1172" s="595" t="s">
        <v>24</v>
      </c>
      <c r="D1172" s="596">
        <v>3203</v>
      </c>
      <c r="E1172" s="597" t="s">
        <v>1961</v>
      </c>
      <c r="F1172" s="598" t="s">
        <v>401</v>
      </c>
      <c r="G1172" s="595">
        <v>6592</v>
      </c>
      <c r="H1172" s="595" t="s">
        <v>925</v>
      </c>
      <c r="I1172" s="595" t="s">
        <v>1962</v>
      </c>
      <c r="J1172" s="610" t="s">
        <v>111</v>
      </c>
      <c r="K1172" s="610" t="s">
        <v>110</v>
      </c>
      <c r="L1172" s="611">
        <v>0.5</v>
      </c>
      <c r="M1172" s="612"/>
      <c r="N1172" s="612" t="s">
        <v>1965</v>
      </c>
      <c r="O1172" s="613"/>
      <c r="P1172" s="614">
        <v>1</v>
      </c>
      <c r="Q1172" s="611">
        <v>0.15</v>
      </c>
      <c r="R1172" s="614"/>
      <c r="S1172" s="605">
        <f t="shared" si="36"/>
        <v>0</v>
      </c>
      <c r="T1172" s="615">
        <f t="shared" si="37"/>
        <v>0</v>
      </c>
      <c r="U1172" s="605" t="s">
        <v>34</v>
      </c>
      <c r="V1172" s="605"/>
      <c r="W1172" s="605"/>
    </row>
    <row r="1173" spans="1:23" ht="16.05" customHeight="1" x14ac:dyDescent="0.45">
      <c r="A1173" s="1">
        <v>1172</v>
      </c>
      <c r="B1173" s="595" t="s">
        <v>924</v>
      </c>
      <c r="C1173" s="595" t="s">
        <v>24</v>
      </c>
      <c r="D1173" s="596">
        <v>3203</v>
      </c>
      <c r="E1173" s="595" t="s">
        <v>1961</v>
      </c>
      <c r="F1173" s="598" t="s">
        <v>401</v>
      </c>
      <c r="G1173" s="595">
        <v>6592</v>
      </c>
      <c r="H1173" s="595" t="s">
        <v>925</v>
      </c>
      <c r="I1173" s="595" t="s">
        <v>1962</v>
      </c>
      <c r="J1173" s="610" t="s">
        <v>111</v>
      </c>
      <c r="K1173" s="610" t="s">
        <v>110</v>
      </c>
      <c r="L1173" s="611">
        <v>0.5</v>
      </c>
      <c r="M1173" s="612"/>
      <c r="N1173" s="612" t="s">
        <v>1966</v>
      </c>
      <c r="O1173" s="613"/>
      <c r="P1173" s="614">
        <v>1</v>
      </c>
      <c r="Q1173" s="611">
        <v>0.15</v>
      </c>
      <c r="R1173" s="614"/>
      <c r="S1173" s="605">
        <f t="shared" si="36"/>
        <v>0</v>
      </c>
      <c r="T1173" s="615">
        <f t="shared" si="37"/>
        <v>0</v>
      </c>
      <c r="U1173" s="605" t="s">
        <v>34</v>
      </c>
      <c r="V1173" s="605"/>
      <c r="W1173" s="605"/>
    </row>
    <row r="1174" spans="1:23" ht="16.05" customHeight="1" x14ac:dyDescent="0.45">
      <c r="A1174" s="1">
        <v>1173</v>
      </c>
      <c r="B1174" s="595" t="s">
        <v>924</v>
      </c>
      <c r="C1174" s="595" t="s">
        <v>24</v>
      </c>
      <c r="D1174" s="596">
        <v>3203</v>
      </c>
      <c r="E1174" s="595" t="s">
        <v>1961</v>
      </c>
      <c r="F1174" s="598" t="s">
        <v>401</v>
      </c>
      <c r="G1174" s="595">
        <v>6592</v>
      </c>
      <c r="H1174" s="595" t="s">
        <v>925</v>
      </c>
      <c r="I1174" s="595" t="s">
        <v>1962</v>
      </c>
      <c r="J1174" s="610" t="s">
        <v>111</v>
      </c>
      <c r="K1174" s="610" t="s">
        <v>110</v>
      </c>
      <c r="L1174" s="611">
        <v>0.5</v>
      </c>
      <c r="M1174" s="612"/>
      <c r="N1174" s="612" t="s">
        <v>1967</v>
      </c>
      <c r="O1174" s="613"/>
      <c r="P1174" s="614">
        <v>1</v>
      </c>
      <c r="Q1174" s="611">
        <v>0.15</v>
      </c>
      <c r="R1174" s="614"/>
      <c r="S1174" s="605">
        <f t="shared" si="36"/>
        <v>0</v>
      </c>
      <c r="T1174" s="615">
        <f t="shared" si="37"/>
        <v>0</v>
      </c>
      <c r="U1174" s="605" t="s">
        <v>34</v>
      </c>
      <c r="V1174" s="605"/>
      <c r="W1174" s="605"/>
    </row>
    <row r="1175" spans="1:23" ht="16.05" customHeight="1" x14ac:dyDescent="0.45">
      <c r="A1175" s="1">
        <v>1174</v>
      </c>
      <c r="B1175" s="595" t="s">
        <v>924</v>
      </c>
      <c r="C1175" s="595" t="s">
        <v>24</v>
      </c>
      <c r="D1175" s="596">
        <v>3203</v>
      </c>
      <c r="E1175" s="595" t="s">
        <v>1961</v>
      </c>
      <c r="F1175" s="598" t="s">
        <v>401</v>
      </c>
      <c r="G1175" s="595">
        <v>6592</v>
      </c>
      <c r="H1175" s="595" t="s">
        <v>925</v>
      </c>
      <c r="I1175" s="595" t="s">
        <v>1962</v>
      </c>
      <c r="J1175" s="610" t="s">
        <v>111</v>
      </c>
      <c r="K1175" s="610" t="s">
        <v>110</v>
      </c>
      <c r="L1175" s="611">
        <v>0.5</v>
      </c>
      <c r="M1175" s="612"/>
      <c r="N1175" s="612" t="s">
        <v>1968</v>
      </c>
      <c r="O1175" s="613"/>
      <c r="P1175" s="614">
        <v>1</v>
      </c>
      <c r="Q1175" s="611">
        <v>0.15</v>
      </c>
      <c r="R1175" s="614"/>
      <c r="S1175" s="605">
        <f t="shared" si="36"/>
        <v>0</v>
      </c>
      <c r="T1175" s="615">
        <f t="shared" si="37"/>
        <v>0</v>
      </c>
      <c r="U1175" s="605" t="s">
        <v>34</v>
      </c>
      <c r="V1175" s="616"/>
      <c r="W1175" s="616"/>
    </row>
    <row r="1176" spans="1:23" ht="16.05" customHeight="1" x14ac:dyDescent="0.45">
      <c r="A1176" s="1">
        <v>1175</v>
      </c>
      <c r="B1176" s="584" t="s">
        <v>924</v>
      </c>
      <c r="C1176" s="584" t="s">
        <v>24</v>
      </c>
      <c r="D1176" s="585">
        <v>3081</v>
      </c>
      <c r="E1176" s="584" t="s">
        <v>1969</v>
      </c>
      <c r="F1176" s="584" t="s">
        <v>1958</v>
      </c>
      <c r="G1176" s="588">
        <v>3203</v>
      </c>
      <c r="H1176" s="584" t="s">
        <v>1961</v>
      </c>
      <c r="I1176" s="584" t="s">
        <v>1962</v>
      </c>
      <c r="J1176" s="588" t="s">
        <v>58</v>
      </c>
      <c r="K1176" s="588" t="s">
        <v>57</v>
      </c>
      <c r="L1176" s="589">
        <v>0.6</v>
      </c>
      <c r="M1176" s="617" t="s">
        <v>1970</v>
      </c>
      <c r="N1176" s="617" t="s">
        <v>451</v>
      </c>
      <c r="O1176" s="618" t="s">
        <v>452</v>
      </c>
      <c r="P1176" s="619">
        <v>0.75</v>
      </c>
      <c r="Q1176" s="589">
        <v>0.2</v>
      </c>
      <c r="R1176" s="619"/>
      <c r="S1176" s="594">
        <f t="shared" si="36"/>
        <v>0</v>
      </c>
      <c r="T1176" s="620">
        <f t="shared" si="37"/>
        <v>0</v>
      </c>
      <c r="U1176" s="594" t="s">
        <v>34</v>
      </c>
      <c r="V1176" s="593">
        <f>SUM(T1176:T1188)%</f>
        <v>0</v>
      </c>
      <c r="W1176" s="594"/>
    </row>
    <row r="1177" spans="1:23" ht="16.05" customHeight="1" x14ac:dyDescent="0.45">
      <c r="A1177" s="1">
        <v>1176</v>
      </c>
      <c r="B1177" s="595" t="s">
        <v>924</v>
      </c>
      <c r="C1177" s="595" t="s">
        <v>24</v>
      </c>
      <c r="D1177" s="596">
        <v>3081</v>
      </c>
      <c r="E1177" s="595" t="s">
        <v>1969</v>
      </c>
      <c r="F1177" s="595" t="s">
        <v>1958</v>
      </c>
      <c r="G1177" s="621">
        <v>3203</v>
      </c>
      <c r="H1177" s="595" t="s">
        <v>1961</v>
      </c>
      <c r="I1177" s="595" t="s">
        <v>1962</v>
      </c>
      <c r="J1177" s="599" t="s">
        <v>58</v>
      </c>
      <c r="K1177" s="621" t="s">
        <v>57</v>
      </c>
      <c r="L1177" s="600">
        <v>0.6</v>
      </c>
      <c r="M1177" s="622" t="s">
        <v>455</v>
      </c>
      <c r="N1177" s="622" t="s">
        <v>445</v>
      </c>
      <c r="O1177" s="623" t="s">
        <v>456</v>
      </c>
      <c r="P1177" s="624">
        <v>1</v>
      </c>
      <c r="Q1177" s="600">
        <v>0.1</v>
      </c>
      <c r="R1177" s="624"/>
      <c r="S1177" s="607">
        <f t="shared" si="36"/>
        <v>0</v>
      </c>
      <c r="T1177" s="608">
        <f t="shared" si="37"/>
        <v>0</v>
      </c>
      <c r="U1177" s="607" t="s">
        <v>34</v>
      </c>
      <c r="V1177" s="607"/>
      <c r="W1177" s="609"/>
    </row>
    <row r="1178" spans="1:23" ht="16.05" customHeight="1" x14ac:dyDescent="0.45">
      <c r="A1178" s="1">
        <v>1177</v>
      </c>
      <c r="B1178" s="595" t="s">
        <v>924</v>
      </c>
      <c r="C1178" s="595" t="s">
        <v>24</v>
      </c>
      <c r="D1178" s="596">
        <v>3081</v>
      </c>
      <c r="E1178" s="595" t="s">
        <v>1969</v>
      </c>
      <c r="F1178" s="595" t="s">
        <v>1958</v>
      </c>
      <c r="G1178" s="595">
        <v>3203</v>
      </c>
      <c r="H1178" s="595" t="s">
        <v>1961</v>
      </c>
      <c r="I1178" s="595" t="s">
        <v>1962</v>
      </c>
      <c r="J1178" s="599" t="s">
        <v>58</v>
      </c>
      <c r="K1178" s="621" t="s">
        <v>57</v>
      </c>
      <c r="L1178" s="600">
        <v>0.6</v>
      </c>
      <c r="M1178" s="622" t="s">
        <v>1971</v>
      </c>
      <c r="N1178" s="622" t="s">
        <v>1972</v>
      </c>
      <c r="O1178" s="623" t="s">
        <v>458</v>
      </c>
      <c r="P1178" s="624">
        <v>0.88</v>
      </c>
      <c r="Q1178" s="600">
        <v>0.15</v>
      </c>
      <c r="R1178" s="624"/>
      <c r="S1178" s="607">
        <f t="shared" si="36"/>
        <v>0</v>
      </c>
      <c r="T1178" s="608">
        <f t="shared" si="37"/>
        <v>0</v>
      </c>
      <c r="U1178" s="607" t="s">
        <v>34</v>
      </c>
      <c r="V1178" s="607"/>
      <c r="W1178" s="609"/>
    </row>
    <row r="1179" spans="1:23" ht="16.05" customHeight="1" x14ac:dyDescent="0.45">
      <c r="A1179" s="1">
        <v>1178</v>
      </c>
      <c r="B1179" s="595" t="s">
        <v>924</v>
      </c>
      <c r="C1179" s="595" t="s">
        <v>24</v>
      </c>
      <c r="D1179" s="596">
        <v>3081</v>
      </c>
      <c r="E1179" s="595" t="s">
        <v>1969</v>
      </c>
      <c r="F1179" s="595" t="s">
        <v>1958</v>
      </c>
      <c r="G1179" s="595">
        <v>3203</v>
      </c>
      <c r="H1179" s="595" t="s">
        <v>1961</v>
      </c>
      <c r="I1179" s="595" t="s">
        <v>1962</v>
      </c>
      <c r="J1179" s="599" t="s">
        <v>58</v>
      </c>
      <c r="K1179" s="621" t="s">
        <v>57</v>
      </c>
      <c r="L1179" s="600">
        <v>0.6</v>
      </c>
      <c r="M1179" s="625" t="s">
        <v>80</v>
      </c>
      <c r="N1179" s="626" t="s">
        <v>81</v>
      </c>
      <c r="O1179" s="625" t="s">
        <v>82</v>
      </c>
      <c r="P1179" s="627">
        <v>0.01</v>
      </c>
      <c r="Q1179" s="600">
        <v>0.15</v>
      </c>
      <c r="R1179" s="627"/>
      <c r="S1179" s="607">
        <f t="shared" si="36"/>
        <v>0</v>
      </c>
      <c r="T1179" s="608">
        <f t="shared" si="37"/>
        <v>0</v>
      </c>
      <c r="U1179" s="607" t="s">
        <v>83</v>
      </c>
      <c r="V1179" s="607"/>
      <c r="W1179" s="609"/>
    </row>
    <row r="1180" spans="1:23" ht="16.05" customHeight="1" x14ac:dyDescent="0.45">
      <c r="A1180" s="1">
        <v>1179</v>
      </c>
      <c r="B1180" s="595" t="s">
        <v>924</v>
      </c>
      <c r="C1180" s="595" t="s">
        <v>24</v>
      </c>
      <c r="D1180" s="596">
        <v>3081</v>
      </c>
      <c r="E1180" s="595" t="s">
        <v>1969</v>
      </c>
      <c r="F1180" s="595" t="s">
        <v>1958</v>
      </c>
      <c r="G1180" s="595">
        <v>3203</v>
      </c>
      <c r="H1180" s="595" t="s">
        <v>1961</v>
      </c>
      <c r="I1180" s="595" t="s">
        <v>1962</v>
      </c>
      <c r="J1180" s="599" t="s">
        <v>58</v>
      </c>
      <c r="K1180" s="621" t="s">
        <v>57</v>
      </c>
      <c r="L1180" s="600">
        <v>0.6</v>
      </c>
      <c r="M1180" s="622" t="s">
        <v>1732</v>
      </c>
      <c r="N1180" s="622" t="s">
        <v>1733</v>
      </c>
      <c r="O1180" s="623" t="s">
        <v>461</v>
      </c>
      <c r="P1180" s="624">
        <v>1</v>
      </c>
      <c r="Q1180" s="600">
        <v>0.1</v>
      </c>
      <c r="R1180" s="624"/>
      <c r="S1180" s="607">
        <f t="shared" si="36"/>
        <v>0</v>
      </c>
      <c r="T1180" s="608">
        <f t="shared" si="37"/>
        <v>0</v>
      </c>
      <c r="U1180" s="607" t="s">
        <v>34</v>
      </c>
      <c r="V1180" s="607"/>
      <c r="W1180" s="609"/>
    </row>
    <row r="1181" spans="1:23" ht="16.05" customHeight="1" x14ac:dyDescent="0.45">
      <c r="A1181" s="1">
        <v>1180</v>
      </c>
      <c r="B1181" s="595" t="s">
        <v>924</v>
      </c>
      <c r="C1181" s="595" t="s">
        <v>24</v>
      </c>
      <c r="D1181" s="596">
        <v>3081</v>
      </c>
      <c r="E1181" s="595" t="s">
        <v>1969</v>
      </c>
      <c r="F1181" s="595" t="s">
        <v>1958</v>
      </c>
      <c r="G1181" s="595">
        <v>3203</v>
      </c>
      <c r="H1181" s="595" t="s">
        <v>1961</v>
      </c>
      <c r="I1181" s="595" t="s">
        <v>1962</v>
      </c>
      <c r="J1181" s="599" t="s">
        <v>58</v>
      </c>
      <c r="K1181" s="621" t="s">
        <v>57</v>
      </c>
      <c r="L1181" s="600">
        <v>0.6</v>
      </c>
      <c r="M1181" s="622" t="s">
        <v>1973</v>
      </c>
      <c r="N1181" s="622" t="s">
        <v>414</v>
      </c>
      <c r="O1181" s="623" t="s">
        <v>453</v>
      </c>
      <c r="P1181" s="628">
        <v>0.99199999999999999</v>
      </c>
      <c r="Q1181" s="600">
        <v>0.15</v>
      </c>
      <c r="R1181" s="628"/>
      <c r="S1181" s="607">
        <f t="shared" si="36"/>
        <v>0</v>
      </c>
      <c r="T1181" s="608">
        <f t="shared" si="37"/>
        <v>0</v>
      </c>
      <c r="U1181" s="607" t="s">
        <v>34</v>
      </c>
      <c r="V1181" s="607"/>
      <c r="W1181" s="609"/>
    </row>
    <row r="1182" spans="1:23" ht="16.05" customHeight="1" x14ac:dyDescent="0.45">
      <c r="A1182" s="1">
        <v>1181</v>
      </c>
      <c r="B1182" s="595" t="s">
        <v>924</v>
      </c>
      <c r="C1182" s="595" t="s">
        <v>24</v>
      </c>
      <c r="D1182" s="596">
        <v>3081</v>
      </c>
      <c r="E1182" s="595" t="s">
        <v>1969</v>
      </c>
      <c r="F1182" s="595" t="s">
        <v>1958</v>
      </c>
      <c r="G1182" s="595">
        <v>3203</v>
      </c>
      <c r="H1182" s="595" t="s">
        <v>1961</v>
      </c>
      <c r="I1182" s="595" t="s">
        <v>1962</v>
      </c>
      <c r="J1182" s="599" t="s">
        <v>58</v>
      </c>
      <c r="K1182" s="621" t="s">
        <v>57</v>
      </c>
      <c r="L1182" s="600">
        <v>0.6</v>
      </c>
      <c r="M1182" s="622" t="s">
        <v>442</v>
      </c>
      <c r="N1182" s="622" t="s">
        <v>443</v>
      </c>
      <c r="O1182" s="623" t="s">
        <v>1947</v>
      </c>
      <c r="P1182" s="624">
        <v>1</v>
      </c>
      <c r="Q1182" s="600">
        <v>0.15</v>
      </c>
      <c r="R1182" s="624"/>
      <c r="S1182" s="607">
        <f t="shared" si="36"/>
        <v>0</v>
      </c>
      <c r="T1182" s="608">
        <f t="shared" si="37"/>
        <v>0</v>
      </c>
      <c r="U1182" s="607" t="s">
        <v>34</v>
      </c>
      <c r="V1182" s="607"/>
      <c r="W1182" s="609"/>
    </row>
    <row r="1183" spans="1:23" ht="16.05" customHeight="1" x14ac:dyDescent="0.45">
      <c r="A1183" s="1">
        <v>1182</v>
      </c>
      <c r="B1183" s="595" t="s">
        <v>924</v>
      </c>
      <c r="C1183" s="595" t="s">
        <v>24</v>
      </c>
      <c r="D1183" s="596">
        <v>3081</v>
      </c>
      <c r="E1183" s="595" t="s">
        <v>1969</v>
      </c>
      <c r="F1183" s="595" t="s">
        <v>1958</v>
      </c>
      <c r="G1183" s="595">
        <v>3203</v>
      </c>
      <c r="H1183" s="595" t="s">
        <v>1961</v>
      </c>
      <c r="I1183" s="595" t="s">
        <v>1962</v>
      </c>
      <c r="J1183" s="610" t="s">
        <v>111</v>
      </c>
      <c r="K1183" s="610" t="s">
        <v>110</v>
      </c>
      <c r="L1183" s="611">
        <v>0.4</v>
      </c>
      <c r="M1183" s="612" t="s">
        <v>1926</v>
      </c>
      <c r="N1183" s="612" t="s">
        <v>1927</v>
      </c>
      <c r="O1183" s="613" t="s">
        <v>467</v>
      </c>
      <c r="P1183" s="614">
        <v>1</v>
      </c>
      <c r="Q1183" s="611">
        <v>0.2</v>
      </c>
      <c r="R1183" s="614"/>
      <c r="S1183" s="609">
        <f t="shared" si="36"/>
        <v>0</v>
      </c>
      <c r="T1183" s="629">
        <f t="shared" si="37"/>
        <v>0</v>
      </c>
      <c r="U1183" s="609" t="s">
        <v>34</v>
      </c>
      <c r="V1183" s="609"/>
      <c r="W1183" s="609"/>
    </row>
    <row r="1184" spans="1:23" ht="16.05" customHeight="1" x14ac:dyDescent="0.45">
      <c r="A1184" s="1">
        <v>1183</v>
      </c>
      <c r="B1184" s="595" t="s">
        <v>924</v>
      </c>
      <c r="C1184" s="595" t="s">
        <v>24</v>
      </c>
      <c r="D1184" s="596">
        <v>3081</v>
      </c>
      <c r="E1184" s="595" t="s">
        <v>1969</v>
      </c>
      <c r="F1184" s="595" t="s">
        <v>1958</v>
      </c>
      <c r="G1184" s="595">
        <v>3203</v>
      </c>
      <c r="H1184" s="595" t="s">
        <v>1961</v>
      </c>
      <c r="I1184" s="595" t="s">
        <v>1962</v>
      </c>
      <c r="J1184" s="610" t="s">
        <v>111</v>
      </c>
      <c r="K1184" s="610" t="s">
        <v>110</v>
      </c>
      <c r="L1184" s="611">
        <v>0.4</v>
      </c>
      <c r="M1184" s="612" t="s">
        <v>419</v>
      </c>
      <c r="N1184" s="612" t="s">
        <v>420</v>
      </c>
      <c r="O1184" s="613" t="s">
        <v>459</v>
      </c>
      <c r="P1184" s="614">
        <v>1</v>
      </c>
      <c r="Q1184" s="611">
        <v>0.2</v>
      </c>
      <c r="R1184" s="614"/>
      <c r="S1184" s="609">
        <f t="shared" si="36"/>
        <v>0</v>
      </c>
      <c r="T1184" s="629">
        <f t="shared" si="37"/>
        <v>0</v>
      </c>
      <c r="U1184" s="609" t="s">
        <v>34</v>
      </c>
      <c r="V1184" s="609"/>
      <c r="W1184" s="609"/>
    </row>
    <row r="1185" spans="1:23" ht="16.05" customHeight="1" x14ac:dyDescent="0.45">
      <c r="A1185" s="1">
        <v>1184</v>
      </c>
      <c r="B1185" s="595" t="s">
        <v>924</v>
      </c>
      <c r="C1185" s="595" t="s">
        <v>24</v>
      </c>
      <c r="D1185" s="596">
        <v>3081</v>
      </c>
      <c r="E1185" s="595" t="s">
        <v>1969</v>
      </c>
      <c r="F1185" s="595" t="s">
        <v>1958</v>
      </c>
      <c r="G1185" s="595">
        <v>3203</v>
      </c>
      <c r="H1185" s="595" t="s">
        <v>1961</v>
      </c>
      <c r="I1185" s="595" t="s">
        <v>1962</v>
      </c>
      <c r="J1185" s="610" t="s">
        <v>111</v>
      </c>
      <c r="K1185" s="610" t="s">
        <v>110</v>
      </c>
      <c r="L1185" s="611">
        <v>0.4</v>
      </c>
      <c r="M1185" s="612" t="s">
        <v>1974</v>
      </c>
      <c r="N1185" s="612" t="s">
        <v>1975</v>
      </c>
      <c r="O1185" s="613" t="s">
        <v>1976</v>
      </c>
      <c r="P1185" s="614">
        <v>1</v>
      </c>
      <c r="Q1185" s="611">
        <v>0.1</v>
      </c>
      <c r="R1185" s="614"/>
      <c r="S1185" s="609">
        <f t="shared" si="36"/>
        <v>0</v>
      </c>
      <c r="T1185" s="629">
        <f t="shared" si="37"/>
        <v>0</v>
      </c>
      <c r="U1185" s="609" t="s">
        <v>34</v>
      </c>
      <c r="V1185" s="609"/>
      <c r="W1185" s="609"/>
    </row>
    <row r="1186" spans="1:23" ht="16.05" customHeight="1" x14ac:dyDescent="0.45">
      <c r="A1186" s="1">
        <v>1185</v>
      </c>
      <c r="B1186" s="595" t="s">
        <v>924</v>
      </c>
      <c r="C1186" s="595" t="s">
        <v>24</v>
      </c>
      <c r="D1186" s="596">
        <v>3081</v>
      </c>
      <c r="E1186" s="595" t="s">
        <v>1969</v>
      </c>
      <c r="F1186" s="595" t="s">
        <v>1958</v>
      </c>
      <c r="G1186" s="595">
        <v>3203</v>
      </c>
      <c r="H1186" s="595" t="s">
        <v>1961</v>
      </c>
      <c r="I1186" s="595" t="s">
        <v>1962</v>
      </c>
      <c r="J1186" s="610" t="s">
        <v>111</v>
      </c>
      <c r="K1186" s="610" t="s">
        <v>110</v>
      </c>
      <c r="L1186" s="611">
        <v>0.4</v>
      </c>
      <c r="M1186" s="612" t="s">
        <v>1977</v>
      </c>
      <c r="N1186" s="612" t="s">
        <v>1978</v>
      </c>
      <c r="O1186" s="613" t="s">
        <v>1979</v>
      </c>
      <c r="P1186" s="614">
        <v>1</v>
      </c>
      <c r="Q1186" s="611">
        <v>0.2</v>
      </c>
      <c r="R1186" s="614"/>
      <c r="S1186" s="609">
        <f t="shared" si="36"/>
        <v>0</v>
      </c>
      <c r="T1186" s="629">
        <f t="shared" si="37"/>
        <v>0</v>
      </c>
      <c r="U1186" s="609" t="s">
        <v>34</v>
      </c>
      <c r="V1186" s="609"/>
      <c r="W1186" s="609"/>
    </row>
    <row r="1187" spans="1:23" ht="16.05" customHeight="1" x14ac:dyDescent="0.45">
      <c r="A1187" s="1">
        <v>1186</v>
      </c>
      <c r="B1187" s="595" t="s">
        <v>924</v>
      </c>
      <c r="C1187" s="595" t="s">
        <v>24</v>
      </c>
      <c r="D1187" s="596">
        <v>3081</v>
      </c>
      <c r="E1187" s="595" t="s">
        <v>1969</v>
      </c>
      <c r="F1187" s="595" t="s">
        <v>1958</v>
      </c>
      <c r="G1187" s="595">
        <v>3203</v>
      </c>
      <c r="H1187" s="595" t="s">
        <v>1961</v>
      </c>
      <c r="I1187" s="595" t="s">
        <v>1962</v>
      </c>
      <c r="J1187" s="610" t="s">
        <v>111</v>
      </c>
      <c r="K1187" s="610" t="s">
        <v>110</v>
      </c>
      <c r="L1187" s="611">
        <v>0.4</v>
      </c>
      <c r="M1187" s="612" t="s">
        <v>1980</v>
      </c>
      <c r="N1187" s="612" t="s">
        <v>1981</v>
      </c>
      <c r="O1187" s="613" t="s">
        <v>1982</v>
      </c>
      <c r="P1187" s="614">
        <v>1</v>
      </c>
      <c r="Q1187" s="611">
        <v>0.2</v>
      </c>
      <c r="R1187" s="614"/>
      <c r="S1187" s="609">
        <f t="shared" si="36"/>
        <v>0</v>
      </c>
      <c r="T1187" s="629">
        <f t="shared" si="37"/>
        <v>0</v>
      </c>
      <c r="U1187" s="609" t="s">
        <v>34</v>
      </c>
      <c r="V1187" s="609"/>
      <c r="W1187" s="609"/>
    </row>
    <row r="1188" spans="1:23" ht="16.05" customHeight="1" x14ac:dyDescent="0.45">
      <c r="A1188" s="1">
        <v>1187</v>
      </c>
      <c r="B1188" s="595" t="s">
        <v>924</v>
      </c>
      <c r="C1188" s="595" t="s">
        <v>24</v>
      </c>
      <c r="D1188" s="596">
        <v>3081</v>
      </c>
      <c r="E1188" s="595" t="s">
        <v>1969</v>
      </c>
      <c r="F1188" s="595" t="s">
        <v>1958</v>
      </c>
      <c r="G1188" s="595">
        <v>3203</v>
      </c>
      <c r="H1188" s="595" t="s">
        <v>1961</v>
      </c>
      <c r="I1188" s="595" t="s">
        <v>1962</v>
      </c>
      <c r="J1188" s="610" t="s">
        <v>111</v>
      </c>
      <c r="K1188" s="610" t="s">
        <v>110</v>
      </c>
      <c r="L1188" s="611">
        <v>0.4</v>
      </c>
      <c r="M1188" s="612" t="s">
        <v>417</v>
      </c>
      <c r="N1188" s="612" t="s">
        <v>418</v>
      </c>
      <c r="O1188" s="613" t="s">
        <v>462</v>
      </c>
      <c r="P1188" s="614">
        <v>1</v>
      </c>
      <c r="Q1188" s="611">
        <v>0.1</v>
      </c>
      <c r="R1188" s="614"/>
      <c r="S1188" s="609">
        <f t="shared" si="36"/>
        <v>0</v>
      </c>
      <c r="T1188" s="629">
        <f t="shared" si="37"/>
        <v>0</v>
      </c>
      <c r="U1188" s="609" t="s">
        <v>34</v>
      </c>
      <c r="V1188" s="630"/>
      <c r="W1188" s="630"/>
    </row>
    <row r="1189" spans="1:23" ht="16.05" customHeight="1" x14ac:dyDescent="0.45">
      <c r="A1189" s="1">
        <v>1188</v>
      </c>
      <c r="B1189" s="584" t="s">
        <v>924</v>
      </c>
      <c r="C1189" s="584" t="s">
        <v>24</v>
      </c>
      <c r="D1189" s="585">
        <v>3697</v>
      </c>
      <c r="E1189" s="586" t="s">
        <v>1983</v>
      </c>
      <c r="F1189" s="584" t="s">
        <v>1958</v>
      </c>
      <c r="G1189" s="584">
        <v>3203</v>
      </c>
      <c r="H1189" s="584" t="s">
        <v>1961</v>
      </c>
      <c r="I1189" s="584" t="s">
        <v>1962</v>
      </c>
      <c r="J1189" s="588" t="s">
        <v>58</v>
      </c>
      <c r="K1189" s="588" t="s">
        <v>57</v>
      </c>
      <c r="L1189" s="589">
        <v>0.6</v>
      </c>
      <c r="M1189" s="631" t="s">
        <v>1984</v>
      </c>
      <c r="N1189" s="617" t="s">
        <v>1985</v>
      </c>
      <c r="O1189" s="618" t="s">
        <v>452</v>
      </c>
      <c r="P1189" s="619">
        <v>0.8</v>
      </c>
      <c r="Q1189" s="589">
        <v>0.2</v>
      </c>
      <c r="R1189" s="619"/>
      <c r="S1189" s="594">
        <f t="shared" si="36"/>
        <v>0</v>
      </c>
      <c r="T1189" s="620">
        <f t="shared" si="37"/>
        <v>0</v>
      </c>
      <c r="U1189" s="594" t="s">
        <v>34</v>
      </c>
      <c r="V1189" s="632">
        <f>SUM(T1189:T1200)%</f>
        <v>0</v>
      </c>
      <c r="W1189" s="633"/>
    </row>
    <row r="1190" spans="1:23" ht="16.05" customHeight="1" x14ac:dyDescent="0.45">
      <c r="A1190" s="1">
        <v>1189</v>
      </c>
      <c r="B1190" s="595" t="s">
        <v>924</v>
      </c>
      <c r="C1190" s="595" t="s">
        <v>24</v>
      </c>
      <c r="D1190" s="596">
        <v>3697</v>
      </c>
      <c r="E1190" s="597" t="s">
        <v>1983</v>
      </c>
      <c r="F1190" s="595" t="s">
        <v>1958</v>
      </c>
      <c r="G1190" s="595">
        <v>3203</v>
      </c>
      <c r="H1190" s="595" t="s">
        <v>1961</v>
      </c>
      <c r="I1190" s="595" t="s">
        <v>1962</v>
      </c>
      <c r="J1190" s="599" t="s">
        <v>58</v>
      </c>
      <c r="K1190" s="621" t="s">
        <v>57</v>
      </c>
      <c r="L1190" s="600">
        <v>0.6</v>
      </c>
      <c r="M1190" s="622" t="s">
        <v>444</v>
      </c>
      <c r="N1190" s="622" t="s">
        <v>445</v>
      </c>
      <c r="O1190" s="623" t="s">
        <v>456</v>
      </c>
      <c r="P1190" s="624">
        <v>1</v>
      </c>
      <c r="Q1190" s="600">
        <v>0.15</v>
      </c>
      <c r="R1190" s="624"/>
      <c r="S1190" s="607">
        <f t="shared" si="36"/>
        <v>0</v>
      </c>
      <c r="T1190" s="608">
        <f t="shared" si="37"/>
        <v>0</v>
      </c>
      <c r="U1190" s="607" t="s">
        <v>34</v>
      </c>
      <c r="V1190" s="607"/>
      <c r="W1190" s="609"/>
    </row>
    <row r="1191" spans="1:23" ht="16.05" customHeight="1" x14ac:dyDescent="0.45">
      <c r="A1191" s="1">
        <v>1190</v>
      </c>
      <c r="B1191" s="595" t="s">
        <v>924</v>
      </c>
      <c r="C1191" s="595" t="s">
        <v>24</v>
      </c>
      <c r="D1191" s="596">
        <v>3697</v>
      </c>
      <c r="E1191" s="597" t="s">
        <v>1983</v>
      </c>
      <c r="F1191" s="595" t="s">
        <v>1958</v>
      </c>
      <c r="G1191" s="595">
        <v>3203</v>
      </c>
      <c r="H1191" s="595" t="s">
        <v>1961</v>
      </c>
      <c r="I1191" s="595" t="s">
        <v>1962</v>
      </c>
      <c r="J1191" s="599" t="s">
        <v>58</v>
      </c>
      <c r="K1191" s="621" t="s">
        <v>57</v>
      </c>
      <c r="L1191" s="600">
        <v>0.6</v>
      </c>
      <c r="M1191" s="622" t="s">
        <v>1986</v>
      </c>
      <c r="N1191" s="622" t="s">
        <v>1987</v>
      </c>
      <c r="O1191" s="623" t="s">
        <v>458</v>
      </c>
      <c r="P1191" s="624">
        <v>0.91</v>
      </c>
      <c r="Q1191" s="600">
        <v>0.15</v>
      </c>
      <c r="R1191" s="624"/>
      <c r="S1191" s="607">
        <f t="shared" si="36"/>
        <v>0</v>
      </c>
      <c r="T1191" s="608">
        <f t="shared" si="37"/>
        <v>0</v>
      </c>
      <c r="U1191" s="607" t="s">
        <v>34</v>
      </c>
      <c r="V1191" s="607"/>
      <c r="W1191" s="609"/>
    </row>
    <row r="1192" spans="1:23" ht="16.05" customHeight="1" x14ac:dyDescent="0.45">
      <c r="A1192" s="1">
        <v>1191</v>
      </c>
      <c r="B1192" s="595" t="s">
        <v>924</v>
      </c>
      <c r="C1192" s="595" t="s">
        <v>24</v>
      </c>
      <c r="D1192" s="596">
        <v>3697</v>
      </c>
      <c r="E1192" s="597" t="s">
        <v>1983</v>
      </c>
      <c r="F1192" s="595" t="s">
        <v>1958</v>
      </c>
      <c r="G1192" s="595">
        <v>3203</v>
      </c>
      <c r="H1192" s="595" t="s">
        <v>1961</v>
      </c>
      <c r="I1192" s="595" t="s">
        <v>1962</v>
      </c>
      <c r="J1192" s="599" t="s">
        <v>58</v>
      </c>
      <c r="K1192" s="621" t="s">
        <v>57</v>
      </c>
      <c r="L1192" s="600">
        <v>0.6</v>
      </c>
      <c r="M1192" s="622" t="s">
        <v>1732</v>
      </c>
      <c r="N1192" s="622" t="s">
        <v>1733</v>
      </c>
      <c r="O1192" s="623" t="s">
        <v>461</v>
      </c>
      <c r="P1192" s="624">
        <v>1</v>
      </c>
      <c r="Q1192" s="600">
        <v>0.15</v>
      </c>
      <c r="R1192" s="624"/>
      <c r="S1192" s="607">
        <f t="shared" si="36"/>
        <v>0</v>
      </c>
      <c r="T1192" s="608">
        <f t="shared" si="37"/>
        <v>0</v>
      </c>
      <c r="U1192" s="607" t="s">
        <v>34</v>
      </c>
      <c r="V1192" s="607"/>
      <c r="W1192" s="609"/>
    </row>
    <row r="1193" spans="1:23" ht="16.05" customHeight="1" x14ac:dyDescent="0.45">
      <c r="A1193" s="1">
        <v>1192</v>
      </c>
      <c r="B1193" s="595" t="s">
        <v>924</v>
      </c>
      <c r="C1193" s="595" t="s">
        <v>24</v>
      </c>
      <c r="D1193" s="596">
        <v>3697</v>
      </c>
      <c r="E1193" s="597" t="s">
        <v>1983</v>
      </c>
      <c r="F1193" s="595" t="s">
        <v>1958</v>
      </c>
      <c r="G1193" s="595">
        <v>3203</v>
      </c>
      <c r="H1193" s="595" t="s">
        <v>1961</v>
      </c>
      <c r="I1193" s="595" t="s">
        <v>1962</v>
      </c>
      <c r="J1193" s="599" t="s">
        <v>58</v>
      </c>
      <c r="K1193" s="621" t="s">
        <v>57</v>
      </c>
      <c r="L1193" s="600">
        <v>0.6</v>
      </c>
      <c r="M1193" s="622" t="s">
        <v>1973</v>
      </c>
      <c r="N1193" s="622" t="s">
        <v>414</v>
      </c>
      <c r="O1193" s="623" t="s">
        <v>453</v>
      </c>
      <c r="P1193" s="628">
        <v>0.99199999999999999</v>
      </c>
      <c r="Q1193" s="600">
        <v>0.15</v>
      </c>
      <c r="R1193" s="628"/>
      <c r="S1193" s="607">
        <f t="shared" si="36"/>
        <v>0</v>
      </c>
      <c r="T1193" s="608">
        <f t="shared" si="37"/>
        <v>0</v>
      </c>
      <c r="U1193" s="607" t="s">
        <v>34</v>
      </c>
      <c r="V1193" s="607"/>
      <c r="W1193" s="609"/>
    </row>
    <row r="1194" spans="1:23" ht="16.05" customHeight="1" x14ac:dyDescent="0.45">
      <c r="A1194" s="1">
        <v>1193</v>
      </c>
      <c r="B1194" s="595" t="s">
        <v>924</v>
      </c>
      <c r="C1194" s="595" t="s">
        <v>24</v>
      </c>
      <c r="D1194" s="596">
        <v>3697</v>
      </c>
      <c r="E1194" s="597" t="s">
        <v>1983</v>
      </c>
      <c r="F1194" s="595" t="s">
        <v>1958</v>
      </c>
      <c r="G1194" s="595">
        <v>3203</v>
      </c>
      <c r="H1194" s="595" t="s">
        <v>1961</v>
      </c>
      <c r="I1194" s="595" t="s">
        <v>1962</v>
      </c>
      <c r="J1194" s="599" t="s">
        <v>58</v>
      </c>
      <c r="K1194" s="621" t="s">
        <v>57</v>
      </c>
      <c r="L1194" s="600">
        <v>0.6</v>
      </c>
      <c r="M1194" s="622" t="s">
        <v>442</v>
      </c>
      <c r="N1194" s="622" t="s">
        <v>443</v>
      </c>
      <c r="O1194" s="623" t="s">
        <v>1947</v>
      </c>
      <c r="P1194" s="624">
        <v>1</v>
      </c>
      <c r="Q1194" s="600">
        <v>0.2</v>
      </c>
      <c r="R1194" s="624"/>
      <c r="S1194" s="607">
        <f t="shared" si="36"/>
        <v>0</v>
      </c>
      <c r="T1194" s="608">
        <f t="shared" si="37"/>
        <v>0</v>
      </c>
      <c r="U1194" s="607" t="s">
        <v>34</v>
      </c>
      <c r="V1194" s="607"/>
      <c r="W1194" s="609"/>
    </row>
    <row r="1195" spans="1:23" ht="16.05" customHeight="1" x14ac:dyDescent="0.45">
      <c r="A1195" s="1">
        <v>1194</v>
      </c>
      <c r="B1195" s="595" t="s">
        <v>924</v>
      </c>
      <c r="C1195" s="595" t="s">
        <v>24</v>
      </c>
      <c r="D1195" s="596">
        <v>3697</v>
      </c>
      <c r="E1195" s="597" t="s">
        <v>1983</v>
      </c>
      <c r="F1195" s="595" t="s">
        <v>1958</v>
      </c>
      <c r="G1195" s="595">
        <v>3203</v>
      </c>
      <c r="H1195" s="595" t="s">
        <v>1961</v>
      </c>
      <c r="I1195" s="595" t="s">
        <v>1962</v>
      </c>
      <c r="J1195" s="610" t="s">
        <v>111</v>
      </c>
      <c r="K1195" s="610" t="s">
        <v>110</v>
      </c>
      <c r="L1195" s="611">
        <v>0.4</v>
      </c>
      <c r="M1195" s="612" t="s">
        <v>1926</v>
      </c>
      <c r="N1195" s="612" t="s">
        <v>1927</v>
      </c>
      <c r="O1195" s="613" t="s">
        <v>467</v>
      </c>
      <c r="P1195" s="614">
        <v>1</v>
      </c>
      <c r="Q1195" s="611">
        <v>0.2</v>
      </c>
      <c r="R1195" s="614"/>
      <c r="S1195" s="609">
        <f t="shared" si="36"/>
        <v>0</v>
      </c>
      <c r="T1195" s="629">
        <f t="shared" si="37"/>
        <v>0</v>
      </c>
      <c r="U1195" s="609" t="s">
        <v>34</v>
      </c>
      <c r="V1195" s="609"/>
      <c r="W1195" s="609"/>
    </row>
    <row r="1196" spans="1:23" ht="16.05" customHeight="1" x14ac:dyDescent="0.45">
      <c r="A1196" s="1">
        <v>1195</v>
      </c>
      <c r="B1196" s="595" t="s">
        <v>924</v>
      </c>
      <c r="C1196" s="595" t="s">
        <v>24</v>
      </c>
      <c r="D1196" s="596">
        <v>3697</v>
      </c>
      <c r="E1196" s="597" t="s">
        <v>1983</v>
      </c>
      <c r="F1196" s="595" t="s">
        <v>1958</v>
      </c>
      <c r="G1196" s="595">
        <v>3203</v>
      </c>
      <c r="H1196" s="595" t="s">
        <v>1961</v>
      </c>
      <c r="I1196" s="595" t="s">
        <v>1962</v>
      </c>
      <c r="J1196" s="610" t="s">
        <v>111</v>
      </c>
      <c r="K1196" s="610" t="s">
        <v>110</v>
      </c>
      <c r="L1196" s="611">
        <v>0.4</v>
      </c>
      <c r="M1196" s="612" t="s">
        <v>419</v>
      </c>
      <c r="N1196" s="612" t="s">
        <v>420</v>
      </c>
      <c r="O1196" s="613" t="s">
        <v>459</v>
      </c>
      <c r="P1196" s="614">
        <v>1</v>
      </c>
      <c r="Q1196" s="611">
        <v>0.2</v>
      </c>
      <c r="R1196" s="614"/>
      <c r="S1196" s="609">
        <f t="shared" si="36"/>
        <v>0</v>
      </c>
      <c r="T1196" s="629">
        <f t="shared" si="37"/>
        <v>0</v>
      </c>
      <c r="U1196" s="609" t="s">
        <v>34</v>
      </c>
      <c r="V1196" s="609"/>
      <c r="W1196" s="609"/>
    </row>
    <row r="1197" spans="1:23" ht="16.05" customHeight="1" x14ac:dyDescent="0.45">
      <c r="A1197" s="1">
        <v>1196</v>
      </c>
      <c r="B1197" s="595" t="s">
        <v>924</v>
      </c>
      <c r="C1197" s="595" t="s">
        <v>24</v>
      </c>
      <c r="D1197" s="596">
        <v>3697</v>
      </c>
      <c r="E1197" s="597" t="s">
        <v>1983</v>
      </c>
      <c r="F1197" s="595" t="s">
        <v>1958</v>
      </c>
      <c r="G1197" s="595">
        <v>3203</v>
      </c>
      <c r="H1197" s="595" t="s">
        <v>1961</v>
      </c>
      <c r="I1197" s="595" t="s">
        <v>1962</v>
      </c>
      <c r="J1197" s="610" t="s">
        <v>111</v>
      </c>
      <c r="K1197" s="610" t="s">
        <v>110</v>
      </c>
      <c r="L1197" s="611">
        <v>0.4</v>
      </c>
      <c r="M1197" s="612" t="s">
        <v>1974</v>
      </c>
      <c r="N1197" s="612" t="s">
        <v>1975</v>
      </c>
      <c r="O1197" s="613" t="s">
        <v>1976</v>
      </c>
      <c r="P1197" s="614">
        <v>1</v>
      </c>
      <c r="Q1197" s="611">
        <v>0.1</v>
      </c>
      <c r="R1197" s="614"/>
      <c r="S1197" s="609">
        <f t="shared" si="36"/>
        <v>0</v>
      </c>
      <c r="T1197" s="629">
        <f t="shared" si="37"/>
        <v>0</v>
      </c>
      <c r="U1197" s="609" t="s">
        <v>34</v>
      </c>
      <c r="V1197" s="609"/>
      <c r="W1197" s="609"/>
    </row>
    <row r="1198" spans="1:23" ht="16.05" customHeight="1" x14ac:dyDescent="0.45">
      <c r="A1198" s="1">
        <v>1197</v>
      </c>
      <c r="B1198" s="595" t="s">
        <v>924</v>
      </c>
      <c r="C1198" s="595" t="s">
        <v>24</v>
      </c>
      <c r="D1198" s="596">
        <v>3697</v>
      </c>
      <c r="E1198" s="597" t="s">
        <v>1983</v>
      </c>
      <c r="F1198" s="595" t="s">
        <v>1958</v>
      </c>
      <c r="G1198" s="595">
        <v>3203</v>
      </c>
      <c r="H1198" s="595" t="s">
        <v>1961</v>
      </c>
      <c r="I1198" s="595" t="s">
        <v>1962</v>
      </c>
      <c r="J1198" s="610" t="s">
        <v>111</v>
      </c>
      <c r="K1198" s="610" t="s">
        <v>110</v>
      </c>
      <c r="L1198" s="611">
        <v>0.4</v>
      </c>
      <c r="M1198" s="612" t="s">
        <v>1977</v>
      </c>
      <c r="N1198" s="612" t="s">
        <v>1978</v>
      </c>
      <c r="O1198" s="613" t="s">
        <v>1979</v>
      </c>
      <c r="P1198" s="614">
        <v>1</v>
      </c>
      <c r="Q1198" s="611">
        <v>0.2</v>
      </c>
      <c r="R1198" s="614"/>
      <c r="S1198" s="609">
        <f t="shared" si="36"/>
        <v>0</v>
      </c>
      <c r="T1198" s="629">
        <f t="shared" si="37"/>
        <v>0</v>
      </c>
      <c r="U1198" s="609" t="s">
        <v>34</v>
      </c>
      <c r="V1198" s="609"/>
      <c r="W1198" s="609"/>
    </row>
    <row r="1199" spans="1:23" ht="16.05" customHeight="1" x14ac:dyDescent="0.45">
      <c r="A1199" s="1">
        <v>1198</v>
      </c>
      <c r="B1199" s="595" t="s">
        <v>924</v>
      </c>
      <c r="C1199" s="595" t="s">
        <v>24</v>
      </c>
      <c r="D1199" s="596">
        <v>3697</v>
      </c>
      <c r="E1199" s="597" t="s">
        <v>1983</v>
      </c>
      <c r="F1199" s="595" t="s">
        <v>1958</v>
      </c>
      <c r="G1199" s="595">
        <v>3203</v>
      </c>
      <c r="H1199" s="595" t="s">
        <v>1961</v>
      </c>
      <c r="I1199" s="595" t="s">
        <v>1962</v>
      </c>
      <c r="J1199" s="610" t="s">
        <v>111</v>
      </c>
      <c r="K1199" s="610" t="s">
        <v>110</v>
      </c>
      <c r="L1199" s="611">
        <v>0.4</v>
      </c>
      <c r="M1199" s="612" t="s">
        <v>1980</v>
      </c>
      <c r="N1199" s="612" t="s">
        <v>1981</v>
      </c>
      <c r="O1199" s="613" t="s">
        <v>1982</v>
      </c>
      <c r="P1199" s="614">
        <v>1</v>
      </c>
      <c r="Q1199" s="611">
        <v>0.2</v>
      </c>
      <c r="R1199" s="614"/>
      <c r="S1199" s="609">
        <f t="shared" si="36"/>
        <v>0</v>
      </c>
      <c r="T1199" s="629">
        <f t="shared" si="37"/>
        <v>0</v>
      </c>
      <c r="U1199" s="609" t="s">
        <v>34</v>
      </c>
      <c r="V1199" s="609"/>
      <c r="W1199" s="609"/>
    </row>
    <row r="1200" spans="1:23" ht="16.05" customHeight="1" x14ac:dyDescent="0.45">
      <c r="A1200" s="1">
        <v>1199</v>
      </c>
      <c r="B1200" s="595" t="s">
        <v>924</v>
      </c>
      <c r="C1200" s="595" t="s">
        <v>24</v>
      </c>
      <c r="D1200" s="596">
        <v>3697</v>
      </c>
      <c r="E1200" s="597" t="s">
        <v>1983</v>
      </c>
      <c r="F1200" s="595" t="s">
        <v>1958</v>
      </c>
      <c r="G1200" s="595">
        <v>3203</v>
      </c>
      <c r="H1200" s="595" t="s">
        <v>1961</v>
      </c>
      <c r="I1200" s="595" t="s">
        <v>1962</v>
      </c>
      <c r="J1200" s="610" t="s">
        <v>111</v>
      </c>
      <c r="K1200" s="610" t="s">
        <v>110</v>
      </c>
      <c r="L1200" s="611">
        <v>0.4</v>
      </c>
      <c r="M1200" s="612" t="s">
        <v>417</v>
      </c>
      <c r="N1200" s="612" t="s">
        <v>418</v>
      </c>
      <c r="O1200" s="613" t="s">
        <v>462</v>
      </c>
      <c r="P1200" s="614">
        <v>0.88</v>
      </c>
      <c r="Q1200" s="611">
        <v>0.1</v>
      </c>
      <c r="R1200" s="614"/>
      <c r="S1200" s="609">
        <f t="shared" si="36"/>
        <v>0</v>
      </c>
      <c r="T1200" s="629">
        <f t="shared" si="37"/>
        <v>0</v>
      </c>
      <c r="U1200" s="609" t="s">
        <v>34</v>
      </c>
      <c r="V1200" s="630"/>
      <c r="W1200" s="630"/>
    </row>
    <row r="1201" spans="1:23" ht="16.05" customHeight="1" x14ac:dyDescent="0.45">
      <c r="A1201" s="1">
        <v>1200</v>
      </c>
      <c r="B1201" s="634" t="s">
        <v>924</v>
      </c>
      <c r="C1201" s="584" t="s">
        <v>24</v>
      </c>
      <c r="D1201" s="585">
        <v>3785</v>
      </c>
      <c r="E1201" s="584" t="s">
        <v>1988</v>
      </c>
      <c r="F1201" s="584" t="s">
        <v>1958</v>
      </c>
      <c r="G1201" s="584">
        <v>3203</v>
      </c>
      <c r="H1201" s="584" t="s">
        <v>1961</v>
      </c>
      <c r="I1201" s="584" t="s">
        <v>1962</v>
      </c>
      <c r="J1201" s="588" t="s">
        <v>58</v>
      </c>
      <c r="K1201" s="588" t="s">
        <v>57</v>
      </c>
      <c r="L1201" s="589">
        <v>0.6</v>
      </c>
      <c r="M1201" s="631" t="s">
        <v>1989</v>
      </c>
      <c r="N1201" s="617" t="s">
        <v>1990</v>
      </c>
      <c r="O1201" s="618" t="s">
        <v>452</v>
      </c>
      <c r="P1201" s="619">
        <v>0.99</v>
      </c>
      <c r="Q1201" s="589">
        <v>0.2</v>
      </c>
      <c r="R1201" s="619"/>
      <c r="S1201" s="594">
        <f t="shared" si="36"/>
        <v>0</v>
      </c>
      <c r="T1201" s="620">
        <f t="shared" si="37"/>
        <v>0</v>
      </c>
      <c r="U1201" s="594" t="s">
        <v>34</v>
      </c>
      <c r="V1201" s="593">
        <f>SUM(T1201:T1212)%</f>
        <v>0</v>
      </c>
      <c r="W1201" s="594"/>
    </row>
    <row r="1202" spans="1:23" ht="16.05" customHeight="1" x14ac:dyDescent="0.45">
      <c r="A1202" s="1">
        <v>1201</v>
      </c>
      <c r="B1202" s="635" t="s">
        <v>924</v>
      </c>
      <c r="C1202" s="595" t="s">
        <v>24</v>
      </c>
      <c r="D1202" s="596">
        <v>3785</v>
      </c>
      <c r="E1202" s="595" t="s">
        <v>1988</v>
      </c>
      <c r="F1202" s="595" t="s">
        <v>1958</v>
      </c>
      <c r="G1202" s="595">
        <v>3203</v>
      </c>
      <c r="H1202" s="595" t="s">
        <v>1961</v>
      </c>
      <c r="I1202" s="595" t="s">
        <v>1962</v>
      </c>
      <c r="J1202" s="599" t="s">
        <v>58</v>
      </c>
      <c r="K1202" s="621" t="s">
        <v>57</v>
      </c>
      <c r="L1202" s="600">
        <v>0.6</v>
      </c>
      <c r="M1202" s="622" t="s">
        <v>444</v>
      </c>
      <c r="N1202" s="622" t="s">
        <v>445</v>
      </c>
      <c r="O1202" s="623" t="s">
        <v>456</v>
      </c>
      <c r="P1202" s="624">
        <v>1</v>
      </c>
      <c r="Q1202" s="600">
        <v>0.15</v>
      </c>
      <c r="R1202" s="624"/>
      <c r="S1202" s="607">
        <f t="shared" si="36"/>
        <v>0</v>
      </c>
      <c r="T1202" s="608">
        <f t="shared" si="37"/>
        <v>0</v>
      </c>
      <c r="U1202" s="607" t="s">
        <v>34</v>
      </c>
      <c r="V1202" s="607"/>
      <c r="W1202" s="609"/>
    </row>
    <row r="1203" spans="1:23" ht="16.05" customHeight="1" x14ac:dyDescent="0.45">
      <c r="A1203" s="1">
        <v>1202</v>
      </c>
      <c r="B1203" s="635" t="s">
        <v>924</v>
      </c>
      <c r="C1203" s="595" t="s">
        <v>24</v>
      </c>
      <c r="D1203" s="596">
        <v>3785</v>
      </c>
      <c r="E1203" s="595" t="s">
        <v>1988</v>
      </c>
      <c r="F1203" s="595" t="s">
        <v>1958</v>
      </c>
      <c r="G1203" s="595">
        <v>3203</v>
      </c>
      <c r="H1203" s="595" t="s">
        <v>1961</v>
      </c>
      <c r="I1203" s="595" t="s">
        <v>1962</v>
      </c>
      <c r="J1203" s="599" t="s">
        <v>58</v>
      </c>
      <c r="K1203" s="621" t="s">
        <v>57</v>
      </c>
      <c r="L1203" s="600">
        <v>0.6</v>
      </c>
      <c r="M1203" s="622" t="s">
        <v>1986</v>
      </c>
      <c r="N1203" s="622" t="s">
        <v>1987</v>
      </c>
      <c r="O1203" s="623" t="s">
        <v>458</v>
      </c>
      <c r="P1203" s="624">
        <v>0.91</v>
      </c>
      <c r="Q1203" s="600">
        <v>0.15</v>
      </c>
      <c r="R1203" s="624"/>
      <c r="S1203" s="607">
        <f t="shared" si="36"/>
        <v>0</v>
      </c>
      <c r="T1203" s="608">
        <f t="shared" si="37"/>
        <v>0</v>
      </c>
      <c r="U1203" s="607" t="s">
        <v>34</v>
      </c>
      <c r="V1203" s="607"/>
      <c r="W1203" s="609"/>
    </row>
    <row r="1204" spans="1:23" ht="16.05" customHeight="1" x14ac:dyDescent="0.45">
      <c r="A1204" s="1">
        <v>1203</v>
      </c>
      <c r="B1204" s="635" t="s">
        <v>924</v>
      </c>
      <c r="C1204" s="595" t="s">
        <v>24</v>
      </c>
      <c r="D1204" s="596">
        <v>3785</v>
      </c>
      <c r="E1204" s="595" t="s">
        <v>1988</v>
      </c>
      <c r="F1204" s="595" t="s">
        <v>1958</v>
      </c>
      <c r="G1204" s="595">
        <v>3203</v>
      </c>
      <c r="H1204" s="595" t="s">
        <v>1961</v>
      </c>
      <c r="I1204" s="595" t="s">
        <v>1962</v>
      </c>
      <c r="J1204" s="599" t="s">
        <v>58</v>
      </c>
      <c r="K1204" s="621" t="s">
        <v>57</v>
      </c>
      <c r="L1204" s="600">
        <v>0.6</v>
      </c>
      <c r="M1204" s="622" t="s">
        <v>1732</v>
      </c>
      <c r="N1204" s="622" t="s">
        <v>1733</v>
      </c>
      <c r="O1204" s="623" t="s">
        <v>461</v>
      </c>
      <c r="P1204" s="624">
        <v>1</v>
      </c>
      <c r="Q1204" s="600">
        <v>0.15</v>
      </c>
      <c r="R1204" s="624"/>
      <c r="S1204" s="607">
        <f t="shared" si="36"/>
        <v>0</v>
      </c>
      <c r="T1204" s="608">
        <f t="shared" si="37"/>
        <v>0</v>
      </c>
      <c r="U1204" s="607" t="s">
        <v>34</v>
      </c>
      <c r="V1204" s="607"/>
      <c r="W1204" s="609"/>
    </row>
    <row r="1205" spans="1:23" ht="16.05" customHeight="1" x14ac:dyDescent="0.45">
      <c r="A1205" s="1">
        <v>1204</v>
      </c>
      <c r="B1205" s="635" t="s">
        <v>924</v>
      </c>
      <c r="C1205" s="595" t="s">
        <v>24</v>
      </c>
      <c r="D1205" s="596">
        <v>3785</v>
      </c>
      <c r="E1205" s="595" t="s">
        <v>1988</v>
      </c>
      <c r="F1205" s="595" t="s">
        <v>1958</v>
      </c>
      <c r="G1205" s="595">
        <v>3203</v>
      </c>
      <c r="H1205" s="595" t="s">
        <v>1961</v>
      </c>
      <c r="I1205" s="595" t="s">
        <v>1962</v>
      </c>
      <c r="J1205" s="599" t="s">
        <v>58</v>
      </c>
      <c r="K1205" s="621" t="s">
        <v>57</v>
      </c>
      <c r="L1205" s="600">
        <v>0.6</v>
      </c>
      <c r="M1205" s="622" t="s">
        <v>1973</v>
      </c>
      <c r="N1205" s="622" t="s">
        <v>414</v>
      </c>
      <c r="O1205" s="623" t="s">
        <v>453</v>
      </c>
      <c r="P1205" s="628">
        <v>0.99199999999999999</v>
      </c>
      <c r="Q1205" s="600">
        <v>0.15</v>
      </c>
      <c r="R1205" s="628"/>
      <c r="S1205" s="607">
        <f t="shared" si="36"/>
        <v>0</v>
      </c>
      <c r="T1205" s="608">
        <f t="shared" si="37"/>
        <v>0</v>
      </c>
      <c r="U1205" s="607" t="s">
        <v>34</v>
      </c>
      <c r="V1205" s="607"/>
      <c r="W1205" s="609"/>
    </row>
    <row r="1206" spans="1:23" ht="16.05" customHeight="1" x14ac:dyDescent="0.45">
      <c r="A1206" s="1">
        <v>1205</v>
      </c>
      <c r="B1206" s="635" t="s">
        <v>924</v>
      </c>
      <c r="C1206" s="595" t="s">
        <v>24</v>
      </c>
      <c r="D1206" s="596">
        <v>3785</v>
      </c>
      <c r="E1206" s="595" t="s">
        <v>1988</v>
      </c>
      <c r="F1206" s="595" t="s">
        <v>1958</v>
      </c>
      <c r="G1206" s="595">
        <v>3203</v>
      </c>
      <c r="H1206" s="595" t="s">
        <v>1961</v>
      </c>
      <c r="I1206" s="595" t="s">
        <v>1962</v>
      </c>
      <c r="J1206" s="599" t="s">
        <v>58</v>
      </c>
      <c r="K1206" s="621" t="s">
        <v>57</v>
      </c>
      <c r="L1206" s="600">
        <v>0.6</v>
      </c>
      <c r="M1206" s="622" t="s">
        <v>442</v>
      </c>
      <c r="N1206" s="622" t="s">
        <v>443</v>
      </c>
      <c r="O1206" s="623" t="s">
        <v>1947</v>
      </c>
      <c r="P1206" s="624">
        <v>1</v>
      </c>
      <c r="Q1206" s="600">
        <v>0.2</v>
      </c>
      <c r="R1206" s="624"/>
      <c r="S1206" s="607">
        <f t="shared" si="36"/>
        <v>0</v>
      </c>
      <c r="T1206" s="608">
        <f t="shared" si="37"/>
        <v>0</v>
      </c>
      <c r="U1206" s="607" t="s">
        <v>34</v>
      </c>
      <c r="V1206" s="607"/>
      <c r="W1206" s="609"/>
    </row>
    <row r="1207" spans="1:23" ht="16.05" customHeight="1" x14ac:dyDescent="0.45">
      <c r="A1207" s="1">
        <v>1206</v>
      </c>
      <c r="B1207" s="635" t="s">
        <v>924</v>
      </c>
      <c r="C1207" s="595" t="s">
        <v>24</v>
      </c>
      <c r="D1207" s="596">
        <v>3785</v>
      </c>
      <c r="E1207" s="595" t="s">
        <v>1988</v>
      </c>
      <c r="F1207" s="595" t="s">
        <v>1958</v>
      </c>
      <c r="G1207" s="595">
        <v>3203</v>
      </c>
      <c r="H1207" s="595" t="s">
        <v>1961</v>
      </c>
      <c r="I1207" s="595" t="s">
        <v>1962</v>
      </c>
      <c r="J1207" s="610" t="s">
        <v>111</v>
      </c>
      <c r="K1207" s="610" t="s">
        <v>110</v>
      </c>
      <c r="L1207" s="611">
        <v>0.4</v>
      </c>
      <c r="M1207" s="612" t="s">
        <v>1926</v>
      </c>
      <c r="N1207" s="612" t="s">
        <v>1927</v>
      </c>
      <c r="O1207" s="613" t="s">
        <v>467</v>
      </c>
      <c r="P1207" s="614">
        <v>1</v>
      </c>
      <c r="Q1207" s="611">
        <v>0.2</v>
      </c>
      <c r="R1207" s="614"/>
      <c r="S1207" s="609">
        <f t="shared" si="36"/>
        <v>0</v>
      </c>
      <c r="T1207" s="629">
        <f t="shared" si="37"/>
        <v>0</v>
      </c>
      <c r="U1207" s="609" t="s">
        <v>34</v>
      </c>
      <c r="V1207" s="609"/>
      <c r="W1207" s="609"/>
    </row>
    <row r="1208" spans="1:23" ht="16.05" customHeight="1" x14ac:dyDescent="0.45">
      <c r="A1208" s="1">
        <v>1207</v>
      </c>
      <c r="B1208" s="635" t="s">
        <v>924</v>
      </c>
      <c r="C1208" s="595" t="s">
        <v>24</v>
      </c>
      <c r="D1208" s="596">
        <v>3785</v>
      </c>
      <c r="E1208" s="595" t="s">
        <v>1988</v>
      </c>
      <c r="F1208" s="595" t="s">
        <v>1958</v>
      </c>
      <c r="G1208" s="595">
        <v>3203</v>
      </c>
      <c r="H1208" s="595" t="s">
        <v>1961</v>
      </c>
      <c r="I1208" s="595" t="s">
        <v>1962</v>
      </c>
      <c r="J1208" s="610" t="s">
        <v>111</v>
      </c>
      <c r="K1208" s="610" t="s">
        <v>110</v>
      </c>
      <c r="L1208" s="611">
        <v>0.4</v>
      </c>
      <c r="M1208" s="612" t="s">
        <v>419</v>
      </c>
      <c r="N1208" s="612" t="s">
        <v>420</v>
      </c>
      <c r="O1208" s="613" t="s">
        <v>459</v>
      </c>
      <c r="P1208" s="614">
        <v>1</v>
      </c>
      <c r="Q1208" s="611">
        <v>0.2</v>
      </c>
      <c r="R1208" s="614"/>
      <c r="S1208" s="609">
        <f t="shared" si="36"/>
        <v>0</v>
      </c>
      <c r="T1208" s="629">
        <f t="shared" si="37"/>
        <v>0</v>
      </c>
      <c r="U1208" s="609" t="s">
        <v>34</v>
      </c>
      <c r="V1208" s="609"/>
      <c r="W1208" s="609"/>
    </row>
    <row r="1209" spans="1:23" ht="16.05" customHeight="1" x14ac:dyDescent="0.45">
      <c r="A1209" s="1">
        <v>1208</v>
      </c>
      <c r="B1209" s="635" t="s">
        <v>924</v>
      </c>
      <c r="C1209" s="595" t="s">
        <v>24</v>
      </c>
      <c r="D1209" s="596">
        <v>3785</v>
      </c>
      <c r="E1209" s="595" t="s">
        <v>1988</v>
      </c>
      <c r="F1209" s="595" t="s">
        <v>1958</v>
      </c>
      <c r="G1209" s="595">
        <v>3203</v>
      </c>
      <c r="H1209" s="595" t="s">
        <v>1961</v>
      </c>
      <c r="I1209" s="595" t="s">
        <v>1962</v>
      </c>
      <c r="J1209" s="610" t="s">
        <v>111</v>
      </c>
      <c r="K1209" s="610" t="s">
        <v>110</v>
      </c>
      <c r="L1209" s="611">
        <v>0.4</v>
      </c>
      <c r="M1209" s="612" t="s">
        <v>1974</v>
      </c>
      <c r="N1209" s="612" t="s">
        <v>1975</v>
      </c>
      <c r="O1209" s="613" t="s">
        <v>1976</v>
      </c>
      <c r="P1209" s="614">
        <v>1</v>
      </c>
      <c r="Q1209" s="611">
        <v>0.1</v>
      </c>
      <c r="R1209" s="614"/>
      <c r="S1209" s="609">
        <f t="shared" si="36"/>
        <v>0</v>
      </c>
      <c r="T1209" s="629">
        <f t="shared" si="37"/>
        <v>0</v>
      </c>
      <c r="U1209" s="609" t="s">
        <v>34</v>
      </c>
      <c r="V1209" s="609"/>
      <c r="W1209" s="609"/>
    </row>
    <row r="1210" spans="1:23" ht="16.05" customHeight="1" x14ac:dyDescent="0.45">
      <c r="A1210" s="1">
        <v>1209</v>
      </c>
      <c r="B1210" s="635" t="s">
        <v>924</v>
      </c>
      <c r="C1210" s="595" t="s">
        <v>24</v>
      </c>
      <c r="D1210" s="596">
        <v>3785</v>
      </c>
      <c r="E1210" s="595" t="s">
        <v>1988</v>
      </c>
      <c r="F1210" s="595" t="s">
        <v>1958</v>
      </c>
      <c r="G1210" s="595">
        <v>3203</v>
      </c>
      <c r="H1210" s="595" t="s">
        <v>1961</v>
      </c>
      <c r="I1210" s="595" t="s">
        <v>1962</v>
      </c>
      <c r="J1210" s="610" t="s">
        <v>111</v>
      </c>
      <c r="K1210" s="610" t="s">
        <v>110</v>
      </c>
      <c r="L1210" s="611">
        <v>0.4</v>
      </c>
      <c r="M1210" s="612" t="s">
        <v>1977</v>
      </c>
      <c r="N1210" s="612" t="s">
        <v>1978</v>
      </c>
      <c r="O1210" s="613" t="s">
        <v>1979</v>
      </c>
      <c r="P1210" s="614">
        <v>1</v>
      </c>
      <c r="Q1210" s="611">
        <v>0.2</v>
      </c>
      <c r="R1210" s="614"/>
      <c r="S1210" s="609">
        <f t="shared" si="36"/>
        <v>0</v>
      </c>
      <c r="T1210" s="629">
        <f t="shared" si="37"/>
        <v>0</v>
      </c>
      <c r="U1210" s="609" t="s">
        <v>34</v>
      </c>
      <c r="V1210" s="609"/>
      <c r="W1210" s="609"/>
    </row>
    <row r="1211" spans="1:23" ht="16.05" customHeight="1" x14ac:dyDescent="0.45">
      <c r="A1211" s="1">
        <v>1210</v>
      </c>
      <c r="B1211" s="635" t="s">
        <v>924</v>
      </c>
      <c r="C1211" s="595" t="s">
        <v>24</v>
      </c>
      <c r="D1211" s="596">
        <v>3785</v>
      </c>
      <c r="E1211" s="595" t="s">
        <v>1988</v>
      </c>
      <c r="F1211" s="595" t="s">
        <v>1958</v>
      </c>
      <c r="G1211" s="595">
        <v>3203</v>
      </c>
      <c r="H1211" s="595" t="s">
        <v>1961</v>
      </c>
      <c r="I1211" s="595" t="s">
        <v>1962</v>
      </c>
      <c r="J1211" s="610" t="s">
        <v>111</v>
      </c>
      <c r="K1211" s="610" t="s">
        <v>110</v>
      </c>
      <c r="L1211" s="611">
        <v>0.4</v>
      </c>
      <c r="M1211" s="612" t="s">
        <v>1980</v>
      </c>
      <c r="N1211" s="612" t="s">
        <v>1981</v>
      </c>
      <c r="O1211" s="613" t="s">
        <v>1982</v>
      </c>
      <c r="P1211" s="614">
        <v>1</v>
      </c>
      <c r="Q1211" s="611">
        <v>0.2</v>
      </c>
      <c r="R1211" s="614"/>
      <c r="S1211" s="609">
        <f t="shared" si="36"/>
        <v>0</v>
      </c>
      <c r="T1211" s="629">
        <f t="shared" si="37"/>
        <v>0</v>
      </c>
      <c r="U1211" s="609" t="s">
        <v>34</v>
      </c>
      <c r="V1211" s="609"/>
      <c r="W1211" s="609"/>
    </row>
    <row r="1212" spans="1:23" ht="16.05" customHeight="1" x14ac:dyDescent="0.45">
      <c r="A1212" s="1">
        <v>1211</v>
      </c>
      <c r="B1212" s="635" t="s">
        <v>924</v>
      </c>
      <c r="C1212" s="595" t="s">
        <v>24</v>
      </c>
      <c r="D1212" s="596">
        <v>3785</v>
      </c>
      <c r="E1212" s="595" t="s">
        <v>1988</v>
      </c>
      <c r="F1212" s="595" t="s">
        <v>1958</v>
      </c>
      <c r="G1212" s="595">
        <v>3203</v>
      </c>
      <c r="H1212" s="595" t="s">
        <v>1961</v>
      </c>
      <c r="I1212" s="595" t="s">
        <v>1962</v>
      </c>
      <c r="J1212" s="610" t="s">
        <v>111</v>
      </c>
      <c r="K1212" s="610" t="s">
        <v>110</v>
      </c>
      <c r="L1212" s="611">
        <v>0.4</v>
      </c>
      <c r="M1212" s="612" t="s">
        <v>417</v>
      </c>
      <c r="N1212" s="612" t="s">
        <v>418</v>
      </c>
      <c r="O1212" s="613" t="s">
        <v>462</v>
      </c>
      <c r="P1212" s="614">
        <v>1</v>
      </c>
      <c r="Q1212" s="611">
        <v>0.1</v>
      </c>
      <c r="R1212" s="614"/>
      <c r="S1212" s="609">
        <f t="shared" si="36"/>
        <v>0</v>
      </c>
      <c r="T1212" s="629">
        <f t="shared" si="37"/>
        <v>0</v>
      </c>
      <c r="U1212" s="609" t="s">
        <v>34</v>
      </c>
      <c r="V1212" s="630"/>
      <c r="W1212" s="630"/>
    </row>
    <row r="1213" spans="1:23" ht="16.05" customHeight="1" x14ac:dyDescent="0.45">
      <c r="A1213" s="1">
        <v>1212</v>
      </c>
      <c r="B1213" s="99" t="s">
        <v>924</v>
      </c>
      <c r="C1213" s="2" t="s">
        <v>24</v>
      </c>
      <c r="D1213" s="275">
        <v>3339</v>
      </c>
      <c r="E1213" s="2" t="s">
        <v>1991</v>
      </c>
      <c r="F1213" s="2" t="s">
        <v>1958</v>
      </c>
      <c r="G1213" s="2">
        <v>3203</v>
      </c>
      <c r="H1213" s="2" t="s">
        <v>1961</v>
      </c>
      <c r="I1213" s="2" t="s">
        <v>1962</v>
      </c>
      <c r="J1213" s="3" t="s">
        <v>58</v>
      </c>
      <c r="K1213" s="3" t="s">
        <v>57</v>
      </c>
      <c r="L1213" s="636">
        <v>0.6</v>
      </c>
      <c r="M1213" s="3" t="s">
        <v>1992</v>
      </c>
      <c r="N1213" s="462" t="s">
        <v>438</v>
      </c>
      <c r="O1213" s="121" t="s">
        <v>1993</v>
      </c>
      <c r="P1213" s="637">
        <v>575336</v>
      </c>
      <c r="Q1213" s="636">
        <v>0.2</v>
      </c>
      <c r="R1213" s="637"/>
      <c r="S1213" s="14">
        <f t="shared" si="36"/>
        <v>0</v>
      </c>
      <c r="T1213" s="51">
        <f t="shared" si="37"/>
        <v>0</v>
      </c>
      <c r="U1213" s="14" t="s">
        <v>34</v>
      </c>
      <c r="V1213" s="461">
        <f>SUM(T1213:T1225)%</f>
        <v>0</v>
      </c>
      <c r="W1213" s="120"/>
    </row>
    <row r="1214" spans="1:23" ht="16.05" customHeight="1" x14ac:dyDescent="0.45">
      <c r="A1214" s="1">
        <v>1213</v>
      </c>
      <c r="B1214" s="113" t="s">
        <v>924</v>
      </c>
      <c r="C1214" s="57" t="s">
        <v>24</v>
      </c>
      <c r="D1214" s="427">
        <v>3339</v>
      </c>
      <c r="E1214" s="57" t="s">
        <v>1991</v>
      </c>
      <c r="F1214" s="57" t="s">
        <v>1958</v>
      </c>
      <c r="G1214" s="57">
        <v>3203</v>
      </c>
      <c r="H1214" s="57" t="s">
        <v>1961</v>
      </c>
      <c r="I1214" s="57" t="s">
        <v>1962</v>
      </c>
      <c r="J1214" s="184" t="s">
        <v>58</v>
      </c>
      <c r="K1214" s="184" t="s">
        <v>57</v>
      </c>
      <c r="L1214" s="434">
        <v>0.6</v>
      </c>
      <c r="M1214" s="184" t="s">
        <v>444</v>
      </c>
      <c r="N1214" s="638" t="s">
        <v>1994</v>
      </c>
      <c r="O1214" s="476" t="s">
        <v>1995</v>
      </c>
      <c r="P1214" s="639">
        <v>840</v>
      </c>
      <c r="Q1214" s="434">
        <v>0.1</v>
      </c>
      <c r="R1214" s="639"/>
      <c r="S1214" s="66">
        <f t="shared" si="36"/>
        <v>0</v>
      </c>
      <c r="T1214" s="67">
        <f t="shared" si="37"/>
        <v>0</v>
      </c>
      <c r="U1214" s="66" t="s">
        <v>1996</v>
      </c>
      <c r="V1214" s="66"/>
      <c r="W1214" s="143"/>
    </row>
    <row r="1215" spans="1:23" ht="16.05" customHeight="1" x14ac:dyDescent="0.45">
      <c r="A1215" s="1">
        <v>1214</v>
      </c>
      <c r="B1215" s="113" t="s">
        <v>924</v>
      </c>
      <c r="C1215" s="57" t="s">
        <v>24</v>
      </c>
      <c r="D1215" s="427">
        <v>3339</v>
      </c>
      <c r="E1215" s="57" t="s">
        <v>1991</v>
      </c>
      <c r="F1215" s="57" t="s">
        <v>1958</v>
      </c>
      <c r="G1215" s="57">
        <v>3203</v>
      </c>
      <c r="H1215" s="57" t="s">
        <v>1961</v>
      </c>
      <c r="I1215" s="57" t="s">
        <v>1962</v>
      </c>
      <c r="J1215" s="184" t="s">
        <v>58</v>
      </c>
      <c r="K1215" s="184" t="s">
        <v>57</v>
      </c>
      <c r="L1215" s="434">
        <v>0.6</v>
      </c>
      <c r="M1215" s="184" t="s">
        <v>1971</v>
      </c>
      <c r="N1215" s="443" t="s">
        <v>1972</v>
      </c>
      <c r="O1215" s="38" t="s">
        <v>458</v>
      </c>
      <c r="P1215" s="127">
        <v>0.88</v>
      </c>
      <c r="Q1215" s="434">
        <v>0.15</v>
      </c>
      <c r="R1215" s="127"/>
      <c r="S1215" s="66">
        <f t="shared" si="36"/>
        <v>0</v>
      </c>
      <c r="T1215" s="67">
        <f t="shared" si="37"/>
        <v>0</v>
      </c>
      <c r="U1215" s="66" t="s">
        <v>34</v>
      </c>
      <c r="V1215" s="66"/>
      <c r="W1215" s="143"/>
    </row>
    <row r="1216" spans="1:23" ht="16.05" customHeight="1" x14ac:dyDescent="0.45">
      <c r="A1216" s="1">
        <v>1215</v>
      </c>
      <c r="B1216" s="113" t="s">
        <v>924</v>
      </c>
      <c r="C1216" s="57" t="s">
        <v>24</v>
      </c>
      <c r="D1216" s="427">
        <v>3339</v>
      </c>
      <c r="E1216" s="57" t="s">
        <v>1991</v>
      </c>
      <c r="F1216" s="57" t="s">
        <v>1958</v>
      </c>
      <c r="G1216" s="57">
        <v>3203</v>
      </c>
      <c r="H1216" s="57" t="s">
        <v>1961</v>
      </c>
      <c r="I1216" s="57" t="s">
        <v>1962</v>
      </c>
      <c r="J1216" s="184" t="s">
        <v>58</v>
      </c>
      <c r="K1216" s="184" t="s">
        <v>57</v>
      </c>
      <c r="L1216" s="434">
        <v>0.6</v>
      </c>
      <c r="M1216" s="625" t="s">
        <v>80</v>
      </c>
      <c r="N1216" s="626" t="s">
        <v>81</v>
      </c>
      <c r="O1216" s="625" t="s">
        <v>82</v>
      </c>
      <c r="P1216" s="627">
        <v>0.01</v>
      </c>
      <c r="Q1216" s="434">
        <v>0.15</v>
      </c>
      <c r="R1216" s="627"/>
      <c r="S1216" s="66">
        <f t="shared" si="36"/>
        <v>0</v>
      </c>
      <c r="T1216" s="67">
        <f t="shared" si="37"/>
        <v>0</v>
      </c>
      <c r="U1216" s="66" t="s">
        <v>83</v>
      </c>
      <c r="V1216" s="66"/>
      <c r="W1216" s="143"/>
    </row>
    <row r="1217" spans="1:23" ht="16.05" customHeight="1" x14ac:dyDescent="0.45">
      <c r="A1217" s="1">
        <v>1216</v>
      </c>
      <c r="B1217" s="113" t="s">
        <v>924</v>
      </c>
      <c r="C1217" s="57" t="s">
        <v>24</v>
      </c>
      <c r="D1217" s="427">
        <v>3339</v>
      </c>
      <c r="E1217" s="57" t="s">
        <v>1991</v>
      </c>
      <c r="F1217" s="57" t="s">
        <v>1958</v>
      </c>
      <c r="G1217" s="57">
        <v>3203</v>
      </c>
      <c r="H1217" s="57" t="s">
        <v>1961</v>
      </c>
      <c r="I1217" s="57" t="s">
        <v>1962</v>
      </c>
      <c r="J1217" s="184" t="s">
        <v>58</v>
      </c>
      <c r="K1217" s="184" t="s">
        <v>57</v>
      </c>
      <c r="L1217" s="434">
        <v>0.6</v>
      </c>
      <c r="M1217" s="184" t="s">
        <v>1732</v>
      </c>
      <c r="N1217" s="443" t="s">
        <v>1733</v>
      </c>
      <c r="O1217" s="38" t="s">
        <v>461</v>
      </c>
      <c r="P1217" s="127">
        <v>1</v>
      </c>
      <c r="Q1217" s="434">
        <v>0.1</v>
      </c>
      <c r="R1217" s="127"/>
      <c r="S1217" s="66">
        <f t="shared" si="36"/>
        <v>0</v>
      </c>
      <c r="T1217" s="67">
        <f t="shared" si="37"/>
        <v>0</v>
      </c>
      <c r="U1217" s="66" t="s">
        <v>83</v>
      </c>
      <c r="V1217" s="66"/>
      <c r="W1217" s="143"/>
    </row>
    <row r="1218" spans="1:23" ht="16.05" customHeight="1" x14ac:dyDescent="0.45">
      <c r="A1218" s="1">
        <v>1217</v>
      </c>
      <c r="B1218" s="113" t="s">
        <v>924</v>
      </c>
      <c r="C1218" s="57" t="s">
        <v>24</v>
      </c>
      <c r="D1218" s="427">
        <v>3339</v>
      </c>
      <c r="E1218" s="57" t="s">
        <v>1991</v>
      </c>
      <c r="F1218" s="57" t="s">
        <v>1958</v>
      </c>
      <c r="G1218" s="57">
        <v>3203</v>
      </c>
      <c r="H1218" s="57" t="s">
        <v>1961</v>
      </c>
      <c r="I1218" s="57" t="s">
        <v>1962</v>
      </c>
      <c r="J1218" s="184" t="s">
        <v>58</v>
      </c>
      <c r="K1218" s="184" t="s">
        <v>57</v>
      </c>
      <c r="L1218" s="434">
        <v>0.6</v>
      </c>
      <c r="M1218" s="184" t="s">
        <v>1997</v>
      </c>
      <c r="N1218" s="443" t="s">
        <v>1998</v>
      </c>
      <c r="O1218" s="38" t="s">
        <v>453</v>
      </c>
      <c r="P1218" s="129">
        <v>0.995</v>
      </c>
      <c r="Q1218" s="434">
        <v>0.15</v>
      </c>
      <c r="R1218" s="129"/>
      <c r="S1218" s="66">
        <f t="shared" ref="S1218:S1281" si="38">ROUND(IF(OR(P1218="",R1218=""),0,IF(AND(P1218=0,R1218=0),1,IF(U1218="+",R1218/P1218,P1218/R1218))),2)</f>
        <v>0</v>
      </c>
      <c r="T1218" s="67">
        <f t="shared" ref="T1218:T1281" si="39">IF(AND(S1218&gt;=60%,S1218&lt;100%),S1218*((Q1218*L1218)),IF(S1218=100%,((Q1218*L1218)*S1218)*100%,IF(S1218&gt;100%,((L1218*Q1218)*100%)*100%,0)))*100</f>
        <v>0</v>
      </c>
      <c r="U1218" s="66" t="s">
        <v>34</v>
      </c>
      <c r="V1218" s="66"/>
      <c r="W1218" s="143"/>
    </row>
    <row r="1219" spans="1:23" ht="16.05" customHeight="1" x14ac:dyDescent="0.45">
      <c r="A1219" s="1">
        <v>1218</v>
      </c>
      <c r="B1219" s="113" t="s">
        <v>924</v>
      </c>
      <c r="C1219" s="57" t="s">
        <v>24</v>
      </c>
      <c r="D1219" s="427">
        <v>3339</v>
      </c>
      <c r="E1219" s="57" t="s">
        <v>1991</v>
      </c>
      <c r="F1219" s="57" t="s">
        <v>1958</v>
      </c>
      <c r="G1219" s="57">
        <v>3203</v>
      </c>
      <c r="H1219" s="57" t="s">
        <v>1961</v>
      </c>
      <c r="I1219" s="57" t="s">
        <v>1962</v>
      </c>
      <c r="J1219" s="184" t="s">
        <v>58</v>
      </c>
      <c r="K1219" s="184" t="s">
        <v>57</v>
      </c>
      <c r="L1219" s="434">
        <v>0.6</v>
      </c>
      <c r="M1219" s="184" t="s">
        <v>442</v>
      </c>
      <c r="N1219" s="443" t="s">
        <v>443</v>
      </c>
      <c r="O1219" s="38" t="s">
        <v>1999</v>
      </c>
      <c r="P1219" s="627">
        <v>0.03</v>
      </c>
      <c r="Q1219" s="434">
        <v>0.15</v>
      </c>
      <c r="R1219" s="627"/>
      <c r="S1219" s="66">
        <f t="shared" si="38"/>
        <v>0</v>
      </c>
      <c r="T1219" s="67">
        <f t="shared" si="39"/>
        <v>0</v>
      </c>
      <c r="U1219" s="66" t="s">
        <v>83</v>
      </c>
      <c r="V1219" s="66"/>
      <c r="W1219" s="143"/>
    </row>
    <row r="1220" spans="1:23" ht="16.05" customHeight="1" x14ac:dyDescent="0.45">
      <c r="A1220" s="1">
        <v>1219</v>
      </c>
      <c r="B1220" s="113" t="s">
        <v>924</v>
      </c>
      <c r="C1220" s="57" t="s">
        <v>24</v>
      </c>
      <c r="D1220" s="427">
        <v>3339</v>
      </c>
      <c r="E1220" s="57" t="s">
        <v>1991</v>
      </c>
      <c r="F1220" s="57" t="s">
        <v>1958</v>
      </c>
      <c r="G1220" s="57">
        <v>3203</v>
      </c>
      <c r="H1220" s="57" t="s">
        <v>1961</v>
      </c>
      <c r="I1220" s="57" t="s">
        <v>1962</v>
      </c>
      <c r="J1220" s="182" t="s">
        <v>111</v>
      </c>
      <c r="K1220" s="182" t="s">
        <v>110</v>
      </c>
      <c r="L1220" s="418">
        <v>0.4</v>
      </c>
      <c r="M1220" s="334" t="s">
        <v>1926</v>
      </c>
      <c r="N1220" s="640" t="s">
        <v>1927</v>
      </c>
      <c r="O1220" s="136" t="s">
        <v>467</v>
      </c>
      <c r="P1220" s="138">
        <v>1</v>
      </c>
      <c r="Q1220" s="418">
        <v>0.2</v>
      </c>
      <c r="R1220" s="138"/>
      <c r="S1220" s="143">
        <f t="shared" si="38"/>
        <v>0</v>
      </c>
      <c r="T1220" s="142">
        <f t="shared" si="39"/>
        <v>0</v>
      </c>
      <c r="U1220" s="143" t="s">
        <v>34</v>
      </c>
      <c r="V1220" s="143"/>
      <c r="W1220" s="143"/>
    </row>
    <row r="1221" spans="1:23" ht="16.05" customHeight="1" x14ac:dyDescent="0.45">
      <c r="A1221" s="1">
        <v>1220</v>
      </c>
      <c r="B1221" s="113" t="s">
        <v>924</v>
      </c>
      <c r="C1221" s="57" t="s">
        <v>24</v>
      </c>
      <c r="D1221" s="427">
        <v>3339</v>
      </c>
      <c r="E1221" s="57" t="s">
        <v>1991</v>
      </c>
      <c r="F1221" s="57" t="s">
        <v>1958</v>
      </c>
      <c r="G1221" s="57">
        <v>3203</v>
      </c>
      <c r="H1221" s="57" t="s">
        <v>1961</v>
      </c>
      <c r="I1221" s="57" t="s">
        <v>1962</v>
      </c>
      <c r="J1221" s="182" t="s">
        <v>111</v>
      </c>
      <c r="K1221" s="182" t="s">
        <v>110</v>
      </c>
      <c r="L1221" s="418">
        <v>0.4</v>
      </c>
      <c r="M1221" s="334" t="s">
        <v>419</v>
      </c>
      <c r="N1221" s="640" t="s">
        <v>420</v>
      </c>
      <c r="O1221" s="136" t="s">
        <v>459</v>
      </c>
      <c r="P1221" s="138">
        <v>1</v>
      </c>
      <c r="Q1221" s="418">
        <v>0.2</v>
      </c>
      <c r="R1221" s="138"/>
      <c r="S1221" s="143">
        <f t="shared" si="38"/>
        <v>0</v>
      </c>
      <c r="T1221" s="142">
        <f t="shared" si="39"/>
        <v>0</v>
      </c>
      <c r="U1221" s="143" t="s">
        <v>34</v>
      </c>
      <c r="V1221" s="143"/>
      <c r="W1221" s="143"/>
    </row>
    <row r="1222" spans="1:23" ht="16.05" customHeight="1" x14ac:dyDescent="0.45">
      <c r="A1222" s="1">
        <v>1221</v>
      </c>
      <c r="B1222" s="113" t="s">
        <v>924</v>
      </c>
      <c r="C1222" s="57" t="s">
        <v>24</v>
      </c>
      <c r="D1222" s="427">
        <v>3339</v>
      </c>
      <c r="E1222" s="57" t="s">
        <v>1991</v>
      </c>
      <c r="F1222" s="57" t="s">
        <v>1958</v>
      </c>
      <c r="G1222" s="57">
        <v>3203</v>
      </c>
      <c r="H1222" s="57" t="s">
        <v>1961</v>
      </c>
      <c r="I1222" s="57" t="s">
        <v>1962</v>
      </c>
      <c r="J1222" s="182" t="s">
        <v>111</v>
      </c>
      <c r="K1222" s="182" t="s">
        <v>110</v>
      </c>
      <c r="L1222" s="418">
        <v>0.4</v>
      </c>
      <c r="M1222" s="334" t="s">
        <v>1974</v>
      </c>
      <c r="N1222" s="640" t="s">
        <v>1975</v>
      </c>
      <c r="O1222" s="136" t="s">
        <v>1976</v>
      </c>
      <c r="P1222" s="138">
        <v>1</v>
      </c>
      <c r="Q1222" s="418">
        <v>0.1</v>
      </c>
      <c r="R1222" s="138"/>
      <c r="S1222" s="143">
        <f t="shared" si="38"/>
        <v>0</v>
      </c>
      <c r="T1222" s="142">
        <f t="shared" si="39"/>
        <v>0</v>
      </c>
      <c r="U1222" s="143" t="s">
        <v>34</v>
      </c>
      <c r="V1222" s="143"/>
      <c r="W1222" s="143"/>
    </row>
    <row r="1223" spans="1:23" ht="16.05" customHeight="1" x14ac:dyDescent="0.45">
      <c r="A1223" s="1">
        <v>1222</v>
      </c>
      <c r="B1223" s="113" t="s">
        <v>924</v>
      </c>
      <c r="C1223" s="57" t="s">
        <v>24</v>
      </c>
      <c r="D1223" s="427">
        <v>3339</v>
      </c>
      <c r="E1223" s="57" t="s">
        <v>1991</v>
      </c>
      <c r="F1223" s="57" t="s">
        <v>1958</v>
      </c>
      <c r="G1223" s="57">
        <v>3203</v>
      </c>
      <c r="H1223" s="57" t="s">
        <v>1961</v>
      </c>
      <c r="I1223" s="57" t="s">
        <v>1962</v>
      </c>
      <c r="J1223" s="182" t="s">
        <v>111</v>
      </c>
      <c r="K1223" s="182" t="s">
        <v>110</v>
      </c>
      <c r="L1223" s="418">
        <v>0.4</v>
      </c>
      <c r="M1223" s="334" t="s">
        <v>1977</v>
      </c>
      <c r="N1223" s="640" t="s">
        <v>1978</v>
      </c>
      <c r="O1223" s="136" t="s">
        <v>1979</v>
      </c>
      <c r="P1223" s="138">
        <v>1</v>
      </c>
      <c r="Q1223" s="418">
        <v>0.2</v>
      </c>
      <c r="R1223" s="138"/>
      <c r="S1223" s="143">
        <f t="shared" si="38"/>
        <v>0</v>
      </c>
      <c r="T1223" s="142">
        <f t="shared" si="39"/>
        <v>0</v>
      </c>
      <c r="U1223" s="143" t="s">
        <v>34</v>
      </c>
      <c r="V1223" s="143"/>
      <c r="W1223" s="143"/>
    </row>
    <row r="1224" spans="1:23" ht="16.05" customHeight="1" x14ac:dyDescent="0.45">
      <c r="A1224" s="1">
        <v>1223</v>
      </c>
      <c r="B1224" s="113" t="s">
        <v>924</v>
      </c>
      <c r="C1224" s="57" t="s">
        <v>24</v>
      </c>
      <c r="D1224" s="427">
        <v>3339</v>
      </c>
      <c r="E1224" s="57" t="s">
        <v>1991</v>
      </c>
      <c r="F1224" s="57" t="s">
        <v>1958</v>
      </c>
      <c r="G1224" s="57">
        <v>3203</v>
      </c>
      <c r="H1224" s="57" t="s">
        <v>1961</v>
      </c>
      <c r="I1224" s="57" t="s">
        <v>1962</v>
      </c>
      <c r="J1224" s="182" t="s">
        <v>111</v>
      </c>
      <c r="K1224" s="182" t="s">
        <v>110</v>
      </c>
      <c r="L1224" s="418">
        <v>0.4</v>
      </c>
      <c r="M1224" s="334" t="s">
        <v>1980</v>
      </c>
      <c r="N1224" s="640" t="s">
        <v>1981</v>
      </c>
      <c r="O1224" s="136" t="s">
        <v>1982</v>
      </c>
      <c r="P1224" s="138">
        <v>1</v>
      </c>
      <c r="Q1224" s="418">
        <v>0.2</v>
      </c>
      <c r="R1224" s="138"/>
      <c r="S1224" s="143">
        <f t="shared" si="38"/>
        <v>0</v>
      </c>
      <c r="T1224" s="142">
        <f t="shared" si="39"/>
        <v>0</v>
      </c>
      <c r="U1224" s="143" t="s">
        <v>34</v>
      </c>
      <c r="V1224" s="143"/>
      <c r="W1224" s="143"/>
    </row>
    <row r="1225" spans="1:23" ht="16.05" customHeight="1" x14ac:dyDescent="0.45">
      <c r="A1225" s="1">
        <v>1224</v>
      </c>
      <c r="B1225" s="113" t="s">
        <v>924</v>
      </c>
      <c r="C1225" s="57" t="s">
        <v>24</v>
      </c>
      <c r="D1225" s="427">
        <v>3339</v>
      </c>
      <c r="E1225" s="57" t="s">
        <v>1991</v>
      </c>
      <c r="F1225" s="57" t="s">
        <v>1958</v>
      </c>
      <c r="G1225" s="57">
        <v>3203</v>
      </c>
      <c r="H1225" s="57" t="s">
        <v>1961</v>
      </c>
      <c r="I1225" s="57" t="s">
        <v>1962</v>
      </c>
      <c r="J1225" s="182" t="s">
        <v>111</v>
      </c>
      <c r="K1225" s="182" t="s">
        <v>110</v>
      </c>
      <c r="L1225" s="418">
        <v>0.4</v>
      </c>
      <c r="M1225" s="334" t="s">
        <v>417</v>
      </c>
      <c r="N1225" s="640" t="s">
        <v>418</v>
      </c>
      <c r="O1225" s="136" t="s">
        <v>462</v>
      </c>
      <c r="P1225" s="138">
        <v>1</v>
      </c>
      <c r="Q1225" s="418">
        <v>0.1</v>
      </c>
      <c r="R1225" s="138"/>
      <c r="S1225" s="143">
        <f t="shared" si="38"/>
        <v>0</v>
      </c>
      <c r="T1225" s="142">
        <f t="shared" si="39"/>
        <v>0</v>
      </c>
      <c r="U1225" s="143" t="s">
        <v>34</v>
      </c>
      <c r="V1225" s="143"/>
      <c r="W1225" s="143"/>
    </row>
    <row r="1226" spans="1:23" ht="16.05" customHeight="1" x14ac:dyDescent="0.45">
      <c r="A1226" s="1">
        <v>1225</v>
      </c>
      <c r="B1226" s="99" t="s">
        <v>924</v>
      </c>
      <c r="C1226" s="99" t="s">
        <v>24</v>
      </c>
      <c r="D1226" s="349">
        <v>3526</v>
      </c>
      <c r="E1226" s="99" t="s">
        <v>2000</v>
      </c>
      <c r="F1226" s="99" t="s">
        <v>1958</v>
      </c>
      <c r="G1226" s="91">
        <v>3203</v>
      </c>
      <c r="H1226" s="99" t="s">
        <v>925</v>
      </c>
      <c r="I1226" s="99" t="s">
        <v>1962</v>
      </c>
      <c r="J1226" s="3" t="s">
        <v>58</v>
      </c>
      <c r="K1226" s="3" t="s">
        <v>57</v>
      </c>
      <c r="L1226" s="350">
        <v>0.6</v>
      </c>
      <c r="M1226" s="91" t="s">
        <v>2001</v>
      </c>
      <c r="N1226" s="181" t="s">
        <v>438</v>
      </c>
      <c r="O1226" s="121" t="s">
        <v>2002</v>
      </c>
      <c r="P1226" s="637">
        <v>560641</v>
      </c>
      <c r="Q1226" s="350">
        <v>0.2</v>
      </c>
      <c r="R1226" s="637"/>
      <c r="S1226" s="148">
        <f t="shared" si="38"/>
        <v>0</v>
      </c>
      <c r="T1226" s="99">
        <f t="shared" si="39"/>
        <v>0</v>
      </c>
      <c r="U1226" s="95" t="s">
        <v>34</v>
      </c>
      <c r="V1226" s="461">
        <f>SUM(T1226:T1238)%</f>
        <v>0</v>
      </c>
      <c r="W1226" s="148"/>
    </row>
    <row r="1227" spans="1:23" ht="16.05" customHeight="1" x14ac:dyDescent="0.45">
      <c r="A1227" s="1">
        <v>1226</v>
      </c>
      <c r="B1227" s="59" t="s">
        <v>924</v>
      </c>
      <c r="C1227" s="59" t="s">
        <v>24</v>
      </c>
      <c r="D1227" s="413">
        <v>3526</v>
      </c>
      <c r="E1227" s="59" t="s">
        <v>2000</v>
      </c>
      <c r="F1227" s="59" t="s">
        <v>1958</v>
      </c>
      <c r="G1227" s="334">
        <v>3203</v>
      </c>
      <c r="H1227" s="59" t="s">
        <v>925</v>
      </c>
      <c r="I1227" s="59" t="s">
        <v>1962</v>
      </c>
      <c r="J1227" s="184" t="s">
        <v>58</v>
      </c>
      <c r="K1227" s="184" t="s">
        <v>57</v>
      </c>
      <c r="L1227" s="360">
        <v>0.6</v>
      </c>
      <c r="M1227" s="476"/>
      <c r="N1227" s="638" t="s">
        <v>1994</v>
      </c>
      <c r="O1227" s="476" t="s">
        <v>2003</v>
      </c>
      <c r="P1227" s="639">
        <v>1680</v>
      </c>
      <c r="Q1227" s="360">
        <v>0.1</v>
      </c>
      <c r="R1227" s="639"/>
      <c r="S1227" s="153">
        <f t="shared" si="38"/>
        <v>0</v>
      </c>
      <c r="T1227" s="476">
        <f t="shared" si="39"/>
        <v>0</v>
      </c>
      <c r="U1227" s="476" t="s">
        <v>34</v>
      </c>
      <c r="V1227" s="153"/>
      <c r="W1227" s="156"/>
    </row>
    <row r="1228" spans="1:23" ht="16.05" customHeight="1" x14ac:dyDescent="0.45">
      <c r="A1228" s="1">
        <v>1227</v>
      </c>
      <c r="B1228" s="59" t="s">
        <v>924</v>
      </c>
      <c r="C1228" s="59" t="s">
        <v>24</v>
      </c>
      <c r="D1228" s="413">
        <v>3526</v>
      </c>
      <c r="E1228" s="59" t="s">
        <v>2000</v>
      </c>
      <c r="F1228" s="59" t="s">
        <v>1958</v>
      </c>
      <c r="G1228" s="334">
        <v>3203</v>
      </c>
      <c r="H1228" s="59" t="s">
        <v>925</v>
      </c>
      <c r="I1228" s="59" t="s">
        <v>1962</v>
      </c>
      <c r="J1228" s="184" t="s">
        <v>58</v>
      </c>
      <c r="K1228" s="184" t="s">
        <v>57</v>
      </c>
      <c r="L1228" s="360">
        <v>0.6</v>
      </c>
      <c r="M1228" s="476" t="s">
        <v>1971</v>
      </c>
      <c r="N1228" s="638" t="s">
        <v>1972</v>
      </c>
      <c r="O1228" s="476" t="s">
        <v>458</v>
      </c>
      <c r="P1228" s="127">
        <v>0.88</v>
      </c>
      <c r="Q1228" s="360">
        <v>0.15</v>
      </c>
      <c r="R1228" s="127"/>
      <c r="S1228" s="153">
        <f t="shared" si="38"/>
        <v>0</v>
      </c>
      <c r="T1228" s="476">
        <f t="shared" si="39"/>
        <v>0</v>
      </c>
      <c r="U1228" s="476" t="s">
        <v>34</v>
      </c>
      <c r="V1228" s="153"/>
      <c r="W1228" s="156"/>
    </row>
    <row r="1229" spans="1:23" ht="16.05" customHeight="1" x14ac:dyDescent="0.45">
      <c r="A1229" s="1">
        <v>1228</v>
      </c>
      <c r="B1229" s="59" t="s">
        <v>924</v>
      </c>
      <c r="C1229" s="59" t="s">
        <v>24</v>
      </c>
      <c r="D1229" s="413">
        <v>3526</v>
      </c>
      <c r="E1229" s="59" t="s">
        <v>2000</v>
      </c>
      <c r="F1229" s="59" t="s">
        <v>1958</v>
      </c>
      <c r="G1229" s="334">
        <v>3203</v>
      </c>
      <c r="H1229" s="59" t="s">
        <v>925</v>
      </c>
      <c r="I1229" s="59" t="s">
        <v>1962</v>
      </c>
      <c r="J1229" s="184" t="s">
        <v>58</v>
      </c>
      <c r="K1229" s="184" t="s">
        <v>57</v>
      </c>
      <c r="L1229" s="360">
        <v>0.6</v>
      </c>
      <c r="M1229" s="641" t="s">
        <v>80</v>
      </c>
      <c r="N1229" s="642" t="s">
        <v>81</v>
      </c>
      <c r="O1229" s="641" t="s">
        <v>82</v>
      </c>
      <c r="P1229" s="627">
        <v>0.01</v>
      </c>
      <c r="Q1229" s="360">
        <v>0.15</v>
      </c>
      <c r="R1229" s="627"/>
      <c r="S1229" s="153">
        <f t="shared" si="38"/>
        <v>0</v>
      </c>
      <c r="T1229" s="476">
        <f t="shared" si="39"/>
        <v>0</v>
      </c>
      <c r="U1229" s="476" t="s">
        <v>83</v>
      </c>
      <c r="V1229" s="153"/>
      <c r="W1229" s="156"/>
    </row>
    <row r="1230" spans="1:23" ht="16.05" customHeight="1" x14ac:dyDescent="0.45">
      <c r="A1230" s="1">
        <v>1229</v>
      </c>
      <c r="B1230" s="59" t="s">
        <v>924</v>
      </c>
      <c r="C1230" s="59" t="s">
        <v>24</v>
      </c>
      <c r="D1230" s="413">
        <v>3526</v>
      </c>
      <c r="E1230" s="59" t="s">
        <v>2000</v>
      </c>
      <c r="F1230" s="59" t="s">
        <v>1958</v>
      </c>
      <c r="G1230" s="334">
        <v>3203</v>
      </c>
      <c r="H1230" s="59" t="s">
        <v>925</v>
      </c>
      <c r="I1230" s="59" t="s">
        <v>1962</v>
      </c>
      <c r="J1230" s="184" t="s">
        <v>58</v>
      </c>
      <c r="K1230" s="184" t="s">
        <v>57</v>
      </c>
      <c r="L1230" s="360">
        <v>0.6</v>
      </c>
      <c r="M1230" s="476" t="s">
        <v>1732</v>
      </c>
      <c r="N1230" s="638" t="s">
        <v>1733</v>
      </c>
      <c r="O1230" s="476" t="s">
        <v>461</v>
      </c>
      <c r="P1230" s="127">
        <v>1</v>
      </c>
      <c r="Q1230" s="360">
        <v>0.1</v>
      </c>
      <c r="R1230" s="127"/>
      <c r="S1230" s="153">
        <f t="shared" si="38"/>
        <v>0</v>
      </c>
      <c r="T1230" s="476">
        <f t="shared" si="39"/>
        <v>0</v>
      </c>
      <c r="U1230" s="476" t="s">
        <v>34</v>
      </c>
      <c r="V1230" s="153"/>
      <c r="W1230" s="156"/>
    </row>
    <row r="1231" spans="1:23" ht="16.05" customHeight="1" x14ac:dyDescent="0.45">
      <c r="A1231" s="1">
        <v>1230</v>
      </c>
      <c r="B1231" s="59" t="s">
        <v>924</v>
      </c>
      <c r="C1231" s="59" t="s">
        <v>24</v>
      </c>
      <c r="D1231" s="413">
        <v>3526</v>
      </c>
      <c r="E1231" s="59" t="s">
        <v>2000</v>
      </c>
      <c r="F1231" s="59" t="s">
        <v>1958</v>
      </c>
      <c r="G1231" s="334">
        <v>3203</v>
      </c>
      <c r="H1231" s="59" t="s">
        <v>925</v>
      </c>
      <c r="I1231" s="59" t="s">
        <v>1962</v>
      </c>
      <c r="J1231" s="184" t="s">
        <v>58</v>
      </c>
      <c r="K1231" s="184" t="s">
        <v>57</v>
      </c>
      <c r="L1231" s="360">
        <v>0.6</v>
      </c>
      <c r="M1231" s="476" t="s">
        <v>2004</v>
      </c>
      <c r="N1231" s="638" t="s">
        <v>2005</v>
      </c>
      <c r="O1231" s="476" t="s">
        <v>453</v>
      </c>
      <c r="P1231" s="129">
        <v>0.995</v>
      </c>
      <c r="Q1231" s="360">
        <v>0.15</v>
      </c>
      <c r="R1231" s="129"/>
      <c r="S1231" s="153">
        <f t="shared" si="38"/>
        <v>0</v>
      </c>
      <c r="T1231" s="476">
        <f t="shared" si="39"/>
        <v>0</v>
      </c>
      <c r="U1231" s="476" t="s">
        <v>34</v>
      </c>
      <c r="V1231" s="153"/>
      <c r="W1231" s="156"/>
    </row>
    <row r="1232" spans="1:23" ht="16.05" customHeight="1" x14ac:dyDescent="0.45">
      <c r="A1232" s="1">
        <v>1231</v>
      </c>
      <c r="B1232" s="59" t="s">
        <v>924</v>
      </c>
      <c r="C1232" s="59" t="s">
        <v>24</v>
      </c>
      <c r="D1232" s="413">
        <v>3526</v>
      </c>
      <c r="E1232" s="59" t="s">
        <v>2000</v>
      </c>
      <c r="F1232" s="59" t="s">
        <v>1958</v>
      </c>
      <c r="G1232" s="334">
        <v>3203</v>
      </c>
      <c r="H1232" s="59" t="s">
        <v>925</v>
      </c>
      <c r="I1232" s="59" t="s">
        <v>1962</v>
      </c>
      <c r="J1232" s="184" t="s">
        <v>58</v>
      </c>
      <c r="K1232" s="184" t="s">
        <v>57</v>
      </c>
      <c r="L1232" s="360">
        <v>0.6</v>
      </c>
      <c r="M1232" s="476" t="s">
        <v>442</v>
      </c>
      <c r="N1232" s="638" t="s">
        <v>443</v>
      </c>
      <c r="O1232" s="476" t="s">
        <v>2006</v>
      </c>
      <c r="P1232" s="627">
        <v>0.01</v>
      </c>
      <c r="Q1232" s="360">
        <v>0.15</v>
      </c>
      <c r="R1232" s="627"/>
      <c r="S1232" s="153">
        <f t="shared" si="38"/>
        <v>0</v>
      </c>
      <c r="T1232" s="476">
        <f t="shared" si="39"/>
        <v>0</v>
      </c>
      <c r="U1232" s="476" t="s">
        <v>83</v>
      </c>
      <c r="V1232" s="153"/>
      <c r="W1232" s="156"/>
    </row>
    <row r="1233" spans="1:23" ht="16.05" customHeight="1" x14ac:dyDescent="0.45">
      <c r="A1233" s="1">
        <v>1232</v>
      </c>
      <c r="B1233" s="113" t="s">
        <v>924</v>
      </c>
      <c r="C1233" s="59" t="s">
        <v>24</v>
      </c>
      <c r="D1233" s="358">
        <v>3526</v>
      </c>
      <c r="E1233" s="113" t="s">
        <v>2000</v>
      </c>
      <c r="F1233" s="113" t="s">
        <v>1958</v>
      </c>
      <c r="G1233" s="357">
        <v>3203</v>
      </c>
      <c r="H1233" s="113" t="s">
        <v>925</v>
      </c>
      <c r="I1233" s="113" t="s">
        <v>1962</v>
      </c>
      <c r="J1233" s="182" t="s">
        <v>111</v>
      </c>
      <c r="K1233" s="182" t="s">
        <v>110</v>
      </c>
      <c r="L1233" s="368">
        <v>0.4</v>
      </c>
      <c r="M1233" s="113" t="s">
        <v>1926</v>
      </c>
      <c r="N1233" s="643" t="s">
        <v>1927</v>
      </c>
      <c r="O1233" s="113" t="s">
        <v>467</v>
      </c>
      <c r="P1233" s="138">
        <v>1</v>
      </c>
      <c r="Q1233" s="368">
        <v>0.2</v>
      </c>
      <c r="R1233" s="138"/>
      <c r="S1233" s="387">
        <f t="shared" si="38"/>
        <v>0</v>
      </c>
      <c r="T1233" s="113">
        <f t="shared" si="39"/>
        <v>0</v>
      </c>
      <c r="U1233" s="113" t="s">
        <v>34</v>
      </c>
      <c r="V1233" s="387"/>
      <c r="W1233" s="156"/>
    </row>
    <row r="1234" spans="1:23" ht="16.05" customHeight="1" x14ac:dyDescent="0.45">
      <c r="A1234" s="1">
        <v>1233</v>
      </c>
      <c r="B1234" s="113" t="s">
        <v>924</v>
      </c>
      <c r="C1234" s="59" t="s">
        <v>24</v>
      </c>
      <c r="D1234" s="358">
        <v>3526</v>
      </c>
      <c r="E1234" s="113" t="s">
        <v>2000</v>
      </c>
      <c r="F1234" s="113" t="s">
        <v>1958</v>
      </c>
      <c r="G1234" s="357">
        <v>3203</v>
      </c>
      <c r="H1234" s="113" t="s">
        <v>925</v>
      </c>
      <c r="I1234" s="113" t="s">
        <v>1962</v>
      </c>
      <c r="J1234" s="182" t="s">
        <v>111</v>
      </c>
      <c r="K1234" s="182" t="s">
        <v>110</v>
      </c>
      <c r="L1234" s="368">
        <v>0.4</v>
      </c>
      <c r="M1234" s="113" t="s">
        <v>419</v>
      </c>
      <c r="N1234" s="643" t="s">
        <v>420</v>
      </c>
      <c r="O1234" s="113" t="s">
        <v>459</v>
      </c>
      <c r="P1234" s="138">
        <v>1</v>
      </c>
      <c r="Q1234" s="368">
        <v>0.2</v>
      </c>
      <c r="R1234" s="138"/>
      <c r="S1234" s="387">
        <f t="shared" si="38"/>
        <v>0</v>
      </c>
      <c r="T1234" s="113">
        <f t="shared" si="39"/>
        <v>0</v>
      </c>
      <c r="U1234" s="113" t="s">
        <v>34</v>
      </c>
      <c r="V1234" s="387"/>
      <c r="W1234" s="156"/>
    </row>
    <row r="1235" spans="1:23" ht="16.05" customHeight="1" x14ac:dyDescent="0.45">
      <c r="A1235" s="1">
        <v>1234</v>
      </c>
      <c r="B1235" s="113" t="s">
        <v>924</v>
      </c>
      <c r="C1235" s="59" t="s">
        <v>24</v>
      </c>
      <c r="D1235" s="358">
        <v>3526</v>
      </c>
      <c r="E1235" s="113" t="s">
        <v>2000</v>
      </c>
      <c r="F1235" s="113" t="s">
        <v>1958</v>
      </c>
      <c r="G1235" s="357">
        <v>3203</v>
      </c>
      <c r="H1235" s="113" t="s">
        <v>925</v>
      </c>
      <c r="I1235" s="113" t="s">
        <v>1962</v>
      </c>
      <c r="J1235" s="182" t="s">
        <v>111</v>
      </c>
      <c r="K1235" s="182" t="s">
        <v>110</v>
      </c>
      <c r="L1235" s="368">
        <v>0.4</v>
      </c>
      <c r="M1235" s="113" t="s">
        <v>1974</v>
      </c>
      <c r="N1235" s="643" t="s">
        <v>1975</v>
      </c>
      <c r="O1235" s="113" t="s">
        <v>1976</v>
      </c>
      <c r="P1235" s="138">
        <v>1</v>
      </c>
      <c r="Q1235" s="368">
        <v>0.1</v>
      </c>
      <c r="R1235" s="138"/>
      <c r="S1235" s="387">
        <f t="shared" si="38"/>
        <v>0</v>
      </c>
      <c r="T1235" s="113">
        <f t="shared" si="39"/>
        <v>0</v>
      </c>
      <c r="U1235" s="113" t="s">
        <v>34</v>
      </c>
      <c r="V1235" s="387"/>
      <c r="W1235" s="156"/>
    </row>
    <row r="1236" spans="1:23" ht="16.05" customHeight="1" x14ac:dyDescent="0.45">
      <c r="A1236" s="1">
        <v>1235</v>
      </c>
      <c r="B1236" s="113" t="s">
        <v>924</v>
      </c>
      <c r="C1236" s="59" t="s">
        <v>24</v>
      </c>
      <c r="D1236" s="358">
        <v>3526</v>
      </c>
      <c r="E1236" s="113" t="s">
        <v>2000</v>
      </c>
      <c r="F1236" s="113" t="s">
        <v>1958</v>
      </c>
      <c r="G1236" s="357">
        <v>3203</v>
      </c>
      <c r="H1236" s="113" t="s">
        <v>925</v>
      </c>
      <c r="I1236" s="113" t="s">
        <v>1962</v>
      </c>
      <c r="J1236" s="182" t="s">
        <v>111</v>
      </c>
      <c r="K1236" s="182" t="s">
        <v>110</v>
      </c>
      <c r="L1236" s="368">
        <v>0.4</v>
      </c>
      <c r="M1236" s="113" t="s">
        <v>1977</v>
      </c>
      <c r="N1236" s="643" t="s">
        <v>1978</v>
      </c>
      <c r="O1236" s="113" t="s">
        <v>1979</v>
      </c>
      <c r="P1236" s="138">
        <v>1</v>
      </c>
      <c r="Q1236" s="368">
        <v>0.2</v>
      </c>
      <c r="R1236" s="138"/>
      <c r="S1236" s="387">
        <f t="shared" si="38"/>
        <v>0</v>
      </c>
      <c r="T1236" s="113">
        <f t="shared" si="39"/>
        <v>0</v>
      </c>
      <c r="U1236" s="113" t="s">
        <v>34</v>
      </c>
      <c r="V1236" s="387"/>
      <c r="W1236" s="387"/>
    </row>
    <row r="1237" spans="1:23" ht="16.05" customHeight="1" x14ac:dyDescent="0.45">
      <c r="A1237" s="1">
        <v>1236</v>
      </c>
      <c r="B1237" s="113" t="s">
        <v>924</v>
      </c>
      <c r="C1237" s="59" t="s">
        <v>24</v>
      </c>
      <c r="D1237" s="358">
        <v>3526</v>
      </c>
      <c r="E1237" s="113" t="s">
        <v>2000</v>
      </c>
      <c r="F1237" s="113" t="s">
        <v>1958</v>
      </c>
      <c r="G1237" s="357">
        <v>3203</v>
      </c>
      <c r="H1237" s="113" t="s">
        <v>925</v>
      </c>
      <c r="I1237" s="113" t="s">
        <v>1962</v>
      </c>
      <c r="J1237" s="182" t="s">
        <v>111</v>
      </c>
      <c r="K1237" s="182" t="s">
        <v>110</v>
      </c>
      <c r="L1237" s="368">
        <v>0.4</v>
      </c>
      <c r="M1237" s="113" t="s">
        <v>1980</v>
      </c>
      <c r="N1237" s="643" t="s">
        <v>1981</v>
      </c>
      <c r="O1237" s="113" t="s">
        <v>1982</v>
      </c>
      <c r="P1237" s="138">
        <v>1</v>
      </c>
      <c r="Q1237" s="368">
        <v>0.2</v>
      </c>
      <c r="R1237" s="138"/>
      <c r="S1237" s="387">
        <f t="shared" si="38"/>
        <v>0</v>
      </c>
      <c r="T1237" s="113">
        <f t="shared" si="39"/>
        <v>0</v>
      </c>
      <c r="U1237" s="113" t="s">
        <v>34</v>
      </c>
      <c r="V1237" s="387"/>
      <c r="W1237" s="387"/>
    </row>
    <row r="1238" spans="1:23" ht="16.05" customHeight="1" x14ac:dyDescent="0.45">
      <c r="A1238" s="1">
        <v>1237</v>
      </c>
      <c r="B1238" s="113" t="s">
        <v>924</v>
      </c>
      <c r="C1238" s="59" t="s">
        <v>24</v>
      </c>
      <c r="D1238" s="358">
        <v>3526</v>
      </c>
      <c r="E1238" s="113" t="s">
        <v>2000</v>
      </c>
      <c r="F1238" s="113" t="s">
        <v>1958</v>
      </c>
      <c r="G1238" s="357">
        <v>3203</v>
      </c>
      <c r="H1238" s="113" t="s">
        <v>925</v>
      </c>
      <c r="I1238" s="113" t="s">
        <v>1962</v>
      </c>
      <c r="J1238" s="182" t="s">
        <v>111</v>
      </c>
      <c r="K1238" s="182" t="s">
        <v>110</v>
      </c>
      <c r="L1238" s="368">
        <v>0.4</v>
      </c>
      <c r="M1238" s="113" t="s">
        <v>417</v>
      </c>
      <c r="N1238" s="643" t="s">
        <v>418</v>
      </c>
      <c r="O1238" s="113" t="s">
        <v>462</v>
      </c>
      <c r="P1238" s="138">
        <v>1</v>
      </c>
      <c r="Q1238" s="368">
        <v>0.1</v>
      </c>
      <c r="R1238" s="138"/>
      <c r="S1238" s="387">
        <f t="shared" si="38"/>
        <v>0</v>
      </c>
      <c r="T1238" s="113">
        <f t="shared" si="39"/>
        <v>0</v>
      </c>
      <c r="U1238" s="113" t="s">
        <v>34</v>
      </c>
      <c r="V1238" s="387"/>
      <c r="W1238" s="387"/>
    </row>
    <row r="1239" spans="1:23" ht="16.05" customHeight="1" x14ac:dyDescent="0.45">
      <c r="A1239" s="1">
        <v>1238</v>
      </c>
      <c r="B1239" s="236" t="s">
        <v>924</v>
      </c>
      <c r="C1239" s="187" t="s">
        <v>24</v>
      </c>
      <c r="D1239" s="349">
        <v>5140</v>
      </c>
      <c r="E1239" s="236" t="s">
        <v>2007</v>
      </c>
      <c r="F1239" s="236" t="s">
        <v>257</v>
      </c>
      <c r="G1239" s="236">
        <v>3717</v>
      </c>
      <c r="H1239" s="236" t="s">
        <v>1476</v>
      </c>
      <c r="I1239" s="187" t="s">
        <v>175</v>
      </c>
      <c r="J1239" s="236" t="s">
        <v>58</v>
      </c>
      <c r="K1239" s="236" t="s">
        <v>57</v>
      </c>
      <c r="L1239" s="350">
        <v>0.8</v>
      </c>
      <c r="M1239" s="236" t="s">
        <v>1523</v>
      </c>
      <c r="N1239" s="236" t="s">
        <v>1524</v>
      </c>
      <c r="O1239" s="187"/>
      <c r="P1239" s="243">
        <v>50</v>
      </c>
      <c r="Q1239" s="350">
        <v>0.3</v>
      </c>
      <c r="R1239" s="243"/>
      <c r="S1239" s="148">
        <f t="shared" si="38"/>
        <v>0</v>
      </c>
      <c r="T1239" s="99">
        <f t="shared" si="39"/>
        <v>0</v>
      </c>
      <c r="U1239" s="644" t="s">
        <v>34</v>
      </c>
      <c r="V1239" s="645">
        <f>SUM(T1239:T1247)%</f>
        <v>0</v>
      </c>
      <c r="W1239" s="236"/>
    </row>
    <row r="1240" spans="1:23" ht="16.05" customHeight="1" x14ac:dyDescent="0.45">
      <c r="A1240" s="1">
        <v>1239</v>
      </c>
      <c r="B1240" s="198" t="s">
        <v>924</v>
      </c>
      <c r="C1240" s="246" t="s">
        <v>24</v>
      </c>
      <c r="D1240" s="358">
        <v>5140</v>
      </c>
      <c r="E1240" s="646" t="s">
        <v>2007</v>
      </c>
      <c r="F1240" s="646" t="s">
        <v>257</v>
      </c>
      <c r="G1240" s="646">
        <v>3717</v>
      </c>
      <c r="H1240" s="198" t="s">
        <v>1476</v>
      </c>
      <c r="I1240" s="198" t="s">
        <v>175</v>
      </c>
      <c r="J1240" s="647" t="s">
        <v>58</v>
      </c>
      <c r="K1240" s="79" t="s">
        <v>57</v>
      </c>
      <c r="L1240" s="360">
        <v>0.8</v>
      </c>
      <c r="M1240" s="647" t="s">
        <v>1525</v>
      </c>
      <c r="N1240" s="647" t="s">
        <v>1526</v>
      </c>
      <c r="O1240" s="647"/>
      <c r="P1240" s="647">
        <v>1</v>
      </c>
      <c r="Q1240" s="360">
        <v>0.2</v>
      </c>
      <c r="R1240" s="647"/>
      <c r="S1240" s="153">
        <f t="shared" si="38"/>
        <v>0</v>
      </c>
      <c r="T1240" s="476">
        <f t="shared" si="39"/>
        <v>0</v>
      </c>
      <c r="U1240" s="647" t="s">
        <v>34</v>
      </c>
      <c r="V1240" s="647"/>
      <c r="W1240" s="647"/>
    </row>
    <row r="1241" spans="1:23" ht="16.05" customHeight="1" x14ac:dyDescent="0.45">
      <c r="A1241" s="1">
        <v>1240</v>
      </c>
      <c r="B1241" s="198" t="s">
        <v>924</v>
      </c>
      <c r="C1241" s="246" t="s">
        <v>24</v>
      </c>
      <c r="D1241" s="358">
        <v>5140</v>
      </c>
      <c r="E1241" s="646" t="s">
        <v>2007</v>
      </c>
      <c r="F1241" s="646" t="s">
        <v>257</v>
      </c>
      <c r="G1241" s="646">
        <v>3717</v>
      </c>
      <c r="H1241" s="198" t="s">
        <v>1476</v>
      </c>
      <c r="I1241" s="198" t="s">
        <v>175</v>
      </c>
      <c r="J1241" s="79" t="s">
        <v>58</v>
      </c>
      <c r="K1241" s="79" t="s">
        <v>57</v>
      </c>
      <c r="L1241" s="360">
        <v>0.8</v>
      </c>
      <c r="M1241" s="79" t="s">
        <v>1527</v>
      </c>
      <c r="N1241" s="204" t="s">
        <v>1528</v>
      </c>
      <c r="O1241" s="79"/>
      <c r="P1241" s="204">
        <v>1</v>
      </c>
      <c r="Q1241" s="360">
        <v>0.15</v>
      </c>
      <c r="R1241" s="204"/>
      <c r="S1241" s="153">
        <f t="shared" si="38"/>
        <v>0</v>
      </c>
      <c r="T1241" s="476">
        <f t="shared" si="39"/>
        <v>0</v>
      </c>
      <c r="U1241" s="647" t="s">
        <v>34</v>
      </c>
      <c r="V1241" s="79"/>
      <c r="W1241" s="79"/>
    </row>
    <row r="1242" spans="1:23" ht="16.05" customHeight="1" x14ac:dyDescent="0.45">
      <c r="A1242" s="1">
        <v>1241</v>
      </c>
      <c r="B1242" s="198" t="s">
        <v>924</v>
      </c>
      <c r="C1242" s="246" t="s">
        <v>24</v>
      </c>
      <c r="D1242" s="358">
        <v>5140</v>
      </c>
      <c r="E1242" s="646" t="s">
        <v>2007</v>
      </c>
      <c r="F1242" s="646" t="s">
        <v>257</v>
      </c>
      <c r="G1242" s="646">
        <v>3717</v>
      </c>
      <c r="H1242" s="198" t="s">
        <v>1476</v>
      </c>
      <c r="I1242" s="198" t="s">
        <v>175</v>
      </c>
      <c r="J1242" s="647" t="s">
        <v>58</v>
      </c>
      <c r="K1242" s="79" t="s">
        <v>57</v>
      </c>
      <c r="L1242" s="360">
        <v>0.8</v>
      </c>
      <c r="M1242" s="647" t="s">
        <v>188</v>
      </c>
      <c r="N1242" s="647" t="s">
        <v>189</v>
      </c>
      <c r="O1242" s="647"/>
      <c r="P1242" s="647">
        <v>0.01</v>
      </c>
      <c r="Q1242" s="360">
        <v>0.15</v>
      </c>
      <c r="R1242" s="647"/>
      <c r="S1242" s="153">
        <f t="shared" si="38"/>
        <v>0</v>
      </c>
      <c r="T1242" s="476">
        <f t="shared" si="39"/>
        <v>0</v>
      </c>
      <c r="U1242" s="647" t="s">
        <v>83</v>
      </c>
      <c r="V1242" s="647"/>
      <c r="W1242" s="647"/>
    </row>
    <row r="1243" spans="1:23" ht="16.05" customHeight="1" x14ac:dyDescent="0.45">
      <c r="A1243" s="1">
        <v>1242</v>
      </c>
      <c r="B1243" s="198" t="s">
        <v>924</v>
      </c>
      <c r="C1243" s="246" t="s">
        <v>24</v>
      </c>
      <c r="D1243" s="358">
        <v>5140</v>
      </c>
      <c r="E1243" s="646" t="s">
        <v>2007</v>
      </c>
      <c r="F1243" s="646" t="s">
        <v>257</v>
      </c>
      <c r="G1243" s="646">
        <v>3717</v>
      </c>
      <c r="H1243" s="198" t="s">
        <v>1476</v>
      </c>
      <c r="I1243" s="198" t="s">
        <v>175</v>
      </c>
      <c r="J1243" s="647" t="s">
        <v>58</v>
      </c>
      <c r="K1243" s="79" t="s">
        <v>57</v>
      </c>
      <c r="L1243" s="360">
        <v>0.8</v>
      </c>
      <c r="M1243" s="647" t="s">
        <v>1529</v>
      </c>
      <c r="N1243" s="647" t="s">
        <v>1530</v>
      </c>
      <c r="O1243" s="647"/>
      <c r="P1243" s="647">
        <v>1</v>
      </c>
      <c r="Q1243" s="360">
        <v>0.2</v>
      </c>
      <c r="R1243" s="647"/>
      <c r="S1243" s="153">
        <f t="shared" si="38"/>
        <v>0</v>
      </c>
      <c r="T1243" s="476">
        <f t="shared" si="39"/>
        <v>0</v>
      </c>
      <c r="U1243" s="647" t="s">
        <v>34</v>
      </c>
      <c r="V1243" s="647"/>
      <c r="W1243" s="647"/>
    </row>
    <row r="1244" spans="1:23" ht="16.05" customHeight="1" x14ac:dyDescent="0.45">
      <c r="A1244" s="1">
        <v>1243</v>
      </c>
      <c r="B1244" s="198" t="s">
        <v>924</v>
      </c>
      <c r="C1244" s="246" t="s">
        <v>24</v>
      </c>
      <c r="D1244" s="358">
        <v>5140</v>
      </c>
      <c r="E1244" s="646" t="s">
        <v>2007</v>
      </c>
      <c r="F1244" s="646" t="s">
        <v>257</v>
      </c>
      <c r="G1244" s="646">
        <v>3717</v>
      </c>
      <c r="H1244" s="198" t="s">
        <v>1476</v>
      </c>
      <c r="I1244" s="198" t="s">
        <v>175</v>
      </c>
      <c r="J1244" s="648" t="s">
        <v>111</v>
      </c>
      <c r="K1244" s="648" t="s">
        <v>110</v>
      </c>
      <c r="L1244" s="368">
        <v>0.2</v>
      </c>
      <c r="M1244" s="649" t="s">
        <v>1531</v>
      </c>
      <c r="N1244" s="649" t="s">
        <v>1532</v>
      </c>
      <c r="O1244" s="649"/>
      <c r="P1244" s="649">
        <v>1</v>
      </c>
      <c r="Q1244" s="368">
        <v>0.15</v>
      </c>
      <c r="R1244" s="649"/>
      <c r="S1244" s="156">
        <f t="shared" si="38"/>
        <v>0</v>
      </c>
      <c r="T1244" s="59">
        <f t="shared" si="39"/>
        <v>0</v>
      </c>
      <c r="U1244" s="650" t="s">
        <v>34</v>
      </c>
      <c r="V1244" s="651"/>
      <c r="W1244" s="649"/>
    </row>
    <row r="1245" spans="1:23" ht="16.05" customHeight="1" x14ac:dyDescent="0.45">
      <c r="A1245" s="1">
        <v>1244</v>
      </c>
      <c r="B1245" s="198" t="s">
        <v>924</v>
      </c>
      <c r="C1245" s="246" t="s">
        <v>24</v>
      </c>
      <c r="D1245" s="358">
        <v>5140</v>
      </c>
      <c r="E1245" s="646" t="s">
        <v>2007</v>
      </c>
      <c r="F1245" s="646" t="s">
        <v>257</v>
      </c>
      <c r="G1245" s="646">
        <v>3717</v>
      </c>
      <c r="H1245" s="198" t="s">
        <v>1476</v>
      </c>
      <c r="I1245" s="198" t="s">
        <v>175</v>
      </c>
      <c r="J1245" s="648" t="s">
        <v>111</v>
      </c>
      <c r="K1245" s="648" t="s">
        <v>110</v>
      </c>
      <c r="L1245" s="368">
        <v>0.2</v>
      </c>
      <c r="M1245" s="649" t="s">
        <v>1533</v>
      </c>
      <c r="N1245" s="649" t="s">
        <v>1534</v>
      </c>
      <c r="O1245" s="649"/>
      <c r="P1245" s="649">
        <v>1</v>
      </c>
      <c r="Q1245" s="368">
        <v>0.3</v>
      </c>
      <c r="R1245" s="649"/>
      <c r="S1245" s="156">
        <f t="shared" si="38"/>
        <v>0</v>
      </c>
      <c r="T1245" s="59">
        <f t="shared" si="39"/>
        <v>0</v>
      </c>
      <c r="U1245" s="650" t="s">
        <v>34</v>
      </c>
      <c r="V1245" s="651"/>
      <c r="W1245" s="649"/>
    </row>
    <row r="1246" spans="1:23" ht="16.05" customHeight="1" x14ac:dyDescent="0.45">
      <c r="A1246" s="1">
        <v>1245</v>
      </c>
      <c r="B1246" s="198" t="s">
        <v>924</v>
      </c>
      <c r="C1246" s="246" t="s">
        <v>24</v>
      </c>
      <c r="D1246" s="358">
        <v>5140</v>
      </c>
      <c r="E1246" s="646" t="s">
        <v>2007</v>
      </c>
      <c r="F1246" s="646" t="s">
        <v>257</v>
      </c>
      <c r="G1246" s="646">
        <v>3717</v>
      </c>
      <c r="H1246" s="198" t="s">
        <v>1476</v>
      </c>
      <c r="I1246" s="198" t="s">
        <v>175</v>
      </c>
      <c r="J1246" s="648" t="s">
        <v>111</v>
      </c>
      <c r="K1246" s="648" t="s">
        <v>110</v>
      </c>
      <c r="L1246" s="368">
        <v>0.2</v>
      </c>
      <c r="M1246" s="649" t="s">
        <v>1535</v>
      </c>
      <c r="N1246" s="649" t="s">
        <v>1536</v>
      </c>
      <c r="O1246" s="649"/>
      <c r="P1246" s="222">
        <v>1</v>
      </c>
      <c r="Q1246" s="368">
        <v>0.3</v>
      </c>
      <c r="R1246" s="222"/>
      <c r="S1246" s="156">
        <f t="shared" si="38"/>
        <v>0</v>
      </c>
      <c r="T1246" s="59">
        <f t="shared" si="39"/>
        <v>0</v>
      </c>
      <c r="U1246" s="650" t="s">
        <v>34</v>
      </c>
      <c r="V1246" s="651"/>
      <c r="W1246" s="649"/>
    </row>
    <row r="1247" spans="1:23" ht="16.05" customHeight="1" x14ac:dyDescent="0.45">
      <c r="A1247" s="1">
        <v>1246</v>
      </c>
      <c r="B1247" s="198" t="s">
        <v>924</v>
      </c>
      <c r="C1247" s="246" t="s">
        <v>24</v>
      </c>
      <c r="D1247" s="358">
        <v>5140</v>
      </c>
      <c r="E1247" s="646" t="s">
        <v>2007</v>
      </c>
      <c r="F1247" s="646" t="s">
        <v>257</v>
      </c>
      <c r="G1247" s="646">
        <v>3717</v>
      </c>
      <c r="H1247" s="198" t="s">
        <v>1476</v>
      </c>
      <c r="I1247" s="198" t="s">
        <v>175</v>
      </c>
      <c r="J1247" s="648" t="s">
        <v>111</v>
      </c>
      <c r="K1247" s="648" t="s">
        <v>110</v>
      </c>
      <c r="L1247" s="368">
        <v>0.2</v>
      </c>
      <c r="M1247" s="649" t="s">
        <v>1537</v>
      </c>
      <c r="N1247" s="649" t="s">
        <v>1538</v>
      </c>
      <c r="O1247" s="649"/>
      <c r="P1247" s="222">
        <v>1</v>
      </c>
      <c r="Q1247" s="368">
        <v>0.25</v>
      </c>
      <c r="R1247" s="222"/>
      <c r="S1247" s="156">
        <f t="shared" si="38"/>
        <v>0</v>
      </c>
      <c r="T1247" s="59">
        <f t="shared" si="39"/>
        <v>0</v>
      </c>
      <c r="U1247" s="650" t="s">
        <v>34</v>
      </c>
      <c r="V1247" s="651"/>
      <c r="W1247" s="649"/>
    </row>
    <row r="1248" spans="1:23" ht="16.05" customHeight="1" x14ac:dyDescent="0.45">
      <c r="A1248" s="1">
        <v>1247</v>
      </c>
      <c r="B1248" s="295" t="s">
        <v>924</v>
      </c>
      <c r="C1248" s="187" t="s">
        <v>24</v>
      </c>
      <c r="D1248" s="349">
        <v>3525</v>
      </c>
      <c r="E1248" s="187" t="s">
        <v>2008</v>
      </c>
      <c r="F1248" s="187" t="s">
        <v>2009</v>
      </c>
      <c r="G1248" s="652">
        <v>3379</v>
      </c>
      <c r="H1248" s="187" t="s">
        <v>1132</v>
      </c>
      <c r="I1248" s="187" t="s">
        <v>1134</v>
      </c>
      <c r="J1248" s="653" t="s">
        <v>58</v>
      </c>
      <c r="K1248" s="653" t="s">
        <v>57</v>
      </c>
      <c r="L1248" s="350">
        <v>0.6</v>
      </c>
      <c r="M1248" s="653" t="s">
        <v>2010</v>
      </c>
      <c r="N1248" s="653" t="s">
        <v>438</v>
      </c>
      <c r="O1248" s="653" t="s">
        <v>452</v>
      </c>
      <c r="P1248" s="654">
        <v>1</v>
      </c>
      <c r="Q1248" s="350">
        <v>0.2</v>
      </c>
      <c r="R1248" s="654"/>
      <c r="S1248" s="148">
        <f t="shared" si="38"/>
        <v>0</v>
      </c>
      <c r="T1248" s="99">
        <f t="shared" si="39"/>
        <v>0</v>
      </c>
      <c r="U1248" s="195" t="s">
        <v>34</v>
      </c>
      <c r="V1248" s="645">
        <f>SUM(T1248:T1260)%</f>
        <v>0</v>
      </c>
      <c r="W1248" s="195"/>
    </row>
    <row r="1249" spans="1:23" ht="16.05" customHeight="1" x14ac:dyDescent="0.45">
      <c r="A1249" s="1">
        <v>1248</v>
      </c>
      <c r="B1249" s="655" t="s">
        <v>924</v>
      </c>
      <c r="C1249" s="246" t="s">
        <v>24</v>
      </c>
      <c r="D1249" s="358">
        <v>3525</v>
      </c>
      <c r="E1249" s="199" t="s">
        <v>2008</v>
      </c>
      <c r="F1249" s="246" t="s">
        <v>2009</v>
      </c>
      <c r="G1249" s="656">
        <v>3379</v>
      </c>
      <c r="H1249" s="246" t="s">
        <v>1132</v>
      </c>
      <c r="I1249" s="246" t="s">
        <v>1134</v>
      </c>
      <c r="J1249" s="79" t="s">
        <v>58</v>
      </c>
      <c r="K1249" s="79" t="s">
        <v>57</v>
      </c>
      <c r="L1249" s="360">
        <v>0.6</v>
      </c>
      <c r="M1249" s="79" t="s">
        <v>444</v>
      </c>
      <c r="N1249" s="79" t="s">
        <v>445</v>
      </c>
      <c r="O1249" s="79" t="s">
        <v>2011</v>
      </c>
      <c r="P1249" s="657">
        <v>1</v>
      </c>
      <c r="Q1249" s="360">
        <v>0.1</v>
      </c>
      <c r="R1249" s="657"/>
      <c r="S1249" s="153">
        <f t="shared" si="38"/>
        <v>0</v>
      </c>
      <c r="T1249" s="476">
        <f t="shared" si="39"/>
        <v>0</v>
      </c>
      <c r="U1249" s="206" t="s">
        <v>34</v>
      </c>
      <c r="V1249" s="206"/>
      <c r="W1249" s="206"/>
    </row>
    <row r="1250" spans="1:23" ht="16.05" customHeight="1" x14ac:dyDescent="0.45">
      <c r="A1250" s="1">
        <v>1249</v>
      </c>
      <c r="B1250" s="655" t="s">
        <v>924</v>
      </c>
      <c r="C1250" s="246" t="s">
        <v>24</v>
      </c>
      <c r="D1250" s="358">
        <v>3525</v>
      </c>
      <c r="E1250" s="199" t="s">
        <v>2008</v>
      </c>
      <c r="F1250" s="246" t="s">
        <v>2009</v>
      </c>
      <c r="G1250" s="656">
        <v>3379</v>
      </c>
      <c r="H1250" s="246" t="s">
        <v>1132</v>
      </c>
      <c r="I1250" s="246" t="s">
        <v>1134</v>
      </c>
      <c r="J1250" s="79" t="s">
        <v>58</v>
      </c>
      <c r="K1250" s="79" t="s">
        <v>57</v>
      </c>
      <c r="L1250" s="360">
        <v>0.6</v>
      </c>
      <c r="M1250" s="79" t="s">
        <v>1971</v>
      </c>
      <c r="N1250" s="79" t="s">
        <v>1972</v>
      </c>
      <c r="O1250" s="79" t="s">
        <v>2012</v>
      </c>
      <c r="P1250" s="657">
        <v>0.88</v>
      </c>
      <c r="Q1250" s="360">
        <v>0.15</v>
      </c>
      <c r="R1250" s="657"/>
      <c r="S1250" s="153">
        <f t="shared" si="38"/>
        <v>0</v>
      </c>
      <c r="T1250" s="476">
        <f t="shared" si="39"/>
        <v>0</v>
      </c>
      <c r="U1250" s="206" t="s">
        <v>34</v>
      </c>
      <c r="V1250" s="206"/>
      <c r="W1250" s="206"/>
    </row>
    <row r="1251" spans="1:23" ht="16.05" customHeight="1" x14ac:dyDescent="0.45">
      <c r="A1251" s="1">
        <v>1250</v>
      </c>
      <c r="B1251" s="655" t="s">
        <v>924</v>
      </c>
      <c r="C1251" s="246" t="s">
        <v>24</v>
      </c>
      <c r="D1251" s="358">
        <v>3525</v>
      </c>
      <c r="E1251" s="199" t="s">
        <v>2008</v>
      </c>
      <c r="F1251" s="246" t="s">
        <v>2009</v>
      </c>
      <c r="G1251" s="656">
        <v>3379</v>
      </c>
      <c r="H1251" s="246" t="s">
        <v>1132</v>
      </c>
      <c r="I1251" s="246" t="s">
        <v>1134</v>
      </c>
      <c r="J1251" s="79" t="s">
        <v>58</v>
      </c>
      <c r="K1251" s="79" t="s">
        <v>57</v>
      </c>
      <c r="L1251" s="360">
        <v>0.6</v>
      </c>
      <c r="M1251" s="79" t="s">
        <v>2013</v>
      </c>
      <c r="N1251" s="79" t="s">
        <v>2014</v>
      </c>
      <c r="O1251" s="79" t="s">
        <v>2015</v>
      </c>
      <c r="P1251" s="657">
        <v>0.998</v>
      </c>
      <c r="Q1251" s="360">
        <v>0.15</v>
      </c>
      <c r="R1251" s="657"/>
      <c r="S1251" s="153">
        <f t="shared" si="38"/>
        <v>0</v>
      </c>
      <c r="T1251" s="476">
        <f t="shared" si="39"/>
        <v>0</v>
      </c>
      <c r="U1251" s="206" t="s">
        <v>34</v>
      </c>
      <c r="V1251" s="206"/>
      <c r="W1251" s="206"/>
    </row>
    <row r="1252" spans="1:23" ht="16.05" customHeight="1" x14ac:dyDescent="0.45">
      <c r="A1252" s="1">
        <v>1251</v>
      </c>
      <c r="B1252" s="655" t="s">
        <v>924</v>
      </c>
      <c r="C1252" s="246" t="s">
        <v>24</v>
      </c>
      <c r="D1252" s="358">
        <v>3525</v>
      </c>
      <c r="E1252" s="199" t="s">
        <v>2008</v>
      </c>
      <c r="F1252" s="246" t="s">
        <v>2009</v>
      </c>
      <c r="G1252" s="656">
        <v>3379</v>
      </c>
      <c r="H1252" s="246" t="s">
        <v>1132</v>
      </c>
      <c r="I1252" s="246" t="s">
        <v>1134</v>
      </c>
      <c r="J1252" s="79" t="s">
        <v>58</v>
      </c>
      <c r="K1252" s="79" t="s">
        <v>57</v>
      </c>
      <c r="L1252" s="360">
        <v>0.6</v>
      </c>
      <c r="M1252" s="79" t="s">
        <v>1732</v>
      </c>
      <c r="N1252" s="79" t="s">
        <v>1733</v>
      </c>
      <c r="O1252" s="79" t="s">
        <v>2016</v>
      </c>
      <c r="P1252" s="657">
        <v>1</v>
      </c>
      <c r="Q1252" s="360">
        <v>0.1</v>
      </c>
      <c r="R1252" s="657"/>
      <c r="S1252" s="153">
        <f t="shared" si="38"/>
        <v>0</v>
      </c>
      <c r="T1252" s="476">
        <f t="shared" si="39"/>
        <v>0</v>
      </c>
      <c r="U1252" s="206" t="s">
        <v>34</v>
      </c>
      <c r="V1252" s="206"/>
      <c r="W1252" s="206"/>
    </row>
    <row r="1253" spans="1:23" ht="16.05" customHeight="1" x14ac:dyDescent="0.45">
      <c r="A1253" s="1">
        <v>1252</v>
      </c>
      <c r="B1253" s="655" t="s">
        <v>924</v>
      </c>
      <c r="C1253" s="246" t="s">
        <v>24</v>
      </c>
      <c r="D1253" s="358">
        <v>3525</v>
      </c>
      <c r="E1253" s="199" t="s">
        <v>2008</v>
      </c>
      <c r="F1253" s="246" t="s">
        <v>2009</v>
      </c>
      <c r="G1253" s="656">
        <v>3379</v>
      </c>
      <c r="H1253" s="246" t="s">
        <v>1132</v>
      </c>
      <c r="I1253" s="246" t="s">
        <v>1134</v>
      </c>
      <c r="J1253" s="79" t="s">
        <v>58</v>
      </c>
      <c r="K1253" s="79" t="s">
        <v>57</v>
      </c>
      <c r="L1253" s="360">
        <v>0.6</v>
      </c>
      <c r="M1253" s="79" t="s">
        <v>2017</v>
      </c>
      <c r="N1253" s="79" t="s">
        <v>1998</v>
      </c>
      <c r="O1253" s="79" t="s">
        <v>453</v>
      </c>
      <c r="P1253" s="658">
        <v>0.995</v>
      </c>
      <c r="Q1253" s="360">
        <v>0.15</v>
      </c>
      <c r="R1253" s="658"/>
      <c r="S1253" s="153">
        <f t="shared" si="38"/>
        <v>0</v>
      </c>
      <c r="T1253" s="476">
        <f t="shared" si="39"/>
        <v>0</v>
      </c>
      <c r="U1253" s="206" t="s">
        <v>34</v>
      </c>
      <c r="V1253" s="206"/>
      <c r="W1253" s="206"/>
    </row>
    <row r="1254" spans="1:23" ht="16.05" customHeight="1" x14ac:dyDescent="0.45">
      <c r="A1254" s="1">
        <v>1253</v>
      </c>
      <c r="B1254" s="655" t="s">
        <v>924</v>
      </c>
      <c r="C1254" s="246" t="s">
        <v>24</v>
      </c>
      <c r="D1254" s="358">
        <v>3525</v>
      </c>
      <c r="E1254" s="199" t="s">
        <v>2008</v>
      </c>
      <c r="F1254" s="246" t="s">
        <v>2009</v>
      </c>
      <c r="G1254" s="656">
        <v>3379</v>
      </c>
      <c r="H1254" s="246" t="s">
        <v>1132</v>
      </c>
      <c r="I1254" s="246" t="s">
        <v>1134</v>
      </c>
      <c r="J1254" s="79" t="s">
        <v>58</v>
      </c>
      <c r="K1254" s="79" t="s">
        <v>57</v>
      </c>
      <c r="L1254" s="360">
        <v>0.6</v>
      </c>
      <c r="M1254" s="79" t="s">
        <v>442</v>
      </c>
      <c r="N1254" s="79" t="s">
        <v>443</v>
      </c>
      <c r="O1254" s="79" t="s">
        <v>2018</v>
      </c>
      <c r="P1254" s="657">
        <v>1</v>
      </c>
      <c r="Q1254" s="360">
        <v>0.15</v>
      </c>
      <c r="R1254" s="657"/>
      <c r="S1254" s="153">
        <f t="shared" si="38"/>
        <v>0</v>
      </c>
      <c r="T1254" s="476">
        <f t="shared" si="39"/>
        <v>0</v>
      </c>
      <c r="U1254" s="206" t="s">
        <v>34</v>
      </c>
      <c r="V1254" s="206"/>
      <c r="W1254" s="206"/>
    </row>
    <row r="1255" spans="1:23" ht="16.05" customHeight="1" x14ac:dyDescent="0.45">
      <c r="A1255" s="1">
        <v>1254</v>
      </c>
      <c r="B1255" s="655" t="s">
        <v>924</v>
      </c>
      <c r="C1255" s="246" t="s">
        <v>24</v>
      </c>
      <c r="D1255" s="358">
        <v>3525</v>
      </c>
      <c r="E1255" s="199" t="s">
        <v>2008</v>
      </c>
      <c r="F1255" s="246" t="s">
        <v>2009</v>
      </c>
      <c r="G1255" s="656">
        <v>3379</v>
      </c>
      <c r="H1255" s="246" t="s">
        <v>1132</v>
      </c>
      <c r="I1255" s="246" t="s">
        <v>1134</v>
      </c>
      <c r="J1255" s="648" t="s">
        <v>111</v>
      </c>
      <c r="K1255" s="648" t="s">
        <v>110</v>
      </c>
      <c r="L1255" s="368">
        <v>0.4</v>
      </c>
      <c r="M1255" s="253" t="s">
        <v>1926</v>
      </c>
      <c r="N1255" s="253" t="s">
        <v>1927</v>
      </c>
      <c r="O1255" s="253" t="s">
        <v>467</v>
      </c>
      <c r="P1255" s="659">
        <v>1</v>
      </c>
      <c r="Q1255" s="368">
        <v>0.2</v>
      </c>
      <c r="R1255" s="659"/>
      <c r="S1255" s="156">
        <f t="shared" si="38"/>
        <v>0</v>
      </c>
      <c r="T1255" s="59">
        <f t="shared" si="39"/>
        <v>0</v>
      </c>
      <c r="U1255" s="262" t="s">
        <v>34</v>
      </c>
      <c r="V1255" s="262"/>
      <c r="W1255" s="262"/>
    </row>
    <row r="1256" spans="1:23" ht="16.05" customHeight="1" x14ac:dyDescent="0.45">
      <c r="A1256" s="1">
        <v>1255</v>
      </c>
      <c r="B1256" s="655" t="s">
        <v>924</v>
      </c>
      <c r="C1256" s="246" t="s">
        <v>24</v>
      </c>
      <c r="D1256" s="358">
        <v>3525</v>
      </c>
      <c r="E1256" s="199" t="s">
        <v>2008</v>
      </c>
      <c r="F1256" s="246" t="s">
        <v>2009</v>
      </c>
      <c r="G1256" s="656">
        <v>3379</v>
      </c>
      <c r="H1256" s="246" t="s">
        <v>1132</v>
      </c>
      <c r="I1256" s="246" t="s">
        <v>1134</v>
      </c>
      <c r="J1256" s="648" t="s">
        <v>111</v>
      </c>
      <c r="K1256" s="648" t="s">
        <v>110</v>
      </c>
      <c r="L1256" s="368">
        <v>0.4</v>
      </c>
      <c r="M1256" s="253" t="s">
        <v>419</v>
      </c>
      <c r="N1256" s="253" t="s">
        <v>420</v>
      </c>
      <c r="O1256" s="253" t="s">
        <v>459</v>
      </c>
      <c r="P1256" s="659">
        <v>1</v>
      </c>
      <c r="Q1256" s="368">
        <v>0.2</v>
      </c>
      <c r="R1256" s="659"/>
      <c r="S1256" s="156">
        <f t="shared" si="38"/>
        <v>0</v>
      </c>
      <c r="T1256" s="59">
        <f t="shared" si="39"/>
        <v>0</v>
      </c>
      <c r="U1256" s="262" t="s">
        <v>34</v>
      </c>
      <c r="V1256" s="262"/>
      <c r="W1256" s="262"/>
    </row>
    <row r="1257" spans="1:23" ht="16.05" customHeight="1" x14ac:dyDescent="0.45">
      <c r="A1257" s="1">
        <v>1256</v>
      </c>
      <c r="B1257" s="655" t="s">
        <v>924</v>
      </c>
      <c r="C1257" s="246" t="s">
        <v>24</v>
      </c>
      <c r="D1257" s="358">
        <v>3525</v>
      </c>
      <c r="E1257" s="199" t="s">
        <v>2008</v>
      </c>
      <c r="F1257" s="246" t="s">
        <v>2009</v>
      </c>
      <c r="G1257" s="656">
        <v>3379</v>
      </c>
      <c r="H1257" s="246" t="s">
        <v>1132</v>
      </c>
      <c r="I1257" s="246" t="s">
        <v>1134</v>
      </c>
      <c r="J1257" s="648" t="s">
        <v>111</v>
      </c>
      <c r="K1257" s="648" t="s">
        <v>110</v>
      </c>
      <c r="L1257" s="368">
        <v>0.4</v>
      </c>
      <c r="M1257" s="253" t="s">
        <v>1974</v>
      </c>
      <c r="N1257" s="253" t="s">
        <v>1975</v>
      </c>
      <c r="O1257" s="253" t="s">
        <v>1976</v>
      </c>
      <c r="P1257" s="659">
        <v>1</v>
      </c>
      <c r="Q1257" s="368">
        <v>0.1</v>
      </c>
      <c r="R1257" s="659"/>
      <c r="S1257" s="156">
        <f t="shared" si="38"/>
        <v>0</v>
      </c>
      <c r="T1257" s="59">
        <f t="shared" si="39"/>
        <v>0</v>
      </c>
      <c r="U1257" s="262" t="s">
        <v>34</v>
      </c>
      <c r="V1257" s="262"/>
      <c r="W1257" s="262"/>
    </row>
    <row r="1258" spans="1:23" ht="16.05" customHeight="1" x14ac:dyDescent="0.45">
      <c r="A1258" s="1">
        <v>1257</v>
      </c>
      <c r="B1258" s="655" t="s">
        <v>924</v>
      </c>
      <c r="C1258" s="246" t="s">
        <v>24</v>
      </c>
      <c r="D1258" s="358">
        <v>3525</v>
      </c>
      <c r="E1258" s="199" t="s">
        <v>2008</v>
      </c>
      <c r="F1258" s="246" t="s">
        <v>2009</v>
      </c>
      <c r="G1258" s="656">
        <v>3379</v>
      </c>
      <c r="H1258" s="246" t="s">
        <v>1132</v>
      </c>
      <c r="I1258" s="246" t="s">
        <v>1134</v>
      </c>
      <c r="J1258" s="648" t="s">
        <v>111</v>
      </c>
      <c r="K1258" s="648" t="s">
        <v>110</v>
      </c>
      <c r="L1258" s="368">
        <v>0.4</v>
      </c>
      <c r="M1258" s="253" t="s">
        <v>1977</v>
      </c>
      <c r="N1258" s="253" t="s">
        <v>1978</v>
      </c>
      <c r="O1258" s="253" t="s">
        <v>1979</v>
      </c>
      <c r="P1258" s="659">
        <v>1</v>
      </c>
      <c r="Q1258" s="368">
        <v>0.2</v>
      </c>
      <c r="R1258" s="659"/>
      <c r="S1258" s="156">
        <f t="shared" si="38"/>
        <v>0</v>
      </c>
      <c r="T1258" s="59">
        <f t="shared" si="39"/>
        <v>0</v>
      </c>
      <c r="U1258" s="262" t="s">
        <v>34</v>
      </c>
      <c r="V1258" s="262"/>
      <c r="W1258" s="262"/>
    </row>
    <row r="1259" spans="1:23" ht="16.05" customHeight="1" x14ac:dyDescent="0.45">
      <c r="A1259" s="1">
        <v>1258</v>
      </c>
      <c r="B1259" s="655" t="s">
        <v>924</v>
      </c>
      <c r="C1259" s="246" t="s">
        <v>24</v>
      </c>
      <c r="D1259" s="358">
        <v>3525</v>
      </c>
      <c r="E1259" s="199" t="s">
        <v>2008</v>
      </c>
      <c r="F1259" s="246" t="s">
        <v>2009</v>
      </c>
      <c r="G1259" s="656">
        <v>3379</v>
      </c>
      <c r="H1259" s="246" t="s">
        <v>1132</v>
      </c>
      <c r="I1259" s="246" t="s">
        <v>1134</v>
      </c>
      <c r="J1259" s="648" t="s">
        <v>111</v>
      </c>
      <c r="K1259" s="648" t="s">
        <v>110</v>
      </c>
      <c r="L1259" s="368">
        <v>0.4</v>
      </c>
      <c r="M1259" s="253" t="s">
        <v>1980</v>
      </c>
      <c r="N1259" s="253" t="s">
        <v>1981</v>
      </c>
      <c r="O1259" s="253" t="s">
        <v>1982</v>
      </c>
      <c r="P1259" s="659">
        <v>1</v>
      </c>
      <c r="Q1259" s="368">
        <v>0.2</v>
      </c>
      <c r="R1259" s="659"/>
      <c r="S1259" s="156">
        <f t="shared" si="38"/>
        <v>0</v>
      </c>
      <c r="T1259" s="59">
        <f t="shared" si="39"/>
        <v>0</v>
      </c>
      <c r="U1259" s="262" t="s">
        <v>34</v>
      </c>
      <c r="V1259" s="262"/>
      <c r="W1259" s="262"/>
    </row>
    <row r="1260" spans="1:23" ht="16.05" customHeight="1" x14ac:dyDescent="0.45">
      <c r="A1260" s="1">
        <v>1259</v>
      </c>
      <c r="B1260" s="655" t="s">
        <v>924</v>
      </c>
      <c r="C1260" s="246" t="s">
        <v>24</v>
      </c>
      <c r="D1260" s="358">
        <v>3525</v>
      </c>
      <c r="E1260" s="199" t="s">
        <v>2008</v>
      </c>
      <c r="F1260" s="246" t="s">
        <v>2009</v>
      </c>
      <c r="G1260" s="656">
        <v>3379</v>
      </c>
      <c r="H1260" s="246" t="s">
        <v>1132</v>
      </c>
      <c r="I1260" s="246" t="s">
        <v>1134</v>
      </c>
      <c r="J1260" s="648" t="s">
        <v>111</v>
      </c>
      <c r="K1260" s="648" t="s">
        <v>110</v>
      </c>
      <c r="L1260" s="368">
        <v>0.4</v>
      </c>
      <c r="M1260" s="253" t="s">
        <v>417</v>
      </c>
      <c r="N1260" s="253" t="s">
        <v>418</v>
      </c>
      <c r="O1260" s="253" t="s">
        <v>462</v>
      </c>
      <c r="P1260" s="659">
        <v>1</v>
      </c>
      <c r="Q1260" s="368">
        <v>0.1</v>
      </c>
      <c r="R1260" s="659"/>
      <c r="S1260" s="156">
        <f t="shared" si="38"/>
        <v>0</v>
      </c>
      <c r="T1260" s="59">
        <f t="shared" si="39"/>
        <v>0</v>
      </c>
      <c r="U1260" s="262" t="s">
        <v>34</v>
      </c>
      <c r="V1260" s="262"/>
      <c r="W1260" s="262"/>
    </row>
    <row r="1261" spans="1:23" ht="16.05" customHeight="1" x14ac:dyDescent="0.45">
      <c r="A1261" s="1">
        <v>1260</v>
      </c>
      <c r="B1261" s="653" t="s">
        <v>924</v>
      </c>
      <c r="C1261" s="653" t="s">
        <v>24</v>
      </c>
      <c r="D1261" s="349">
        <v>5933</v>
      </c>
      <c r="E1261" s="653" t="s">
        <v>1683</v>
      </c>
      <c r="F1261" s="653" t="s">
        <v>2019</v>
      </c>
      <c r="G1261" s="653">
        <v>6586</v>
      </c>
      <c r="H1261" s="653" t="s">
        <v>1888</v>
      </c>
      <c r="I1261" s="653" t="s">
        <v>1684</v>
      </c>
      <c r="J1261" s="243" t="s">
        <v>58</v>
      </c>
      <c r="K1261" s="653" t="s">
        <v>57</v>
      </c>
      <c r="L1261" s="350">
        <v>0.8</v>
      </c>
      <c r="M1261" s="660" t="s">
        <v>80</v>
      </c>
      <c r="N1261" s="660" t="s">
        <v>81</v>
      </c>
      <c r="O1261" s="661" t="s">
        <v>82</v>
      </c>
      <c r="P1261" s="662">
        <v>0.01</v>
      </c>
      <c r="Q1261" s="350">
        <v>0.15</v>
      </c>
      <c r="R1261" s="662"/>
      <c r="S1261" s="644">
        <f t="shared" si="38"/>
        <v>0</v>
      </c>
      <c r="T1261" s="653">
        <f t="shared" si="39"/>
        <v>0</v>
      </c>
      <c r="U1261" s="653" t="s">
        <v>83</v>
      </c>
      <c r="V1261" s="663">
        <f>SUM(T1261:T1273)%</f>
        <v>0</v>
      </c>
      <c r="W1261" s="664" t="s">
        <v>2020</v>
      </c>
    </row>
    <row r="1262" spans="1:23" ht="16.05" customHeight="1" x14ac:dyDescent="0.5">
      <c r="A1262" s="1">
        <v>1261</v>
      </c>
      <c r="B1262" s="648" t="s">
        <v>924</v>
      </c>
      <c r="C1262" s="648" t="s">
        <v>24</v>
      </c>
      <c r="D1262" s="358">
        <v>5933</v>
      </c>
      <c r="E1262" s="648" t="s">
        <v>1683</v>
      </c>
      <c r="F1262" s="648" t="s">
        <v>2019</v>
      </c>
      <c r="G1262" s="648">
        <v>6586</v>
      </c>
      <c r="H1262" s="648" t="s">
        <v>1888</v>
      </c>
      <c r="I1262" s="648" t="s">
        <v>1684</v>
      </c>
      <c r="J1262" s="79" t="s">
        <v>58</v>
      </c>
      <c r="K1262" s="79" t="s">
        <v>57</v>
      </c>
      <c r="L1262" s="360">
        <v>0.8</v>
      </c>
      <c r="M1262" s="665" t="s">
        <v>1922</v>
      </c>
      <c r="N1262" s="666" t="s">
        <v>1923</v>
      </c>
      <c r="O1262" s="667" t="s">
        <v>1942</v>
      </c>
      <c r="P1262" s="668">
        <v>0.995</v>
      </c>
      <c r="Q1262" s="360">
        <v>0.1</v>
      </c>
      <c r="R1262" s="668"/>
      <c r="S1262" s="647">
        <f t="shared" si="38"/>
        <v>0</v>
      </c>
      <c r="T1262" s="79">
        <f t="shared" si="39"/>
        <v>0</v>
      </c>
      <c r="U1262" s="79" t="s">
        <v>34</v>
      </c>
      <c r="V1262" s="669"/>
      <c r="W1262" s="669"/>
    </row>
    <row r="1263" spans="1:23" ht="16.05" customHeight="1" x14ac:dyDescent="0.5">
      <c r="A1263" s="1">
        <v>1262</v>
      </c>
      <c r="B1263" s="648" t="s">
        <v>924</v>
      </c>
      <c r="C1263" s="648" t="s">
        <v>24</v>
      </c>
      <c r="D1263" s="358">
        <v>5933</v>
      </c>
      <c r="E1263" s="648" t="s">
        <v>1683</v>
      </c>
      <c r="F1263" s="648" t="s">
        <v>2019</v>
      </c>
      <c r="G1263" s="648">
        <v>6586</v>
      </c>
      <c r="H1263" s="648" t="s">
        <v>1888</v>
      </c>
      <c r="I1263" s="648" t="s">
        <v>1684</v>
      </c>
      <c r="J1263" s="79" t="s">
        <v>58</v>
      </c>
      <c r="K1263" s="79" t="s">
        <v>57</v>
      </c>
      <c r="L1263" s="360">
        <v>0.8</v>
      </c>
      <c r="M1263" s="665" t="s">
        <v>1890</v>
      </c>
      <c r="N1263" s="666" t="s">
        <v>1891</v>
      </c>
      <c r="O1263" s="667" t="s">
        <v>1892</v>
      </c>
      <c r="P1263" s="670">
        <v>90000</v>
      </c>
      <c r="Q1263" s="360">
        <v>0.1</v>
      </c>
      <c r="R1263" s="670"/>
      <c r="S1263" s="647">
        <f t="shared" si="38"/>
        <v>0</v>
      </c>
      <c r="T1263" s="79">
        <f t="shared" si="39"/>
        <v>0</v>
      </c>
      <c r="U1263" s="79" t="s">
        <v>34</v>
      </c>
      <c r="V1263" s="669"/>
      <c r="W1263" s="669"/>
    </row>
    <row r="1264" spans="1:23" ht="16.05" customHeight="1" x14ac:dyDescent="0.45">
      <c r="A1264" s="1">
        <v>1263</v>
      </c>
      <c r="B1264" s="649" t="s">
        <v>924</v>
      </c>
      <c r="C1264" s="648" t="s">
        <v>24</v>
      </c>
      <c r="D1264" s="358">
        <v>5933</v>
      </c>
      <c r="E1264" s="648" t="s">
        <v>1683</v>
      </c>
      <c r="F1264" s="649" t="s">
        <v>2019</v>
      </c>
      <c r="G1264" s="649">
        <v>6586</v>
      </c>
      <c r="H1264" s="648" t="s">
        <v>1888</v>
      </c>
      <c r="I1264" s="649" t="s">
        <v>1684</v>
      </c>
      <c r="J1264" s="79" t="s">
        <v>58</v>
      </c>
      <c r="K1264" s="79" t="s">
        <v>57</v>
      </c>
      <c r="L1264" s="360">
        <v>0.8</v>
      </c>
      <c r="M1264" s="671" t="s">
        <v>2021</v>
      </c>
      <c r="N1264" s="671"/>
      <c r="O1264" s="671" t="s">
        <v>499</v>
      </c>
      <c r="P1264" s="647">
        <v>1</v>
      </c>
      <c r="Q1264" s="360">
        <v>0.1</v>
      </c>
      <c r="R1264" s="647"/>
      <c r="S1264" s="647">
        <f t="shared" si="38"/>
        <v>0</v>
      </c>
      <c r="T1264" s="79">
        <f t="shared" si="39"/>
        <v>0</v>
      </c>
      <c r="U1264" s="79" t="s">
        <v>34</v>
      </c>
      <c r="V1264" s="647"/>
      <c r="W1264" s="647"/>
    </row>
    <row r="1265" spans="1:23" ht="16.05" customHeight="1" x14ac:dyDescent="0.45">
      <c r="A1265" s="1">
        <v>1264</v>
      </c>
      <c r="B1265" s="649" t="s">
        <v>924</v>
      </c>
      <c r="C1265" s="648" t="s">
        <v>24</v>
      </c>
      <c r="D1265" s="358">
        <v>5933</v>
      </c>
      <c r="E1265" s="648" t="s">
        <v>1683</v>
      </c>
      <c r="F1265" s="649" t="s">
        <v>2019</v>
      </c>
      <c r="G1265" s="649">
        <v>6586</v>
      </c>
      <c r="H1265" s="648" t="s">
        <v>1888</v>
      </c>
      <c r="I1265" s="649" t="s">
        <v>1684</v>
      </c>
      <c r="J1265" s="79" t="s">
        <v>58</v>
      </c>
      <c r="K1265" s="79" t="s">
        <v>57</v>
      </c>
      <c r="L1265" s="360">
        <v>0.8</v>
      </c>
      <c r="M1265" s="671" t="s">
        <v>2022</v>
      </c>
      <c r="N1265" s="671"/>
      <c r="O1265" s="671"/>
      <c r="P1265" s="647">
        <v>1</v>
      </c>
      <c r="Q1265" s="360">
        <v>0.1</v>
      </c>
      <c r="R1265" s="647"/>
      <c r="S1265" s="647">
        <f t="shared" si="38"/>
        <v>0</v>
      </c>
      <c r="T1265" s="79">
        <f t="shared" si="39"/>
        <v>0</v>
      </c>
      <c r="U1265" s="79" t="s">
        <v>34</v>
      </c>
      <c r="V1265" s="647"/>
      <c r="W1265" s="647"/>
    </row>
    <row r="1266" spans="1:23" ht="16.05" customHeight="1" x14ac:dyDescent="0.45">
      <c r="A1266" s="1">
        <v>1265</v>
      </c>
      <c r="B1266" s="649" t="s">
        <v>924</v>
      </c>
      <c r="C1266" s="648" t="s">
        <v>24</v>
      </c>
      <c r="D1266" s="358">
        <v>5933</v>
      </c>
      <c r="E1266" s="648" t="s">
        <v>1683</v>
      </c>
      <c r="F1266" s="649" t="s">
        <v>2019</v>
      </c>
      <c r="G1266" s="649">
        <v>6586</v>
      </c>
      <c r="H1266" s="648" t="s">
        <v>1888</v>
      </c>
      <c r="I1266" s="649" t="s">
        <v>1684</v>
      </c>
      <c r="J1266" s="79" t="s">
        <v>58</v>
      </c>
      <c r="K1266" s="79" t="s">
        <v>57</v>
      </c>
      <c r="L1266" s="360">
        <v>0.8</v>
      </c>
      <c r="M1266" s="671" t="s">
        <v>2023</v>
      </c>
      <c r="N1266" s="671"/>
      <c r="O1266" s="671" t="s">
        <v>520</v>
      </c>
      <c r="P1266" s="647">
        <v>1</v>
      </c>
      <c r="Q1266" s="360">
        <v>0.1</v>
      </c>
      <c r="R1266" s="647"/>
      <c r="S1266" s="647">
        <f t="shared" si="38"/>
        <v>0</v>
      </c>
      <c r="T1266" s="79">
        <f t="shared" si="39"/>
        <v>0</v>
      </c>
      <c r="U1266" s="79" t="s">
        <v>34</v>
      </c>
      <c r="V1266" s="647"/>
      <c r="W1266" s="647"/>
    </row>
    <row r="1267" spans="1:23" ht="16.05" customHeight="1" x14ac:dyDescent="0.45">
      <c r="A1267" s="1">
        <v>1266</v>
      </c>
      <c r="B1267" s="649" t="s">
        <v>924</v>
      </c>
      <c r="C1267" s="648" t="s">
        <v>24</v>
      </c>
      <c r="D1267" s="358">
        <v>5933</v>
      </c>
      <c r="E1267" s="648" t="s">
        <v>1683</v>
      </c>
      <c r="F1267" s="649" t="s">
        <v>2019</v>
      </c>
      <c r="G1267" s="649">
        <v>6586</v>
      </c>
      <c r="H1267" s="648" t="s">
        <v>1888</v>
      </c>
      <c r="I1267" s="649" t="s">
        <v>1684</v>
      </c>
      <c r="J1267" s="79" t="s">
        <v>58</v>
      </c>
      <c r="K1267" s="79" t="s">
        <v>57</v>
      </c>
      <c r="L1267" s="360">
        <v>0.8</v>
      </c>
      <c r="M1267" s="671" t="s">
        <v>2024</v>
      </c>
      <c r="N1267" s="671"/>
      <c r="O1267" s="671" t="s">
        <v>2025</v>
      </c>
      <c r="P1267" s="647">
        <v>0.998</v>
      </c>
      <c r="Q1267" s="360">
        <v>0.1</v>
      </c>
      <c r="R1267" s="647"/>
      <c r="S1267" s="647">
        <f t="shared" si="38"/>
        <v>0</v>
      </c>
      <c r="T1267" s="79">
        <f t="shared" si="39"/>
        <v>0</v>
      </c>
      <c r="U1267" s="79" t="s">
        <v>34</v>
      </c>
      <c r="V1267" s="647"/>
      <c r="W1267" s="647"/>
    </row>
    <row r="1268" spans="1:23" ht="16.05" customHeight="1" x14ac:dyDescent="0.45">
      <c r="A1268" s="1">
        <v>1267</v>
      </c>
      <c r="B1268" s="649" t="s">
        <v>924</v>
      </c>
      <c r="C1268" s="648" t="s">
        <v>24</v>
      </c>
      <c r="D1268" s="358">
        <v>5933</v>
      </c>
      <c r="E1268" s="648" t="s">
        <v>1683</v>
      </c>
      <c r="F1268" s="649" t="s">
        <v>2019</v>
      </c>
      <c r="G1268" s="649">
        <v>6586</v>
      </c>
      <c r="H1268" s="648" t="s">
        <v>1888</v>
      </c>
      <c r="I1268" s="649" t="s">
        <v>1684</v>
      </c>
      <c r="J1268" s="79" t="s">
        <v>58</v>
      </c>
      <c r="K1268" s="79" t="s">
        <v>57</v>
      </c>
      <c r="L1268" s="360">
        <v>0.8</v>
      </c>
      <c r="M1268" s="671" t="s">
        <v>2026</v>
      </c>
      <c r="N1268" s="671"/>
      <c r="O1268" s="671" t="s">
        <v>2027</v>
      </c>
      <c r="P1268" s="647">
        <v>1</v>
      </c>
      <c r="Q1268" s="360">
        <v>0.15</v>
      </c>
      <c r="R1268" s="647"/>
      <c r="S1268" s="647">
        <f t="shared" si="38"/>
        <v>0</v>
      </c>
      <c r="T1268" s="79">
        <f t="shared" si="39"/>
        <v>0</v>
      </c>
      <c r="U1268" s="79" t="s">
        <v>34</v>
      </c>
      <c r="V1268" s="647"/>
      <c r="W1268" s="647"/>
    </row>
    <row r="1269" spans="1:23" ht="16.05" customHeight="1" x14ac:dyDescent="0.45">
      <c r="A1269" s="1">
        <v>1268</v>
      </c>
      <c r="B1269" s="649" t="s">
        <v>924</v>
      </c>
      <c r="C1269" s="648" t="s">
        <v>24</v>
      </c>
      <c r="D1269" s="358">
        <v>5933</v>
      </c>
      <c r="E1269" s="648" t="s">
        <v>1683</v>
      </c>
      <c r="F1269" s="649" t="s">
        <v>2019</v>
      </c>
      <c r="G1269" s="649">
        <v>6586</v>
      </c>
      <c r="H1269" s="648" t="s">
        <v>1888</v>
      </c>
      <c r="I1269" s="649" t="s">
        <v>1684</v>
      </c>
      <c r="J1269" s="79" t="s">
        <v>58</v>
      </c>
      <c r="K1269" s="79" t="s">
        <v>57</v>
      </c>
      <c r="L1269" s="360">
        <v>0.8</v>
      </c>
      <c r="M1269" s="671" t="s">
        <v>2028</v>
      </c>
      <c r="N1269" s="671"/>
      <c r="O1269" s="671" t="s">
        <v>1685</v>
      </c>
      <c r="P1269" s="647">
        <v>1</v>
      </c>
      <c r="Q1269" s="360">
        <v>0.1</v>
      </c>
      <c r="R1269" s="647"/>
      <c r="S1269" s="647">
        <f t="shared" si="38"/>
        <v>0</v>
      </c>
      <c r="T1269" s="79">
        <f t="shared" si="39"/>
        <v>0</v>
      </c>
      <c r="U1269" s="79" t="s">
        <v>34</v>
      </c>
      <c r="V1269" s="647"/>
      <c r="W1269" s="647"/>
    </row>
    <row r="1270" spans="1:23" ht="16.05" customHeight="1" x14ac:dyDescent="0.45">
      <c r="A1270" s="1">
        <v>1269</v>
      </c>
      <c r="B1270" s="649" t="s">
        <v>924</v>
      </c>
      <c r="C1270" s="648" t="s">
        <v>24</v>
      </c>
      <c r="D1270" s="358">
        <v>5933</v>
      </c>
      <c r="E1270" s="648" t="s">
        <v>1683</v>
      </c>
      <c r="F1270" s="649" t="s">
        <v>2019</v>
      </c>
      <c r="G1270" s="649">
        <v>6586</v>
      </c>
      <c r="H1270" s="648" t="s">
        <v>1888</v>
      </c>
      <c r="I1270" s="649" t="s">
        <v>1684</v>
      </c>
      <c r="J1270" s="649" t="s">
        <v>111</v>
      </c>
      <c r="K1270" s="649" t="s">
        <v>110</v>
      </c>
      <c r="L1270" s="368">
        <v>0.2</v>
      </c>
      <c r="M1270" s="672" t="s">
        <v>2029</v>
      </c>
      <c r="N1270" s="672"/>
      <c r="O1270" s="672" t="s">
        <v>1661</v>
      </c>
      <c r="P1270" s="673">
        <v>1</v>
      </c>
      <c r="Q1270" s="368">
        <v>0.25</v>
      </c>
      <c r="R1270" s="673"/>
      <c r="S1270" s="673">
        <f t="shared" si="38"/>
        <v>0</v>
      </c>
      <c r="T1270" s="649">
        <f t="shared" si="39"/>
        <v>0</v>
      </c>
      <c r="U1270" s="649" t="s">
        <v>34</v>
      </c>
      <c r="V1270" s="673"/>
      <c r="W1270" s="673"/>
    </row>
    <row r="1271" spans="1:23" ht="16.05" customHeight="1" x14ac:dyDescent="0.45">
      <c r="A1271" s="1">
        <v>1270</v>
      </c>
      <c r="B1271" s="649" t="s">
        <v>924</v>
      </c>
      <c r="C1271" s="648" t="s">
        <v>24</v>
      </c>
      <c r="D1271" s="358">
        <v>5933</v>
      </c>
      <c r="E1271" s="648" t="s">
        <v>1683</v>
      </c>
      <c r="F1271" s="649" t="s">
        <v>2019</v>
      </c>
      <c r="G1271" s="649">
        <v>6586</v>
      </c>
      <c r="H1271" s="648" t="s">
        <v>1888</v>
      </c>
      <c r="I1271" s="649" t="s">
        <v>1684</v>
      </c>
      <c r="J1271" s="649" t="s">
        <v>111</v>
      </c>
      <c r="K1271" s="649" t="s">
        <v>110</v>
      </c>
      <c r="L1271" s="368">
        <v>0.2</v>
      </c>
      <c r="M1271" s="672" t="s">
        <v>2030</v>
      </c>
      <c r="N1271" s="672"/>
      <c r="O1271" s="672" t="s">
        <v>533</v>
      </c>
      <c r="P1271" s="673">
        <v>1</v>
      </c>
      <c r="Q1271" s="368">
        <v>0.25</v>
      </c>
      <c r="R1271" s="673"/>
      <c r="S1271" s="673">
        <f t="shared" si="38"/>
        <v>0</v>
      </c>
      <c r="T1271" s="649">
        <f t="shared" si="39"/>
        <v>0</v>
      </c>
      <c r="U1271" s="649" t="s">
        <v>34</v>
      </c>
      <c r="V1271" s="673"/>
      <c r="W1271" s="673"/>
    </row>
    <row r="1272" spans="1:23" ht="16.05" customHeight="1" x14ac:dyDescent="0.45">
      <c r="A1272" s="1">
        <v>1271</v>
      </c>
      <c r="B1272" s="649" t="s">
        <v>924</v>
      </c>
      <c r="C1272" s="648" t="s">
        <v>24</v>
      </c>
      <c r="D1272" s="358">
        <v>5933</v>
      </c>
      <c r="E1272" s="648" t="s">
        <v>1683</v>
      </c>
      <c r="F1272" s="649" t="s">
        <v>2019</v>
      </c>
      <c r="G1272" s="649">
        <v>6586</v>
      </c>
      <c r="H1272" s="648" t="s">
        <v>1888</v>
      </c>
      <c r="I1272" s="649" t="s">
        <v>1684</v>
      </c>
      <c r="J1272" s="649" t="s">
        <v>111</v>
      </c>
      <c r="K1272" s="649" t="s">
        <v>110</v>
      </c>
      <c r="L1272" s="368">
        <v>0.2</v>
      </c>
      <c r="M1272" s="672" t="s">
        <v>2031</v>
      </c>
      <c r="N1272" s="672"/>
      <c r="O1272" s="672" t="s">
        <v>1659</v>
      </c>
      <c r="P1272" s="673">
        <v>1</v>
      </c>
      <c r="Q1272" s="368">
        <v>0.25</v>
      </c>
      <c r="R1272" s="673"/>
      <c r="S1272" s="673">
        <f t="shared" si="38"/>
        <v>0</v>
      </c>
      <c r="T1272" s="649">
        <f t="shared" si="39"/>
        <v>0</v>
      </c>
      <c r="U1272" s="649" t="s">
        <v>34</v>
      </c>
      <c r="V1272" s="673"/>
      <c r="W1272" s="673"/>
    </row>
    <row r="1273" spans="1:23" ht="16.05" customHeight="1" x14ac:dyDescent="0.45">
      <c r="A1273" s="1">
        <v>1272</v>
      </c>
      <c r="B1273" s="649" t="s">
        <v>924</v>
      </c>
      <c r="C1273" s="648" t="s">
        <v>24</v>
      </c>
      <c r="D1273" s="358">
        <v>5933</v>
      </c>
      <c r="E1273" s="648" t="s">
        <v>1683</v>
      </c>
      <c r="F1273" s="649" t="s">
        <v>2019</v>
      </c>
      <c r="G1273" s="649">
        <v>6586</v>
      </c>
      <c r="H1273" s="648" t="s">
        <v>1888</v>
      </c>
      <c r="I1273" s="649" t="s">
        <v>1684</v>
      </c>
      <c r="J1273" s="649" t="s">
        <v>111</v>
      </c>
      <c r="K1273" s="649" t="s">
        <v>110</v>
      </c>
      <c r="L1273" s="368">
        <v>0.2</v>
      </c>
      <c r="M1273" s="672" t="s">
        <v>2032</v>
      </c>
      <c r="N1273" s="672"/>
      <c r="O1273" s="672" t="s">
        <v>527</v>
      </c>
      <c r="P1273" s="673">
        <v>1</v>
      </c>
      <c r="Q1273" s="368">
        <v>0.25</v>
      </c>
      <c r="R1273" s="673"/>
      <c r="S1273" s="673">
        <f t="shared" si="38"/>
        <v>0</v>
      </c>
      <c r="T1273" s="649">
        <f t="shared" si="39"/>
        <v>0</v>
      </c>
      <c r="U1273" s="649" t="s">
        <v>34</v>
      </c>
      <c r="V1273" s="673"/>
      <c r="W1273" s="673"/>
    </row>
    <row r="1274" spans="1:23" ht="16.05" customHeight="1" x14ac:dyDescent="0.45">
      <c r="A1274" s="1">
        <v>1273</v>
      </c>
      <c r="B1274" s="243" t="s">
        <v>924</v>
      </c>
      <c r="C1274" s="187" t="s">
        <v>24</v>
      </c>
      <c r="D1274" s="349">
        <v>3264</v>
      </c>
      <c r="E1274" s="236" t="s">
        <v>1093</v>
      </c>
      <c r="F1274" s="236" t="s">
        <v>2033</v>
      </c>
      <c r="G1274" s="674">
        <v>2418</v>
      </c>
      <c r="H1274" s="236" t="s">
        <v>2034</v>
      </c>
      <c r="I1274" s="236" t="s">
        <v>881</v>
      </c>
      <c r="J1274" s="653" t="s">
        <v>58</v>
      </c>
      <c r="K1274" s="653" t="s">
        <v>57</v>
      </c>
      <c r="L1274" s="675">
        <v>0.5</v>
      </c>
      <c r="M1274" s="676"/>
      <c r="N1274" s="676" t="s">
        <v>2036</v>
      </c>
      <c r="O1274" s="676"/>
      <c r="P1274" s="677">
        <v>350000000000</v>
      </c>
      <c r="Q1274" s="636">
        <v>0.25</v>
      </c>
      <c r="R1274" s="677"/>
      <c r="S1274" s="195">
        <f t="shared" si="38"/>
        <v>0</v>
      </c>
      <c r="T1274" s="196">
        <f t="shared" si="39"/>
        <v>0</v>
      </c>
      <c r="U1274" s="186" t="s">
        <v>34</v>
      </c>
      <c r="V1274" s="678">
        <f>SUM(T1274:T1288)%</f>
        <v>0</v>
      </c>
      <c r="W1274" s="653"/>
    </row>
    <row r="1275" spans="1:23" ht="16.05" customHeight="1" x14ac:dyDescent="0.45">
      <c r="A1275" s="1">
        <v>1274</v>
      </c>
      <c r="B1275" s="210" t="s">
        <v>924</v>
      </c>
      <c r="C1275" s="246" t="s">
        <v>24</v>
      </c>
      <c r="D1275" s="358">
        <v>3264</v>
      </c>
      <c r="E1275" s="245" t="s">
        <v>1093</v>
      </c>
      <c r="F1275" s="245" t="s">
        <v>2033</v>
      </c>
      <c r="G1275" s="679">
        <v>2418</v>
      </c>
      <c r="H1275" s="245" t="s">
        <v>2034</v>
      </c>
      <c r="I1275" s="245" t="s">
        <v>881</v>
      </c>
      <c r="J1275" s="79" t="s">
        <v>58</v>
      </c>
      <c r="K1275" s="79" t="s">
        <v>57</v>
      </c>
      <c r="L1275" s="434">
        <v>0.5</v>
      </c>
      <c r="M1275" s="203"/>
      <c r="N1275" s="203" t="s">
        <v>2037</v>
      </c>
      <c r="O1275" s="680"/>
      <c r="P1275" s="681">
        <v>250000</v>
      </c>
      <c r="Q1275" s="434">
        <v>0.2</v>
      </c>
      <c r="R1275" s="681"/>
      <c r="S1275" s="206">
        <f t="shared" si="38"/>
        <v>0</v>
      </c>
      <c r="T1275" s="207">
        <f t="shared" si="39"/>
        <v>0</v>
      </c>
      <c r="U1275" s="682" t="s">
        <v>34</v>
      </c>
      <c r="V1275" s="683"/>
      <c r="W1275" s="649"/>
    </row>
    <row r="1276" spans="1:23" ht="16.05" customHeight="1" x14ac:dyDescent="0.45">
      <c r="A1276" s="1">
        <v>1275</v>
      </c>
      <c r="B1276" s="210" t="s">
        <v>924</v>
      </c>
      <c r="C1276" s="246" t="s">
        <v>24</v>
      </c>
      <c r="D1276" s="358">
        <v>3264</v>
      </c>
      <c r="E1276" s="245" t="s">
        <v>1093</v>
      </c>
      <c r="F1276" s="245" t="s">
        <v>2033</v>
      </c>
      <c r="G1276" s="679">
        <v>2418</v>
      </c>
      <c r="H1276" s="245" t="s">
        <v>2034</v>
      </c>
      <c r="I1276" s="245" t="s">
        <v>881</v>
      </c>
      <c r="J1276" s="79" t="s">
        <v>58</v>
      </c>
      <c r="K1276" s="79" t="s">
        <v>57</v>
      </c>
      <c r="L1276" s="434">
        <v>0.5</v>
      </c>
      <c r="M1276" s="203"/>
      <c r="N1276" s="203" t="s">
        <v>2038</v>
      </c>
      <c r="O1276" s="203"/>
      <c r="P1276" s="206">
        <v>1</v>
      </c>
      <c r="Q1276" s="434">
        <v>0.2</v>
      </c>
      <c r="R1276" s="206"/>
      <c r="S1276" s="206">
        <f t="shared" si="38"/>
        <v>0</v>
      </c>
      <c r="T1276" s="207">
        <f t="shared" si="39"/>
        <v>0</v>
      </c>
      <c r="U1276" s="682" t="s">
        <v>34</v>
      </c>
      <c r="V1276" s="683"/>
      <c r="W1276" s="649"/>
    </row>
    <row r="1277" spans="1:23" ht="16.05" customHeight="1" x14ac:dyDescent="0.45">
      <c r="A1277" s="1">
        <v>1276</v>
      </c>
      <c r="B1277" s="210" t="s">
        <v>924</v>
      </c>
      <c r="C1277" s="246" t="s">
        <v>24</v>
      </c>
      <c r="D1277" s="358">
        <v>3264</v>
      </c>
      <c r="E1277" s="245" t="s">
        <v>1093</v>
      </c>
      <c r="F1277" s="245" t="s">
        <v>2033</v>
      </c>
      <c r="G1277" s="679">
        <v>2418</v>
      </c>
      <c r="H1277" s="245" t="s">
        <v>2034</v>
      </c>
      <c r="I1277" s="245" t="s">
        <v>881</v>
      </c>
      <c r="J1277" s="79" t="s">
        <v>58</v>
      </c>
      <c r="K1277" s="79" t="s">
        <v>57</v>
      </c>
      <c r="L1277" s="434">
        <v>0.5</v>
      </c>
      <c r="M1277" s="203"/>
      <c r="N1277" s="203" t="s">
        <v>2039</v>
      </c>
      <c r="O1277" s="203"/>
      <c r="P1277" s="682">
        <v>3</v>
      </c>
      <c r="Q1277" s="434">
        <v>0.15</v>
      </c>
      <c r="R1277" s="682"/>
      <c r="S1277" s="206">
        <f t="shared" si="38"/>
        <v>0</v>
      </c>
      <c r="T1277" s="207">
        <f t="shared" si="39"/>
        <v>0</v>
      </c>
      <c r="U1277" s="682" t="s">
        <v>83</v>
      </c>
      <c r="V1277" s="683"/>
      <c r="W1277" s="649"/>
    </row>
    <row r="1278" spans="1:23" ht="16.05" customHeight="1" x14ac:dyDescent="0.45">
      <c r="A1278" s="1">
        <v>1277</v>
      </c>
      <c r="B1278" s="210" t="s">
        <v>924</v>
      </c>
      <c r="C1278" s="246" t="s">
        <v>24</v>
      </c>
      <c r="D1278" s="358">
        <v>3264</v>
      </c>
      <c r="E1278" s="245" t="s">
        <v>1093</v>
      </c>
      <c r="F1278" s="245" t="s">
        <v>2033</v>
      </c>
      <c r="G1278" s="679">
        <v>2418</v>
      </c>
      <c r="H1278" s="245" t="s">
        <v>2034</v>
      </c>
      <c r="I1278" s="245" t="s">
        <v>881</v>
      </c>
      <c r="J1278" s="79" t="s">
        <v>58</v>
      </c>
      <c r="K1278" s="79" t="s">
        <v>57</v>
      </c>
      <c r="L1278" s="434">
        <v>0.5</v>
      </c>
      <c r="M1278" s="203"/>
      <c r="N1278" s="203" t="s">
        <v>2040</v>
      </c>
      <c r="O1278" s="203"/>
      <c r="P1278" s="206">
        <v>1</v>
      </c>
      <c r="Q1278" s="434">
        <v>0.2</v>
      </c>
      <c r="R1278" s="206"/>
      <c r="S1278" s="206">
        <f t="shared" si="38"/>
        <v>0</v>
      </c>
      <c r="T1278" s="207">
        <f t="shared" si="39"/>
        <v>0</v>
      </c>
      <c r="U1278" s="682" t="s">
        <v>83</v>
      </c>
      <c r="V1278" s="683"/>
      <c r="W1278" s="649"/>
    </row>
    <row r="1279" spans="1:23" ht="16.05" customHeight="1" x14ac:dyDescent="0.45">
      <c r="A1279" s="1">
        <v>1278</v>
      </c>
      <c r="B1279" s="210" t="s">
        <v>924</v>
      </c>
      <c r="C1279" s="246" t="s">
        <v>24</v>
      </c>
      <c r="D1279" s="358">
        <v>3264</v>
      </c>
      <c r="E1279" s="245" t="s">
        <v>1093</v>
      </c>
      <c r="F1279" s="245" t="s">
        <v>2033</v>
      </c>
      <c r="G1279" s="679">
        <v>2418</v>
      </c>
      <c r="H1279" s="245" t="s">
        <v>2034</v>
      </c>
      <c r="I1279" s="245" t="s">
        <v>881</v>
      </c>
      <c r="J1279" s="253" t="s">
        <v>111</v>
      </c>
      <c r="K1279" s="253" t="s">
        <v>110</v>
      </c>
      <c r="L1279" s="684">
        <v>0.5</v>
      </c>
      <c r="M1279" s="214"/>
      <c r="N1279" s="214" t="s">
        <v>2041</v>
      </c>
      <c r="O1279" s="685"/>
      <c r="P1279" s="234">
        <v>1</v>
      </c>
      <c r="Q1279" s="686">
        <v>0.1</v>
      </c>
      <c r="R1279" s="234"/>
      <c r="S1279" s="262">
        <f t="shared" si="38"/>
        <v>0</v>
      </c>
      <c r="T1279" s="263">
        <f t="shared" si="39"/>
        <v>0</v>
      </c>
      <c r="U1279" s="687" t="s">
        <v>34</v>
      </c>
      <c r="V1279" s="683"/>
      <c r="W1279" s="649"/>
    </row>
    <row r="1280" spans="1:23" ht="16.05" customHeight="1" x14ac:dyDescent="0.45">
      <c r="A1280" s="1">
        <v>1279</v>
      </c>
      <c r="B1280" s="210" t="s">
        <v>924</v>
      </c>
      <c r="C1280" s="246" t="s">
        <v>24</v>
      </c>
      <c r="D1280" s="358">
        <v>3264</v>
      </c>
      <c r="E1280" s="198" t="s">
        <v>1093</v>
      </c>
      <c r="F1280" s="198" t="s">
        <v>2033</v>
      </c>
      <c r="G1280" s="679">
        <v>2418</v>
      </c>
      <c r="H1280" s="198" t="s">
        <v>2034</v>
      </c>
      <c r="I1280" s="198" t="s">
        <v>881</v>
      </c>
      <c r="J1280" s="253" t="s">
        <v>111</v>
      </c>
      <c r="K1280" s="253" t="s">
        <v>110</v>
      </c>
      <c r="L1280" s="337">
        <v>0.5</v>
      </c>
      <c r="M1280" s="214"/>
      <c r="N1280" s="214" t="s">
        <v>2042</v>
      </c>
      <c r="O1280" s="220"/>
      <c r="P1280" s="688">
        <v>2</v>
      </c>
      <c r="Q1280" s="689">
        <v>0.1</v>
      </c>
      <c r="R1280" s="688"/>
      <c r="S1280" s="216">
        <f t="shared" si="38"/>
        <v>0</v>
      </c>
      <c r="T1280" s="217">
        <f t="shared" si="39"/>
        <v>0</v>
      </c>
      <c r="U1280" s="218" t="s">
        <v>34</v>
      </c>
      <c r="V1280" s="219"/>
      <c r="W1280" s="649"/>
    </row>
    <row r="1281" spans="1:23" ht="16.05" customHeight="1" x14ac:dyDescent="0.45">
      <c r="A1281" s="1">
        <v>1280</v>
      </c>
      <c r="B1281" s="210" t="s">
        <v>924</v>
      </c>
      <c r="C1281" s="246" t="s">
        <v>24</v>
      </c>
      <c r="D1281" s="358">
        <v>3264</v>
      </c>
      <c r="E1281" s="245" t="s">
        <v>1093</v>
      </c>
      <c r="F1281" s="245" t="s">
        <v>2033</v>
      </c>
      <c r="G1281" s="679">
        <v>2418</v>
      </c>
      <c r="H1281" s="245" t="s">
        <v>2034</v>
      </c>
      <c r="I1281" s="245" t="s">
        <v>881</v>
      </c>
      <c r="J1281" s="253" t="s">
        <v>111</v>
      </c>
      <c r="K1281" s="253" t="s">
        <v>110</v>
      </c>
      <c r="L1281" s="684">
        <v>0.5</v>
      </c>
      <c r="M1281" s="214"/>
      <c r="N1281" s="214" t="s">
        <v>2043</v>
      </c>
      <c r="O1281" s="685"/>
      <c r="P1281" s="234">
        <v>1</v>
      </c>
      <c r="Q1281" s="686">
        <v>0.1</v>
      </c>
      <c r="R1281" s="234"/>
      <c r="S1281" s="262">
        <f t="shared" si="38"/>
        <v>0</v>
      </c>
      <c r="T1281" s="263">
        <f t="shared" si="39"/>
        <v>0</v>
      </c>
      <c r="U1281" s="687" t="s">
        <v>34</v>
      </c>
      <c r="V1281" s="683"/>
      <c r="W1281" s="649"/>
    </row>
    <row r="1282" spans="1:23" ht="16.05" customHeight="1" x14ac:dyDescent="0.45">
      <c r="A1282" s="1">
        <v>1281</v>
      </c>
      <c r="B1282" s="210" t="s">
        <v>924</v>
      </c>
      <c r="C1282" s="246" t="s">
        <v>24</v>
      </c>
      <c r="D1282" s="358">
        <v>3264</v>
      </c>
      <c r="E1282" s="245" t="s">
        <v>1093</v>
      </c>
      <c r="F1282" s="245" t="s">
        <v>2033</v>
      </c>
      <c r="G1282" s="679">
        <v>2418</v>
      </c>
      <c r="H1282" s="245" t="s">
        <v>2034</v>
      </c>
      <c r="I1282" s="245" t="s">
        <v>881</v>
      </c>
      <c r="J1282" s="253" t="s">
        <v>111</v>
      </c>
      <c r="K1282" s="253" t="s">
        <v>110</v>
      </c>
      <c r="L1282" s="684">
        <v>0.5</v>
      </c>
      <c r="M1282" s="214"/>
      <c r="N1282" s="214" t="s">
        <v>2044</v>
      </c>
      <c r="O1282" s="685"/>
      <c r="P1282" s="234">
        <v>1</v>
      </c>
      <c r="Q1282" s="686">
        <v>0.1</v>
      </c>
      <c r="R1282" s="234"/>
      <c r="S1282" s="262">
        <f t="shared" ref="S1282:S1345" si="40">ROUND(IF(OR(P1282="",R1282=""),0,IF(AND(P1282=0,R1282=0),1,IF(U1282="+",R1282/P1282,P1282/R1282))),2)</f>
        <v>0</v>
      </c>
      <c r="T1282" s="263">
        <f t="shared" ref="T1282:T1345" si="41">IF(AND(S1282&gt;=60%,S1282&lt;100%),S1282*((Q1282*L1282)),IF(S1282=100%,((Q1282*L1282)*S1282)*100%,IF(S1282&gt;100%,((L1282*Q1282)*100%)*100%,0)))*100</f>
        <v>0</v>
      </c>
      <c r="U1282" s="687" t="s">
        <v>34</v>
      </c>
      <c r="V1282" s="683"/>
      <c r="W1282" s="649"/>
    </row>
    <row r="1283" spans="1:23" ht="16.05" customHeight="1" x14ac:dyDescent="0.45">
      <c r="A1283" s="1">
        <v>1282</v>
      </c>
      <c r="B1283" s="210" t="s">
        <v>924</v>
      </c>
      <c r="C1283" s="246" t="s">
        <v>24</v>
      </c>
      <c r="D1283" s="358">
        <v>3264</v>
      </c>
      <c r="E1283" s="245" t="s">
        <v>1093</v>
      </c>
      <c r="F1283" s="245" t="s">
        <v>2033</v>
      </c>
      <c r="G1283" s="679">
        <v>2418</v>
      </c>
      <c r="H1283" s="245" t="s">
        <v>2034</v>
      </c>
      <c r="I1283" s="245" t="s">
        <v>881</v>
      </c>
      <c r="J1283" s="253" t="s">
        <v>111</v>
      </c>
      <c r="K1283" s="253" t="s">
        <v>110</v>
      </c>
      <c r="L1283" s="684">
        <v>0.5</v>
      </c>
      <c r="M1283" s="214"/>
      <c r="N1283" s="214" t="s">
        <v>2045</v>
      </c>
      <c r="O1283" s="685"/>
      <c r="P1283" s="234">
        <v>0.9</v>
      </c>
      <c r="Q1283" s="686">
        <v>0.1</v>
      </c>
      <c r="R1283" s="234"/>
      <c r="S1283" s="262">
        <f t="shared" si="40"/>
        <v>0</v>
      </c>
      <c r="T1283" s="263">
        <f t="shared" si="41"/>
        <v>0</v>
      </c>
      <c r="U1283" s="687" t="s">
        <v>34</v>
      </c>
      <c r="V1283" s="683"/>
      <c r="W1283" s="649"/>
    </row>
    <row r="1284" spans="1:23" ht="16.05" customHeight="1" x14ac:dyDescent="0.45">
      <c r="A1284" s="1">
        <v>1283</v>
      </c>
      <c r="B1284" s="210" t="s">
        <v>924</v>
      </c>
      <c r="C1284" s="246" t="s">
        <v>24</v>
      </c>
      <c r="D1284" s="358">
        <v>3264</v>
      </c>
      <c r="E1284" s="245" t="s">
        <v>1093</v>
      </c>
      <c r="F1284" s="245" t="s">
        <v>2033</v>
      </c>
      <c r="G1284" s="679">
        <v>2418</v>
      </c>
      <c r="H1284" s="245" t="s">
        <v>2034</v>
      </c>
      <c r="I1284" s="245" t="s">
        <v>881</v>
      </c>
      <c r="J1284" s="253" t="s">
        <v>111</v>
      </c>
      <c r="K1284" s="253" t="s">
        <v>110</v>
      </c>
      <c r="L1284" s="684">
        <v>0.5</v>
      </c>
      <c r="M1284" s="214"/>
      <c r="N1284" s="214" t="s">
        <v>2046</v>
      </c>
      <c r="O1284" s="685"/>
      <c r="P1284" s="234">
        <v>1</v>
      </c>
      <c r="Q1284" s="686">
        <v>0.1</v>
      </c>
      <c r="R1284" s="234"/>
      <c r="S1284" s="262">
        <f t="shared" si="40"/>
        <v>0</v>
      </c>
      <c r="T1284" s="263">
        <f t="shared" si="41"/>
        <v>0</v>
      </c>
      <c r="U1284" s="687" t="s">
        <v>34</v>
      </c>
      <c r="V1284" s="683"/>
      <c r="W1284" s="649"/>
    </row>
    <row r="1285" spans="1:23" ht="16.05" customHeight="1" x14ac:dyDescent="0.45">
      <c r="A1285" s="1">
        <v>1284</v>
      </c>
      <c r="B1285" s="210" t="s">
        <v>924</v>
      </c>
      <c r="C1285" s="246" t="s">
        <v>24</v>
      </c>
      <c r="D1285" s="358">
        <v>3264</v>
      </c>
      <c r="E1285" s="245" t="s">
        <v>1093</v>
      </c>
      <c r="F1285" s="245" t="s">
        <v>2033</v>
      </c>
      <c r="G1285" s="679">
        <v>2418</v>
      </c>
      <c r="H1285" s="245" t="s">
        <v>2034</v>
      </c>
      <c r="I1285" s="245" t="s">
        <v>881</v>
      </c>
      <c r="J1285" s="253" t="s">
        <v>111</v>
      </c>
      <c r="K1285" s="253" t="s">
        <v>110</v>
      </c>
      <c r="L1285" s="684">
        <v>0.5</v>
      </c>
      <c r="M1285" s="214"/>
      <c r="N1285" s="214" t="s">
        <v>2047</v>
      </c>
      <c r="O1285" s="685"/>
      <c r="P1285" s="690">
        <v>1</v>
      </c>
      <c r="Q1285" s="686">
        <v>0.1</v>
      </c>
      <c r="R1285" s="690"/>
      <c r="S1285" s="262">
        <f t="shared" si="40"/>
        <v>0</v>
      </c>
      <c r="T1285" s="263">
        <f t="shared" si="41"/>
        <v>0</v>
      </c>
      <c r="U1285" s="687" t="s">
        <v>34</v>
      </c>
      <c r="V1285" s="683"/>
      <c r="W1285" s="649"/>
    </row>
    <row r="1286" spans="1:23" ht="16.05" customHeight="1" x14ac:dyDescent="0.45">
      <c r="A1286" s="1">
        <v>1285</v>
      </c>
      <c r="B1286" s="210" t="s">
        <v>924</v>
      </c>
      <c r="C1286" s="246" t="s">
        <v>24</v>
      </c>
      <c r="D1286" s="358">
        <v>3264</v>
      </c>
      <c r="E1286" s="245" t="s">
        <v>1093</v>
      </c>
      <c r="F1286" s="245" t="s">
        <v>2033</v>
      </c>
      <c r="G1286" s="679">
        <v>2418</v>
      </c>
      <c r="H1286" s="245" t="s">
        <v>2034</v>
      </c>
      <c r="I1286" s="245" t="s">
        <v>881</v>
      </c>
      <c r="J1286" s="253" t="s">
        <v>111</v>
      </c>
      <c r="K1286" s="253" t="s">
        <v>110</v>
      </c>
      <c r="L1286" s="684">
        <v>0.5</v>
      </c>
      <c r="M1286" s="214"/>
      <c r="N1286" s="214" t="s">
        <v>2048</v>
      </c>
      <c r="O1286" s="685"/>
      <c r="P1286" s="234">
        <v>0.9</v>
      </c>
      <c r="Q1286" s="686">
        <v>0.1</v>
      </c>
      <c r="R1286" s="234"/>
      <c r="S1286" s="262">
        <f t="shared" si="40"/>
        <v>0</v>
      </c>
      <c r="T1286" s="263">
        <f t="shared" si="41"/>
        <v>0</v>
      </c>
      <c r="U1286" s="687" t="s">
        <v>34</v>
      </c>
      <c r="V1286" s="683"/>
      <c r="W1286" s="649"/>
    </row>
    <row r="1287" spans="1:23" ht="16.05" customHeight="1" x14ac:dyDescent="0.45">
      <c r="A1287" s="1">
        <v>1286</v>
      </c>
      <c r="B1287" s="210" t="s">
        <v>924</v>
      </c>
      <c r="C1287" s="246" t="s">
        <v>24</v>
      </c>
      <c r="D1287" s="358">
        <v>3264</v>
      </c>
      <c r="E1287" s="245" t="s">
        <v>1093</v>
      </c>
      <c r="F1287" s="245" t="s">
        <v>2033</v>
      </c>
      <c r="G1287" s="679">
        <v>2418</v>
      </c>
      <c r="H1287" s="245" t="s">
        <v>2034</v>
      </c>
      <c r="I1287" s="245" t="s">
        <v>881</v>
      </c>
      <c r="J1287" s="253" t="s">
        <v>111</v>
      </c>
      <c r="K1287" s="253" t="s">
        <v>110</v>
      </c>
      <c r="L1287" s="684">
        <v>0.5</v>
      </c>
      <c r="M1287" s="214"/>
      <c r="N1287" s="214" t="s">
        <v>2049</v>
      </c>
      <c r="O1287" s="685"/>
      <c r="P1287" s="690">
        <v>1</v>
      </c>
      <c r="Q1287" s="686">
        <v>0.1</v>
      </c>
      <c r="R1287" s="690"/>
      <c r="S1287" s="262">
        <f t="shared" si="40"/>
        <v>0</v>
      </c>
      <c r="T1287" s="263">
        <f t="shared" si="41"/>
        <v>0</v>
      </c>
      <c r="U1287" s="687" t="s">
        <v>34</v>
      </c>
      <c r="V1287" s="683"/>
      <c r="W1287" s="649"/>
    </row>
    <row r="1288" spans="1:23" ht="16.05" customHeight="1" x14ac:dyDescent="0.45">
      <c r="A1288" s="1">
        <v>1287</v>
      </c>
      <c r="B1288" s="210" t="s">
        <v>924</v>
      </c>
      <c r="C1288" s="246" t="s">
        <v>24</v>
      </c>
      <c r="D1288" s="358">
        <v>3264</v>
      </c>
      <c r="E1288" s="245" t="s">
        <v>1093</v>
      </c>
      <c r="F1288" s="245" t="s">
        <v>2033</v>
      </c>
      <c r="G1288" s="679">
        <v>2418</v>
      </c>
      <c r="H1288" s="245" t="s">
        <v>2034</v>
      </c>
      <c r="I1288" s="245" t="s">
        <v>881</v>
      </c>
      <c r="J1288" s="253" t="s">
        <v>111</v>
      </c>
      <c r="K1288" s="253" t="s">
        <v>110</v>
      </c>
      <c r="L1288" s="684">
        <v>0.5</v>
      </c>
      <c r="M1288" s="214"/>
      <c r="N1288" s="214" t="s">
        <v>2050</v>
      </c>
      <c r="O1288" s="685"/>
      <c r="P1288" s="234">
        <v>1</v>
      </c>
      <c r="Q1288" s="686">
        <v>0.1</v>
      </c>
      <c r="R1288" s="234"/>
      <c r="S1288" s="262">
        <f t="shared" si="40"/>
        <v>0</v>
      </c>
      <c r="T1288" s="263">
        <f t="shared" si="41"/>
        <v>0</v>
      </c>
      <c r="U1288" s="687" t="s">
        <v>34</v>
      </c>
      <c r="V1288" s="683"/>
      <c r="W1288" s="649"/>
    </row>
    <row r="1289" spans="1:23" ht="16.05" customHeight="1" x14ac:dyDescent="0.45">
      <c r="A1289" s="1">
        <v>1288</v>
      </c>
      <c r="B1289" s="187" t="s">
        <v>924</v>
      </c>
      <c r="C1289" s="187" t="s">
        <v>24</v>
      </c>
      <c r="D1289" s="349">
        <v>3490</v>
      </c>
      <c r="E1289" s="236" t="s">
        <v>2051</v>
      </c>
      <c r="F1289" s="236" t="s">
        <v>2052</v>
      </c>
      <c r="G1289" s="691">
        <v>3264</v>
      </c>
      <c r="H1289" s="236" t="s">
        <v>880</v>
      </c>
      <c r="I1289" s="236" t="s">
        <v>881</v>
      </c>
      <c r="J1289" s="187" t="s">
        <v>58</v>
      </c>
      <c r="K1289" s="236" t="s">
        <v>57</v>
      </c>
      <c r="L1289" s="350">
        <v>0.5</v>
      </c>
      <c r="M1289" s="191"/>
      <c r="N1289" s="192" t="s">
        <v>882</v>
      </c>
      <c r="O1289" s="193"/>
      <c r="P1289" s="194">
        <v>17000000000</v>
      </c>
      <c r="Q1289" s="636">
        <v>0.2</v>
      </c>
      <c r="R1289" s="194"/>
      <c r="S1289" s="195">
        <f t="shared" si="40"/>
        <v>0</v>
      </c>
      <c r="T1289" s="196">
        <f t="shared" si="41"/>
        <v>0</v>
      </c>
      <c r="U1289" s="197" t="s">
        <v>34</v>
      </c>
      <c r="V1289" s="678">
        <f>SUM(T1289:T1297)%</f>
        <v>0</v>
      </c>
      <c r="W1289" s="236"/>
    </row>
    <row r="1290" spans="1:23" ht="16.05" customHeight="1" x14ac:dyDescent="0.45">
      <c r="A1290" s="1">
        <v>1289</v>
      </c>
      <c r="B1290" s="198" t="s">
        <v>924</v>
      </c>
      <c r="C1290" s="199" t="s">
        <v>24</v>
      </c>
      <c r="D1290" s="358">
        <v>3490</v>
      </c>
      <c r="E1290" s="198" t="s">
        <v>2051</v>
      </c>
      <c r="F1290" s="198" t="s">
        <v>2052</v>
      </c>
      <c r="G1290" s="200">
        <v>3264</v>
      </c>
      <c r="H1290" s="210" t="s">
        <v>880</v>
      </c>
      <c r="I1290" s="198" t="s">
        <v>881</v>
      </c>
      <c r="J1290" s="692" t="s">
        <v>58</v>
      </c>
      <c r="K1290" s="692" t="s">
        <v>57</v>
      </c>
      <c r="L1290" s="360">
        <v>0.5</v>
      </c>
      <c r="M1290" s="202"/>
      <c r="N1290" s="203" t="s">
        <v>883</v>
      </c>
      <c r="O1290" s="204"/>
      <c r="P1290" s="205">
        <v>1850</v>
      </c>
      <c r="Q1290" s="434">
        <v>0.2</v>
      </c>
      <c r="R1290" s="205"/>
      <c r="S1290" s="206">
        <f t="shared" si="40"/>
        <v>0</v>
      </c>
      <c r="T1290" s="207">
        <f t="shared" si="41"/>
        <v>0</v>
      </c>
      <c r="U1290" s="208" t="s">
        <v>34</v>
      </c>
      <c r="V1290" s="209"/>
      <c r="W1290" s="210"/>
    </row>
    <row r="1291" spans="1:23" ht="16.05" customHeight="1" x14ac:dyDescent="0.45">
      <c r="A1291" s="1">
        <v>1290</v>
      </c>
      <c r="B1291" s="198" t="s">
        <v>924</v>
      </c>
      <c r="C1291" s="199" t="s">
        <v>24</v>
      </c>
      <c r="D1291" s="358">
        <v>3490</v>
      </c>
      <c r="E1291" s="198" t="s">
        <v>2051</v>
      </c>
      <c r="F1291" s="198" t="s">
        <v>2052</v>
      </c>
      <c r="G1291" s="200">
        <v>3264</v>
      </c>
      <c r="H1291" s="210" t="s">
        <v>880</v>
      </c>
      <c r="I1291" s="198" t="s">
        <v>881</v>
      </c>
      <c r="J1291" s="692" t="s">
        <v>58</v>
      </c>
      <c r="K1291" s="692" t="s">
        <v>57</v>
      </c>
      <c r="L1291" s="360">
        <v>0.5</v>
      </c>
      <c r="M1291" s="202"/>
      <c r="N1291" s="203" t="s">
        <v>884</v>
      </c>
      <c r="O1291" s="211"/>
      <c r="P1291" s="693">
        <v>12</v>
      </c>
      <c r="Q1291" s="434">
        <v>0.2</v>
      </c>
      <c r="R1291" s="693"/>
      <c r="S1291" s="206">
        <f t="shared" si="40"/>
        <v>0</v>
      </c>
      <c r="T1291" s="207">
        <f t="shared" si="41"/>
        <v>0</v>
      </c>
      <c r="U1291" s="208" t="s">
        <v>34</v>
      </c>
      <c r="V1291" s="209"/>
      <c r="W1291" s="210"/>
    </row>
    <row r="1292" spans="1:23" ht="16.05" customHeight="1" x14ac:dyDescent="0.45">
      <c r="A1292" s="1">
        <v>1291</v>
      </c>
      <c r="B1292" s="198" t="s">
        <v>924</v>
      </c>
      <c r="C1292" s="199" t="s">
        <v>24</v>
      </c>
      <c r="D1292" s="358">
        <v>3490</v>
      </c>
      <c r="E1292" s="198" t="s">
        <v>2051</v>
      </c>
      <c r="F1292" s="198" t="s">
        <v>2052</v>
      </c>
      <c r="G1292" s="200">
        <v>3264</v>
      </c>
      <c r="H1292" s="210" t="s">
        <v>880</v>
      </c>
      <c r="I1292" s="198" t="s">
        <v>881</v>
      </c>
      <c r="J1292" s="692" t="s">
        <v>58</v>
      </c>
      <c r="K1292" s="692" t="s">
        <v>57</v>
      </c>
      <c r="L1292" s="360">
        <v>0.5</v>
      </c>
      <c r="M1292" s="202"/>
      <c r="N1292" s="203" t="s">
        <v>885</v>
      </c>
      <c r="O1292" s="204"/>
      <c r="P1292" s="204">
        <v>1</v>
      </c>
      <c r="Q1292" s="434">
        <v>0.2</v>
      </c>
      <c r="R1292" s="204"/>
      <c r="S1292" s="206">
        <f t="shared" si="40"/>
        <v>0</v>
      </c>
      <c r="T1292" s="207">
        <f t="shared" si="41"/>
        <v>0</v>
      </c>
      <c r="U1292" s="208" t="s">
        <v>34</v>
      </c>
      <c r="V1292" s="209"/>
      <c r="W1292" s="210"/>
    </row>
    <row r="1293" spans="1:23" ht="16.05" customHeight="1" x14ac:dyDescent="0.45">
      <c r="A1293" s="1">
        <v>1292</v>
      </c>
      <c r="B1293" s="198" t="s">
        <v>924</v>
      </c>
      <c r="C1293" s="199" t="s">
        <v>24</v>
      </c>
      <c r="D1293" s="358">
        <v>3490</v>
      </c>
      <c r="E1293" s="198" t="s">
        <v>2051</v>
      </c>
      <c r="F1293" s="198" t="s">
        <v>2052</v>
      </c>
      <c r="G1293" s="200">
        <v>3264</v>
      </c>
      <c r="H1293" s="210" t="s">
        <v>880</v>
      </c>
      <c r="I1293" s="198" t="s">
        <v>881</v>
      </c>
      <c r="J1293" s="692" t="s">
        <v>58</v>
      </c>
      <c r="K1293" s="692" t="s">
        <v>57</v>
      </c>
      <c r="L1293" s="360">
        <v>0.5</v>
      </c>
      <c r="M1293" s="202"/>
      <c r="N1293" s="203" t="s">
        <v>886</v>
      </c>
      <c r="O1293" s="204"/>
      <c r="P1293" s="204">
        <v>0.1</v>
      </c>
      <c r="Q1293" s="346">
        <v>0.2</v>
      </c>
      <c r="R1293" s="204"/>
      <c r="S1293" s="206">
        <f t="shared" si="40"/>
        <v>0</v>
      </c>
      <c r="T1293" s="207">
        <f t="shared" si="41"/>
        <v>0</v>
      </c>
      <c r="U1293" s="208" t="s">
        <v>34</v>
      </c>
      <c r="V1293" s="209"/>
      <c r="W1293" s="210"/>
    </row>
    <row r="1294" spans="1:23" ht="16.05" customHeight="1" x14ac:dyDescent="0.45">
      <c r="A1294" s="1">
        <v>1293</v>
      </c>
      <c r="B1294" s="198" t="s">
        <v>924</v>
      </c>
      <c r="C1294" s="199" t="s">
        <v>24</v>
      </c>
      <c r="D1294" s="358">
        <v>3490</v>
      </c>
      <c r="E1294" s="198" t="s">
        <v>2051</v>
      </c>
      <c r="F1294" s="198" t="s">
        <v>2052</v>
      </c>
      <c r="G1294" s="200">
        <v>3264</v>
      </c>
      <c r="H1294" s="210" t="s">
        <v>880</v>
      </c>
      <c r="I1294" s="198" t="s">
        <v>881</v>
      </c>
      <c r="J1294" s="199" t="s">
        <v>111</v>
      </c>
      <c r="K1294" s="199" t="s">
        <v>110</v>
      </c>
      <c r="L1294" s="432">
        <v>0.5</v>
      </c>
      <c r="M1294" s="213"/>
      <c r="N1294" s="214" t="s">
        <v>2053</v>
      </c>
      <c r="O1294" s="215"/>
      <c r="P1294" s="215">
        <v>1</v>
      </c>
      <c r="Q1294" s="292">
        <v>0.3</v>
      </c>
      <c r="R1294" s="215"/>
      <c r="S1294" s="216">
        <f t="shared" si="40"/>
        <v>0</v>
      </c>
      <c r="T1294" s="217">
        <f t="shared" si="41"/>
        <v>0</v>
      </c>
      <c r="U1294" s="218" t="s">
        <v>34</v>
      </c>
      <c r="V1294" s="219"/>
      <c r="W1294" s="210"/>
    </row>
    <row r="1295" spans="1:23" ht="16.05" customHeight="1" x14ac:dyDescent="0.45">
      <c r="A1295" s="1">
        <v>1294</v>
      </c>
      <c r="B1295" s="198" t="s">
        <v>924</v>
      </c>
      <c r="C1295" s="199" t="s">
        <v>24</v>
      </c>
      <c r="D1295" s="358">
        <v>3490</v>
      </c>
      <c r="E1295" s="198" t="s">
        <v>2051</v>
      </c>
      <c r="F1295" s="198" t="s">
        <v>2052</v>
      </c>
      <c r="G1295" s="200">
        <v>3264</v>
      </c>
      <c r="H1295" s="210" t="s">
        <v>880</v>
      </c>
      <c r="I1295" s="198" t="s">
        <v>881</v>
      </c>
      <c r="J1295" s="199" t="s">
        <v>111</v>
      </c>
      <c r="K1295" s="199" t="s">
        <v>110</v>
      </c>
      <c r="L1295" s="432">
        <v>0.5</v>
      </c>
      <c r="M1295" s="213"/>
      <c r="N1295" s="214" t="s">
        <v>900</v>
      </c>
      <c r="O1295" s="220"/>
      <c r="P1295" s="222">
        <v>0.4</v>
      </c>
      <c r="Q1295" s="292">
        <v>0.2</v>
      </c>
      <c r="R1295" s="222"/>
      <c r="S1295" s="216">
        <f t="shared" si="40"/>
        <v>0</v>
      </c>
      <c r="T1295" s="217">
        <f t="shared" si="41"/>
        <v>0</v>
      </c>
      <c r="U1295" s="218" t="s">
        <v>83</v>
      </c>
      <c r="V1295" s="219"/>
      <c r="W1295" s="210"/>
    </row>
    <row r="1296" spans="1:23" ht="16.05" customHeight="1" x14ac:dyDescent="0.45">
      <c r="A1296" s="1">
        <v>1295</v>
      </c>
      <c r="B1296" s="198" t="s">
        <v>924</v>
      </c>
      <c r="C1296" s="199" t="s">
        <v>24</v>
      </c>
      <c r="D1296" s="358">
        <v>3490</v>
      </c>
      <c r="E1296" s="198" t="s">
        <v>2051</v>
      </c>
      <c r="F1296" s="198" t="s">
        <v>2052</v>
      </c>
      <c r="G1296" s="200">
        <v>3264</v>
      </c>
      <c r="H1296" s="210" t="s">
        <v>880</v>
      </c>
      <c r="I1296" s="198" t="s">
        <v>881</v>
      </c>
      <c r="J1296" s="199" t="s">
        <v>111</v>
      </c>
      <c r="K1296" s="199" t="s">
        <v>110</v>
      </c>
      <c r="L1296" s="432">
        <v>0.5</v>
      </c>
      <c r="M1296" s="213"/>
      <c r="N1296" s="214" t="s">
        <v>888</v>
      </c>
      <c r="O1296" s="220"/>
      <c r="P1296" s="221">
        <v>20</v>
      </c>
      <c r="Q1296" s="292">
        <v>0.2</v>
      </c>
      <c r="R1296" s="221"/>
      <c r="S1296" s="216">
        <f t="shared" si="40"/>
        <v>0</v>
      </c>
      <c r="T1296" s="217">
        <f t="shared" si="41"/>
        <v>0</v>
      </c>
      <c r="U1296" s="218" t="s">
        <v>83</v>
      </c>
      <c r="V1296" s="219"/>
      <c r="W1296" s="210"/>
    </row>
    <row r="1297" spans="1:23" ht="16.05" customHeight="1" x14ac:dyDescent="0.45">
      <c r="A1297" s="1">
        <v>1296</v>
      </c>
      <c r="B1297" s="198" t="s">
        <v>924</v>
      </c>
      <c r="C1297" s="199" t="s">
        <v>24</v>
      </c>
      <c r="D1297" s="358">
        <v>3490</v>
      </c>
      <c r="E1297" s="198" t="s">
        <v>2051</v>
      </c>
      <c r="F1297" s="198" t="s">
        <v>2052</v>
      </c>
      <c r="G1297" s="200">
        <v>3264</v>
      </c>
      <c r="H1297" s="210" t="s">
        <v>880</v>
      </c>
      <c r="I1297" s="198" t="s">
        <v>881</v>
      </c>
      <c r="J1297" s="199" t="s">
        <v>111</v>
      </c>
      <c r="K1297" s="199" t="s">
        <v>110</v>
      </c>
      <c r="L1297" s="432">
        <v>0.5</v>
      </c>
      <c r="M1297" s="213"/>
      <c r="N1297" s="214" t="s">
        <v>2054</v>
      </c>
      <c r="O1297" s="215"/>
      <c r="P1297" s="215">
        <v>1</v>
      </c>
      <c r="Q1297" s="292">
        <v>0.3</v>
      </c>
      <c r="R1297" s="215"/>
      <c r="S1297" s="216">
        <f t="shared" si="40"/>
        <v>0</v>
      </c>
      <c r="T1297" s="217">
        <f t="shared" si="41"/>
        <v>0</v>
      </c>
      <c r="U1297" s="218" t="s">
        <v>34</v>
      </c>
      <c r="V1297" s="219"/>
      <c r="W1297" s="210"/>
    </row>
    <row r="1298" spans="1:23" ht="16.05" customHeight="1" x14ac:dyDescent="0.45">
      <c r="A1298" s="1">
        <v>1297</v>
      </c>
      <c r="B1298" s="187" t="s">
        <v>924</v>
      </c>
      <c r="C1298" s="187" t="s">
        <v>24</v>
      </c>
      <c r="D1298" s="349">
        <v>5123</v>
      </c>
      <c r="E1298" s="236" t="s">
        <v>2055</v>
      </c>
      <c r="F1298" s="236" t="s">
        <v>892</v>
      </c>
      <c r="G1298" s="691">
        <v>3490</v>
      </c>
      <c r="H1298" s="694" t="s">
        <v>899</v>
      </c>
      <c r="I1298" s="186" t="s">
        <v>881</v>
      </c>
      <c r="J1298" s="193" t="s">
        <v>58</v>
      </c>
      <c r="K1298" s="236" t="s">
        <v>57</v>
      </c>
      <c r="L1298" s="636">
        <v>0.5</v>
      </c>
      <c r="M1298" s="225"/>
      <c r="N1298" s="695" t="s">
        <v>893</v>
      </c>
      <c r="O1298" s="196"/>
      <c r="P1298" s="696">
        <v>3000000000</v>
      </c>
      <c r="Q1298" s="350">
        <v>0.1</v>
      </c>
      <c r="R1298" s="696"/>
      <c r="S1298" s="193">
        <f t="shared" si="40"/>
        <v>0</v>
      </c>
      <c r="T1298" s="193">
        <f t="shared" si="41"/>
        <v>0</v>
      </c>
      <c r="U1298" s="193" t="s">
        <v>34</v>
      </c>
      <c r="V1298" s="678">
        <f>SUM(T1298:T1306)%</f>
        <v>0</v>
      </c>
      <c r="W1298" s="236"/>
    </row>
    <row r="1299" spans="1:23" ht="16.05" customHeight="1" x14ac:dyDescent="0.45">
      <c r="A1299" s="1">
        <v>1298</v>
      </c>
      <c r="B1299" s="198" t="s">
        <v>924</v>
      </c>
      <c r="C1299" s="199" t="s">
        <v>24</v>
      </c>
      <c r="D1299" s="358">
        <v>5123</v>
      </c>
      <c r="E1299" s="198" t="s">
        <v>2055</v>
      </c>
      <c r="F1299" s="198" t="s">
        <v>892</v>
      </c>
      <c r="G1299" s="697">
        <v>3490</v>
      </c>
      <c r="H1299" s="698" t="s">
        <v>899</v>
      </c>
      <c r="I1299" s="699" t="s">
        <v>881</v>
      </c>
      <c r="J1299" s="204" t="s">
        <v>58</v>
      </c>
      <c r="K1299" s="692" t="s">
        <v>57</v>
      </c>
      <c r="L1299" s="434">
        <v>0.5</v>
      </c>
      <c r="M1299" s="228"/>
      <c r="N1299" s="229" t="s">
        <v>894</v>
      </c>
      <c r="O1299" s="207"/>
      <c r="P1299" s="700">
        <v>350</v>
      </c>
      <c r="Q1299" s="346">
        <v>0.3</v>
      </c>
      <c r="R1299" s="700"/>
      <c r="S1299" s="231">
        <f t="shared" si="40"/>
        <v>0</v>
      </c>
      <c r="T1299" s="231">
        <f t="shared" si="41"/>
        <v>0</v>
      </c>
      <c r="U1299" s="231" t="s">
        <v>34</v>
      </c>
      <c r="V1299" s="209"/>
      <c r="W1299" s="701"/>
    </row>
    <row r="1300" spans="1:23" ht="16.05" customHeight="1" x14ac:dyDescent="0.45">
      <c r="A1300" s="1">
        <v>1299</v>
      </c>
      <c r="B1300" s="198" t="s">
        <v>924</v>
      </c>
      <c r="C1300" s="199" t="s">
        <v>24</v>
      </c>
      <c r="D1300" s="358">
        <v>5123</v>
      </c>
      <c r="E1300" s="198" t="s">
        <v>2055</v>
      </c>
      <c r="F1300" s="198" t="s">
        <v>892</v>
      </c>
      <c r="G1300" s="697">
        <v>3490</v>
      </c>
      <c r="H1300" s="698" t="s">
        <v>899</v>
      </c>
      <c r="I1300" s="699" t="s">
        <v>881</v>
      </c>
      <c r="J1300" s="204" t="s">
        <v>58</v>
      </c>
      <c r="K1300" s="692" t="s">
        <v>57</v>
      </c>
      <c r="L1300" s="434">
        <v>0.5</v>
      </c>
      <c r="M1300" s="228"/>
      <c r="N1300" s="203" t="s">
        <v>885</v>
      </c>
      <c r="O1300" s="207"/>
      <c r="P1300" s="208">
        <v>1</v>
      </c>
      <c r="Q1300" s="434">
        <v>0.3</v>
      </c>
      <c r="R1300" s="208"/>
      <c r="S1300" s="231">
        <f t="shared" si="40"/>
        <v>0</v>
      </c>
      <c r="T1300" s="231">
        <f t="shared" si="41"/>
        <v>0</v>
      </c>
      <c r="U1300" s="231" t="s">
        <v>34</v>
      </c>
      <c r="V1300" s="209"/>
      <c r="W1300" s="701"/>
    </row>
    <row r="1301" spans="1:23" ht="16.05" customHeight="1" x14ac:dyDescent="0.45">
      <c r="A1301" s="1">
        <v>1300</v>
      </c>
      <c r="B1301" s="198" t="s">
        <v>924</v>
      </c>
      <c r="C1301" s="199" t="s">
        <v>24</v>
      </c>
      <c r="D1301" s="358">
        <v>5123</v>
      </c>
      <c r="E1301" s="198" t="s">
        <v>2055</v>
      </c>
      <c r="F1301" s="198" t="s">
        <v>892</v>
      </c>
      <c r="G1301" s="697">
        <v>3490</v>
      </c>
      <c r="H1301" s="698" t="s">
        <v>899</v>
      </c>
      <c r="I1301" s="699" t="s">
        <v>881</v>
      </c>
      <c r="J1301" s="231" t="s">
        <v>58</v>
      </c>
      <c r="K1301" s="231" t="s">
        <v>57</v>
      </c>
      <c r="L1301" s="702">
        <v>0.5</v>
      </c>
      <c r="M1301" s="231"/>
      <c r="N1301" s="703" t="s">
        <v>895</v>
      </c>
      <c r="O1301" s="231"/>
      <c r="P1301" s="231">
        <v>1</v>
      </c>
      <c r="Q1301" s="434">
        <v>0.3</v>
      </c>
      <c r="R1301" s="231"/>
      <c r="S1301" s="231">
        <f t="shared" si="40"/>
        <v>0</v>
      </c>
      <c r="T1301" s="231">
        <f t="shared" si="41"/>
        <v>0</v>
      </c>
      <c r="U1301" s="231" t="s">
        <v>34</v>
      </c>
      <c r="V1301" s="209"/>
      <c r="W1301" s="701"/>
    </row>
    <row r="1302" spans="1:23" ht="16.05" customHeight="1" x14ac:dyDescent="0.45">
      <c r="A1302" s="1">
        <v>1301</v>
      </c>
      <c r="B1302" s="198" t="s">
        <v>924</v>
      </c>
      <c r="C1302" s="199" t="s">
        <v>24</v>
      </c>
      <c r="D1302" s="358">
        <v>5123</v>
      </c>
      <c r="E1302" s="198" t="s">
        <v>2055</v>
      </c>
      <c r="F1302" s="198" t="s">
        <v>892</v>
      </c>
      <c r="G1302" s="200">
        <v>3490</v>
      </c>
      <c r="H1302" s="198" t="s">
        <v>899</v>
      </c>
      <c r="I1302" s="198" t="s">
        <v>881</v>
      </c>
      <c r="J1302" s="199" t="s">
        <v>111</v>
      </c>
      <c r="K1302" s="199" t="s">
        <v>110</v>
      </c>
      <c r="L1302" s="432">
        <v>0.5</v>
      </c>
      <c r="M1302" s="213"/>
      <c r="N1302" s="214" t="s">
        <v>2056</v>
      </c>
      <c r="O1302" s="220"/>
      <c r="P1302" s="233">
        <v>1</v>
      </c>
      <c r="Q1302" s="292">
        <v>0.2</v>
      </c>
      <c r="R1302" s="233"/>
      <c r="S1302" s="216">
        <f t="shared" si="40"/>
        <v>0</v>
      </c>
      <c r="T1302" s="217">
        <f t="shared" si="41"/>
        <v>0</v>
      </c>
      <c r="U1302" s="218" t="s">
        <v>34</v>
      </c>
      <c r="V1302" s="219"/>
      <c r="W1302" s="210"/>
    </row>
    <row r="1303" spans="1:23" ht="16.05" customHeight="1" x14ac:dyDescent="0.45">
      <c r="A1303" s="1">
        <v>1302</v>
      </c>
      <c r="B1303" s="198" t="s">
        <v>924</v>
      </c>
      <c r="C1303" s="199" t="s">
        <v>24</v>
      </c>
      <c r="D1303" s="358">
        <v>5123</v>
      </c>
      <c r="E1303" s="198" t="s">
        <v>2055</v>
      </c>
      <c r="F1303" s="198" t="s">
        <v>892</v>
      </c>
      <c r="G1303" s="200">
        <v>3490</v>
      </c>
      <c r="H1303" s="198" t="s">
        <v>899</v>
      </c>
      <c r="I1303" s="198" t="s">
        <v>881</v>
      </c>
      <c r="J1303" s="199" t="s">
        <v>111</v>
      </c>
      <c r="K1303" s="199" t="s">
        <v>110</v>
      </c>
      <c r="L1303" s="432">
        <v>0.5</v>
      </c>
      <c r="M1303" s="213"/>
      <c r="N1303" s="214" t="s">
        <v>900</v>
      </c>
      <c r="O1303" s="220"/>
      <c r="P1303" s="233">
        <v>0.4</v>
      </c>
      <c r="Q1303" s="292">
        <v>0.2</v>
      </c>
      <c r="R1303" s="233"/>
      <c r="S1303" s="216">
        <f t="shared" si="40"/>
        <v>0</v>
      </c>
      <c r="T1303" s="217">
        <f t="shared" si="41"/>
        <v>0</v>
      </c>
      <c r="U1303" s="218" t="s">
        <v>83</v>
      </c>
      <c r="V1303" s="219"/>
      <c r="W1303" s="210"/>
    </row>
    <row r="1304" spans="1:23" ht="16.05" customHeight="1" x14ac:dyDescent="0.45">
      <c r="A1304" s="1">
        <v>1303</v>
      </c>
      <c r="B1304" s="198" t="s">
        <v>924</v>
      </c>
      <c r="C1304" s="199" t="s">
        <v>24</v>
      </c>
      <c r="D1304" s="358">
        <v>5123</v>
      </c>
      <c r="E1304" s="198" t="s">
        <v>2055</v>
      </c>
      <c r="F1304" s="198" t="s">
        <v>892</v>
      </c>
      <c r="G1304" s="697">
        <v>3490</v>
      </c>
      <c r="H1304" s="698" t="s">
        <v>899</v>
      </c>
      <c r="I1304" s="699" t="s">
        <v>881</v>
      </c>
      <c r="J1304" s="199" t="s">
        <v>111</v>
      </c>
      <c r="K1304" s="199" t="s">
        <v>110</v>
      </c>
      <c r="L1304" s="432">
        <v>0.5</v>
      </c>
      <c r="M1304" s="213"/>
      <c r="N1304" s="214" t="s">
        <v>888</v>
      </c>
      <c r="O1304" s="220"/>
      <c r="P1304" s="221">
        <v>20</v>
      </c>
      <c r="Q1304" s="292">
        <v>0.2</v>
      </c>
      <c r="R1304" s="221"/>
      <c r="S1304" s="216">
        <f t="shared" si="40"/>
        <v>0</v>
      </c>
      <c r="T1304" s="217">
        <f t="shared" si="41"/>
        <v>0</v>
      </c>
      <c r="U1304" s="218" t="s">
        <v>83</v>
      </c>
      <c r="V1304" s="219"/>
      <c r="W1304" s="701"/>
    </row>
    <row r="1305" spans="1:23" ht="16.05" customHeight="1" x14ac:dyDescent="0.45">
      <c r="A1305" s="1">
        <v>1304</v>
      </c>
      <c r="B1305" s="198" t="s">
        <v>924</v>
      </c>
      <c r="C1305" s="199" t="s">
        <v>24</v>
      </c>
      <c r="D1305" s="358">
        <v>5123</v>
      </c>
      <c r="E1305" s="198" t="s">
        <v>2055</v>
      </c>
      <c r="F1305" s="198" t="s">
        <v>892</v>
      </c>
      <c r="G1305" s="200">
        <v>3490</v>
      </c>
      <c r="H1305" s="198" t="s">
        <v>899</v>
      </c>
      <c r="I1305" s="198" t="s">
        <v>881</v>
      </c>
      <c r="J1305" s="199" t="s">
        <v>111</v>
      </c>
      <c r="K1305" s="199" t="s">
        <v>110</v>
      </c>
      <c r="L1305" s="432">
        <v>0.5</v>
      </c>
      <c r="M1305" s="213"/>
      <c r="N1305" s="214" t="s">
        <v>896</v>
      </c>
      <c r="O1305" s="220"/>
      <c r="P1305" s="234">
        <v>0.8</v>
      </c>
      <c r="Q1305" s="292">
        <v>0.2</v>
      </c>
      <c r="R1305" s="234"/>
      <c r="S1305" s="216">
        <f t="shared" si="40"/>
        <v>0</v>
      </c>
      <c r="T1305" s="217">
        <f t="shared" si="41"/>
        <v>0</v>
      </c>
      <c r="U1305" s="218" t="s">
        <v>34</v>
      </c>
      <c r="V1305" s="219"/>
      <c r="W1305" s="210"/>
    </row>
    <row r="1306" spans="1:23" ht="16.05" customHeight="1" x14ac:dyDescent="0.45">
      <c r="A1306" s="1">
        <v>1305</v>
      </c>
      <c r="B1306" s="198" t="s">
        <v>924</v>
      </c>
      <c r="C1306" s="199" t="s">
        <v>24</v>
      </c>
      <c r="D1306" s="358">
        <v>5123</v>
      </c>
      <c r="E1306" s="198" t="s">
        <v>2055</v>
      </c>
      <c r="F1306" s="198" t="s">
        <v>892</v>
      </c>
      <c r="G1306" s="200">
        <v>3490</v>
      </c>
      <c r="H1306" s="198" t="s">
        <v>899</v>
      </c>
      <c r="I1306" s="198" t="s">
        <v>881</v>
      </c>
      <c r="J1306" s="199" t="s">
        <v>111</v>
      </c>
      <c r="K1306" s="199" t="s">
        <v>110</v>
      </c>
      <c r="L1306" s="432">
        <v>0.5</v>
      </c>
      <c r="M1306" s="213"/>
      <c r="N1306" s="214" t="s">
        <v>2057</v>
      </c>
      <c r="O1306" s="220"/>
      <c r="P1306" s="234">
        <v>1</v>
      </c>
      <c r="Q1306" s="292">
        <v>0.2</v>
      </c>
      <c r="R1306" s="234"/>
      <c r="S1306" s="216">
        <f t="shared" si="40"/>
        <v>0</v>
      </c>
      <c r="T1306" s="217">
        <f t="shared" si="41"/>
        <v>0</v>
      </c>
      <c r="U1306" s="218" t="s">
        <v>34</v>
      </c>
      <c r="V1306" s="219"/>
      <c r="W1306" s="210"/>
    </row>
    <row r="1307" spans="1:23" ht="16.05" customHeight="1" x14ac:dyDescent="0.45">
      <c r="A1307" s="1">
        <v>1306</v>
      </c>
      <c r="B1307" s="193" t="s">
        <v>924</v>
      </c>
      <c r="C1307" s="187" t="s">
        <v>24</v>
      </c>
      <c r="D1307" s="704">
        <v>6430</v>
      </c>
      <c r="E1307" s="193" t="s">
        <v>2058</v>
      </c>
      <c r="F1307" s="193" t="s">
        <v>892</v>
      </c>
      <c r="G1307" s="705">
        <v>3490</v>
      </c>
      <c r="H1307" s="193" t="s">
        <v>899</v>
      </c>
      <c r="I1307" s="193" t="s">
        <v>881</v>
      </c>
      <c r="J1307" s="193" t="s">
        <v>58</v>
      </c>
      <c r="K1307" s="186" t="s">
        <v>57</v>
      </c>
      <c r="L1307" s="636">
        <v>0.5</v>
      </c>
      <c r="M1307" s="225"/>
      <c r="N1307" s="695" t="s">
        <v>893</v>
      </c>
      <c r="O1307" s="196"/>
      <c r="P1307" s="226">
        <v>2000000000</v>
      </c>
      <c r="Q1307" s="350">
        <v>0.3</v>
      </c>
      <c r="R1307" s="226"/>
      <c r="S1307" s="193">
        <f t="shared" si="40"/>
        <v>0</v>
      </c>
      <c r="T1307" s="193">
        <f t="shared" si="41"/>
        <v>0</v>
      </c>
      <c r="U1307" s="193" t="s">
        <v>34</v>
      </c>
      <c r="V1307" s="678">
        <f>SUM(T1307:T1315)%</f>
        <v>0</v>
      </c>
      <c r="W1307" s="193"/>
    </row>
    <row r="1308" spans="1:23" ht="16.05" customHeight="1" x14ac:dyDescent="0.45">
      <c r="A1308" s="1">
        <v>1307</v>
      </c>
      <c r="B1308" s="198" t="s">
        <v>924</v>
      </c>
      <c r="C1308" s="199" t="s">
        <v>24</v>
      </c>
      <c r="D1308" s="281">
        <v>6430</v>
      </c>
      <c r="E1308" s="199" t="s">
        <v>2058</v>
      </c>
      <c r="F1308" s="199" t="s">
        <v>892</v>
      </c>
      <c r="G1308" s="679">
        <v>3490</v>
      </c>
      <c r="H1308" s="199" t="s">
        <v>899</v>
      </c>
      <c r="I1308" s="199" t="s">
        <v>881</v>
      </c>
      <c r="J1308" s="204" t="s">
        <v>58</v>
      </c>
      <c r="K1308" s="692" t="s">
        <v>57</v>
      </c>
      <c r="L1308" s="434">
        <v>0.5</v>
      </c>
      <c r="M1308" s="228"/>
      <c r="N1308" s="229" t="s">
        <v>894</v>
      </c>
      <c r="O1308" s="207"/>
      <c r="P1308" s="230">
        <v>350</v>
      </c>
      <c r="Q1308" s="346">
        <v>0.3</v>
      </c>
      <c r="R1308" s="230"/>
      <c r="S1308" s="231">
        <f t="shared" si="40"/>
        <v>0</v>
      </c>
      <c r="T1308" s="231">
        <f t="shared" si="41"/>
        <v>0</v>
      </c>
      <c r="U1308" s="231" t="s">
        <v>34</v>
      </c>
      <c r="V1308" s="209"/>
      <c r="W1308" s="649"/>
    </row>
    <row r="1309" spans="1:23" ht="16.05" customHeight="1" x14ac:dyDescent="0.45">
      <c r="A1309" s="1">
        <v>1308</v>
      </c>
      <c r="B1309" s="198" t="s">
        <v>924</v>
      </c>
      <c r="C1309" s="199" t="s">
        <v>24</v>
      </c>
      <c r="D1309" s="281">
        <v>6430</v>
      </c>
      <c r="E1309" s="199" t="s">
        <v>2058</v>
      </c>
      <c r="F1309" s="199" t="s">
        <v>892</v>
      </c>
      <c r="G1309" s="679">
        <v>3490</v>
      </c>
      <c r="H1309" s="199" t="s">
        <v>899</v>
      </c>
      <c r="I1309" s="199" t="s">
        <v>881</v>
      </c>
      <c r="J1309" s="204" t="s">
        <v>58</v>
      </c>
      <c r="K1309" s="692" t="s">
        <v>57</v>
      </c>
      <c r="L1309" s="434">
        <v>0.5</v>
      </c>
      <c r="M1309" s="228"/>
      <c r="N1309" s="203" t="s">
        <v>885</v>
      </c>
      <c r="O1309" s="207"/>
      <c r="P1309" s="208">
        <v>1</v>
      </c>
      <c r="Q1309" s="434">
        <v>0.2</v>
      </c>
      <c r="R1309" s="208"/>
      <c r="S1309" s="231">
        <f t="shared" si="40"/>
        <v>0</v>
      </c>
      <c r="T1309" s="231">
        <f t="shared" si="41"/>
        <v>0</v>
      </c>
      <c r="U1309" s="231" t="s">
        <v>34</v>
      </c>
      <c r="V1309" s="209"/>
      <c r="W1309" s="649"/>
    </row>
    <row r="1310" spans="1:23" ht="16.05" customHeight="1" x14ac:dyDescent="0.45">
      <c r="A1310" s="1">
        <v>1309</v>
      </c>
      <c r="B1310" s="198" t="s">
        <v>924</v>
      </c>
      <c r="C1310" s="199" t="s">
        <v>24</v>
      </c>
      <c r="D1310" s="281">
        <v>6430</v>
      </c>
      <c r="E1310" s="199" t="s">
        <v>2058</v>
      </c>
      <c r="F1310" s="199" t="s">
        <v>892</v>
      </c>
      <c r="G1310" s="679">
        <v>3490</v>
      </c>
      <c r="H1310" s="199" t="s">
        <v>899</v>
      </c>
      <c r="I1310" s="199" t="s">
        <v>881</v>
      </c>
      <c r="J1310" s="204" t="s">
        <v>58</v>
      </c>
      <c r="K1310" s="692" t="s">
        <v>57</v>
      </c>
      <c r="L1310" s="434">
        <v>0.5</v>
      </c>
      <c r="M1310" s="228"/>
      <c r="N1310" s="203" t="s">
        <v>895</v>
      </c>
      <c r="O1310" s="207"/>
      <c r="P1310" s="208">
        <v>1</v>
      </c>
      <c r="Q1310" s="434">
        <v>0.2</v>
      </c>
      <c r="R1310" s="208"/>
      <c r="S1310" s="231">
        <f t="shared" si="40"/>
        <v>0</v>
      </c>
      <c r="T1310" s="207">
        <f t="shared" si="41"/>
        <v>0</v>
      </c>
      <c r="U1310" s="207" t="s">
        <v>34</v>
      </c>
      <c r="V1310" s="232"/>
      <c r="W1310" s="649"/>
    </row>
    <row r="1311" spans="1:23" ht="16.05" customHeight="1" x14ac:dyDescent="0.45">
      <c r="A1311" s="1">
        <v>1310</v>
      </c>
      <c r="B1311" s="198" t="s">
        <v>924</v>
      </c>
      <c r="C1311" s="199" t="s">
        <v>24</v>
      </c>
      <c r="D1311" s="281">
        <v>6430</v>
      </c>
      <c r="E1311" s="199" t="s">
        <v>2058</v>
      </c>
      <c r="F1311" s="199" t="s">
        <v>892</v>
      </c>
      <c r="G1311" s="679">
        <v>3490</v>
      </c>
      <c r="H1311" s="199" t="s">
        <v>899</v>
      </c>
      <c r="I1311" s="199" t="s">
        <v>881</v>
      </c>
      <c r="J1311" s="199" t="s">
        <v>111</v>
      </c>
      <c r="K1311" s="199" t="s">
        <v>110</v>
      </c>
      <c r="L1311" s="432">
        <v>0.5</v>
      </c>
      <c r="M1311" s="213"/>
      <c r="N1311" s="214" t="s">
        <v>2053</v>
      </c>
      <c r="O1311" s="220"/>
      <c r="P1311" s="233">
        <v>1</v>
      </c>
      <c r="Q1311" s="292">
        <v>0.2</v>
      </c>
      <c r="R1311" s="233"/>
      <c r="S1311" s="216">
        <f t="shared" si="40"/>
        <v>0</v>
      </c>
      <c r="T1311" s="217">
        <f t="shared" si="41"/>
        <v>0</v>
      </c>
      <c r="U1311" s="218" t="s">
        <v>34</v>
      </c>
      <c r="V1311" s="219"/>
      <c r="W1311" s="649"/>
    </row>
    <row r="1312" spans="1:23" ht="16.05" customHeight="1" x14ac:dyDescent="0.45">
      <c r="A1312" s="1">
        <v>1311</v>
      </c>
      <c r="B1312" s="198" t="s">
        <v>924</v>
      </c>
      <c r="C1312" s="199" t="s">
        <v>24</v>
      </c>
      <c r="D1312" s="281">
        <v>6430</v>
      </c>
      <c r="E1312" s="199" t="s">
        <v>2058</v>
      </c>
      <c r="F1312" s="199" t="s">
        <v>892</v>
      </c>
      <c r="G1312" s="679">
        <v>3490</v>
      </c>
      <c r="H1312" s="199" t="s">
        <v>899</v>
      </c>
      <c r="I1312" s="199" t="s">
        <v>881</v>
      </c>
      <c r="J1312" s="199" t="s">
        <v>111</v>
      </c>
      <c r="K1312" s="199" t="s">
        <v>110</v>
      </c>
      <c r="L1312" s="432">
        <v>0.5</v>
      </c>
      <c r="M1312" s="213"/>
      <c r="N1312" s="214" t="s">
        <v>900</v>
      </c>
      <c r="O1312" s="220"/>
      <c r="P1312" s="706">
        <v>0.4</v>
      </c>
      <c r="Q1312" s="292">
        <v>0.2</v>
      </c>
      <c r="R1312" s="706"/>
      <c r="S1312" s="216">
        <f t="shared" si="40"/>
        <v>0</v>
      </c>
      <c r="T1312" s="217">
        <f t="shared" si="41"/>
        <v>0</v>
      </c>
      <c r="U1312" s="218" t="s">
        <v>83</v>
      </c>
      <c r="V1312" s="219"/>
      <c r="W1312" s="649"/>
    </row>
    <row r="1313" spans="1:23" ht="16.05" customHeight="1" x14ac:dyDescent="0.45">
      <c r="A1313" s="1">
        <v>1312</v>
      </c>
      <c r="B1313" s="198" t="s">
        <v>924</v>
      </c>
      <c r="C1313" s="199" t="s">
        <v>24</v>
      </c>
      <c r="D1313" s="281">
        <v>6430</v>
      </c>
      <c r="E1313" s="199" t="s">
        <v>2058</v>
      </c>
      <c r="F1313" s="199" t="s">
        <v>892</v>
      </c>
      <c r="G1313" s="679">
        <v>3490</v>
      </c>
      <c r="H1313" s="199" t="s">
        <v>899</v>
      </c>
      <c r="I1313" s="199" t="s">
        <v>881</v>
      </c>
      <c r="J1313" s="199" t="s">
        <v>111</v>
      </c>
      <c r="K1313" s="199" t="s">
        <v>110</v>
      </c>
      <c r="L1313" s="432">
        <v>0.5</v>
      </c>
      <c r="M1313" s="213"/>
      <c r="N1313" s="214" t="s">
        <v>888</v>
      </c>
      <c r="O1313" s="220"/>
      <c r="P1313" s="221">
        <v>20</v>
      </c>
      <c r="Q1313" s="292">
        <v>0.2</v>
      </c>
      <c r="R1313" s="221"/>
      <c r="S1313" s="216">
        <f t="shared" si="40"/>
        <v>0</v>
      </c>
      <c r="T1313" s="217">
        <f t="shared" si="41"/>
        <v>0</v>
      </c>
      <c r="U1313" s="218" t="s">
        <v>83</v>
      </c>
      <c r="V1313" s="219"/>
      <c r="W1313" s="649"/>
    </row>
    <row r="1314" spans="1:23" ht="16.05" customHeight="1" x14ac:dyDescent="0.45">
      <c r="A1314" s="1">
        <v>1313</v>
      </c>
      <c r="B1314" s="198" t="s">
        <v>924</v>
      </c>
      <c r="C1314" s="199" t="s">
        <v>24</v>
      </c>
      <c r="D1314" s="281">
        <v>6430</v>
      </c>
      <c r="E1314" s="199" t="s">
        <v>2058</v>
      </c>
      <c r="F1314" s="199" t="s">
        <v>892</v>
      </c>
      <c r="G1314" s="679">
        <v>3490</v>
      </c>
      <c r="H1314" s="199" t="s">
        <v>899</v>
      </c>
      <c r="I1314" s="199" t="s">
        <v>881</v>
      </c>
      <c r="J1314" s="199" t="s">
        <v>111</v>
      </c>
      <c r="K1314" s="199" t="s">
        <v>110</v>
      </c>
      <c r="L1314" s="432">
        <v>0.5</v>
      </c>
      <c r="M1314" s="213"/>
      <c r="N1314" s="214" t="s">
        <v>2059</v>
      </c>
      <c r="O1314" s="220"/>
      <c r="P1314" s="234">
        <v>0.8</v>
      </c>
      <c r="Q1314" s="292">
        <v>0.2</v>
      </c>
      <c r="R1314" s="234"/>
      <c r="S1314" s="216">
        <f t="shared" si="40"/>
        <v>0</v>
      </c>
      <c r="T1314" s="217">
        <f t="shared" si="41"/>
        <v>0</v>
      </c>
      <c r="U1314" s="218" t="s">
        <v>34</v>
      </c>
      <c r="V1314" s="219"/>
      <c r="W1314" s="649"/>
    </row>
    <row r="1315" spans="1:23" ht="16.05" customHeight="1" x14ac:dyDescent="0.45">
      <c r="A1315" s="1">
        <v>1314</v>
      </c>
      <c r="B1315" s="198" t="s">
        <v>924</v>
      </c>
      <c r="C1315" s="199" t="s">
        <v>24</v>
      </c>
      <c r="D1315" s="281">
        <v>6430</v>
      </c>
      <c r="E1315" s="199" t="s">
        <v>2058</v>
      </c>
      <c r="F1315" s="199" t="s">
        <v>892</v>
      </c>
      <c r="G1315" s="679">
        <v>3490</v>
      </c>
      <c r="H1315" s="199" t="s">
        <v>899</v>
      </c>
      <c r="I1315" s="199" t="s">
        <v>881</v>
      </c>
      <c r="J1315" s="199" t="s">
        <v>111</v>
      </c>
      <c r="K1315" s="199" t="s">
        <v>110</v>
      </c>
      <c r="L1315" s="432">
        <v>0.5</v>
      </c>
      <c r="M1315" s="213"/>
      <c r="N1315" s="214" t="s">
        <v>897</v>
      </c>
      <c r="O1315" s="220"/>
      <c r="P1315" s="235">
        <v>12</v>
      </c>
      <c r="Q1315" s="292">
        <v>0.2</v>
      </c>
      <c r="R1315" s="235"/>
      <c r="S1315" s="216">
        <f t="shared" si="40"/>
        <v>0</v>
      </c>
      <c r="T1315" s="217">
        <f t="shared" si="41"/>
        <v>0</v>
      </c>
      <c r="U1315" s="218" t="s">
        <v>34</v>
      </c>
      <c r="V1315" s="219"/>
      <c r="W1315" s="649"/>
    </row>
    <row r="1316" spans="1:23" ht="16.05" customHeight="1" x14ac:dyDescent="0.45">
      <c r="A1316" s="1">
        <v>1315</v>
      </c>
      <c r="B1316" s="186" t="s">
        <v>924</v>
      </c>
      <c r="C1316" s="187" t="s">
        <v>24</v>
      </c>
      <c r="D1316" s="707">
        <v>5467</v>
      </c>
      <c r="E1316" s="186" t="s">
        <v>2060</v>
      </c>
      <c r="F1316" s="186" t="s">
        <v>892</v>
      </c>
      <c r="G1316" s="189">
        <v>3490</v>
      </c>
      <c r="H1316" s="186" t="s">
        <v>899</v>
      </c>
      <c r="I1316" s="186" t="s">
        <v>881</v>
      </c>
      <c r="J1316" s="193" t="s">
        <v>58</v>
      </c>
      <c r="K1316" s="186" t="s">
        <v>57</v>
      </c>
      <c r="L1316" s="636">
        <v>0.5</v>
      </c>
      <c r="M1316" s="225"/>
      <c r="N1316" s="695" t="s">
        <v>893</v>
      </c>
      <c r="O1316" s="196"/>
      <c r="P1316" s="226">
        <v>1000000000</v>
      </c>
      <c r="Q1316" s="350">
        <v>0.1</v>
      </c>
      <c r="R1316" s="226"/>
      <c r="S1316" s="193">
        <f t="shared" si="40"/>
        <v>0</v>
      </c>
      <c r="T1316" s="193">
        <f t="shared" si="41"/>
        <v>0</v>
      </c>
      <c r="U1316" s="193" t="s">
        <v>34</v>
      </c>
      <c r="V1316" s="678">
        <f>SUM(T1316:T1323)%</f>
        <v>0</v>
      </c>
      <c r="W1316" s="186"/>
    </row>
    <row r="1317" spans="1:23" ht="16.05" customHeight="1" x14ac:dyDescent="0.45">
      <c r="A1317" s="1">
        <v>1316</v>
      </c>
      <c r="B1317" s="198" t="s">
        <v>924</v>
      </c>
      <c r="C1317" s="199" t="s">
        <v>24</v>
      </c>
      <c r="D1317" s="358">
        <v>5467</v>
      </c>
      <c r="E1317" s="198" t="s">
        <v>2060</v>
      </c>
      <c r="F1317" s="198" t="s">
        <v>892</v>
      </c>
      <c r="G1317" s="200">
        <v>3490</v>
      </c>
      <c r="H1317" s="198" t="s">
        <v>899</v>
      </c>
      <c r="I1317" s="198" t="s">
        <v>881</v>
      </c>
      <c r="J1317" s="204" t="s">
        <v>58</v>
      </c>
      <c r="K1317" s="692" t="s">
        <v>57</v>
      </c>
      <c r="L1317" s="434">
        <v>0.5</v>
      </c>
      <c r="M1317" s="228"/>
      <c r="N1317" s="229" t="s">
        <v>2061</v>
      </c>
      <c r="O1317" s="207"/>
      <c r="P1317" s="208">
        <v>1</v>
      </c>
      <c r="Q1317" s="346">
        <v>0.3</v>
      </c>
      <c r="R1317" s="208"/>
      <c r="S1317" s="231">
        <f t="shared" si="40"/>
        <v>0</v>
      </c>
      <c r="T1317" s="231">
        <f t="shared" si="41"/>
        <v>0</v>
      </c>
      <c r="U1317" s="231" t="s">
        <v>34</v>
      </c>
      <c r="V1317" s="209"/>
      <c r="W1317" s="210"/>
    </row>
    <row r="1318" spans="1:23" ht="16.05" customHeight="1" x14ac:dyDescent="0.45">
      <c r="A1318" s="1">
        <v>1317</v>
      </c>
      <c r="B1318" s="198" t="s">
        <v>924</v>
      </c>
      <c r="C1318" s="199" t="s">
        <v>24</v>
      </c>
      <c r="D1318" s="358">
        <v>5467</v>
      </c>
      <c r="E1318" s="198" t="s">
        <v>2060</v>
      </c>
      <c r="F1318" s="198" t="s">
        <v>892</v>
      </c>
      <c r="G1318" s="200">
        <v>3490</v>
      </c>
      <c r="H1318" s="198" t="s">
        <v>899</v>
      </c>
      <c r="I1318" s="198" t="s">
        <v>881</v>
      </c>
      <c r="J1318" s="204" t="s">
        <v>58</v>
      </c>
      <c r="K1318" s="692" t="s">
        <v>57</v>
      </c>
      <c r="L1318" s="434">
        <v>0.5</v>
      </c>
      <c r="M1318" s="228"/>
      <c r="N1318" s="203" t="s">
        <v>885</v>
      </c>
      <c r="O1318" s="207"/>
      <c r="P1318" s="208">
        <v>1</v>
      </c>
      <c r="Q1318" s="434">
        <v>0.3</v>
      </c>
      <c r="R1318" s="208"/>
      <c r="S1318" s="231">
        <f t="shared" si="40"/>
        <v>0</v>
      </c>
      <c r="T1318" s="231">
        <f t="shared" si="41"/>
        <v>0</v>
      </c>
      <c r="U1318" s="231" t="s">
        <v>34</v>
      </c>
      <c r="V1318" s="209"/>
      <c r="W1318" s="210"/>
    </row>
    <row r="1319" spans="1:23" ht="16.05" customHeight="1" x14ac:dyDescent="0.45">
      <c r="A1319" s="1">
        <v>1318</v>
      </c>
      <c r="B1319" s="198" t="s">
        <v>924</v>
      </c>
      <c r="C1319" s="199" t="s">
        <v>24</v>
      </c>
      <c r="D1319" s="358">
        <v>5467</v>
      </c>
      <c r="E1319" s="198" t="s">
        <v>2060</v>
      </c>
      <c r="F1319" s="198" t="s">
        <v>892</v>
      </c>
      <c r="G1319" s="200">
        <v>3490</v>
      </c>
      <c r="H1319" s="198" t="s">
        <v>899</v>
      </c>
      <c r="I1319" s="198" t="s">
        <v>881</v>
      </c>
      <c r="J1319" s="204" t="s">
        <v>58</v>
      </c>
      <c r="K1319" s="692" t="s">
        <v>57</v>
      </c>
      <c r="L1319" s="434">
        <v>0.5</v>
      </c>
      <c r="M1319" s="228"/>
      <c r="N1319" s="203" t="s">
        <v>2062</v>
      </c>
      <c r="O1319" s="207"/>
      <c r="P1319" s="208">
        <v>0.1</v>
      </c>
      <c r="Q1319" s="434">
        <v>0.3</v>
      </c>
      <c r="R1319" s="208"/>
      <c r="S1319" s="231">
        <f t="shared" si="40"/>
        <v>0</v>
      </c>
      <c r="T1319" s="207">
        <f t="shared" si="41"/>
        <v>0</v>
      </c>
      <c r="U1319" s="207" t="s">
        <v>83</v>
      </c>
      <c r="V1319" s="209"/>
      <c r="W1319" s="210"/>
    </row>
    <row r="1320" spans="1:23" ht="16.05" customHeight="1" x14ac:dyDescent="0.45">
      <c r="A1320" s="1">
        <v>1319</v>
      </c>
      <c r="B1320" s="198" t="s">
        <v>924</v>
      </c>
      <c r="C1320" s="199" t="s">
        <v>24</v>
      </c>
      <c r="D1320" s="358">
        <v>5467</v>
      </c>
      <c r="E1320" s="198" t="s">
        <v>2060</v>
      </c>
      <c r="F1320" s="198" t="s">
        <v>892</v>
      </c>
      <c r="G1320" s="200">
        <v>3490</v>
      </c>
      <c r="H1320" s="198" t="s">
        <v>899</v>
      </c>
      <c r="I1320" s="198" t="s">
        <v>881</v>
      </c>
      <c r="J1320" s="199" t="s">
        <v>111</v>
      </c>
      <c r="K1320" s="199" t="s">
        <v>110</v>
      </c>
      <c r="L1320" s="432">
        <v>0.5</v>
      </c>
      <c r="M1320" s="213"/>
      <c r="N1320" s="214" t="s">
        <v>887</v>
      </c>
      <c r="O1320" s="220"/>
      <c r="P1320" s="233">
        <v>1</v>
      </c>
      <c r="Q1320" s="292">
        <v>0.3</v>
      </c>
      <c r="R1320" s="233"/>
      <c r="S1320" s="216">
        <f t="shared" si="40"/>
        <v>0</v>
      </c>
      <c r="T1320" s="217">
        <f t="shared" si="41"/>
        <v>0</v>
      </c>
      <c r="U1320" s="218" t="s">
        <v>34</v>
      </c>
      <c r="V1320" s="219"/>
      <c r="W1320" s="210"/>
    </row>
    <row r="1321" spans="1:23" ht="16.05" customHeight="1" x14ac:dyDescent="0.45">
      <c r="A1321" s="1">
        <v>1320</v>
      </c>
      <c r="B1321" s="198" t="s">
        <v>924</v>
      </c>
      <c r="C1321" s="199" t="s">
        <v>24</v>
      </c>
      <c r="D1321" s="358">
        <v>5467</v>
      </c>
      <c r="E1321" s="198" t="s">
        <v>2060</v>
      </c>
      <c r="F1321" s="198" t="s">
        <v>892</v>
      </c>
      <c r="G1321" s="200">
        <v>3490</v>
      </c>
      <c r="H1321" s="198" t="s">
        <v>899</v>
      </c>
      <c r="I1321" s="198" t="s">
        <v>881</v>
      </c>
      <c r="J1321" s="199" t="s">
        <v>111</v>
      </c>
      <c r="K1321" s="199" t="s">
        <v>110</v>
      </c>
      <c r="L1321" s="432">
        <v>0.5</v>
      </c>
      <c r="M1321" s="213"/>
      <c r="N1321" s="214" t="s">
        <v>900</v>
      </c>
      <c r="O1321" s="220"/>
      <c r="P1321" s="234">
        <v>0.2</v>
      </c>
      <c r="Q1321" s="292">
        <v>0.2</v>
      </c>
      <c r="R1321" s="234"/>
      <c r="S1321" s="216">
        <f t="shared" si="40"/>
        <v>0</v>
      </c>
      <c r="T1321" s="217">
        <f t="shared" si="41"/>
        <v>0</v>
      </c>
      <c r="U1321" s="218" t="s">
        <v>83</v>
      </c>
      <c r="V1321" s="219"/>
      <c r="W1321" s="210"/>
    </row>
    <row r="1322" spans="1:23" ht="16.05" customHeight="1" x14ac:dyDescent="0.45">
      <c r="A1322" s="1">
        <v>1321</v>
      </c>
      <c r="B1322" s="198" t="s">
        <v>924</v>
      </c>
      <c r="C1322" s="199" t="s">
        <v>24</v>
      </c>
      <c r="D1322" s="358">
        <v>5467</v>
      </c>
      <c r="E1322" s="198" t="s">
        <v>2060</v>
      </c>
      <c r="F1322" s="198" t="s">
        <v>892</v>
      </c>
      <c r="G1322" s="200">
        <v>3490</v>
      </c>
      <c r="H1322" s="198" t="s">
        <v>899</v>
      </c>
      <c r="I1322" s="198" t="s">
        <v>881</v>
      </c>
      <c r="J1322" s="199" t="s">
        <v>111</v>
      </c>
      <c r="K1322" s="199" t="s">
        <v>110</v>
      </c>
      <c r="L1322" s="432">
        <v>0.5</v>
      </c>
      <c r="M1322" s="213"/>
      <c r="N1322" s="214" t="s">
        <v>2059</v>
      </c>
      <c r="O1322" s="220"/>
      <c r="P1322" s="234">
        <v>0.8</v>
      </c>
      <c r="Q1322" s="292">
        <v>0.2</v>
      </c>
      <c r="R1322" s="234"/>
      <c r="S1322" s="216">
        <f t="shared" si="40"/>
        <v>0</v>
      </c>
      <c r="T1322" s="217">
        <f t="shared" si="41"/>
        <v>0</v>
      </c>
      <c r="U1322" s="218" t="s">
        <v>34</v>
      </c>
      <c r="V1322" s="219"/>
      <c r="W1322" s="210"/>
    </row>
    <row r="1323" spans="1:23" ht="16.05" customHeight="1" x14ac:dyDescent="0.45">
      <c r="A1323" s="1">
        <v>1322</v>
      </c>
      <c r="B1323" s="198" t="s">
        <v>924</v>
      </c>
      <c r="C1323" s="199" t="s">
        <v>24</v>
      </c>
      <c r="D1323" s="358">
        <v>5467</v>
      </c>
      <c r="E1323" s="198" t="s">
        <v>2060</v>
      </c>
      <c r="F1323" s="198" t="s">
        <v>892</v>
      </c>
      <c r="G1323" s="200">
        <v>3490</v>
      </c>
      <c r="H1323" s="198" t="s">
        <v>899</v>
      </c>
      <c r="I1323" s="198" t="s">
        <v>881</v>
      </c>
      <c r="J1323" s="199" t="s">
        <v>111</v>
      </c>
      <c r="K1323" s="199" t="s">
        <v>110</v>
      </c>
      <c r="L1323" s="432">
        <v>0.5</v>
      </c>
      <c r="M1323" s="213"/>
      <c r="N1323" s="214" t="s">
        <v>2063</v>
      </c>
      <c r="O1323" s="220"/>
      <c r="P1323" s="234">
        <v>1</v>
      </c>
      <c r="Q1323" s="292">
        <v>0.3</v>
      </c>
      <c r="R1323" s="234"/>
      <c r="S1323" s="216">
        <f t="shared" si="40"/>
        <v>0</v>
      </c>
      <c r="T1323" s="217">
        <f t="shared" si="41"/>
        <v>0</v>
      </c>
      <c r="U1323" s="218" t="s">
        <v>34</v>
      </c>
      <c r="V1323" s="219"/>
      <c r="W1323" s="210"/>
    </row>
    <row r="1324" spans="1:23" ht="16.05" customHeight="1" x14ac:dyDescent="0.45">
      <c r="A1324" s="1">
        <v>1323</v>
      </c>
      <c r="B1324" s="186" t="s">
        <v>924</v>
      </c>
      <c r="C1324" s="187" t="s">
        <v>24</v>
      </c>
      <c r="D1324" s="707">
        <v>3647</v>
      </c>
      <c r="E1324" s="186" t="s">
        <v>880</v>
      </c>
      <c r="F1324" s="186" t="s">
        <v>2064</v>
      </c>
      <c r="G1324" s="189">
        <v>3264</v>
      </c>
      <c r="H1324" s="186" t="s">
        <v>1093</v>
      </c>
      <c r="I1324" s="186" t="s">
        <v>881</v>
      </c>
      <c r="J1324" s="186" t="s">
        <v>58</v>
      </c>
      <c r="K1324" s="186" t="s">
        <v>57</v>
      </c>
      <c r="L1324" s="636">
        <v>0.5</v>
      </c>
      <c r="M1324" s="186"/>
      <c r="N1324" s="192" t="s">
        <v>2065</v>
      </c>
      <c r="O1324" s="186"/>
      <c r="P1324" s="677">
        <v>30000000000</v>
      </c>
      <c r="Q1324" s="636">
        <v>0.2</v>
      </c>
      <c r="R1324" s="677"/>
      <c r="S1324" s="186">
        <f t="shared" si="40"/>
        <v>0</v>
      </c>
      <c r="T1324" s="186">
        <f t="shared" si="41"/>
        <v>0</v>
      </c>
      <c r="U1324" s="186" t="s">
        <v>34</v>
      </c>
      <c r="V1324" s="678">
        <f>SUM(T1324:T1333)%</f>
        <v>0</v>
      </c>
      <c r="W1324" s="186"/>
    </row>
    <row r="1325" spans="1:23" ht="16.05" customHeight="1" x14ac:dyDescent="0.45">
      <c r="A1325" s="1">
        <v>1324</v>
      </c>
      <c r="B1325" s="198" t="s">
        <v>924</v>
      </c>
      <c r="C1325" s="199" t="s">
        <v>24</v>
      </c>
      <c r="D1325" s="358">
        <v>3647</v>
      </c>
      <c r="E1325" s="198" t="s">
        <v>880</v>
      </c>
      <c r="F1325" s="198" t="s">
        <v>2064</v>
      </c>
      <c r="G1325" s="200">
        <v>3264</v>
      </c>
      <c r="H1325" s="198" t="s">
        <v>1093</v>
      </c>
      <c r="I1325" s="198" t="s">
        <v>881</v>
      </c>
      <c r="J1325" s="692" t="s">
        <v>58</v>
      </c>
      <c r="K1325" s="692" t="s">
        <v>57</v>
      </c>
      <c r="L1325" s="360">
        <v>0.5</v>
      </c>
      <c r="M1325" s="202"/>
      <c r="N1325" s="203" t="s">
        <v>2066</v>
      </c>
      <c r="O1325" s="211"/>
      <c r="P1325" s="205">
        <v>3600</v>
      </c>
      <c r="Q1325" s="434">
        <v>0.2</v>
      </c>
      <c r="R1325" s="205"/>
      <c r="S1325" s="206">
        <f t="shared" si="40"/>
        <v>0</v>
      </c>
      <c r="T1325" s="207">
        <f t="shared" si="41"/>
        <v>0</v>
      </c>
      <c r="U1325" s="208" t="s">
        <v>34</v>
      </c>
      <c r="V1325" s="209"/>
      <c r="W1325" s="210"/>
    </row>
    <row r="1326" spans="1:23" ht="16.05" customHeight="1" x14ac:dyDescent="0.45">
      <c r="A1326" s="1">
        <v>1325</v>
      </c>
      <c r="B1326" s="198" t="s">
        <v>924</v>
      </c>
      <c r="C1326" s="199" t="s">
        <v>24</v>
      </c>
      <c r="D1326" s="358">
        <v>3647</v>
      </c>
      <c r="E1326" s="198" t="s">
        <v>880</v>
      </c>
      <c r="F1326" s="198" t="s">
        <v>2064</v>
      </c>
      <c r="G1326" s="200">
        <v>3264</v>
      </c>
      <c r="H1326" s="198" t="s">
        <v>1093</v>
      </c>
      <c r="I1326" s="198" t="s">
        <v>881</v>
      </c>
      <c r="J1326" s="692" t="s">
        <v>58</v>
      </c>
      <c r="K1326" s="692" t="s">
        <v>57</v>
      </c>
      <c r="L1326" s="360">
        <v>0.5</v>
      </c>
      <c r="M1326" s="202"/>
      <c r="N1326" s="203" t="s">
        <v>2067</v>
      </c>
      <c r="O1326" s="211"/>
      <c r="P1326" s="693">
        <v>3</v>
      </c>
      <c r="Q1326" s="434">
        <v>0.3</v>
      </c>
      <c r="R1326" s="693"/>
      <c r="S1326" s="206">
        <f t="shared" si="40"/>
        <v>0</v>
      </c>
      <c r="T1326" s="207">
        <f t="shared" si="41"/>
        <v>0</v>
      </c>
      <c r="U1326" s="208" t="s">
        <v>34</v>
      </c>
      <c r="V1326" s="209"/>
      <c r="W1326" s="210"/>
    </row>
    <row r="1327" spans="1:23" ht="16.05" customHeight="1" x14ac:dyDescent="0.45">
      <c r="A1327" s="1">
        <v>1326</v>
      </c>
      <c r="B1327" s="198" t="s">
        <v>924</v>
      </c>
      <c r="C1327" s="199" t="s">
        <v>24</v>
      </c>
      <c r="D1327" s="358">
        <v>3647</v>
      </c>
      <c r="E1327" s="198" t="s">
        <v>880</v>
      </c>
      <c r="F1327" s="198" t="s">
        <v>2064</v>
      </c>
      <c r="G1327" s="200">
        <v>3264</v>
      </c>
      <c r="H1327" s="198" t="s">
        <v>1093</v>
      </c>
      <c r="I1327" s="198" t="s">
        <v>881</v>
      </c>
      <c r="J1327" s="692" t="s">
        <v>58</v>
      </c>
      <c r="K1327" s="692" t="s">
        <v>57</v>
      </c>
      <c r="L1327" s="360">
        <v>0.5</v>
      </c>
      <c r="M1327" s="202"/>
      <c r="N1327" s="203" t="s">
        <v>2068</v>
      </c>
      <c r="O1327" s="211"/>
      <c r="P1327" s="204">
        <v>1</v>
      </c>
      <c r="Q1327" s="434">
        <v>0.3</v>
      </c>
      <c r="R1327" s="204"/>
      <c r="S1327" s="206">
        <f t="shared" si="40"/>
        <v>0</v>
      </c>
      <c r="T1327" s="207">
        <f t="shared" si="41"/>
        <v>0</v>
      </c>
      <c r="U1327" s="208" t="s">
        <v>34</v>
      </c>
      <c r="V1327" s="209"/>
      <c r="W1327" s="210"/>
    </row>
    <row r="1328" spans="1:23" ht="16.05" customHeight="1" x14ac:dyDescent="0.45">
      <c r="A1328" s="1">
        <v>1327</v>
      </c>
      <c r="B1328" s="198" t="s">
        <v>924</v>
      </c>
      <c r="C1328" s="199" t="s">
        <v>24</v>
      </c>
      <c r="D1328" s="358">
        <v>3647</v>
      </c>
      <c r="E1328" s="198" t="s">
        <v>880</v>
      </c>
      <c r="F1328" s="198" t="s">
        <v>2064</v>
      </c>
      <c r="G1328" s="200">
        <v>3264</v>
      </c>
      <c r="H1328" s="198" t="s">
        <v>1093</v>
      </c>
      <c r="I1328" s="198" t="s">
        <v>881</v>
      </c>
      <c r="J1328" s="199" t="s">
        <v>111</v>
      </c>
      <c r="K1328" s="199" t="s">
        <v>110</v>
      </c>
      <c r="L1328" s="432">
        <v>0.5</v>
      </c>
      <c r="M1328" s="213"/>
      <c r="N1328" s="214" t="s">
        <v>2053</v>
      </c>
      <c r="O1328" s="220"/>
      <c r="P1328" s="215">
        <v>1</v>
      </c>
      <c r="Q1328" s="292">
        <v>0.2</v>
      </c>
      <c r="R1328" s="215"/>
      <c r="S1328" s="216">
        <f t="shared" si="40"/>
        <v>0</v>
      </c>
      <c r="T1328" s="217">
        <f t="shared" si="41"/>
        <v>0</v>
      </c>
      <c r="U1328" s="218" t="s">
        <v>34</v>
      </c>
      <c r="V1328" s="219"/>
      <c r="W1328" s="210"/>
    </row>
    <row r="1329" spans="1:23" ht="16.05" customHeight="1" x14ac:dyDescent="0.45">
      <c r="A1329" s="1">
        <v>1328</v>
      </c>
      <c r="B1329" s="198" t="s">
        <v>924</v>
      </c>
      <c r="C1329" s="199" t="s">
        <v>24</v>
      </c>
      <c r="D1329" s="358">
        <v>3647</v>
      </c>
      <c r="E1329" s="198" t="s">
        <v>880</v>
      </c>
      <c r="F1329" s="198" t="s">
        <v>2064</v>
      </c>
      <c r="G1329" s="200">
        <v>3264</v>
      </c>
      <c r="H1329" s="198" t="s">
        <v>1093</v>
      </c>
      <c r="I1329" s="198" t="s">
        <v>881</v>
      </c>
      <c r="J1329" s="199" t="s">
        <v>111</v>
      </c>
      <c r="K1329" s="199" t="s">
        <v>110</v>
      </c>
      <c r="L1329" s="432">
        <v>0.5</v>
      </c>
      <c r="M1329" s="213"/>
      <c r="N1329" s="214" t="s">
        <v>888</v>
      </c>
      <c r="O1329" s="220"/>
      <c r="P1329" s="221">
        <v>20</v>
      </c>
      <c r="Q1329" s="292">
        <v>0.2</v>
      </c>
      <c r="R1329" s="221"/>
      <c r="S1329" s="216">
        <f t="shared" si="40"/>
        <v>0</v>
      </c>
      <c r="T1329" s="217">
        <f t="shared" si="41"/>
        <v>0</v>
      </c>
      <c r="U1329" s="218" t="s">
        <v>34</v>
      </c>
      <c r="V1329" s="219"/>
      <c r="W1329" s="210"/>
    </row>
    <row r="1330" spans="1:23" ht="16.05" customHeight="1" x14ac:dyDescent="0.45">
      <c r="A1330" s="1">
        <v>1329</v>
      </c>
      <c r="B1330" s="198" t="s">
        <v>924</v>
      </c>
      <c r="C1330" s="199" t="s">
        <v>24</v>
      </c>
      <c r="D1330" s="358">
        <v>3647</v>
      </c>
      <c r="E1330" s="198" t="s">
        <v>880</v>
      </c>
      <c r="F1330" s="198" t="s">
        <v>2064</v>
      </c>
      <c r="G1330" s="200">
        <v>3264</v>
      </c>
      <c r="H1330" s="198" t="s">
        <v>1093</v>
      </c>
      <c r="I1330" s="198" t="s">
        <v>881</v>
      </c>
      <c r="J1330" s="199" t="s">
        <v>111</v>
      </c>
      <c r="K1330" s="199" t="s">
        <v>110</v>
      </c>
      <c r="L1330" s="432">
        <v>0.5</v>
      </c>
      <c r="M1330" s="213"/>
      <c r="N1330" s="214" t="s">
        <v>900</v>
      </c>
      <c r="O1330" s="220"/>
      <c r="P1330" s="215">
        <v>0.4</v>
      </c>
      <c r="Q1330" s="292">
        <v>0.1</v>
      </c>
      <c r="R1330" s="215"/>
      <c r="S1330" s="216">
        <f t="shared" si="40"/>
        <v>0</v>
      </c>
      <c r="T1330" s="217">
        <f t="shared" si="41"/>
        <v>0</v>
      </c>
      <c r="U1330" s="218" t="s">
        <v>34</v>
      </c>
      <c r="V1330" s="219"/>
      <c r="W1330" s="210"/>
    </row>
    <row r="1331" spans="1:23" ht="16.05" customHeight="1" x14ac:dyDescent="0.45">
      <c r="A1331" s="1">
        <v>1330</v>
      </c>
      <c r="B1331" s="198" t="s">
        <v>924</v>
      </c>
      <c r="C1331" s="199" t="s">
        <v>24</v>
      </c>
      <c r="D1331" s="358">
        <v>3647</v>
      </c>
      <c r="E1331" s="198" t="s">
        <v>880</v>
      </c>
      <c r="F1331" s="198" t="s">
        <v>2064</v>
      </c>
      <c r="G1331" s="200">
        <v>3264</v>
      </c>
      <c r="H1331" s="198" t="s">
        <v>1093</v>
      </c>
      <c r="I1331" s="198" t="s">
        <v>881</v>
      </c>
      <c r="J1331" s="199" t="s">
        <v>111</v>
      </c>
      <c r="K1331" s="199" t="s">
        <v>110</v>
      </c>
      <c r="L1331" s="432">
        <v>0.5</v>
      </c>
      <c r="M1331" s="213"/>
      <c r="N1331" s="214" t="s">
        <v>2069</v>
      </c>
      <c r="O1331" s="220"/>
      <c r="P1331" s="708">
        <v>1</v>
      </c>
      <c r="Q1331" s="292">
        <v>0.2</v>
      </c>
      <c r="R1331" s="708"/>
      <c r="S1331" s="216">
        <f t="shared" si="40"/>
        <v>0</v>
      </c>
      <c r="T1331" s="217">
        <f t="shared" si="41"/>
        <v>0</v>
      </c>
      <c r="U1331" s="218" t="s">
        <v>34</v>
      </c>
      <c r="V1331" s="219"/>
      <c r="W1331" s="210"/>
    </row>
    <row r="1332" spans="1:23" ht="16.05" customHeight="1" x14ac:dyDescent="0.45">
      <c r="A1332" s="1">
        <v>1331</v>
      </c>
      <c r="B1332" s="198" t="s">
        <v>924</v>
      </c>
      <c r="C1332" s="199" t="s">
        <v>24</v>
      </c>
      <c r="D1332" s="358">
        <v>3647</v>
      </c>
      <c r="E1332" s="198" t="s">
        <v>880</v>
      </c>
      <c r="F1332" s="198" t="s">
        <v>2064</v>
      </c>
      <c r="G1332" s="200">
        <v>3264</v>
      </c>
      <c r="H1332" s="198" t="s">
        <v>1093</v>
      </c>
      <c r="I1332" s="198" t="s">
        <v>881</v>
      </c>
      <c r="J1332" s="199" t="s">
        <v>111</v>
      </c>
      <c r="K1332" s="199" t="s">
        <v>110</v>
      </c>
      <c r="L1332" s="432">
        <v>0.5</v>
      </c>
      <c r="M1332" s="213"/>
      <c r="N1332" s="214" t="s">
        <v>2070</v>
      </c>
      <c r="O1332" s="220"/>
      <c r="P1332" s="215">
        <v>1</v>
      </c>
      <c r="Q1332" s="292">
        <v>0.1</v>
      </c>
      <c r="R1332" s="215"/>
      <c r="S1332" s="216">
        <f t="shared" si="40"/>
        <v>0</v>
      </c>
      <c r="T1332" s="217">
        <f t="shared" si="41"/>
        <v>0</v>
      </c>
      <c r="U1332" s="218" t="s">
        <v>34</v>
      </c>
      <c r="V1332" s="219"/>
      <c r="W1332" s="210"/>
    </row>
    <row r="1333" spans="1:23" ht="16.05" customHeight="1" x14ac:dyDescent="0.45">
      <c r="A1333" s="1">
        <v>1332</v>
      </c>
      <c r="B1333" s="198" t="s">
        <v>924</v>
      </c>
      <c r="C1333" s="199" t="s">
        <v>24</v>
      </c>
      <c r="D1333" s="358">
        <v>3647</v>
      </c>
      <c r="E1333" s="198" t="s">
        <v>880</v>
      </c>
      <c r="F1333" s="198" t="s">
        <v>2064</v>
      </c>
      <c r="G1333" s="200">
        <v>3264</v>
      </c>
      <c r="H1333" s="198" t="s">
        <v>1093</v>
      </c>
      <c r="I1333" s="198" t="s">
        <v>881</v>
      </c>
      <c r="J1333" s="199" t="s">
        <v>111</v>
      </c>
      <c r="K1333" s="199" t="s">
        <v>110</v>
      </c>
      <c r="L1333" s="432">
        <v>0.5</v>
      </c>
      <c r="M1333" s="213"/>
      <c r="N1333" s="214" t="s">
        <v>2071</v>
      </c>
      <c r="O1333" s="220"/>
      <c r="P1333" s="215">
        <v>1</v>
      </c>
      <c r="Q1333" s="292">
        <v>0.2</v>
      </c>
      <c r="R1333" s="215"/>
      <c r="S1333" s="216">
        <f t="shared" si="40"/>
        <v>0</v>
      </c>
      <c r="T1333" s="217">
        <f t="shared" si="41"/>
        <v>0</v>
      </c>
      <c r="U1333" s="218" t="s">
        <v>34</v>
      </c>
      <c r="V1333" s="219"/>
      <c r="W1333" s="210"/>
    </row>
    <row r="1334" spans="1:23" ht="16.05" customHeight="1" x14ac:dyDescent="0.45">
      <c r="A1334" s="1">
        <v>1333</v>
      </c>
      <c r="B1334" s="186" t="s">
        <v>924</v>
      </c>
      <c r="C1334" s="187" t="s">
        <v>24</v>
      </c>
      <c r="D1334" s="707">
        <v>6413</v>
      </c>
      <c r="E1334" s="186" t="s">
        <v>2072</v>
      </c>
      <c r="F1334" s="186" t="s">
        <v>892</v>
      </c>
      <c r="G1334" s="189">
        <v>3647</v>
      </c>
      <c r="H1334" s="186" t="s">
        <v>878</v>
      </c>
      <c r="I1334" s="186" t="s">
        <v>881</v>
      </c>
      <c r="J1334" s="193" t="s">
        <v>58</v>
      </c>
      <c r="K1334" s="186" t="s">
        <v>57</v>
      </c>
      <c r="L1334" s="636">
        <v>0.5</v>
      </c>
      <c r="M1334" s="225"/>
      <c r="N1334" s="695" t="s">
        <v>893</v>
      </c>
      <c r="O1334" s="196"/>
      <c r="P1334" s="226">
        <v>4000000000</v>
      </c>
      <c r="Q1334" s="350">
        <v>0.3</v>
      </c>
      <c r="R1334" s="226"/>
      <c r="S1334" s="193">
        <f t="shared" si="40"/>
        <v>0</v>
      </c>
      <c r="T1334" s="193">
        <f t="shared" si="41"/>
        <v>0</v>
      </c>
      <c r="U1334" s="193" t="s">
        <v>34</v>
      </c>
      <c r="V1334" s="678">
        <f>SUM(T1334:T1342)%</f>
        <v>0</v>
      </c>
      <c r="W1334" s="186"/>
    </row>
    <row r="1335" spans="1:23" ht="16.05" customHeight="1" x14ac:dyDescent="0.45">
      <c r="A1335" s="1">
        <v>1334</v>
      </c>
      <c r="B1335" s="198" t="s">
        <v>924</v>
      </c>
      <c r="C1335" s="199" t="s">
        <v>24</v>
      </c>
      <c r="D1335" s="358">
        <v>6413</v>
      </c>
      <c r="E1335" s="198" t="s">
        <v>2072</v>
      </c>
      <c r="F1335" s="198" t="s">
        <v>892</v>
      </c>
      <c r="G1335" s="200">
        <v>3647</v>
      </c>
      <c r="H1335" s="198" t="s">
        <v>878</v>
      </c>
      <c r="I1335" s="198" t="s">
        <v>881</v>
      </c>
      <c r="J1335" s="204" t="s">
        <v>58</v>
      </c>
      <c r="K1335" s="692" t="s">
        <v>57</v>
      </c>
      <c r="L1335" s="434">
        <v>0.5</v>
      </c>
      <c r="M1335" s="228"/>
      <c r="N1335" s="229" t="s">
        <v>894</v>
      </c>
      <c r="O1335" s="207"/>
      <c r="P1335" s="230">
        <v>350</v>
      </c>
      <c r="Q1335" s="346">
        <v>0.3</v>
      </c>
      <c r="R1335" s="230"/>
      <c r="S1335" s="231">
        <f t="shared" si="40"/>
        <v>0</v>
      </c>
      <c r="T1335" s="231">
        <f t="shared" si="41"/>
        <v>0</v>
      </c>
      <c r="U1335" s="231" t="s">
        <v>34</v>
      </c>
      <c r="V1335" s="209"/>
      <c r="W1335" s="210"/>
    </row>
    <row r="1336" spans="1:23" ht="16.05" customHeight="1" x14ac:dyDescent="0.45">
      <c r="A1336" s="1">
        <v>1335</v>
      </c>
      <c r="B1336" s="198" t="s">
        <v>924</v>
      </c>
      <c r="C1336" s="199" t="s">
        <v>24</v>
      </c>
      <c r="D1336" s="358">
        <v>6413</v>
      </c>
      <c r="E1336" s="198" t="s">
        <v>2072</v>
      </c>
      <c r="F1336" s="198" t="s">
        <v>892</v>
      </c>
      <c r="G1336" s="200">
        <v>3647</v>
      </c>
      <c r="H1336" s="198" t="s">
        <v>878</v>
      </c>
      <c r="I1336" s="198" t="s">
        <v>881</v>
      </c>
      <c r="J1336" s="204" t="s">
        <v>58</v>
      </c>
      <c r="K1336" s="692" t="s">
        <v>57</v>
      </c>
      <c r="L1336" s="434">
        <v>0.5</v>
      </c>
      <c r="M1336" s="228"/>
      <c r="N1336" s="203" t="s">
        <v>885</v>
      </c>
      <c r="O1336" s="207"/>
      <c r="P1336" s="208">
        <v>1</v>
      </c>
      <c r="Q1336" s="434">
        <v>0.2</v>
      </c>
      <c r="R1336" s="208"/>
      <c r="S1336" s="231">
        <f t="shared" si="40"/>
        <v>0</v>
      </c>
      <c r="T1336" s="231">
        <f t="shared" si="41"/>
        <v>0</v>
      </c>
      <c r="U1336" s="231" t="s">
        <v>34</v>
      </c>
      <c r="V1336" s="209"/>
      <c r="W1336" s="210"/>
    </row>
    <row r="1337" spans="1:23" ht="16.05" customHeight="1" x14ac:dyDescent="0.45">
      <c r="A1337" s="1">
        <v>1336</v>
      </c>
      <c r="B1337" s="198" t="s">
        <v>924</v>
      </c>
      <c r="C1337" s="199" t="s">
        <v>24</v>
      </c>
      <c r="D1337" s="358">
        <v>6413</v>
      </c>
      <c r="E1337" s="198" t="s">
        <v>2072</v>
      </c>
      <c r="F1337" s="198" t="s">
        <v>892</v>
      </c>
      <c r="G1337" s="200">
        <v>3647</v>
      </c>
      <c r="H1337" s="198" t="s">
        <v>878</v>
      </c>
      <c r="I1337" s="198" t="s">
        <v>881</v>
      </c>
      <c r="J1337" s="204" t="s">
        <v>58</v>
      </c>
      <c r="K1337" s="692" t="s">
        <v>57</v>
      </c>
      <c r="L1337" s="434">
        <v>0.5</v>
      </c>
      <c r="M1337" s="228"/>
      <c r="N1337" s="203" t="s">
        <v>895</v>
      </c>
      <c r="O1337" s="207"/>
      <c r="P1337" s="208">
        <v>1</v>
      </c>
      <c r="Q1337" s="434">
        <v>0.2</v>
      </c>
      <c r="R1337" s="208"/>
      <c r="S1337" s="231">
        <f t="shared" si="40"/>
        <v>0</v>
      </c>
      <c r="T1337" s="207">
        <f t="shared" si="41"/>
        <v>0</v>
      </c>
      <c r="U1337" s="207" t="s">
        <v>34</v>
      </c>
      <c r="V1337" s="232"/>
      <c r="W1337" s="210"/>
    </row>
    <row r="1338" spans="1:23" ht="16.05" customHeight="1" x14ac:dyDescent="0.45">
      <c r="A1338" s="1">
        <v>1337</v>
      </c>
      <c r="B1338" s="198" t="s">
        <v>924</v>
      </c>
      <c r="C1338" s="199" t="s">
        <v>24</v>
      </c>
      <c r="D1338" s="358">
        <v>6413</v>
      </c>
      <c r="E1338" s="198" t="s">
        <v>2072</v>
      </c>
      <c r="F1338" s="198" t="s">
        <v>892</v>
      </c>
      <c r="G1338" s="200">
        <v>3647</v>
      </c>
      <c r="H1338" s="198" t="s">
        <v>878</v>
      </c>
      <c r="I1338" s="198" t="s">
        <v>881</v>
      </c>
      <c r="J1338" s="199" t="s">
        <v>111</v>
      </c>
      <c r="K1338" s="199" t="s">
        <v>110</v>
      </c>
      <c r="L1338" s="432">
        <v>0.5</v>
      </c>
      <c r="M1338" s="213"/>
      <c r="N1338" s="214" t="s">
        <v>887</v>
      </c>
      <c r="O1338" s="220"/>
      <c r="P1338" s="233">
        <v>1</v>
      </c>
      <c r="Q1338" s="292">
        <v>0.2</v>
      </c>
      <c r="R1338" s="233"/>
      <c r="S1338" s="216">
        <f t="shared" si="40"/>
        <v>0</v>
      </c>
      <c r="T1338" s="217">
        <f t="shared" si="41"/>
        <v>0</v>
      </c>
      <c r="U1338" s="218" t="s">
        <v>34</v>
      </c>
      <c r="V1338" s="219"/>
      <c r="W1338" s="210"/>
    </row>
    <row r="1339" spans="1:23" ht="16.05" customHeight="1" x14ac:dyDescent="0.45">
      <c r="A1339" s="1">
        <v>1338</v>
      </c>
      <c r="B1339" s="198" t="s">
        <v>924</v>
      </c>
      <c r="C1339" s="199" t="s">
        <v>24</v>
      </c>
      <c r="D1339" s="358">
        <v>6413</v>
      </c>
      <c r="E1339" s="198" t="s">
        <v>2072</v>
      </c>
      <c r="F1339" s="198" t="s">
        <v>892</v>
      </c>
      <c r="G1339" s="200">
        <v>3647</v>
      </c>
      <c r="H1339" s="198" t="s">
        <v>878</v>
      </c>
      <c r="I1339" s="198" t="s">
        <v>881</v>
      </c>
      <c r="J1339" s="199" t="s">
        <v>111</v>
      </c>
      <c r="K1339" s="199" t="s">
        <v>110</v>
      </c>
      <c r="L1339" s="432">
        <v>0.5</v>
      </c>
      <c r="M1339" s="213"/>
      <c r="N1339" s="214" t="s">
        <v>888</v>
      </c>
      <c r="O1339" s="220"/>
      <c r="P1339" s="221">
        <v>20</v>
      </c>
      <c r="Q1339" s="292">
        <v>0.2</v>
      </c>
      <c r="R1339" s="221"/>
      <c r="S1339" s="216">
        <f t="shared" si="40"/>
        <v>0</v>
      </c>
      <c r="T1339" s="217">
        <f t="shared" si="41"/>
        <v>0</v>
      </c>
      <c r="U1339" s="218" t="s">
        <v>83</v>
      </c>
      <c r="V1339" s="219"/>
      <c r="W1339" s="210"/>
    </row>
    <row r="1340" spans="1:23" ht="16.05" customHeight="1" x14ac:dyDescent="0.45">
      <c r="A1340" s="1">
        <v>1339</v>
      </c>
      <c r="B1340" s="198" t="s">
        <v>924</v>
      </c>
      <c r="C1340" s="199" t="s">
        <v>24</v>
      </c>
      <c r="D1340" s="358">
        <v>6413</v>
      </c>
      <c r="E1340" s="198" t="s">
        <v>2072</v>
      </c>
      <c r="F1340" s="198" t="s">
        <v>892</v>
      </c>
      <c r="G1340" s="200">
        <v>3647</v>
      </c>
      <c r="H1340" s="198" t="s">
        <v>878</v>
      </c>
      <c r="I1340" s="198" t="s">
        <v>881</v>
      </c>
      <c r="J1340" s="199" t="s">
        <v>111</v>
      </c>
      <c r="K1340" s="199" t="s">
        <v>110</v>
      </c>
      <c r="L1340" s="432">
        <v>0.5</v>
      </c>
      <c r="M1340" s="213"/>
      <c r="N1340" s="214" t="s">
        <v>900</v>
      </c>
      <c r="O1340" s="220"/>
      <c r="P1340" s="234">
        <v>0.4</v>
      </c>
      <c r="Q1340" s="292">
        <v>0.2</v>
      </c>
      <c r="R1340" s="234"/>
      <c r="S1340" s="216">
        <f t="shared" si="40"/>
        <v>0</v>
      </c>
      <c r="T1340" s="217">
        <f t="shared" si="41"/>
        <v>0</v>
      </c>
      <c r="U1340" s="218" t="s">
        <v>83</v>
      </c>
      <c r="V1340" s="219"/>
      <c r="W1340" s="210"/>
    </row>
    <row r="1341" spans="1:23" ht="16.05" customHeight="1" x14ac:dyDescent="0.45">
      <c r="A1341" s="1">
        <v>1340</v>
      </c>
      <c r="B1341" s="198" t="s">
        <v>924</v>
      </c>
      <c r="C1341" s="199" t="s">
        <v>24</v>
      </c>
      <c r="D1341" s="358">
        <v>6413</v>
      </c>
      <c r="E1341" s="198" t="s">
        <v>2072</v>
      </c>
      <c r="F1341" s="198" t="s">
        <v>892</v>
      </c>
      <c r="G1341" s="200">
        <v>3647</v>
      </c>
      <c r="H1341" s="198" t="s">
        <v>878</v>
      </c>
      <c r="I1341" s="198" t="s">
        <v>881</v>
      </c>
      <c r="J1341" s="199" t="s">
        <v>111</v>
      </c>
      <c r="K1341" s="199" t="s">
        <v>110</v>
      </c>
      <c r="L1341" s="432">
        <v>0.5</v>
      </c>
      <c r="M1341" s="213"/>
      <c r="N1341" s="214" t="s">
        <v>896</v>
      </c>
      <c r="O1341" s="220"/>
      <c r="P1341" s="234">
        <v>0.8</v>
      </c>
      <c r="Q1341" s="292">
        <v>0.2</v>
      </c>
      <c r="R1341" s="234"/>
      <c r="S1341" s="216">
        <f t="shared" si="40"/>
        <v>0</v>
      </c>
      <c r="T1341" s="217">
        <f t="shared" si="41"/>
        <v>0</v>
      </c>
      <c r="U1341" s="218" t="s">
        <v>34</v>
      </c>
      <c r="V1341" s="219"/>
      <c r="W1341" s="210"/>
    </row>
    <row r="1342" spans="1:23" ht="16.05" customHeight="1" x14ac:dyDescent="0.45">
      <c r="A1342" s="1">
        <v>1341</v>
      </c>
      <c r="B1342" s="198" t="s">
        <v>924</v>
      </c>
      <c r="C1342" s="199" t="s">
        <v>24</v>
      </c>
      <c r="D1342" s="358">
        <v>6413</v>
      </c>
      <c r="E1342" s="198" t="s">
        <v>2072</v>
      </c>
      <c r="F1342" s="198" t="s">
        <v>892</v>
      </c>
      <c r="G1342" s="200">
        <v>3647</v>
      </c>
      <c r="H1342" s="198" t="s">
        <v>878</v>
      </c>
      <c r="I1342" s="198" t="s">
        <v>881</v>
      </c>
      <c r="J1342" s="199" t="s">
        <v>111</v>
      </c>
      <c r="K1342" s="199" t="s">
        <v>110</v>
      </c>
      <c r="L1342" s="432">
        <v>0.5</v>
      </c>
      <c r="M1342" s="213"/>
      <c r="N1342" s="214" t="s">
        <v>897</v>
      </c>
      <c r="O1342" s="220"/>
      <c r="P1342" s="235">
        <v>12</v>
      </c>
      <c r="Q1342" s="292">
        <v>0.2</v>
      </c>
      <c r="R1342" s="235"/>
      <c r="S1342" s="216">
        <f t="shared" si="40"/>
        <v>0</v>
      </c>
      <c r="T1342" s="217">
        <f t="shared" si="41"/>
        <v>0</v>
      </c>
      <c r="U1342" s="218" t="s">
        <v>34</v>
      </c>
      <c r="V1342" s="219"/>
      <c r="W1342" s="210"/>
    </row>
    <row r="1343" spans="1:23" ht="16.05" customHeight="1" x14ac:dyDescent="0.45">
      <c r="A1343" s="1">
        <v>1342</v>
      </c>
      <c r="B1343" s="186" t="s">
        <v>924</v>
      </c>
      <c r="C1343" s="187" t="s">
        <v>24</v>
      </c>
      <c r="D1343" s="707">
        <v>5533</v>
      </c>
      <c r="E1343" s="186" t="s">
        <v>2073</v>
      </c>
      <c r="F1343" s="186" t="s">
        <v>892</v>
      </c>
      <c r="G1343" s="189">
        <v>3647</v>
      </c>
      <c r="H1343" s="186" t="s">
        <v>878</v>
      </c>
      <c r="I1343" s="186" t="s">
        <v>881</v>
      </c>
      <c r="J1343" s="193" t="s">
        <v>58</v>
      </c>
      <c r="K1343" s="186" t="s">
        <v>57</v>
      </c>
      <c r="L1343" s="636">
        <v>0.5</v>
      </c>
      <c r="M1343" s="225"/>
      <c r="N1343" s="695" t="s">
        <v>893</v>
      </c>
      <c r="O1343" s="196"/>
      <c r="P1343" s="226">
        <v>3000000000</v>
      </c>
      <c r="Q1343" s="350">
        <v>0.1</v>
      </c>
      <c r="R1343" s="226"/>
      <c r="S1343" s="193">
        <f t="shared" si="40"/>
        <v>0</v>
      </c>
      <c r="T1343" s="193">
        <f t="shared" si="41"/>
        <v>0</v>
      </c>
      <c r="U1343" s="193" t="s">
        <v>34</v>
      </c>
      <c r="V1343" s="678">
        <f>SUM(T1343:T1351)%</f>
        <v>0</v>
      </c>
      <c r="W1343" s="186" t="s">
        <v>2183</v>
      </c>
    </row>
    <row r="1344" spans="1:23" ht="16.05" customHeight="1" x14ac:dyDescent="0.45">
      <c r="A1344" s="1">
        <v>1343</v>
      </c>
      <c r="B1344" s="198" t="s">
        <v>924</v>
      </c>
      <c r="C1344" s="199" t="s">
        <v>24</v>
      </c>
      <c r="D1344" s="709">
        <v>5533</v>
      </c>
      <c r="E1344" s="710" t="s">
        <v>2073</v>
      </c>
      <c r="F1344" s="198" t="s">
        <v>892</v>
      </c>
      <c r="G1344" s="200">
        <v>3647</v>
      </c>
      <c r="H1344" s="198" t="s">
        <v>878</v>
      </c>
      <c r="I1344" s="198" t="s">
        <v>881</v>
      </c>
      <c r="J1344" s="204" t="s">
        <v>58</v>
      </c>
      <c r="K1344" s="692" t="s">
        <v>57</v>
      </c>
      <c r="L1344" s="434">
        <v>0.5</v>
      </c>
      <c r="M1344" s="228"/>
      <c r="N1344" s="229" t="s">
        <v>894</v>
      </c>
      <c r="O1344" s="207"/>
      <c r="P1344" s="230">
        <v>350</v>
      </c>
      <c r="Q1344" s="346">
        <v>0.3</v>
      </c>
      <c r="R1344" s="230"/>
      <c r="S1344" s="231">
        <f t="shared" si="40"/>
        <v>0</v>
      </c>
      <c r="T1344" s="231">
        <f t="shared" si="41"/>
        <v>0</v>
      </c>
      <c r="U1344" s="231" t="s">
        <v>34</v>
      </c>
      <c r="V1344" s="209"/>
      <c r="W1344" s="210"/>
    </row>
    <row r="1345" spans="1:23" ht="16.05" customHeight="1" x14ac:dyDescent="0.45">
      <c r="A1345" s="1">
        <v>1344</v>
      </c>
      <c r="B1345" s="198" t="s">
        <v>924</v>
      </c>
      <c r="C1345" s="199" t="s">
        <v>24</v>
      </c>
      <c r="D1345" s="709">
        <v>5533</v>
      </c>
      <c r="E1345" s="710" t="s">
        <v>2073</v>
      </c>
      <c r="F1345" s="198" t="s">
        <v>892</v>
      </c>
      <c r="G1345" s="200">
        <v>3647</v>
      </c>
      <c r="H1345" s="198" t="s">
        <v>878</v>
      </c>
      <c r="I1345" s="198" t="s">
        <v>881</v>
      </c>
      <c r="J1345" s="204" t="s">
        <v>58</v>
      </c>
      <c r="K1345" s="692" t="s">
        <v>57</v>
      </c>
      <c r="L1345" s="434">
        <v>0.5</v>
      </c>
      <c r="M1345" s="228"/>
      <c r="N1345" s="203" t="s">
        <v>885</v>
      </c>
      <c r="O1345" s="207"/>
      <c r="P1345" s="208">
        <v>1</v>
      </c>
      <c r="Q1345" s="434">
        <v>0.3</v>
      </c>
      <c r="R1345" s="208"/>
      <c r="S1345" s="231">
        <f t="shared" si="40"/>
        <v>0</v>
      </c>
      <c r="T1345" s="231">
        <f t="shared" si="41"/>
        <v>0</v>
      </c>
      <c r="U1345" s="231" t="s">
        <v>34</v>
      </c>
      <c r="V1345" s="209"/>
      <c r="W1345" s="210"/>
    </row>
    <row r="1346" spans="1:23" ht="16.05" customHeight="1" x14ac:dyDescent="0.45">
      <c r="A1346" s="1">
        <v>1345</v>
      </c>
      <c r="B1346" s="198" t="s">
        <v>924</v>
      </c>
      <c r="C1346" s="199" t="s">
        <v>24</v>
      </c>
      <c r="D1346" s="709">
        <v>5533</v>
      </c>
      <c r="E1346" s="710" t="s">
        <v>2073</v>
      </c>
      <c r="F1346" s="198" t="s">
        <v>892</v>
      </c>
      <c r="G1346" s="200">
        <v>3647</v>
      </c>
      <c r="H1346" s="198" t="s">
        <v>878</v>
      </c>
      <c r="I1346" s="198" t="s">
        <v>881</v>
      </c>
      <c r="J1346" s="204" t="s">
        <v>58</v>
      </c>
      <c r="K1346" s="692" t="s">
        <v>57</v>
      </c>
      <c r="L1346" s="434">
        <v>0.5</v>
      </c>
      <c r="M1346" s="228"/>
      <c r="N1346" s="203" t="s">
        <v>895</v>
      </c>
      <c r="O1346" s="207"/>
      <c r="P1346" s="208">
        <v>1</v>
      </c>
      <c r="Q1346" s="434">
        <v>0.3</v>
      </c>
      <c r="R1346" s="208"/>
      <c r="S1346" s="231">
        <f t="shared" ref="S1346:S1409" si="42">ROUND(IF(OR(P1346="",R1346=""),0,IF(AND(P1346=0,R1346=0),1,IF(U1346="+",R1346/P1346,P1346/R1346))),2)</f>
        <v>0</v>
      </c>
      <c r="T1346" s="207">
        <f t="shared" ref="T1346:T1409" si="43">IF(AND(S1346&gt;=60%,S1346&lt;100%),S1346*((Q1346*L1346)),IF(S1346=100%,((Q1346*L1346)*S1346)*100%,IF(S1346&gt;100%,((L1346*Q1346)*100%)*100%,0)))*100</f>
        <v>0</v>
      </c>
      <c r="U1346" s="207" t="s">
        <v>34</v>
      </c>
      <c r="V1346" s="232"/>
      <c r="W1346" s="210"/>
    </row>
    <row r="1347" spans="1:23" ht="16.05" customHeight="1" x14ac:dyDescent="0.45">
      <c r="A1347" s="1">
        <v>1346</v>
      </c>
      <c r="B1347" s="198" t="s">
        <v>924</v>
      </c>
      <c r="C1347" s="199" t="s">
        <v>24</v>
      </c>
      <c r="D1347" s="709">
        <v>5533</v>
      </c>
      <c r="E1347" s="710" t="s">
        <v>2073</v>
      </c>
      <c r="F1347" s="198" t="s">
        <v>892</v>
      </c>
      <c r="G1347" s="200">
        <v>3647</v>
      </c>
      <c r="H1347" s="198" t="s">
        <v>878</v>
      </c>
      <c r="I1347" s="198" t="s">
        <v>881</v>
      </c>
      <c r="J1347" s="199" t="s">
        <v>111</v>
      </c>
      <c r="K1347" s="199" t="s">
        <v>110</v>
      </c>
      <c r="L1347" s="432">
        <v>0.5</v>
      </c>
      <c r="M1347" s="213"/>
      <c r="N1347" s="214" t="s">
        <v>887</v>
      </c>
      <c r="O1347" s="220"/>
      <c r="P1347" s="233">
        <v>1</v>
      </c>
      <c r="Q1347" s="292">
        <v>0.2</v>
      </c>
      <c r="R1347" s="233"/>
      <c r="S1347" s="216">
        <f t="shared" si="42"/>
        <v>0</v>
      </c>
      <c r="T1347" s="217">
        <f t="shared" si="43"/>
        <v>0</v>
      </c>
      <c r="U1347" s="218" t="s">
        <v>34</v>
      </c>
      <c r="V1347" s="219"/>
      <c r="W1347" s="210"/>
    </row>
    <row r="1348" spans="1:23" ht="16.05" customHeight="1" x14ac:dyDescent="0.45">
      <c r="A1348" s="1">
        <v>1347</v>
      </c>
      <c r="B1348" s="198" t="s">
        <v>924</v>
      </c>
      <c r="C1348" s="199" t="s">
        <v>24</v>
      </c>
      <c r="D1348" s="709">
        <v>5533</v>
      </c>
      <c r="E1348" s="710" t="s">
        <v>2073</v>
      </c>
      <c r="F1348" s="198" t="s">
        <v>892</v>
      </c>
      <c r="G1348" s="200">
        <v>3647</v>
      </c>
      <c r="H1348" s="198" t="s">
        <v>878</v>
      </c>
      <c r="I1348" s="198" t="s">
        <v>881</v>
      </c>
      <c r="J1348" s="199" t="s">
        <v>111</v>
      </c>
      <c r="K1348" s="199" t="s">
        <v>110</v>
      </c>
      <c r="L1348" s="432">
        <v>0.5</v>
      </c>
      <c r="M1348" s="213"/>
      <c r="N1348" s="214" t="s">
        <v>888</v>
      </c>
      <c r="O1348" s="220"/>
      <c r="P1348" s="221">
        <v>20</v>
      </c>
      <c r="Q1348" s="292">
        <v>0.2</v>
      </c>
      <c r="R1348" s="221"/>
      <c r="S1348" s="216">
        <f t="shared" si="42"/>
        <v>0</v>
      </c>
      <c r="T1348" s="217">
        <f t="shared" si="43"/>
        <v>0</v>
      </c>
      <c r="U1348" s="218" t="s">
        <v>83</v>
      </c>
      <c r="V1348" s="219"/>
      <c r="W1348" s="210"/>
    </row>
    <row r="1349" spans="1:23" ht="16.05" customHeight="1" x14ac:dyDescent="0.45">
      <c r="A1349" s="1">
        <v>1348</v>
      </c>
      <c r="B1349" s="198" t="s">
        <v>924</v>
      </c>
      <c r="C1349" s="199" t="s">
        <v>24</v>
      </c>
      <c r="D1349" s="709">
        <v>5533</v>
      </c>
      <c r="E1349" s="710" t="s">
        <v>2073</v>
      </c>
      <c r="F1349" s="198" t="s">
        <v>892</v>
      </c>
      <c r="G1349" s="200">
        <v>3647</v>
      </c>
      <c r="H1349" s="198" t="s">
        <v>878</v>
      </c>
      <c r="I1349" s="198" t="s">
        <v>881</v>
      </c>
      <c r="J1349" s="199" t="s">
        <v>111</v>
      </c>
      <c r="K1349" s="199" t="s">
        <v>110</v>
      </c>
      <c r="L1349" s="432">
        <v>0.5</v>
      </c>
      <c r="M1349" s="213"/>
      <c r="N1349" s="214" t="s">
        <v>900</v>
      </c>
      <c r="O1349" s="220"/>
      <c r="P1349" s="234">
        <v>0.4</v>
      </c>
      <c r="Q1349" s="292">
        <v>0.2</v>
      </c>
      <c r="R1349" s="234"/>
      <c r="S1349" s="216">
        <f t="shared" si="42"/>
        <v>0</v>
      </c>
      <c r="T1349" s="217">
        <f t="shared" si="43"/>
        <v>0</v>
      </c>
      <c r="U1349" s="218" t="s">
        <v>83</v>
      </c>
      <c r="V1349" s="219"/>
      <c r="W1349" s="210"/>
    </row>
    <row r="1350" spans="1:23" ht="16.05" customHeight="1" x14ac:dyDescent="0.45">
      <c r="A1350" s="1">
        <v>1349</v>
      </c>
      <c r="B1350" s="198" t="s">
        <v>924</v>
      </c>
      <c r="C1350" s="199" t="s">
        <v>24</v>
      </c>
      <c r="D1350" s="709">
        <v>5533</v>
      </c>
      <c r="E1350" s="710" t="s">
        <v>2073</v>
      </c>
      <c r="F1350" s="198" t="s">
        <v>892</v>
      </c>
      <c r="G1350" s="200">
        <v>3647</v>
      </c>
      <c r="H1350" s="198" t="s">
        <v>878</v>
      </c>
      <c r="I1350" s="198" t="s">
        <v>881</v>
      </c>
      <c r="J1350" s="199" t="s">
        <v>111</v>
      </c>
      <c r="K1350" s="199" t="s">
        <v>110</v>
      </c>
      <c r="L1350" s="432">
        <v>0.5</v>
      </c>
      <c r="M1350" s="213"/>
      <c r="N1350" s="214" t="s">
        <v>896</v>
      </c>
      <c r="O1350" s="220"/>
      <c r="P1350" s="234">
        <v>0.8</v>
      </c>
      <c r="Q1350" s="292">
        <v>0.2</v>
      </c>
      <c r="R1350" s="234"/>
      <c r="S1350" s="216">
        <f t="shared" si="42"/>
        <v>0</v>
      </c>
      <c r="T1350" s="217">
        <f t="shared" si="43"/>
        <v>0</v>
      </c>
      <c r="U1350" s="218" t="s">
        <v>34</v>
      </c>
      <c r="V1350" s="219"/>
      <c r="W1350" s="210"/>
    </row>
    <row r="1351" spans="1:23" ht="16.05" customHeight="1" x14ac:dyDescent="0.45">
      <c r="A1351" s="1">
        <v>1350</v>
      </c>
      <c r="B1351" s="198" t="s">
        <v>924</v>
      </c>
      <c r="C1351" s="199" t="s">
        <v>24</v>
      </c>
      <c r="D1351" s="709">
        <v>5533</v>
      </c>
      <c r="E1351" s="710" t="s">
        <v>2073</v>
      </c>
      <c r="F1351" s="198" t="s">
        <v>892</v>
      </c>
      <c r="G1351" s="200">
        <v>3647</v>
      </c>
      <c r="H1351" s="198" t="s">
        <v>878</v>
      </c>
      <c r="I1351" s="198" t="s">
        <v>881</v>
      </c>
      <c r="J1351" s="199" t="s">
        <v>111</v>
      </c>
      <c r="K1351" s="199" t="s">
        <v>110</v>
      </c>
      <c r="L1351" s="432">
        <v>0.5</v>
      </c>
      <c r="M1351" s="213"/>
      <c r="N1351" s="214" t="s">
        <v>897</v>
      </c>
      <c r="O1351" s="220"/>
      <c r="P1351" s="235">
        <v>12</v>
      </c>
      <c r="Q1351" s="292">
        <v>0.2</v>
      </c>
      <c r="R1351" s="235"/>
      <c r="S1351" s="216">
        <f t="shared" si="42"/>
        <v>0</v>
      </c>
      <c r="T1351" s="217">
        <f t="shared" si="43"/>
        <v>0</v>
      </c>
      <c r="U1351" s="218" t="s">
        <v>34</v>
      </c>
      <c r="V1351" s="219"/>
      <c r="W1351" s="210"/>
    </row>
    <row r="1352" spans="1:23" ht="16.05" customHeight="1" x14ac:dyDescent="0.45">
      <c r="A1352" s="1">
        <v>1351</v>
      </c>
      <c r="B1352" s="186" t="s">
        <v>924</v>
      </c>
      <c r="C1352" s="187" t="s">
        <v>24</v>
      </c>
      <c r="D1352" s="707">
        <v>6429</v>
      </c>
      <c r="E1352" s="186" t="s">
        <v>2074</v>
      </c>
      <c r="F1352" s="186" t="s">
        <v>892</v>
      </c>
      <c r="G1352" s="189">
        <v>3647</v>
      </c>
      <c r="H1352" s="186" t="s">
        <v>899</v>
      </c>
      <c r="I1352" s="186" t="s">
        <v>881</v>
      </c>
      <c r="J1352" s="193" t="s">
        <v>58</v>
      </c>
      <c r="K1352" s="186" t="s">
        <v>57</v>
      </c>
      <c r="L1352" s="636">
        <v>0.5</v>
      </c>
      <c r="M1352" s="225"/>
      <c r="N1352" s="695" t="s">
        <v>893</v>
      </c>
      <c r="O1352" s="196"/>
      <c r="P1352" s="226">
        <v>3000000000</v>
      </c>
      <c r="Q1352" s="350">
        <v>0.3</v>
      </c>
      <c r="R1352" s="226"/>
      <c r="S1352" s="193">
        <f t="shared" si="42"/>
        <v>0</v>
      </c>
      <c r="T1352" s="193">
        <f t="shared" si="43"/>
        <v>0</v>
      </c>
      <c r="U1352" s="193" t="s">
        <v>34</v>
      </c>
      <c r="V1352" s="678">
        <f>SUM(T1352:T1360)%</f>
        <v>0</v>
      </c>
      <c r="W1352" s="186"/>
    </row>
    <row r="1353" spans="1:23" ht="16.05" customHeight="1" x14ac:dyDescent="0.45">
      <c r="A1353" s="1">
        <v>1352</v>
      </c>
      <c r="B1353" s="198" t="s">
        <v>924</v>
      </c>
      <c r="C1353" s="199" t="s">
        <v>24</v>
      </c>
      <c r="D1353" s="358">
        <v>6429</v>
      </c>
      <c r="E1353" s="198" t="s">
        <v>2074</v>
      </c>
      <c r="F1353" s="198" t="s">
        <v>892</v>
      </c>
      <c r="G1353" s="200">
        <v>3647</v>
      </c>
      <c r="H1353" s="198" t="s">
        <v>899</v>
      </c>
      <c r="I1353" s="198" t="s">
        <v>881</v>
      </c>
      <c r="J1353" s="204" t="s">
        <v>58</v>
      </c>
      <c r="K1353" s="692" t="s">
        <v>57</v>
      </c>
      <c r="L1353" s="434">
        <v>0.5</v>
      </c>
      <c r="M1353" s="228"/>
      <c r="N1353" s="229" t="s">
        <v>894</v>
      </c>
      <c r="O1353" s="207"/>
      <c r="P1353" s="230">
        <v>350</v>
      </c>
      <c r="Q1353" s="346">
        <v>0.3</v>
      </c>
      <c r="R1353" s="230"/>
      <c r="S1353" s="231">
        <f t="shared" si="42"/>
        <v>0</v>
      </c>
      <c r="T1353" s="231">
        <f t="shared" si="43"/>
        <v>0</v>
      </c>
      <c r="U1353" s="231" t="s">
        <v>34</v>
      </c>
      <c r="V1353" s="209"/>
      <c r="W1353" s="210"/>
    </row>
    <row r="1354" spans="1:23" ht="16.05" customHeight="1" x14ac:dyDescent="0.45">
      <c r="A1354" s="1">
        <v>1353</v>
      </c>
      <c r="B1354" s="198" t="s">
        <v>924</v>
      </c>
      <c r="C1354" s="199" t="s">
        <v>24</v>
      </c>
      <c r="D1354" s="358">
        <v>6429</v>
      </c>
      <c r="E1354" s="198" t="s">
        <v>2074</v>
      </c>
      <c r="F1354" s="198" t="s">
        <v>892</v>
      </c>
      <c r="G1354" s="200">
        <v>3647</v>
      </c>
      <c r="H1354" s="198" t="s">
        <v>899</v>
      </c>
      <c r="I1354" s="198" t="s">
        <v>881</v>
      </c>
      <c r="J1354" s="204" t="s">
        <v>58</v>
      </c>
      <c r="K1354" s="692" t="s">
        <v>57</v>
      </c>
      <c r="L1354" s="434">
        <v>0.5</v>
      </c>
      <c r="M1354" s="228"/>
      <c r="N1354" s="203" t="s">
        <v>885</v>
      </c>
      <c r="O1354" s="207"/>
      <c r="P1354" s="208">
        <v>1</v>
      </c>
      <c r="Q1354" s="434">
        <v>0.2</v>
      </c>
      <c r="R1354" s="208"/>
      <c r="S1354" s="231">
        <f t="shared" si="42"/>
        <v>0</v>
      </c>
      <c r="T1354" s="231">
        <f t="shared" si="43"/>
        <v>0</v>
      </c>
      <c r="U1354" s="231" t="s">
        <v>34</v>
      </c>
      <c r="V1354" s="209"/>
      <c r="W1354" s="210"/>
    </row>
    <row r="1355" spans="1:23" ht="16.05" customHeight="1" x14ac:dyDescent="0.45">
      <c r="A1355" s="1">
        <v>1354</v>
      </c>
      <c r="B1355" s="198" t="s">
        <v>924</v>
      </c>
      <c r="C1355" s="199" t="s">
        <v>24</v>
      </c>
      <c r="D1355" s="358">
        <v>6429</v>
      </c>
      <c r="E1355" s="198" t="s">
        <v>2074</v>
      </c>
      <c r="F1355" s="198" t="s">
        <v>892</v>
      </c>
      <c r="G1355" s="200">
        <v>3647</v>
      </c>
      <c r="H1355" s="198" t="s">
        <v>899</v>
      </c>
      <c r="I1355" s="198" t="s">
        <v>881</v>
      </c>
      <c r="J1355" s="204" t="s">
        <v>58</v>
      </c>
      <c r="K1355" s="692" t="s">
        <v>57</v>
      </c>
      <c r="L1355" s="434">
        <v>0.5</v>
      </c>
      <c r="M1355" s="228"/>
      <c r="N1355" s="203" t="s">
        <v>895</v>
      </c>
      <c r="O1355" s="207"/>
      <c r="P1355" s="208">
        <v>1</v>
      </c>
      <c r="Q1355" s="434">
        <v>0.2</v>
      </c>
      <c r="R1355" s="208"/>
      <c r="S1355" s="231">
        <f t="shared" si="42"/>
        <v>0</v>
      </c>
      <c r="T1355" s="207">
        <f t="shared" si="43"/>
        <v>0</v>
      </c>
      <c r="U1355" s="207" t="s">
        <v>34</v>
      </c>
      <c r="V1355" s="232"/>
      <c r="W1355" s="210"/>
    </row>
    <row r="1356" spans="1:23" ht="16.05" customHeight="1" x14ac:dyDescent="0.45">
      <c r="A1356" s="1">
        <v>1355</v>
      </c>
      <c r="B1356" s="198" t="s">
        <v>924</v>
      </c>
      <c r="C1356" s="199" t="s">
        <v>24</v>
      </c>
      <c r="D1356" s="358">
        <v>6429</v>
      </c>
      <c r="E1356" s="198" t="s">
        <v>2074</v>
      </c>
      <c r="F1356" s="198" t="s">
        <v>892</v>
      </c>
      <c r="G1356" s="200">
        <v>3647</v>
      </c>
      <c r="H1356" s="198" t="s">
        <v>899</v>
      </c>
      <c r="I1356" s="198" t="s">
        <v>881</v>
      </c>
      <c r="J1356" s="199" t="s">
        <v>111</v>
      </c>
      <c r="K1356" s="199" t="s">
        <v>110</v>
      </c>
      <c r="L1356" s="432">
        <v>0.5</v>
      </c>
      <c r="M1356" s="213"/>
      <c r="N1356" s="214" t="s">
        <v>887</v>
      </c>
      <c r="O1356" s="220"/>
      <c r="P1356" s="233">
        <v>1</v>
      </c>
      <c r="Q1356" s="292">
        <v>0.2</v>
      </c>
      <c r="R1356" s="233"/>
      <c r="S1356" s="216">
        <f t="shared" si="42"/>
        <v>0</v>
      </c>
      <c r="T1356" s="217">
        <f t="shared" si="43"/>
        <v>0</v>
      </c>
      <c r="U1356" s="218" t="s">
        <v>34</v>
      </c>
      <c r="V1356" s="219"/>
      <c r="W1356" s="210"/>
    </row>
    <row r="1357" spans="1:23" ht="16.05" customHeight="1" x14ac:dyDescent="0.45">
      <c r="A1357" s="1">
        <v>1356</v>
      </c>
      <c r="B1357" s="198" t="s">
        <v>924</v>
      </c>
      <c r="C1357" s="199" t="s">
        <v>24</v>
      </c>
      <c r="D1357" s="358">
        <v>6429</v>
      </c>
      <c r="E1357" s="198" t="s">
        <v>2074</v>
      </c>
      <c r="F1357" s="198" t="s">
        <v>892</v>
      </c>
      <c r="G1357" s="200">
        <v>3647</v>
      </c>
      <c r="H1357" s="198" t="s">
        <v>899</v>
      </c>
      <c r="I1357" s="198" t="s">
        <v>881</v>
      </c>
      <c r="J1357" s="199" t="s">
        <v>111</v>
      </c>
      <c r="K1357" s="199" t="s">
        <v>110</v>
      </c>
      <c r="L1357" s="432">
        <v>0.5</v>
      </c>
      <c r="M1357" s="213"/>
      <c r="N1357" s="214" t="s">
        <v>888</v>
      </c>
      <c r="O1357" s="220"/>
      <c r="P1357" s="221">
        <v>20</v>
      </c>
      <c r="Q1357" s="292">
        <v>0.2</v>
      </c>
      <c r="R1357" s="221"/>
      <c r="S1357" s="216">
        <f t="shared" si="42"/>
        <v>0</v>
      </c>
      <c r="T1357" s="217">
        <f t="shared" si="43"/>
        <v>0</v>
      </c>
      <c r="U1357" s="218" t="s">
        <v>83</v>
      </c>
      <c r="V1357" s="219"/>
      <c r="W1357" s="210"/>
    </row>
    <row r="1358" spans="1:23" ht="16.05" customHeight="1" x14ac:dyDescent="0.45">
      <c r="A1358" s="1">
        <v>1357</v>
      </c>
      <c r="B1358" s="198" t="s">
        <v>924</v>
      </c>
      <c r="C1358" s="199" t="s">
        <v>24</v>
      </c>
      <c r="D1358" s="358">
        <v>6429</v>
      </c>
      <c r="E1358" s="198" t="s">
        <v>2074</v>
      </c>
      <c r="F1358" s="198" t="s">
        <v>892</v>
      </c>
      <c r="G1358" s="200">
        <v>3647</v>
      </c>
      <c r="H1358" s="198" t="s">
        <v>899</v>
      </c>
      <c r="I1358" s="198" t="s">
        <v>881</v>
      </c>
      <c r="J1358" s="199" t="s">
        <v>111</v>
      </c>
      <c r="K1358" s="199" t="s">
        <v>110</v>
      </c>
      <c r="L1358" s="432">
        <v>0.5</v>
      </c>
      <c r="M1358" s="213"/>
      <c r="N1358" s="214" t="s">
        <v>900</v>
      </c>
      <c r="O1358" s="220"/>
      <c r="P1358" s="234">
        <v>0.4</v>
      </c>
      <c r="Q1358" s="292">
        <v>0.2</v>
      </c>
      <c r="R1358" s="234"/>
      <c r="S1358" s="216">
        <f t="shared" si="42"/>
        <v>0</v>
      </c>
      <c r="T1358" s="217">
        <f t="shared" si="43"/>
        <v>0</v>
      </c>
      <c r="U1358" s="218" t="s">
        <v>83</v>
      </c>
      <c r="V1358" s="219"/>
      <c r="W1358" s="210"/>
    </row>
    <row r="1359" spans="1:23" ht="16.05" customHeight="1" x14ac:dyDescent="0.45">
      <c r="A1359" s="1">
        <v>1358</v>
      </c>
      <c r="B1359" s="198" t="s">
        <v>924</v>
      </c>
      <c r="C1359" s="199" t="s">
        <v>24</v>
      </c>
      <c r="D1359" s="358">
        <v>6429</v>
      </c>
      <c r="E1359" s="198" t="s">
        <v>2074</v>
      </c>
      <c r="F1359" s="198" t="s">
        <v>892</v>
      </c>
      <c r="G1359" s="200">
        <v>3647</v>
      </c>
      <c r="H1359" s="198" t="s">
        <v>899</v>
      </c>
      <c r="I1359" s="198" t="s">
        <v>881</v>
      </c>
      <c r="J1359" s="199" t="s">
        <v>111</v>
      </c>
      <c r="K1359" s="199" t="s">
        <v>110</v>
      </c>
      <c r="L1359" s="432">
        <v>0.5</v>
      </c>
      <c r="M1359" s="213"/>
      <c r="N1359" s="214" t="s">
        <v>896</v>
      </c>
      <c r="O1359" s="220"/>
      <c r="P1359" s="234">
        <v>0.8</v>
      </c>
      <c r="Q1359" s="292">
        <v>0.2</v>
      </c>
      <c r="R1359" s="234"/>
      <c r="S1359" s="216">
        <f t="shared" si="42"/>
        <v>0</v>
      </c>
      <c r="T1359" s="217">
        <f t="shared" si="43"/>
        <v>0</v>
      </c>
      <c r="U1359" s="218" t="s">
        <v>34</v>
      </c>
      <c r="V1359" s="219"/>
      <c r="W1359" s="210"/>
    </row>
    <row r="1360" spans="1:23" ht="16.05" customHeight="1" x14ac:dyDescent="0.45">
      <c r="A1360" s="1">
        <v>1359</v>
      </c>
      <c r="B1360" s="198" t="s">
        <v>924</v>
      </c>
      <c r="C1360" s="199" t="s">
        <v>24</v>
      </c>
      <c r="D1360" s="358">
        <v>6429</v>
      </c>
      <c r="E1360" s="198" t="s">
        <v>2074</v>
      </c>
      <c r="F1360" s="198" t="s">
        <v>892</v>
      </c>
      <c r="G1360" s="200">
        <v>3647</v>
      </c>
      <c r="H1360" s="198" t="s">
        <v>899</v>
      </c>
      <c r="I1360" s="198" t="s">
        <v>881</v>
      </c>
      <c r="J1360" s="199" t="s">
        <v>111</v>
      </c>
      <c r="K1360" s="199" t="s">
        <v>110</v>
      </c>
      <c r="L1360" s="432">
        <v>0.5</v>
      </c>
      <c r="M1360" s="213"/>
      <c r="N1360" s="214" t="s">
        <v>897</v>
      </c>
      <c r="O1360" s="220"/>
      <c r="P1360" s="235">
        <v>12</v>
      </c>
      <c r="Q1360" s="292">
        <v>0.2</v>
      </c>
      <c r="R1360" s="235"/>
      <c r="S1360" s="216">
        <f t="shared" si="42"/>
        <v>0</v>
      </c>
      <c r="T1360" s="217">
        <f t="shared" si="43"/>
        <v>0</v>
      </c>
      <c r="U1360" s="218" t="s">
        <v>34</v>
      </c>
      <c r="V1360" s="219"/>
      <c r="W1360" s="210"/>
    </row>
    <row r="1361" spans="1:23" ht="16.05" customHeight="1" x14ac:dyDescent="0.45">
      <c r="A1361" s="1">
        <v>1360</v>
      </c>
      <c r="B1361" s="186" t="s">
        <v>924</v>
      </c>
      <c r="C1361" s="187" t="s">
        <v>24</v>
      </c>
      <c r="D1361" s="707">
        <v>6359</v>
      </c>
      <c r="E1361" s="186" t="s">
        <v>2075</v>
      </c>
      <c r="F1361" s="186" t="s">
        <v>892</v>
      </c>
      <c r="G1361" s="189">
        <v>3647</v>
      </c>
      <c r="H1361" s="186" t="s">
        <v>899</v>
      </c>
      <c r="I1361" s="186" t="s">
        <v>881</v>
      </c>
      <c r="J1361" s="193" t="s">
        <v>58</v>
      </c>
      <c r="K1361" s="186" t="s">
        <v>57</v>
      </c>
      <c r="L1361" s="636">
        <v>0.5</v>
      </c>
      <c r="M1361" s="225"/>
      <c r="N1361" s="695" t="s">
        <v>893</v>
      </c>
      <c r="O1361" s="196"/>
      <c r="P1361" s="226">
        <v>3000000000</v>
      </c>
      <c r="Q1361" s="350">
        <v>0.3</v>
      </c>
      <c r="R1361" s="226"/>
      <c r="S1361" s="193">
        <f t="shared" si="42"/>
        <v>0</v>
      </c>
      <c r="T1361" s="193">
        <f t="shared" si="43"/>
        <v>0</v>
      </c>
      <c r="U1361" s="193" t="s">
        <v>34</v>
      </c>
      <c r="V1361" s="678">
        <f>SUM(T1361:T1369)%</f>
        <v>0</v>
      </c>
      <c r="W1361" s="186"/>
    </row>
    <row r="1362" spans="1:23" ht="16.05" customHeight="1" x14ac:dyDescent="0.45">
      <c r="A1362" s="1">
        <v>1361</v>
      </c>
      <c r="B1362" s="198" t="s">
        <v>924</v>
      </c>
      <c r="C1362" s="199" t="s">
        <v>24</v>
      </c>
      <c r="D1362" s="358">
        <v>6359</v>
      </c>
      <c r="E1362" s="198" t="s">
        <v>2075</v>
      </c>
      <c r="F1362" s="198" t="s">
        <v>892</v>
      </c>
      <c r="G1362" s="200">
        <v>3647</v>
      </c>
      <c r="H1362" s="198" t="s">
        <v>899</v>
      </c>
      <c r="I1362" s="198" t="s">
        <v>881</v>
      </c>
      <c r="J1362" s="204" t="s">
        <v>58</v>
      </c>
      <c r="K1362" s="692" t="s">
        <v>57</v>
      </c>
      <c r="L1362" s="434">
        <v>0.5</v>
      </c>
      <c r="M1362" s="228"/>
      <c r="N1362" s="229" t="s">
        <v>894</v>
      </c>
      <c r="O1362" s="207"/>
      <c r="P1362" s="230">
        <v>350</v>
      </c>
      <c r="Q1362" s="346">
        <v>0.3</v>
      </c>
      <c r="R1362" s="230"/>
      <c r="S1362" s="231">
        <f t="shared" si="42"/>
        <v>0</v>
      </c>
      <c r="T1362" s="231">
        <f t="shared" si="43"/>
        <v>0</v>
      </c>
      <c r="U1362" s="231" t="s">
        <v>34</v>
      </c>
      <c r="V1362" s="209"/>
      <c r="W1362" s="210"/>
    </row>
    <row r="1363" spans="1:23" ht="16.05" customHeight="1" x14ac:dyDescent="0.45">
      <c r="A1363" s="1">
        <v>1362</v>
      </c>
      <c r="B1363" s="198" t="s">
        <v>924</v>
      </c>
      <c r="C1363" s="199" t="s">
        <v>24</v>
      </c>
      <c r="D1363" s="358">
        <v>6359</v>
      </c>
      <c r="E1363" s="198" t="s">
        <v>2075</v>
      </c>
      <c r="F1363" s="198" t="s">
        <v>892</v>
      </c>
      <c r="G1363" s="200">
        <v>3647</v>
      </c>
      <c r="H1363" s="198" t="s">
        <v>899</v>
      </c>
      <c r="I1363" s="198" t="s">
        <v>881</v>
      </c>
      <c r="J1363" s="204" t="s">
        <v>58</v>
      </c>
      <c r="K1363" s="692" t="s">
        <v>57</v>
      </c>
      <c r="L1363" s="434">
        <v>0.5</v>
      </c>
      <c r="M1363" s="228"/>
      <c r="N1363" s="203" t="s">
        <v>885</v>
      </c>
      <c r="O1363" s="207"/>
      <c r="P1363" s="208">
        <v>1</v>
      </c>
      <c r="Q1363" s="434">
        <v>0.2</v>
      </c>
      <c r="R1363" s="208"/>
      <c r="S1363" s="231">
        <f t="shared" si="42"/>
        <v>0</v>
      </c>
      <c r="T1363" s="231">
        <f t="shared" si="43"/>
        <v>0</v>
      </c>
      <c r="U1363" s="231" t="s">
        <v>34</v>
      </c>
      <c r="V1363" s="209"/>
      <c r="W1363" s="210"/>
    </row>
    <row r="1364" spans="1:23" ht="16.05" customHeight="1" x14ac:dyDescent="0.45">
      <c r="A1364" s="1">
        <v>1363</v>
      </c>
      <c r="B1364" s="198" t="s">
        <v>924</v>
      </c>
      <c r="C1364" s="199" t="s">
        <v>24</v>
      </c>
      <c r="D1364" s="358">
        <v>6359</v>
      </c>
      <c r="E1364" s="198" t="s">
        <v>2075</v>
      </c>
      <c r="F1364" s="198" t="s">
        <v>892</v>
      </c>
      <c r="G1364" s="200">
        <v>3647</v>
      </c>
      <c r="H1364" s="198" t="s">
        <v>899</v>
      </c>
      <c r="I1364" s="198" t="s">
        <v>881</v>
      </c>
      <c r="J1364" s="204" t="s">
        <v>58</v>
      </c>
      <c r="K1364" s="692" t="s">
        <v>57</v>
      </c>
      <c r="L1364" s="434">
        <v>0.5</v>
      </c>
      <c r="M1364" s="228"/>
      <c r="N1364" s="203" t="s">
        <v>895</v>
      </c>
      <c r="O1364" s="207"/>
      <c r="P1364" s="208">
        <v>1</v>
      </c>
      <c r="Q1364" s="434">
        <v>0.2</v>
      </c>
      <c r="R1364" s="208"/>
      <c r="S1364" s="231">
        <f t="shared" si="42"/>
        <v>0</v>
      </c>
      <c r="T1364" s="207">
        <f t="shared" si="43"/>
        <v>0</v>
      </c>
      <c r="U1364" s="207" t="s">
        <v>34</v>
      </c>
      <c r="V1364" s="232"/>
      <c r="W1364" s="210"/>
    </row>
    <row r="1365" spans="1:23" ht="16.05" customHeight="1" x14ac:dyDescent="0.45">
      <c r="A1365" s="1">
        <v>1364</v>
      </c>
      <c r="B1365" s="198" t="s">
        <v>924</v>
      </c>
      <c r="C1365" s="199" t="s">
        <v>24</v>
      </c>
      <c r="D1365" s="358">
        <v>6359</v>
      </c>
      <c r="E1365" s="198" t="s">
        <v>2075</v>
      </c>
      <c r="F1365" s="198" t="s">
        <v>892</v>
      </c>
      <c r="G1365" s="200">
        <v>3647</v>
      </c>
      <c r="H1365" s="198" t="s">
        <v>899</v>
      </c>
      <c r="I1365" s="198" t="s">
        <v>881</v>
      </c>
      <c r="J1365" s="199" t="s">
        <v>111</v>
      </c>
      <c r="K1365" s="199" t="s">
        <v>110</v>
      </c>
      <c r="L1365" s="432">
        <v>0.5</v>
      </c>
      <c r="M1365" s="213"/>
      <c r="N1365" s="214" t="s">
        <v>887</v>
      </c>
      <c r="O1365" s="220"/>
      <c r="P1365" s="233">
        <v>1</v>
      </c>
      <c r="Q1365" s="292">
        <v>0.2</v>
      </c>
      <c r="R1365" s="233"/>
      <c r="S1365" s="216">
        <f t="shared" si="42"/>
        <v>0</v>
      </c>
      <c r="T1365" s="217">
        <f t="shared" si="43"/>
        <v>0</v>
      </c>
      <c r="U1365" s="218" t="s">
        <v>34</v>
      </c>
      <c r="V1365" s="219"/>
      <c r="W1365" s="210"/>
    </row>
    <row r="1366" spans="1:23" ht="16.05" customHeight="1" x14ac:dyDescent="0.45">
      <c r="A1366" s="1">
        <v>1365</v>
      </c>
      <c r="B1366" s="198" t="s">
        <v>924</v>
      </c>
      <c r="C1366" s="199" t="s">
        <v>24</v>
      </c>
      <c r="D1366" s="358">
        <v>6359</v>
      </c>
      <c r="E1366" s="198" t="s">
        <v>2075</v>
      </c>
      <c r="F1366" s="198" t="s">
        <v>892</v>
      </c>
      <c r="G1366" s="200">
        <v>3647</v>
      </c>
      <c r="H1366" s="198" t="s">
        <v>899</v>
      </c>
      <c r="I1366" s="198" t="s">
        <v>881</v>
      </c>
      <c r="J1366" s="199" t="s">
        <v>111</v>
      </c>
      <c r="K1366" s="199" t="s">
        <v>110</v>
      </c>
      <c r="L1366" s="432">
        <v>0.5</v>
      </c>
      <c r="M1366" s="213"/>
      <c r="N1366" s="214" t="s">
        <v>888</v>
      </c>
      <c r="O1366" s="220"/>
      <c r="P1366" s="221">
        <v>20</v>
      </c>
      <c r="Q1366" s="292">
        <v>0.2</v>
      </c>
      <c r="R1366" s="221"/>
      <c r="S1366" s="216">
        <f t="shared" si="42"/>
        <v>0</v>
      </c>
      <c r="T1366" s="217">
        <f t="shared" si="43"/>
        <v>0</v>
      </c>
      <c r="U1366" s="218" t="s">
        <v>83</v>
      </c>
      <c r="V1366" s="219"/>
      <c r="W1366" s="210"/>
    </row>
    <row r="1367" spans="1:23" ht="16.05" customHeight="1" x14ac:dyDescent="0.45">
      <c r="A1367" s="1">
        <v>1366</v>
      </c>
      <c r="B1367" s="198" t="s">
        <v>924</v>
      </c>
      <c r="C1367" s="199" t="s">
        <v>24</v>
      </c>
      <c r="D1367" s="358">
        <v>6359</v>
      </c>
      <c r="E1367" s="198" t="s">
        <v>2075</v>
      </c>
      <c r="F1367" s="198" t="s">
        <v>892</v>
      </c>
      <c r="G1367" s="200">
        <v>3647</v>
      </c>
      <c r="H1367" s="198" t="s">
        <v>899</v>
      </c>
      <c r="I1367" s="198" t="s">
        <v>881</v>
      </c>
      <c r="J1367" s="199" t="s">
        <v>111</v>
      </c>
      <c r="K1367" s="199" t="s">
        <v>110</v>
      </c>
      <c r="L1367" s="432">
        <v>0.5</v>
      </c>
      <c r="M1367" s="213"/>
      <c r="N1367" s="214" t="s">
        <v>900</v>
      </c>
      <c r="O1367" s="220"/>
      <c r="P1367" s="234">
        <v>0.4</v>
      </c>
      <c r="Q1367" s="292">
        <v>0.2</v>
      </c>
      <c r="R1367" s="234"/>
      <c r="S1367" s="216">
        <f t="shared" si="42"/>
        <v>0</v>
      </c>
      <c r="T1367" s="217">
        <f t="shared" si="43"/>
        <v>0</v>
      </c>
      <c r="U1367" s="218" t="s">
        <v>83</v>
      </c>
      <c r="V1367" s="219"/>
      <c r="W1367" s="210"/>
    </row>
    <row r="1368" spans="1:23" ht="16.05" customHeight="1" x14ac:dyDescent="0.45">
      <c r="A1368" s="1">
        <v>1367</v>
      </c>
      <c r="B1368" s="198" t="s">
        <v>924</v>
      </c>
      <c r="C1368" s="199" t="s">
        <v>24</v>
      </c>
      <c r="D1368" s="358">
        <v>6359</v>
      </c>
      <c r="E1368" s="198" t="s">
        <v>2075</v>
      </c>
      <c r="F1368" s="198" t="s">
        <v>892</v>
      </c>
      <c r="G1368" s="200">
        <v>3647</v>
      </c>
      <c r="H1368" s="198" t="s">
        <v>899</v>
      </c>
      <c r="I1368" s="198" t="s">
        <v>881</v>
      </c>
      <c r="J1368" s="199" t="s">
        <v>111</v>
      </c>
      <c r="K1368" s="199" t="s">
        <v>110</v>
      </c>
      <c r="L1368" s="432">
        <v>0.5</v>
      </c>
      <c r="M1368" s="213"/>
      <c r="N1368" s="214" t="s">
        <v>896</v>
      </c>
      <c r="O1368" s="220"/>
      <c r="P1368" s="234">
        <v>0.8</v>
      </c>
      <c r="Q1368" s="292">
        <v>0.2</v>
      </c>
      <c r="R1368" s="234"/>
      <c r="S1368" s="216">
        <f t="shared" si="42"/>
        <v>0</v>
      </c>
      <c r="T1368" s="217">
        <f t="shared" si="43"/>
        <v>0</v>
      </c>
      <c r="U1368" s="218" t="s">
        <v>34</v>
      </c>
      <c r="V1368" s="219"/>
      <c r="W1368" s="210"/>
    </row>
    <row r="1369" spans="1:23" ht="16.05" customHeight="1" x14ac:dyDescent="0.45">
      <c r="A1369" s="1">
        <v>1368</v>
      </c>
      <c r="B1369" s="198" t="s">
        <v>924</v>
      </c>
      <c r="C1369" s="199" t="s">
        <v>24</v>
      </c>
      <c r="D1369" s="358">
        <v>6359</v>
      </c>
      <c r="E1369" s="198" t="s">
        <v>2075</v>
      </c>
      <c r="F1369" s="198" t="s">
        <v>892</v>
      </c>
      <c r="G1369" s="200">
        <v>3647</v>
      </c>
      <c r="H1369" s="198" t="s">
        <v>899</v>
      </c>
      <c r="I1369" s="198" t="s">
        <v>881</v>
      </c>
      <c r="J1369" s="199" t="s">
        <v>111</v>
      </c>
      <c r="K1369" s="199" t="s">
        <v>110</v>
      </c>
      <c r="L1369" s="432">
        <v>0.5</v>
      </c>
      <c r="M1369" s="213"/>
      <c r="N1369" s="214" t="s">
        <v>897</v>
      </c>
      <c r="O1369" s="220"/>
      <c r="P1369" s="235">
        <v>12</v>
      </c>
      <c r="Q1369" s="292">
        <v>0.2</v>
      </c>
      <c r="R1369" s="235"/>
      <c r="S1369" s="216">
        <f t="shared" si="42"/>
        <v>0</v>
      </c>
      <c r="T1369" s="217">
        <f t="shared" si="43"/>
        <v>0</v>
      </c>
      <c r="U1369" s="218" t="s">
        <v>34</v>
      </c>
      <c r="V1369" s="219"/>
      <c r="W1369" s="210"/>
    </row>
    <row r="1370" spans="1:23" ht="16.05" customHeight="1" x14ac:dyDescent="0.45">
      <c r="A1370" s="1">
        <v>1369</v>
      </c>
      <c r="B1370" s="186" t="s">
        <v>924</v>
      </c>
      <c r="C1370" s="187" t="s">
        <v>24</v>
      </c>
      <c r="D1370" s="707">
        <v>5597</v>
      </c>
      <c r="E1370" s="186" t="s">
        <v>2076</v>
      </c>
      <c r="F1370" s="186" t="s">
        <v>892</v>
      </c>
      <c r="G1370" s="189">
        <v>5663</v>
      </c>
      <c r="H1370" s="186" t="s">
        <v>878</v>
      </c>
      <c r="I1370" s="186" t="s">
        <v>881</v>
      </c>
      <c r="J1370" s="193" t="s">
        <v>58</v>
      </c>
      <c r="K1370" s="186" t="s">
        <v>57</v>
      </c>
      <c r="L1370" s="636">
        <v>0.5</v>
      </c>
      <c r="M1370" s="225"/>
      <c r="N1370" s="695" t="s">
        <v>893</v>
      </c>
      <c r="O1370" s="196"/>
      <c r="P1370" s="226">
        <v>3000000000</v>
      </c>
      <c r="Q1370" s="350">
        <v>0.3</v>
      </c>
      <c r="R1370" s="226"/>
      <c r="S1370" s="193">
        <f t="shared" si="42"/>
        <v>0</v>
      </c>
      <c r="T1370" s="193">
        <f t="shared" si="43"/>
        <v>0</v>
      </c>
      <c r="U1370" s="193" t="s">
        <v>34</v>
      </c>
      <c r="V1370" s="678">
        <f>SUM(T1370:T1378)%</f>
        <v>0</v>
      </c>
      <c r="W1370" s="186"/>
    </row>
    <row r="1371" spans="1:23" ht="16.05" customHeight="1" x14ac:dyDescent="0.45">
      <c r="A1371" s="1">
        <v>1370</v>
      </c>
      <c r="B1371" s="198" t="s">
        <v>924</v>
      </c>
      <c r="C1371" s="199" t="s">
        <v>24</v>
      </c>
      <c r="D1371" s="358">
        <v>5597</v>
      </c>
      <c r="E1371" s="198" t="s">
        <v>2076</v>
      </c>
      <c r="F1371" s="198" t="s">
        <v>892</v>
      </c>
      <c r="G1371" s="200">
        <v>5663</v>
      </c>
      <c r="H1371" s="198" t="s">
        <v>878</v>
      </c>
      <c r="I1371" s="198" t="s">
        <v>881</v>
      </c>
      <c r="J1371" s="204" t="s">
        <v>58</v>
      </c>
      <c r="K1371" s="692" t="s">
        <v>57</v>
      </c>
      <c r="L1371" s="434">
        <v>0.5</v>
      </c>
      <c r="M1371" s="228"/>
      <c r="N1371" s="229" t="s">
        <v>894</v>
      </c>
      <c r="O1371" s="207"/>
      <c r="P1371" s="230">
        <v>350</v>
      </c>
      <c r="Q1371" s="346">
        <v>0.3</v>
      </c>
      <c r="R1371" s="230"/>
      <c r="S1371" s="231">
        <f t="shared" si="42"/>
        <v>0</v>
      </c>
      <c r="T1371" s="231">
        <f t="shared" si="43"/>
        <v>0</v>
      </c>
      <c r="U1371" s="231" t="s">
        <v>34</v>
      </c>
      <c r="V1371" s="209"/>
      <c r="W1371" s="210"/>
    </row>
    <row r="1372" spans="1:23" ht="16.05" customHeight="1" x14ac:dyDescent="0.45">
      <c r="A1372" s="1">
        <v>1371</v>
      </c>
      <c r="B1372" s="198" t="s">
        <v>924</v>
      </c>
      <c r="C1372" s="199" t="s">
        <v>24</v>
      </c>
      <c r="D1372" s="358">
        <v>5597</v>
      </c>
      <c r="E1372" s="198" t="s">
        <v>2076</v>
      </c>
      <c r="F1372" s="198" t="s">
        <v>892</v>
      </c>
      <c r="G1372" s="200">
        <v>5663</v>
      </c>
      <c r="H1372" s="198" t="s">
        <v>878</v>
      </c>
      <c r="I1372" s="198" t="s">
        <v>881</v>
      </c>
      <c r="J1372" s="204" t="s">
        <v>58</v>
      </c>
      <c r="K1372" s="692" t="s">
        <v>57</v>
      </c>
      <c r="L1372" s="434">
        <v>0.5</v>
      </c>
      <c r="M1372" s="228"/>
      <c r="N1372" s="203" t="s">
        <v>885</v>
      </c>
      <c r="O1372" s="207"/>
      <c r="P1372" s="208">
        <v>1</v>
      </c>
      <c r="Q1372" s="434">
        <v>0.2</v>
      </c>
      <c r="R1372" s="208"/>
      <c r="S1372" s="231">
        <f t="shared" si="42"/>
        <v>0</v>
      </c>
      <c r="T1372" s="231">
        <f t="shared" si="43"/>
        <v>0</v>
      </c>
      <c r="U1372" s="231" t="s">
        <v>34</v>
      </c>
      <c r="V1372" s="209"/>
      <c r="W1372" s="210"/>
    </row>
    <row r="1373" spans="1:23" ht="16.05" customHeight="1" x14ac:dyDescent="0.45">
      <c r="A1373" s="1">
        <v>1372</v>
      </c>
      <c r="B1373" s="198" t="s">
        <v>924</v>
      </c>
      <c r="C1373" s="199" t="s">
        <v>24</v>
      </c>
      <c r="D1373" s="358">
        <v>5597</v>
      </c>
      <c r="E1373" s="198" t="s">
        <v>2076</v>
      </c>
      <c r="F1373" s="198" t="s">
        <v>892</v>
      </c>
      <c r="G1373" s="200">
        <v>5663</v>
      </c>
      <c r="H1373" s="198" t="s">
        <v>878</v>
      </c>
      <c r="I1373" s="198" t="s">
        <v>881</v>
      </c>
      <c r="J1373" s="204" t="s">
        <v>58</v>
      </c>
      <c r="K1373" s="692" t="s">
        <v>57</v>
      </c>
      <c r="L1373" s="434">
        <v>0.5</v>
      </c>
      <c r="M1373" s="228"/>
      <c r="N1373" s="203" t="s">
        <v>895</v>
      </c>
      <c r="O1373" s="207"/>
      <c r="P1373" s="208">
        <v>1</v>
      </c>
      <c r="Q1373" s="434">
        <v>0.2</v>
      </c>
      <c r="R1373" s="208"/>
      <c r="S1373" s="231">
        <f t="shared" si="42"/>
        <v>0</v>
      </c>
      <c r="T1373" s="207">
        <f t="shared" si="43"/>
        <v>0</v>
      </c>
      <c r="U1373" s="207" t="s">
        <v>34</v>
      </c>
      <c r="V1373" s="232"/>
      <c r="W1373" s="210"/>
    </row>
    <row r="1374" spans="1:23" ht="16.05" customHeight="1" x14ac:dyDescent="0.45">
      <c r="A1374" s="1">
        <v>1373</v>
      </c>
      <c r="B1374" s="198" t="s">
        <v>924</v>
      </c>
      <c r="C1374" s="199" t="s">
        <v>24</v>
      </c>
      <c r="D1374" s="358">
        <v>5597</v>
      </c>
      <c r="E1374" s="198" t="s">
        <v>2076</v>
      </c>
      <c r="F1374" s="198" t="s">
        <v>892</v>
      </c>
      <c r="G1374" s="200">
        <v>5663</v>
      </c>
      <c r="H1374" s="198" t="s">
        <v>878</v>
      </c>
      <c r="I1374" s="198" t="s">
        <v>881</v>
      </c>
      <c r="J1374" s="199" t="s">
        <v>111</v>
      </c>
      <c r="K1374" s="199" t="s">
        <v>110</v>
      </c>
      <c r="L1374" s="432">
        <v>0.5</v>
      </c>
      <c r="M1374" s="213"/>
      <c r="N1374" s="214" t="s">
        <v>887</v>
      </c>
      <c r="O1374" s="220"/>
      <c r="P1374" s="233">
        <v>1</v>
      </c>
      <c r="Q1374" s="292">
        <v>0.2</v>
      </c>
      <c r="R1374" s="233"/>
      <c r="S1374" s="216">
        <f t="shared" si="42"/>
        <v>0</v>
      </c>
      <c r="T1374" s="217">
        <f t="shared" si="43"/>
        <v>0</v>
      </c>
      <c r="U1374" s="218" t="s">
        <v>34</v>
      </c>
      <c r="V1374" s="219"/>
      <c r="W1374" s="210"/>
    </row>
    <row r="1375" spans="1:23" ht="16.05" customHeight="1" x14ac:dyDescent="0.45">
      <c r="A1375" s="1">
        <v>1374</v>
      </c>
      <c r="B1375" s="198" t="s">
        <v>924</v>
      </c>
      <c r="C1375" s="199" t="s">
        <v>24</v>
      </c>
      <c r="D1375" s="358">
        <v>5597</v>
      </c>
      <c r="E1375" s="198" t="s">
        <v>2076</v>
      </c>
      <c r="F1375" s="198" t="s">
        <v>892</v>
      </c>
      <c r="G1375" s="200">
        <v>5663</v>
      </c>
      <c r="H1375" s="198" t="s">
        <v>878</v>
      </c>
      <c r="I1375" s="198" t="s">
        <v>881</v>
      </c>
      <c r="J1375" s="199" t="s">
        <v>111</v>
      </c>
      <c r="K1375" s="199" t="s">
        <v>110</v>
      </c>
      <c r="L1375" s="432">
        <v>0.5</v>
      </c>
      <c r="M1375" s="213"/>
      <c r="N1375" s="214" t="s">
        <v>889</v>
      </c>
      <c r="O1375" s="220"/>
      <c r="P1375" s="234">
        <v>0.4</v>
      </c>
      <c r="Q1375" s="292">
        <v>0.2</v>
      </c>
      <c r="R1375" s="234"/>
      <c r="S1375" s="216">
        <f t="shared" si="42"/>
        <v>0</v>
      </c>
      <c r="T1375" s="217">
        <f t="shared" si="43"/>
        <v>0</v>
      </c>
      <c r="U1375" s="218" t="s">
        <v>83</v>
      </c>
      <c r="V1375" s="219"/>
      <c r="W1375" s="210"/>
    </row>
    <row r="1376" spans="1:23" ht="16.05" customHeight="1" x14ac:dyDescent="0.45">
      <c r="A1376" s="1">
        <v>1375</v>
      </c>
      <c r="B1376" s="198" t="s">
        <v>924</v>
      </c>
      <c r="C1376" s="199" t="s">
        <v>24</v>
      </c>
      <c r="D1376" s="358">
        <v>5597</v>
      </c>
      <c r="E1376" s="198" t="s">
        <v>2076</v>
      </c>
      <c r="F1376" s="198" t="s">
        <v>892</v>
      </c>
      <c r="G1376" s="200">
        <v>5663</v>
      </c>
      <c r="H1376" s="198" t="s">
        <v>878</v>
      </c>
      <c r="I1376" s="198" t="s">
        <v>881</v>
      </c>
      <c r="J1376" s="199" t="s">
        <v>111</v>
      </c>
      <c r="K1376" s="199" t="s">
        <v>110</v>
      </c>
      <c r="L1376" s="432">
        <v>0.5</v>
      </c>
      <c r="M1376" s="213"/>
      <c r="N1376" s="214" t="s">
        <v>888</v>
      </c>
      <c r="O1376" s="220"/>
      <c r="P1376" s="221">
        <v>20</v>
      </c>
      <c r="Q1376" s="292">
        <v>0.2</v>
      </c>
      <c r="R1376" s="221"/>
      <c r="S1376" s="216">
        <f t="shared" si="42"/>
        <v>0</v>
      </c>
      <c r="T1376" s="217">
        <f t="shared" si="43"/>
        <v>0</v>
      </c>
      <c r="U1376" s="218" t="s">
        <v>83</v>
      </c>
      <c r="V1376" s="219"/>
      <c r="W1376" s="210"/>
    </row>
    <row r="1377" spans="1:23" ht="16.05" customHeight="1" x14ac:dyDescent="0.45">
      <c r="A1377" s="1">
        <v>1376</v>
      </c>
      <c r="B1377" s="198" t="s">
        <v>924</v>
      </c>
      <c r="C1377" s="199" t="s">
        <v>24</v>
      </c>
      <c r="D1377" s="358">
        <v>5597</v>
      </c>
      <c r="E1377" s="198" t="s">
        <v>2076</v>
      </c>
      <c r="F1377" s="198" t="s">
        <v>892</v>
      </c>
      <c r="G1377" s="200">
        <v>5663</v>
      </c>
      <c r="H1377" s="198" t="s">
        <v>878</v>
      </c>
      <c r="I1377" s="198" t="s">
        <v>881</v>
      </c>
      <c r="J1377" s="199" t="s">
        <v>111</v>
      </c>
      <c r="K1377" s="199" t="s">
        <v>110</v>
      </c>
      <c r="L1377" s="432">
        <v>0.5</v>
      </c>
      <c r="M1377" s="213"/>
      <c r="N1377" s="214" t="s">
        <v>896</v>
      </c>
      <c r="O1377" s="220"/>
      <c r="P1377" s="234">
        <v>0.8</v>
      </c>
      <c r="Q1377" s="292">
        <v>0.2</v>
      </c>
      <c r="R1377" s="234"/>
      <c r="S1377" s="216">
        <f t="shared" si="42"/>
        <v>0</v>
      </c>
      <c r="T1377" s="217">
        <f t="shared" si="43"/>
        <v>0</v>
      </c>
      <c r="U1377" s="218" t="s">
        <v>34</v>
      </c>
      <c r="V1377" s="219"/>
      <c r="W1377" s="210"/>
    </row>
    <row r="1378" spans="1:23" ht="16.05" customHeight="1" x14ac:dyDescent="0.45">
      <c r="A1378" s="1">
        <v>1377</v>
      </c>
      <c r="B1378" s="198" t="s">
        <v>924</v>
      </c>
      <c r="C1378" s="199" t="s">
        <v>24</v>
      </c>
      <c r="D1378" s="358">
        <v>5597</v>
      </c>
      <c r="E1378" s="198" t="s">
        <v>2076</v>
      </c>
      <c r="F1378" s="198" t="s">
        <v>892</v>
      </c>
      <c r="G1378" s="200">
        <v>5663</v>
      </c>
      <c r="H1378" s="198" t="s">
        <v>878</v>
      </c>
      <c r="I1378" s="198" t="s">
        <v>881</v>
      </c>
      <c r="J1378" s="199" t="s">
        <v>111</v>
      </c>
      <c r="K1378" s="199" t="s">
        <v>110</v>
      </c>
      <c r="L1378" s="432">
        <v>0.5</v>
      </c>
      <c r="M1378" s="213"/>
      <c r="N1378" s="214" t="s">
        <v>897</v>
      </c>
      <c r="O1378" s="220"/>
      <c r="P1378" s="235">
        <v>12</v>
      </c>
      <c r="Q1378" s="292">
        <v>0.2</v>
      </c>
      <c r="R1378" s="235"/>
      <c r="S1378" s="216">
        <f t="shared" si="42"/>
        <v>0</v>
      </c>
      <c r="T1378" s="217">
        <f t="shared" si="43"/>
        <v>0</v>
      </c>
      <c r="U1378" s="218" t="s">
        <v>34</v>
      </c>
      <c r="V1378" s="219"/>
      <c r="W1378" s="210"/>
    </row>
    <row r="1379" spans="1:23" ht="16.05" customHeight="1" x14ac:dyDescent="0.45">
      <c r="A1379" s="1">
        <v>1378</v>
      </c>
      <c r="B1379" s="186" t="s">
        <v>924</v>
      </c>
      <c r="C1379" s="187" t="s">
        <v>24</v>
      </c>
      <c r="D1379" s="707">
        <v>3886</v>
      </c>
      <c r="E1379" s="186" t="s">
        <v>2077</v>
      </c>
      <c r="F1379" s="186" t="s">
        <v>892</v>
      </c>
      <c r="G1379" s="189">
        <v>5663</v>
      </c>
      <c r="H1379" s="186" t="s">
        <v>878</v>
      </c>
      <c r="I1379" s="186" t="s">
        <v>881</v>
      </c>
      <c r="J1379" s="193" t="s">
        <v>58</v>
      </c>
      <c r="K1379" s="186" t="s">
        <v>57</v>
      </c>
      <c r="L1379" s="636">
        <v>0.5</v>
      </c>
      <c r="M1379" s="225"/>
      <c r="N1379" s="695" t="s">
        <v>893</v>
      </c>
      <c r="O1379" s="196"/>
      <c r="P1379" s="226">
        <v>3000000000</v>
      </c>
      <c r="Q1379" s="350">
        <v>0.3</v>
      </c>
      <c r="R1379" s="226"/>
      <c r="S1379" s="193">
        <f t="shared" si="42"/>
        <v>0</v>
      </c>
      <c r="T1379" s="193">
        <f t="shared" si="43"/>
        <v>0</v>
      </c>
      <c r="U1379" s="193" t="s">
        <v>34</v>
      </c>
      <c r="V1379" s="678">
        <f>SUM(T1379:T1387)%</f>
        <v>0</v>
      </c>
      <c r="W1379" s="186"/>
    </row>
    <row r="1380" spans="1:23" ht="16.05" customHeight="1" x14ac:dyDescent="0.45">
      <c r="A1380" s="1">
        <v>1379</v>
      </c>
      <c r="B1380" s="198" t="s">
        <v>924</v>
      </c>
      <c r="C1380" s="199" t="s">
        <v>24</v>
      </c>
      <c r="D1380" s="358">
        <v>3886</v>
      </c>
      <c r="E1380" s="198" t="s">
        <v>2077</v>
      </c>
      <c r="F1380" s="198" t="s">
        <v>892</v>
      </c>
      <c r="G1380" s="200">
        <v>5663</v>
      </c>
      <c r="H1380" s="198" t="s">
        <v>878</v>
      </c>
      <c r="I1380" s="198" t="s">
        <v>881</v>
      </c>
      <c r="J1380" s="204" t="s">
        <v>58</v>
      </c>
      <c r="K1380" s="692" t="s">
        <v>57</v>
      </c>
      <c r="L1380" s="434">
        <v>0.5</v>
      </c>
      <c r="M1380" s="228"/>
      <c r="N1380" s="229" t="s">
        <v>894</v>
      </c>
      <c r="O1380" s="207"/>
      <c r="P1380" s="230">
        <v>350</v>
      </c>
      <c r="Q1380" s="346">
        <v>0.3</v>
      </c>
      <c r="R1380" s="230"/>
      <c r="S1380" s="231">
        <f t="shared" si="42"/>
        <v>0</v>
      </c>
      <c r="T1380" s="231">
        <f t="shared" si="43"/>
        <v>0</v>
      </c>
      <c r="U1380" s="231" t="s">
        <v>34</v>
      </c>
      <c r="V1380" s="209"/>
      <c r="W1380" s="210"/>
    </row>
    <row r="1381" spans="1:23" ht="16.05" customHeight="1" x14ac:dyDescent="0.45">
      <c r="A1381" s="1">
        <v>1380</v>
      </c>
      <c r="B1381" s="198" t="s">
        <v>924</v>
      </c>
      <c r="C1381" s="199" t="s">
        <v>24</v>
      </c>
      <c r="D1381" s="358">
        <v>3886</v>
      </c>
      <c r="E1381" s="198" t="s">
        <v>2077</v>
      </c>
      <c r="F1381" s="198" t="s">
        <v>892</v>
      </c>
      <c r="G1381" s="200">
        <v>5663</v>
      </c>
      <c r="H1381" s="198" t="s">
        <v>878</v>
      </c>
      <c r="I1381" s="198" t="s">
        <v>881</v>
      </c>
      <c r="J1381" s="204" t="s">
        <v>58</v>
      </c>
      <c r="K1381" s="692" t="s">
        <v>57</v>
      </c>
      <c r="L1381" s="434">
        <v>0.5</v>
      </c>
      <c r="M1381" s="228"/>
      <c r="N1381" s="203" t="s">
        <v>885</v>
      </c>
      <c r="O1381" s="207"/>
      <c r="P1381" s="208">
        <v>1</v>
      </c>
      <c r="Q1381" s="434">
        <v>0.2</v>
      </c>
      <c r="R1381" s="208"/>
      <c r="S1381" s="231">
        <f t="shared" si="42"/>
        <v>0</v>
      </c>
      <c r="T1381" s="231">
        <f t="shared" si="43"/>
        <v>0</v>
      </c>
      <c r="U1381" s="231" t="s">
        <v>34</v>
      </c>
      <c r="V1381" s="209"/>
      <c r="W1381" s="210"/>
    </row>
    <row r="1382" spans="1:23" ht="16.05" customHeight="1" x14ac:dyDescent="0.45">
      <c r="A1382" s="1">
        <v>1381</v>
      </c>
      <c r="B1382" s="198" t="s">
        <v>924</v>
      </c>
      <c r="C1382" s="199" t="s">
        <v>24</v>
      </c>
      <c r="D1382" s="358">
        <v>3886</v>
      </c>
      <c r="E1382" s="198" t="s">
        <v>2077</v>
      </c>
      <c r="F1382" s="198" t="s">
        <v>892</v>
      </c>
      <c r="G1382" s="200">
        <v>5663</v>
      </c>
      <c r="H1382" s="198" t="s">
        <v>878</v>
      </c>
      <c r="I1382" s="198" t="s">
        <v>881</v>
      </c>
      <c r="J1382" s="204" t="s">
        <v>58</v>
      </c>
      <c r="K1382" s="692" t="s">
        <v>57</v>
      </c>
      <c r="L1382" s="434">
        <v>0.5</v>
      </c>
      <c r="M1382" s="228"/>
      <c r="N1382" s="203" t="s">
        <v>895</v>
      </c>
      <c r="O1382" s="207"/>
      <c r="P1382" s="208">
        <v>1</v>
      </c>
      <c r="Q1382" s="434">
        <v>0.2</v>
      </c>
      <c r="R1382" s="208"/>
      <c r="S1382" s="231">
        <f t="shared" si="42"/>
        <v>0</v>
      </c>
      <c r="T1382" s="207">
        <f t="shared" si="43"/>
        <v>0</v>
      </c>
      <c r="U1382" s="207" t="s">
        <v>34</v>
      </c>
      <c r="V1382" s="232"/>
      <c r="W1382" s="210"/>
    </row>
    <row r="1383" spans="1:23" ht="16.05" customHeight="1" x14ac:dyDescent="0.45">
      <c r="A1383" s="1">
        <v>1382</v>
      </c>
      <c r="B1383" s="198" t="s">
        <v>924</v>
      </c>
      <c r="C1383" s="199" t="s">
        <v>24</v>
      </c>
      <c r="D1383" s="358">
        <v>3886</v>
      </c>
      <c r="E1383" s="198" t="s">
        <v>2077</v>
      </c>
      <c r="F1383" s="198" t="s">
        <v>892</v>
      </c>
      <c r="G1383" s="200">
        <v>5663</v>
      </c>
      <c r="H1383" s="198" t="s">
        <v>878</v>
      </c>
      <c r="I1383" s="198" t="s">
        <v>881</v>
      </c>
      <c r="J1383" s="199" t="s">
        <v>111</v>
      </c>
      <c r="K1383" s="199" t="s">
        <v>110</v>
      </c>
      <c r="L1383" s="432">
        <v>0.5</v>
      </c>
      <c r="M1383" s="213"/>
      <c r="N1383" s="214" t="s">
        <v>887</v>
      </c>
      <c r="O1383" s="220"/>
      <c r="P1383" s="233">
        <v>1</v>
      </c>
      <c r="Q1383" s="292">
        <v>0.2</v>
      </c>
      <c r="R1383" s="233"/>
      <c r="S1383" s="216">
        <f t="shared" si="42"/>
        <v>0</v>
      </c>
      <c r="T1383" s="217">
        <f t="shared" si="43"/>
        <v>0</v>
      </c>
      <c r="U1383" s="218" t="s">
        <v>34</v>
      </c>
      <c r="V1383" s="219"/>
      <c r="W1383" s="210"/>
    </row>
    <row r="1384" spans="1:23" ht="16.05" customHeight="1" x14ac:dyDescent="0.45">
      <c r="A1384" s="1">
        <v>1383</v>
      </c>
      <c r="B1384" s="198" t="s">
        <v>924</v>
      </c>
      <c r="C1384" s="199" t="s">
        <v>24</v>
      </c>
      <c r="D1384" s="358">
        <v>3886</v>
      </c>
      <c r="E1384" s="198" t="s">
        <v>2077</v>
      </c>
      <c r="F1384" s="198" t="s">
        <v>892</v>
      </c>
      <c r="G1384" s="200">
        <v>5663</v>
      </c>
      <c r="H1384" s="198" t="s">
        <v>878</v>
      </c>
      <c r="I1384" s="198" t="s">
        <v>881</v>
      </c>
      <c r="J1384" s="199" t="s">
        <v>111</v>
      </c>
      <c r="K1384" s="199" t="s">
        <v>110</v>
      </c>
      <c r="L1384" s="432">
        <v>0.5</v>
      </c>
      <c r="M1384" s="213"/>
      <c r="N1384" s="214" t="s">
        <v>889</v>
      </c>
      <c r="O1384" s="220"/>
      <c r="P1384" s="234">
        <v>0.4</v>
      </c>
      <c r="Q1384" s="292">
        <v>0.2</v>
      </c>
      <c r="R1384" s="234"/>
      <c r="S1384" s="216">
        <f t="shared" si="42"/>
        <v>0</v>
      </c>
      <c r="T1384" s="217">
        <f t="shared" si="43"/>
        <v>0</v>
      </c>
      <c r="U1384" s="218" t="s">
        <v>83</v>
      </c>
      <c r="V1384" s="219"/>
      <c r="W1384" s="210"/>
    </row>
    <row r="1385" spans="1:23" ht="16.05" customHeight="1" x14ac:dyDescent="0.45">
      <c r="A1385" s="1">
        <v>1384</v>
      </c>
      <c r="B1385" s="198" t="s">
        <v>924</v>
      </c>
      <c r="C1385" s="199" t="s">
        <v>24</v>
      </c>
      <c r="D1385" s="358">
        <v>3886</v>
      </c>
      <c r="E1385" s="198" t="s">
        <v>2077</v>
      </c>
      <c r="F1385" s="198" t="s">
        <v>892</v>
      </c>
      <c r="G1385" s="200">
        <v>5663</v>
      </c>
      <c r="H1385" s="198" t="s">
        <v>878</v>
      </c>
      <c r="I1385" s="198" t="s">
        <v>881</v>
      </c>
      <c r="J1385" s="199" t="s">
        <v>111</v>
      </c>
      <c r="K1385" s="199" t="s">
        <v>110</v>
      </c>
      <c r="L1385" s="432">
        <v>0.5</v>
      </c>
      <c r="M1385" s="213"/>
      <c r="N1385" s="214" t="s">
        <v>888</v>
      </c>
      <c r="O1385" s="220"/>
      <c r="P1385" s="221">
        <v>20</v>
      </c>
      <c r="Q1385" s="292">
        <v>0.2</v>
      </c>
      <c r="R1385" s="221"/>
      <c r="S1385" s="216">
        <f t="shared" si="42"/>
        <v>0</v>
      </c>
      <c r="T1385" s="217">
        <f t="shared" si="43"/>
        <v>0</v>
      </c>
      <c r="U1385" s="218" t="s">
        <v>83</v>
      </c>
      <c r="V1385" s="219"/>
      <c r="W1385" s="210"/>
    </row>
    <row r="1386" spans="1:23" ht="16.05" customHeight="1" x14ac:dyDescent="0.45">
      <c r="A1386" s="1">
        <v>1385</v>
      </c>
      <c r="B1386" s="198" t="s">
        <v>924</v>
      </c>
      <c r="C1386" s="199" t="s">
        <v>24</v>
      </c>
      <c r="D1386" s="358">
        <v>3886</v>
      </c>
      <c r="E1386" s="198" t="s">
        <v>2077</v>
      </c>
      <c r="F1386" s="198" t="s">
        <v>892</v>
      </c>
      <c r="G1386" s="200">
        <v>5663</v>
      </c>
      <c r="H1386" s="198" t="s">
        <v>878</v>
      </c>
      <c r="I1386" s="198" t="s">
        <v>881</v>
      </c>
      <c r="J1386" s="199" t="s">
        <v>111</v>
      </c>
      <c r="K1386" s="199" t="s">
        <v>110</v>
      </c>
      <c r="L1386" s="432">
        <v>0.5</v>
      </c>
      <c r="M1386" s="213"/>
      <c r="N1386" s="214" t="s">
        <v>896</v>
      </c>
      <c r="O1386" s="220"/>
      <c r="P1386" s="234">
        <v>0.8</v>
      </c>
      <c r="Q1386" s="292">
        <v>0.2</v>
      </c>
      <c r="R1386" s="234"/>
      <c r="S1386" s="216">
        <f t="shared" si="42"/>
        <v>0</v>
      </c>
      <c r="T1386" s="217">
        <f t="shared" si="43"/>
        <v>0</v>
      </c>
      <c r="U1386" s="218" t="s">
        <v>34</v>
      </c>
      <c r="V1386" s="219"/>
      <c r="W1386" s="210"/>
    </row>
    <row r="1387" spans="1:23" ht="16.05" customHeight="1" x14ac:dyDescent="0.45">
      <c r="A1387" s="1">
        <v>1386</v>
      </c>
      <c r="B1387" s="198" t="s">
        <v>924</v>
      </c>
      <c r="C1387" s="199" t="s">
        <v>24</v>
      </c>
      <c r="D1387" s="358">
        <v>3886</v>
      </c>
      <c r="E1387" s="198" t="s">
        <v>2077</v>
      </c>
      <c r="F1387" s="198" t="s">
        <v>892</v>
      </c>
      <c r="G1387" s="200">
        <v>5663</v>
      </c>
      <c r="H1387" s="198" t="s">
        <v>878</v>
      </c>
      <c r="I1387" s="198" t="s">
        <v>881</v>
      </c>
      <c r="J1387" s="199" t="s">
        <v>111</v>
      </c>
      <c r="K1387" s="199" t="s">
        <v>110</v>
      </c>
      <c r="L1387" s="432">
        <v>0.5</v>
      </c>
      <c r="M1387" s="213"/>
      <c r="N1387" s="214" t="s">
        <v>897</v>
      </c>
      <c r="O1387" s="220"/>
      <c r="P1387" s="235">
        <v>12</v>
      </c>
      <c r="Q1387" s="292">
        <v>0.2</v>
      </c>
      <c r="R1387" s="235"/>
      <c r="S1387" s="216">
        <f t="shared" si="42"/>
        <v>0</v>
      </c>
      <c r="T1387" s="217">
        <f t="shared" si="43"/>
        <v>0</v>
      </c>
      <c r="U1387" s="218" t="s">
        <v>34</v>
      </c>
      <c r="V1387" s="219"/>
      <c r="W1387" s="210"/>
    </row>
    <row r="1388" spans="1:23" ht="16.05" customHeight="1" x14ac:dyDescent="0.45">
      <c r="A1388" s="1">
        <v>1387</v>
      </c>
      <c r="B1388" s="186" t="s">
        <v>924</v>
      </c>
      <c r="C1388" s="187" t="s">
        <v>24</v>
      </c>
      <c r="D1388" s="707">
        <v>5894</v>
      </c>
      <c r="E1388" s="186" t="s">
        <v>2078</v>
      </c>
      <c r="F1388" s="186" t="s">
        <v>2079</v>
      </c>
      <c r="G1388" s="189">
        <v>3264</v>
      </c>
      <c r="H1388" s="186" t="s">
        <v>1093</v>
      </c>
      <c r="I1388" s="186" t="s">
        <v>881</v>
      </c>
      <c r="J1388" s="193" t="s">
        <v>58</v>
      </c>
      <c r="K1388" s="186" t="s">
        <v>57</v>
      </c>
      <c r="L1388" s="636">
        <v>0.5</v>
      </c>
      <c r="M1388" s="225"/>
      <c r="N1388" s="695" t="s">
        <v>893</v>
      </c>
      <c r="O1388" s="196"/>
      <c r="P1388" s="226">
        <v>3000000000</v>
      </c>
      <c r="Q1388" s="350">
        <v>0.3</v>
      </c>
      <c r="R1388" s="226"/>
      <c r="S1388" s="193">
        <f t="shared" si="42"/>
        <v>0</v>
      </c>
      <c r="T1388" s="193">
        <f t="shared" si="43"/>
        <v>0</v>
      </c>
      <c r="U1388" s="193" t="s">
        <v>34</v>
      </c>
      <c r="V1388" s="678">
        <f>SUM(T1388:T1396)%</f>
        <v>0</v>
      </c>
      <c r="W1388" s="186"/>
    </row>
    <row r="1389" spans="1:23" ht="16.05" customHeight="1" x14ac:dyDescent="0.45">
      <c r="A1389" s="1">
        <v>1388</v>
      </c>
      <c r="B1389" s="198" t="s">
        <v>924</v>
      </c>
      <c r="C1389" s="199" t="s">
        <v>24</v>
      </c>
      <c r="D1389" s="358">
        <v>5894</v>
      </c>
      <c r="E1389" s="198" t="s">
        <v>2078</v>
      </c>
      <c r="F1389" s="198" t="s">
        <v>2079</v>
      </c>
      <c r="G1389" s="679">
        <v>3264</v>
      </c>
      <c r="H1389" s="198" t="s">
        <v>1093</v>
      </c>
      <c r="I1389" s="198" t="s">
        <v>881</v>
      </c>
      <c r="J1389" s="204" t="s">
        <v>58</v>
      </c>
      <c r="K1389" s="692" t="s">
        <v>57</v>
      </c>
      <c r="L1389" s="434">
        <v>0.5</v>
      </c>
      <c r="M1389" s="228"/>
      <c r="N1389" s="229" t="s">
        <v>894</v>
      </c>
      <c r="O1389" s="207"/>
      <c r="P1389" s="230">
        <v>350</v>
      </c>
      <c r="Q1389" s="346">
        <v>0.3</v>
      </c>
      <c r="R1389" s="230"/>
      <c r="S1389" s="231">
        <f t="shared" si="42"/>
        <v>0</v>
      </c>
      <c r="T1389" s="231">
        <f t="shared" si="43"/>
        <v>0</v>
      </c>
      <c r="U1389" s="231" t="s">
        <v>34</v>
      </c>
      <c r="V1389" s="209"/>
      <c r="W1389" s="649"/>
    </row>
    <row r="1390" spans="1:23" ht="16.05" customHeight="1" x14ac:dyDescent="0.45">
      <c r="A1390" s="1">
        <v>1389</v>
      </c>
      <c r="B1390" s="198" t="s">
        <v>924</v>
      </c>
      <c r="C1390" s="199" t="s">
        <v>24</v>
      </c>
      <c r="D1390" s="358">
        <v>5894</v>
      </c>
      <c r="E1390" s="198" t="s">
        <v>2078</v>
      </c>
      <c r="F1390" s="198" t="s">
        <v>2079</v>
      </c>
      <c r="G1390" s="679">
        <v>3264</v>
      </c>
      <c r="H1390" s="198" t="s">
        <v>1093</v>
      </c>
      <c r="I1390" s="198" t="s">
        <v>881</v>
      </c>
      <c r="J1390" s="204" t="s">
        <v>58</v>
      </c>
      <c r="K1390" s="692" t="s">
        <v>57</v>
      </c>
      <c r="L1390" s="434">
        <v>0.5</v>
      </c>
      <c r="M1390" s="228"/>
      <c r="N1390" s="203" t="s">
        <v>885</v>
      </c>
      <c r="O1390" s="207"/>
      <c r="P1390" s="208">
        <v>1</v>
      </c>
      <c r="Q1390" s="434">
        <v>0.2</v>
      </c>
      <c r="R1390" s="208"/>
      <c r="S1390" s="231">
        <f t="shared" si="42"/>
        <v>0</v>
      </c>
      <c r="T1390" s="231">
        <f t="shared" si="43"/>
        <v>0</v>
      </c>
      <c r="U1390" s="231" t="s">
        <v>34</v>
      </c>
      <c r="V1390" s="209"/>
      <c r="W1390" s="649"/>
    </row>
    <row r="1391" spans="1:23" ht="16.05" customHeight="1" x14ac:dyDescent="0.45">
      <c r="A1391" s="1">
        <v>1390</v>
      </c>
      <c r="B1391" s="198" t="s">
        <v>924</v>
      </c>
      <c r="C1391" s="199" t="s">
        <v>24</v>
      </c>
      <c r="D1391" s="358">
        <v>5894</v>
      </c>
      <c r="E1391" s="198" t="s">
        <v>2078</v>
      </c>
      <c r="F1391" s="198" t="s">
        <v>2079</v>
      </c>
      <c r="G1391" s="679">
        <v>3264</v>
      </c>
      <c r="H1391" s="198" t="s">
        <v>1093</v>
      </c>
      <c r="I1391" s="198" t="s">
        <v>881</v>
      </c>
      <c r="J1391" s="204" t="s">
        <v>58</v>
      </c>
      <c r="K1391" s="692" t="s">
        <v>57</v>
      </c>
      <c r="L1391" s="434">
        <v>0.5</v>
      </c>
      <c r="M1391" s="228"/>
      <c r="N1391" s="203" t="s">
        <v>895</v>
      </c>
      <c r="O1391" s="207"/>
      <c r="P1391" s="208">
        <v>1</v>
      </c>
      <c r="Q1391" s="434">
        <v>0.2</v>
      </c>
      <c r="R1391" s="208"/>
      <c r="S1391" s="231">
        <f t="shared" si="42"/>
        <v>0</v>
      </c>
      <c r="T1391" s="207">
        <f t="shared" si="43"/>
        <v>0</v>
      </c>
      <c r="U1391" s="207" t="s">
        <v>34</v>
      </c>
      <c r="V1391" s="232"/>
      <c r="W1391" s="649"/>
    </row>
    <row r="1392" spans="1:23" ht="16.05" customHeight="1" x14ac:dyDescent="0.45">
      <c r="A1392" s="1">
        <v>1391</v>
      </c>
      <c r="B1392" s="198" t="s">
        <v>924</v>
      </c>
      <c r="C1392" s="199" t="s">
        <v>24</v>
      </c>
      <c r="D1392" s="358">
        <v>5894</v>
      </c>
      <c r="E1392" s="198" t="s">
        <v>2078</v>
      </c>
      <c r="F1392" s="198" t="s">
        <v>2079</v>
      </c>
      <c r="G1392" s="679">
        <v>3264</v>
      </c>
      <c r="H1392" s="198" t="s">
        <v>1093</v>
      </c>
      <c r="I1392" s="198" t="s">
        <v>881</v>
      </c>
      <c r="J1392" s="199" t="s">
        <v>111</v>
      </c>
      <c r="K1392" s="199" t="s">
        <v>110</v>
      </c>
      <c r="L1392" s="432">
        <v>0.5</v>
      </c>
      <c r="M1392" s="213"/>
      <c r="N1392" s="214" t="s">
        <v>887</v>
      </c>
      <c r="O1392" s="220"/>
      <c r="P1392" s="233">
        <v>1</v>
      </c>
      <c r="Q1392" s="292">
        <v>0.2</v>
      </c>
      <c r="R1392" s="233"/>
      <c r="S1392" s="216">
        <f t="shared" si="42"/>
        <v>0</v>
      </c>
      <c r="T1392" s="217">
        <f t="shared" si="43"/>
        <v>0</v>
      </c>
      <c r="U1392" s="218" t="s">
        <v>34</v>
      </c>
      <c r="V1392" s="219"/>
      <c r="W1392" s="649"/>
    </row>
    <row r="1393" spans="1:23" ht="16.05" customHeight="1" x14ac:dyDescent="0.45">
      <c r="A1393" s="1">
        <v>1392</v>
      </c>
      <c r="B1393" s="198" t="s">
        <v>924</v>
      </c>
      <c r="C1393" s="199" t="s">
        <v>24</v>
      </c>
      <c r="D1393" s="358">
        <v>5894</v>
      </c>
      <c r="E1393" s="198" t="s">
        <v>2078</v>
      </c>
      <c r="F1393" s="198" t="s">
        <v>2079</v>
      </c>
      <c r="G1393" s="679">
        <v>3264</v>
      </c>
      <c r="H1393" s="198" t="s">
        <v>1093</v>
      </c>
      <c r="I1393" s="198" t="s">
        <v>881</v>
      </c>
      <c r="J1393" s="199" t="s">
        <v>111</v>
      </c>
      <c r="K1393" s="199" t="s">
        <v>110</v>
      </c>
      <c r="L1393" s="432">
        <v>0.5</v>
      </c>
      <c r="M1393" s="213"/>
      <c r="N1393" s="214" t="s">
        <v>889</v>
      </c>
      <c r="O1393" s="220"/>
      <c r="P1393" s="234">
        <v>0.4</v>
      </c>
      <c r="Q1393" s="292">
        <v>0.2</v>
      </c>
      <c r="R1393" s="234"/>
      <c r="S1393" s="216">
        <f t="shared" si="42"/>
        <v>0</v>
      </c>
      <c r="T1393" s="217">
        <f t="shared" si="43"/>
        <v>0</v>
      </c>
      <c r="U1393" s="218" t="s">
        <v>83</v>
      </c>
      <c r="V1393" s="219"/>
      <c r="W1393" s="649"/>
    </row>
    <row r="1394" spans="1:23" ht="16.05" customHeight="1" x14ac:dyDescent="0.45">
      <c r="A1394" s="1">
        <v>1393</v>
      </c>
      <c r="B1394" s="198" t="s">
        <v>924</v>
      </c>
      <c r="C1394" s="199" t="s">
        <v>24</v>
      </c>
      <c r="D1394" s="358">
        <v>5894</v>
      </c>
      <c r="E1394" s="198" t="s">
        <v>2078</v>
      </c>
      <c r="F1394" s="198" t="s">
        <v>2079</v>
      </c>
      <c r="G1394" s="679">
        <v>3264</v>
      </c>
      <c r="H1394" s="198" t="s">
        <v>1093</v>
      </c>
      <c r="I1394" s="198" t="s">
        <v>881</v>
      </c>
      <c r="J1394" s="199" t="s">
        <v>111</v>
      </c>
      <c r="K1394" s="199" t="s">
        <v>110</v>
      </c>
      <c r="L1394" s="432">
        <v>0.5</v>
      </c>
      <c r="M1394" s="213"/>
      <c r="N1394" s="214" t="s">
        <v>888</v>
      </c>
      <c r="O1394" s="220"/>
      <c r="P1394" s="221">
        <v>20</v>
      </c>
      <c r="Q1394" s="292">
        <v>0.2</v>
      </c>
      <c r="R1394" s="221"/>
      <c r="S1394" s="216">
        <f t="shared" si="42"/>
        <v>0</v>
      </c>
      <c r="T1394" s="217">
        <f t="shared" si="43"/>
        <v>0</v>
      </c>
      <c r="U1394" s="218" t="s">
        <v>83</v>
      </c>
      <c r="V1394" s="219"/>
      <c r="W1394" s="649"/>
    </row>
    <row r="1395" spans="1:23" ht="16.05" customHeight="1" x14ac:dyDescent="0.45">
      <c r="A1395" s="1">
        <v>1394</v>
      </c>
      <c r="B1395" s="198" t="s">
        <v>924</v>
      </c>
      <c r="C1395" s="199" t="s">
        <v>24</v>
      </c>
      <c r="D1395" s="358">
        <v>5894</v>
      </c>
      <c r="E1395" s="198" t="s">
        <v>2078</v>
      </c>
      <c r="F1395" s="198" t="s">
        <v>2079</v>
      </c>
      <c r="G1395" s="679">
        <v>3264</v>
      </c>
      <c r="H1395" s="198" t="s">
        <v>1093</v>
      </c>
      <c r="I1395" s="198" t="s">
        <v>881</v>
      </c>
      <c r="J1395" s="199" t="s">
        <v>111</v>
      </c>
      <c r="K1395" s="199" t="s">
        <v>110</v>
      </c>
      <c r="L1395" s="432">
        <v>0.5</v>
      </c>
      <c r="M1395" s="213"/>
      <c r="N1395" s="214" t="s">
        <v>896</v>
      </c>
      <c r="O1395" s="220"/>
      <c r="P1395" s="234">
        <v>0.8</v>
      </c>
      <c r="Q1395" s="292">
        <v>0.2</v>
      </c>
      <c r="R1395" s="234"/>
      <c r="S1395" s="216">
        <f t="shared" si="42"/>
        <v>0</v>
      </c>
      <c r="T1395" s="217">
        <f t="shared" si="43"/>
        <v>0</v>
      </c>
      <c r="U1395" s="218" t="s">
        <v>34</v>
      </c>
      <c r="V1395" s="219"/>
      <c r="W1395" s="649"/>
    </row>
    <row r="1396" spans="1:23" ht="16.05" customHeight="1" x14ac:dyDescent="0.45">
      <c r="A1396" s="1">
        <v>1395</v>
      </c>
      <c r="B1396" s="198" t="s">
        <v>924</v>
      </c>
      <c r="C1396" s="199" t="s">
        <v>24</v>
      </c>
      <c r="D1396" s="358">
        <v>5894</v>
      </c>
      <c r="E1396" s="198" t="s">
        <v>2078</v>
      </c>
      <c r="F1396" s="198" t="s">
        <v>2079</v>
      </c>
      <c r="G1396" s="679">
        <v>3264</v>
      </c>
      <c r="H1396" s="198" t="s">
        <v>1093</v>
      </c>
      <c r="I1396" s="198" t="s">
        <v>881</v>
      </c>
      <c r="J1396" s="199" t="s">
        <v>111</v>
      </c>
      <c r="K1396" s="199" t="s">
        <v>110</v>
      </c>
      <c r="L1396" s="432">
        <v>0.5</v>
      </c>
      <c r="M1396" s="213"/>
      <c r="N1396" s="214" t="s">
        <v>897</v>
      </c>
      <c r="O1396" s="220"/>
      <c r="P1396" s="235">
        <v>12</v>
      </c>
      <c r="Q1396" s="292">
        <v>0.2</v>
      </c>
      <c r="R1396" s="235"/>
      <c r="S1396" s="216">
        <f t="shared" si="42"/>
        <v>0</v>
      </c>
      <c r="T1396" s="217">
        <f t="shared" si="43"/>
        <v>0</v>
      </c>
      <c r="U1396" s="218" t="s">
        <v>34</v>
      </c>
      <c r="V1396" s="219"/>
      <c r="W1396" s="649"/>
    </row>
    <row r="1397" spans="1:23" ht="16.05" customHeight="1" x14ac:dyDescent="0.45">
      <c r="A1397" s="1">
        <v>1396</v>
      </c>
      <c r="B1397" s="186" t="s">
        <v>924</v>
      </c>
      <c r="C1397" s="187" t="s">
        <v>24</v>
      </c>
      <c r="D1397" s="707">
        <v>3456</v>
      </c>
      <c r="E1397" s="186" t="s">
        <v>2080</v>
      </c>
      <c r="F1397" s="186" t="s">
        <v>2081</v>
      </c>
      <c r="G1397" s="189">
        <v>3264</v>
      </c>
      <c r="H1397" s="186" t="s">
        <v>1093</v>
      </c>
      <c r="I1397" s="186" t="s">
        <v>881</v>
      </c>
      <c r="J1397" s="193" t="s">
        <v>58</v>
      </c>
      <c r="K1397" s="186" t="s">
        <v>57</v>
      </c>
      <c r="L1397" s="636">
        <v>0.5</v>
      </c>
      <c r="M1397" s="225"/>
      <c r="N1397" s="695" t="s">
        <v>893</v>
      </c>
      <c r="O1397" s="196"/>
      <c r="P1397" s="226">
        <v>1500000000</v>
      </c>
      <c r="Q1397" s="350">
        <v>0.3</v>
      </c>
      <c r="R1397" s="226"/>
      <c r="S1397" s="193">
        <f t="shared" si="42"/>
        <v>0</v>
      </c>
      <c r="T1397" s="193">
        <f t="shared" si="43"/>
        <v>0</v>
      </c>
      <c r="U1397" s="193" t="s">
        <v>34</v>
      </c>
      <c r="V1397" s="678">
        <f>SUM(T1397:T1405)%</f>
        <v>0</v>
      </c>
      <c r="W1397" s="186"/>
    </row>
    <row r="1398" spans="1:23" ht="16.05" customHeight="1" x14ac:dyDescent="0.45">
      <c r="A1398" s="1">
        <v>1397</v>
      </c>
      <c r="B1398" s="198" t="s">
        <v>924</v>
      </c>
      <c r="C1398" s="199" t="s">
        <v>24</v>
      </c>
      <c r="D1398" s="358">
        <v>3456</v>
      </c>
      <c r="E1398" s="198" t="s">
        <v>2080</v>
      </c>
      <c r="F1398" s="198" t="s">
        <v>2081</v>
      </c>
      <c r="G1398" s="679">
        <v>3264</v>
      </c>
      <c r="H1398" s="198" t="s">
        <v>1093</v>
      </c>
      <c r="I1398" s="198" t="s">
        <v>881</v>
      </c>
      <c r="J1398" s="204" t="s">
        <v>58</v>
      </c>
      <c r="K1398" s="692" t="s">
        <v>57</v>
      </c>
      <c r="L1398" s="434">
        <v>0.5</v>
      </c>
      <c r="M1398" s="228"/>
      <c r="N1398" s="229" t="s">
        <v>894</v>
      </c>
      <c r="O1398" s="207"/>
      <c r="P1398" s="230">
        <v>200</v>
      </c>
      <c r="Q1398" s="346">
        <v>0.3</v>
      </c>
      <c r="R1398" s="230"/>
      <c r="S1398" s="231">
        <f t="shared" si="42"/>
        <v>0</v>
      </c>
      <c r="T1398" s="231">
        <f t="shared" si="43"/>
        <v>0</v>
      </c>
      <c r="U1398" s="231" t="s">
        <v>34</v>
      </c>
      <c r="V1398" s="209"/>
      <c r="W1398" s="649"/>
    </row>
    <row r="1399" spans="1:23" ht="16.05" customHeight="1" x14ac:dyDescent="0.45">
      <c r="A1399" s="1">
        <v>1398</v>
      </c>
      <c r="B1399" s="198" t="s">
        <v>924</v>
      </c>
      <c r="C1399" s="199" t="s">
        <v>24</v>
      </c>
      <c r="D1399" s="358">
        <v>3456</v>
      </c>
      <c r="E1399" s="198" t="s">
        <v>2080</v>
      </c>
      <c r="F1399" s="198" t="s">
        <v>2081</v>
      </c>
      <c r="G1399" s="679">
        <v>3264</v>
      </c>
      <c r="H1399" s="198" t="s">
        <v>1093</v>
      </c>
      <c r="I1399" s="198" t="s">
        <v>881</v>
      </c>
      <c r="J1399" s="204" t="s">
        <v>58</v>
      </c>
      <c r="K1399" s="692" t="s">
        <v>57</v>
      </c>
      <c r="L1399" s="434">
        <v>0.5</v>
      </c>
      <c r="M1399" s="228"/>
      <c r="N1399" s="203" t="s">
        <v>885</v>
      </c>
      <c r="O1399" s="207"/>
      <c r="P1399" s="208">
        <v>1</v>
      </c>
      <c r="Q1399" s="434">
        <v>0.2</v>
      </c>
      <c r="R1399" s="208"/>
      <c r="S1399" s="231">
        <f t="shared" si="42"/>
        <v>0</v>
      </c>
      <c r="T1399" s="231">
        <f t="shared" si="43"/>
        <v>0</v>
      </c>
      <c r="U1399" s="231" t="s">
        <v>34</v>
      </c>
      <c r="V1399" s="209"/>
      <c r="W1399" s="649"/>
    </row>
    <row r="1400" spans="1:23" ht="16.05" customHeight="1" x14ac:dyDescent="0.45">
      <c r="A1400" s="1">
        <v>1399</v>
      </c>
      <c r="B1400" s="198" t="s">
        <v>924</v>
      </c>
      <c r="C1400" s="199" t="s">
        <v>24</v>
      </c>
      <c r="D1400" s="358">
        <v>3456</v>
      </c>
      <c r="E1400" s="198" t="s">
        <v>2080</v>
      </c>
      <c r="F1400" s="198" t="s">
        <v>2081</v>
      </c>
      <c r="G1400" s="679">
        <v>3264</v>
      </c>
      <c r="H1400" s="198" t="s">
        <v>1093</v>
      </c>
      <c r="I1400" s="198" t="s">
        <v>881</v>
      </c>
      <c r="J1400" s="204" t="s">
        <v>58</v>
      </c>
      <c r="K1400" s="692" t="s">
        <v>57</v>
      </c>
      <c r="L1400" s="434">
        <v>0.5</v>
      </c>
      <c r="M1400" s="228"/>
      <c r="N1400" s="203" t="s">
        <v>895</v>
      </c>
      <c r="O1400" s="207"/>
      <c r="P1400" s="208">
        <v>1</v>
      </c>
      <c r="Q1400" s="434">
        <v>0.2</v>
      </c>
      <c r="R1400" s="208"/>
      <c r="S1400" s="231">
        <f t="shared" si="42"/>
        <v>0</v>
      </c>
      <c r="T1400" s="207">
        <f t="shared" si="43"/>
        <v>0</v>
      </c>
      <c r="U1400" s="207" t="s">
        <v>34</v>
      </c>
      <c r="V1400" s="232"/>
      <c r="W1400" s="649"/>
    </row>
    <row r="1401" spans="1:23" ht="16.05" customHeight="1" x14ac:dyDescent="0.45">
      <c r="A1401" s="1">
        <v>1400</v>
      </c>
      <c r="B1401" s="198" t="s">
        <v>924</v>
      </c>
      <c r="C1401" s="199" t="s">
        <v>24</v>
      </c>
      <c r="D1401" s="358">
        <v>3456</v>
      </c>
      <c r="E1401" s="198" t="s">
        <v>2080</v>
      </c>
      <c r="F1401" s="198" t="s">
        <v>2081</v>
      </c>
      <c r="G1401" s="679">
        <v>3264</v>
      </c>
      <c r="H1401" s="198" t="s">
        <v>1093</v>
      </c>
      <c r="I1401" s="198" t="s">
        <v>881</v>
      </c>
      <c r="J1401" s="199" t="s">
        <v>111</v>
      </c>
      <c r="K1401" s="199" t="s">
        <v>110</v>
      </c>
      <c r="L1401" s="432">
        <v>0.5</v>
      </c>
      <c r="M1401" s="213"/>
      <c r="N1401" s="214" t="s">
        <v>887</v>
      </c>
      <c r="O1401" s="220"/>
      <c r="P1401" s="233">
        <v>1</v>
      </c>
      <c r="Q1401" s="292">
        <v>0.2</v>
      </c>
      <c r="R1401" s="233"/>
      <c r="S1401" s="216">
        <f t="shared" si="42"/>
        <v>0</v>
      </c>
      <c r="T1401" s="217">
        <f t="shared" si="43"/>
        <v>0</v>
      </c>
      <c r="U1401" s="218" t="s">
        <v>34</v>
      </c>
      <c r="V1401" s="219"/>
      <c r="W1401" s="649"/>
    </row>
    <row r="1402" spans="1:23" ht="16.05" customHeight="1" x14ac:dyDescent="0.45">
      <c r="A1402" s="1">
        <v>1401</v>
      </c>
      <c r="B1402" s="198" t="s">
        <v>924</v>
      </c>
      <c r="C1402" s="199" t="s">
        <v>24</v>
      </c>
      <c r="D1402" s="358">
        <v>3456</v>
      </c>
      <c r="E1402" s="198" t="s">
        <v>2080</v>
      </c>
      <c r="F1402" s="198" t="s">
        <v>2081</v>
      </c>
      <c r="G1402" s="679">
        <v>3264</v>
      </c>
      <c r="H1402" s="198" t="s">
        <v>1093</v>
      </c>
      <c r="I1402" s="198" t="s">
        <v>881</v>
      </c>
      <c r="J1402" s="199" t="s">
        <v>111</v>
      </c>
      <c r="K1402" s="199" t="s">
        <v>110</v>
      </c>
      <c r="L1402" s="432">
        <v>0.5</v>
      </c>
      <c r="M1402" s="213"/>
      <c r="N1402" s="214" t="s">
        <v>889</v>
      </c>
      <c r="O1402" s="220"/>
      <c r="P1402" s="234">
        <v>0.4</v>
      </c>
      <c r="Q1402" s="292">
        <v>0.2</v>
      </c>
      <c r="R1402" s="234"/>
      <c r="S1402" s="216">
        <f t="shared" si="42"/>
        <v>0</v>
      </c>
      <c r="T1402" s="217">
        <f t="shared" si="43"/>
        <v>0</v>
      </c>
      <c r="U1402" s="218" t="s">
        <v>83</v>
      </c>
      <c r="V1402" s="219"/>
      <c r="W1402" s="649"/>
    </row>
    <row r="1403" spans="1:23" ht="16.05" customHeight="1" x14ac:dyDescent="0.45">
      <c r="A1403" s="1">
        <v>1402</v>
      </c>
      <c r="B1403" s="198" t="s">
        <v>924</v>
      </c>
      <c r="C1403" s="199" t="s">
        <v>24</v>
      </c>
      <c r="D1403" s="358">
        <v>3456</v>
      </c>
      <c r="E1403" s="198" t="s">
        <v>2080</v>
      </c>
      <c r="F1403" s="198" t="s">
        <v>2081</v>
      </c>
      <c r="G1403" s="679">
        <v>3264</v>
      </c>
      <c r="H1403" s="198" t="s">
        <v>1093</v>
      </c>
      <c r="I1403" s="198" t="s">
        <v>881</v>
      </c>
      <c r="J1403" s="199" t="s">
        <v>111</v>
      </c>
      <c r="K1403" s="199" t="s">
        <v>110</v>
      </c>
      <c r="L1403" s="432">
        <v>0.5</v>
      </c>
      <c r="M1403" s="213"/>
      <c r="N1403" s="214" t="s">
        <v>888</v>
      </c>
      <c r="O1403" s="220"/>
      <c r="P1403" s="221">
        <v>20</v>
      </c>
      <c r="Q1403" s="292">
        <v>0.2</v>
      </c>
      <c r="R1403" s="221"/>
      <c r="S1403" s="216">
        <f t="shared" si="42"/>
        <v>0</v>
      </c>
      <c r="T1403" s="217">
        <f t="shared" si="43"/>
        <v>0</v>
      </c>
      <c r="U1403" s="218" t="s">
        <v>83</v>
      </c>
      <c r="V1403" s="219"/>
      <c r="W1403" s="649"/>
    </row>
    <row r="1404" spans="1:23" ht="16.05" customHeight="1" x14ac:dyDescent="0.45">
      <c r="A1404" s="1">
        <v>1403</v>
      </c>
      <c r="B1404" s="198" t="s">
        <v>924</v>
      </c>
      <c r="C1404" s="199" t="s">
        <v>24</v>
      </c>
      <c r="D1404" s="358">
        <v>3456</v>
      </c>
      <c r="E1404" s="198" t="s">
        <v>2080</v>
      </c>
      <c r="F1404" s="198" t="s">
        <v>2081</v>
      </c>
      <c r="G1404" s="679">
        <v>3264</v>
      </c>
      <c r="H1404" s="198" t="s">
        <v>1093</v>
      </c>
      <c r="I1404" s="198" t="s">
        <v>881</v>
      </c>
      <c r="J1404" s="199" t="s">
        <v>111</v>
      </c>
      <c r="K1404" s="199" t="s">
        <v>110</v>
      </c>
      <c r="L1404" s="432">
        <v>0.5</v>
      </c>
      <c r="M1404" s="213"/>
      <c r="N1404" s="214" t="s">
        <v>896</v>
      </c>
      <c r="O1404" s="220"/>
      <c r="P1404" s="234">
        <v>0.8</v>
      </c>
      <c r="Q1404" s="292">
        <v>0.2</v>
      </c>
      <c r="R1404" s="234"/>
      <c r="S1404" s="216">
        <f t="shared" si="42"/>
        <v>0</v>
      </c>
      <c r="T1404" s="217">
        <f t="shared" si="43"/>
        <v>0</v>
      </c>
      <c r="U1404" s="218" t="s">
        <v>34</v>
      </c>
      <c r="V1404" s="219"/>
      <c r="W1404" s="649"/>
    </row>
    <row r="1405" spans="1:23" ht="16.05" customHeight="1" x14ac:dyDescent="0.45">
      <c r="A1405" s="1">
        <v>1404</v>
      </c>
      <c r="B1405" s="198" t="s">
        <v>924</v>
      </c>
      <c r="C1405" s="199" t="s">
        <v>24</v>
      </c>
      <c r="D1405" s="358">
        <v>3456</v>
      </c>
      <c r="E1405" s="198" t="s">
        <v>2080</v>
      </c>
      <c r="F1405" s="198" t="s">
        <v>2081</v>
      </c>
      <c r="G1405" s="679">
        <v>3264</v>
      </c>
      <c r="H1405" s="198" t="s">
        <v>1093</v>
      </c>
      <c r="I1405" s="198" t="s">
        <v>881</v>
      </c>
      <c r="J1405" s="199" t="s">
        <v>111</v>
      </c>
      <c r="K1405" s="199" t="s">
        <v>110</v>
      </c>
      <c r="L1405" s="432">
        <v>0.5</v>
      </c>
      <c r="M1405" s="213"/>
      <c r="N1405" s="214" t="s">
        <v>897</v>
      </c>
      <c r="O1405" s="220"/>
      <c r="P1405" s="235">
        <v>12</v>
      </c>
      <c r="Q1405" s="292">
        <v>0.2</v>
      </c>
      <c r="R1405" s="235"/>
      <c r="S1405" s="216">
        <f t="shared" si="42"/>
        <v>0</v>
      </c>
      <c r="T1405" s="217">
        <f t="shared" si="43"/>
        <v>0</v>
      </c>
      <c r="U1405" s="218" t="s">
        <v>34</v>
      </c>
      <c r="V1405" s="219"/>
      <c r="W1405" s="649"/>
    </row>
    <row r="1406" spans="1:23" ht="16.05" customHeight="1" x14ac:dyDescent="0.45">
      <c r="A1406" s="1">
        <v>1405</v>
      </c>
      <c r="B1406" s="236" t="s">
        <v>924</v>
      </c>
      <c r="C1406" s="236" t="s">
        <v>24</v>
      </c>
      <c r="D1406" s="349">
        <v>5197</v>
      </c>
      <c r="E1406" s="691" t="s">
        <v>2082</v>
      </c>
      <c r="F1406" s="691" t="s">
        <v>2083</v>
      </c>
      <c r="G1406" s="238">
        <v>3264</v>
      </c>
      <c r="H1406" s="691" t="s">
        <v>1093</v>
      </c>
      <c r="I1406" s="691" t="s">
        <v>881</v>
      </c>
      <c r="J1406" s="691" t="s">
        <v>58</v>
      </c>
      <c r="K1406" s="236" t="s">
        <v>57</v>
      </c>
      <c r="L1406" s="350">
        <v>0.5</v>
      </c>
      <c r="M1406" s="711"/>
      <c r="N1406" s="193" t="s">
        <v>2084</v>
      </c>
      <c r="O1406" s="705"/>
      <c r="P1406" s="712">
        <v>100000000000</v>
      </c>
      <c r="Q1406" s="350">
        <v>0.3</v>
      </c>
      <c r="R1406" s="712"/>
      <c r="S1406" s="713">
        <f t="shared" si="42"/>
        <v>0</v>
      </c>
      <c r="T1406" s="714">
        <f t="shared" si="43"/>
        <v>0</v>
      </c>
      <c r="U1406" s="715" t="s">
        <v>34</v>
      </c>
      <c r="V1406" s="716">
        <f>SUM(T1406:T1413)%</f>
        <v>0</v>
      </c>
      <c r="W1406" s="238"/>
    </row>
    <row r="1407" spans="1:23" ht="16.05" customHeight="1" x14ac:dyDescent="0.45">
      <c r="A1407" s="1">
        <v>1406</v>
      </c>
      <c r="B1407" s="245" t="s">
        <v>924</v>
      </c>
      <c r="C1407" s="245" t="s">
        <v>24</v>
      </c>
      <c r="D1407" s="413">
        <v>5197</v>
      </c>
      <c r="E1407" s="717" t="s">
        <v>2082</v>
      </c>
      <c r="F1407" s="717" t="s">
        <v>2083</v>
      </c>
      <c r="G1407" s="248">
        <v>3264</v>
      </c>
      <c r="H1407" s="717" t="s">
        <v>1093</v>
      </c>
      <c r="I1407" s="717" t="s">
        <v>881</v>
      </c>
      <c r="J1407" s="718" t="s">
        <v>58</v>
      </c>
      <c r="K1407" s="719" t="s">
        <v>57</v>
      </c>
      <c r="L1407" s="360">
        <v>0.5</v>
      </c>
      <c r="M1407" s="720"/>
      <c r="N1407" s="211" t="s">
        <v>2085</v>
      </c>
      <c r="O1407" s="721"/>
      <c r="P1407" s="722">
        <v>12</v>
      </c>
      <c r="Q1407" s="360">
        <v>0.1</v>
      </c>
      <c r="R1407" s="722"/>
      <c r="S1407" s="723">
        <f t="shared" si="42"/>
        <v>0</v>
      </c>
      <c r="T1407" s="724">
        <f t="shared" si="43"/>
        <v>0</v>
      </c>
      <c r="U1407" s="725" t="s">
        <v>34</v>
      </c>
      <c r="V1407" s="725"/>
      <c r="W1407" s="248"/>
    </row>
    <row r="1408" spans="1:23" ht="16.05" customHeight="1" x14ac:dyDescent="0.45">
      <c r="A1408" s="1">
        <v>1407</v>
      </c>
      <c r="B1408" s="245" t="s">
        <v>924</v>
      </c>
      <c r="C1408" s="245" t="s">
        <v>24</v>
      </c>
      <c r="D1408" s="413">
        <v>5197</v>
      </c>
      <c r="E1408" s="717" t="s">
        <v>2082</v>
      </c>
      <c r="F1408" s="717" t="s">
        <v>2083</v>
      </c>
      <c r="G1408" s="248">
        <v>3264</v>
      </c>
      <c r="H1408" s="717" t="s">
        <v>1093</v>
      </c>
      <c r="I1408" s="717" t="s">
        <v>881</v>
      </c>
      <c r="J1408" s="718" t="s">
        <v>58</v>
      </c>
      <c r="K1408" s="719" t="s">
        <v>57</v>
      </c>
      <c r="L1408" s="360">
        <v>0.5</v>
      </c>
      <c r="M1408" s="720"/>
      <c r="N1408" s="211" t="s">
        <v>2086</v>
      </c>
      <c r="O1408" s="721"/>
      <c r="P1408" s="722">
        <v>3</v>
      </c>
      <c r="Q1408" s="360">
        <v>0.1</v>
      </c>
      <c r="R1408" s="722"/>
      <c r="S1408" s="723">
        <f t="shared" si="42"/>
        <v>0</v>
      </c>
      <c r="T1408" s="724">
        <f t="shared" si="43"/>
        <v>0</v>
      </c>
      <c r="U1408" s="725" t="s">
        <v>34</v>
      </c>
      <c r="V1408" s="725"/>
      <c r="W1408" s="248"/>
    </row>
    <row r="1409" spans="1:23" ht="16.05" customHeight="1" x14ac:dyDescent="0.45">
      <c r="A1409" s="1">
        <v>1408</v>
      </c>
      <c r="B1409" s="245" t="s">
        <v>924</v>
      </c>
      <c r="C1409" s="245" t="s">
        <v>24</v>
      </c>
      <c r="D1409" s="413">
        <v>5197</v>
      </c>
      <c r="E1409" s="717" t="s">
        <v>2082</v>
      </c>
      <c r="F1409" s="717" t="s">
        <v>2083</v>
      </c>
      <c r="G1409" s="248">
        <v>3264</v>
      </c>
      <c r="H1409" s="717" t="s">
        <v>1093</v>
      </c>
      <c r="I1409" s="717" t="s">
        <v>881</v>
      </c>
      <c r="J1409" s="718" t="s">
        <v>58</v>
      </c>
      <c r="K1409" s="719" t="s">
        <v>57</v>
      </c>
      <c r="L1409" s="360">
        <v>0.5</v>
      </c>
      <c r="M1409" s="726"/>
      <c r="N1409" s="211" t="s">
        <v>2087</v>
      </c>
      <c r="O1409" s="727"/>
      <c r="P1409" s="728">
        <v>3</v>
      </c>
      <c r="Q1409" s="360">
        <v>0.1</v>
      </c>
      <c r="R1409" s="728"/>
      <c r="S1409" s="723">
        <f t="shared" si="42"/>
        <v>0</v>
      </c>
      <c r="T1409" s="724">
        <f t="shared" si="43"/>
        <v>0</v>
      </c>
      <c r="U1409" s="725" t="s">
        <v>34</v>
      </c>
      <c r="V1409" s="725"/>
      <c r="W1409" s="248"/>
    </row>
    <row r="1410" spans="1:23" ht="16.05" customHeight="1" x14ac:dyDescent="0.45">
      <c r="A1410" s="1">
        <v>1409</v>
      </c>
      <c r="B1410" s="245" t="s">
        <v>924</v>
      </c>
      <c r="C1410" s="245" t="s">
        <v>24</v>
      </c>
      <c r="D1410" s="413">
        <v>5197</v>
      </c>
      <c r="E1410" s="717" t="s">
        <v>2082</v>
      </c>
      <c r="F1410" s="717" t="s">
        <v>2083</v>
      </c>
      <c r="G1410" s="248">
        <v>3264</v>
      </c>
      <c r="H1410" s="717" t="s">
        <v>1093</v>
      </c>
      <c r="I1410" s="717" t="s">
        <v>881</v>
      </c>
      <c r="J1410" s="718" t="s">
        <v>58</v>
      </c>
      <c r="K1410" s="719" t="s">
        <v>57</v>
      </c>
      <c r="L1410" s="360">
        <v>0.5</v>
      </c>
      <c r="M1410" s="720"/>
      <c r="N1410" s="249" t="s">
        <v>2088</v>
      </c>
      <c r="O1410" s="727"/>
      <c r="P1410" s="728">
        <v>80</v>
      </c>
      <c r="Q1410" s="360">
        <v>0.4</v>
      </c>
      <c r="R1410" s="728"/>
      <c r="S1410" s="723">
        <f t="shared" ref="S1410:S1473" si="44">ROUND(IF(OR(P1410="",R1410=""),0,IF(AND(P1410=0,R1410=0),1,IF(U1410="+",R1410/P1410,P1410/R1410))),2)</f>
        <v>0</v>
      </c>
      <c r="T1410" s="724">
        <f t="shared" ref="T1410:T1473" si="45">IF(AND(S1410&gt;=60%,S1410&lt;100%),S1410*((Q1410*L1410)),IF(S1410=100%,((Q1410*L1410)*S1410)*100%,IF(S1410&gt;100%,((L1410*Q1410)*100%)*100%,0)))*100</f>
        <v>0</v>
      </c>
      <c r="U1410" s="725" t="s">
        <v>34</v>
      </c>
      <c r="V1410" s="725"/>
      <c r="W1410" s="248"/>
    </row>
    <row r="1411" spans="1:23" ht="16.05" customHeight="1" x14ac:dyDescent="0.45">
      <c r="A1411" s="1">
        <v>1410</v>
      </c>
      <c r="B1411" s="245" t="s">
        <v>924</v>
      </c>
      <c r="C1411" s="245" t="s">
        <v>24</v>
      </c>
      <c r="D1411" s="413">
        <v>5197</v>
      </c>
      <c r="E1411" s="717" t="s">
        <v>2082</v>
      </c>
      <c r="F1411" s="717" t="s">
        <v>2083</v>
      </c>
      <c r="G1411" s="248">
        <v>3264</v>
      </c>
      <c r="H1411" s="717" t="s">
        <v>1093</v>
      </c>
      <c r="I1411" s="717" t="s">
        <v>881</v>
      </c>
      <c r="J1411" s="717" t="s">
        <v>111</v>
      </c>
      <c r="K1411" s="245" t="s">
        <v>110</v>
      </c>
      <c r="L1411" s="418">
        <v>0.5</v>
      </c>
      <c r="M1411" s="729"/>
      <c r="N1411" s="685" t="s">
        <v>2089</v>
      </c>
      <c r="O1411" s="730"/>
      <c r="P1411" s="731">
        <v>1</v>
      </c>
      <c r="Q1411" s="418">
        <v>0.2</v>
      </c>
      <c r="R1411" s="731"/>
      <c r="S1411" s="731">
        <f t="shared" si="44"/>
        <v>0</v>
      </c>
      <c r="T1411" s="732">
        <f t="shared" si="45"/>
        <v>0</v>
      </c>
      <c r="U1411" s="733" t="s">
        <v>34</v>
      </c>
      <c r="V1411" s="733"/>
      <c r="W1411" s="248"/>
    </row>
    <row r="1412" spans="1:23" ht="16.05" customHeight="1" x14ac:dyDescent="0.45">
      <c r="A1412" s="1">
        <v>1411</v>
      </c>
      <c r="B1412" s="245" t="s">
        <v>924</v>
      </c>
      <c r="C1412" s="245" t="s">
        <v>24</v>
      </c>
      <c r="D1412" s="413">
        <v>5197</v>
      </c>
      <c r="E1412" s="717" t="s">
        <v>2082</v>
      </c>
      <c r="F1412" s="717" t="s">
        <v>2083</v>
      </c>
      <c r="G1412" s="248">
        <v>3264</v>
      </c>
      <c r="H1412" s="717" t="s">
        <v>1093</v>
      </c>
      <c r="I1412" s="717" t="s">
        <v>881</v>
      </c>
      <c r="J1412" s="717" t="s">
        <v>111</v>
      </c>
      <c r="K1412" s="245" t="s">
        <v>110</v>
      </c>
      <c r="L1412" s="418">
        <v>0.5</v>
      </c>
      <c r="M1412" s="729"/>
      <c r="N1412" s="685" t="s">
        <v>2090</v>
      </c>
      <c r="O1412" s="730"/>
      <c r="P1412" s="734">
        <v>2</v>
      </c>
      <c r="Q1412" s="418">
        <v>0.4</v>
      </c>
      <c r="R1412" s="734"/>
      <c r="S1412" s="731">
        <f t="shared" si="44"/>
        <v>0</v>
      </c>
      <c r="T1412" s="732">
        <f t="shared" si="45"/>
        <v>0</v>
      </c>
      <c r="U1412" s="733" t="s">
        <v>34</v>
      </c>
      <c r="V1412" s="733"/>
      <c r="W1412" s="248"/>
    </row>
    <row r="1413" spans="1:23" ht="16.05" customHeight="1" x14ac:dyDescent="0.45">
      <c r="A1413" s="1">
        <v>1412</v>
      </c>
      <c r="B1413" s="245" t="s">
        <v>924</v>
      </c>
      <c r="C1413" s="245" t="s">
        <v>24</v>
      </c>
      <c r="D1413" s="413">
        <v>5197</v>
      </c>
      <c r="E1413" s="717" t="s">
        <v>2082</v>
      </c>
      <c r="F1413" s="717" t="s">
        <v>2083</v>
      </c>
      <c r="G1413" s="248">
        <v>3264</v>
      </c>
      <c r="H1413" s="717" t="s">
        <v>1093</v>
      </c>
      <c r="I1413" s="717" t="s">
        <v>881</v>
      </c>
      <c r="J1413" s="717" t="s">
        <v>111</v>
      </c>
      <c r="K1413" s="245" t="s">
        <v>110</v>
      </c>
      <c r="L1413" s="418">
        <v>0.5</v>
      </c>
      <c r="M1413" s="729"/>
      <c r="N1413" s="685" t="s">
        <v>2091</v>
      </c>
      <c r="O1413" s="730"/>
      <c r="P1413" s="734">
        <v>12</v>
      </c>
      <c r="Q1413" s="418">
        <v>0.4</v>
      </c>
      <c r="R1413" s="734"/>
      <c r="S1413" s="731">
        <f t="shared" si="44"/>
        <v>0</v>
      </c>
      <c r="T1413" s="732">
        <f t="shared" si="45"/>
        <v>0</v>
      </c>
      <c r="U1413" s="733" t="s">
        <v>34</v>
      </c>
      <c r="V1413" s="733"/>
      <c r="W1413" s="248"/>
    </row>
    <row r="1414" spans="1:23" ht="16.05" customHeight="1" x14ac:dyDescent="0.45">
      <c r="A1414" s="1">
        <v>1413</v>
      </c>
      <c r="B1414" s="187" t="s">
        <v>924</v>
      </c>
      <c r="C1414" s="236" t="s">
        <v>24</v>
      </c>
      <c r="D1414" s="349">
        <v>6460</v>
      </c>
      <c r="E1414" s="691" t="s">
        <v>2092</v>
      </c>
      <c r="F1414" s="691" t="s">
        <v>2093</v>
      </c>
      <c r="G1414" s="238">
        <v>5197</v>
      </c>
      <c r="H1414" s="691" t="s">
        <v>2094</v>
      </c>
      <c r="I1414" s="691" t="s">
        <v>881</v>
      </c>
      <c r="J1414" s="691" t="s">
        <v>58</v>
      </c>
      <c r="K1414" s="236" t="s">
        <v>57</v>
      </c>
      <c r="L1414" s="350">
        <v>0.5</v>
      </c>
      <c r="M1414" s="735"/>
      <c r="N1414" s="193" t="s">
        <v>2084</v>
      </c>
      <c r="O1414" s="705"/>
      <c r="P1414" s="736">
        <v>20000000000</v>
      </c>
      <c r="Q1414" s="350">
        <v>0.3</v>
      </c>
      <c r="R1414" s="736"/>
      <c r="S1414" s="713">
        <f t="shared" si="44"/>
        <v>0</v>
      </c>
      <c r="T1414" s="714">
        <f t="shared" si="45"/>
        <v>0</v>
      </c>
      <c r="U1414" s="715" t="s">
        <v>34</v>
      </c>
      <c r="V1414" s="737">
        <f>SUM(T1414:T1421)%</f>
        <v>0</v>
      </c>
      <c r="W1414" s="238"/>
    </row>
    <row r="1415" spans="1:23" ht="16.05" customHeight="1" x14ac:dyDescent="0.45">
      <c r="A1415" s="1">
        <v>1414</v>
      </c>
      <c r="B1415" s="246" t="s">
        <v>924</v>
      </c>
      <c r="C1415" s="245" t="s">
        <v>24</v>
      </c>
      <c r="D1415" s="413">
        <v>6460</v>
      </c>
      <c r="E1415" s="717" t="s">
        <v>2092</v>
      </c>
      <c r="F1415" s="717" t="s">
        <v>2093</v>
      </c>
      <c r="G1415" s="248">
        <v>5197</v>
      </c>
      <c r="H1415" s="717" t="s">
        <v>2094</v>
      </c>
      <c r="I1415" s="717" t="s">
        <v>881</v>
      </c>
      <c r="J1415" s="718" t="s">
        <v>58</v>
      </c>
      <c r="K1415" s="719" t="s">
        <v>57</v>
      </c>
      <c r="L1415" s="360">
        <v>0.5</v>
      </c>
      <c r="M1415" s="726"/>
      <c r="N1415" s="211" t="s">
        <v>2095</v>
      </c>
      <c r="O1415" s="721"/>
      <c r="P1415" s="728">
        <v>700</v>
      </c>
      <c r="Q1415" s="360">
        <v>0.2</v>
      </c>
      <c r="R1415" s="728"/>
      <c r="S1415" s="723">
        <f t="shared" si="44"/>
        <v>0</v>
      </c>
      <c r="T1415" s="724">
        <f t="shared" si="45"/>
        <v>0</v>
      </c>
      <c r="U1415" s="725" t="s">
        <v>34</v>
      </c>
      <c r="V1415" s="725"/>
      <c r="W1415" s="248"/>
    </row>
    <row r="1416" spans="1:23" ht="16.05" customHeight="1" x14ac:dyDescent="0.45">
      <c r="A1416" s="1">
        <v>1415</v>
      </c>
      <c r="B1416" s="246" t="s">
        <v>924</v>
      </c>
      <c r="C1416" s="245" t="s">
        <v>24</v>
      </c>
      <c r="D1416" s="413">
        <v>6460</v>
      </c>
      <c r="E1416" s="717" t="s">
        <v>2092</v>
      </c>
      <c r="F1416" s="717" t="s">
        <v>2093</v>
      </c>
      <c r="G1416" s="248">
        <v>5197</v>
      </c>
      <c r="H1416" s="717" t="s">
        <v>2094</v>
      </c>
      <c r="I1416" s="717" t="s">
        <v>881</v>
      </c>
      <c r="J1416" s="718" t="s">
        <v>58</v>
      </c>
      <c r="K1416" s="719" t="s">
        <v>57</v>
      </c>
      <c r="L1416" s="360">
        <v>0.5</v>
      </c>
      <c r="M1416" s="726"/>
      <c r="N1416" s="211" t="s">
        <v>2096</v>
      </c>
      <c r="O1416" s="721"/>
      <c r="P1416" s="728">
        <v>16</v>
      </c>
      <c r="Q1416" s="360">
        <v>0.3</v>
      </c>
      <c r="R1416" s="728"/>
      <c r="S1416" s="723">
        <f t="shared" si="44"/>
        <v>0</v>
      </c>
      <c r="T1416" s="724">
        <f t="shared" si="45"/>
        <v>0</v>
      </c>
      <c r="U1416" s="725" t="s">
        <v>34</v>
      </c>
      <c r="V1416" s="725"/>
      <c r="W1416" s="248"/>
    </row>
    <row r="1417" spans="1:23" ht="16.05" customHeight="1" x14ac:dyDescent="0.45">
      <c r="A1417" s="1">
        <v>1416</v>
      </c>
      <c r="B1417" s="246" t="s">
        <v>924</v>
      </c>
      <c r="C1417" s="245" t="s">
        <v>24</v>
      </c>
      <c r="D1417" s="413">
        <v>6460</v>
      </c>
      <c r="E1417" s="717" t="s">
        <v>2092</v>
      </c>
      <c r="F1417" s="717" t="s">
        <v>2093</v>
      </c>
      <c r="G1417" s="248">
        <v>5197</v>
      </c>
      <c r="H1417" s="717" t="s">
        <v>2094</v>
      </c>
      <c r="I1417" s="717" t="s">
        <v>881</v>
      </c>
      <c r="J1417" s="718" t="s">
        <v>58</v>
      </c>
      <c r="K1417" s="719" t="s">
        <v>57</v>
      </c>
      <c r="L1417" s="360">
        <v>0.5</v>
      </c>
      <c r="M1417" s="726"/>
      <c r="N1417" s="211" t="s">
        <v>2097</v>
      </c>
      <c r="O1417" s="721"/>
      <c r="P1417" s="728">
        <v>3</v>
      </c>
      <c r="Q1417" s="360">
        <v>0.2</v>
      </c>
      <c r="R1417" s="728"/>
      <c r="S1417" s="723">
        <f t="shared" si="44"/>
        <v>0</v>
      </c>
      <c r="T1417" s="724">
        <f t="shared" si="45"/>
        <v>0</v>
      </c>
      <c r="U1417" s="725" t="s">
        <v>34</v>
      </c>
      <c r="V1417" s="725"/>
      <c r="W1417" s="248"/>
    </row>
    <row r="1418" spans="1:23" ht="16.05" customHeight="1" x14ac:dyDescent="0.45">
      <c r="A1418" s="1">
        <v>1417</v>
      </c>
      <c r="B1418" s="246" t="s">
        <v>924</v>
      </c>
      <c r="C1418" s="245" t="s">
        <v>24</v>
      </c>
      <c r="D1418" s="413">
        <v>6460</v>
      </c>
      <c r="E1418" s="717" t="s">
        <v>2092</v>
      </c>
      <c r="F1418" s="717" t="s">
        <v>2093</v>
      </c>
      <c r="G1418" s="248">
        <v>5197</v>
      </c>
      <c r="H1418" s="717" t="s">
        <v>2094</v>
      </c>
      <c r="I1418" s="717" t="s">
        <v>881</v>
      </c>
      <c r="J1418" s="717" t="s">
        <v>111</v>
      </c>
      <c r="K1418" s="245" t="s">
        <v>110</v>
      </c>
      <c r="L1418" s="418">
        <v>0.5</v>
      </c>
      <c r="M1418" s="729"/>
      <c r="N1418" s="685" t="s">
        <v>2098</v>
      </c>
      <c r="O1418" s="738"/>
      <c r="P1418" s="734">
        <v>6</v>
      </c>
      <c r="Q1418" s="418">
        <v>0.4</v>
      </c>
      <c r="R1418" s="734"/>
      <c r="S1418" s="731">
        <f t="shared" si="44"/>
        <v>0</v>
      </c>
      <c r="T1418" s="732">
        <f t="shared" si="45"/>
        <v>0</v>
      </c>
      <c r="U1418" s="733" t="s">
        <v>34</v>
      </c>
      <c r="V1418" s="733"/>
      <c r="W1418" s="248"/>
    </row>
    <row r="1419" spans="1:23" ht="16.05" customHeight="1" x14ac:dyDescent="0.45">
      <c r="A1419" s="1">
        <v>1418</v>
      </c>
      <c r="B1419" s="246" t="s">
        <v>924</v>
      </c>
      <c r="C1419" s="245" t="s">
        <v>24</v>
      </c>
      <c r="D1419" s="413">
        <v>6460</v>
      </c>
      <c r="E1419" s="717" t="s">
        <v>2092</v>
      </c>
      <c r="F1419" s="717" t="s">
        <v>2093</v>
      </c>
      <c r="G1419" s="248">
        <v>5197</v>
      </c>
      <c r="H1419" s="717" t="s">
        <v>2094</v>
      </c>
      <c r="I1419" s="717" t="s">
        <v>881</v>
      </c>
      <c r="J1419" s="717" t="s">
        <v>111</v>
      </c>
      <c r="K1419" s="245" t="s">
        <v>110</v>
      </c>
      <c r="L1419" s="418">
        <v>0.5</v>
      </c>
      <c r="M1419" s="729"/>
      <c r="N1419" s="685" t="s">
        <v>2099</v>
      </c>
      <c r="O1419" s="738"/>
      <c r="P1419" s="734">
        <v>2</v>
      </c>
      <c r="Q1419" s="418">
        <v>0.2</v>
      </c>
      <c r="R1419" s="734"/>
      <c r="S1419" s="731">
        <f t="shared" si="44"/>
        <v>0</v>
      </c>
      <c r="T1419" s="732">
        <f t="shared" si="45"/>
        <v>0</v>
      </c>
      <c r="U1419" s="733" t="s">
        <v>34</v>
      </c>
      <c r="V1419" s="733"/>
      <c r="W1419" s="248"/>
    </row>
    <row r="1420" spans="1:23" ht="16.05" customHeight="1" x14ac:dyDescent="0.45">
      <c r="A1420" s="1">
        <v>1419</v>
      </c>
      <c r="B1420" s="246" t="s">
        <v>924</v>
      </c>
      <c r="C1420" s="245" t="s">
        <v>24</v>
      </c>
      <c r="D1420" s="413">
        <v>6460</v>
      </c>
      <c r="E1420" s="717" t="s">
        <v>2092</v>
      </c>
      <c r="F1420" s="717" t="s">
        <v>2093</v>
      </c>
      <c r="G1420" s="248">
        <v>5197</v>
      </c>
      <c r="H1420" s="717" t="s">
        <v>2094</v>
      </c>
      <c r="I1420" s="717" t="s">
        <v>881</v>
      </c>
      <c r="J1420" s="717" t="s">
        <v>111</v>
      </c>
      <c r="K1420" s="245" t="s">
        <v>110</v>
      </c>
      <c r="L1420" s="418">
        <v>0.5</v>
      </c>
      <c r="M1420" s="729"/>
      <c r="N1420" s="685" t="s">
        <v>2100</v>
      </c>
      <c r="O1420" s="738"/>
      <c r="P1420" s="734">
        <v>1</v>
      </c>
      <c r="Q1420" s="418">
        <v>0.2</v>
      </c>
      <c r="R1420" s="734"/>
      <c r="S1420" s="731">
        <f t="shared" si="44"/>
        <v>0</v>
      </c>
      <c r="T1420" s="732">
        <f t="shared" si="45"/>
        <v>0</v>
      </c>
      <c r="U1420" s="733" t="s">
        <v>34</v>
      </c>
      <c r="V1420" s="733"/>
      <c r="W1420" s="248"/>
    </row>
    <row r="1421" spans="1:23" ht="16.05" customHeight="1" x14ac:dyDescent="0.45">
      <c r="A1421" s="1">
        <v>1420</v>
      </c>
      <c r="B1421" s="246" t="s">
        <v>924</v>
      </c>
      <c r="C1421" s="245" t="s">
        <v>24</v>
      </c>
      <c r="D1421" s="413">
        <v>6460</v>
      </c>
      <c r="E1421" s="717" t="s">
        <v>2092</v>
      </c>
      <c r="F1421" s="717" t="s">
        <v>2093</v>
      </c>
      <c r="G1421" s="248">
        <v>5197</v>
      </c>
      <c r="H1421" s="717" t="s">
        <v>2094</v>
      </c>
      <c r="I1421" s="717" t="s">
        <v>881</v>
      </c>
      <c r="J1421" s="717" t="s">
        <v>111</v>
      </c>
      <c r="K1421" s="245" t="s">
        <v>110</v>
      </c>
      <c r="L1421" s="418">
        <v>0.5</v>
      </c>
      <c r="M1421" s="729"/>
      <c r="N1421" s="685" t="s">
        <v>2101</v>
      </c>
      <c r="O1421" s="738"/>
      <c r="P1421" s="734">
        <v>3</v>
      </c>
      <c r="Q1421" s="418">
        <v>0.2</v>
      </c>
      <c r="R1421" s="734"/>
      <c r="S1421" s="731">
        <f t="shared" si="44"/>
        <v>0</v>
      </c>
      <c r="T1421" s="732">
        <f t="shared" si="45"/>
        <v>0</v>
      </c>
      <c r="U1421" s="733" t="s">
        <v>34</v>
      </c>
      <c r="V1421" s="733"/>
      <c r="W1421" s="248"/>
    </row>
    <row r="1422" spans="1:23" ht="16.05" customHeight="1" x14ac:dyDescent="0.45">
      <c r="A1422" s="1">
        <v>1421</v>
      </c>
      <c r="B1422" s="236" t="s">
        <v>924</v>
      </c>
      <c r="C1422" s="236" t="s">
        <v>24</v>
      </c>
      <c r="D1422" s="349">
        <v>5633</v>
      </c>
      <c r="E1422" s="691" t="s">
        <v>2102</v>
      </c>
      <c r="F1422" s="691" t="s">
        <v>2093</v>
      </c>
      <c r="G1422" s="238">
        <v>5197</v>
      </c>
      <c r="H1422" s="691" t="s">
        <v>2094</v>
      </c>
      <c r="I1422" s="691" t="s">
        <v>881</v>
      </c>
      <c r="J1422" s="691" t="s">
        <v>58</v>
      </c>
      <c r="K1422" s="236" t="s">
        <v>57</v>
      </c>
      <c r="L1422" s="739">
        <v>0.5</v>
      </c>
      <c r="M1422" s="735"/>
      <c r="N1422" s="193" t="s">
        <v>2084</v>
      </c>
      <c r="O1422" s="705"/>
      <c r="P1422" s="736">
        <v>20000000000</v>
      </c>
      <c r="Q1422" s="350">
        <v>0.3</v>
      </c>
      <c r="R1422" s="736"/>
      <c r="S1422" s="713">
        <f t="shared" si="44"/>
        <v>0</v>
      </c>
      <c r="T1422" s="714">
        <f t="shared" si="45"/>
        <v>0</v>
      </c>
      <c r="U1422" s="715" t="s">
        <v>34</v>
      </c>
      <c r="V1422" s="716">
        <f>SUM(T1422:T1429)%</f>
        <v>0</v>
      </c>
      <c r="W1422" s="238"/>
    </row>
    <row r="1423" spans="1:23" ht="16.05" customHeight="1" x14ac:dyDescent="0.45">
      <c r="A1423" s="1">
        <v>1422</v>
      </c>
      <c r="B1423" s="245" t="s">
        <v>924</v>
      </c>
      <c r="C1423" s="245" t="s">
        <v>24</v>
      </c>
      <c r="D1423" s="413">
        <v>5633</v>
      </c>
      <c r="E1423" s="717" t="s">
        <v>2102</v>
      </c>
      <c r="F1423" s="717" t="s">
        <v>2093</v>
      </c>
      <c r="G1423" s="248">
        <v>5197</v>
      </c>
      <c r="H1423" s="717" t="s">
        <v>2094</v>
      </c>
      <c r="I1423" s="717" t="s">
        <v>881</v>
      </c>
      <c r="J1423" s="718" t="s">
        <v>58</v>
      </c>
      <c r="K1423" s="719" t="s">
        <v>57</v>
      </c>
      <c r="L1423" s="740">
        <v>0.5</v>
      </c>
      <c r="M1423" s="726"/>
      <c r="N1423" s="211" t="s">
        <v>2095</v>
      </c>
      <c r="O1423" s="721"/>
      <c r="P1423" s="728">
        <v>700</v>
      </c>
      <c r="Q1423" s="360">
        <v>0.2</v>
      </c>
      <c r="R1423" s="728"/>
      <c r="S1423" s="723">
        <f t="shared" si="44"/>
        <v>0</v>
      </c>
      <c r="T1423" s="724">
        <f t="shared" si="45"/>
        <v>0</v>
      </c>
      <c r="U1423" s="725" t="s">
        <v>34</v>
      </c>
      <c r="V1423" s="725"/>
      <c r="W1423" s="248"/>
    </row>
    <row r="1424" spans="1:23" ht="16.05" customHeight="1" x14ac:dyDescent="0.45">
      <c r="A1424" s="1">
        <v>1423</v>
      </c>
      <c r="B1424" s="245" t="s">
        <v>924</v>
      </c>
      <c r="C1424" s="245" t="s">
        <v>24</v>
      </c>
      <c r="D1424" s="413">
        <v>5633</v>
      </c>
      <c r="E1424" s="717" t="s">
        <v>2102</v>
      </c>
      <c r="F1424" s="717" t="s">
        <v>2093</v>
      </c>
      <c r="G1424" s="248">
        <v>5197</v>
      </c>
      <c r="H1424" s="717" t="s">
        <v>2094</v>
      </c>
      <c r="I1424" s="717" t="s">
        <v>881</v>
      </c>
      <c r="J1424" s="718" t="s">
        <v>58</v>
      </c>
      <c r="K1424" s="719" t="s">
        <v>57</v>
      </c>
      <c r="L1424" s="740">
        <v>0.5</v>
      </c>
      <c r="M1424" s="726"/>
      <c r="N1424" s="211" t="s">
        <v>2103</v>
      </c>
      <c r="O1424" s="721"/>
      <c r="P1424" s="728">
        <v>16</v>
      </c>
      <c r="Q1424" s="360">
        <v>0.3</v>
      </c>
      <c r="R1424" s="728"/>
      <c r="S1424" s="723">
        <f t="shared" si="44"/>
        <v>0</v>
      </c>
      <c r="T1424" s="724">
        <f t="shared" si="45"/>
        <v>0</v>
      </c>
      <c r="U1424" s="725" t="s">
        <v>34</v>
      </c>
      <c r="V1424" s="725"/>
      <c r="W1424" s="248"/>
    </row>
    <row r="1425" spans="1:23" ht="16.05" customHeight="1" x14ac:dyDescent="0.45">
      <c r="A1425" s="1">
        <v>1424</v>
      </c>
      <c r="B1425" s="245" t="s">
        <v>924</v>
      </c>
      <c r="C1425" s="245" t="s">
        <v>24</v>
      </c>
      <c r="D1425" s="413">
        <v>5633</v>
      </c>
      <c r="E1425" s="717" t="s">
        <v>2102</v>
      </c>
      <c r="F1425" s="717" t="s">
        <v>2093</v>
      </c>
      <c r="G1425" s="248">
        <v>5197</v>
      </c>
      <c r="H1425" s="717" t="s">
        <v>2094</v>
      </c>
      <c r="I1425" s="717" t="s">
        <v>881</v>
      </c>
      <c r="J1425" s="718" t="s">
        <v>58</v>
      </c>
      <c r="K1425" s="719" t="s">
        <v>57</v>
      </c>
      <c r="L1425" s="740">
        <v>0.5</v>
      </c>
      <c r="M1425" s="726"/>
      <c r="N1425" s="211" t="s">
        <v>2097</v>
      </c>
      <c r="O1425" s="721"/>
      <c r="P1425" s="728">
        <v>3</v>
      </c>
      <c r="Q1425" s="360">
        <v>0.2</v>
      </c>
      <c r="R1425" s="728"/>
      <c r="S1425" s="723">
        <f t="shared" si="44"/>
        <v>0</v>
      </c>
      <c r="T1425" s="724">
        <f t="shared" si="45"/>
        <v>0</v>
      </c>
      <c r="U1425" s="725" t="s">
        <v>34</v>
      </c>
      <c r="V1425" s="725"/>
      <c r="W1425" s="248"/>
    </row>
    <row r="1426" spans="1:23" ht="16.05" customHeight="1" x14ac:dyDescent="0.45">
      <c r="A1426" s="1">
        <v>1425</v>
      </c>
      <c r="B1426" s="245" t="s">
        <v>924</v>
      </c>
      <c r="C1426" s="245" t="s">
        <v>24</v>
      </c>
      <c r="D1426" s="413">
        <v>5633</v>
      </c>
      <c r="E1426" s="717" t="s">
        <v>2102</v>
      </c>
      <c r="F1426" s="717" t="s">
        <v>2093</v>
      </c>
      <c r="G1426" s="248">
        <v>5197</v>
      </c>
      <c r="H1426" s="717" t="s">
        <v>2094</v>
      </c>
      <c r="I1426" s="717" t="s">
        <v>881</v>
      </c>
      <c r="J1426" s="248" t="s">
        <v>111</v>
      </c>
      <c r="K1426" s="253" t="s">
        <v>110</v>
      </c>
      <c r="L1426" s="741">
        <v>0.5</v>
      </c>
      <c r="M1426" s="729"/>
      <c r="N1426" s="685" t="s">
        <v>2104</v>
      </c>
      <c r="O1426" s="738"/>
      <c r="P1426" s="734">
        <v>5</v>
      </c>
      <c r="Q1426" s="418">
        <v>0.4</v>
      </c>
      <c r="R1426" s="734"/>
      <c r="S1426" s="731">
        <f t="shared" si="44"/>
        <v>0</v>
      </c>
      <c r="T1426" s="732">
        <f t="shared" si="45"/>
        <v>0</v>
      </c>
      <c r="U1426" s="733" t="s">
        <v>34</v>
      </c>
      <c r="V1426" s="733"/>
      <c r="W1426" s="248"/>
    </row>
    <row r="1427" spans="1:23" ht="16.05" customHeight="1" x14ac:dyDescent="0.45">
      <c r="A1427" s="1">
        <v>1426</v>
      </c>
      <c r="B1427" s="245" t="s">
        <v>924</v>
      </c>
      <c r="C1427" s="245" t="s">
        <v>24</v>
      </c>
      <c r="D1427" s="413">
        <v>5633</v>
      </c>
      <c r="E1427" s="717" t="s">
        <v>2102</v>
      </c>
      <c r="F1427" s="717" t="s">
        <v>2093</v>
      </c>
      <c r="G1427" s="248">
        <v>5198</v>
      </c>
      <c r="H1427" s="717" t="s">
        <v>2094</v>
      </c>
      <c r="I1427" s="717" t="s">
        <v>881</v>
      </c>
      <c r="J1427" s="248" t="s">
        <v>111</v>
      </c>
      <c r="K1427" s="253" t="s">
        <v>110</v>
      </c>
      <c r="L1427" s="741">
        <v>0.5</v>
      </c>
      <c r="M1427" s="729"/>
      <c r="N1427" s="685" t="s">
        <v>2105</v>
      </c>
      <c r="O1427" s="738"/>
      <c r="P1427" s="734">
        <v>12</v>
      </c>
      <c r="Q1427" s="418">
        <v>0.2</v>
      </c>
      <c r="R1427" s="734"/>
      <c r="S1427" s="731">
        <f t="shared" si="44"/>
        <v>0</v>
      </c>
      <c r="T1427" s="732">
        <f t="shared" si="45"/>
        <v>0</v>
      </c>
      <c r="U1427" s="733" t="s">
        <v>34</v>
      </c>
      <c r="V1427" s="733"/>
      <c r="W1427" s="248"/>
    </row>
    <row r="1428" spans="1:23" ht="16.05" customHeight="1" x14ac:dyDescent="0.45">
      <c r="A1428" s="1">
        <v>1427</v>
      </c>
      <c r="B1428" s="245" t="s">
        <v>924</v>
      </c>
      <c r="C1428" s="245" t="s">
        <v>24</v>
      </c>
      <c r="D1428" s="413">
        <v>5633</v>
      </c>
      <c r="E1428" s="717" t="s">
        <v>2102</v>
      </c>
      <c r="F1428" s="717" t="s">
        <v>2093</v>
      </c>
      <c r="G1428" s="248">
        <v>5197</v>
      </c>
      <c r="H1428" s="717" t="s">
        <v>2094</v>
      </c>
      <c r="I1428" s="717" t="s">
        <v>881</v>
      </c>
      <c r="J1428" s="248" t="s">
        <v>111</v>
      </c>
      <c r="K1428" s="253" t="s">
        <v>110</v>
      </c>
      <c r="L1428" s="741">
        <v>0.5</v>
      </c>
      <c r="M1428" s="729"/>
      <c r="N1428" s="685" t="s">
        <v>2106</v>
      </c>
      <c r="O1428" s="738"/>
      <c r="P1428" s="734">
        <v>12</v>
      </c>
      <c r="Q1428" s="418">
        <v>0.2</v>
      </c>
      <c r="R1428" s="734"/>
      <c r="S1428" s="731">
        <f t="shared" si="44"/>
        <v>0</v>
      </c>
      <c r="T1428" s="732">
        <f t="shared" si="45"/>
        <v>0</v>
      </c>
      <c r="U1428" s="733" t="s">
        <v>34</v>
      </c>
      <c r="V1428" s="733"/>
      <c r="W1428" s="248"/>
    </row>
    <row r="1429" spans="1:23" ht="16.05" customHeight="1" x14ac:dyDescent="0.45">
      <c r="A1429" s="1">
        <v>1428</v>
      </c>
      <c r="B1429" s="245" t="s">
        <v>924</v>
      </c>
      <c r="C1429" s="245" t="s">
        <v>24</v>
      </c>
      <c r="D1429" s="413">
        <v>5633</v>
      </c>
      <c r="E1429" s="717" t="s">
        <v>2102</v>
      </c>
      <c r="F1429" s="717" t="s">
        <v>2093</v>
      </c>
      <c r="G1429" s="248">
        <v>5198</v>
      </c>
      <c r="H1429" s="717" t="s">
        <v>2094</v>
      </c>
      <c r="I1429" s="717" t="s">
        <v>881</v>
      </c>
      <c r="J1429" s="248" t="s">
        <v>111</v>
      </c>
      <c r="K1429" s="253" t="s">
        <v>110</v>
      </c>
      <c r="L1429" s="741">
        <v>0.5</v>
      </c>
      <c r="M1429" s="729"/>
      <c r="N1429" s="685" t="s">
        <v>2107</v>
      </c>
      <c r="O1429" s="738"/>
      <c r="P1429" s="734">
        <v>3</v>
      </c>
      <c r="Q1429" s="418">
        <v>0.2</v>
      </c>
      <c r="R1429" s="734"/>
      <c r="S1429" s="731">
        <f t="shared" si="44"/>
        <v>0</v>
      </c>
      <c r="T1429" s="732">
        <f t="shared" si="45"/>
        <v>0</v>
      </c>
      <c r="U1429" s="733" t="s">
        <v>34</v>
      </c>
      <c r="V1429" s="733"/>
      <c r="W1429" s="248"/>
    </row>
    <row r="1430" spans="1:23" ht="16.05" customHeight="1" x14ac:dyDescent="0.45">
      <c r="A1430" s="1">
        <v>1429</v>
      </c>
      <c r="B1430" s="236" t="s">
        <v>924</v>
      </c>
      <c r="C1430" s="236" t="s">
        <v>24</v>
      </c>
      <c r="D1430" s="349">
        <v>5571</v>
      </c>
      <c r="E1430" s="691" t="s">
        <v>2108</v>
      </c>
      <c r="F1430" s="691" t="s">
        <v>2093</v>
      </c>
      <c r="G1430" s="238">
        <v>5197</v>
      </c>
      <c r="H1430" s="691" t="s">
        <v>2094</v>
      </c>
      <c r="I1430" s="691" t="s">
        <v>881</v>
      </c>
      <c r="J1430" s="691" t="s">
        <v>58</v>
      </c>
      <c r="K1430" s="236" t="s">
        <v>57</v>
      </c>
      <c r="L1430" s="739">
        <v>0.5</v>
      </c>
      <c r="M1430" s="735"/>
      <c r="N1430" s="193" t="s">
        <v>893</v>
      </c>
      <c r="O1430" s="705"/>
      <c r="P1430" s="736">
        <v>20000000000</v>
      </c>
      <c r="Q1430" s="350">
        <v>0.3</v>
      </c>
      <c r="R1430" s="736"/>
      <c r="S1430" s="713">
        <f t="shared" si="44"/>
        <v>0</v>
      </c>
      <c r="T1430" s="714">
        <f t="shared" si="45"/>
        <v>0</v>
      </c>
      <c r="U1430" s="715" t="s">
        <v>34</v>
      </c>
      <c r="V1430" s="716">
        <f>SUM(T1430:T1437)%</f>
        <v>0</v>
      </c>
      <c r="W1430" s="238"/>
    </row>
    <row r="1431" spans="1:23" ht="16.05" customHeight="1" x14ac:dyDescent="0.45">
      <c r="A1431" s="1">
        <v>1430</v>
      </c>
      <c r="B1431" s="245" t="s">
        <v>924</v>
      </c>
      <c r="C1431" s="245" t="s">
        <v>24</v>
      </c>
      <c r="D1431" s="413">
        <v>5571</v>
      </c>
      <c r="E1431" s="717" t="s">
        <v>2108</v>
      </c>
      <c r="F1431" s="717" t="s">
        <v>2093</v>
      </c>
      <c r="G1431" s="248">
        <v>5197</v>
      </c>
      <c r="H1431" s="717" t="s">
        <v>2094</v>
      </c>
      <c r="I1431" s="717" t="s">
        <v>881</v>
      </c>
      <c r="J1431" s="718" t="s">
        <v>58</v>
      </c>
      <c r="K1431" s="719" t="s">
        <v>57</v>
      </c>
      <c r="L1431" s="740">
        <v>0.5</v>
      </c>
      <c r="M1431" s="726"/>
      <c r="N1431" s="211" t="s">
        <v>2095</v>
      </c>
      <c r="O1431" s="721"/>
      <c r="P1431" s="728">
        <v>700</v>
      </c>
      <c r="Q1431" s="360">
        <v>0.2</v>
      </c>
      <c r="R1431" s="728"/>
      <c r="S1431" s="723">
        <f t="shared" si="44"/>
        <v>0</v>
      </c>
      <c r="T1431" s="724">
        <f t="shared" si="45"/>
        <v>0</v>
      </c>
      <c r="U1431" s="725" t="s">
        <v>34</v>
      </c>
      <c r="V1431" s="725"/>
      <c r="W1431" s="248"/>
    </row>
    <row r="1432" spans="1:23" ht="16.05" customHeight="1" x14ac:dyDescent="0.45">
      <c r="A1432" s="1">
        <v>1431</v>
      </c>
      <c r="B1432" s="245" t="s">
        <v>924</v>
      </c>
      <c r="C1432" s="245" t="s">
        <v>24</v>
      </c>
      <c r="D1432" s="413">
        <v>5571</v>
      </c>
      <c r="E1432" s="717" t="s">
        <v>2108</v>
      </c>
      <c r="F1432" s="717" t="s">
        <v>2093</v>
      </c>
      <c r="G1432" s="248">
        <v>5197</v>
      </c>
      <c r="H1432" s="717" t="s">
        <v>2094</v>
      </c>
      <c r="I1432" s="717" t="s">
        <v>881</v>
      </c>
      <c r="J1432" s="718" t="s">
        <v>58</v>
      </c>
      <c r="K1432" s="719" t="s">
        <v>57</v>
      </c>
      <c r="L1432" s="740">
        <v>0.5</v>
      </c>
      <c r="M1432" s="726"/>
      <c r="N1432" s="211" t="s">
        <v>2109</v>
      </c>
      <c r="O1432" s="721"/>
      <c r="P1432" s="728">
        <v>16</v>
      </c>
      <c r="Q1432" s="360">
        <v>0.3</v>
      </c>
      <c r="R1432" s="728"/>
      <c r="S1432" s="723">
        <f t="shared" si="44"/>
        <v>0</v>
      </c>
      <c r="T1432" s="724">
        <f t="shared" si="45"/>
        <v>0</v>
      </c>
      <c r="U1432" s="725" t="s">
        <v>34</v>
      </c>
      <c r="V1432" s="725"/>
      <c r="W1432" s="248"/>
    </row>
    <row r="1433" spans="1:23" ht="16.05" customHeight="1" x14ac:dyDescent="0.45">
      <c r="A1433" s="1">
        <v>1432</v>
      </c>
      <c r="B1433" s="245" t="s">
        <v>924</v>
      </c>
      <c r="C1433" s="245" t="s">
        <v>24</v>
      </c>
      <c r="D1433" s="413">
        <v>5571</v>
      </c>
      <c r="E1433" s="717" t="s">
        <v>2108</v>
      </c>
      <c r="F1433" s="717" t="s">
        <v>2093</v>
      </c>
      <c r="G1433" s="248">
        <v>5197</v>
      </c>
      <c r="H1433" s="717" t="s">
        <v>2094</v>
      </c>
      <c r="I1433" s="717" t="s">
        <v>881</v>
      </c>
      <c r="J1433" s="718" t="s">
        <v>58</v>
      </c>
      <c r="K1433" s="719" t="s">
        <v>57</v>
      </c>
      <c r="L1433" s="740">
        <v>0.5</v>
      </c>
      <c r="M1433" s="726"/>
      <c r="N1433" s="211" t="s">
        <v>2097</v>
      </c>
      <c r="O1433" s="721"/>
      <c r="P1433" s="728">
        <v>3</v>
      </c>
      <c r="Q1433" s="360">
        <v>0.2</v>
      </c>
      <c r="R1433" s="728"/>
      <c r="S1433" s="723">
        <f t="shared" si="44"/>
        <v>0</v>
      </c>
      <c r="T1433" s="724">
        <f t="shared" si="45"/>
        <v>0</v>
      </c>
      <c r="U1433" s="725" t="s">
        <v>34</v>
      </c>
      <c r="V1433" s="725"/>
      <c r="W1433" s="248"/>
    </row>
    <row r="1434" spans="1:23" ht="16.05" customHeight="1" x14ac:dyDescent="0.45">
      <c r="A1434" s="1">
        <v>1433</v>
      </c>
      <c r="B1434" s="245" t="s">
        <v>924</v>
      </c>
      <c r="C1434" s="245" t="s">
        <v>24</v>
      </c>
      <c r="D1434" s="413">
        <v>5571</v>
      </c>
      <c r="E1434" s="717" t="s">
        <v>2108</v>
      </c>
      <c r="F1434" s="717" t="s">
        <v>2093</v>
      </c>
      <c r="G1434" s="248">
        <v>5197</v>
      </c>
      <c r="H1434" s="717" t="s">
        <v>2094</v>
      </c>
      <c r="I1434" s="717" t="s">
        <v>881</v>
      </c>
      <c r="J1434" s="248" t="s">
        <v>111</v>
      </c>
      <c r="K1434" s="253" t="s">
        <v>110</v>
      </c>
      <c r="L1434" s="741">
        <v>0.5</v>
      </c>
      <c r="M1434" s="729"/>
      <c r="N1434" s="685" t="s">
        <v>2110</v>
      </c>
      <c r="O1434" s="738"/>
      <c r="P1434" s="248">
        <v>3</v>
      </c>
      <c r="Q1434" s="418">
        <v>0.4</v>
      </c>
      <c r="R1434" s="248"/>
      <c r="S1434" s="731">
        <f t="shared" si="44"/>
        <v>0</v>
      </c>
      <c r="T1434" s="732">
        <f t="shared" si="45"/>
        <v>0</v>
      </c>
      <c r="U1434" s="733" t="s">
        <v>34</v>
      </c>
      <c r="V1434" s="733"/>
      <c r="W1434" s="248"/>
    </row>
    <row r="1435" spans="1:23" ht="16.05" customHeight="1" x14ac:dyDescent="0.45">
      <c r="A1435" s="1">
        <v>1434</v>
      </c>
      <c r="B1435" s="245" t="s">
        <v>924</v>
      </c>
      <c r="C1435" s="245" t="s">
        <v>24</v>
      </c>
      <c r="D1435" s="413">
        <v>5571</v>
      </c>
      <c r="E1435" s="717" t="s">
        <v>2108</v>
      </c>
      <c r="F1435" s="717" t="s">
        <v>2093</v>
      </c>
      <c r="G1435" s="248">
        <v>5198</v>
      </c>
      <c r="H1435" s="717" t="s">
        <v>2094</v>
      </c>
      <c r="I1435" s="717" t="s">
        <v>881</v>
      </c>
      <c r="J1435" s="248" t="s">
        <v>111</v>
      </c>
      <c r="K1435" s="253" t="s">
        <v>110</v>
      </c>
      <c r="L1435" s="741">
        <v>0.5</v>
      </c>
      <c r="M1435" s="729"/>
      <c r="N1435" s="685" t="s">
        <v>2099</v>
      </c>
      <c r="O1435" s="738"/>
      <c r="P1435" s="734">
        <v>2</v>
      </c>
      <c r="Q1435" s="418">
        <v>0.2</v>
      </c>
      <c r="R1435" s="734"/>
      <c r="S1435" s="731">
        <f t="shared" si="44"/>
        <v>0</v>
      </c>
      <c r="T1435" s="732">
        <f t="shared" si="45"/>
        <v>0</v>
      </c>
      <c r="U1435" s="733" t="s">
        <v>34</v>
      </c>
      <c r="V1435" s="733"/>
      <c r="W1435" s="248"/>
    </row>
    <row r="1436" spans="1:23" ht="16.05" customHeight="1" x14ac:dyDescent="0.45">
      <c r="A1436" s="1">
        <v>1435</v>
      </c>
      <c r="B1436" s="245" t="s">
        <v>924</v>
      </c>
      <c r="C1436" s="245" t="s">
        <v>24</v>
      </c>
      <c r="D1436" s="413">
        <v>5571</v>
      </c>
      <c r="E1436" s="717" t="s">
        <v>2108</v>
      </c>
      <c r="F1436" s="717" t="s">
        <v>2093</v>
      </c>
      <c r="G1436" s="248">
        <v>5199</v>
      </c>
      <c r="H1436" s="717" t="s">
        <v>2094</v>
      </c>
      <c r="I1436" s="717" t="s">
        <v>881</v>
      </c>
      <c r="J1436" s="248" t="s">
        <v>111</v>
      </c>
      <c r="K1436" s="253" t="s">
        <v>110</v>
      </c>
      <c r="L1436" s="741">
        <v>0.5</v>
      </c>
      <c r="M1436" s="729"/>
      <c r="N1436" s="685" t="s">
        <v>2111</v>
      </c>
      <c r="O1436" s="738"/>
      <c r="P1436" s="734">
        <v>90</v>
      </c>
      <c r="Q1436" s="418">
        <v>0.2</v>
      </c>
      <c r="R1436" s="734"/>
      <c r="S1436" s="731">
        <f t="shared" si="44"/>
        <v>0</v>
      </c>
      <c r="T1436" s="732">
        <f t="shared" si="45"/>
        <v>0</v>
      </c>
      <c r="U1436" s="733" t="s">
        <v>34</v>
      </c>
      <c r="V1436" s="733"/>
      <c r="W1436" s="248"/>
    </row>
    <row r="1437" spans="1:23" ht="16.05" customHeight="1" x14ac:dyDescent="0.45">
      <c r="A1437" s="1">
        <v>1436</v>
      </c>
      <c r="B1437" s="245" t="s">
        <v>924</v>
      </c>
      <c r="C1437" s="245" t="s">
        <v>24</v>
      </c>
      <c r="D1437" s="413">
        <v>5571</v>
      </c>
      <c r="E1437" s="717" t="s">
        <v>2108</v>
      </c>
      <c r="F1437" s="717" t="s">
        <v>2093</v>
      </c>
      <c r="G1437" s="248">
        <v>5197</v>
      </c>
      <c r="H1437" s="717" t="s">
        <v>2094</v>
      </c>
      <c r="I1437" s="717" t="s">
        <v>881</v>
      </c>
      <c r="J1437" s="248" t="s">
        <v>111</v>
      </c>
      <c r="K1437" s="253" t="s">
        <v>110</v>
      </c>
      <c r="L1437" s="741">
        <v>0.5</v>
      </c>
      <c r="M1437" s="729"/>
      <c r="N1437" s="685" t="s">
        <v>2112</v>
      </c>
      <c r="O1437" s="738"/>
      <c r="P1437" s="734">
        <v>3</v>
      </c>
      <c r="Q1437" s="418">
        <v>0.2</v>
      </c>
      <c r="R1437" s="734"/>
      <c r="S1437" s="731">
        <f t="shared" si="44"/>
        <v>0</v>
      </c>
      <c r="T1437" s="732">
        <f t="shared" si="45"/>
        <v>0</v>
      </c>
      <c r="U1437" s="733" t="s">
        <v>34</v>
      </c>
      <c r="V1437" s="733"/>
      <c r="W1437" s="248"/>
    </row>
    <row r="1438" spans="1:23" ht="16.05" customHeight="1" x14ac:dyDescent="0.45">
      <c r="A1438" s="1">
        <v>1437</v>
      </c>
      <c r="B1438" s="186" t="s">
        <v>924</v>
      </c>
      <c r="C1438" s="187" t="s">
        <v>24</v>
      </c>
      <c r="D1438" s="742">
        <v>6306</v>
      </c>
      <c r="E1438" s="186" t="s">
        <v>2113</v>
      </c>
      <c r="F1438" s="186" t="s">
        <v>892</v>
      </c>
      <c r="G1438" s="189">
        <v>3490</v>
      </c>
      <c r="H1438" s="186" t="s">
        <v>899</v>
      </c>
      <c r="I1438" s="186" t="s">
        <v>881</v>
      </c>
      <c r="J1438" s="186" t="s">
        <v>58</v>
      </c>
      <c r="K1438" s="186" t="s">
        <v>57</v>
      </c>
      <c r="L1438" s="636">
        <v>0.5</v>
      </c>
      <c r="M1438" s="186"/>
      <c r="N1438" s="192" t="s">
        <v>2114</v>
      </c>
      <c r="O1438" s="186"/>
      <c r="P1438" s="186">
        <v>1</v>
      </c>
      <c r="Q1438" s="350">
        <v>0.1</v>
      </c>
      <c r="R1438" s="186"/>
      <c r="S1438" s="186">
        <f t="shared" si="44"/>
        <v>0</v>
      </c>
      <c r="T1438" s="186">
        <f t="shared" si="45"/>
        <v>0</v>
      </c>
      <c r="U1438" s="186" t="s">
        <v>34</v>
      </c>
      <c r="V1438" s="678">
        <f>SUM(T1438:T1445)%</f>
        <v>0</v>
      </c>
      <c r="W1438" s="186" t="s">
        <v>2183</v>
      </c>
    </row>
    <row r="1439" spans="1:23" ht="16.05" customHeight="1" x14ac:dyDescent="0.45">
      <c r="A1439" s="1">
        <v>1438</v>
      </c>
      <c r="B1439" s="198" t="s">
        <v>924</v>
      </c>
      <c r="C1439" s="199" t="s">
        <v>24</v>
      </c>
      <c r="D1439" s="709">
        <v>6306</v>
      </c>
      <c r="E1439" s="710" t="s">
        <v>2113</v>
      </c>
      <c r="F1439" s="198" t="s">
        <v>892</v>
      </c>
      <c r="G1439" s="200">
        <v>3490</v>
      </c>
      <c r="H1439" s="198" t="s">
        <v>899</v>
      </c>
      <c r="I1439" s="198" t="s">
        <v>881</v>
      </c>
      <c r="J1439" s="692" t="s">
        <v>58</v>
      </c>
      <c r="K1439" s="692" t="s">
        <v>57</v>
      </c>
      <c r="L1439" s="360">
        <v>0.5</v>
      </c>
      <c r="M1439" s="202"/>
      <c r="N1439" s="203" t="s">
        <v>2115</v>
      </c>
      <c r="O1439" s="211"/>
      <c r="P1439" s="255">
        <v>100</v>
      </c>
      <c r="Q1439" s="346">
        <v>0.3</v>
      </c>
      <c r="R1439" s="255"/>
      <c r="S1439" s="206">
        <f t="shared" si="44"/>
        <v>0</v>
      </c>
      <c r="T1439" s="207">
        <f t="shared" si="45"/>
        <v>0</v>
      </c>
      <c r="U1439" s="208" t="s">
        <v>34</v>
      </c>
      <c r="V1439" s="209"/>
      <c r="W1439" s="210"/>
    </row>
    <row r="1440" spans="1:23" ht="16.05" customHeight="1" x14ac:dyDescent="0.45">
      <c r="A1440" s="1">
        <v>1439</v>
      </c>
      <c r="B1440" s="198" t="s">
        <v>924</v>
      </c>
      <c r="C1440" s="199" t="s">
        <v>24</v>
      </c>
      <c r="D1440" s="709">
        <v>6306</v>
      </c>
      <c r="E1440" s="710" t="s">
        <v>2113</v>
      </c>
      <c r="F1440" s="198" t="s">
        <v>892</v>
      </c>
      <c r="G1440" s="200">
        <v>3490</v>
      </c>
      <c r="H1440" s="198" t="s">
        <v>899</v>
      </c>
      <c r="I1440" s="198" t="s">
        <v>881</v>
      </c>
      <c r="J1440" s="692" t="s">
        <v>58</v>
      </c>
      <c r="K1440" s="692" t="s">
        <v>57</v>
      </c>
      <c r="L1440" s="360">
        <v>0.5</v>
      </c>
      <c r="M1440" s="202"/>
      <c r="N1440" s="203" t="s">
        <v>885</v>
      </c>
      <c r="O1440" s="211"/>
      <c r="P1440" s="208">
        <v>1</v>
      </c>
      <c r="Q1440" s="434">
        <v>0.3</v>
      </c>
      <c r="R1440" s="208"/>
      <c r="S1440" s="206">
        <f t="shared" si="44"/>
        <v>0</v>
      </c>
      <c r="T1440" s="207">
        <f t="shared" si="45"/>
        <v>0</v>
      </c>
      <c r="U1440" s="208" t="s">
        <v>34</v>
      </c>
      <c r="V1440" s="209"/>
      <c r="W1440" s="210"/>
    </row>
    <row r="1441" spans="1:23" ht="16.05" customHeight="1" x14ac:dyDescent="0.45">
      <c r="A1441" s="1">
        <v>1440</v>
      </c>
      <c r="B1441" s="198" t="s">
        <v>924</v>
      </c>
      <c r="C1441" s="199" t="s">
        <v>24</v>
      </c>
      <c r="D1441" s="709">
        <v>6306</v>
      </c>
      <c r="E1441" s="710" t="s">
        <v>2113</v>
      </c>
      <c r="F1441" s="198" t="s">
        <v>892</v>
      </c>
      <c r="G1441" s="200">
        <v>3490</v>
      </c>
      <c r="H1441" s="198" t="s">
        <v>899</v>
      </c>
      <c r="I1441" s="198" t="s">
        <v>881</v>
      </c>
      <c r="J1441" s="692" t="s">
        <v>58</v>
      </c>
      <c r="K1441" s="692" t="s">
        <v>57</v>
      </c>
      <c r="L1441" s="360">
        <v>0.5</v>
      </c>
      <c r="M1441" s="202"/>
      <c r="N1441" s="203" t="s">
        <v>2116</v>
      </c>
      <c r="O1441" s="211"/>
      <c r="P1441" s="208">
        <v>1</v>
      </c>
      <c r="Q1441" s="434">
        <v>0.3</v>
      </c>
      <c r="R1441" s="208"/>
      <c r="S1441" s="206">
        <f t="shared" si="44"/>
        <v>0</v>
      </c>
      <c r="T1441" s="207">
        <f t="shared" si="45"/>
        <v>0</v>
      </c>
      <c r="U1441" s="208" t="s">
        <v>34</v>
      </c>
      <c r="V1441" s="209"/>
      <c r="W1441" s="210"/>
    </row>
    <row r="1442" spans="1:23" ht="16.05" customHeight="1" x14ac:dyDescent="0.45">
      <c r="A1442" s="1">
        <v>1441</v>
      </c>
      <c r="B1442" s="198" t="s">
        <v>924</v>
      </c>
      <c r="C1442" s="199" t="s">
        <v>24</v>
      </c>
      <c r="D1442" s="709">
        <v>6306</v>
      </c>
      <c r="E1442" s="710" t="s">
        <v>2113</v>
      </c>
      <c r="F1442" s="198" t="s">
        <v>892</v>
      </c>
      <c r="G1442" s="200">
        <v>3490</v>
      </c>
      <c r="H1442" s="198" t="s">
        <v>899</v>
      </c>
      <c r="I1442" s="198" t="s">
        <v>881</v>
      </c>
      <c r="J1442" s="199" t="s">
        <v>111</v>
      </c>
      <c r="K1442" s="199" t="s">
        <v>110</v>
      </c>
      <c r="L1442" s="432">
        <v>0.5</v>
      </c>
      <c r="M1442" s="213"/>
      <c r="N1442" s="214" t="s">
        <v>887</v>
      </c>
      <c r="O1442" s="220"/>
      <c r="P1442" s="218">
        <v>1</v>
      </c>
      <c r="Q1442" s="292">
        <v>0.3</v>
      </c>
      <c r="R1442" s="218"/>
      <c r="S1442" s="216">
        <f t="shared" si="44"/>
        <v>0</v>
      </c>
      <c r="T1442" s="217">
        <f t="shared" si="45"/>
        <v>0</v>
      </c>
      <c r="U1442" s="218" t="s">
        <v>34</v>
      </c>
      <c r="V1442" s="219"/>
      <c r="W1442" s="210"/>
    </row>
    <row r="1443" spans="1:23" ht="16.05" customHeight="1" x14ac:dyDescent="0.45">
      <c r="A1443" s="1">
        <v>1442</v>
      </c>
      <c r="B1443" s="198" t="s">
        <v>924</v>
      </c>
      <c r="C1443" s="199" t="s">
        <v>24</v>
      </c>
      <c r="D1443" s="709">
        <v>6306</v>
      </c>
      <c r="E1443" s="710" t="s">
        <v>2113</v>
      </c>
      <c r="F1443" s="198" t="s">
        <v>892</v>
      </c>
      <c r="G1443" s="200">
        <v>3490</v>
      </c>
      <c r="H1443" s="198" t="s">
        <v>899</v>
      </c>
      <c r="I1443" s="198" t="s">
        <v>881</v>
      </c>
      <c r="J1443" s="199" t="s">
        <v>111</v>
      </c>
      <c r="K1443" s="199" t="s">
        <v>110</v>
      </c>
      <c r="L1443" s="432">
        <v>0.5</v>
      </c>
      <c r="M1443" s="213"/>
      <c r="N1443" s="214" t="s">
        <v>2117</v>
      </c>
      <c r="O1443" s="220"/>
      <c r="P1443" s="215">
        <v>0.8</v>
      </c>
      <c r="Q1443" s="292">
        <v>0.3</v>
      </c>
      <c r="R1443" s="215"/>
      <c r="S1443" s="216">
        <f t="shared" si="44"/>
        <v>0</v>
      </c>
      <c r="T1443" s="217">
        <f t="shared" si="45"/>
        <v>0</v>
      </c>
      <c r="U1443" s="218" t="s">
        <v>34</v>
      </c>
      <c r="V1443" s="219"/>
      <c r="W1443" s="210"/>
    </row>
    <row r="1444" spans="1:23" ht="16.05" customHeight="1" x14ac:dyDescent="0.45">
      <c r="A1444" s="1">
        <v>1443</v>
      </c>
      <c r="B1444" s="198" t="s">
        <v>924</v>
      </c>
      <c r="C1444" s="199" t="s">
        <v>24</v>
      </c>
      <c r="D1444" s="709">
        <v>6306</v>
      </c>
      <c r="E1444" s="710" t="s">
        <v>2113</v>
      </c>
      <c r="F1444" s="198" t="s">
        <v>892</v>
      </c>
      <c r="G1444" s="200">
        <v>3490</v>
      </c>
      <c r="H1444" s="198" t="s">
        <v>899</v>
      </c>
      <c r="I1444" s="198" t="s">
        <v>881</v>
      </c>
      <c r="J1444" s="199" t="s">
        <v>111</v>
      </c>
      <c r="K1444" s="199" t="s">
        <v>110</v>
      </c>
      <c r="L1444" s="432">
        <v>0.5</v>
      </c>
      <c r="M1444" s="213"/>
      <c r="N1444" s="214" t="s">
        <v>2059</v>
      </c>
      <c r="O1444" s="220"/>
      <c r="P1444" s="218">
        <v>1</v>
      </c>
      <c r="Q1444" s="292">
        <v>0.2</v>
      </c>
      <c r="R1444" s="218"/>
      <c r="S1444" s="216">
        <f t="shared" si="44"/>
        <v>0</v>
      </c>
      <c r="T1444" s="217">
        <f t="shared" si="45"/>
        <v>0</v>
      </c>
      <c r="U1444" s="218" t="s">
        <v>34</v>
      </c>
      <c r="V1444" s="219"/>
      <c r="W1444" s="210"/>
    </row>
    <row r="1445" spans="1:23" ht="16.05" customHeight="1" x14ac:dyDescent="0.45">
      <c r="A1445" s="1">
        <v>1444</v>
      </c>
      <c r="B1445" s="198" t="s">
        <v>924</v>
      </c>
      <c r="C1445" s="199" t="s">
        <v>24</v>
      </c>
      <c r="D1445" s="709">
        <v>6306</v>
      </c>
      <c r="E1445" s="710" t="s">
        <v>2113</v>
      </c>
      <c r="F1445" s="198" t="s">
        <v>892</v>
      </c>
      <c r="G1445" s="200">
        <v>3490</v>
      </c>
      <c r="H1445" s="198" t="s">
        <v>899</v>
      </c>
      <c r="I1445" s="198" t="s">
        <v>881</v>
      </c>
      <c r="J1445" s="199" t="s">
        <v>111</v>
      </c>
      <c r="K1445" s="199" t="s">
        <v>110</v>
      </c>
      <c r="L1445" s="432">
        <v>0.5</v>
      </c>
      <c r="M1445" s="213"/>
      <c r="N1445" s="214" t="s">
        <v>2118</v>
      </c>
      <c r="O1445" s="220"/>
      <c r="P1445" s="218">
        <v>1</v>
      </c>
      <c r="Q1445" s="292">
        <v>0.2</v>
      </c>
      <c r="R1445" s="218"/>
      <c r="S1445" s="216">
        <f t="shared" si="44"/>
        <v>0</v>
      </c>
      <c r="T1445" s="217">
        <f t="shared" si="45"/>
        <v>0</v>
      </c>
      <c r="U1445" s="218" t="s">
        <v>34</v>
      </c>
      <c r="V1445" s="219"/>
      <c r="W1445" s="210"/>
    </row>
    <row r="1446" spans="1:23" ht="16.05" customHeight="1" x14ac:dyDescent="0.45">
      <c r="A1446" s="1">
        <v>1445</v>
      </c>
      <c r="B1446" s="236" t="s">
        <v>924</v>
      </c>
      <c r="C1446" s="236" t="s">
        <v>24</v>
      </c>
      <c r="D1446" s="349">
        <v>6372</v>
      </c>
      <c r="E1446" s="691" t="s">
        <v>2119</v>
      </c>
      <c r="F1446" s="691" t="s">
        <v>2093</v>
      </c>
      <c r="G1446" s="238">
        <v>5197</v>
      </c>
      <c r="H1446" s="691" t="s">
        <v>2094</v>
      </c>
      <c r="I1446" s="691" t="s">
        <v>881</v>
      </c>
      <c r="J1446" s="691" t="s">
        <v>58</v>
      </c>
      <c r="K1446" s="236" t="s">
        <v>57</v>
      </c>
      <c r="L1446" s="739">
        <v>0.5</v>
      </c>
      <c r="M1446" s="735"/>
      <c r="N1446" s="193" t="s">
        <v>893</v>
      </c>
      <c r="O1446" s="705"/>
      <c r="P1446" s="736">
        <v>20000000000</v>
      </c>
      <c r="Q1446" s="350">
        <v>0.3</v>
      </c>
      <c r="R1446" s="736"/>
      <c r="S1446" s="713">
        <f t="shared" si="44"/>
        <v>0</v>
      </c>
      <c r="T1446" s="714">
        <f t="shared" si="45"/>
        <v>0</v>
      </c>
      <c r="U1446" s="715" t="s">
        <v>34</v>
      </c>
      <c r="V1446" s="716">
        <f>SUM(T1446:T1453)%</f>
        <v>0</v>
      </c>
      <c r="W1446" s="743" t="s">
        <v>2120</v>
      </c>
    </row>
    <row r="1447" spans="1:23" ht="16.05" customHeight="1" x14ac:dyDescent="0.45">
      <c r="A1447" s="1">
        <v>1446</v>
      </c>
      <c r="B1447" s="245" t="s">
        <v>924</v>
      </c>
      <c r="C1447" s="245" t="s">
        <v>24</v>
      </c>
      <c r="D1447" s="709">
        <v>6372</v>
      </c>
      <c r="E1447" s="744" t="s">
        <v>2119</v>
      </c>
      <c r="F1447" s="745" t="s">
        <v>2093</v>
      </c>
      <c r="G1447" s="248">
        <v>5197</v>
      </c>
      <c r="H1447" s="717" t="s">
        <v>2094</v>
      </c>
      <c r="I1447" s="717" t="s">
        <v>881</v>
      </c>
      <c r="J1447" s="718" t="s">
        <v>58</v>
      </c>
      <c r="K1447" s="719" t="s">
        <v>57</v>
      </c>
      <c r="L1447" s="740">
        <v>0.5</v>
      </c>
      <c r="M1447" s="726"/>
      <c r="N1447" s="211" t="s">
        <v>2095</v>
      </c>
      <c r="O1447" s="721"/>
      <c r="P1447" s="728">
        <v>700</v>
      </c>
      <c r="Q1447" s="360">
        <v>0.2</v>
      </c>
      <c r="R1447" s="728"/>
      <c r="S1447" s="723">
        <f t="shared" si="44"/>
        <v>0</v>
      </c>
      <c r="T1447" s="724">
        <f t="shared" si="45"/>
        <v>0</v>
      </c>
      <c r="U1447" s="725" t="s">
        <v>34</v>
      </c>
      <c r="V1447" s="725"/>
      <c r="W1447" s="248"/>
    </row>
    <row r="1448" spans="1:23" ht="16.05" customHeight="1" x14ac:dyDescent="0.45">
      <c r="A1448" s="1">
        <v>1447</v>
      </c>
      <c r="B1448" s="245" t="s">
        <v>924</v>
      </c>
      <c r="C1448" s="245" t="s">
        <v>24</v>
      </c>
      <c r="D1448" s="709">
        <v>6372</v>
      </c>
      <c r="E1448" s="744" t="s">
        <v>2119</v>
      </c>
      <c r="F1448" s="745" t="s">
        <v>2093</v>
      </c>
      <c r="G1448" s="248">
        <v>5197</v>
      </c>
      <c r="H1448" s="717" t="s">
        <v>2094</v>
      </c>
      <c r="I1448" s="717" t="s">
        <v>881</v>
      </c>
      <c r="J1448" s="718" t="s">
        <v>58</v>
      </c>
      <c r="K1448" s="719" t="s">
        <v>57</v>
      </c>
      <c r="L1448" s="740">
        <v>0.5</v>
      </c>
      <c r="M1448" s="726"/>
      <c r="N1448" s="211" t="s">
        <v>2121</v>
      </c>
      <c r="O1448" s="721"/>
      <c r="P1448" s="728">
        <v>16</v>
      </c>
      <c r="Q1448" s="360">
        <v>0.3</v>
      </c>
      <c r="R1448" s="728"/>
      <c r="S1448" s="723">
        <f t="shared" si="44"/>
        <v>0</v>
      </c>
      <c r="T1448" s="724">
        <f t="shared" si="45"/>
        <v>0</v>
      </c>
      <c r="U1448" s="725" t="s">
        <v>34</v>
      </c>
      <c r="V1448" s="725"/>
      <c r="W1448" s="248"/>
    </row>
    <row r="1449" spans="1:23" ht="16.05" customHeight="1" x14ac:dyDescent="0.45">
      <c r="A1449" s="1">
        <v>1448</v>
      </c>
      <c r="B1449" s="245" t="s">
        <v>924</v>
      </c>
      <c r="C1449" s="245" t="s">
        <v>24</v>
      </c>
      <c r="D1449" s="709">
        <v>6372</v>
      </c>
      <c r="E1449" s="744" t="s">
        <v>2119</v>
      </c>
      <c r="F1449" s="745" t="s">
        <v>2093</v>
      </c>
      <c r="G1449" s="248">
        <v>5197</v>
      </c>
      <c r="H1449" s="717" t="s">
        <v>2094</v>
      </c>
      <c r="I1449" s="717" t="s">
        <v>881</v>
      </c>
      <c r="J1449" s="718" t="s">
        <v>58</v>
      </c>
      <c r="K1449" s="719" t="s">
        <v>57</v>
      </c>
      <c r="L1449" s="740">
        <v>0.5</v>
      </c>
      <c r="M1449" s="726"/>
      <c r="N1449" s="211" t="s">
        <v>2097</v>
      </c>
      <c r="O1449" s="721"/>
      <c r="P1449" s="722">
        <v>3</v>
      </c>
      <c r="Q1449" s="360">
        <v>0.2</v>
      </c>
      <c r="R1449" s="722"/>
      <c r="S1449" s="723">
        <f t="shared" si="44"/>
        <v>0</v>
      </c>
      <c r="T1449" s="724">
        <f t="shared" si="45"/>
        <v>0</v>
      </c>
      <c r="U1449" s="725" t="s">
        <v>34</v>
      </c>
      <c r="V1449" s="725"/>
      <c r="W1449" s="248"/>
    </row>
    <row r="1450" spans="1:23" ht="16.05" customHeight="1" x14ac:dyDescent="0.45">
      <c r="A1450" s="1">
        <v>1449</v>
      </c>
      <c r="B1450" s="245" t="s">
        <v>924</v>
      </c>
      <c r="C1450" s="245" t="s">
        <v>24</v>
      </c>
      <c r="D1450" s="709">
        <v>6372</v>
      </c>
      <c r="E1450" s="744" t="s">
        <v>2119</v>
      </c>
      <c r="F1450" s="745" t="s">
        <v>2093</v>
      </c>
      <c r="G1450" s="248">
        <v>5197</v>
      </c>
      <c r="H1450" s="717" t="s">
        <v>2094</v>
      </c>
      <c r="I1450" s="717" t="s">
        <v>881</v>
      </c>
      <c r="J1450" s="717" t="s">
        <v>111</v>
      </c>
      <c r="K1450" s="245" t="s">
        <v>110</v>
      </c>
      <c r="L1450" s="741">
        <v>0.5</v>
      </c>
      <c r="M1450" s="729"/>
      <c r="N1450" s="685" t="s">
        <v>2099</v>
      </c>
      <c r="O1450" s="738"/>
      <c r="P1450" s="734">
        <v>2</v>
      </c>
      <c r="Q1450" s="418">
        <v>0.2</v>
      </c>
      <c r="R1450" s="734"/>
      <c r="S1450" s="731">
        <f t="shared" si="44"/>
        <v>0</v>
      </c>
      <c r="T1450" s="732">
        <f t="shared" si="45"/>
        <v>0</v>
      </c>
      <c r="U1450" s="733" t="s">
        <v>34</v>
      </c>
      <c r="V1450" s="733"/>
      <c r="W1450" s="248"/>
    </row>
    <row r="1451" spans="1:23" ht="16.05" customHeight="1" x14ac:dyDescent="0.45">
      <c r="A1451" s="1">
        <v>1450</v>
      </c>
      <c r="B1451" s="245" t="s">
        <v>924</v>
      </c>
      <c r="C1451" s="245" t="s">
        <v>24</v>
      </c>
      <c r="D1451" s="709">
        <v>6372</v>
      </c>
      <c r="E1451" s="744" t="s">
        <v>2119</v>
      </c>
      <c r="F1451" s="745" t="s">
        <v>2093</v>
      </c>
      <c r="G1451" s="248">
        <v>5197</v>
      </c>
      <c r="H1451" s="717" t="s">
        <v>2094</v>
      </c>
      <c r="I1451" s="717" t="s">
        <v>881</v>
      </c>
      <c r="J1451" s="717" t="s">
        <v>111</v>
      </c>
      <c r="K1451" s="245" t="s">
        <v>110</v>
      </c>
      <c r="L1451" s="741">
        <v>0.5</v>
      </c>
      <c r="M1451" s="729"/>
      <c r="N1451" s="685" t="s">
        <v>2122</v>
      </c>
      <c r="O1451" s="738"/>
      <c r="P1451" s="248">
        <v>3</v>
      </c>
      <c r="Q1451" s="418">
        <v>0.2</v>
      </c>
      <c r="R1451" s="248"/>
      <c r="S1451" s="731">
        <f t="shared" si="44"/>
        <v>0</v>
      </c>
      <c r="T1451" s="732">
        <f t="shared" si="45"/>
        <v>0</v>
      </c>
      <c r="U1451" s="733" t="s">
        <v>34</v>
      </c>
      <c r="V1451" s="733"/>
      <c r="W1451" s="248"/>
    </row>
    <row r="1452" spans="1:23" ht="16.05" customHeight="1" x14ac:dyDescent="0.45">
      <c r="A1452" s="1">
        <v>1451</v>
      </c>
      <c r="B1452" s="245" t="s">
        <v>924</v>
      </c>
      <c r="C1452" s="245" t="s">
        <v>24</v>
      </c>
      <c r="D1452" s="709">
        <v>6372</v>
      </c>
      <c r="E1452" s="744" t="s">
        <v>2119</v>
      </c>
      <c r="F1452" s="745" t="s">
        <v>2093</v>
      </c>
      <c r="G1452" s="248">
        <v>5197</v>
      </c>
      <c r="H1452" s="717" t="s">
        <v>2094</v>
      </c>
      <c r="I1452" s="717" t="s">
        <v>881</v>
      </c>
      <c r="J1452" s="717" t="s">
        <v>111</v>
      </c>
      <c r="K1452" s="245" t="s">
        <v>110</v>
      </c>
      <c r="L1452" s="741">
        <v>0.5</v>
      </c>
      <c r="M1452" s="729"/>
      <c r="N1452" s="685" t="s">
        <v>2123</v>
      </c>
      <c r="O1452" s="738"/>
      <c r="P1452" s="734">
        <v>6</v>
      </c>
      <c r="Q1452" s="418">
        <v>0.4</v>
      </c>
      <c r="R1452" s="734"/>
      <c r="S1452" s="731">
        <f t="shared" si="44"/>
        <v>0</v>
      </c>
      <c r="T1452" s="732">
        <f t="shared" si="45"/>
        <v>0</v>
      </c>
      <c r="U1452" s="733" t="s">
        <v>34</v>
      </c>
      <c r="V1452" s="733"/>
      <c r="W1452" s="248"/>
    </row>
    <row r="1453" spans="1:23" ht="16.05" customHeight="1" x14ac:dyDescent="0.45">
      <c r="A1453" s="1">
        <v>1452</v>
      </c>
      <c r="B1453" s="245" t="s">
        <v>924</v>
      </c>
      <c r="C1453" s="245" t="s">
        <v>24</v>
      </c>
      <c r="D1453" s="709">
        <v>6372</v>
      </c>
      <c r="E1453" s="744" t="s">
        <v>2119</v>
      </c>
      <c r="F1453" s="745" t="s">
        <v>2093</v>
      </c>
      <c r="G1453" s="248">
        <v>5197</v>
      </c>
      <c r="H1453" s="717" t="s">
        <v>2094</v>
      </c>
      <c r="I1453" s="717" t="s">
        <v>881</v>
      </c>
      <c r="J1453" s="717" t="s">
        <v>111</v>
      </c>
      <c r="K1453" s="245" t="s">
        <v>110</v>
      </c>
      <c r="L1453" s="741">
        <v>0.5</v>
      </c>
      <c r="M1453" s="729"/>
      <c r="N1453" s="685" t="s">
        <v>2124</v>
      </c>
      <c r="O1453" s="738"/>
      <c r="P1453" s="734">
        <v>1</v>
      </c>
      <c r="Q1453" s="418">
        <v>0.2</v>
      </c>
      <c r="R1453" s="734"/>
      <c r="S1453" s="731">
        <f t="shared" si="44"/>
        <v>0</v>
      </c>
      <c r="T1453" s="732">
        <f t="shared" si="45"/>
        <v>0</v>
      </c>
      <c r="U1453" s="733" t="s">
        <v>34</v>
      </c>
      <c r="V1453" s="733"/>
      <c r="W1453" s="248"/>
    </row>
    <row r="1454" spans="1:23" ht="16.05" customHeight="1" x14ac:dyDescent="0.45">
      <c r="A1454" s="1">
        <v>1453</v>
      </c>
      <c r="B1454" s="236" t="s">
        <v>924</v>
      </c>
      <c r="C1454" s="236" t="s">
        <v>24</v>
      </c>
      <c r="D1454" s="349">
        <v>6459</v>
      </c>
      <c r="E1454" s="691" t="s">
        <v>2125</v>
      </c>
      <c r="F1454" s="691" t="s">
        <v>2093</v>
      </c>
      <c r="G1454" s="238">
        <v>5197</v>
      </c>
      <c r="H1454" s="691" t="s">
        <v>2094</v>
      </c>
      <c r="I1454" s="691" t="s">
        <v>881</v>
      </c>
      <c r="J1454" s="691" t="s">
        <v>58</v>
      </c>
      <c r="K1454" s="236" t="s">
        <v>57</v>
      </c>
      <c r="L1454" s="350">
        <v>0.5</v>
      </c>
      <c r="M1454" s="735"/>
      <c r="N1454" s="193" t="s">
        <v>893</v>
      </c>
      <c r="O1454" s="705"/>
      <c r="P1454" s="736">
        <v>20000000000</v>
      </c>
      <c r="Q1454" s="350">
        <v>0.3</v>
      </c>
      <c r="R1454" s="736"/>
      <c r="S1454" s="713">
        <f t="shared" si="44"/>
        <v>0</v>
      </c>
      <c r="T1454" s="714">
        <f t="shared" si="45"/>
        <v>0</v>
      </c>
      <c r="U1454" s="715" t="s">
        <v>34</v>
      </c>
      <c r="V1454" s="716">
        <f>SUM(T1454:T1461)%</f>
        <v>0</v>
      </c>
      <c r="W1454" s="238"/>
    </row>
    <row r="1455" spans="1:23" ht="16.05" customHeight="1" x14ac:dyDescent="0.45">
      <c r="A1455" s="1">
        <v>1454</v>
      </c>
      <c r="B1455" s="245" t="s">
        <v>924</v>
      </c>
      <c r="C1455" s="245" t="s">
        <v>24</v>
      </c>
      <c r="D1455" s="413">
        <v>6459</v>
      </c>
      <c r="E1455" s="717" t="s">
        <v>2125</v>
      </c>
      <c r="F1455" s="717" t="s">
        <v>2093</v>
      </c>
      <c r="G1455" s="248">
        <v>5197</v>
      </c>
      <c r="H1455" s="717" t="s">
        <v>2094</v>
      </c>
      <c r="I1455" s="717" t="s">
        <v>881</v>
      </c>
      <c r="J1455" s="718" t="s">
        <v>58</v>
      </c>
      <c r="K1455" s="719" t="s">
        <v>57</v>
      </c>
      <c r="L1455" s="360">
        <v>0.5</v>
      </c>
      <c r="M1455" s="726"/>
      <c r="N1455" s="211" t="s">
        <v>2095</v>
      </c>
      <c r="O1455" s="721"/>
      <c r="P1455" s="728">
        <v>700</v>
      </c>
      <c r="Q1455" s="360">
        <v>0.2</v>
      </c>
      <c r="R1455" s="728"/>
      <c r="S1455" s="723">
        <f t="shared" si="44"/>
        <v>0</v>
      </c>
      <c r="T1455" s="724">
        <f t="shared" si="45"/>
        <v>0</v>
      </c>
      <c r="U1455" s="725" t="s">
        <v>34</v>
      </c>
      <c r="V1455" s="725"/>
      <c r="W1455" s="248"/>
    </row>
    <row r="1456" spans="1:23" ht="16.05" customHeight="1" x14ac:dyDescent="0.45">
      <c r="A1456" s="1">
        <v>1455</v>
      </c>
      <c r="B1456" s="245" t="s">
        <v>924</v>
      </c>
      <c r="C1456" s="245" t="s">
        <v>24</v>
      </c>
      <c r="D1456" s="413">
        <v>6459</v>
      </c>
      <c r="E1456" s="717" t="s">
        <v>2125</v>
      </c>
      <c r="F1456" s="717" t="s">
        <v>2093</v>
      </c>
      <c r="G1456" s="248">
        <v>5197</v>
      </c>
      <c r="H1456" s="717" t="s">
        <v>2094</v>
      </c>
      <c r="I1456" s="717" t="s">
        <v>881</v>
      </c>
      <c r="J1456" s="718" t="s">
        <v>58</v>
      </c>
      <c r="K1456" s="719" t="s">
        <v>57</v>
      </c>
      <c r="L1456" s="360">
        <v>0.5</v>
      </c>
      <c r="M1456" s="726"/>
      <c r="N1456" s="211" t="s">
        <v>2109</v>
      </c>
      <c r="O1456" s="721"/>
      <c r="P1456" s="728">
        <v>16</v>
      </c>
      <c r="Q1456" s="360">
        <v>0.3</v>
      </c>
      <c r="R1456" s="728"/>
      <c r="S1456" s="723">
        <f t="shared" si="44"/>
        <v>0</v>
      </c>
      <c r="T1456" s="724">
        <f t="shared" si="45"/>
        <v>0</v>
      </c>
      <c r="U1456" s="725" t="s">
        <v>34</v>
      </c>
      <c r="V1456" s="725"/>
      <c r="W1456" s="248"/>
    </row>
    <row r="1457" spans="1:23" ht="16.05" customHeight="1" x14ac:dyDescent="0.45">
      <c r="A1457" s="1">
        <v>1456</v>
      </c>
      <c r="B1457" s="245" t="s">
        <v>924</v>
      </c>
      <c r="C1457" s="245" t="s">
        <v>24</v>
      </c>
      <c r="D1457" s="413">
        <v>6459</v>
      </c>
      <c r="E1457" s="717" t="s">
        <v>2125</v>
      </c>
      <c r="F1457" s="717" t="s">
        <v>2093</v>
      </c>
      <c r="G1457" s="248">
        <v>5198</v>
      </c>
      <c r="H1457" s="717" t="s">
        <v>2094</v>
      </c>
      <c r="I1457" s="717" t="s">
        <v>881</v>
      </c>
      <c r="J1457" s="718" t="s">
        <v>58</v>
      </c>
      <c r="K1457" s="719" t="s">
        <v>57</v>
      </c>
      <c r="L1457" s="360">
        <v>0.5</v>
      </c>
      <c r="M1457" s="726"/>
      <c r="N1457" s="211" t="s">
        <v>2097</v>
      </c>
      <c r="O1457" s="721"/>
      <c r="P1457" s="728">
        <v>3</v>
      </c>
      <c r="Q1457" s="360">
        <v>0.2</v>
      </c>
      <c r="R1457" s="728"/>
      <c r="S1457" s="723">
        <f t="shared" si="44"/>
        <v>0</v>
      </c>
      <c r="T1457" s="724">
        <f t="shared" si="45"/>
        <v>0</v>
      </c>
      <c r="U1457" s="725" t="s">
        <v>34</v>
      </c>
      <c r="V1457" s="725"/>
      <c r="W1457" s="248"/>
    </row>
    <row r="1458" spans="1:23" ht="16.05" customHeight="1" x14ac:dyDescent="0.45">
      <c r="A1458" s="1">
        <v>1457</v>
      </c>
      <c r="B1458" s="245" t="s">
        <v>924</v>
      </c>
      <c r="C1458" s="245" t="s">
        <v>24</v>
      </c>
      <c r="D1458" s="413">
        <v>6459</v>
      </c>
      <c r="E1458" s="717" t="s">
        <v>2125</v>
      </c>
      <c r="F1458" s="717" t="s">
        <v>2093</v>
      </c>
      <c r="G1458" s="248">
        <v>5199</v>
      </c>
      <c r="H1458" s="717" t="s">
        <v>2094</v>
      </c>
      <c r="I1458" s="717" t="s">
        <v>881</v>
      </c>
      <c r="J1458" s="717" t="s">
        <v>111</v>
      </c>
      <c r="K1458" s="245" t="s">
        <v>110</v>
      </c>
      <c r="L1458" s="418">
        <v>0.5</v>
      </c>
      <c r="M1458" s="729"/>
      <c r="N1458" s="685" t="s">
        <v>2126</v>
      </c>
      <c r="O1458" s="738"/>
      <c r="P1458" s="734">
        <v>9</v>
      </c>
      <c r="Q1458" s="418">
        <v>0.2</v>
      </c>
      <c r="R1458" s="734"/>
      <c r="S1458" s="731">
        <f t="shared" si="44"/>
        <v>0</v>
      </c>
      <c r="T1458" s="732">
        <f t="shared" si="45"/>
        <v>0</v>
      </c>
      <c r="U1458" s="733" t="s">
        <v>34</v>
      </c>
      <c r="V1458" s="733"/>
      <c r="W1458" s="248"/>
    </row>
    <row r="1459" spans="1:23" ht="16.05" customHeight="1" x14ac:dyDescent="0.45">
      <c r="A1459" s="1">
        <v>1458</v>
      </c>
      <c r="B1459" s="245" t="s">
        <v>924</v>
      </c>
      <c r="C1459" s="245" t="s">
        <v>24</v>
      </c>
      <c r="D1459" s="413">
        <v>6459</v>
      </c>
      <c r="E1459" s="717" t="s">
        <v>2125</v>
      </c>
      <c r="F1459" s="717" t="s">
        <v>2093</v>
      </c>
      <c r="G1459" s="248">
        <v>5197</v>
      </c>
      <c r="H1459" s="717" t="s">
        <v>2094</v>
      </c>
      <c r="I1459" s="717" t="s">
        <v>881</v>
      </c>
      <c r="J1459" s="717" t="s">
        <v>111</v>
      </c>
      <c r="K1459" s="245" t="s">
        <v>110</v>
      </c>
      <c r="L1459" s="418">
        <v>0.5</v>
      </c>
      <c r="M1459" s="729"/>
      <c r="N1459" s="685" t="s">
        <v>2127</v>
      </c>
      <c r="O1459" s="738"/>
      <c r="P1459" s="734">
        <v>4</v>
      </c>
      <c r="Q1459" s="418">
        <v>0.4</v>
      </c>
      <c r="R1459" s="734"/>
      <c r="S1459" s="731">
        <f t="shared" si="44"/>
        <v>0</v>
      </c>
      <c r="T1459" s="732">
        <f t="shared" si="45"/>
        <v>0</v>
      </c>
      <c r="U1459" s="733" t="s">
        <v>34</v>
      </c>
      <c r="V1459" s="733"/>
      <c r="W1459" s="248"/>
    </row>
    <row r="1460" spans="1:23" ht="16.05" customHeight="1" x14ac:dyDescent="0.45">
      <c r="A1460" s="1">
        <v>1459</v>
      </c>
      <c r="B1460" s="245" t="s">
        <v>924</v>
      </c>
      <c r="C1460" s="245" t="s">
        <v>24</v>
      </c>
      <c r="D1460" s="413">
        <v>6459</v>
      </c>
      <c r="E1460" s="717" t="s">
        <v>2125</v>
      </c>
      <c r="F1460" s="717" t="s">
        <v>2093</v>
      </c>
      <c r="G1460" s="248">
        <v>5197</v>
      </c>
      <c r="H1460" s="717" t="s">
        <v>2094</v>
      </c>
      <c r="I1460" s="717" t="s">
        <v>881</v>
      </c>
      <c r="J1460" s="717" t="s">
        <v>111</v>
      </c>
      <c r="K1460" s="245" t="s">
        <v>110</v>
      </c>
      <c r="L1460" s="418">
        <v>0.5</v>
      </c>
      <c r="M1460" s="729"/>
      <c r="N1460" s="685" t="s">
        <v>2128</v>
      </c>
      <c r="O1460" s="738"/>
      <c r="P1460" s="734">
        <v>90</v>
      </c>
      <c r="Q1460" s="418">
        <v>0.2</v>
      </c>
      <c r="R1460" s="734"/>
      <c r="S1460" s="731">
        <f t="shared" si="44"/>
        <v>0</v>
      </c>
      <c r="T1460" s="732">
        <f t="shared" si="45"/>
        <v>0</v>
      </c>
      <c r="U1460" s="733" t="s">
        <v>34</v>
      </c>
      <c r="V1460" s="733"/>
      <c r="W1460" s="248"/>
    </row>
    <row r="1461" spans="1:23" ht="16.05" customHeight="1" x14ac:dyDescent="0.45">
      <c r="A1461" s="1">
        <v>1460</v>
      </c>
      <c r="B1461" s="245" t="s">
        <v>924</v>
      </c>
      <c r="C1461" s="245" t="s">
        <v>24</v>
      </c>
      <c r="D1461" s="413">
        <v>6459</v>
      </c>
      <c r="E1461" s="717" t="s">
        <v>2125</v>
      </c>
      <c r="F1461" s="717" t="s">
        <v>2093</v>
      </c>
      <c r="G1461" s="248">
        <v>5197</v>
      </c>
      <c r="H1461" s="717" t="s">
        <v>2094</v>
      </c>
      <c r="I1461" s="717" t="s">
        <v>881</v>
      </c>
      <c r="J1461" s="717" t="s">
        <v>111</v>
      </c>
      <c r="K1461" s="245" t="s">
        <v>110</v>
      </c>
      <c r="L1461" s="418">
        <v>0.5</v>
      </c>
      <c r="M1461" s="729"/>
      <c r="N1461" s="685" t="s">
        <v>2099</v>
      </c>
      <c r="O1461" s="738"/>
      <c r="P1461" s="734">
        <v>2</v>
      </c>
      <c r="Q1461" s="418">
        <v>0.2</v>
      </c>
      <c r="R1461" s="734"/>
      <c r="S1461" s="731">
        <f t="shared" si="44"/>
        <v>0</v>
      </c>
      <c r="T1461" s="732">
        <f t="shared" si="45"/>
        <v>0</v>
      </c>
      <c r="U1461" s="733" t="s">
        <v>34</v>
      </c>
      <c r="V1461" s="733"/>
      <c r="W1461" s="248"/>
    </row>
    <row r="1462" spans="1:23" ht="16.05" customHeight="1" x14ac:dyDescent="0.45">
      <c r="A1462" s="1">
        <v>1461</v>
      </c>
      <c r="B1462" s="195" t="s">
        <v>924</v>
      </c>
      <c r="C1462" s="195" t="s">
        <v>24</v>
      </c>
      <c r="D1462" s="746">
        <v>5176</v>
      </c>
      <c r="E1462" s="195" t="s">
        <v>2129</v>
      </c>
      <c r="F1462" s="195" t="s">
        <v>2130</v>
      </c>
      <c r="G1462" s="747">
        <v>5151</v>
      </c>
      <c r="H1462" s="195" t="s">
        <v>2131</v>
      </c>
      <c r="I1462" s="195" t="s">
        <v>881</v>
      </c>
      <c r="J1462" s="195" t="s">
        <v>58</v>
      </c>
      <c r="K1462" s="195" t="s">
        <v>57</v>
      </c>
      <c r="L1462" s="636">
        <v>0.5</v>
      </c>
      <c r="M1462" s="748" t="s">
        <v>2132</v>
      </c>
      <c r="N1462" s="749" t="s">
        <v>893</v>
      </c>
      <c r="O1462" s="749"/>
      <c r="P1462" s="750">
        <v>70000000000</v>
      </c>
      <c r="Q1462" s="751">
        <v>0.2</v>
      </c>
      <c r="R1462" s="750"/>
      <c r="S1462" s="195">
        <f t="shared" si="44"/>
        <v>0</v>
      </c>
      <c r="T1462" s="196">
        <f t="shared" si="45"/>
        <v>0</v>
      </c>
      <c r="U1462" s="752" t="s">
        <v>34</v>
      </c>
      <c r="V1462" s="753">
        <f>SUM(T1462:T1472)%</f>
        <v>0</v>
      </c>
      <c r="W1462" s="196"/>
    </row>
    <row r="1463" spans="1:23" ht="16.05" customHeight="1" x14ac:dyDescent="0.45">
      <c r="A1463" s="1">
        <v>1462</v>
      </c>
      <c r="B1463" s="216" t="s">
        <v>924</v>
      </c>
      <c r="C1463" s="216" t="s">
        <v>24</v>
      </c>
      <c r="D1463" s="754">
        <v>5176</v>
      </c>
      <c r="E1463" s="216" t="s">
        <v>2129</v>
      </c>
      <c r="F1463" s="216" t="s">
        <v>2130</v>
      </c>
      <c r="G1463" s="755">
        <v>5151</v>
      </c>
      <c r="H1463" s="216" t="s">
        <v>2131</v>
      </c>
      <c r="I1463" s="216" t="s">
        <v>881</v>
      </c>
      <c r="J1463" s="206" t="s">
        <v>58</v>
      </c>
      <c r="K1463" s="206" t="s">
        <v>57</v>
      </c>
      <c r="L1463" s="434">
        <v>0.5</v>
      </c>
      <c r="M1463" s="756" t="s">
        <v>2133</v>
      </c>
      <c r="N1463" s="757" t="s">
        <v>2134</v>
      </c>
      <c r="O1463" s="757"/>
      <c r="P1463" s="758">
        <v>12</v>
      </c>
      <c r="Q1463" s="759">
        <v>0.2</v>
      </c>
      <c r="R1463" s="758"/>
      <c r="S1463" s="206">
        <f t="shared" si="44"/>
        <v>0</v>
      </c>
      <c r="T1463" s="207">
        <f t="shared" si="45"/>
        <v>0</v>
      </c>
      <c r="U1463" s="254" t="s">
        <v>34</v>
      </c>
      <c r="V1463" s="760"/>
      <c r="W1463" s="217"/>
    </row>
    <row r="1464" spans="1:23" ht="16.05" customHeight="1" x14ac:dyDescent="0.45">
      <c r="A1464" s="1">
        <v>1463</v>
      </c>
      <c r="B1464" s="222" t="s">
        <v>924</v>
      </c>
      <c r="C1464" s="222" t="s">
        <v>24</v>
      </c>
      <c r="D1464" s="761">
        <v>5176</v>
      </c>
      <c r="E1464" s="222" t="s">
        <v>2129</v>
      </c>
      <c r="F1464" s="222" t="s">
        <v>2130</v>
      </c>
      <c r="G1464" s="762">
        <v>5151</v>
      </c>
      <c r="H1464" s="222" t="s">
        <v>2131</v>
      </c>
      <c r="I1464" s="222" t="s">
        <v>881</v>
      </c>
      <c r="J1464" s="647" t="s">
        <v>58</v>
      </c>
      <c r="K1464" s="647" t="s">
        <v>57</v>
      </c>
      <c r="L1464" s="346">
        <v>0.5</v>
      </c>
      <c r="M1464" s="756" t="s">
        <v>2135</v>
      </c>
      <c r="N1464" s="757" t="s">
        <v>2136</v>
      </c>
      <c r="O1464" s="757"/>
      <c r="P1464" s="206">
        <v>1</v>
      </c>
      <c r="Q1464" s="763">
        <v>0.2</v>
      </c>
      <c r="R1464" s="206"/>
      <c r="S1464" s="647">
        <f t="shared" si="44"/>
        <v>0</v>
      </c>
      <c r="T1464" s="764">
        <f t="shared" si="45"/>
        <v>0</v>
      </c>
      <c r="U1464" s="254" t="s">
        <v>83</v>
      </c>
      <c r="V1464" s="760"/>
      <c r="W1464" s="765"/>
    </row>
    <row r="1465" spans="1:23" ht="16.05" customHeight="1" x14ac:dyDescent="0.45">
      <c r="A1465" s="1">
        <v>1464</v>
      </c>
      <c r="B1465" s="216" t="s">
        <v>924</v>
      </c>
      <c r="C1465" s="216" t="s">
        <v>24</v>
      </c>
      <c r="D1465" s="754">
        <v>5176</v>
      </c>
      <c r="E1465" s="216" t="s">
        <v>2129</v>
      </c>
      <c r="F1465" s="216" t="s">
        <v>2130</v>
      </c>
      <c r="G1465" s="755">
        <v>5151</v>
      </c>
      <c r="H1465" s="216" t="s">
        <v>2131</v>
      </c>
      <c r="I1465" s="216" t="s">
        <v>881</v>
      </c>
      <c r="J1465" s="206" t="s">
        <v>58</v>
      </c>
      <c r="K1465" s="206" t="s">
        <v>57</v>
      </c>
      <c r="L1465" s="346">
        <v>0.5</v>
      </c>
      <c r="M1465" s="756" t="s">
        <v>2133</v>
      </c>
      <c r="N1465" s="757" t="s">
        <v>2137</v>
      </c>
      <c r="O1465" s="757"/>
      <c r="P1465" s="758">
        <v>12</v>
      </c>
      <c r="Q1465" s="759">
        <v>0.15</v>
      </c>
      <c r="R1465" s="758"/>
      <c r="S1465" s="206">
        <f t="shared" si="44"/>
        <v>0</v>
      </c>
      <c r="T1465" s="207">
        <f t="shared" si="45"/>
        <v>0</v>
      </c>
      <c r="U1465" s="254" t="s">
        <v>34</v>
      </c>
      <c r="V1465" s="760"/>
      <c r="W1465" s="217"/>
    </row>
    <row r="1466" spans="1:23" ht="16.05" customHeight="1" x14ac:dyDescent="0.45">
      <c r="A1466" s="1">
        <v>1465</v>
      </c>
      <c r="B1466" s="222" t="s">
        <v>924</v>
      </c>
      <c r="C1466" s="222" t="s">
        <v>24</v>
      </c>
      <c r="D1466" s="761">
        <v>5176</v>
      </c>
      <c r="E1466" s="222" t="s">
        <v>2129</v>
      </c>
      <c r="F1466" s="222" t="s">
        <v>2130</v>
      </c>
      <c r="G1466" s="762">
        <v>5151</v>
      </c>
      <c r="H1466" s="222" t="s">
        <v>2131</v>
      </c>
      <c r="I1466" s="222" t="s">
        <v>881</v>
      </c>
      <c r="J1466" s="647" t="s">
        <v>58</v>
      </c>
      <c r="K1466" s="647" t="s">
        <v>57</v>
      </c>
      <c r="L1466" s="346">
        <v>0.5</v>
      </c>
      <c r="M1466" s="756" t="s">
        <v>2135</v>
      </c>
      <c r="N1466" s="757" t="s">
        <v>2138</v>
      </c>
      <c r="O1466" s="757"/>
      <c r="P1466" s="758">
        <v>3</v>
      </c>
      <c r="Q1466" s="763">
        <v>0.1</v>
      </c>
      <c r="R1466" s="758"/>
      <c r="S1466" s="647">
        <f t="shared" si="44"/>
        <v>0</v>
      </c>
      <c r="T1466" s="764">
        <f t="shared" si="45"/>
        <v>0</v>
      </c>
      <c r="U1466" s="254" t="s">
        <v>34</v>
      </c>
      <c r="V1466" s="760"/>
      <c r="W1466" s="765"/>
    </row>
    <row r="1467" spans="1:23" ht="16.05" customHeight="1" x14ac:dyDescent="0.45">
      <c r="A1467" s="1">
        <v>1466</v>
      </c>
      <c r="B1467" s="222" t="s">
        <v>924</v>
      </c>
      <c r="C1467" s="222" t="s">
        <v>24</v>
      </c>
      <c r="D1467" s="761">
        <v>5176</v>
      </c>
      <c r="E1467" s="222" t="s">
        <v>2129</v>
      </c>
      <c r="F1467" s="222" t="s">
        <v>2130</v>
      </c>
      <c r="G1467" s="762">
        <v>5151</v>
      </c>
      <c r="H1467" s="222" t="s">
        <v>2131</v>
      </c>
      <c r="I1467" s="222" t="s">
        <v>881</v>
      </c>
      <c r="J1467" s="647" t="s">
        <v>58</v>
      </c>
      <c r="K1467" s="647" t="s">
        <v>57</v>
      </c>
      <c r="L1467" s="346">
        <v>0.5</v>
      </c>
      <c r="M1467" s="756" t="s">
        <v>2139</v>
      </c>
      <c r="N1467" s="757" t="s">
        <v>2140</v>
      </c>
      <c r="O1467" s="757"/>
      <c r="P1467" s="758">
        <v>15</v>
      </c>
      <c r="Q1467" s="763">
        <v>0.15</v>
      </c>
      <c r="R1467" s="758"/>
      <c r="S1467" s="647">
        <f t="shared" si="44"/>
        <v>0</v>
      </c>
      <c r="T1467" s="764">
        <f t="shared" si="45"/>
        <v>0</v>
      </c>
      <c r="U1467" s="254" t="s">
        <v>83</v>
      </c>
      <c r="V1467" s="760"/>
      <c r="W1467" s="765"/>
    </row>
    <row r="1468" spans="1:23" ht="16.05" customHeight="1" x14ac:dyDescent="0.45">
      <c r="A1468" s="1">
        <v>1467</v>
      </c>
      <c r="B1468" s="222" t="s">
        <v>924</v>
      </c>
      <c r="C1468" s="222" t="s">
        <v>24</v>
      </c>
      <c r="D1468" s="761">
        <v>5176</v>
      </c>
      <c r="E1468" s="222" t="s">
        <v>2129</v>
      </c>
      <c r="F1468" s="222" t="s">
        <v>2130</v>
      </c>
      <c r="G1468" s="762">
        <v>5151</v>
      </c>
      <c r="H1468" s="222" t="s">
        <v>2131</v>
      </c>
      <c r="I1468" s="222" t="s">
        <v>881</v>
      </c>
      <c r="J1468" s="222" t="s">
        <v>111</v>
      </c>
      <c r="K1468" s="222" t="s">
        <v>110</v>
      </c>
      <c r="L1468" s="282">
        <v>0.5</v>
      </c>
      <c r="M1468" s="766" t="s">
        <v>2141</v>
      </c>
      <c r="N1468" s="767" t="s">
        <v>2142</v>
      </c>
      <c r="O1468" s="767"/>
      <c r="P1468" s="768">
        <v>1</v>
      </c>
      <c r="Q1468" s="769">
        <v>0.25</v>
      </c>
      <c r="R1468" s="768"/>
      <c r="S1468" s="222">
        <f t="shared" si="44"/>
        <v>0</v>
      </c>
      <c r="T1468" s="765">
        <f t="shared" si="45"/>
        <v>0</v>
      </c>
      <c r="U1468" s="770" t="s">
        <v>34</v>
      </c>
      <c r="V1468" s="771"/>
      <c r="W1468" s="765"/>
    </row>
    <row r="1469" spans="1:23" ht="16.05" customHeight="1" x14ac:dyDescent="0.45">
      <c r="A1469" s="1">
        <v>1468</v>
      </c>
      <c r="B1469" s="222" t="s">
        <v>924</v>
      </c>
      <c r="C1469" s="222" t="s">
        <v>24</v>
      </c>
      <c r="D1469" s="761">
        <v>5176</v>
      </c>
      <c r="E1469" s="222" t="s">
        <v>2129</v>
      </c>
      <c r="F1469" s="222" t="s">
        <v>2130</v>
      </c>
      <c r="G1469" s="762">
        <v>5151</v>
      </c>
      <c r="H1469" s="222" t="s">
        <v>2131</v>
      </c>
      <c r="I1469" s="222" t="s">
        <v>881</v>
      </c>
      <c r="J1469" s="222" t="s">
        <v>111</v>
      </c>
      <c r="K1469" s="222" t="s">
        <v>110</v>
      </c>
      <c r="L1469" s="282">
        <v>0.5</v>
      </c>
      <c r="M1469" s="766" t="s">
        <v>2143</v>
      </c>
      <c r="N1469" s="767" t="s">
        <v>2144</v>
      </c>
      <c r="O1469" s="767"/>
      <c r="P1469" s="768">
        <v>0.4</v>
      </c>
      <c r="Q1469" s="769">
        <v>0.25</v>
      </c>
      <c r="R1469" s="768"/>
      <c r="S1469" s="222">
        <f t="shared" si="44"/>
        <v>0</v>
      </c>
      <c r="T1469" s="765">
        <f t="shared" si="45"/>
        <v>0</v>
      </c>
      <c r="U1469" s="770" t="s">
        <v>83</v>
      </c>
      <c r="V1469" s="771"/>
      <c r="W1469" s="765"/>
    </row>
    <row r="1470" spans="1:23" ht="16.05" customHeight="1" x14ac:dyDescent="0.45">
      <c r="A1470" s="1">
        <v>1469</v>
      </c>
      <c r="B1470" s="222" t="s">
        <v>924</v>
      </c>
      <c r="C1470" s="222" t="s">
        <v>24</v>
      </c>
      <c r="D1470" s="761">
        <v>5176</v>
      </c>
      <c r="E1470" s="222" t="s">
        <v>2129</v>
      </c>
      <c r="F1470" s="222" t="s">
        <v>2130</v>
      </c>
      <c r="G1470" s="762">
        <v>5151</v>
      </c>
      <c r="H1470" s="222" t="s">
        <v>2131</v>
      </c>
      <c r="I1470" s="222" t="s">
        <v>881</v>
      </c>
      <c r="J1470" s="222" t="s">
        <v>111</v>
      </c>
      <c r="K1470" s="222" t="s">
        <v>110</v>
      </c>
      <c r="L1470" s="282">
        <v>0.5</v>
      </c>
      <c r="M1470" s="766" t="s">
        <v>2143</v>
      </c>
      <c r="N1470" s="767" t="s">
        <v>2145</v>
      </c>
      <c r="O1470" s="767"/>
      <c r="P1470" s="768">
        <v>1</v>
      </c>
      <c r="Q1470" s="769">
        <v>0.2</v>
      </c>
      <c r="R1470" s="768"/>
      <c r="S1470" s="222">
        <f t="shared" si="44"/>
        <v>0</v>
      </c>
      <c r="T1470" s="765">
        <f t="shared" si="45"/>
        <v>0</v>
      </c>
      <c r="U1470" s="770" t="s">
        <v>34</v>
      </c>
      <c r="V1470" s="771"/>
      <c r="W1470" s="765"/>
    </row>
    <row r="1471" spans="1:23" ht="16.05" customHeight="1" x14ac:dyDescent="0.45">
      <c r="A1471" s="1">
        <v>1470</v>
      </c>
      <c r="B1471" s="222" t="s">
        <v>924</v>
      </c>
      <c r="C1471" s="222" t="s">
        <v>24</v>
      </c>
      <c r="D1471" s="761">
        <v>5176</v>
      </c>
      <c r="E1471" s="222" t="s">
        <v>2129</v>
      </c>
      <c r="F1471" s="222" t="s">
        <v>2130</v>
      </c>
      <c r="G1471" s="762">
        <v>5151</v>
      </c>
      <c r="H1471" s="222" t="s">
        <v>2131</v>
      </c>
      <c r="I1471" s="222" t="s">
        <v>881</v>
      </c>
      <c r="J1471" s="222" t="s">
        <v>111</v>
      </c>
      <c r="K1471" s="222" t="s">
        <v>110</v>
      </c>
      <c r="L1471" s="282">
        <v>0.5</v>
      </c>
      <c r="M1471" s="766" t="s">
        <v>2146</v>
      </c>
      <c r="N1471" s="767" t="s">
        <v>2147</v>
      </c>
      <c r="O1471" s="767"/>
      <c r="P1471" s="772">
        <v>1</v>
      </c>
      <c r="Q1471" s="769">
        <v>0.1</v>
      </c>
      <c r="R1471" s="772"/>
      <c r="S1471" s="222">
        <f t="shared" si="44"/>
        <v>0</v>
      </c>
      <c r="T1471" s="765">
        <f t="shared" si="45"/>
        <v>0</v>
      </c>
      <c r="U1471" s="770" t="s">
        <v>34</v>
      </c>
      <c r="V1471" s="771"/>
      <c r="W1471" s="765"/>
    </row>
    <row r="1472" spans="1:23" ht="16.05" customHeight="1" x14ac:dyDescent="0.45">
      <c r="A1472" s="1">
        <v>1471</v>
      </c>
      <c r="B1472" s="222" t="s">
        <v>924</v>
      </c>
      <c r="C1472" s="222" t="s">
        <v>24</v>
      </c>
      <c r="D1472" s="761">
        <v>5176</v>
      </c>
      <c r="E1472" s="222" t="s">
        <v>2129</v>
      </c>
      <c r="F1472" s="222" t="s">
        <v>2130</v>
      </c>
      <c r="G1472" s="762">
        <v>5151</v>
      </c>
      <c r="H1472" s="222" t="s">
        <v>2131</v>
      </c>
      <c r="I1472" s="222" t="s">
        <v>881</v>
      </c>
      <c r="J1472" s="222" t="s">
        <v>111</v>
      </c>
      <c r="K1472" s="222" t="s">
        <v>110</v>
      </c>
      <c r="L1472" s="282">
        <v>0.5</v>
      </c>
      <c r="M1472" s="766" t="s">
        <v>2148</v>
      </c>
      <c r="N1472" s="767" t="s">
        <v>2149</v>
      </c>
      <c r="O1472" s="767"/>
      <c r="P1472" s="772">
        <v>4</v>
      </c>
      <c r="Q1472" s="769">
        <v>0.2</v>
      </c>
      <c r="R1472" s="772"/>
      <c r="S1472" s="222">
        <f t="shared" si="44"/>
        <v>0</v>
      </c>
      <c r="T1472" s="765">
        <f t="shared" si="45"/>
        <v>0</v>
      </c>
      <c r="U1472" s="770" t="s">
        <v>34</v>
      </c>
      <c r="V1472" s="771"/>
      <c r="W1472" s="765"/>
    </row>
    <row r="1473" spans="1:23" ht="16.05" customHeight="1" x14ac:dyDescent="0.45">
      <c r="A1473" s="1">
        <v>1472</v>
      </c>
      <c r="B1473" s="195" t="s">
        <v>924</v>
      </c>
      <c r="C1473" s="195" t="s">
        <v>24</v>
      </c>
      <c r="D1473" s="746">
        <v>5410</v>
      </c>
      <c r="E1473" s="195" t="s">
        <v>2150</v>
      </c>
      <c r="F1473" s="195" t="s">
        <v>2151</v>
      </c>
      <c r="G1473" s="747">
        <v>5151</v>
      </c>
      <c r="H1473" s="195" t="s">
        <v>2131</v>
      </c>
      <c r="I1473" s="195" t="s">
        <v>881</v>
      </c>
      <c r="J1473" s="195" t="s">
        <v>58</v>
      </c>
      <c r="K1473" s="195" t="s">
        <v>57</v>
      </c>
      <c r="L1473" s="636">
        <v>0.5</v>
      </c>
      <c r="M1473" s="748" t="s">
        <v>2132</v>
      </c>
      <c r="N1473" s="749" t="s">
        <v>893</v>
      </c>
      <c r="O1473" s="749"/>
      <c r="P1473" s="750">
        <v>30000000000</v>
      </c>
      <c r="Q1473" s="751">
        <v>0.25</v>
      </c>
      <c r="R1473" s="750"/>
      <c r="S1473" s="195">
        <f t="shared" si="44"/>
        <v>0</v>
      </c>
      <c r="T1473" s="196">
        <f t="shared" si="45"/>
        <v>0</v>
      </c>
      <c r="U1473" s="752" t="s">
        <v>34</v>
      </c>
      <c r="V1473" s="753">
        <f>SUM(T1473:T1483)%</f>
        <v>0</v>
      </c>
      <c r="W1473" s="196"/>
    </row>
    <row r="1474" spans="1:23" ht="16.05" customHeight="1" x14ac:dyDescent="0.45">
      <c r="A1474" s="1">
        <v>1473</v>
      </c>
      <c r="B1474" s="216" t="s">
        <v>924</v>
      </c>
      <c r="C1474" s="216" t="s">
        <v>24</v>
      </c>
      <c r="D1474" s="754">
        <v>5410</v>
      </c>
      <c r="E1474" s="216" t="s">
        <v>2150</v>
      </c>
      <c r="F1474" s="216" t="s">
        <v>2151</v>
      </c>
      <c r="G1474" s="755">
        <v>5151</v>
      </c>
      <c r="H1474" s="216" t="s">
        <v>2131</v>
      </c>
      <c r="I1474" s="216" t="s">
        <v>881</v>
      </c>
      <c r="J1474" s="206" t="s">
        <v>58</v>
      </c>
      <c r="K1474" s="206" t="s">
        <v>57</v>
      </c>
      <c r="L1474" s="434">
        <v>0.5</v>
      </c>
      <c r="M1474" s="756" t="s">
        <v>2133</v>
      </c>
      <c r="N1474" s="757" t="s">
        <v>2134</v>
      </c>
      <c r="O1474" s="757"/>
      <c r="P1474" s="758">
        <v>12</v>
      </c>
      <c r="Q1474" s="759">
        <v>0.2</v>
      </c>
      <c r="R1474" s="758"/>
      <c r="S1474" s="206">
        <f t="shared" ref="S1474:S1517" si="46">ROUND(IF(OR(P1474="",R1474=""),0,IF(AND(P1474=0,R1474=0),1,IF(U1474="+",R1474/P1474,P1474/R1474))),2)</f>
        <v>0</v>
      </c>
      <c r="T1474" s="207">
        <f t="shared" ref="T1474:T1517" si="47">IF(AND(S1474&gt;=60%,S1474&lt;100%),S1474*((Q1474*L1474)),IF(S1474=100%,((Q1474*L1474)*S1474)*100%,IF(S1474&gt;100%,((L1474*Q1474)*100%)*100%,0)))*100</f>
        <v>0</v>
      </c>
      <c r="U1474" s="254" t="s">
        <v>34</v>
      </c>
      <c r="V1474" s="760"/>
      <c r="W1474" s="217"/>
    </row>
    <row r="1475" spans="1:23" ht="16.05" customHeight="1" x14ac:dyDescent="0.45">
      <c r="A1475" s="1">
        <v>1474</v>
      </c>
      <c r="B1475" s="216" t="s">
        <v>924</v>
      </c>
      <c r="C1475" s="216" t="s">
        <v>24</v>
      </c>
      <c r="D1475" s="754">
        <v>5410</v>
      </c>
      <c r="E1475" s="216" t="s">
        <v>2150</v>
      </c>
      <c r="F1475" s="216" t="s">
        <v>2151</v>
      </c>
      <c r="G1475" s="755">
        <v>5151</v>
      </c>
      <c r="H1475" s="216" t="s">
        <v>2131</v>
      </c>
      <c r="I1475" s="216" t="s">
        <v>881</v>
      </c>
      <c r="J1475" s="206" t="s">
        <v>58</v>
      </c>
      <c r="K1475" s="206" t="s">
        <v>57</v>
      </c>
      <c r="L1475" s="434">
        <v>0.5</v>
      </c>
      <c r="M1475" s="756" t="s">
        <v>2133</v>
      </c>
      <c r="N1475" s="757" t="s">
        <v>2152</v>
      </c>
      <c r="O1475" s="757"/>
      <c r="P1475" s="758">
        <v>50</v>
      </c>
      <c r="Q1475" s="759">
        <v>0.1</v>
      </c>
      <c r="R1475" s="758"/>
      <c r="S1475" s="206">
        <f t="shared" si="46"/>
        <v>0</v>
      </c>
      <c r="T1475" s="207">
        <f t="shared" si="47"/>
        <v>0</v>
      </c>
      <c r="U1475" s="254" t="s">
        <v>34</v>
      </c>
      <c r="V1475" s="760"/>
      <c r="W1475" s="217"/>
    </row>
    <row r="1476" spans="1:23" ht="16.05" customHeight="1" x14ac:dyDescent="0.45">
      <c r="A1476" s="1">
        <v>1475</v>
      </c>
      <c r="B1476" s="222" t="s">
        <v>924</v>
      </c>
      <c r="C1476" s="222" t="s">
        <v>24</v>
      </c>
      <c r="D1476" s="761">
        <v>5410</v>
      </c>
      <c r="E1476" s="222" t="s">
        <v>2150</v>
      </c>
      <c r="F1476" s="222" t="s">
        <v>2151</v>
      </c>
      <c r="G1476" s="762">
        <v>5151</v>
      </c>
      <c r="H1476" s="222" t="s">
        <v>2131</v>
      </c>
      <c r="I1476" s="222" t="s">
        <v>881</v>
      </c>
      <c r="J1476" s="647" t="s">
        <v>58</v>
      </c>
      <c r="K1476" s="647" t="s">
        <v>57</v>
      </c>
      <c r="L1476" s="346">
        <v>0.5</v>
      </c>
      <c r="M1476" s="756" t="s">
        <v>2135</v>
      </c>
      <c r="N1476" s="757" t="s">
        <v>2136</v>
      </c>
      <c r="O1476" s="757"/>
      <c r="P1476" s="206">
        <v>1</v>
      </c>
      <c r="Q1476" s="763">
        <v>0.1</v>
      </c>
      <c r="R1476" s="206"/>
      <c r="S1476" s="647">
        <f t="shared" si="46"/>
        <v>0</v>
      </c>
      <c r="T1476" s="764">
        <f t="shared" si="47"/>
        <v>0</v>
      </c>
      <c r="U1476" s="254" t="s">
        <v>83</v>
      </c>
      <c r="V1476" s="760"/>
      <c r="W1476" s="765"/>
    </row>
    <row r="1477" spans="1:23" ht="16.05" customHeight="1" x14ac:dyDescent="0.45">
      <c r="A1477" s="1">
        <v>1476</v>
      </c>
      <c r="B1477" s="222" t="s">
        <v>924</v>
      </c>
      <c r="C1477" s="222" t="s">
        <v>24</v>
      </c>
      <c r="D1477" s="761">
        <v>5410</v>
      </c>
      <c r="E1477" s="222" t="s">
        <v>2150</v>
      </c>
      <c r="F1477" s="222" t="s">
        <v>2151</v>
      </c>
      <c r="G1477" s="762">
        <v>5151</v>
      </c>
      <c r="H1477" s="222" t="s">
        <v>2131</v>
      </c>
      <c r="I1477" s="222" t="s">
        <v>881</v>
      </c>
      <c r="J1477" s="647" t="s">
        <v>58</v>
      </c>
      <c r="K1477" s="647" t="s">
        <v>57</v>
      </c>
      <c r="L1477" s="346">
        <v>0.5</v>
      </c>
      <c r="M1477" s="756" t="s">
        <v>2135</v>
      </c>
      <c r="N1477" s="757" t="s">
        <v>2138</v>
      </c>
      <c r="O1477" s="757"/>
      <c r="P1477" s="758">
        <v>3</v>
      </c>
      <c r="Q1477" s="763">
        <v>0.15</v>
      </c>
      <c r="R1477" s="758"/>
      <c r="S1477" s="647">
        <f t="shared" si="46"/>
        <v>0</v>
      </c>
      <c r="T1477" s="764">
        <f t="shared" si="47"/>
        <v>0</v>
      </c>
      <c r="U1477" s="254" t="s">
        <v>34</v>
      </c>
      <c r="V1477" s="760"/>
      <c r="W1477" s="765"/>
    </row>
    <row r="1478" spans="1:23" ht="16.05" customHeight="1" x14ac:dyDescent="0.45">
      <c r="A1478" s="1">
        <v>1477</v>
      </c>
      <c r="B1478" s="222" t="s">
        <v>924</v>
      </c>
      <c r="C1478" s="222" t="s">
        <v>24</v>
      </c>
      <c r="D1478" s="761">
        <v>5410</v>
      </c>
      <c r="E1478" s="222" t="s">
        <v>2150</v>
      </c>
      <c r="F1478" s="222" t="s">
        <v>2151</v>
      </c>
      <c r="G1478" s="762">
        <v>5151</v>
      </c>
      <c r="H1478" s="222" t="s">
        <v>2131</v>
      </c>
      <c r="I1478" s="222" t="s">
        <v>881</v>
      </c>
      <c r="J1478" s="647" t="s">
        <v>58</v>
      </c>
      <c r="K1478" s="647" t="s">
        <v>57</v>
      </c>
      <c r="L1478" s="346">
        <v>0.5</v>
      </c>
      <c r="M1478" s="756" t="s">
        <v>2139</v>
      </c>
      <c r="N1478" s="757" t="s">
        <v>2153</v>
      </c>
      <c r="O1478" s="757"/>
      <c r="P1478" s="758">
        <v>30</v>
      </c>
      <c r="Q1478" s="763">
        <v>0.2</v>
      </c>
      <c r="R1478" s="758"/>
      <c r="S1478" s="647">
        <f t="shared" si="46"/>
        <v>0</v>
      </c>
      <c r="T1478" s="764">
        <f t="shared" si="47"/>
        <v>0</v>
      </c>
      <c r="U1478" s="254" t="s">
        <v>83</v>
      </c>
      <c r="V1478" s="760"/>
      <c r="W1478" s="765"/>
    </row>
    <row r="1479" spans="1:23" ht="16.05" customHeight="1" x14ac:dyDescent="0.45">
      <c r="A1479" s="1">
        <v>1478</v>
      </c>
      <c r="B1479" s="222" t="s">
        <v>924</v>
      </c>
      <c r="C1479" s="222" t="s">
        <v>24</v>
      </c>
      <c r="D1479" s="761">
        <v>5410</v>
      </c>
      <c r="E1479" s="222" t="s">
        <v>2150</v>
      </c>
      <c r="F1479" s="222" t="s">
        <v>2151</v>
      </c>
      <c r="G1479" s="762">
        <v>5151</v>
      </c>
      <c r="H1479" s="222" t="s">
        <v>2131</v>
      </c>
      <c r="I1479" s="222" t="s">
        <v>881</v>
      </c>
      <c r="J1479" s="222" t="s">
        <v>111</v>
      </c>
      <c r="K1479" s="222" t="s">
        <v>110</v>
      </c>
      <c r="L1479" s="282">
        <v>0.5</v>
      </c>
      <c r="M1479" s="766" t="s">
        <v>2141</v>
      </c>
      <c r="N1479" s="767" t="s">
        <v>2142</v>
      </c>
      <c r="O1479" s="767"/>
      <c r="P1479" s="768">
        <v>1</v>
      </c>
      <c r="Q1479" s="769">
        <v>0.25</v>
      </c>
      <c r="R1479" s="768"/>
      <c r="S1479" s="222">
        <f t="shared" si="46"/>
        <v>0</v>
      </c>
      <c r="T1479" s="765">
        <f t="shared" si="47"/>
        <v>0</v>
      </c>
      <c r="U1479" s="770" t="s">
        <v>34</v>
      </c>
      <c r="V1479" s="771"/>
      <c r="W1479" s="765"/>
    </row>
    <row r="1480" spans="1:23" ht="16.05" customHeight="1" x14ac:dyDescent="0.45">
      <c r="A1480" s="1">
        <v>1479</v>
      </c>
      <c r="B1480" s="222" t="s">
        <v>924</v>
      </c>
      <c r="C1480" s="222" t="s">
        <v>24</v>
      </c>
      <c r="D1480" s="761">
        <v>5410</v>
      </c>
      <c r="E1480" s="222" t="s">
        <v>2150</v>
      </c>
      <c r="F1480" s="222" t="s">
        <v>2151</v>
      </c>
      <c r="G1480" s="762">
        <v>5151</v>
      </c>
      <c r="H1480" s="222" t="s">
        <v>2131</v>
      </c>
      <c r="I1480" s="222" t="s">
        <v>881</v>
      </c>
      <c r="J1480" s="222" t="s">
        <v>111</v>
      </c>
      <c r="K1480" s="222" t="s">
        <v>110</v>
      </c>
      <c r="L1480" s="282">
        <v>0.5</v>
      </c>
      <c r="M1480" s="766" t="s">
        <v>2143</v>
      </c>
      <c r="N1480" s="767" t="s">
        <v>2144</v>
      </c>
      <c r="O1480" s="767"/>
      <c r="P1480" s="768">
        <v>0.4</v>
      </c>
      <c r="Q1480" s="769">
        <v>0.25</v>
      </c>
      <c r="R1480" s="768"/>
      <c r="S1480" s="222">
        <f t="shared" si="46"/>
        <v>0</v>
      </c>
      <c r="T1480" s="765">
        <f t="shared" si="47"/>
        <v>0</v>
      </c>
      <c r="U1480" s="770" t="s">
        <v>83</v>
      </c>
      <c r="V1480" s="771"/>
      <c r="W1480" s="765"/>
    </row>
    <row r="1481" spans="1:23" ht="16.05" customHeight="1" x14ac:dyDescent="0.45">
      <c r="A1481" s="1">
        <v>1480</v>
      </c>
      <c r="B1481" s="222" t="s">
        <v>924</v>
      </c>
      <c r="C1481" s="222" t="s">
        <v>24</v>
      </c>
      <c r="D1481" s="761">
        <v>5410</v>
      </c>
      <c r="E1481" s="222" t="s">
        <v>2150</v>
      </c>
      <c r="F1481" s="222" t="s">
        <v>2151</v>
      </c>
      <c r="G1481" s="762">
        <v>5151</v>
      </c>
      <c r="H1481" s="222" t="s">
        <v>2131</v>
      </c>
      <c r="I1481" s="222" t="s">
        <v>881</v>
      </c>
      <c r="J1481" s="222" t="s">
        <v>111</v>
      </c>
      <c r="K1481" s="222" t="s">
        <v>110</v>
      </c>
      <c r="L1481" s="282">
        <v>0.5</v>
      </c>
      <c r="M1481" s="766" t="s">
        <v>2143</v>
      </c>
      <c r="N1481" s="767" t="s">
        <v>2145</v>
      </c>
      <c r="O1481" s="767"/>
      <c r="P1481" s="768">
        <v>1</v>
      </c>
      <c r="Q1481" s="769">
        <v>0.2</v>
      </c>
      <c r="R1481" s="768"/>
      <c r="S1481" s="222">
        <f t="shared" si="46"/>
        <v>0</v>
      </c>
      <c r="T1481" s="765">
        <f t="shared" si="47"/>
        <v>0</v>
      </c>
      <c r="U1481" s="770" t="s">
        <v>34</v>
      </c>
      <c r="V1481" s="771"/>
      <c r="W1481" s="765"/>
    </row>
    <row r="1482" spans="1:23" ht="16.05" customHeight="1" x14ac:dyDescent="0.45">
      <c r="A1482" s="1">
        <v>1481</v>
      </c>
      <c r="B1482" s="222" t="s">
        <v>924</v>
      </c>
      <c r="C1482" s="222" t="s">
        <v>24</v>
      </c>
      <c r="D1482" s="761">
        <v>5410</v>
      </c>
      <c r="E1482" s="222" t="s">
        <v>2150</v>
      </c>
      <c r="F1482" s="222" t="s">
        <v>2151</v>
      </c>
      <c r="G1482" s="762">
        <v>5151</v>
      </c>
      <c r="H1482" s="222" t="s">
        <v>2131</v>
      </c>
      <c r="I1482" s="222" t="s">
        <v>881</v>
      </c>
      <c r="J1482" s="222" t="s">
        <v>111</v>
      </c>
      <c r="K1482" s="222" t="s">
        <v>110</v>
      </c>
      <c r="L1482" s="282">
        <v>0.5</v>
      </c>
      <c r="M1482" s="766" t="s">
        <v>2146</v>
      </c>
      <c r="N1482" s="767" t="s">
        <v>2147</v>
      </c>
      <c r="O1482" s="767"/>
      <c r="P1482" s="772">
        <v>1</v>
      </c>
      <c r="Q1482" s="769">
        <v>0.1</v>
      </c>
      <c r="R1482" s="772"/>
      <c r="S1482" s="222">
        <f t="shared" si="46"/>
        <v>0</v>
      </c>
      <c r="T1482" s="765">
        <f t="shared" si="47"/>
        <v>0</v>
      </c>
      <c r="U1482" s="770" t="s">
        <v>34</v>
      </c>
      <c r="V1482" s="771"/>
      <c r="W1482" s="765"/>
    </row>
    <row r="1483" spans="1:23" ht="16.05" customHeight="1" x14ac:dyDescent="0.45">
      <c r="A1483" s="1">
        <v>1482</v>
      </c>
      <c r="B1483" s="222" t="s">
        <v>924</v>
      </c>
      <c r="C1483" s="222" t="s">
        <v>24</v>
      </c>
      <c r="D1483" s="761">
        <v>5410</v>
      </c>
      <c r="E1483" s="222" t="s">
        <v>2150</v>
      </c>
      <c r="F1483" s="222" t="s">
        <v>2151</v>
      </c>
      <c r="G1483" s="762">
        <v>5151</v>
      </c>
      <c r="H1483" s="222" t="s">
        <v>2131</v>
      </c>
      <c r="I1483" s="222" t="s">
        <v>881</v>
      </c>
      <c r="J1483" s="222" t="s">
        <v>111</v>
      </c>
      <c r="K1483" s="222" t="s">
        <v>110</v>
      </c>
      <c r="L1483" s="282">
        <v>0.5</v>
      </c>
      <c r="M1483" s="766" t="s">
        <v>2148</v>
      </c>
      <c r="N1483" s="767" t="s">
        <v>2154</v>
      </c>
      <c r="O1483" s="767"/>
      <c r="P1483" s="772">
        <v>3</v>
      </c>
      <c r="Q1483" s="769">
        <v>0.2</v>
      </c>
      <c r="R1483" s="772"/>
      <c r="S1483" s="222">
        <f t="shared" si="46"/>
        <v>0</v>
      </c>
      <c r="T1483" s="765">
        <f t="shared" si="47"/>
        <v>0</v>
      </c>
      <c r="U1483" s="770" t="s">
        <v>34</v>
      </c>
      <c r="V1483" s="771"/>
      <c r="W1483" s="765"/>
    </row>
    <row r="1484" spans="1:23" ht="16.05" customHeight="1" x14ac:dyDescent="0.45">
      <c r="A1484" s="1">
        <v>1483</v>
      </c>
      <c r="B1484" s="195" t="s">
        <v>924</v>
      </c>
      <c r="C1484" s="195" t="s">
        <v>24</v>
      </c>
      <c r="D1484" s="746">
        <v>6189</v>
      </c>
      <c r="E1484" s="195" t="s">
        <v>2155</v>
      </c>
      <c r="F1484" s="195" t="s">
        <v>2151</v>
      </c>
      <c r="G1484" s="747">
        <v>5151</v>
      </c>
      <c r="H1484" s="195" t="s">
        <v>2131</v>
      </c>
      <c r="I1484" s="195" t="s">
        <v>881</v>
      </c>
      <c r="J1484" s="195" t="s">
        <v>58</v>
      </c>
      <c r="K1484" s="195" t="s">
        <v>57</v>
      </c>
      <c r="L1484" s="636">
        <v>0.5</v>
      </c>
      <c r="M1484" s="748" t="s">
        <v>2132</v>
      </c>
      <c r="N1484" s="749" t="s">
        <v>893</v>
      </c>
      <c r="O1484" s="749"/>
      <c r="P1484" s="750">
        <v>50000000000</v>
      </c>
      <c r="Q1484" s="751">
        <v>0.25</v>
      </c>
      <c r="R1484" s="750"/>
      <c r="S1484" s="195">
        <f t="shared" si="46"/>
        <v>0</v>
      </c>
      <c r="T1484" s="196">
        <f t="shared" si="47"/>
        <v>0</v>
      </c>
      <c r="U1484" s="752" t="s">
        <v>34</v>
      </c>
      <c r="V1484" s="753">
        <f>SUM(T1484:T1493)%</f>
        <v>0</v>
      </c>
      <c r="W1484" s="196"/>
    </row>
    <row r="1485" spans="1:23" ht="16.05" customHeight="1" x14ac:dyDescent="0.45">
      <c r="A1485" s="1">
        <v>1484</v>
      </c>
      <c r="B1485" s="216" t="s">
        <v>924</v>
      </c>
      <c r="C1485" s="216" t="s">
        <v>24</v>
      </c>
      <c r="D1485" s="754">
        <v>6189</v>
      </c>
      <c r="E1485" s="216" t="s">
        <v>2155</v>
      </c>
      <c r="F1485" s="216" t="s">
        <v>2151</v>
      </c>
      <c r="G1485" s="755">
        <v>5151</v>
      </c>
      <c r="H1485" s="216" t="s">
        <v>2131</v>
      </c>
      <c r="I1485" s="216" t="s">
        <v>881</v>
      </c>
      <c r="J1485" s="206" t="s">
        <v>58</v>
      </c>
      <c r="K1485" s="206" t="s">
        <v>57</v>
      </c>
      <c r="L1485" s="434">
        <v>0.5</v>
      </c>
      <c r="M1485" s="756" t="s">
        <v>2133</v>
      </c>
      <c r="N1485" s="757" t="s">
        <v>2134</v>
      </c>
      <c r="O1485" s="757"/>
      <c r="P1485" s="758">
        <v>12</v>
      </c>
      <c r="Q1485" s="759">
        <v>0.2</v>
      </c>
      <c r="R1485" s="758"/>
      <c r="S1485" s="206">
        <f t="shared" si="46"/>
        <v>0</v>
      </c>
      <c r="T1485" s="207">
        <f t="shared" si="47"/>
        <v>0</v>
      </c>
      <c r="U1485" s="254" t="s">
        <v>34</v>
      </c>
      <c r="V1485" s="760"/>
      <c r="W1485" s="217"/>
    </row>
    <row r="1486" spans="1:23" ht="16.05" customHeight="1" x14ac:dyDescent="0.45">
      <c r="A1486" s="1">
        <v>1485</v>
      </c>
      <c r="B1486" s="216" t="s">
        <v>924</v>
      </c>
      <c r="C1486" s="216" t="s">
        <v>24</v>
      </c>
      <c r="D1486" s="754">
        <v>6189</v>
      </c>
      <c r="E1486" s="216" t="s">
        <v>2155</v>
      </c>
      <c r="F1486" s="216" t="s">
        <v>2151</v>
      </c>
      <c r="G1486" s="755">
        <v>5151</v>
      </c>
      <c r="H1486" s="216" t="s">
        <v>2131</v>
      </c>
      <c r="I1486" s="216" t="s">
        <v>881</v>
      </c>
      <c r="J1486" s="206" t="s">
        <v>58</v>
      </c>
      <c r="K1486" s="206" t="s">
        <v>57</v>
      </c>
      <c r="L1486" s="434">
        <v>0.5</v>
      </c>
      <c r="M1486" s="756" t="s">
        <v>2133</v>
      </c>
      <c r="N1486" s="757" t="s">
        <v>2156</v>
      </c>
      <c r="O1486" s="757"/>
      <c r="P1486" s="758">
        <v>12</v>
      </c>
      <c r="Q1486" s="759">
        <v>0.1</v>
      </c>
      <c r="R1486" s="758"/>
      <c r="S1486" s="206">
        <f t="shared" si="46"/>
        <v>0</v>
      </c>
      <c r="T1486" s="207">
        <f t="shared" si="47"/>
        <v>0</v>
      </c>
      <c r="U1486" s="254" t="s">
        <v>34</v>
      </c>
      <c r="V1486" s="760"/>
      <c r="W1486" s="217"/>
    </row>
    <row r="1487" spans="1:23" ht="16.05" customHeight="1" x14ac:dyDescent="0.45">
      <c r="A1487" s="1">
        <v>1486</v>
      </c>
      <c r="B1487" s="222" t="s">
        <v>924</v>
      </c>
      <c r="C1487" s="222" t="s">
        <v>24</v>
      </c>
      <c r="D1487" s="761">
        <v>6189</v>
      </c>
      <c r="E1487" s="222" t="s">
        <v>2155</v>
      </c>
      <c r="F1487" s="222" t="s">
        <v>2151</v>
      </c>
      <c r="G1487" s="762">
        <v>5151</v>
      </c>
      <c r="H1487" s="222" t="s">
        <v>2131</v>
      </c>
      <c r="I1487" s="222" t="s">
        <v>881</v>
      </c>
      <c r="J1487" s="647" t="s">
        <v>58</v>
      </c>
      <c r="K1487" s="647" t="s">
        <v>57</v>
      </c>
      <c r="L1487" s="346">
        <v>0.5</v>
      </c>
      <c r="M1487" s="756" t="s">
        <v>2135</v>
      </c>
      <c r="N1487" s="757" t="s">
        <v>2136</v>
      </c>
      <c r="O1487" s="757"/>
      <c r="P1487" s="206">
        <v>1</v>
      </c>
      <c r="Q1487" s="763">
        <v>0.1</v>
      </c>
      <c r="R1487" s="206"/>
      <c r="S1487" s="647">
        <f t="shared" si="46"/>
        <v>0</v>
      </c>
      <c r="T1487" s="764">
        <f t="shared" si="47"/>
        <v>0</v>
      </c>
      <c r="U1487" s="254" t="s">
        <v>83</v>
      </c>
      <c r="V1487" s="760"/>
      <c r="W1487" s="765"/>
    </row>
    <row r="1488" spans="1:23" ht="16.05" customHeight="1" x14ac:dyDescent="0.45">
      <c r="A1488" s="1">
        <v>1487</v>
      </c>
      <c r="B1488" s="222" t="s">
        <v>924</v>
      </c>
      <c r="C1488" s="222" t="s">
        <v>24</v>
      </c>
      <c r="D1488" s="761">
        <v>6189</v>
      </c>
      <c r="E1488" s="222" t="s">
        <v>2155</v>
      </c>
      <c r="F1488" s="222" t="s">
        <v>2151</v>
      </c>
      <c r="G1488" s="762">
        <v>5151</v>
      </c>
      <c r="H1488" s="222" t="s">
        <v>2131</v>
      </c>
      <c r="I1488" s="222" t="s">
        <v>881</v>
      </c>
      <c r="J1488" s="647" t="s">
        <v>58</v>
      </c>
      <c r="K1488" s="647" t="s">
        <v>57</v>
      </c>
      <c r="L1488" s="346">
        <v>0.5</v>
      </c>
      <c r="M1488" s="756" t="s">
        <v>2135</v>
      </c>
      <c r="N1488" s="757" t="s">
        <v>2138</v>
      </c>
      <c r="O1488" s="757"/>
      <c r="P1488" s="758">
        <v>3</v>
      </c>
      <c r="Q1488" s="763">
        <v>0.15</v>
      </c>
      <c r="R1488" s="758"/>
      <c r="S1488" s="647">
        <f t="shared" si="46"/>
        <v>0</v>
      </c>
      <c r="T1488" s="764">
        <f t="shared" si="47"/>
        <v>0</v>
      </c>
      <c r="U1488" s="254" t="s">
        <v>34</v>
      </c>
      <c r="V1488" s="760"/>
      <c r="W1488" s="765"/>
    </row>
    <row r="1489" spans="1:23" ht="16.05" customHeight="1" x14ac:dyDescent="0.45">
      <c r="A1489" s="1">
        <v>1488</v>
      </c>
      <c r="B1489" s="222" t="s">
        <v>924</v>
      </c>
      <c r="C1489" s="222" t="s">
        <v>24</v>
      </c>
      <c r="D1489" s="761">
        <v>6189</v>
      </c>
      <c r="E1489" s="222" t="s">
        <v>2155</v>
      </c>
      <c r="F1489" s="222" t="s">
        <v>2151</v>
      </c>
      <c r="G1489" s="762">
        <v>5151</v>
      </c>
      <c r="H1489" s="222" t="s">
        <v>2131</v>
      </c>
      <c r="I1489" s="222" t="s">
        <v>881</v>
      </c>
      <c r="J1489" s="647" t="s">
        <v>58</v>
      </c>
      <c r="K1489" s="647" t="s">
        <v>57</v>
      </c>
      <c r="L1489" s="346">
        <v>0.5</v>
      </c>
      <c r="M1489" s="756" t="s">
        <v>2139</v>
      </c>
      <c r="N1489" s="757" t="s">
        <v>2140</v>
      </c>
      <c r="O1489" s="757"/>
      <c r="P1489" s="758">
        <v>15</v>
      </c>
      <c r="Q1489" s="763">
        <v>0.2</v>
      </c>
      <c r="R1489" s="758"/>
      <c r="S1489" s="647">
        <f t="shared" si="46"/>
        <v>0</v>
      </c>
      <c r="T1489" s="764">
        <f t="shared" si="47"/>
        <v>0</v>
      </c>
      <c r="U1489" s="254" t="s">
        <v>83</v>
      </c>
      <c r="V1489" s="760"/>
      <c r="W1489" s="765"/>
    </row>
    <row r="1490" spans="1:23" ht="16.05" customHeight="1" x14ac:dyDescent="0.45">
      <c r="A1490" s="1">
        <v>1489</v>
      </c>
      <c r="B1490" s="222" t="s">
        <v>924</v>
      </c>
      <c r="C1490" s="222" t="s">
        <v>24</v>
      </c>
      <c r="D1490" s="761">
        <v>6189</v>
      </c>
      <c r="E1490" s="222" t="s">
        <v>2155</v>
      </c>
      <c r="F1490" s="222" t="s">
        <v>2151</v>
      </c>
      <c r="G1490" s="762">
        <v>5151</v>
      </c>
      <c r="H1490" s="222" t="s">
        <v>2131</v>
      </c>
      <c r="I1490" s="222" t="s">
        <v>881</v>
      </c>
      <c r="J1490" s="222" t="s">
        <v>111</v>
      </c>
      <c r="K1490" s="222" t="s">
        <v>110</v>
      </c>
      <c r="L1490" s="282">
        <v>0.5</v>
      </c>
      <c r="M1490" s="766" t="s">
        <v>2143</v>
      </c>
      <c r="N1490" s="767" t="s">
        <v>2144</v>
      </c>
      <c r="O1490" s="767"/>
      <c r="P1490" s="768">
        <v>0.4</v>
      </c>
      <c r="Q1490" s="769">
        <v>0.3</v>
      </c>
      <c r="R1490" s="768"/>
      <c r="S1490" s="222">
        <f t="shared" si="46"/>
        <v>0</v>
      </c>
      <c r="T1490" s="765">
        <f t="shared" si="47"/>
        <v>0</v>
      </c>
      <c r="U1490" s="770" t="s">
        <v>83</v>
      </c>
      <c r="V1490" s="771"/>
      <c r="W1490" s="765"/>
    </row>
    <row r="1491" spans="1:23" ht="16.05" customHeight="1" x14ac:dyDescent="0.45">
      <c r="A1491" s="1">
        <v>1490</v>
      </c>
      <c r="B1491" s="222" t="s">
        <v>924</v>
      </c>
      <c r="C1491" s="222" t="s">
        <v>24</v>
      </c>
      <c r="D1491" s="761">
        <v>6189</v>
      </c>
      <c r="E1491" s="222" t="s">
        <v>2155</v>
      </c>
      <c r="F1491" s="222" t="s">
        <v>2151</v>
      </c>
      <c r="G1491" s="762">
        <v>5151</v>
      </c>
      <c r="H1491" s="222" t="s">
        <v>2131</v>
      </c>
      <c r="I1491" s="222" t="s">
        <v>881</v>
      </c>
      <c r="J1491" s="222" t="s">
        <v>111</v>
      </c>
      <c r="K1491" s="222" t="s">
        <v>110</v>
      </c>
      <c r="L1491" s="282">
        <v>0.5</v>
      </c>
      <c r="M1491" s="766" t="s">
        <v>2143</v>
      </c>
      <c r="N1491" s="767" t="s">
        <v>2145</v>
      </c>
      <c r="O1491" s="767"/>
      <c r="P1491" s="768">
        <v>1</v>
      </c>
      <c r="Q1491" s="769">
        <v>0.2</v>
      </c>
      <c r="R1491" s="768"/>
      <c r="S1491" s="222">
        <f t="shared" si="46"/>
        <v>0</v>
      </c>
      <c r="T1491" s="765">
        <f t="shared" si="47"/>
        <v>0</v>
      </c>
      <c r="U1491" s="770" t="s">
        <v>34</v>
      </c>
      <c r="V1491" s="771"/>
      <c r="W1491" s="765"/>
    </row>
    <row r="1492" spans="1:23" ht="16.05" customHeight="1" x14ac:dyDescent="0.45">
      <c r="A1492" s="1">
        <v>1491</v>
      </c>
      <c r="B1492" s="222" t="s">
        <v>924</v>
      </c>
      <c r="C1492" s="222" t="s">
        <v>24</v>
      </c>
      <c r="D1492" s="761">
        <v>6189</v>
      </c>
      <c r="E1492" s="222" t="s">
        <v>2155</v>
      </c>
      <c r="F1492" s="222" t="s">
        <v>2151</v>
      </c>
      <c r="G1492" s="762">
        <v>5151</v>
      </c>
      <c r="H1492" s="222" t="s">
        <v>2131</v>
      </c>
      <c r="I1492" s="222" t="s">
        <v>881</v>
      </c>
      <c r="J1492" s="222" t="s">
        <v>111</v>
      </c>
      <c r="K1492" s="222" t="s">
        <v>110</v>
      </c>
      <c r="L1492" s="282">
        <v>0.5</v>
      </c>
      <c r="M1492" s="766" t="s">
        <v>2146</v>
      </c>
      <c r="N1492" s="767" t="s">
        <v>2147</v>
      </c>
      <c r="O1492" s="767"/>
      <c r="P1492" s="772">
        <v>1</v>
      </c>
      <c r="Q1492" s="769">
        <v>0.2</v>
      </c>
      <c r="R1492" s="772"/>
      <c r="S1492" s="222">
        <f t="shared" si="46"/>
        <v>0</v>
      </c>
      <c r="T1492" s="765">
        <f t="shared" si="47"/>
        <v>0</v>
      </c>
      <c r="U1492" s="770" t="s">
        <v>34</v>
      </c>
      <c r="V1492" s="771"/>
      <c r="W1492" s="765"/>
    </row>
    <row r="1493" spans="1:23" ht="16.05" customHeight="1" x14ac:dyDescent="0.45">
      <c r="A1493" s="1">
        <v>1492</v>
      </c>
      <c r="B1493" s="222" t="s">
        <v>924</v>
      </c>
      <c r="C1493" s="222" t="s">
        <v>24</v>
      </c>
      <c r="D1493" s="761">
        <v>6189</v>
      </c>
      <c r="E1493" s="222" t="s">
        <v>2155</v>
      </c>
      <c r="F1493" s="222" t="s">
        <v>2151</v>
      </c>
      <c r="G1493" s="762">
        <v>5151</v>
      </c>
      <c r="H1493" s="222" t="s">
        <v>2131</v>
      </c>
      <c r="I1493" s="222" t="s">
        <v>881</v>
      </c>
      <c r="J1493" s="222" t="s">
        <v>111</v>
      </c>
      <c r="K1493" s="222" t="s">
        <v>110</v>
      </c>
      <c r="L1493" s="282">
        <v>0.5</v>
      </c>
      <c r="M1493" s="766" t="s">
        <v>2148</v>
      </c>
      <c r="N1493" s="767" t="s">
        <v>2154</v>
      </c>
      <c r="O1493" s="767"/>
      <c r="P1493" s="772">
        <v>3</v>
      </c>
      <c r="Q1493" s="769">
        <v>0.3</v>
      </c>
      <c r="R1493" s="772"/>
      <c r="S1493" s="222">
        <f t="shared" si="46"/>
        <v>0</v>
      </c>
      <c r="T1493" s="765">
        <f t="shared" si="47"/>
        <v>0</v>
      </c>
      <c r="U1493" s="770" t="s">
        <v>34</v>
      </c>
      <c r="V1493" s="771"/>
      <c r="W1493" s="765"/>
    </row>
    <row r="1494" spans="1:23" ht="16.05" customHeight="1" x14ac:dyDescent="0.45">
      <c r="A1494" s="1">
        <v>1493</v>
      </c>
      <c r="B1494" s="236" t="s">
        <v>924</v>
      </c>
      <c r="C1494" s="187" t="s">
        <v>24</v>
      </c>
      <c r="D1494" s="349">
        <v>3458</v>
      </c>
      <c r="E1494" s="236" t="s">
        <v>2157</v>
      </c>
      <c r="F1494" s="236" t="s">
        <v>902</v>
      </c>
      <c r="G1494" s="238">
        <v>3889</v>
      </c>
      <c r="H1494" s="236" t="s">
        <v>2158</v>
      </c>
      <c r="I1494" s="236" t="s">
        <v>881</v>
      </c>
      <c r="J1494" s="187" t="s">
        <v>58</v>
      </c>
      <c r="K1494" s="187" t="s">
        <v>57</v>
      </c>
      <c r="L1494" s="350">
        <v>0.5</v>
      </c>
      <c r="M1494" s="191"/>
      <c r="N1494" s="192" t="s">
        <v>2159</v>
      </c>
      <c r="O1494" s="193"/>
      <c r="P1494" s="773">
        <v>30</v>
      </c>
      <c r="Q1494" s="636">
        <v>0.15</v>
      </c>
      <c r="R1494" s="773"/>
      <c r="S1494" s="195">
        <f t="shared" si="46"/>
        <v>0</v>
      </c>
      <c r="T1494" s="196">
        <f t="shared" si="47"/>
        <v>0</v>
      </c>
      <c r="U1494" s="241" t="s">
        <v>34</v>
      </c>
      <c r="V1494" s="774">
        <f>SUM(T1494:T1504)%</f>
        <v>0</v>
      </c>
      <c r="W1494" s="243"/>
    </row>
    <row r="1495" spans="1:23" ht="16.05" customHeight="1" x14ac:dyDescent="0.45">
      <c r="A1495" s="1">
        <v>1494</v>
      </c>
      <c r="B1495" s="245" t="s">
        <v>924</v>
      </c>
      <c r="C1495" s="246" t="s">
        <v>24</v>
      </c>
      <c r="D1495" s="413">
        <v>3458</v>
      </c>
      <c r="E1495" s="245" t="s">
        <v>2157</v>
      </c>
      <c r="F1495" s="245" t="s">
        <v>902</v>
      </c>
      <c r="G1495" s="248">
        <v>3889</v>
      </c>
      <c r="H1495" s="245" t="s">
        <v>2158</v>
      </c>
      <c r="I1495" s="245" t="s">
        <v>881</v>
      </c>
      <c r="J1495" s="692" t="s">
        <v>58</v>
      </c>
      <c r="K1495" s="692" t="s">
        <v>57</v>
      </c>
      <c r="L1495" s="360">
        <v>0.5</v>
      </c>
      <c r="M1495" s="202"/>
      <c r="N1495" s="203" t="s">
        <v>2160</v>
      </c>
      <c r="O1495" s="211"/>
      <c r="P1495" s="254">
        <v>1</v>
      </c>
      <c r="Q1495" s="434">
        <v>0.15</v>
      </c>
      <c r="R1495" s="254"/>
      <c r="S1495" s="206">
        <f t="shared" si="46"/>
        <v>0</v>
      </c>
      <c r="T1495" s="207">
        <f t="shared" si="47"/>
        <v>0</v>
      </c>
      <c r="U1495" s="251" t="s">
        <v>34</v>
      </c>
      <c r="V1495" s="209"/>
      <c r="W1495" s="253"/>
    </row>
    <row r="1496" spans="1:23" ht="16.05" customHeight="1" x14ac:dyDescent="0.45">
      <c r="A1496" s="1">
        <v>1495</v>
      </c>
      <c r="B1496" s="245" t="s">
        <v>924</v>
      </c>
      <c r="C1496" s="246" t="s">
        <v>24</v>
      </c>
      <c r="D1496" s="413">
        <v>3458</v>
      </c>
      <c r="E1496" s="245" t="s">
        <v>2157</v>
      </c>
      <c r="F1496" s="245" t="s">
        <v>902</v>
      </c>
      <c r="G1496" s="248">
        <v>3889</v>
      </c>
      <c r="H1496" s="245" t="s">
        <v>2158</v>
      </c>
      <c r="I1496" s="245" t="s">
        <v>881</v>
      </c>
      <c r="J1496" s="692" t="s">
        <v>58</v>
      </c>
      <c r="K1496" s="692" t="s">
        <v>57</v>
      </c>
      <c r="L1496" s="360">
        <v>0.5</v>
      </c>
      <c r="M1496" s="202"/>
      <c r="N1496" s="203" t="s">
        <v>2161</v>
      </c>
      <c r="O1496" s="211"/>
      <c r="P1496" s="254">
        <v>1</v>
      </c>
      <c r="Q1496" s="434">
        <v>0.2</v>
      </c>
      <c r="R1496" s="254"/>
      <c r="S1496" s="206">
        <f t="shared" si="46"/>
        <v>0</v>
      </c>
      <c r="T1496" s="207">
        <f t="shared" si="47"/>
        <v>0</v>
      </c>
      <c r="U1496" s="251" t="s">
        <v>34</v>
      </c>
      <c r="V1496" s="209"/>
      <c r="W1496" s="253"/>
    </row>
    <row r="1497" spans="1:23" ht="16.05" customHeight="1" x14ac:dyDescent="0.45">
      <c r="A1497" s="1">
        <v>1496</v>
      </c>
      <c r="B1497" s="245" t="s">
        <v>924</v>
      </c>
      <c r="C1497" s="246" t="s">
        <v>24</v>
      </c>
      <c r="D1497" s="413">
        <v>3458</v>
      </c>
      <c r="E1497" s="245" t="s">
        <v>2157</v>
      </c>
      <c r="F1497" s="245" t="s">
        <v>902</v>
      </c>
      <c r="G1497" s="248">
        <v>3889</v>
      </c>
      <c r="H1497" s="245" t="s">
        <v>2158</v>
      </c>
      <c r="I1497" s="245" t="s">
        <v>881</v>
      </c>
      <c r="J1497" s="692" t="s">
        <v>58</v>
      </c>
      <c r="K1497" s="692" t="s">
        <v>57</v>
      </c>
      <c r="L1497" s="360">
        <v>0.5</v>
      </c>
      <c r="M1497" s="202"/>
      <c r="N1497" s="203" t="s">
        <v>2162</v>
      </c>
      <c r="O1497" s="211"/>
      <c r="P1497" s="775">
        <v>30</v>
      </c>
      <c r="Q1497" s="434">
        <v>0.15</v>
      </c>
      <c r="R1497" s="775"/>
      <c r="S1497" s="206">
        <f t="shared" si="46"/>
        <v>0</v>
      </c>
      <c r="T1497" s="207">
        <f t="shared" si="47"/>
        <v>0</v>
      </c>
      <c r="U1497" s="251" t="s">
        <v>34</v>
      </c>
      <c r="V1497" s="209"/>
      <c r="W1497" s="253"/>
    </row>
    <row r="1498" spans="1:23" ht="16.05" customHeight="1" x14ac:dyDescent="0.45">
      <c r="A1498" s="1">
        <v>1497</v>
      </c>
      <c r="B1498" s="245" t="s">
        <v>924</v>
      </c>
      <c r="C1498" s="246" t="s">
        <v>24</v>
      </c>
      <c r="D1498" s="413">
        <v>3458</v>
      </c>
      <c r="E1498" s="245" t="s">
        <v>2157</v>
      </c>
      <c r="F1498" s="245" t="s">
        <v>902</v>
      </c>
      <c r="G1498" s="248">
        <v>3889</v>
      </c>
      <c r="H1498" s="245" t="s">
        <v>2158</v>
      </c>
      <c r="I1498" s="245" t="s">
        <v>881</v>
      </c>
      <c r="J1498" s="692" t="s">
        <v>58</v>
      </c>
      <c r="K1498" s="692" t="s">
        <v>57</v>
      </c>
      <c r="L1498" s="360">
        <v>0.5</v>
      </c>
      <c r="M1498" s="202"/>
      <c r="N1498" s="203" t="s">
        <v>2163</v>
      </c>
      <c r="O1498" s="249"/>
      <c r="P1498" s="254">
        <v>1</v>
      </c>
      <c r="Q1498" s="434">
        <v>0.2</v>
      </c>
      <c r="R1498" s="254"/>
      <c r="S1498" s="206">
        <f t="shared" si="46"/>
        <v>0</v>
      </c>
      <c r="T1498" s="207">
        <f t="shared" si="47"/>
        <v>0</v>
      </c>
      <c r="U1498" s="251" t="s">
        <v>34</v>
      </c>
      <c r="V1498" s="209"/>
      <c r="W1498" s="253"/>
    </row>
    <row r="1499" spans="1:23" ht="16.05" customHeight="1" x14ac:dyDescent="0.45">
      <c r="A1499" s="1">
        <v>1498</v>
      </c>
      <c r="B1499" s="245" t="s">
        <v>924</v>
      </c>
      <c r="C1499" s="246" t="s">
        <v>24</v>
      </c>
      <c r="D1499" s="413">
        <v>3458</v>
      </c>
      <c r="E1499" s="245" t="s">
        <v>2157</v>
      </c>
      <c r="F1499" s="245" t="s">
        <v>902</v>
      </c>
      <c r="G1499" s="248">
        <v>3889</v>
      </c>
      <c r="H1499" s="245" t="s">
        <v>2158</v>
      </c>
      <c r="I1499" s="245" t="s">
        <v>881</v>
      </c>
      <c r="J1499" s="692" t="s">
        <v>58</v>
      </c>
      <c r="K1499" s="692" t="s">
        <v>57</v>
      </c>
      <c r="L1499" s="360">
        <v>0.5</v>
      </c>
      <c r="M1499" s="202"/>
      <c r="N1499" s="203" t="s">
        <v>2164</v>
      </c>
      <c r="O1499" s="211"/>
      <c r="P1499" s="254">
        <v>1</v>
      </c>
      <c r="Q1499" s="434">
        <v>0.15</v>
      </c>
      <c r="R1499" s="254"/>
      <c r="S1499" s="206">
        <f t="shared" si="46"/>
        <v>0</v>
      </c>
      <c r="T1499" s="207">
        <f t="shared" si="47"/>
        <v>0</v>
      </c>
      <c r="U1499" s="251" t="s">
        <v>34</v>
      </c>
      <c r="V1499" s="209"/>
      <c r="W1499" s="253"/>
    </row>
    <row r="1500" spans="1:23" ht="16.05" customHeight="1" x14ac:dyDescent="0.45">
      <c r="A1500" s="1">
        <v>1499</v>
      </c>
      <c r="B1500" s="245" t="s">
        <v>924</v>
      </c>
      <c r="C1500" s="246" t="s">
        <v>24</v>
      </c>
      <c r="D1500" s="413">
        <v>3458</v>
      </c>
      <c r="E1500" s="245" t="s">
        <v>2157</v>
      </c>
      <c r="F1500" s="245" t="s">
        <v>902</v>
      </c>
      <c r="G1500" s="248">
        <v>3889</v>
      </c>
      <c r="H1500" s="245" t="s">
        <v>2158</v>
      </c>
      <c r="I1500" s="245" t="s">
        <v>881</v>
      </c>
      <c r="J1500" s="246" t="s">
        <v>111</v>
      </c>
      <c r="K1500" s="246" t="s">
        <v>110</v>
      </c>
      <c r="L1500" s="418">
        <v>0.5</v>
      </c>
      <c r="M1500" s="258"/>
      <c r="N1500" s="259" t="s">
        <v>2165</v>
      </c>
      <c r="O1500" s="685"/>
      <c r="P1500" s="261">
        <v>1</v>
      </c>
      <c r="Q1500" s="332">
        <v>0.2</v>
      </c>
      <c r="R1500" s="261"/>
      <c r="S1500" s="262">
        <f t="shared" si="46"/>
        <v>0</v>
      </c>
      <c r="T1500" s="263">
        <f t="shared" si="47"/>
        <v>0</v>
      </c>
      <c r="U1500" s="264" t="s">
        <v>34</v>
      </c>
      <c r="V1500" s="265"/>
      <c r="W1500" s="253"/>
    </row>
    <row r="1501" spans="1:23" ht="16.05" customHeight="1" x14ac:dyDescent="0.45">
      <c r="A1501" s="1">
        <v>1500</v>
      </c>
      <c r="B1501" s="245" t="s">
        <v>924</v>
      </c>
      <c r="C1501" s="246" t="s">
        <v>24</v>
      </c>
      <c r="D1501" s="413">
        <v>3458</v>
      </c>
      <c r="E1501" s="245" t="s">
        <v>2157</v>
      </c>
      <c r="F1501" s="245" t="s">
        <v>902</v>
      </c>
      <c r="G1501" s="248">
        <v>3889</v>
      </c>
      <c r="H1501" s="245" t="s">
        <v>2158</v>
      </c>
      <c r="I1501" s="245" t="s">
        <v>881</v>
      </c>
      <c r="J1501" s="246" t="s">
        <v>111</v>
      </c>
      <c r="K1501" s="246" t="s">
        <v>110</v>
      </c>
      <c r="L1501" s="418">
        <v>0.5</v>
      </c>
      <c r="M1501" s="258"/>
      <c r="N1501" s="259" t="s">
        <v>2166</v>
      </c>
      <c r="O1501" s="685"/>
      <c r="P1501" s="261">
        <v>1</v>
      </c>
      <c r="Q1501" s="332">
        <v>0.2</v>
      </c>
      <c r="R1501" s="261"/>
      <c r="S1501" s="262">
        <f t="shared" si="46"/>
        <v>0</v>
      </c>
      <c r="T1501" s="263">
        <f t="shared" si="47"/>
        <v>0</v>
      </c>
      <c r="U1501" s="264" t="s">
        <v>34</v>
      </c>
      <c r="V1501" s="265"/>
      <c r="W1501" s="253"/>
    </row>
    <row r="1502" spans="1:23" ht="16.05" customHeight="1" x14ac:dyDescent="0.45">
      <c r="A1502" s="1">
        <v>1501</v>
      </c>
      <c r="B1502" s="245" t="s">
        <v>924</v>
      </c>
      <c r="C1502" s="246" t="s">
        <v>24</v>
      </c>
      <c r="D1502" s="413">
        <v>3458</v>
      </c>
      <c r="E1502" s="245" t="s">
        <v>2157</v>
      </c>
      <c r="F1502" s="245" t="s">
        <v>902</v>
      </c>
      <c r="G1502" s="248">
        <v>3889</v>
      </c>
      <c r="H1502" s="245" t="s">
        <v>2158</v>
      </c>
      <c r="I1502" s="245" t="s">
        <v>881</v>
      </c>
      <c r="J1502" s="246" t="s">
        <v>111</v>
      </c>
      <c r="K1502" s="246" t="s">
        <v>110</v>
      </c>
      <c r="L1502" s="418">
        <v>0.5</v>
      </c>
      <c r="M1502" s="258"/>
      <c r="N1502" s="259" t="s">
        <v>2167</v>
      </c>
      <c r="O1502" s="685"/>
      <c r="P1502" s="266">
        <v>1</v>
      </c>
      <c r="Q1502" s="332">
        <v>0.2</v>
      </c>
      <c r="R1502" s="266"/>
      <c r="S1502" s="262">
        <f t="shared" si="46"/>
        <v>0</v>
      </c>
      <c r="T1502" s="263">
        <f t="shared" si="47"/>
        <v>0</v>
      </c>
      <c r="U1502" s="264" t="s">
        <v>34</v>
      </c>
      <c r="V1502" s="265"/>
      <c r="W1502" s="253"/>
    </row>
    <row r="1503" spans="1:23" ht="16.05" customHeight="1" x14ac:dyDescent="0.45">
      <c r="A1503" s="1">
        <v>1502</v>
      </c>
      <c r="B1503" s="245" t="s">
        <v>924</v>
      </c>
      <c r="C1503" s="246" t="s">
        <v>24</v>
      </c>
      <c r="D1503" s="413">
        <v>3458</v>
      </c>
      <c r="E1503" s="245" t="s">
        <v>2157</v>
      </c>
      <c r="F1503" s="245" t="s">
        <v>902</v>
      </c>
      <c r="G1503" s="248">
        <v>3889</v>
      </c>
      <c r="H1503" s="245" t="s">
        <v>2158</v>
      </c>
      <c r="I1503" s="245" t="s">
        <v>881</v>
      </c>
      <c r="J1503" s="246" t="s">
        <v>111</v>
      </c>
      <c r="K1503" s="246" t="s">
        <v>110</v>
      </c>
      <c r="L1503" s="418">
        <v>0.5</v>
      </c>
      <c r="M1503" s="258"/>
      <c r="N1503" s="259" t="s">
        <v>2168</v>
      </c>
      <c r="O1503" s="685"/>
      <c r="P1503" s="261">
        <v>1</v>
      </c>
      <c r="Q1503" s="332">
        <v>0.2</v>
      </c>
      <c r="R1503" s="261"/>
      <c r="S1503" s="262">
        <f t="shared" si="46"/>
        <v>0</v>
      </c>
      <c r="T1503" s="263">
        <f t="shared" si="47"/>
        <v>0</v>
      </c>
      <c r="U1503" s="264" t="s">
        <v>34</v>
      </c>
      <c r="V1503" s="265"/>
      <c r="W1503" s="253"/>
    </row>
    <row r="1504" spans="1:23" ht="16.05" customHeight="1" x14ac:dyDescent="0.45">
      <c r="A1504" s="1">
        <v>1503</v>
      </c>
      <c r="B1504" s="245" t="s">
        <v>924</v>
      </c>
      <c r="C1504" s="246" t="s">
        <v>24</v>
      </c>
      <c r="D1504" s="413">
        <v>3458</v>
      </c>
      <c r="E1504" s="245" t="s">
        <v>2157</v>
      </c>
      <c r="F1504" s="245" t="s">
        <v>902</v>
      </c>
      <c r="G1504" s="248">
        <v>3889</v>
      </c>
      <c r="H1504" s="245" t="s">
        <v>2158</v>
      </c>
      <c r="I1504" s="245" t="s">
        <v>881</v>
      </c>
      <c r="J1504" s="246" t="s">
        <v>111</v>
      </c>
      <c r="K1504" s="246" t="s">
        <v>110</v>
      </c>
      <c r="L1504" s="418">
        <v>0.5</v>
      </c>
      <c r="M1504" s="258"/>
      <c r="N1504" s="259" t="s">
        <v>2169</v>
      </c>
      <c r="O1504" s="685"/>
      <c r="P1504" s="687">
        <v>1</v>
      </c>
      <c r="Q1504" s="332">
        <v>0.2</v>
      </c>
      <c r="R1504" s="687"/>
      <c r="S1504" s="262">
        <f t="shared" si="46"/>
        <v>0</v>
      </c>
      <c r="T1504" s="263">
        <f t="shared" si="47"/>
        <v>0</v>
      </c>
      <c r="U1504" s="264" t="s">
        <v>34</v>
      </c>
      <c r="V1504" s="265"/>
      <c r="W1504" s="253"/>
    </row>
    <row r="1505" spans="1:23" ht="16.05" customHeight="1" x14ac:dyDescent="0.45">
      <c r="A1505" s="1">
        <v>1504</v>
      </c>
      <c r="B1505" s="236" t="s">
        <v>924</v>
      </c>
      <c r="C1505" s="187" t="s">
        <v>24</v>
      </c>
      <c r="D1505" s="349">
        <v>5141</v>
      </c>
      <c r="E1505" s="236" t="s">
        <v>2170</v>
      </c>
      <c r="F1505" s="236" t="s">
        <v>2171</v>
      </c>
      <c r="G1505" s="238">
        <v>3458</v>
      </c>
      <c r="H1505" s="236" t="s">
        <v>2172</v>
      </c>
      <c r="I1505" s="236" t="s">
        <v>881</v>
      </c>
      <c r="J1505" s="187" t="s">
        <v>58</v>
      </c>
      <c r="K1505" s="187" t="s">
        <v>57</v>
      </c>
      <c r="L1505" s="350">
        <v>0.5</v>
      </c>
      <c r="M1505" s="191"/>
      <c r="N1505" s="192" t="s">
        <v>2173</v>
      </c>
      <c r="O1505" s="193"/>
      <c r="P1505" s="773">
        <v>12</v>
      </c>
      <c r="Q1505" s="636">
        <v>0.15</v>
      </c>
      <c r="R1505" s="773"/>
      <c r="S1505" s="195">
        <f t="shared" si="46"/>
        <v>0</v>
      </c>
      <c r="T1505" s="196">
        <f t="shared" si="47"/>
        <v>0</v>
      </c>
      <c r="U1505" s="241" t="s">
        <v>34</v>
      </c>
      <c r="V1505" s="774">
        <f>SUM(T1505:T1517)%</f>
        <v>0</v>
      </c>
      <c r="W1505" s="243"/>
    </row>
    <row r="1506" spans="1:23" ht="16.05" customHeight="1" x14ac:dyDescent="0.45">
      <c r="A1506" s="1">
        <v>1505</v>
      </c>
      <c r="B1506" s="245" t="s">
        <v>924</v>
      </c>
      <c r="C1506" s="246" t="s">
        <v>24</v>
      </c>
      <c r="D1506" s="413">
        <v>5141</v>
      </c>
      <c r="E1506" s="245" t="s">
        <v>2170</v>
      </c>
      <c r="F1506" s="245" t="s">
        <v>2171</v>
      </c>
      <c r="G1506" s="248">
        <v>3458</v>
      </c>
      <c r="H1506" s="245" t="s">
        <v>2172</v>
      </c>
      <c r="I1506" s="245" t="s">
        <v>881</v>
      </c>
      <c r="J1506" s="692" t="s">
        <v>58</v>
      </c>
      <c r="K1506" s="692" t="s">
        <v>57</v>
      </c>
      <c r="L1506" s="360">
        <v>0.5</v>
      </c>
      <c r="M1506" s="202"/>
      <c r="N1506" s="256" t="s">
        <v>2174</v>
      </c>
      <c r="O1506" s="211"/>
      <c r="P1506" s="250">
        <v>30</v>
      </c>
      <c r="Q1506" s="434">
        <v>0.2</v>
      </c>
      <c r="R1506" s="250"/>
      <c r="S1506" s="206">
        <f t="shared" si="46"/>
        <v>0</v>
      </c>
      <c r="T1506" s="207">
        <f t="shared" si="47"/>
        <v>0</v>
      </c>
      <c r="U1506" s="251" t="s">
        <v>34</v>
      </c>
      <c r="V1506" s="209"/>
      <c r="W1506" s="253"/>
    </row>
    <row r="1507" spans="1:23" ht="16.05" customHeight="1" x14ac:dyDescent="0.45">
      <c r="A1507" s="1">
        <v>1506</v>
      </c>
      <c r="B1507" s="245" t="s">
        <v>924</v>
      </c>
      <c r="C1507" s="246" t="s">
        <v>24</v>
      </c>
      <c r="D1507" s="413">
        <v>5141</v>
      </c>
      <c r="E1507" s="245" t="s">
        <v>2170</v>
      </c>
      <c r="F1507" s="245" t="s">
        <v>2171</v>
      </c>
      <c r="G1507" s="248">
        <v>3458</v>
      </c>
      <c r="H1507" s="245" t="s">
        <v>2172</v>
      </c>
      <c r="I1507" s="245" t="s">
        <v>881</v>
      </c>
      <c r="J1507" s="692" t="s">
        <v>58</v>
      </c>
      <c r="K1507" s="692" t="s">
        <v>57</v>
      </c>
      <c r="L1507" s="360">
        <v>0.5</v>
      </c>
      <c r="M1507" s="202"/>
      <c r="N1507" s="256" t="s">
        <v>2175</v>
      </c>
      <c r="O1507" s="211"/>
      <c r="P1507" s="254">
        <v>1</v>
      </c>
      <c r="Q1507" s="434">
        <v>0.1</v>
      </c>
      <c r="R1507" s="254"/>
      <c r="S1507" s="206">
        <f t="shared" si="46"/>
        <v>0</v>
      </c>
      <c r="T1507" s="207">
        <f t="shared" si="47"/>
        <v>0</v>
      </c>
      <c r="U1507" s="251" t="s">
        <v>34</v>
      </c>
      <c r="V1507" s="209"/>
      <c r="W1507" s="253"/>
    </row>
    <row r="1508" spans="1:23" ht="16.05" customHeight="1" x14ac:dyDescent="0.45">
      <c r="A1508" s="1">
        <v>1507</v>
      </c>
      <c r="B1508" s="245" t="s">
        <v>924</v>
      </c>
      <c r="C1508" s="246" t="s">
        <v>24</v>
      </c>
      <c r="D1508" s="413">
        <v>5141</v>
      </c>
      <c r="E1508" s="245" t="s">
        <v>2170</v>
      </c>
      <c r="F1508" s="245" t="s">
        <v>2171</v>
      </c>
      <c r="G1508" s="248">
        <v>3458</v>
      </c>
      <c r="H1508" s="245" t="s">
        <v>2172</v>
      </c>
      <c r="I1508" s="245" t="s">
        <v>881</v>
      </c>
      <c r="J1508" s="692" t="s">
        <v>58</v>
      </c>
      <c r="K1508" s="692" t="s">
        <v>57</v>
      </c>
      <c r="L1508" s="360">
        <v>0.5</v>
      </c>
      <c r="M1508" s="202"/>
      <c r="N1508" s="256" t="s">
        <v>2163</v>
      </c>
      <c r="O1508" s="211"/>
      <c r="P1508" s="254">
        <v>1</v>
      </c>
      <c r="Q1508" s="434">
        <v>0.2</v>
      </c>
      <c r="R1508" s="254"/>
      <c r="S1508" s="206">
        <f t="shared" si="46"/>
        <v>0</v>
      </c>
      <c r="T1508" s="207">
        <f t="shared" si="47"/>
        <v>0</v>
      </c>
      <c r="U1508" s="251" t="s">
        <v>34</v>
      </c>
      <c r="V1508" s="209"/>
      <c r="W1508" s="253"/>
    </row>
    <row r="1509" spans="1:23" ht="16.05" customHeight="1" x14ac:dyDescent="0.45">
      <c r="A1509" s="1">
        <v>1508</v>
      </c>
      <c r="B1509" s="245" t="s">
        <v>924</v>
      </c>
      <c r="C1509" s="246" t="s">
        <v>24</v>
      </c>
      <c r="D1509" s="413">
        <v>5141</v>
      </c>
      <c r="E1509" s="245" t="s">
        <v>2170</v>
      </c>
      <c r="F1509" s="245" t="s">
        <v>2171</v>
      </c>
      <c r="G1509" s="248">
        <v>3458</v>
      </c>
      <c r="H1509" s="245" t="s">
        <v>2172</v>
      </c>
      <c r="I1509" s="245" t="s">
        <v>881</v>
      </c>
      <c r="J1509" s="692" t="s">
        <v>58</v>
      </c>
      <c r="K1509" s="692" t="s">
        <v>57</v>
      </c>
      <c r="L1509" s="360">
        <v>0.5</v>
      </c>
      <c r="M1509" s="202"/>
      <c r="N1509" s="256" t="s">
        <v>2176</v>
      </c>
      <c r="O1509" s="211"/>
      <c r="P1509" s="254">
        <v>0.1</v>
      </c>
      <c r="Q1509" s="434">
        <v>0.1</v>
      </c>
      <c r="R1509" s="254"/>
      <c r="S1509" s="206">
        <f t="shared" si="46"/>
        <v>0</v>
      </c>
      <c r="T1509" s="207">
        <f t="shared" si="47"/>
        <v>0</v>
      </c>
      <c r="U1509" s="251" t="s">
        <v>34</v>
      </c>
      <c r="V1509" s="209"/>
      <c r="W1509" s="253"/>
    </row>
    <row r="1510" spans="1:23" ht="16.05" customHeight="1" x14ac:dyDescent="0.45">
      <c r="A1510" s="1">
        <v>1509</v>
      </c>
      <c r="B1510" s="245" t="s">
        <v>924</v>
      </c>
      <c r="C1510" s="246" t="s">
        <v>24</v>
      </c>
      <c r="D1510" s="413">
        <v>5141</v>
      </c>
      <c r="E1510" s="245" t="s">
        <v>2170</v>
      </c>
      <c r="F1510" s="245" t="s">
        <v>2171</v>
      </c>
      <c r="G1510" s="248">
        <v>3458</v>
      </c>
      <c r="H1510" s="245" t="s">
        <v>2172</v>
      </c>
      <c r="I1510" s="245" t="s">
        <v>881</v>
      </c>
      <c r="J1510" s="692" t="s">
        <v>58</v>
      </c>
      <c r="K1510" s="692" t="s">
        <v>57</v>
      </c>
      <c r="L1510" s="360">
        <v>0.5</v>
      </c>
      <c r="M1510" s="202"/>
      <c r="N1510" s="256" t="s">
        <v>2164</v>
      </c>
      <c r="O1510" s="211"/>
      <c r="P1510" s="254">
        <v>1</v>
      </c>
      <c r="Q1510" s="434">
        <v>0.15</v>
      </c>
      <c r="R1510" s="254"/>
      <c r="S1510" s="206">
        <f t="shared" si="46"/>
        <v>0</v>
      </c>
      <c r="T1510" s="207">
        <f t="shared" si="47"/>
        <v>0</v>
      </c>
      <c r="U1510" s="251" t="s">
        <v>34</v>
      </c>
      <c r="V1510" s="209"/>
      <c r="W1510" s="253"/>
    </row>
    <row r="1511" spans="1:23" ht="16.05" customHeight="1" x14ac:dyDescent="0.45">
      <c r="A1511" s="1">
        <v>1510</v>
      </c>
      <c r="B1511" s="245" t="s">
        <v>924</v>
      </c>
      <c r="C1511" s="246" t="s">
        <v>24</v>
      </c>
      <c r="D1511" s="413">
        <v>5141</v>
      </c>
      <c r="E1511" s="245" t="s">
        <v>2170</v>
      </c>
      <c r="F1511" s="245" t="s">
        <v>2171</v>
      </c>
      <c r="G1511" s="248">
        <v>3458</v>
      </c>
      <c r="H1511" s="245" t="s">
        <v>2172</v>
      </c>
      <c r="I1511" s="245" t="s">
        <v>881</v>
      </c>
      <c r="J1511" s="692" t="s">
        <v>58</v>
      </c>
      <c r="K1511" s="692" t="s">
        <v>57</v>
      </c>
      <c r="L1511" s="360">
        <v>0.5</v>
      </c>
      <c r="M1511" s="202"/>
      <c r="N1511" s="256" t="s">
        <v>2177</v>
      </c>
      <c r="O1511" s="211"/>
      <c r="P1511" s="250">
        <v>30</v>
      </c>
      <c r="Q1511" s="434">
        <v>0.1</v>
      </c>
      <c r="R1511" s="250"/>
      <c r="S1511" s="206">
        <f t="shared" si="46"/>
        <v>0</v>
      </c>
      <c r="T1511" s="207">
        <f t="shared" si="47"/>
        <v>0</v>
      </c>
      <c r="U1511" s="251" t="s">
        <v>34</v>
      </c>
      <c r="V1511" s="209"/>
      <c r="W1511" s="253"/>
    </row>
    <row r="1512" spans="1:23" ht="16.05" customHeight="1" x14ac:dyDescent="0.45">
      <c r="A1512" s="1">
        <v>1511</v>
      </c>
      <c r="B1512" s="245" t="s">
        <v>924</v>
      </c>
      <c r="C1512" s="246" t="s">
        <v>24</v>
      </c>
      <c r="D1512" s="413">
        <v>5141</v>
      </c>
      <c r="E1512" s="245" t="s">
        <v>2170</v>
      </c>
      <c r="F1512" s="245" t="s">
        <v>2171</v>
      </c>
      <c r="G1512" s="248">
        <v>3458</v>
      </c>
      <c r="H1512" s="245" t="s">
        <v>2172</v>
      </c>
      <c r="I1512" s="245" t="s">
        <v>881</v>
      </c>
      <c r="J1512" s="246" t="s">
        <v>111</v>
      </c>
      <c r="K1512" s="246" t="s">
        <v>110</v>
      </c>
      <c r="L1512" s="418">
        <v>0.5</v>
      </c>
      <c r="M1512" s="258"/>
      <c r="N1512" s="776" t="s">
        <v>2178</v>
      </c>
      <c r="O1512" s="685"/>
      <c r="P1512" s="266">
        <v>1</v>
      </c>
      <c r="Q1512" s="332">
        <v>0.2</v>
      </c>
      <c r="R1512" s="266"/>
      <c r="S1512" s="262">
        <f t="shared" si="46"/>
        <v>0</v>
      </c>
      <c r="T1512" s="263">
        <f t="shared" si="47"/>
        <v>0</v>
      </c>
      <c r="U1512" s="264" t="s">
        <v>34</v>
      </c>
      <c r="V1512" s="265"/>
      <c r="W1512" s="253"/>
    </row>
    <row r="1513" spans="1:23" ht="16.05" customHeight="1" x14ac:dyDescent="0.45">
      <c r="A1513" s="1">
        <v>1512</v>
      </c>
      <c r="B1513" s="245" t="s">
        <v>924</v>
      </c>
      <c r="C1513" s="246" t="s">
        <v>24</v>
      </c>
      <c r="D1513" s="413">
        <v>5141</v>
      </c>
      <c r="E1513" s="245" t="s">
        <v>2170</v>
      </c>
      <c r="F1513" s="245" t="s">
        <v>2171</v>
      </c>
      <c r="G1513" s="248">
        <v>3458</v>
      </c>
      <c r="H1513" s="245" t="s">
        <v>2172</v>
      </c>
      <c r="I1513" s="245" t="s">
        <v>881</v>
      </c>
      <c r="J1513" s="246" t="s">
        <v>111</v>
      </c>
      <c r="K1513" s="246" t="s">
        <v>110</v>
      </c>
      <c r="L1513" s="418">
        <v>0.5</v>
      </c>
      <c r="M1513" s="258"/>
      <c r="N1513" s="259" t="s">
        <v>2179</v>
      </c>
      <c r="O1513" s="685"/>
      <c r="P1513" s="261">
        <v>10</v>
      </c>
      <c r="Q1513" s="332">
        <v>0.2</v>
      </c>
      <c r="R1513" s="261"/>
      <c r="S1513" s="262">
        <f t="shared" si="46"/>
        <v>0</v>
      </c>
      <c r="T1513" s="263">
        <f t="shared" si="47"/>
        <v>0</v>
      </c>
      <c r="U1513" s="264" t="s">
        <v>34</v>
      </c>
      <c r="V1513" s="265"/>
      <c r="W1513" s="253"/>
    </row>
    <row r="1514" spans="1:23" ht="16.05" customHeight="1" x14ac:dyDescent="0.45">
      <c r="A1514" s="1">
        <v>1513</v>
      </c>
      <c r="B1514" s="245" t="s">
        <v>924</v>
      </c>
      <c r="C1514" s="246" t="s">
        <v>24</v>
      </c>
      <c r="D1514" s="413">
        <v>5141</v>
      </c>
      <c r="E1514" s="245" t="s">
        <v>2170</v>
      </c>
      <c r="F1514" s="245" t="s">
        <v>2171</v>
      </c>
      <c r="G1514" s="248">
        <v>3458</v>
      </c>
      <c r="H1514" s="245" t="s">
        <v>2172</v>
      </c>
      <c r="I1514" s="245" t="s">
        <v>881</v>
      </c>
      <c r="J1514" s="246" t="s">
        <v>111</v>
      </c>
      <c r="K1514" s="246" t="s">
        <v>110</v>
      </c>
      <c r="L1514" s="418">
        <v>0.5</v>
      </c>
      <c r="M1514" s="258"/>
      <c r="N1514" s="259" t="s">
        <v>2180</v>
      </c>
      <c r="O1514" s="685"/>
      <c r="P1514" s="261">
        <v>25</v>
      </c>
      <c r="Q1514" s="332">
        <v>0.1</v>
      </c>
      <c r="R1514" s="261"/>
      <c r="S1514" s="262">
        <f t="shared" si="46"/>
        <v>0</v>
      </c>
      <c r="T1514" s="263">
        <f t="shared" si="47"/>
        <v>0</v>
      </c>
      <c r="U1514" s="264" t="s">
        <v>34</v>
      </c>
      <c r="V1514" s="265"/>
      <c r="W1514" s="253"/>
    </row>
    <row r="1515" spans="1:23" ht="16.05" customHeight="1" x14ac:dyDescent="0.45">
      <c r="A1515" s="1">
        <v>1514</v>
      </c>
      <c r="B1515" s="245" t="s">
        <v>924</v>
      </c>
      <c r="C1515" s="246" t="s">
        <v>24</v>
      </c>
      <c r="D1515" s="413">
        <v>5141</v>
      </c>
      <c r="E1515" s="245" t="s">
        <v>2170</v>
      </c>
      <c r="F1515" s="245" t="s">
        <v>2171</v>
      </c>
      <c r="G1515" s="248">
        <v>3458</v>
      </c>
      <c r="H1515" s="245" t="s">
        <v>2172</v>
      </c>
      <c r="I1515" s="245" t="s">
        <v>881</v>
      </c>
      <c r="J1515" s="246" t="s">
        <v>111</v>
      </c>
      <c r="K1515" s="246" t="s">
        <v>110</v>
      </c>
      <c r="L1515" s="418">
        <v>0.5</v>
      </c>
      <c r="M1515" s="258"/>
      <c r="N1515" s="259" t="s">
        <v>2181</v>
      </c>
      <c r="O1515" s="685"/>
      <c r="P1515" s="261">
        <v>20</v>
      </c>
      <c r="Q1515" s="332">
        <v>0.1</v>
      </c>
      <c r="R1515" s="261"/>
      <c r="S1515" s="262">
        <f t="shared" si="46"/>
        <v>0</v>
      </c>
      <c r="T1515" s="263">
        <f t="shared" si="47"/>
        <v>0</v>
      </c>
      <c r="U1515" s="264" t="s">
        <v>34</v>
      </c>
      <c r="V1515" s="265"/>
      <c r="W1515" s="253"/>
    </row>
    <row r="1516" spans="1:23" ht="16.05" customHeight="1" x14ac:dyDescent="0.45">
      <c r="A1516" s="1">
        <v>1515</v>
      </c>
      <c r="B1516" s="245" t="s">
        <v>924</v>
      </c>
      <c r="C1516" s="246" t="s">
        <v>24</v>
      </c>
      <c r="D1516" s="413">
        <v>5141</v>
      </c>
      <c r="E1516" s="245" t="s">
        <v>2170</v>
      </c>
      <c r="F1516" s="245" t="s">
        <v>2171</v>
      </c>
      <c r="G1516" s="248">
        <v>3458</v>
      </c>
      <c r="H1516" s="245" t="s">
        <v>2172</v>
      </c>
      <c r="I1516" s="245" t="s">
        <v>881</v>
      </c>
      <c r="J1516" s="246" t="s">
        <v>111</v>
      </c>
      <c r="K1516" s="246" t="s">
        <v>110</v>
      </c>
      <c r="L1516" s="418">
        <v>0.5</v>
      </c>
      <c r="M1516" s="258"/>
      <c r="N1516" s="259" t="s">
        <v>2166</v>
      </c>
      <c r="O1516" s="685"/>
      <c r="P1516" s="261">
        <v>10</v>
      </c>
      <c r="Q1516" s="332">
        <v>0.2</v>
      </c>
      <c r="R1516" s="261"/>
      <c r="S1516" s="262">
        <f t="shared" si="46"/>
        <v>0</v>
      </c>
      <c r="T1516" s="263">
        <f t="shared" si="47"/>
        <v>0</v>
      </c>
      <c r="U1516" s="264" t="s">
        <v>34</v>
      </c>
      <c r="V1516" s="265"/>
      <c r="W1516" s="253"/>
    </row>
    <row r="1517" spans="1:23" ht="16.05" customHeight="1" x14ac:dyDescent="0.45">
      <c r="A1517" s="1">
        <v>1516</v>
      </c>
      <c r="B1517" s="245" t="s">
        <v>924</v>
      </c>
      <c r="C1517" s="246" t="s">
        <v>24</v>
      </c>
      <c r="D1517" s="413">
        <v>5141</v>
      </c>
      <c r="E1517" s="245" t="s">
        <v>2170</v>
      </c>
      <c r="F1517" s="245" t="s">
        <v>2171</v>
      </c>
      <c r="G1517" s="248">
        <v>3458</v>
      </c>
      <c r="H1517" s="245" t="s">
        <v>2172</v>
      </c>
      <c r="I1517" s="245" t="s">
        <v>881</v>
      </c>
      <c r="J1517" s="246" t="s">
        <v>111</v>
      </c>
      <c r="K1517" s="246" t="s">
        <v>110</v>
      </c>
      <c r="L1517" s="418">
        <v>0.5</v>
      </c>
      <c r="M1517" s="258"/>
      <c r="N1517" s="776" t="s">
        <v>2182</v>
      </c>
      <c r="O1517" s="777"/>
      <c r="P1517" s="266">
        <v>1</v>
      </c>
      <c r="Q1517" s="332">
        <v>0.2</v>
      </c>
      <c r="R1517" s="266"/>
      <c r="S1517" s="262">
        <f t="shared" si="46"/>
        <v>0</v>
      </c>
      <c r="T1517" s="263">
        <f t="shared" si="47"/>
        <v>0</v>
      </c>
      <c r="U1517" s="264" t="s">
        <v>34</v>
      </c>
      <c r="V1517" s="265"/>
      <c r="W1517" s="253"/>
    </row>
  </sheetData>
  <autoFilter ref="A1:W1517" xr:uid="{FA28E8F0-116A-4F9E-9BFB-EFE39D44EFC7}"/>
  <conditionalFormatting sqref="A2:A1517">
    <cfRule type="dataBar" priority="329">
      <dataBar>
        <cfvo type="min"/>
        <cfvo type="max"/>
        <color rgb="FF638EC6"/>
      </dataBar>
      <extLst>
        <ext xmlns:x14="http://schemas.microsoft.com/office/spreadsheetml/2009/9/main" uri="{B025F937-C7B1-47D3-B67F-A62EFF666E3E}">
          <x14:id>{DF1A618C-0D6E-44B0-835E-7E48B92BD301}</x14:id>
        </ext>
      </extLst>
    </cfRule>
  </conditionalFormatting>
  <conditionalFormatting sqref="B1307">
    <cfRule type="cellIs" dxfId="399" priority="98" operator="equal">
      <formula>"maintasks"</formula>
    </cfRule>
  </conditionalFormatting>
  <conditionalFormatting sqref="B1316">
    <cfRule type="cellIs" dxfId="398" priority="97" operator="equal">
      <formula>"maintasks"</formula>
    </cfRule>
  </conditionalFormatting>
  <conditionalFormatting sqref="B1324">
    <cfRule type="cellIs" dxfId="397" priority="77" operator="equal">
      <formula>"maintasks"</formula>
    </cfRule>
  </conditionalFormatting>
  <conditionalFormatting sqref="B1334">
    <cfRule type="cellIs" dxfId="396" priority="76" operator="equal">
      <formula>"maintasks"</formula>
    </cfRule>
  </conditionalFormatting>
  <conditionalFormatting sqref="B1343">
    <cfRule type="cellIs" dxfId="395" priority="75" operator="equal">
      <formula>"maintasks"</formula>
    </cfRule>
  </conditionalFormatting>
  <conditionalFormatting sqref="B1352">
    <cfRule type="cellIs" dxfId="394" priority="74" operator="equal">
      <formula>"maintasks"</formula>
    </cfRule>
  </conditionalFormatting>
  <conditionalFormatting sqref="B1361">
    <cfRule type="cellIs" dxfId="393" priority="73" operator="equal">
      <formula>"maintasks"</formula>
    </cfRule>
  </conditionalFormatting>
  <conditionalFormatting sqref="B1370">
    <cfRule type="cellIs" dxfId="392" priority="72" operator="equal">
      <formula>"maintasks"</formula>
    </cfRule>
  </conditionalFormatting>
  <conditionalFormatting sqref="B1379">
    <cfRule type="cellIs" dxfId="391" priority="71" operator="equal">
      <formula>"maintasks"</formula>
    </cfRule>
  </conditionalFormatting>
  <conditionalFormatting sqref="B1388 B1397">
    <cfRule type="cellIs" dxfId="390" priority="70" operator="equal">
      <formula>"maintasks"</formula>
    </cfRule>
  </conditionalFormatting>
  <conditionalFormatting sqref="B1438">
    <cfRule type="cellIs" dxfId="389" priority="18" operator="equal">
      <formula>"maintasks"</formula>
    </cfRule>
  </conditionalFormatting>
  <conditionalFormatting sqref="E1438 G1438:U1438">
    <cfRule type="cellIs" dxfId="388" priority="15" operator="equal">
      <formula>"maintasks"</formula>
    </cfRule>
  </conditionalFormatting>
  <conditionalFormatting sqref="E1307:I1307">
    <cfRule type="cellIs" dxfId="387" priority="87" operator="equal">
      <formula>"maintasks"</formula>
    </cfRule>
  </conditionalFormatting>
  <conditionalFormatting sqref="E1316:I1316">
    <cfRule type="cellIs" dxfId="386" priority="86" operator="equal">
      <formula>"maintasks"</formula>
    </cfRule>
  </conditionalFormatting>
  <conditionalFormatting sqref="E1334:I1334">
    <cfRule type="cellIs" dxfId="385" priority="34" operator="equal">
      <formula>"maintasks"</formula>
    </cfRule>
  </conditionalFormatting>
  <conditionalFormatting sqref="E1343:I1343">
    <cfRule type="cellIs" dxfId="384" priority="33" operator="equal">
      <formula>"maintasks"</formula>
    </cfRule>
  </conditionalFormatting>
  <conditionalFormatting sqref="E1352:I1352">
    <cfRule type="cellIs" dxfId="383" priority="32" operator="equal">
      <formula>"maintasks"</formula>
    </cfRule>
  </conditionalFormatting>
  <conditionalFormatting sqref="E1361:I1361">
    <cfRule type="cellIs" dxfId="382" priority="31" operator="equal">
      <formula>"maintasks"</formula>
    </cfRule>
  </conditionalFormatting>
  <conditionalFormatting sqref="E1370:I1370">
    <cfRule type="cellIs" dxfId="381" priority="30" operator="equal">
      <formula>"maintasks"</formula>
    </cfRule>
  </conditionalFormatting>
  <conditionalFormatting sqref="E1379:I1379">
    <cfRule type="cellIs" dxfId="380" priority="29" operator="equal">
      <formula>"maintasks"</formula>
    </cfRule>
  </conditionalFormatting>
  <conditionalFormatting sqref="E1388:I1388 E1397:I1397">
    <cfRule type="cellIs" dxfId="379" priority="28" operator="equal">
      <formula>"maintasks"</formula>
    </cfRule>
  </conditionalFormatting>
  <conditionalFormatting sqref="E1324:U1324">
    <cfRule type="cellIs" dxfId="378" priority="35" operator="equal">
      <formula>"maintasks"</formula>
    </cfRule>
  </conditionalFormatting>
  <conditionalFormatting sqref="I57:I73">
    <cfRule type="cellIs" dxfId="377" priority="240" operator="equal">
      <formula>"maintasks"</formula>
    </cfRule>
  </conditionalFormatting>
  <conditionalFormatting sqref="J1:J1238 K1239:K1260 J1518:J1048576">
    <cfRule type="containsText" dxfId="376" priority="243" operator="containsText" text="کارهای اصلی">
      <formula>NOT(ISERROR(SEARCH("کارهای اصلی",J1)))</formula>
    </cfRule>
  </conditionalFormatting>
  <conditionalFormatting sqref="J2:J12">
    <cfRule type="cellIs" dxfId="375" priority="238" operator="equal">
      <formula>"maintasks"</formula>
    </cfRule>
  </conditionalFormatting>
  <conditionalFormatting sqref="J260:J311 I598:J616 P260:P261 N260:N303 E598:F616">
    <cfRule type="cellIs" dxfId="374" priority="279" operator="equal">
      <formula>"maintasks"</formula>
    </cfRule>
  </conditionalFormatting>
  <conditionalFormatting sqref="J315:J385 J386:K388 N305:N388">
    <cfRule type="cellIs" dxfId="373" priority="273" operator="equal">
      <formula>"maintasks"</formula>
    </cfRule>
  </conditionalFormatting>
  <conditionalFormatting sqref="J393:J434 N393:N434">
    <cfRule type="cellIs" dxfId="372" priority="270" operator="equal">
      <formula>"maintasks"</formula>
    </cfRule>
  </conditionalFormatting>
  <conditionalFormatting sqref="J470:J525 N470:N525">
    <cfRule type="cellIs" dxfId="371" priority="266" operator="equal">
      <formula>"maintasks"</formula>
    </cfRule>
  </conditionalFormatting>
  <conditionalFormatting sqref="J532:J557 J558:K559">
    <cfRule type="cellIs" dxfId="370" priority="263" operator="equal">
      <formula>"maintasks"</formula>
    </cfRule>
  </conditionalFormatting>
  <conditionalFormatting sqref="J560:J597">
    <cfRule type="cellIs" dxfId="369" priority="260" operator="equal">
      <formula>"maintasks"</formula>
    </cfRule>
  </conditionalFormatting>
  <conditionalFormatting sqref="J617:J703">
    <cfRule type="cellIs" dxfId="368" priority="256" operator="equal">
      <formula>"maintasks"</formula>
    </cfRule>
  </conditionalFormatting>
  <conditionalFormatting sqref="J713:J714">
    <cfRule type="containsText" dxfId="367" priority="124" operator="containsText" text="کارهای اصلی">
      <formula>NOT(ISERROR(SEARCH("کارهای اصلی",J713)))</formula>
    </cfRule>
    <cfRule type="cellIs" dxfId="366" priority="126" operator="equal">
      <formula>"maintasks"</formula>
    </cfRule>
  </conditionalFormatting>
  <conditionalFormatting sqref="J725">
    <cfRule type="containsText" dxfId="365" priority="121" operator="containsText" text="کارهای اصلی">
      <formula>NOT(ISERROR(SEARCH("کارهای اصلی",J725)))</formula>
    </cfRule>
    <cfRule type="cellIs" dxfId="364" priority="123" operator="equal">
      <formula>"maintasks"</formula>
    </cfRule>
  </conditionalFormatting>
  <conditionalFormatting sqref="J731:J732">
    <cfRule type="cellIs" dxfId="363" priority="144" operator="equal">
      <formula>"maintasks"</formula>
    </cfRule>
  </conditionalFormatting>
  <conditionalFormatting sqref="J734:J751">
    <cfRule type="cellIs" dxfId="362" priority="141" operator="equal">
      <formula>"maintasks"</formula>
    </cfRule>
  </conditionalFormatting>
  <conditionalFormatting sqref="J801:J806">
    <cfRule type="cellIs" dxfId="361" priority="153" operator="equal">
      <formula>"maintasks"</formula>
    </cfRule>
  </conditionalFormatting>
  <conditionalFormatting sqref="J809:J832">
    <cfRule type="cellIs" dxfId="360" priority="148" operator="equal">
      <formula>"maintasks"</formula>
    </cfRule>
  </conditionalFormatting>
  <conditionalFormatting sqref="J834:J849">
    <cfRule type="cellIs" dxfId="359" priority="146" operator="equal">
      <formula>"maintasks"</formula>
    </cfRule>
  </conditionalFormatting>
  <conditionalFormatting sqref="J850:J922">
    <cfRule type="containsText" dxfId="358" priority="138" operator="containsText" text="کارهای اصلی">
      <formula>NOT(ISERROR(SEARCH("کارهای اصلی",J850)))</formula>
    </cfRule>
  </conditionalFormatting>
  <conditionalFormatting sqref="J1088:J1095">
    <cfRule type="cellIs" dxfId="357" priority="184" operator="equal">
      <formula>"maintasks"</formula>
    </cfRule>
    <cfRule type="containsText" dxfId="356" priority="186" operator="containsText" text="MainTasks">
      <formula>NOT(ISERROR(SEARCH("MainTasks",J1088)))</formula>
    </cfRule>
  </conditionalFormatting>
  <conditionalFormatting sqref="J1108:J1114">
    <cfRule type="cellIs" dxfId="355" priority="176" operator="equal">
      <formula>"maintasks"</formula>
    </cfRule>
    <cfRule type="containsText" dxfId="354" priority="178" operator="containsText" text="MainTasks">
      <formula>NOT(ISERROR(SEARCH("MainTasks",J1108)))</formula>
    </cfRule>
  </conditionalFormatting>
  <conditionalFormatting sqref="J1298:J1300 J1316:J1319">
    <cfRule type="cellIs" dxfId="353" priority="85" operator="equal">
      <formula>"maintasks"</formula>
    </cfRule>
  </conditionalFormatting>
  <conditionalFormatting sqref="J1307:J1310">
    <cfRule type="cellIs" dxfId="352" priority="84" operator="equal">
      <formula>"maintasks"</formula>
    </cfRule>
  </conditionalFormatting>
  <conditionalFormatting sqref="J1334:J1337 J1343:J1346 J1352:J1355 J1361:J1364 J1370:J1373 J1379:J1382 J1388:J1391 J1397:J1400">
    <cfRule type="cellIs" dxfId="351" priority="27" operator="equal">
      <formula>"maintasks"</formula>
    </cfRule>
  </conditionalFormatting>
  <conditionalFormatting sqref="J1:K1 J850:K857 M1:O1">
    <cfRule type="cellIs" dxfId="350" priority="325" operator="equal">
      <formula>"maintasks"</formula>
    </cfRule>
  </conditionalFormatting>
  <conditionalFormatting sqref="J13:K36 M21:O28">
    <cfRule type="cellIs" dxfId="349" priority="237" operator="equal">
      <formula>"maintasks"</formula>
    </cfRule>
  </conditionalFormatting>
  <conditionalFormatting sqref="J99:K104">
    <cfRule type="cellIs" dxfId="348" priority="242" operator="equal">
      <formula>"maintasks"</formula>
    </cfRule>
  </conditionalFormatting>
  <conditionalFormatting sqref="J312:K314">
    <cfRule type="cellIs" dxfId="347" priority="278" operator="equal">
      <formula>"maintasks"</formula>
    </cfRule>
  </conditionalFormatting>
  <conditionalFormatting sqref="J923:K1075">
    <cfRule type="containsText" dxfId="346" priority="197" operator="containsText" text="MainTasks">
      <formula>NOT(ISERROR(SEARCH("MainTasks",J923)))</formula>
    </cfRule>
  </conditionalFormatting>
  <conditionalFormatting sqref="J1160:K1212">
    <cfRule type="cellIs" dxfId="345" priority="137" operator="equal">
      <formula>"maintasks"</formula>
    </cfRule>
  </conditionalFormatting>
  <conditionalFormatting sqref="J1434:L1434 L1435:L1437">
    <cfRule type="cellIs" dxfId="344" priority="47" operator="equal">
      <formula>"maintasks"</formula>
    </cfRule>
  </conditionalFormatting>
  <conditionalFormatting sqref="K1">
    <cfRule type="containsText" dxfId="343" priority="324" operator="containsText" text="MainTasks">
      <formula>NOT(ISERROR(SEARCH("MainTasks",K1)))</formula>
    </cfRule>
  </conditionalFormatting>
  <conditionalFormatting sqref="K1:K1260 K1518:K1048576">
    <cfRule type="containsText" dxfId="342" priority="120" operator="containsText" text="Main Tasks">
      <formula>NOT(ISERROR(SEARCH("Main Tasks",K1)))</formula>
    </cfRule>
  </conditionalFormatting>
  <conditionalFormatting sqref="K38:K94">
    <cfRule type="containsText" dxfId="341" priority="117" operator="containsText" text="MainTasks">
      <formula>NOT(ISERROR(SEARCH("MainTasks",K38)))</formula>
    </cfRule>
  </conditionalFormatting>
  <conditionalFormatting sqref="K95:K98">
    <cfRule type="cellIs" dxfId="340" priority="157" operator="equal">
      <formula>"maintasks"</formula>
    </cfRule>
  </conditionalFormatting>
  <conditionalFormatting sqref="K110:K114">
    <cfRule type="cellIs" dxfId="339" priority="323" operator="equal">
      <formula>"maintasks"</formula>
    </cfRule>
  </conditionalFormatting>
  <conditionalFormatting sqref="K134:K135 K142:K143">
    <cfRule type="cellIs" dxfId="338" priority="310" operator="equal">
      <formula>"maintasks"</formula>
    </cfRule>
  </conditionalFormatting>
  <conditionalFormatting sqref="K136:K141 K144:K149 K152:K158 K161:K165 M142 O142 M143:O148 M149 O149 M150:O153 M156:O165">
    <cfRule type="cellIs" dxfId="337" priority="317" operator="equal">
      <formula>"maintasks"</formula>
    </cfRule>
  </conditionalFormatting>
  <conditionalFormatting sqref="K136:K141 K144:K149 K152:K158">
    <cfRule type="containsText" dxfId="336" priority="313" operator="containsText" text="MainTasks">
      <formula>NOT(ISERROR(SEARCH("MainTasks",K136)))</formula>
    </cfRule>
  </conditionalFormatting>
  <conditionalFormatting sqref="K150:K151">
    <cfRule type="cellIs" dxfId="335" priority="311" operator="equal">
      <formula>"maintasks"</formula>
    </cfRule>
  </conditionalFormatting>
  <conditionalFormatting sqref="K159:K160">
    <cfRule type="cellIs" dxfId="334" priority="312" operator="equal">
      <formula>"maintasks"</formula>
    </cfRule>
  </conditionalFormatting>
  <conditionalFormatting sqref="K161:K730">
    <cfRule type="containsText" dxfId="333" priority="156" operator="containsText" text="MainTasks">
      <formula>NOT(ISERROR(SEARCH("MainTasks",K161)))</formula>
    </cfRule>
  </conditionalFormatting>
  <conditionalFormatting sqref="K617:K640">
    <cfRule type="cellIs" dxfId="332" priority="255" operator="equal">
      <formula>"maintasks"</formula>
    </cfRule>
  </conditionalFormatting>
  <conditionalFormatting sqref="K641:K643">
    <cfRule type="containsText" dxfId="331" priority="249" operator="containsText" text="maintasks">
      <formula>NOT(ISERROR(SEARCH("maintasks",K641)))</formula>
    </cfRule>
  </conditionalFormatting>
  <conditionalFormatting sqref="K644:K652">
    <cfRule type="cellIs" dxfId="330" priority="254" operator="equal">
      <formula>"maintasks"</formula>
    </cfRule>
  </conditionalFormatting>
  <conditionalFormatting sqref="K653:K655">
    <cfRule type="containsText" dxfId="329" priority="248" operator="containsText" text="maintasks">
      <formula>NOT(ISERROR(SEARCH("maintasks",K653)))</formula>
    </cfRule>
  </conditionalFormatting>
  <conditionalFormatting sqref="K656:K664">
    <cfRule type="cellIs" dxfId="328" priority="253" operator="equal">
      <formula>"maintasks"</formula>
    </cfRule>
  </conditionalFormatting>
  <conditionalFormatting sqref="K665:K667">
    <cfRule type="containsText" dxfId="327" priority="247" operator="containsText" text="maintasks">
      <formula>NOT(ISERROR(SEARCH("maintasks",K665)))</formula>
    </cfRule>
  </conditionalFormatting>
  <conditionalFormatting sqref="K668:K676">
    <cfRule type="cellIs" dxfId="326" priority="252" operator="equal">
      <formula>"maintasks"</formula>
    </cfRule>
  </conditionalFormatting>
  <conditionalFormatting sqref="K677:K679">
    <cfRule type="containsText" dxfId="325" priority="246" operator="containsText" text="maintasks">
      <formula>NOT(ISERROR(SEARCH("maintasks",K677)))</formula>
    </cfRule>
  </conditionalFormatting>
  <conditionalFormatting sqref="K680:K688">
    <cfRule type="cellIs" dxfId="324" priority="251" operator="equal">
      <formula>"maintasks"</formula>
    </cfRule>
  </conditionalFormatting>
  <conditionalFormatting sqref="K689:K691">
    <cfRule type="containsText" dxfId="323" priority="245" operator="containsText" text="maintasks">
      <formula>NOT(ISERROR(SEARCH("maintasks",K689)))</formula>
    </cfRule>
  </conditionalFormatting>
  <conditionalFormatting sqref="K692:K700">
    <cfRule type="cellIs" dxfId="322" priority="250" operator="equal">
      <formula>"maintasks"</formula>
    </cfRule>
  </conditionalFormatting>
  <conditionalFormatting sqref="K701:K703">
    <cfRule type="containsText" dxfId="321" priority="244" operator="containsText" text="maintasks">
      <formula>NOT(ISERROR(SEARCH("maintasks",K701)))</formula>
    </cfRule>
  </conditionalFormatting>
  <conditionalFormatting sqref="K713:K714">
    <cfRule type="containsText" dxfId="320" priority="125" operator="containsText" text="maintasks">
      <formula>NOT(ISERROR(SEARCH("maintasks",K713)))</formula>
    </cfRule>
  </conditionalFormatting>
  <conditionalFormatting sqref="K725">
    <cfRule type="containsText" dxfId="319" priority="122" operator="containsText" text="maintasks">
      <formula>NOT(ISERROR(SEARCH("maintasks",K725)))</formula>
    </cfRule>
  </conditionalFormatting>
  <conditionalFormatting sqref="K733">
    <cfRule type="containsText" dxfId="318" priority="143" operator="containsText" text="MainTasks">
      <formula>NOT(ISERROR(SEARCH("MainTasks",K733)))</formula>
    </cfRule>
  </conditionalFormatting>
  <conditionalFormatting sqref="K739:K749">
    <cfRule type="containsText" dxfId="317" priority="142" operator="containsText" text="maintasks">
      <formula>NOT(ISERROR(SEARCH("maintasks",K739)))</formula>
    </cfRule>
  </conditionalFormatting>
  <conditionalFormatting sqref="K751:K762 K764:K773 K775:K781 K783:K790">
    <cfRule type="containsText" dxfId="316" priority="155" operator="containsText" text="MainTasks">
      <formula>NOT(ISERROR(SEARCH("MainTasks",K751)))</formula>
    </cfRule>
  </conditionalFormatting>
  <conditionalFormatting sqref="K792:K799">
    <cfRule type="containsText" dxfId="315" priority="154" operator="containsText" text="MainTasks">
      <formula>NOT(ISERROR(SEARCH("MainTasks",K792)))</formula>
    </cfRule>
  </conditionalFormatting>
  <conditionalFormatting sqref="K807:K808">
    <cfRule type="containsText" dxfId="314" priority="152" operator="containsText" text="MainTasks">
      <formula>NOT(ISERROR(SEARCH("MainTasks",K807)))</formula>
    </cfRule>
  </conditionalFormatting>
  <conditionalFormatting sqref="K822">
    <cfRule type="containsText" dxfId="313" priority="151" operator="containsText" text="maintasks">
      <formula>NOT(ISERROR(SEARCH("maintasks",K822)))</formula>
    </cfRule>
  </conditionalFormatting>
  <conditionalFormatting sqref="K832">
    <cfRule type="containsText" dxfId="312" priority="149" operator="containsText" text="maintasks">
      <formula>NOT(ISERROR(SEARCH("maintasks",K832)))</formula>
    </cfRule>
  </conditionalFormatting>
  <conditionalFormatting sqref="K844">
    <cfRule type="containsText" dxfId="311" priority="150" operator="containsText" text="maintasks">
      <formula>NOT(ISERROR(SEARCH("maintasks",K844)))</formula>
    </cfRule>
  </conditionalFormatting>
  <conditionalFormatting sqref="K845">
    <cfRule type="cellIs" dxfId="310" priority="145" operator="equal">
      <formula>"maintasks"</formula>
    </cfRule>
  </conditionalFormatting>
  <conditionalFormatting sqref="K848:K849">
    <cfRule type="cellIs" dxfId="309" priority="147" operator="equal">
      <formula>"maintasks"</formula>
    </cfRule>
  </conditionalFormatting>
  <conditionalFormatting sqref="K850:K922">
    <cfRule type="containsText" dxfId="308" priority="139" operator="containsText" text="MainTasks">
      <formula>NOT(ISERROR(SEARCH("MainTasks",K850)))</formula>
    </cfRule>
  </conditionalFormatting>
  <conditionalFormatting sqref="K858:K922">
    <cfRule type="containsText" dxfId="307" priority="140" operator="containsText" text="maintasks">
      <formula>NOT(ISERROR(SEARCH("maintasks",K858)))</formula>
    </cfRule>
  </conditionalFormatting>
  <conditionalFormatting sqref="K1076:K1087">
    <cfRule type="cellIs" dxfId="306" priority="188" operator="equal">
      <formula>"maintasks"</formula>
    </cfRule>
  </conditionalFormatting>
  <conditionalFormatting sqref="K1088:K1094">
    <cfRule type="containsText" dxfId="305" priority="192" operator="containsText" text="MainTasks">
      <formula>NOT(ISERROR(SEARCH("MainTasks",K1088)))</formula>
    </cfRule>
  </conditionalFormatting>
  <conditionalFormatting sqref="K1095">
    <cfRule type="cellIs" dxfId="304" priority="189" operator="equal">
      <formula>"maintasks"</formula>
    </cfRule>
  </conditionalFormatting>
  <conditionalFormatting sqref="K1096:K1107">
    <cfRule type="cellIs" dxfId="303" priority="181" operator="equal">
      <formula>"maintasks"</formula>
    </cfRule>
  </conditionalFormatting>
  <conditionalFormatting sqref="K1108:K1112 K1114">
    <cfRule type="containsText" dxfId="302" priority="179" operator="containsText" text="MainTasks">
      <formula>NOT(ISERROR(SEARCH("MainTasks",K1108)))</formula>
    </cfRule>
  </conditionalFormatting>
  <conditionalFormatting sqref="K1113">
    <cfRule type="cellIs" dxfId="301" priority="182" operator="equal">
      <formula>"maintasks"</formula>
    </cfRule>
  </conditionalFormatting>
  <conditionalFormatting sqref="K1115:K1159 J1076 M1147:N1147">
    <cfRule type="cellIs" dxfId="300" priority="185" operator="equal">
      <formula>"maintasks"</formula>
    </cfRule>
  </conditionalFormatting>
  <conditionalFormatting sqref="K1160:K1238">
    <cfRule type="containsText" dxfId="299" priority="136" operator="containsText" text="MainTasks">
      <formula>NOT(ISERROR(SEARCH("MainTasks",K1160)))</formula>
    </cfRule>
  </conditionalFormatting>
  <conditionalFormatting sqref="K1240:K1260">
    <cfRule type="containsText" dxfId="298" priority="119" operator="containsText" text="MainTasks">
      <formula>NOT(ISERROR(SEARCH("MainTasks",K1240)))</formula>
    </cfRule>
  </conditionalFormatting>
  <conditionalFormatting sqref="K1270:K1273">
    <cfRule type="containsText" dxfId="297" priority="109" operator="containsText" text="maintasks">
      <formula>NOT(ISERROR(SEARCH("maintasks",K1270)))</formula>
    </cfRule>
  </conditionalFormatting>
  <conditionalFormatting sqref="K1307">
    <cfRule type="cellIs" dxfId="296" priority="83" operator="equal">
      <formula>"maintasks"</formula>
    </cfRule>
  </conditionalFormatting>
  <conditionalFormatting sqref="K1316">
    <cfRule type="cellIs" dxfId="295" priority="82" operator="equal">
      <formula>"maintasks"</formula>
    </cfRule>
  </conditionalFormatting>
  <conditionalFormatting sqref="K1334">
    <cfRule type="cellIs" dxfId="294" priority="26" operator="equal">
      <formula>"maintasks"</formula>
    </cfRule>
  </conditionalFormatting>
  <conditionalFormatting sqref="K1343">
    <cfRule type="cellIs" dxfId="293" priority="25" operator="equal">
      <formula>"maintasks"</formula>
    </cfRule>
  </conditionalFormatting>
  <conditionalFormatting sqref="K1352">
    <cfRule type="cellIs" dxfId="292" priority="24" operator="equal">
      <formula>"maintasks"</formula>
    </cfRule>
  </conditionalFormatting>
  <conditionalFormatting sqref="K1361">
    <cfRule type="cellIs" dxfId="291" priority="23" operator="equal">
      <formula>"maintasks"</formula>
    </cfRule>
  </conditionalFormatting>
  <conditionalFormatting sqref="K1370">
    <cfRule type="cellIs" dxfId="290" priority="22" operator="equal">
      <formula>"maintasks"</formula>
    </cfRule>
  </conditionalFormatting>
  <conditionalFormatting sqref="K1379">
    <cfRule type="cellIs" dxfId="289" priority="21" operator="equal">
      <formula>"maintasks"</formula>
    </cfRule>
  </conditionalFormatting>
  <conditionalFormatting sqref="K1388 K1397">
    <cfRule type="cellIs" dxfId="288" priority="20" operator="equal">
      <formula>"maintasks"</formula>
    </cfRule>
  </conditionalFormatting>
  <conditionalFormatting sqref="L731:L732">
    <cfRule type="cellIs" dxfId="287" priority="132" operator="equal">
      <formula>"maintasks"</formula>
    </cfRule>
  </conditionalFormatting>
  <conditionalFormatting sqref="L735 L738:L749">
    <cfRule type="cellIs" dxfId="286" priority="133" operator="equal">
      <formula>"maintasks"</formula>
    </cfRule>
  </conditionalFormatting>
  <conditionalFormatting sqref="L803">
    <cfRule type="cellIs" dxfId="285" priority="226" operator="equal">
      <formula>"maintasks"</formula>
    </cfRule>
  </conditionalFormatting>
  <conditionalFormatting sqref="L1422:L1433">
    <cfRule type="cellIs" dxfId="284" priority="46" operator="equal">
      <formula>"maintasks"</formula>
    </cfRule>
  </conditionalFormatting>
  <conditionalFormatting sqref="L1446:L1453">
    <cfRule type="cellIs" dxfId="283" priority="17" operator="equal">
      <formula>"maintasks"</formula>
    </cfRule>
  </conditionalFormatting>
  <conditionalFormatting sqref="L750:M751">
    <cfRule type="cellIs" dxfId="282" priority="231" operator="equal">
      <formula>"maintasks"</formula>
    </cfRule>
  </conditionalFormatting>
  <conditionalFormatting sqref="L809:N832 I845:I849">
    <cfRule type="cellIs" dxfId="281" priority="219" operator="equal">
      <formula>"maintasks"</formula>
    </cfRule>
  </conditionalFormatting>
  <conditionalFormatting sqref="L834:N844">
    <cfRule type="cellIs" dxfId="280" priority="223" operator="equal">
      <formula>"maintasks"</formula>
    </cfRule>
  </conditionalFormatting>
  <conditionalFormatting sqref="L801:O801">
    <cfRule type="cellIs" dxfId="279" priority="225" operator="equal">
      <formula>"maintasks"</formula>
    </cfRule>
  </conditionalFormatting>
  <conditionalFormatting sqref="L845:O849">
    <cfRule type="cellIs" dxfId="278" priority="218" operator="equal">
      <formula>"maintasks"</formula>
    </cfRule>
  </conditionalFormatting>
  <conditionalFormatting sqref="L1274:O1288 J1279:K1288">
    <cfRule type="cellIs" dxfId="277" priority="105" operator="equal">
      <formula>"maintasks"</formula>
    </cfRule>
  </conditionalFormatting>
  <conditionalFormatting sqref="M2:M12">
    <cfRule type="cellIs" dxfId="276" priority="107" operator="equal">
      <formula>"maintasks"</formula>
    </cfRule>
  </conditionalFormatting>
  <conditionalFormatting sqref="M78">
    <cfRule type="cellIs" dxfId="275" priority="328" operator="equal">
      <formula>"maintasks"</formula>
    </cfRule>
  </conditionalFormatting>
  <conditionalFormatting sqref="M85">
    <cfRule type="cellIs" dxfId="274" priority="327" operator="equal">
      <formula>"maintasks"</formula>
    </cfRule>
  </conditionalFormatting>
  <conditionalFormatting sqref="M92">
    <cfRule type="cellIs" dxfId="273" priority="326" operator="equal">
      <formula>"maintasks"</formula>
    </cfRule>
  </conditionalFormatting>
  <conditionalFormatting sqref="M154:M155 O154:O155">
    <cfRule type="cellIs" dxfId="272" priority="315" operator="equal">
      <formula>"maintasks"</formula>
    </cfRule>
  </conditionalFormatting>
  <conditionalFormatting sqref="M186:M187">
    <cfRule type="cellIs" dxfId="271" priority="305" operator="equal">
      <formula>"maintasks"</formula>
    </cfRule>
  </conditionalFormatting>
  <conditionalFormatting sqref="M219:M224">
    <cfRule type="cellIs" dxfId="270" priority="291" operator="equal">
      <formula>"maintasks"</formula>
    </cfRule>
  </conditionalFormatting>
  <conditionalFormatting sqref="M745 O745">
    <cfRule type="cellIs" dxfId="269" priority="131" operator="equal">
      <formula>"maintasks"</formula>
    </cfRule>
  </conditionalFormatting>
  <conditionalFormatting sqref="M809">
    <cfRule type="cellIs" dxfId="268" priority="222" operator="equal">
      <formula>"maintasks"</formula>
    </cfRule>
  </conditionalFormatting>
  <conditionalFormatting sqref="M823">
    <cfRule type="cellIs" dxfId="267" priority="221" operator="equal">
      <formula>"maintasks"</formula>
    </cfRule>
  </conditionalFormatting>
  <conditionalFormatting sqref="M923:M934">
    <cfRule type="cellIs" dxfId="266" priority="217" operator="equal">
      <formula>"maintasks"</formula>
    </cfRule>
  </conditionalFormatting>
  <conditionalFormatting sqref="M1320:M1322 O1320:O1322 M1323:O1323">
    <cfRule type="cellIs" dxfId="265" priority="96" operator="equal">
      <formula>"maintasks"</formula>
    </cfRule>
  </conditionalFormatting>
  <conditionalFormatting sqref="M1338 O1338 M1347 O1347 M1356 O1356 M1374:M1375 O1374:O1375 M1383:M1384 O1383:O1384 M1392:M1393 O1392:O1393 M1401:M1402 O1401:O1402">
    <cfRule type="cellIs" dxfId="264" priority="81" operator="equal">
      <formula>"maintasks"</formula>
    </cfRule>
  </conditionalFormatting>
  <conditionalFormatting sqref="M179:N185">
    <cfRule type="cellIs" dxfId="263" priority="308" operator="equal">
      <formula>"maintasks"</formula>
    </cfRule>
  </conditionalFormatting>
  <conditionalFormatting sqref="M195:N199">
    <cfRule type="cellIs" dxfId="262" priority="302" operator="equal">
      <formula>"maintasks"</formula>
    </cfRule>
  </conditionalFormatting>
  <conditionalFormatting sqref="M207:N212">
    <cfRule type="cellIs" dxfId="261" priority="299" operator="equal">
      <formula>"maintasks"</formula>
    </cfRule>
  </conditionalFormatting>
  <conditionalFormatting sqref="M214:N215">
    <cfRule type="cellIs" dxfId="260" priority="297" operator="equal">
      <formula>"maintasks"</formula>
    </cfRule>
  </conditionalFormatting>
  <conditionalFormatting sqref="M217:N218">
    <cfRule type="cellIs" dxfId="259" priority="295" operator="equal">
      <formula>"maintasks"</formula>
    </cfRule>
  </conditionalFormatting>
  <conditionalFormatting sqref="M232:N236">
    <cfRule type="cellIs" dxfId="258" priority="282" operator="equal">
      <formula>"maintasks"</formula>
    </cfRule>
  </conditionalFormatting>
  <conditionalFormatting sqref="M243:N247">
    <cfRule type="cellIs" dxfId="257" priority="288" operator="equal">
      <formula>"maintasks"</formula>
    </cfRule>
  </conditionalFormatting>
  <conditionalFormatting sqref="M255:N259">
    <cfRule type="cellIs" dxfId="256" priority="285" operator="equal">
      <formula>"maintasks"</formula>
    </cfRule>
  </conditionalFormatting>
  <conditionalFormatting sqref="M746:N747 M749:N749">
    <cfRule type="cellIs" dxfId="255" priority="128" operator="equal">
      <formula>"maintasks"</formula>
    </cfRule>
  </conditionalFormatting>
  <conditionalFormatting sqref="M761:N762">
    <cfRule type="cellIs" dxfId="254" priority="234" operator="equal">
      <formula>"maintasks"</formula>
    </cfRule>
  </conditionalFormatting>
  <conditionalFormatting sqref="M959:N960">
    <cfRule type="cellIs" dxfId="253" priority="206" operator="equal">
      <formula>"maintasks"</formula>
    </cfRule>
  </conditionalFormatting>
  <conditionalFormatting sqref="M969:N970">
    <cfRule type="cellIs" dxfId="252" priority="205" operator="equal">
      <formula>"maintasks"</formula>
    </cfRule>
  </conditionalFormatting>
  <conditionalFormatting sqref="M983:N984">
    <cfRule type="cellIs" dxfId="251" priority="204" operator="equal">
      <formula>"maintasks"</formula>
    </cfRule>
  </conditionalFormatting>
  <conditionalFormatting sqref="M1052:N1052 M1054:N1054">
    <cfRule type="cellIs" dxfId="250" priority="199" operator="equal">
      <formula>"maintasks"</formula>
    </cfRule>
  </conditionalFormatting>
  <conditionalFormatting sqref="M1053:N1053">
    <cfRule type="cellIs" dxfId="249" priority="193" operator="equal">
      <formula>"maintasks"</formula>
    </cfRule>
  </conditionalFormatting>
  <conditionalFormatting sqref="M1064:N1065">
    <cfRule type="cellIs" dxfId="248" priority="198" operator="equal">
      <formula>"maintasks"</formula>
    </cfRule>
  </conditionalFormatting>
  <conditionalFormatting sqref="M1066:N1066">
    <cfRule type="cellIs" dxfId="247" priority="194" operator="equal">
      <formula>"maintasks"</formula>
    </cfRule>
  </conditionalFormatting>
  <conditionalFormatting sqref="M1090:N1092">
    <cfRule type="cellIs" dxfId="246" priority="190" operator="equal">
      <formula>"maintasks"</formula>
    </cfRule>
  </conditionalFormatting>
  <conditionalFormatting sqref="M1110:N1111 M1114:N1114">
    <cfRule type="cellIs" dxfId="245" priority="174" operator="equal">
      <formula>"maintasks"</formula>
    </cfRule>
  </conditionalFormatting>
  <conditionalFormatting sqref="M1116:N1117">
    <cfRule type="cellIs" dxfId="244" priority="162" operator="equal">
      <formula>"maintasks"</formula>
    </cfRule>
  </conditionalFormatting>
  <conditionalFormatting sqref="M1127:N1128">
    <cfRule type="cellIs" dxfId="243" priority="171" operator="equal">
      <formula>"maintasks"</formula>
    </cfRule>
  </conditionalFormatting>
  <conditionalFormatting sqref="M1141:N1142">
    <cfRule type="cellIs" dxfId="242" priority="167" operator="equal">
      <formula>"maintasks"</formula>
    </cfRule>
  </conditionalFormatting>
  <conditionalFormatting sqref="M1156:N1157">
    <cfRule type="cellIs" dxfId="241" priority="164" operator="equal">
      <formula>"maintasks"</formula>
    </cfRule>
  </conditionalFormatting>
  <conditionalFormatting sqref="M1262:N1263">
    <cfRule type="cellIs" dxfId="240" priority="110" operator="equal">
      <formula>"maintasks"</formula>
    </cfRule>
  </conditionalFormatting>
  <conditionalFormatting sqref="M13:O19 J1096">
    <cfRule type="cellIs" dxfId="239" priority="177" operator="equal">
      <formula>"maintasks"</formula>
    </cfRule>
  </conditionalFormatting>
  <conditionalFormatting sqref="M57:O73">
    <cfRule type="cellIs" dxfId="238" priority="239" operator="equal">
      <formula>"maintasks"</formula>
    </cfRule>
  </conditionalFormatting>
  <conditionalFormatting sqref="M58:O73">
    <cfRule type="cellIs" dxfId="237" priority="241" operator="equal">
      <formula>"maintasks"</formula>
    </cfRule>
  </conditionalFormatting>
  <conditionalFormatting sqref="M74:O94">
    <cfRule type="cellIs" dxfId="236" priority="127" operator="equal">
      <formula>"maintasks"</formula>
    </cfRule>
  </conditionalFormatting>
  <conditionalFormatting sqref="M95:O98">
    <cfRule type="cellIs" dxfId="235" priority="319" operator="equal">
      <formula>"maintasks"</formula>
    </cfRule>
  </conditionalFormatting>
  <conditionalFormatting sqref="M100:O100">
    <cfRule type="cellIs" dxfId="234" priority="322" operator="equal">
      <formula>"maintasks"</formula>
    </cfRule>
  </conditionalFormatting>
  <conditionalFormatting sqref="M104:O141">
    <cfRule type="cellIs" dxfId="233" priority="316" operator="equal">
      <formula>"maintasks"</formula>
    </cfRule>
  </conditionalFormatting>
  <conditionalFormatting sqref="M166:O178">
    <cfRule type="cellIs" dxfId="232" priority="309" operator="equal">
      <formula>"maintasks"</formula>
    </cfRule>
  </conditionalFormatting>
  <conditionalFormatting sqref="M188:O194">
    <cfRule type="cellIs" dxfId="231" priority="304" operator="equal">
      <formula>"maintasks"</formula>
    </cfRule>
  </conditionalFormatting>
  <conditionalFormatting sqref="M200:O206">
    <cfRule type="cellIs" dxfId="230" priority="301" operator="equal">
      <formula>"maintasks"</formula>
    </cfRule>
  </conditionalFormatting>
  <conditionalFormatting sqref="M213:O213">
    <cfRule type="cellIs" dxfId="229" priority="298" operator="equal">
      <formula>"maintasks"</formula>
    </cfRule>
  </conditionalFormatting>
  <conditionalFormatting sqref="M216:O216">
    <cfRule type="cellIs" dxfId="228" priority="296" operator="equal">
      <formula>"maintasks"</formula>
    </cfRule>
  </conditionalFormatting>
  <conditionalFormatting sqref="M225:O231">
    <cfRule type="cellIs" dxfId="227" priority="284" operator="equal">
      <formula>"maintasks"</formula>
    </cfRule>
  </conditionalFormatting>
  <conditionalFormatting sqref="M237:O242">
    <cfRule type="cellIs" dxfId="226" priority="290" operator="equal">
      <formula>"maintasks"</formula>
    </cfRule>
  </conditionalFormatting>
  <conditionalFormatting sqref="M248:O254">
    <cfRule type="cellIs" dxfId="225" priority="287" operator="equal">
      <formula>"maintasks"</formula>
    </cfRule>
  </conditionalFormatting>
  <conditionalFormatting sqref="M617:O714">
    <cfRule type="cellIs" dxfId="224" priority="236" operator="equal">
      <formula>"maintasks"</formula>
    </cfRule>
  </conditionalFormatting>
  <conditionalFormatting sqref="M731:O733 M735:O744">
    <cfRule type="cellIs" dxfId="223" priority="130" operator="equal">
      <formula>"maintasks"</formula>
    </cfRule>
  </conditionalFormatting>
  <conditionalFormatting sqref="M750:O750 N751:O751">
    <cfRule type="cellIs" dxfId="222" priority="230" operator="equal">
      <formula>"maintasks"</formula>
    </cfRule>
  </conditionalFormatting>
  <conditionalFormatting sqref="M752:O756 M758:O760 M763:O763 N764:N765 V764:V765 M766:O774 M777">
    <cfRule type="cellIs" dxfId="221" priority="233" operator="equal">
      <formula>"maintasks"</formula>
    </cfRule>
  </conditionalFormatting>
  <conditionalFormatting sqref="M778:O781">
    <cfRule type="cellIs" dxfId="220" priority="228" operator="equal">
      <formula>"maintasks"</formula>
    </cfRule>
  </conditionalFormatting>
  <conditionalFormatting sqref="M850:O855">
    <cfRule type="cellIs" dxfId="219" priority="158" operator="equal">
      <formula>"maintasks"</formula>
    </cfRule>
  </conditionalFormatting>
  <conditionalFormatting sqref="M893:O893">
    <cfRule type="cellIs" dxfId="218" priority="135" operator="equal">
      <formula>"maintasks"</formula>
    </cfRule>
  </conditionalFormatting>
  <conditionalFormatting sqref="M945:O950 P947:P948">
    <cfRule type="cellIs" dxfId="217" priority="212" operator="equal">
      <formula>"maintasks"</formula>
    </cfRule>
  </conditionalFormatting>
  <conditionalFormatting sqref="M955:O958">
    <cfRule type="cellIs" dxfId="216" priority="203" operator="equal">
      <formula>"maintasks"</formula>
    </cfRule>
  </conditionalFormatting>
  <conditionalFormatting sqref="M971:O982">
    <cfRule type="cellIs" dxfId="215" priority="202" operator="equal">
      <formula>"maintasks"</formula>
    </cfRule>
  </conditionalFormatting>
  <conditionalFormatting sqref="M997:O1001">
    <cfRule type="cellIs" dxfId="214" priority="207" operator="equal">
      <formula>"maintasks"</formula>
    </cfRule>
  </conditionalFormatting>
  <conditionalFormatting sqref="M1016:O1030">
    <cfRule type="cellIs" dxfId="213" priority="214" operator="equal">
      <formula>"maintasks"</formula>
    </cfRule>
  </conditionalFormatting>
  <conditionalFormatting sqref="M1031:O1037">
    <cfRule type="cellIs" dxfId="212" priority="209" operator="equal">
      <formula>"maintasks"</formula>
    </cfRule>
  </conditionalFormatting>
  <conditionalFormatting sqref="M1038:O1051">
    <cfRule type="cellIs" dxfId="211" priority="201" operator="equal">
      <formula>"maintasks"</formula>
    </cfRule>
  </conditionalFormatting>
  <conditionalFormatting sqref="M1067:O1087">
    <cfRule type="cellIs" dxfId="210" priority="187" operator="equal">
      <formula>"maintasks"</formula>
    </cfRule>
  </conditionalFormatting>
  <conditionalFormatting sqref="M1088:O1089">
    <cfRule type="cellIs" dxfId="209" priority="191" operator="equal">
      <formula>"maintasks"</formula>
    </cfRule>
  </conditionalFormatting>
  <conditionalFormatting sqref="M1095:O1107">
    <cfRule type="cellIs" dxfId="208" priority="180" operator="equal">
      <formula>"maintasks"</formula>
    </cfRule>
  </conditionalFormatting>
  <conditionalFormatting sqref="M1108:O1109">
    <cfRule type="cellIs" dxfId="207" priority="175" operator="equal">
      <formula>"maintasks"</formula>
    </cfRule>
  </conditionalFormatting>
  <conditionalFormatting sqref="M1129:O1130">
    <cfRule type="cellIs" dxfId="206" priority="173" operator="equal">
      <formula>"maintasks"</formula>
    </cfRule>
  </conditionalFormatting>
  <conditionalFormatting sqref="M1143:O1144">
    <cfRule type="cellIs" dxfId="205" priority="169" operator="equal">
      <formula>"maintasks"</formula>
    </cfRule>
  </conditionalFormatting>
  <conditionalFormatting sqref="M1158:O1169">
    <cfRule type="cellIs" dxfId="204" priority="161" operator="equal">
      <formula>"maintasks"</formula>
    </cfRule>
  </conditionalFormatting>
  <conditionalFormatting sqref="M1170:O1238">
    <cfRule type="cellIs" dxfId="203" priority="160" operator="equal">
      <formula>"maintasks"</formula>
    </cfRule>
  </conditionalFormatting>
  <conditionalFormatting sqref="M1226:O1238">
    <cfRule type="cellIs" dxfId="202" priority="159" operator="equal">
      <formula>"maintasks"</formula>
    </cfRule>
  </conditionalFormatting>
  <conditionalFormatting sqref="M1248:O1260">
    <cfRule type="cellIs" dxfId="201" priority="118" operator="equal">
      <formula>"maintasks"</formula>
    </cfRule>
  </conditionalFormatting>
  <conditionalFormatting sqref="M1289:O1293">
    <cfRule type="cellIs" dxfId="200" priority="104" operator="equal">
      <formula>"maintasks"</formula>
    </cfRule>
  </conditionalFormatting>
  <conditionalFormatting sqref="M1295:O1296">
    <cfRule type="cellIs" dxfId="199" priority="90" operator="equal">
      <formula>"maintasks"</formula>
    </cfRule>
  </conditionalFormatting>
  <conditionalFormatting sqref="M1302:O1306">
    <cfRule type="cellIs" dxfId="198" priority="91" operator="equal">
      <formula>"maintasks"</formula>
    </cfRule>
  </conditionalFormatting>
  <conditionalFormatting sqref="M1311:O1315">
    <cfRule type="cellIs" dxfId="197" priority="92" operator="equal">
      <formula>"maintasks"</formula>
    </cfRule>
  </conditionalFormatting>
  <conditionalFormatting sqref="M1325:O1329">
    <cfRule type="cellIs" dxfId="196" priority="58" operator="equal">
      <formula>"maintasks"</formula>
    </cfRule>
  </conditionalFormatting>
  <conditionalFormatting sqref="M1339:O1342">
    <cfRule type="cellIs" dxfId="195" priority="57" operator="equal">
      <formula>"maintasks"</formula>
    </cfRule>
  </conditionalFormatting>
  <conditionalFormatting sqref="M1348:O1351">
    <cfRule type="cellIs" dxfId="194" priority="56" operator="equal">
      <formula>"maintasks"</formula>
    </cfRule>
  </conditionalFormatting>
  <conditionalFormatting sqref="M1357:O1360">
    <cfRule type="cellIs" dxfId="193" priority="55" operator="equal">
      <formula>"maintasks"</formula>
    </cfRule>
  </conditionalFormatting>
  <conditionalFormatting sqref="M1366:O1369">
    <cfRule type="cellIs" dxfId="192" priority="54" operator="equal">
      <formula>"maintasks"</formula>
    </cfRule>
  </conditionalFormatting>
  <conditionalFormatting sqref="M1376:O1378">
    <cfRule type="cellIs" dxfId="191" priority="53" operator="equal">
      <formula>"maintasks"</formula>
    </cfRule>
  </conditionalFormatting>
  <conditionalFormatting sqref="M1385:O1387">
    <cfRule type="cellIs" dxfId="190" priority="51" operator="equal">
      <formula>"maintasks"</formula>
    </cfRule>
  </conditionalFormatting>
  <conditionalFormatting sqref="M1394:O1396">
    <cfRule type="cellIs" dxfId="189" priority="49" operator="equal">
      <formula>"maintasks"</formula>
    </cfRule>
  </conditionalFormatting>
  <conditionalFormatting sqref="M1403:O1437">
    <cfRule type="cellIs" dxfId="188" priority="44" operator="equal">
      <formula>"maintasks"</formula>
    </cfRule>
  </conditionalFormatting>
  <conditionalFormatting sqref="M1439:O1517">
    <cfRule type="cellIs" dxfId="187" priority="14" operator="equal">
      <formula>"maintasks"</formula>
    </cfRule>
  </conditionalFormatting>
  <conditionalFormatting sqref="M757:P757 R757 T757:W757">
    <cfRule type="cellIs" dxfId="186" priority="227" operator="equal">
      <formula>"maintasks"</formula>
    </cfRule>
  </conditionalFormatting>
  <conditionalFormatting sqref="M951:P954">
    <cfRule type="cellIs" dxfId="185" priority="211" operator="equal">
      <formula>"maintasks"</formula>
    </cfRule>
  </conditionalFormatting>
  <conditionalFormatting sqref="M1330:P1333">
    <cfRule type="cellIs" dxfId="184" priority="79" operator="equal">
      <formula>"maintasks"</formula>
    </cfRule>
  </conditionalFormatting>
  <conditionalFormatting sqref="N154">
    <cfRule type="cellIs" dxfId="183" priority="314" operator="equal">
      <formula>"maintasks"</formula>
    </cfRule>
  </conditionalFormatting>
  <conditionalFormatting sqref="N186">
    <cfRule type="cellIs" dxfId="182" priority="306" operator="equal">
      <formula>"maintasks"</formula>
    </cfRule>
  </conditionalFormatting>
  <conditionalFormatting sqref="N219:N220">
    <cfRule type="cellIs" dxfId="181" priority="293" operator="equal">
      <formula>"maintasks"</formula>
    </cfRule>
  </conditionalFormatting>
  <conditionalFormatting sqref="N532:N616 B598:B616">
    <cfRule type="cellIs" dxfId="180" priority="258" operator="equal">
      <formula>"maintasks"</formula>
    </cfRule>
  </conditionalFormatting>
  <conditionalFormatting sqref="N775:N776 V775:V776">
    <cfRule type="cellIs" dxfId="179" priority="229" operator="equal">
      <formula>"maintasks"</formula>
    </cfRule>
  </conditionalFormatting>
  <conditionalFormatting sqref="N805">
    <cfRule type="cellIs" dxfId="178" priority="224" operator="equal">
      <formula>"maintasks"</formula>
    </cfRule>
  </conditionalFormatting>
  <conditionalFormatting sqref="N929:N934">
    <cfRule type="cellIs" dxfId="177" priority="195" operator="equal">
      <formula>"maintasks"</formula>
    </cfRule>
  </conditionalFormatting>
  <conditionalFormatting sqref="N1115 M1118:O1119 M1121:O1123">
    <cfRule type="cellIs" dxfId="176" priority="172" operator="equal">
      <formula>"maintasks"</formula>
    </cfRule>
  </conditionalFormatting>
  <conditionalFormatting sqref="N1131 M1132:O1133 M1135:O1137">
    <cfRule type="cellIs" dxfId="175" priority="168" operator="equal">
      <formula>"maintasks"</formula>
    </cfRule>
  </conditionalFormatting>
  <conditionalFormatting sqref="N1145 M1146:O1146 M1148:O1148 M1150:O1152">
    <cfRule type="cellIs" dxfId="174" priority="165" operator="equal">
      <formula>"maintasks"</formula>
    </cfRule>
  </conditionalFormatting>
  <conditionalFormatting sqref="N1300">
    <cfRule type="cellIs" dxfId="173" priority="101" operator="equal">
      <formula>"maintasks"</formula>
    </cfRule>
  </conditionalFormatting>
  <conditionalFormatting sqref="N1309:N1310">
    <cfRule type="cellIs" dxfId="172" priority="100" operator="equal">
      <formula>"maintasks"</formula>
    </cfRule>
  </conditionalFormatting>
  <conditionalFormatting sqref="N1318:N1322">
    <cfRule type="cellIs" dxfId="171" priority="95" operator="equal">
      <formula>"maintasks"</formula>
    </cfRule>
  </conditionalFormatting>
  <conditionalFormatting sqref="N1336:N1338">
    <cfRule type="cellIs" dxfId="170" priority="69" operator="equal">
      <formula>"maintasks"</formula>
    </cfRule>
  </conditionalFormatting>
  <conditionalFormatting sqref="N1345:N1347">
    <cfRule type="cellIs" dxfId="169" priority="68" operator="equal">
      <formula>"maintasks"</formula>
    </cfRule>
  </conditionalFormatting>
  <conditionalFormatting sqref="N1354:N1356">
    <cfRule type="cellIs" dxfId="168" priority="67" operator="equal">
      <formula>"maintasks"</formula>
    </cfRule>
  </conditionalFormatting>
  <conditionalFormatting sqref="N1363:N1365">
    <cfRule type="cellIs" dxfId="167" priority="66" operator="equal">
      <formula>"maintasks"</formula>
    </cfRule>
  </conditionalFormatting>
  <conditionalFormatting sqref="N1372:N1375">
    <cfRule type="cellIs" dxfId="166" priority="65" operator="equal">
      <formula>"maintasks"</formula>
    </cfRule>
  </conditionalFormatting>
  <conditionalFormatting sqref="N1381:N1384">
    <cfRule type="cellIs" dxfId="165" priority="52" operator="equal">
      <formula>"maintasks"</formula>
    </cfRule>
  </conditionalFormatting>
  <conditionalFormatting sqref="N1390:N1393">
    <cfRule type="cellIs" dxfId="164" priority="50" operator="equal">
      <formula>"maintasks"</formula>
    </cfRule>
  </conditionalFormatting>
  <conditionalFormatting sqref="N1399:N1402">
    <cfRule type="cellIs" dxfId="163" priority="48" operator="equal">
      <formula>"maintasks"</formula>
    </cfRule>
  </conditionalFormatting>
  <conditionalFormatting sqref="N99:O99">
    <cfRule type="cellIs" dxfId="162" priority="321" operator="equal">
      <formula>"maintasks"</formula>
    </cfRule>
  </conditionalFormatting>
  <conditionalFormatting sqref="N102:O103">
    <cfRule type="cellIs" dxfId="161" priority="320" operator="equal">
      <formula>"maintasks"</formula>
    </cfRule>
  </conditionalFormatting>
  <conditionalFormatting sqref="N1009:O1009">
    <cfRule type="cellIs" dxfId="160" priority="208" operator="equal">
      <formula>"maintasks"</formula>
    </cfRule>
  </conditionalFormatting>
  <conditionalFormatting sqref="N1010:O1015">
    <cfRule type="cellIs" dxfId="159" priority="213" operator="equal">
      <formula>"maintasks"</formula>
    </cfRule>
  </conditionalFormatting>
  <conditionalFormatting sqref="N1214:O1214">
    <cfRule type="cellIs" dxfId="158" priority="134" operator="equal">
      <formula>"maintasks"</formula>
    </cfRule>
  </conditionalFormatting>
  <conditionalFormatting sqref="N2:P12">
    <cfRule type="cellIs" dxfId="157" priority="108" operator="equal">
      <formula>"maintasks"</formula>
    </cfRule>
  </conditionalFormatting>
  <conditionalFormatting sqref="N923:P923 N924 P924 N925:P928">
    <cfRule type="cellIs" dxfId="156" priority="196" operator="equal">
      <formula>"maintasks"</formula>
    </cfRule>
  </conditionalFormatting>
  <conditionalFormatting sqref="O29 M30:O36">
    <cfRule type="cellIs" dxfId="155" priority="318" operator="equal">
      <formula>"maintasks"</formula>
    </cfRule>
  </conditionalFormatting>
  <conditionalFormatting sqref="O179:O186">
    <cfRule type="cellIs" dxfId="154" priority="307" operator="equal">
      <formula>"maintasks"</formula>
    </cfRule>
  </conditionalFormatting>
  <conditionalFormatting sqref="O195:O196">
    <cfRule type="cellIs" dxfId="153" priority="303" operator="equal">
      <formula>"maintasks"</formula>
    </cfRule>
  </conditionalFormatting>
  <conditionalFormatting sqref="O208:O209">
    <cfRule type="cellIs" dxfId="152" priority="300" operator="equal">
      <formula>"maintasks"</formula>
    </cfRule>
  </conditionalFormatting>
  <conditionalFormatting sqref="O219">
    <cfRule type="cellIs" dxfId="151" priority="294" operator="equal">
      <formula>"maintasks"</formula>
    </cfRule>
  </conditionalFormatting>
  <conditionalFormatting sqref="O222">
    <cfRule type="cellIs" dxfId="150" priority="292" operator="equal">
      <formula>"maintasks"</formula>
    </cfRule>
  </conditionalFormatting>
  <conditionalFormatting sqref="O232:O233">
    <cfRule type="cellIs" dxfId="149" priority="283" operator="equal">
      <formula>"maintasks"</formula>
    </cfRule>
  </conditionalFormatting>
  <conditionalFormatting sqref="O243:O244">
    <cfRule type="cellIs" dxfId="148" priority="289" operator="equal">
      <formula>"maintasks"</formula>
    </cfRule>
  </conditionalFormatting>
  <conditionalFormatting sqref="O255:O256">
    <cfRule type="cellIs" dxfId="147" priority="286" operator="equal">
      <formula>"maintasks"</formula>
    </cfRule>
  </conditionalFormatting>
  <conditionalFormatting sqref="O734:O735">
    <cfRule type="cellIs" dxfId="146" priority="129" operator="equal">
      <formula>"maintasks"</formula>
    </cfRule>
  </conditionalFormatting>
  <conditionalFormatting sqref="O935:O940">
    <cfRule type="cellIs" dxfId="145" priority="216" operator="equal">
      <formula>"maintasks"</formula>
    </cfRule>
  </conditionalFormatting>
  <conditionalFormatting sqref="O959:O960 M961:O968 O969:O970 O983:O984 M985:O996 N1002:O1008 M1002:M1015">
    <cfRule type="cellIs" dxfId="144" priority="215" operator="equal">
      <formula>"maintasks"</formula>
    </cfRule>
  </conditionalFormatting>
  <conditionalFormatting sqref="O1052 O1054 M1055:O1063 O1064:O1065">
    <cfRule type="cellIs" dxfId="143" priority="200" operator="equal">
      <formula>"maintasks"</formula>
    </cfRule>
  </conditionalFormatting>
  <conditionalFormatting sqref="O1113">
    <cfRule type="cellIs" dxfId="142" priority="183" operator="equal">
      <formula>"maintasks"</formula>
    </cfRule>
  </conditionalFormatting>
  <conditionalFormatting sqref="O1127">
    <cfRule type="cellIs" dxfId="141" priority="170" operator="equal">
      <formula>"maintasks"</formula>
    </cfRule>
  </conditionalFormatting>
  <conditionalFormatting sqref="O1141">
    <cfRule type="cellIs" dxfId="140" priority="166" operator="equal">
      <formula>"maintasks"</formula>
    </cfRule>
  </conditionalFormatting>
  <conditionalFormatting sqref="O1156">
    <cfRule type="cellIs" dxfId="139" priority="163" operator="equal">
      <formula>"maintasks"</formula>
    </cfRule>
  </conditionalFormatting>
  <conditionalFormatting sqref="P950">
    <cfRule type="cellIs" dxfId="138" priority="210" operator="equal">
      <formula>"maintasks"</formula>
    </cfRule>
  </conditionalFormatting>
  <conditionalFormatting sqref="P1289:P1290">
    <cfRule type="cellIs" dxfId="137" priority="103" operator="equal">
      <formula>"maintasks"</formula>
    </cfRule>
  </conditionalFormatting>
  <conditionalFormatting sqref="P1292:P1293 M1294:P1294 M1297:P1297 H1298:I1301 H1304:I1304">
    <cfRule type="cellIs" dxfId="136" priority="102" operator="equal">
      <formula>"maintasks"</formula>
    </cfRule>
  </conditionalFormatting>
  <conditionalFormatting sqref="P1325">
    <cfRule type="cellIs" dxfId="135" priority="80" operator="equal">
      <formula>"maintasks"</formula>
    </cfRule>
  </conditionalFormatting>
  <conditionalFormatting sqref="P1327:P1328 M1365 O1365 J1426:K1429 J1434:K1437">
    <cfRule type="cellIs" dxfId="134" priority="78" operator="equal">
      <formula>"maintasks"</formula>
    </cfRule>
  </conditionalFormatting>
  <conditionalFormatting sqref="P1406">
    <cfRule type="cellIs" dxfId="133" priority="45" operator="equal">
      <formula>"maintasks"</formula>
    </cfRule>
  </conditionalFormatting>
  <conditionalFormatting sqref="P1443">
    <cfRule type="cellIs" dxfId="132" priority="19" operator="equal">
      <formula>"maintasks"</formula>
    </cfRule>
  </conditionalFormatting>
  <conditionalFormatting sqref="P1274:R1278 U1274:U1278">
    <cfRule type="cellIs" dxfId="131" priority="106" operator="equal">
      <formula>"maintasks"</formula>
    </cfRule>
  </conditionalFormatting>
  <conditionalFormatting sqref="P1298:U1298">
    <cfRule type="cellIs" dxfId="130" priority="93" operator="equal">
      <formula>"maintasks"</formula>
    </cfRule>
  </conditionalFormatting>
  <conditionalFormatting sqref="P1307:U1307">
    <cfRule type="cellIs" dxfId="129" priority="99" operator="equal">
      <formula>"maintasks"</formula>
    </cfRule>
  </conditionalFormatting>
  <conditionalFormatting sqref="P1316:U1316">
    <cfRule type="cellIs" dxfId="128" priority="94" operator="equal">
      <formula>"maintasks"</formula>
    </cfRule>
  </conditionalFormatting>
  <conditionalFormatting sqref="P1334:U1334">
    <cfRule type="cellIs" dxfId="127" priority="64" operator="equal">
      <formula>"maintasks"</formula>
    </cfRule>
  </conditionalFormatting>
  <conditionalFormatting sqref="P1343:U1343">
    <cfRule type="cellIs" dxfId="126" priority="63" operator="equal">
      <formula>"maintasks"</formula>
    </cfRule>
  </conditionalFormatting>
  <conditionalFormatting sqref="P1352:U1352">
    <cfRule type="cellIs" dxfId="125" priority="62" operator="equal">
      <formula>"maintasks"</formula>
    </cfRule>
  </conditionalFormatting>
  <conditionalFormatting sqref="P1361:U1361">
    <cfRule type="cellIs" dxfId="124" priority="61" operator="equal">
      <formula>"maintasks"</formula>
    </cfRule>
  </conditionalFormatting>
  <conditionalFormatting sqref="P1370:U1370">
    <cfRule type="cellIs" dxfId="123" priority="6" operator="equal">
      <formula>"maintasks"</formula>
    </cfRule>
  </conditionalFormatting>
  <conditionalFormatting sqref="P1379:U1379">
    <cfRule type="cellIs" dxfId="122" priority="60" operator="equal">
      <formula>"maintasks"</formula>
    </cfRule>
  </conditionalFormatting>
  <conditionalFormatting sqref="P1388:U1388 P1397:U1397">
    <cfRule type="cellIs" dxfId="121" priority="59" operator="equal">
      <formula>"maintasks"</formula>
    </cfRule>
  </conditionalFormatting>
  <conditionalFormatting sqref="Q731:Q732">
    <cfRule type="cellIs" dxfId="120" priority="111" operator="equal">
      <formula>"maintasks"</formula>
    </cfRule>
  </conditionalFormatting>
  <conditionalFormatting sqref="Q735 Q738:Q751">
    <cfRule type="cellIs" dxfId="119" priority="112" operator="equal">
      <formula>"maintasks"</formula>
    </cfRule>
  </conditionalFormatting>
  <conditionalFormatting sqref="Q801">
    <cfRule type="cellIs" dxfId="118" priority="115" operator="equal">
      <formula>"maintasks"</formula>
    </cfRule>
  </conditionalFormatting>
  <conditionalFormatting sqref="Q803">
    <cfRule type="cellIs" dxfId="117" priority="116" operator="equal">
      <formula>"maintasks"</formula>
    </cfRule>
  </conditionalFormatting>
  <conditionalFormatting sqref="Q809:Q832">
    <cfRule type="cellIs" dxfId="116" priority="114" operator="equal">
      <formula>"maintasks"</formula>
    </cfRule>
  </conditionalFormatting>
  <conditionalFormatting sqref="Q834:Q849">
    <cfRule type="cellIs" dxfId="115" priority="113" operator="equal">
      <formula>"maintasks"</formula>
    </cfRule>
  </conditionalFormatting>
  <conditionalFormatting sqref="R2:R12">
    <cfRule type="cellIs" dxfId="114" priority="9" operator="equal">
      <formula>"maintasks"</formula>
    </cfRule>
  </conditionalFormatting>
  <conditionalFormatting sqref="R260:R261">
    <cfRule type="cellIs" dxfId="113" priority="13" operator="equal">
      <formula>"maintasks"</formula>
    </cfRule>
  </conditionalFormatting>
  <conditionalFormatting sqref="R923:R928">
    <cfRule type="cellIs" dxfId="112" priority="10" operator="equal">
      <formula>"maintasks"</formula>
    </cfRule>
  </conditionalFormatting>
  <conditionalFormatting sqref="R947:R948">
    <cfRule type="cellIs" dxfId="111" priority="12" operator="equal">
      <formula>"maintasks"</formula>
    </cfRule>
  </conditionalFormatting>
  <conditionalFormatting sqref="R950:R954">
    <cfRule type="cellIs" dxfId="110" priority="11" operator="equal">
      <formula>"maintasks"</formula>
    </cfRule>
  </conditionalFormatting>
  <conditionalFormatting sqref="R1289:R1290">
    <cfRule type="cellIs" dxfId="109" priority="8" operator="equal">
      <formula>"maintasks"</formula>
    </cfRule>
  </conditionalFormatting>
  <conditionalFormatting sqref="R1292:R1294 R1297">
    <cfRule type="cellIs" dxfId="108" priority="7" operator="equal">
      <formula>"maintasks"</formula>
    </cfRule>
  </conditionalFormatting>
  <conditionalFormatting sqref="R1325">
    <cfRule type="cellIs" dxfId="107" priority="5" operator="equal">
      <formula>"maintasks"</formula>
    </cfRule>
  </conditionalFormatting>
  <conditionalFormatting sqref="R1327:R1328">
    <cfRule type="cellIs" dxfId="106" priority="3" operator="equal">
      <formula>"maintasks"</formula>
    </cfRule>
  </conditionalFormatting>
  <conditionalFormatting sqref="R1330:R1333">
    <cfRule type="cellIs" dxfId="105" priority="4" operator="equal">
      <formula>"maintasks"</formula>
    </cfRule>
  </conditionalFormatting>
  <conditionalFormatting sqref="R1406">
    <cfRule type="cellIs" dxfId="104" priority="2" operator="equal">
      <formula>"maintasks"</formula>
    </cfRule>
  </conditionalFormatting>
  <conditionalFormatting sqref="R1443">
    <cfRule type="cellIs" dxfId="103" priority="1" operator="equal">
      <formula>"maintasks"</formula>
    </cfRule>
  </conditionalFormatting>
  <conditionalFormatting sqref="V260">
    <cfRule type="cellIs" dxfId="102" priority="280" operator="equal">
      <formula>"maintasks"</formula>
    </cfRule>
  </conditionalFormatting>
  <conditionalFormatting sqref="V277">
    <cfRule type="cellIs" dxfId="101" priority="281" operator="equal">
      <formula>"maintasks"</formula>
    </cfRule>
  </conditionalFormatting>
  <conditionalFormatting sqref="V300">
    <cfRule type="cellIs" dxfId="100" priority="277" operator="equal">
      <formula>"maintasks"</formula>
    </cfRule>
  </conditionalFormatting>
  <conditionalFormatting sqref="V315">
    <cfRule type="cellIs" dxfId="99" priority="276" operator="equal">
      <formula>"maintasks"</formula>
    </cfRule>
  </conditionalFormatting>
  <conditionalFormatting sqref="V337">
    <cfRule type="cellIs" dxfId="98" priority="275" operator="equal">
      <formula>"maintasks"</formula>
    </cfRule>
  </conditionalFormatting>
  <conditionalFormatting sqref="V358">
    <cfRule type="cellIs" dxfId="97" priority="274" operator="equal">
      <formula>"maintasks"</formula>
    </cfRule>
  </conditionalFormatting>
  <conditionalFormatting sqref="V378">
    <cfRule type="cellIs" dxfId="96" priority="272" operator="equal">
      <formula>"maintasks"</formula>
    </cfRule>
  </conditionalFormatting>
  <conditionalFormatting sqref="V389">
    <cfRule type="cellIs" dxfId="95" priority="271" operator="equal">
      <formula>"maintasks"</formula>
    </cfRule>
  </conditionalFormatting>
  <conditionalFormatting sqref="V408">
    <cfRule type="cellIs" dxfId="94" priority="269" operator="equal">
      <formula>"maintasks"</formula>
    </cfRule>
  </conditionalFormatting>
  <conditionalFormatting sqref="V465">
    <cfRule type="cellIs" dxfId="93" priority="268" operator="equal">
      <formula>"maintasks"</formula>
    </cfRule>
  </conditionalFormatting>
  <conditionalFormatting sqref="V485">
    <cfRule type="cellIs" dxfId="92" priority="267" operator="equal">
      <formula>"maintasks"</formula>
    </cfRule>
  </conditionalFormatting>
  <conditionalFormatting sqref="V504">
    <cfRule type="cellIs" dxfId="91" priority="265" operator="equal">
      <formula>"maintasks"</formula>
    </cfRule>
  </conditionalFormatting>
  <conditionalFormatting sqref="V526">
    <cfRule type="cellIs" dxfId="90" priority="264" operator="equal">
      <formula>"maintasks"</formula>
    </cfRule>
  </conditionalFormatting>
  <conditionalFormatting sqref="V547">
    <cfRule type="cellIs" dxfId="89" priority="262" operator="equal">
      <formula>"maintasks"</formula>
    </cfRule>
  </conditionalFormatting>
  <conditionalFormatting sqref="V560">
    <cfRule type="cellIs" dxfId="88" priority="261" operator="equal">
      <formula>"maintasks"</formula>
    </cfRule>
  </conditionalFormatting>
  <conditionalFormatting sqref="V580">
    <cfRule type="cellIs" dxfId="87" priority="259" operator="equal">
      <formula>"maintasks"</formula>
    </cfRule>
  </conditionalFormatting>
  <conditionalFormatting sqref="V598">
    <cfRule type="cellIs" dxfId="86" priority="257" operator="equal">
      <formula>"maintasks"</formula>
    </cfRule>
  </conditionalFormatting>
  <conditionalFormatting sqref="W598:W616">
    <cfRule type="cellIs" dxfId="85" priority="235" operator="equal">
      <formula>"maintasks"</formula>
    </cfRule>
  </conditionalFormatting>
  <conditionalFormatting sqref="W774">
    <cfRule type="cellIs" dxfId="84" priority="232" operator="equal">
      <formula>"maintasks"</formula>
    </cfRule>
  </conditionalFormatting>
  <conditionalFormatting sqref="W845:W849">
    <cfRule type="cellIs" dxfId="83" priority="220" operator="equal">
      <formula>"maintasks"</formula>
    </cfRule>
  </conditionalFormatting>
  <conditionalFormatting sqref="W1307">
    <cfRule type="cellIs" dxfId="82" priority="89" operator="equal">
      <formula>"maintasks"</formula>
    </cfRule>
  </conditionalFormatting>
  <conditionalFormatting sqref="W1316">
    <cfRule type="cellIs" dxfId="81" priority="88" operator="equal">
      <formula>"maintasks"</formula>
    </cfRule>
  </conditionalFormatting>
  <conditionalFormatting sqref="W1324">
    <cfRule type="cellIs" dxfId="80" priority="43" operator="equal">
      <formula>"maintasks"</formula>
    </cfRule>
  </conditionalFormatting>
  <conditionalFormatting sqref="W1334">
    <cfRule type="cellIs" dxfId="79" priority="42" operator="equal">
      <formula>"maintasks"</formula>
    </cfRule>
  </conditionalFormatting>
  <conditionalFormatting sqref="W1343">
    <cfRule type="cellIs" dxfId="78" priority="41" operator="equal">
      <formula>"maintasks"</formula>
    </cfRule>
  </conditionalFormatting>
  <conditionalFormatting sqref="W1352">
    <cfRule type="cellIs" dxfId="77" priority="40" operator="equal">
      <formula>"maintasks"</formula>
    </cfRule>
  </conditionalFormatting>
  <conditionalFormatting sqref="W1361">
    <cfRule type="cellIs" dxfId="76" priority="39" operator="equal">
      <formula>"maintasks"</formula>
    </cfRule>
  </conditionalFormatting>
  <conditionalFormatting sqref="W1370">
    <cfRule type="cellIs" dxfId="75" priority="38" operator="equal">
      <formula>"maintasks"</formula>
    </cfRule>
  </conditionalFormatting>
  <conditionalFormatting sqref="W1379">
    <cfRule type="cellIs" dxfId="74" priority="37" operator="equal">
      <formula>"maintasks"</formula>
    </cfRule>
  </conditionalFormatting>
  <conditionalFormatting sqref="W1388 W1397">
    <cfRule type="cellIs" dxfId="73" priority="36" operator="equal">
      <formula>"maintasks"</formula>
    </cfRule>
  </conditionalFormatting>
  <conditionalFormatting sqref="W1438">
    <cfRule type="cellIs" dxfId="72" priority="16" operator="equal">
      <formula>"maintasks"</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DF1A618C-0D6E-44B0-835E-7E48B92BD301}">
            <x14:dataBar minLength="0" maxLength="100" border="1" negativeBarBorderColorSameAsPositive="0">
              <x14:cfvo type="autoMin"/>
              <x14:cfvo type="autoMax"/>
              <x14:borderColor rgb="FF638EC6"/>
              <x14:negativeFillColor rgb="FFFF0000"/>
              <x14:negativeBorderColor rgb="FFFF0000"/>
              <x14:axisColor rgb="FF000000"/>
            </x14:dataBar>
          </x14:cfRule>
          <xm:sqref>A2:A1517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C986-E581-492A-8AD4-49EEE53BD971}">
  <sheetPr>
    <tabColor theme="7" tint="0.79998168889431442"/>
  </sheetPr>
  <dimension ref="A1:W314"/>
  <sheetViews>
    <sheetView zoomScale="56" zoomScaleNormal="56" workbookViewId="0">
      <pane ySplit="1" topLeftCell="A2" activePane="bottomLeft" state="frozen"/>
      <selection activeCell="F1" sqref="F1"/>
      <selection pane="bottomLeft"/>
    </sheetView>
  </sheetViews>
  <sheetFormatPr defaultColWidth="8.77734375" defaultRowHeight="17.55" customHeight="1" x14ac:dyDescent="0.4"/>
  <cols>
    <col min="1" max="1" width="7.5546875" style="787" customWidth="1"/>
    <col min="2" max="3" width="8.77734375" style="787"/>
    <col min="4" max="4" width="8.77734375" style="969"/>
    <col min="5" max="6" width="12.21875" style="787" customWidth="1"/>
    <col min="7" max="10" width="8.77734375" style="787"/>
    <col min="11" max="11" width="12.77734375" style="787" customWidth="1"/>
    <col min="12" max="12" width="13.109375" style="970" customWidth="1"/>
    <col min="13" max="13" width="20.33203125" style="787" customWidth="1"/>
    <col min="14" max="14" width="37" style="787" customWidth="1"/>
    <col min="15" max="16" width="8.77734375" style="787"/>
    <col min="17" max="17" width="8.77734375" style="971"/>
    <col min="18" max="16384" width="8.77734375" style="787"/>
  </cols>
  <sheetData>
    <row r="1" spans="1:23" ht="27" customHeight="1" x14ac:dyDescent="0.4">
      <c r="A1" s="972" t="s">
        <v>0</v>
      </c>
      <c r="B1" s="973" t="s">
        <v>1</v>
      </c>
      <c r="C1" s="973" t="s">
        <v>2</v>
      </c>
      <c r="D1" s="972" t="s">
        <v>3</v>
      </c>
      <c r="E1" s="973" t="s">
        <v>4</v>
      </c>
      <c r="F1" s="973" t="s">
        <v>5</v>
      </c>
      <c r="G1" s="973" t="s">
        <v>917</v>
      </c>
      <c r="H1" s="973" t="s">
        <v>7</v>
      </c>
      <c r="I1" s="973" t="s">
        <v>8</v>
      </c>
      <c r="J1" s="973" t="s">
        <v>10</v>
      </c>
      <c r="K1" s="974" t="s">
        <v>9</v>
      </c>
      <c r="L1" s="975" t="s">
        <v>918</v>
      </c>
      <c r="M1" s="976" t="s">
        <v>12</v>
      </c>
      <c r="N1" s="976" t="s">
        <v>13</v>
      </c>
      <c r="O1" s="976" t="s">
        <v>14</v>
      </c>
      <c r="P1" s="977" t="s">
        <v>919</v>
      </c>
      <c r="Q1" s="978" t="s">
        <v>920</v>
      </c>
      <c r="R1" s="979" t="s">
        <v>17</v>
      </c>
      <c r="S1" s="979" t="s">
        <v>18</v>
      </c>
      <c r="T1" s="972" t="s">
        <v>19</v>
      </c>
      <c r="U1" s="973" t="s">
        <v>921</v>
      </c>
      <c r="V1" s="973" t="s">
        <v>922</v>
      </c>
      <c r="W1" s="973" t="s">
        <v>923</v>
      </c>
    </row>
    <row r="2" spans="1:23" ht="17.55" customHeight="1" x14ac:dyDescent="0.4">
      <c r="A2" s="788">
        <v>1</v>
      </c>
      <c r="B2" s="187" t="s">
        <v>2184</v>
      </c>
      <c r="C2" s="653" t="s">
        <v>24</v>
      </c>
      <c r="D2" s="789">
        <v>1134</v>
      </c>
      <c r="E2" s="187" t="s">
        <v>2185</v>
      </c>
      <c r="F2" s="187" t="s">
        <v>26</v>
      </c>
      <c r="G2" s="653">
        <v>1000</v>
      </c>
      <c r="H2" s="187" t="s">
        <v>27</v>
      </c>
      <c r="I2" s="187" t="s">
        <v>28</v>
      </c>
      <c r="J2" s="653" t="s">
        <v>30</v>
      </c>
      <c r="K2" s="653" t="s">
        <v>29</v>
      </c>
      <c r="L2" s="242">
        <v>0.4</v>
      </c>
      <c r="M2" s="790" t="s">
        <v>2186</v>
      </c>
      <c r="N2" s="790" t="s">
        <v>32</v>
      </c>
      <c r="O2" s="791"/>
      <c r="P2" s="792">
        <v>288416</v>
      </c>
      <c r="Q2" s="793">
        <v>0.45</v>
      </c>
      <c r="R2" s="792">
        <v>288416</v>
      </c>
      <c r="S2" s="792"/>
      <c r="T2" s="652">
        <f t="shared" ref="T2:T65" si="0">IF(AND(S2&gt;=60%,S2&lt;100%),S2*((Q2*L2)),IF(S2=100%,((Q2*L2)*S2)*100%,IF(S2&gt;100%,((L2*Q2)*100%)*100%,0)))*100</f>
        <v>0</v>
      </c>
      <c r="U2" s="794" t="s">
        <v>34</v>
      </c>
      <c r="V2" s="1952">
        <f>SUM(T2:T28)%</f>
        <v>0</v>
      </c>
      <c r="W2" s="187"/>
    </row>
    <row r="3" spans="1:23" ht="17.55" customHeight="1" x14ac:dyDescent="0.4">
      <c r="A3" s="788">
        <v>2</v>
      </c>
      <c r="B3" s="246" t="s">
        <v>2184</v>
      </c>
      <c r="C3" s="649" t="s">
        <v>24</v>
      </c>
      <c r="D3" s="796">
        <v>1134</v>
      </c>
      <c r="E3" s="199" t="s">
        <v>2185</v>
      </c>
      <c r="F3" s="199" t="s">
        <v>26</v>
      </c>
      <c r="G3" s="649">
        <v>1000</v>
      </c>
      <c r="H3" s="199" t="s">
        <v>27</v>
      </c>
      <c r="I3" s="199" t="s">
        <v>28</v>
      </c>
      <c r="J3" s="648" t="s">
        <v>30</v>
      </c>
      <c r="K3" s="649" t="s">
        <v>29</v>
      </c>
      <c r="L3" s="797">
        <v>0.4</v>
      </c>
      <c r="M3" s="798" t="s">
        <v>2187</v>
      </c>
      <c r="N3" s="798" t="s">
        <v>44</v>
      </c>
      <c r="O3" s="799"/>
      <c r="P3" s="800">
        <v>285368</v>
      </c>
      <c r="Q3" s="801">
        <v>0.45</v>
      </c>
      <c r="R3" s="800">
        <v>285368</v>
      </c>
      <c r="S3" s="800"/>
      <c r="T3" s="802">
        <f t="shared" si="0"/>
        <v>0</v>
      </c>
      <c r="U3" s="803" t="s">
        <v>34</v>
      </c>
      <c r="V3" s="803"/>
      <c r="W3" s="199"/>
    </row>
    <row r="4" spans="1:23" ht="17.55" customHeight="1" x14ac:dyDescent="0.4">
      <c r="A4" s="788">
        <v>3</v>
      </c>
      <c r="B4" s="246" t="s">
        <v>2184</v>
      </c>
      <c r="C4" s="649" t="s">
        <v>24</v>
      </c>
      <c r="D4" s="805">
        <v>1134</v>
      </c>
      <c r="E4" s="199" t="s">
        <v>2185</v>
      </c>
      <c r="F4" s="199" t="s">
        <v>26</v>
      </c>
      <c r="G4" s="649">
        <v>1000</v>
      </c>
      <c r="H4" s="199" t="s">
        <v>27</v>
      </c>
      <c r="I4" s="199" t="s">
        <v>28</v>
      </c>
      <c r="J4" s="648" t="s">
        <v>30</v>
      </c>
      <c r="K4" s="649" t="s">
        <v>29</v>
      </c>
      <c r="L4" s="797">
        <v>0.4</v>
      </c>
      <c r="M4" s="798" t="s">
        <v>53</v>
      </c>
      <c r="N4" s="798" t="s">
        <v>54</v>
      </c>
      <c r="O4" s="799"/>
      <c r="P4" s="806">
        <v>0.2456077117147985</v>
      </c>
      <c r="Q4" s="807">
        <v>0.05</v>
      </c>
      <c r="R4" s="806">
        <v>0.2456077117147985</v>
      </c>
      <c r="S4" s="806"/>
      <c r="T4" s="802">
        <f t="shared" si="0"/>
        <v>0</v>
      </c>
      <c r="U4" s="803" t="s">
        <v>34</v>
      </c>
      <c r="V4" s="803"/>
      <c r="W4" s="199"/>
    </row>
    <row r="5" spans="1:23" ht="17.55" customHeight="1" x14ac:dyDescent="0.4">
      <c r="A5" s="788">
        <v>4</v>
      </c>
      <c r="B5" s="246" t="s">
        <v>2184</v>
      </c>
      <c r="C5" s="649" t="s">
        <v>24</v>
      </c>
      <c r="D5" s="805">
        <v>1134</v>
      </c>
      <c r="E5" s="199" t="s">
        <v>2185</v>
      </c>
      <c r="F5" s="199" t="s">
        <v>26</v>
      </c>
      <c r="G5" s="649">
        <v>1000</v>
      </c>
      <c r="H5" s="199" t="s">
        <v>27</v>
      </c>
      <c r="I5" s="199" t="s">
        <v>28</v>
      </c>
      <c r="J5" s="648" t="s">
        <v>30</v>
      </c>
      <c r="K5" s="649" t="s">
        <v>29</v>
      </c>
      <c r="L5" s="797">
        <v>0.4</v>
      </c>
      <c r="M5" s="798" t="s">
        <v>55</v>
      </c>
      <c r="N5" s="798" t="s">
        <v>56</v>
      </c>
      <c r="O5" s="799"/>
      <c r="P5" s="806">
        <v>0.14805630972185518</v>
      </c>
      <c r="Q5" s="807">
        <v>0.05</v>
      </c>
      <c r="R5" s="806">
        <v>0.14805630972185518</v>
      </c>
      <c r="S5" s="806"/>
      <c r="T5" s="802">
        <f t="shared" si="0"/>
        <v>0</v>
      </c>
      <c r="U5" s="803" t="s">
        <v>34</v>
      </c>
      <c r="V5" s="803"/>
      <c r="W5" s="199"/>
    </row>
    <row r="6" spans="1:23" ht="17.55" customHeight="1" x14ac:dyDescent="0.4">
      <c r="A6" s="788">
        <v>5</v>
      </c>
      <c r="B6" s="246" t="s">
        <v>2184</v>
      </c>
      <c r="C6" s="649" t="s">
        <v>24</v>
      </c>
      <c r="D6" s="805">
        <v>1134</v>
      </c>
      <c r="E6" s="199" t="s">
        <v>2185</v>
      </c>
      <c r="F6" s="199" t="s">
        <v>26</v>
      </c>
      <c r="G6" s="649">
        <v>1000</v>
      </c>
      <c r="H6" s="199" t="s">
        <v>27</v>
      </c>
      <c r="I6" s="199" t="s">
        <v>28</v>
      </c>
      <c r="J6" s="79" t="s">
        <v>58</v>
      </c>
      <c r="K6" s="808" t="s">
        <v>2035</v>
      </c>
      <c r="L6" s="809">
        <v>0.2</v>
      </c>
      <c r="M6" s="810" t="s">
        <v>59</v>
      </c>
      <c r="N6" s="811" t="s">
        <v>60</v>
      </c>
      <c r="O6" s="811" t="s">
        <v>61</v>
      </c>
      <c r="P6" s="812">
        <v>0.9</v>
      </c>
      <c r="Q6" s="813">
        <v>0.1</v>
      </c>
      <c r="R6" s="812">
        <v>0.9</v>
      </c>
      <c r="S6" s="812"/>
      <c r="T6" s="814">
        <f t="shared" si="0"/>
        <v>0</v>
      </c>
      <c r="U6" s="815" t="s">
        <v>34</v>
      </c>
      <c r="V6" s="815"/>
      <c r="W6" s="199"/>
    </row>
    <row r="7" spans="1:23" ht="17.55" customHeight="1" x14ac:dyDescent="0.4">
      <c r="A7" s="788">
        <v>6</v>
      </c>
      <c r="B7" s="246" t="s">
        <v>2184</v>
      </c>
      <c r="C7" s="649" t="s">
        <v>24</v>
      </c>
      <c r="D7" s="805">
        <v>1134</v>
      </c>
      <c r="E7" s="199" t="s">
        <v>2185</v>
      </c>
      <c r="F7" s="199" t="s">
        <v>26</v>
      </c>
      <c r="G7" s="649">
        <v>1000</v>
      </c>
      <c r="H7" s="199" t="s">
        <v>27</v>
      </c>
      <c r="I7" s="199" t="s">
        <v>28</v>
      </c>
      <c r="J7" s="79" t="s">
        <v>58</v>
      </c>
      <c r="K7" s="816" t="s">
        <v>2035</v>
      </c>
      <c r="L7" s="817">
        <v>0.2</v>
      </c>
      <c r="M7" s="756" t="s">
        <v>62</v>
      </c>
      <c r="N7" s="818" t="s">
        <v>63</v>
      </c>
      <c r="O7" s="819" t="s">
        <v>64</v>
      </c>
      <c r="P7" s="647">
        <v>0.9</v>
      </c>
      <c r="Q7" s="820">
        <v>0.06</v>
      </c>
      <c r="R7" s="647">
        <v>0.9</v>
      </c>
      <c r="S7" s="647"/>
      <c r="T7" s="814">
        <f t="shared" si="0"/>
        <v>0</v>
      </c>
      <c r="U7" s="815" t="s">
        <v>34</v>
      </c>
      <c r="V7" s="815"/>
      <c r="W7" s="199"/>
    </row>
    <row r="8" spans="1:23" ht="17.55" customHeight="1" x14ac:dyDescent="0.4">
      <c r="A8" s="788">
        <v>7</v>
      </c>
      <c r="B8" s="246" t="s">
        <v>2184</v>
      </c>
      <c r="C8" s="649" t="s">
        <v>24</v>
      </c>
      <c r="D8" s="805">
        <v>1134</v>
      </c>
      <c r="E8" s="199" t="s">
        <v>2185</v>
      </c>
      <c r="F8" s="199" t="s">
        <v>26</v>
      </c>
      <c r="G8" s="649">
        <v>1000</v>
      </c>
      <c r="H8" s="199" t="s">
        <v>27</v>
      </c>
      <c r="I8" s="199" t="s">
        <v>28</v>
      </c>
      <c r="J8" s="79" t="s">
        <v>58</v>
      </c>
      <c r="K8" s="816" t="s">
        <v>2035</v>
      </c>
      <c r="L8" s="817">
        <v>0.2</v>
      </c>
      <c r="M8" s="756" t="s">
        <v>65</v>
      </c>
      <c r="N8" s="819" t="s">
        <v>66</v>
      </c>
      <c r="O8" s="819" t="s">
        <v>67</v>
      </c>
      <c r="P8" s="647">
        <v>0.8</v>
      </c>
      <c r="Q8" s="820">
        <v>0.06</v>
      </c>
      <c r="R8" s="647">
        <v>0.8</v>
      </c>
      <c r="S8" s="647"/>
      <c r="T8" s="814">
        <f t="shared" si="0"/>
        <v>0</v>
      </c>
      <c r="U8" s="815" t="s">
        <v>34</v>
      </c>
      <c r="V8" s="815"/>
      <c r="W8" s="199"/>
    </row>
    <row r="9" spans="1:23" ht="17.55" customHeight="1" x14ac:dyDescent="0.4">
      <c r="A9" s="788">
        <v>8</v>
      </c>
      <c r="B9" s="246" t="s">
        <v>2184</v>
      </c>
      <c r="C9" s="649" t="s">
        <v>24</v>
      </c>
      <c r="D9" s="805">
        <v>1134</v>
      </c>
      <c r="E9" s="199" t="s">
        <v>2185</v>
      </c>
      <c r="F9" s="199" t="s">
        <v>26</v>
      </c>
      <c r="G9" s="649">
        <v>1000</v>
      </c>
      <c r="H9" s="199" t="s">
        <v>27</v>
      </c>
      <c r="I9" s="199" t="s">
        <v>28</v>
      </c>
      <c r="J9" s="79" t="s">
        <v>58</v>
      </c>
      <c r="K9" s="816" t="s">
        <v>2035</v>
      </c>
      <c r="L9" s="817">
        <v>0.2</v>
      </c>
      <c r="M9" s="821" t="s">
        <v>68</v>
      </c>
      <c r="N9" s="819" t="s">
        <v>69</v>
      </c>
      <c r="O9" s="819" t="s">
        <v>70</v>
      </c>
      <c r="P9" s="647">
        <v>0.95</v>
      </c>
      <c r="Q9" s="820">
        <v>0.1</v>
      </c>
      <c r="R9" s="647">
        <v>0.95</v>
      </c>
      <c r="S9" s="647"/>
      <c r="T9" s="814">
        <f t="shared" si="0"/>
        <v>0</v>
      </c>
      <c r="U9" s="815" t="s">
        <v>34</v>
      </c>
      <c r="V9" s="815"/>
      <c r="W9" s="199"/>
    </row>
    <row r="10" spans="1:23" ht="17.55" customHeight="1" x14ac:dyDescent="0.4">
      <c r="A10" s="788">
        <v>9</v>
      </c>
      <c r="B10" s="246" t="s">
        <v>2184</v>
      </c>
      <c r="C10" s="649" t="s">
        <v>24</v>
      </c>
      <c r="D10" s="805">
        <v>1134</v>
      </c>
      <c r="E10" s="199" t="s">
        <v>2185</v>
      </c>
      <c r="F10" s="199" t="s">
        <v>26</v>
      </c>
      <c r="G10" s="649">
        <v>1000</v>
      </c>
      <c r="H10" s="199" t="s">
        <v>27</v>
      </c>
      <c r="I10" s="199" t="s">
        <v>28</v>
      </c>
      <c r="J10" s="79" t="s">
        <v>58</v>
      </c>
      <c r="K10" s="816" t="s">
        <v>2035</v>
      </c>
      <c r="L10" s="817">
        <v>0.2</v>
      </c>
      <c r="M10" s="821" t="s">
        <v>71</v>
      </c>
      <c r="N10" s="818" t="s">
        <v>72</v>
      </c>
      <c r="O10" s="822" t="s">
        <v>73</v>
      </c>
      <c r="P10" s="647">
        <v>0.95</v>
      </c>
      <c r="Q10" s="820">
        <v>0.1</v>
      </c>
      <c r="R10" s="647">
        <v>0.95</v>
      </c>
      <c r="S10" s="647"/>
      <c r="T10" s="814">
        <f t="shared" si="0"/>
        <v>0</v>
      </c>
      <c r="U10" s="815" t="s">
        <v>34</v>
      </c>
      <c r="V10" s="815"/>
      <c r="W10" s="199"/>
    </row>
    <row r="11" spans="1:23" ht="17.55" customHeight="1" x14ac:dyDescent="0.4">
      <c r="A11" s="788">
        <v>10</v>
      </c>
      <c r="B11" s="246" t="s">
        <v>2184</v>
      </c>
      <c r="C11" s="649" t="s">
        <v>24</v>
      </c>
      <c r="D11" s="805">
        <v>1134</v>
      </c>
      <c r="E11" s="199" t="s">
        <v>2185</v>
      </c>
      <c r="F11" s="199" t="s">
        <v>26</v>
      </c>
      <c r="G11" s="649">
        <v>1000</v>
      </c>
      <c r="H11" s="199" t="s">
        <v>27</v>
      </c>
      <c r="I11" s="199" t="s">
        <v>28</v>
      </c>
      <c r="J11" s="79" t="s">
        <v>58</v>
      </c>
      <c r="K11" s="816" t="s">
        <v>2035</v>
      </c>
      <c r="L11" s="817">
        <v>0.2</v>
      </c>
      <c r="M11" s="756" t="s">
        <v>74</v>
      </c>
      <c r="N11" s="819" t="s">
        <v>75</v>
      </c>
      <c r="O11" s="819" t="s">
        <v>76</v>
      </c>
      <c r="P11" s="764">
        <v>90</v>
      </c>
      <c r="Q11" s="820">
        <v>0.05</v>
      </c>
      <c r="R11" s="764">
        <v>90</v>
      </c>
      <c r="S11" s="764"/>
      <c r="T11" s="814">
        <f t="shared" si="0"/>
        <v>0</v>
      </c>
      <c r="U11" s="815" t="s">
        <v>34</v>
      </c>
      <c r="V11" s="815"/>
      <c r="W11" s="199"/>
    </row>
    <row r="12" spans="1:23" ht="17.55" customHeight="1" x14ac:dyDescent="0.4">
      <c r="A12" s="788">
        <v>11</v>
      </c>
      <c r="B12" s="246" t="s">
        <v>2184</v>
      </c>
      <c r="C12" s="649" t="s">
        <v>24</v>
      </c>
      <c r="D12" s="805">
        <v>1134</v>
      </c>
      <c r="E12" s="199" t="s">
        <v>2185</v>
      </c>
      <c r="F12" s="199" t="s">
        <v>26</v>
      </c>
      <c r="G12" s="649">
        <v>1000</v>
      </c>
      <c r="H12" s="199" t="s">
        <v>27</v>
      </c>
      <c r="I12" s="199" t="s">
        <v>28</v>
      </c>
      <c r="J12" s="79" t="s">
        <v>58</v>
      </c>
      <c r="K12" s="816" t="s">
        <v>2035</v>
      </c>
      <c r="L12" s="817">
        <v>0.2</v>
      </c>
      <c r="M12" s="821" t="s">
        <v>77</v>
      </c>
      <c r="N12" s="818" t="s">
        <v>78</v>
      </c>
      <c r="O12" s="819" t="s">
        <v>79</v>
      </c>
      <c r="P12" s="647">
        <v>0.99</v>
      </c>
      <c r="Q12" s="820">
        <v>0.1</v>
      </c>
      <c r="R12" s="647">
        <v>0.99</v>
      </c>
      <c r="S12" s="647"/>
      <c r="T12" s="814">
        <f t="shared" si="0"/>
        <v>0</v>
      </c>
      <c r="U12" s="815" t="s">
        <v>34</v>
      </c>
      <c r="V12" s="815"/>
      <c r="W12" s="199"/>
    </row>
    <row r="13" spans="1:23" ht="17.55" customHeight="1" x14ac:dyDescent="0.4">
      <c r="A13" s="788">
        <v>12</v>
      </c>
      <c r="B13" s="246" t="s">
        <v>2184</v>
      </c>
      <c r="C13" s="649" t="s">
        <v>24</v>
      </c>
      <c r="D13" s="805">
        <v>1134</v>
      </c>
      <c r="E13" s="199" t="s">
        <v>2185</v>
      </c>
      <c r="F13" s="199" t="s">
        <v>26</v>
      </c>
      <c r="G13" s="649">
        <v>1000</v>
      </c>
      <c r="H13" s="199" t="s">
        <v>27</v>
      </c>
      <c r="I13" s="199" t="s">
        <v>28</v>
      </c>
      <c r="J13" s="79" t="s">
        <v>58</v>
      </c>
      <c r="K13" s="816" t="s">
        <v>2035</v>
      </c>
      <c r="L13" s="817">
        <v>0.2</v>
      </c>
      <c r="M13" s="821" t="s">
        <v>80</v>
      </c>
      <c r="N13" s="819" t="s">
        <v>81</v>
      </c>
      <c r="O13" s="819" t="s">
        <v>82</v>
      </c>
      <c r="P13" s="823">
        <v>0.01</v>
      </c>
      <c r="Q13" s="820">
        <v>0.05</v>
      </c>
      <c r="R13" s="823">
        <v>0.01</v>
      </c>
      <c r="S13" s="823"/>
      <c r="T13" s="814">
        <f t="shared" si="0"/>
        <v>0</v>
      </c>
      <c r="U13" s="815" t="s">
        <v>83</v>
      </c>
      <c r="V13" s="815"/>
      <c r="W13" s="199"/>
    </row>
    <row r="14" spans="1:23" ht="17.55" customHeight="1" x14ac:dyDescent="0.4">
      <c r="A14" s="788">
        <v>13</v>
      </c>
      <c r="B14" s="246" t="s">
        <v>2184</v>
      </c>
      <c r="C14" s="649" t="s">
        <v>24</v>
      </c>
      <c r="D14" s="805">
        <v>1134</v>
      </c>
      <c r="E14" s="199" t="s">
        <v>2185</v>
      </c>
      <c r="F14" s="199" t="s">
        <v>26</v>
      </c>
      <c r="G14" s="649">
        <v>1000</v>
      </c>
      <c r="H14" s="199" t="s">
        <v>27</v>
      </c>
      <c r="I14" s="199" t="s">
        <v>28</v>
      </c>
      <c r="J14" s="79" t="s">
        <v>58</v>
      </c>
      <c r="K14" s="816" t="s">
        <v>2035</v>
      </c>
      <c r="L14" s="817">
        <v>0.2</v>
      </c>
      <c r="M14" s="821" t="s">
        <v>84</v>
      </c>
      <c r="N14" s="819" t="s">
        <v>85</v>
      </c>
      <c r="O14" s="819" t="s">
        <v>86</v>
      </c>
      <c r="P14" s="647">
        <v>0.03</v>
      </c>
      <c r="Q14" s="820">
        <v>0.03</v>
      </c>
      <c r="R14" s="647">
        <v>0.03</v>
      </c>
      <c r="S14" s="647"/>
      <c r="T14" s="814">
        <f t="shared" si="0"/>
        <v>0</v>
      </c>
      <c r="U14" s="815" t="s">
        <v>83</v>
      </c>
      <c r="V14" s="815"/>
      <c r="W14" s="199"/>
    </row>
    <row r="15" spans="1:23" ht="17.55" customHeight="1" x14ac:dyDescent="0.4">
      <c r="A15" s="788">
        <v>14</v>
      </c>
      <c r="B15" s="246" t="s">
        <v>2184</v>
      </c>
      <c r="C15" s="649" t="s">
        <v>24</v>
      </c>
      <c r="D15" s="805">
        <v>1134</v>
      </c>
      <c r="E15" s="199" t="s">
        <v>2185</v>
      </c>
      <c r="F15" s="199" t="s">
        <v>26</v>
      </c>
      <c r="G15" s="649">
        <v>1000</v>
      </c>
      <c r="H15" s="199" t="s">
        <v>27</v>
      </c>
      <c r="I15" s="199" t="s">
        <v>28</v>
      </c>
      <c r="J15" s="79" t="s">
        <v>58</v>
      </c>
      <c r="K15" s="816" t="s">
        <v>2035</v>
      </c>
      <c r="L15" s="817">
        <v>0.2</v>
      </c>
      <c r="M15" s="821" t="s">
        <v>87</v>
      </c>
      <c r="N15" s="819" t="s">
        <v>88</v>
      </c>
      <c r="O15" s="819" t="s">
        <v>89</v>
      </c>
      <c r="P15" s="647">
        <v>0.95</v>
      </c>
      <c r="Q15" s="820">
        <v>0.05</v>
      </c>
      <c r="R15" s="647">
        <v>0.95</v>
      </c>
      <c r="S15" s="647"/>
      <c r="T15" s="814">
        <f t="shared" si="0"/>
        <v>0</v>
      </c>
      <c r="U15" s="815" t="s">
        <v>34</v>
      </c>
      <c r="V15" s="815"/>
      <c r="W15" s="199"/>
    </row>
    <row r="16" spans="1:23" ht="17.55" customHeight="1" x14ac:dyDescent="0.4">
      <c r="A16" s="788">
        <v>15</v>
      </c>
      <c r="B16" s="246" t="s">
        <v>2184</v>
      </c>
      <c r="C16" s="649" t="s">
        <v>24</v>
      </c>
      <c r="D16" s="805">
        <v>1134</v>
      </c>
      <c r="E16" s="199" t="s">
        <v>2185</v>
      </c>
      <c r="F16" s="199" t="s">
        <v>26</v>
      </c>
      <c r="G16" s="649">
        <v>1000</v>
      </c>
      <c r="H16" s="199" t="s">
        <v>27</v>
      </c>
      <c r="I16" s="199" t="s">
        <v>28</v>
      </c>
      <c r="J16" s="79" t="s">
        <v>58</v>
      </c>
      <c r="K16" s="816" t="s">
        <v>2035</v>
      </c>
      <c r="L16" s="817">
        <v>0.2</v>
      </c>
      <c r="M16" s="756" t="s">
        <v>90</v>
      </c>
      <c r="N16" s="819" t="s">
        <v>91</v>
      </c>
      <c r="O16" s="819" t="s">
        <v>92</v>
      </c>
      <c r="P16" s="764">
        <v>2</v>
      </c>
      <c r="Q16" s="820">
        <v>0.02</v>
      </c>
      <c r="R16" s="764">
        <v>2</v>
      </c>
      <c r="S16" s="764"/>
      <c r="T16" s="814">
        <f t="shared" si="0"/>
        <v>0</v>
      </c>
      <c r="U16" s="815" t="s">
        <v>34</v>
      </c>
      <c r="V16" s="815"/>
      <c r="W16" s="199"/>
    </row>
    <row r="17" spans="1:23" ht="17.55" customHeight="1" x14ac:dyDescent="0.4">
      <c r="A17" s="788">
        <v>16</v>
      </c>
      <c r="B17" s="246" t="s">
        <v>2184</v>
      </c>
      <c r="C17" s="649" t="s">
        <v>24</v>
      </c>
      <c r="D17" s="805">
        <v>1134</v>
      </c>
      <c r="E17" s="199" t="s">
        <v>2185</v>
      </c>
      <c r="F17" s="199" t="s">
        <v>26</v>
      </c>
      <c r="G17" s="649">
        <v>1000</v>
      </c>
      <c r="H17" s="199" t="s">
        <v>27</v>
      </c>
      <c r="I17" s="199" t="s">
        <v>28</v>
      </c>
      <c r="J17" s="79" t="s">
        <v>58</v>
      </c>
      <c r="K17" s="816" t="s">
        <v>2035</v>
      </c>
      <c r="L17" s="817">
        <v>0.2</v>
      </c>
      <c r="M17" s="756" t="s">
        <v>93</v>
      </c>
      <c r="N17" s="819" t="s">
        <v>94</v>
      </c>
      <c r="O17" s="819" t="s">
        <v>95</v>
      </c>
      <c r="P17" s="647">
        <v>0.75</v>
      </c>
      <c r="Q17" s="820">
        <v>0.03</v>
      </c>
      <c r="R17" s="647">
        <v>0.75</v>
      </c>
      <c r="S17" s="647"/>
      <c r="T17" s="814">
        <f t="shared" si="0"/>
        <v>0</v>
      </c>
      <c r="U17" s="815" t="s">
        <v>34</v>
      </c>
      <c r="V17" s="815"/>
      <c r="W17" s="199"/>
    </row>
    <row r="18" spans="1:23" ht="17.55" customHeight="1" x14ac:dyDescent="0.4">
      <c r="A18" s="788">
        <v>17</v>
      </c>
      <c r="B18" s="246" t="s">
        <v>2184</v>
      </c>
      <c r="C18" s="649" t="s">
        <v>24</v>
      </c>
      <c r="D18" s="805">
        <v>1134</v>
      </c>
      <c r="E18" s="199" t="s">
        <v>2185</v>
      </c>
      <c r="F18" s="199" t="s">
        <v>26</v>
      </c>
      <c r="G18" s="649">
        <v>1000</v>
      </c>
      <c r="H18" s="199" t="s">
        <v>27</v>
      </c>
      <c r="I18" s="199" t="s">
        <v>28</v>
      </c>
      <c r="J18" s="79" t="s">
        <v>58</v>
      </c>
      <c r="K18" s="816" t="s">
        <v>2035</v>
      </c>
      <c r="L18" s="817">
        <v>0.2</v>
      </c>
      <c r="M18" s="821" t="s">
        <v>96</v>
      </c>
      <c r="N18" s="819" t="s">
        <v>97</v>
      </c>
      <c r="O18" s="819" t="s">
        <v>98</v>
      </c>
      <c r="P18" s="764">
        <v>1</v>
      </c>
      <c r="Q18" s="820">
        <v>0.05</v>
      </c>
      <c r="R18" s="764">
        <v>1</v>
      </c>
      <c r="S18" s="764"/>
      <c r="T18" s="814">
        <f t="shared" si="0"/>
        <v>0</v>
      </c>
      <c r="U18" s="815" t="s">
        <v>83</v>
      </c>
      <c r="V18" s="815"/>
      <c r="W18" s="199"/>
    </row>
    <row r="19" spans="1:23" ht="17.55" customHeight="1" x14ac:dyDescent="0.4">
      <c r="A19" s="788">
        <v>18</v>
      </c>
      <c r="B19" s="246" t="s">
        <v>2184</v>
      </c>
      <c r="C19" s="649" t="s">
        <v>24</v>
      </c>
      <c r="D19" s="805">
        <v>1134</v>
      </c>
      <c r="E19" s="199" t="s">
        <v>2185</v>
      </c>
      <c r="F19" s="199" t="s">
        <v>26</v>
      </c>
      <c r="G19" s="649">
        <v>1000</v>
      </c>
      <c r="H19" s="199" t="s">
        <v>27</v>
      </c>
      <c r="I19" s="199" t="s">
        <v>28</v>
      </c>
      <c r="J19" s="79" t="s">
        <v>58</v>
      </c>
      <c r="K19" s="816" t="s">
        <v>2035</v>
      </c>
      <c r="L19" s="817">
        <v>0.2</v>
      </c>
      <c r="M19" s="756" t="s">
        <v>99</v>
      </c>
      <c r="N19" s="819" t="s">
        <v>100</v>
      </c>
      <c r="O19" s="819" t="s">
        <v>101</v>
      </c>
      <c r="P19" s="647">
        <v>0.95</v>
      </c>
      <c r="Q19" s="820">
        <v>0.05</v>
      </c>
      <c r="R19" s="647">
        <v>0.95</v>
      </c>
      <c r="S19" s="647"/>
      <c r="T19" s="814">
        <f t="shared" si="0"/>
        <v>0</v>
      </c>
      <c r="U19" s="815" t="s">
        <v>34</v>
      </c>
      <c r="V19" s="815"/>
      <c r="W19" s="199"/>
    </row>
    <row r="20" spans="1:23" ht="17.55" customHeight="1" x14ac:dyDescent="0.4">
      <c r="A20" s="788">
        <v>19</v>
      </c>
      <c r="B20" s="246" t="s">
        <v>2184</v>
      </c>
      <c r="C20" s="649" t="s">
        <v>24</v>
      </c>
      <c r="D20" s="805">
        <v>1134</v>
      </c>
      <c r="E20" s="199" t="s">
        <v>2185</v>
      </c>
      <c r="F20" s="199" t="s">
        <v>26</v>
      </c>
      <c r="G20" s="649">
        <v>1000</v>
      </c>
      <c r="H20" s="199" t="s">
        <v>27</v>
      </c>
      <c r="I20" s="199" t="s">
        <v>28</v>
      </c>
      <c r="J20" s="79" t="s">
        <v>58</v>
      </c>
      <c r="K20" s="816" t="s">
        <v>2035</v>
      </c>
      <c r="L20" s="817">
        <v>0.2</v>
      </c>
      <c r="M20" s="756" t="s">
        <v>102</v>
      </c>
      <c r="N20" s="819" t="s">
        <v>103</v>
      </c>
      <c r="O20" s="819" t="s">
        <v>104</v>
      </c>
      <c r="P20" s="764">
        <v>1</v>
      </c>
      <c r="Q20" s="820">
        <v>0.05</v>
      </c>
      <c r="R20" s="764">
        <v>1</v>
      </c>
      <c r="S20" s="764"/>
      <c r="T20" s="814">
        <f t="shared" si="0"/>
        <v>0</v>
      </c>
      <c r="U20" s="815" t="s">
        <v>34</v>
      </c>
      <c r="V20" s="815"/>
      <c r="W20" s="199"/>
    </row>
    <row r="21" spans="1:23" ht="17.55" customHeight="1" x14ac:dyDescent="0.4">
      <c r="A21" s="788">
        <v>20</v>
      </c>
      <c r="B21" s="246" t="s">
        <v>2184</v>
      </c>
      <c r="C21" s="649" t="s">
        <v>24</v>
      </c>
      <c r="D21" s="805">
        <v>1134</v>
      </c>
      <c r="E21" s="199" t="s">
        <v>2185</v>
      </c>
      <c r="F21" s="199" t="s">
        <v>26</v>
      </c>
      <c r="G21" s="649">
        <v>1000</v>
      </c>
      <c r="H21" s="199" t="s">
        <v>27</v>
      </c>
      <c r="I21" s="199" t="s">
        <v>28</v>
      </c>
      <c r="J21" s="79" t="s">
        <v>58</v>
      </c>
      <c r="K21" s="816" t="s">
        <v>2035</v>
      </c>
      <c r="L21" s="817">
        <v>0.2</v>
      </c>
      <c r="M21" s="756" t="s">
        <v>105</v>
      </c>
      <c r="N21" s="819" t="s">
        <v>106</v>
      </c>
      <c r="O21" s="819" t="s">
        <v>107</v>
      </c>
      <c r="P21" s="764">
        <v>1</v>
      </c>
      <c r="Q21" s="820">
        <v>0.05</v>
      </c>
      <c r="R21" s="764">
        <v>1</v>
      </c>
      <c r="S21" s="764"/>
      <c r="T21" s="814">
        <f t="shared" si="0"/>
        <v>0</v>
      </c>
      <c r="U21" s="815" t="s">
        <v>34</v>
      </c>
      <c r="V21" s="815"/>
      <c r="W21" s="199"/>
    </row>
    <row r="22" spans="1:23" ht="17.55" customHeight="1" x14ac:dyDescent="0.4">
      <c r="A22" s="788">
        <v>21</v>
      </c>
      <c r="B22" s="246" t="s">
        <v>2184</v>
      </c>
      <c r="C22" s="649" t="s">
        <v>24</v>
      </c>
      <c r="D22" s="805">
        <v>1134</v>
      </c>
      <c r="E22" s="199" t="s">
        <v>2185</v>
      </c>
      <c r="F22" s="199" t="s">
        <v>26</v>
      </c>
      <c r="G22" s="649">
        <v>1000</v>
      </c>
      <c r="H22" s="199" t="s">
        <v>27</v>
      </c>
      <c r="I22" s="199" t="s">
        <v>28</v>
      </c>
      <c r="J22" s="79" t="s">
        <v>58</v>
      </c>
      <c r="K22" s="816" t="s">
        <v>2035</v>
      </c>
      <c r="L22" s="817">
        <v>0.2</v>
      </c>
      <c r="M22" s="756" t="s">
        <v>108</v>
      </c>
      <c r="N22" s="819" t="s">
        <v>109</v>
      </c>
      <c r="O22" s="819"/>
      <c r="P22" s="647">
        <v>0.85</v>
      </c>
      <c r="Q22" s="820">
        <v>0.05</v>
      </c>
      <c r="R22" s="647">
        <v>0.85</v>
      </c>
      <c r="S22" s="647"/>
      <c r="T22" s="814">
        <f t="shared" si="0"/>
        <v>0</v>
      </c>
      <c r="U22" s="815" t="s">
        <v>34</v>
      </c>
      <c r="V22" s="815"/>
      <c r="W22" s="199"/>
    </row>
    <row r="23" spans="1:23" ht="17.55" customHeight="1" x14ac:dyDescent="0.4">
      <c r="A23" s="788">
        <v>22</v>
      </c>
      <c r="B23" s="246" t="s">
        <v>2184</v>
      </c>
      <c r="C23" s="649" t="s">
        <v>24</v>
      </c>
      <c r="D23" s="805">
        <v>1134</v>
      </c>
      <c r="E23" s="199" t="s">
        <v>2185</v>
      </c>
      <c r="F23" s="199" t="s">
        <v>26</v>
      </c>
      <c r="G23" s="649">
        <v>1000</v>
      </c>
      <c r="H23" s="199" t="s">
        <v>27</v>
      </c>
      <c r="I23" s="199" t="s">
        <v>28</v>
      </c>
      <c r="J23" s="649" t="s">
        <v>111</v>
      </c>
      <c r="K23" s="649" t="s">
        <v>110</v>
      </c>
      <c r="L23" s="824">
        <v>0.4</v>
      </c>
      <c r="M23" s="825" t="s">
        <v>2188</v>
      </c>
      <c r="N23" s="826" t="s">
        <v>2189</v>
      </c>
      <c r="O23" s="827"/>
      <c r="P23" s="222">
        <v>1</v>
      </c>
      <c r="Q23" s="828">
        <v>0.1</v>
      </c>
      <c r="R23" s="222">
        <v>1</v>
      </c>
      <c r="S23" s="222"/>
      <c r="T23" s="802">
        <f t="shared" si="0"/>
        <v>0</v>
      </c>
      <c r="U23" s="803" t="s">
        <v>34</v>
      </c>
      <c r="V23" s="803"/>
      <c r="W23" s="199"/>
    </row>
    <row r="24" spans="1:23" ht="17.55" customHeight="1" x14ac:dyDescent="0.4">
      <c r="A24" s="788">
        <v>23</v>
      </c>
      <c r="B24" s="246" t="s">
        <v>2184</v>
      </c>
      <c r="C24" s="649" t="s">
        <v>24</v>
      </c>
      <c r="D24" s="805">
        <v>1134</v>
      </c>
      <c r="E24" s="199" t="s">
        <v>2185</v>
      </c>
      <c r="F24" s="199" t="s">
        <v>26</v>
      </c>
      <c r="G24" s="649">
        <v>1000</v>
      </c>
      <c r="H24" s="199" t="s">
        <v>27</v>
      </c>
      <c r="I24" s="199" t="s">
        <v>28</v>
      </c>
      <c r="J24" s="649" t="s">
        <v>111</v>
      </c>
      <c r="K24" s="649" t="s">
        <v>110</v>
      </c>
      <c r="L24" s="824">
        <v>0.4</v>
      </c>
      <c r="M24" s="825" t="s">
        <v>2190</v>
      </c>
      <c r="N24" s="826" t="s">
        <v>2191</v>
      </c>
      <c r="O24" s="827"/>
      <c r="P24" s="222">
        <v>1</v>
      </c>
      <c r="Q24" s="828">
        <v>0.1</v>
      </c>
      <c r="R24" s="222">
        <v>1</v>
      </c>
      <c r="S24" s="222"/>
      <c r="T24" s="802">
        <f t="shared" si="0"/>
        <v>0</v>
      </c>
      <c r="U24" s="803" t="s">
        <v>34</v>
      </c>
      <c r="V24" s="803"/>
      <c r="W24" s="199"/>
    </row>
    <row r="25" spans="1:23" ht="17.55" customHeight="1" x14ac:dyDescent="0.4">
      <c r="A25" s="788">
        <v>24</v>
      </c>
      <c r="B25" s="246" t="s">
        <v>2184</v>
      </c>
      <c r="C25" s="649" t="s">
        <v>24</v>
      </c>
      <c r="D25" s="805">
        <v>1134</v>
      </c>
      <c r="E25" s="199" t="s">
        <v>2185</v>
      </c>
      <c r="F25" s="199" t="s">
        <v>26</v>
      </c>
      <c r="G25" s="649">
        <v>1000</v>
      </c>
      <c r="H25" s="199" t="s">
        <v>27</v>
      </c>
      <c r="I25" s="199" t="s">
        <v>28</v>
      </c>
      <c r="J25" s="649" t="s">
        <v>111</v>
      </c>
      <c r="K25" s="649" t="s">
        <v>110</v>
      </c>
      <c r="L25" s="824">
        <v>0.4</v>
      </c>
      <c r="M25" s="829" t="s">
        <v>124</v>
      </c>
      <c r="N25" s="827" t="s">
        <v>125</v>
      </c>
      <c r="O25" s="827"/>
      <c r="P25" s="222">
        <v>1</v>
      </c>
      <c r="Q25" s="828">
        <v>0.2</v>
      </c>
      <c r="R25" s="222">
        <v>1</v>
      </c>
      <c r="S25" s="222"/>
      <c r="T25" s="802">
        <f t="shared" si="0"/>
        <v>0</v>
      </c>
      <c r="U25" s="803" t="s">
        <v>34</v>
      </c>
      <c r="V25" s="803"/>
      <c r="W25" s="199"/>
    </row>
    <row r="26" spans="1:23" ht="17.55" customHeight="1" x14ac:dyDescent="0.4">
      <c r="A26" s="788">
        <v>25</v>
      </c>
      <c r="B26" s="246" t="s">
        <v>2184</v>
      </c>
      <c r="C26" s="649" t="s">
        <v>24</v>
      </c>
      <c r="D26" s="805">
        <v>1134</v>
      </c>
      <c r="E26" s="199" t="s">
        <v>2185</v>
      </c>
      <c r="F26" s="199" t="s">
        <v>26</v>
      </c>
      <c r="G26" s="649">
        <v>1000</v>
      </c>
      <c r="H26" s="199" t="s">
        <v>27</v>
      </c>
      <c r="I26" s="199" t="s">
        <v>28</v>
      </c>
      <c r="J26" s="649" t="s">
        <v>111</v>
      </c>
      <c r="K26" s="649" t="s">
        <v>110</v>
      </c>
      <c r="L26" s="824">
        <v>0.4</v>
      </c>
      <c r="M26" s="829" t="s">
        <v>126</v>
      </c>
      <c r="N26" s="827" t="s">
        <v>127</v>
      </c>
      <c r="O26" s="827"/>
      <c r="P26" s="222">
        <v>1</v>
      </c>
      <c r="Q26" s="828">
        <v>0.2</v>
      </c>
      <c r="R26" s="222">
        <v>1</v>
      </c>
      <c r="S26" s="222"/>
      <c r="T26" s="802">
        <f t="shared" si="0"/>
        <v>0</v>
      </c>
      <c r="U26" s="803" t="s">
        <v>34</v>
      </c>
      <c r="V26" s="803"/>
      <c r="W26" s="199"/>
    </row>
    <row r="27" spans="1:23" ht="17.55" customHeight="1" x14ac:dyDescent="0.4">
      <c r="A27" s="788">
        <v>26</v>
      </c>
      <c r="B27" s="246" t="s">
        <v>2184</v>
      </c>
      <c r="C27" s="649" t="s">
        <v>24</v>
      </c>
      <c r="D27" s="805">
        <v>1134</v>
      </c>
      <c r="E27" s="199" t="s">
        <v>2185</v>
      </c>
      <c r="F27" s="199" t="s">
        <v>26</v>
      </c>
      <c r="G27" s="649">
        <v>1000</v>
      </c>
      <c r="H27" s="199" t="s">
        <v>27</v>
      </c>
      <c r="I27" s="199" t="s">
        <v>28</v>
      </c>
      <c r="J27" s="649" t="s">
        <v>111</v>
      </c>
      <c r="K27" s="649" t="s">
        <v>110</v>
      </c>
      <c r="L27" s="824">
        <v>0.4</v>
      </c>
      <c r="M27" s="829" t="s">
        <v>131</v>
      </c>
      <c r="N27" s="827" t="s">
        <v>132</v>
      </c>
      <c r="O27" s="827"/>
      <c r="P27" s="222">
        <v>1</v>
      </c>
      <c r="Q27" s="828">
        <v>0.2</v>
      </c>
      <c r="R27" s="222">
        <v>1</v>
      </c>
      <c r="S27" s="222"/>
      <c r="T27" s="802">
        <f t="shared" si="0"/>
        <v>0</v>
      </c>
      <c r="U27" s="803" t="s">
        <v>34</v>
      </c>
      <c r="V27" s="803"/>
      <c r="W27" s="199"/>
    </row>
    <row r="28" spans="1:23" ht="17.55" customHeight="1" x14ac:dyDescent="0.4">
      <c r="A28" s="788">
        <v>27</v>
      </c>
      <c r="B28" s="246" t="s">
        <v>2184</v>
      </c>
      <c r="C28" s="649" t="s">
        <v>24</v>
      </c>
      <c r="D28" s="805">
        <v>1134</v>
      </c>
      <c r="E28" s="199" t="s">
        <v>2185</v>
      </c>
      <c r="F28" s="199" t="s">
        <v>26</v>
      </c>
      <c r="G28" s="649">
        <v>1000</v>
      </c>
      <c r="H28" s="199" t="s">
        <v>27</v>
      </c>
      <c r="I28" s="199" t="s">
        <v>28</v>
      </c>
      <c r="J28" s="649" t="s">
        <v>111</v>
      </c>
      <c r="K28" s="649" t="s">
        <v>110</v>
      </c>
      <c r="L28" s="824">
        <v>0.4</v>
      </c>
      <c r="M28" s="829" t="s">
        <v>128</v>
      </c>
      <c r="N28" s="827" t="s">
        <v>129</v>
      </c>
      <c r="O28" s="827" t="s">
        <v>130</v>
      </c>
      <c r="P28" s="765">
        <v>3</v>
      </c>
      <c r="Q28" s="828">
        <v>0.2</v>
      </c>
      <c r="R28" s="765">
        <v>3</v>
      </c>
      <c r="S28" s="765"/>
      <c r="T28" s="802">
        <f t="shared" si="0"/>
        <v>0</v>
      </c>
      <c r="U28" s="803" t="s">
        <v>34</v>
      </c>
      <c r="V28" s="803"/>
      <c r="W28" s="199"/>
    </row>
    <row r="29" spans="1:23" ht="17.55" customHeight="1" x14ac:dyDescent="0.4">
      <c r="A29" s="788">
        <v>28</v>
      </c>
      <c r="B29" s="187" t="s">
        <v>2184</v>
      </c>
      <c r="C29" s="187" t="s">
        <v>24</v>
      </c>
      <c r="D29" s="830">
        <v>1001</v>
      </c>
      <c r="E29" s="236" t="s">
        <v>2192</v>
      </c>
      <c r="F29" s="236" t="s">
        <v>1939</v>
      </c>
      <c r="G29" s="243">
        <v>1134</v>
      </c>
      <c r="H29" s="236" t="s">
        <v>2193</v>
      </c>
      <c r="I29" s="236" t="s">
        <v>2194</v>
      </c>
      <c r="J29" s="187" t="s">
        <v>58</v>
      </c>
      <c r="K29" s="236" t="s">
        <v>2035</v>
      </c>
      <c r="L29" s="713">
        <v>0.8</v>
      </c>
      <c r="M29" s="831" t="s">
        <v>2195</v>
      </c>
      <c r="N29" s="832"/>
      <c r="O29" s="832" t="s">
        <v>452</v>
      </c>
      <c r="P29" s="197">
        <v>0.99</v>
      </c>
      <c r="Q29" s="833">
        <v>0.25</v>
      </c>
      <c r="R29" s="197">
        <v>0.99</v>
      </c>
      <c r="S29" s="197"/>
      <c r="T29" s="834">
        <f t="shared" si="0"/>
        <v>0</v>
      </c>
      <c r="U29" s="197" t="s">
        <v>34</v>
      </c>
      <c r="V29" s="1953">
        <f>SUM(T29:T39)%</f>
        <v>0</v>
      </c>
      <c r="W29" s="236"/>
    </row>
    <row r="30" spans="1:23" ht="17.55" customHeight="1" x14ac:dyDescent="0.4">
      <c r="A30" s="788">
        <v>29</v>
      </c>
      <c r="B30" s="246" t="s">
        <v>2184</v>
      </c>
      <c r="C30" s="199" t="s">
        <v>24</v>
      </c>
      <c r="D30" s="836">
        <v>1001</v>
      </c>
      <c r="E30" s="198" t="s">
        <v>2192</v>
      </c>
      <c r="F30" s="198" t="s">
        <v>1939</v>
      </c>
      <c r="G30" s="210">
        <v>1134</v>
      </c>
      <c r="H30" s="198" t="s">
        <v>2193</v>
      </c>
      <c r="I30" s="245" t="s">
        <v>2194</v>
      </c>
      <c r="J30" s="692" t="s">
        <v>58</v>
      </c>
      <c r="K30" s="198" t="s">
        <v>2035</v>
      </c>
      <c r="L30" s="723">
        <v>0.8</v>
      </c>
      <c r="M30" s="837" t="s">
        <v>444</v>
      </c>
      <c r="N30" s="838"/>
      <c r="O30" s="838" t="s">
        <v>456</v>
      </c>
      <c r="P30" s="208">
        <v>1</v>
      </c>
      <c r="Q30" s="839">
        <v>0.125</v>
      </c>
      <c r="R30" s="208">
        <v>1</v>
      </c>
      <c r="S30" s="208"/>
      <c r="T30" s="764">
        <f t="shared" si="0"/>
        <v>0</v>
      </c>
      <c r="U30" s="208" t="s">
        <v>34</v>
      </c>
      <c r="V30" s="840"/>
      <c r="W30" s="245"/>
    </row>
    <row r="31" spans="1:23" ht="17.55" customHeight="1" x14ac:dyDescent="0.4">
      <c r="A31" s="788">
        <v>30</v>
      </c>
      <c r="B31" s="246" t="s">
        <v>2184</v>
      </c>
      <c r="C31" s="199" t="s">
        <v>24</v>
      </c>
      <c r="D31" s="836">
        <v>1001</v>
      </c>
      <c r="E31" s="198" t="s">
        <v>2192</v>
      </c>
      <c r="F31" s="198" t="s">
        <v>1939</v>
      </c>
      <c r="G31" s="210">
        <v>1134</v>
      </c>
      <c r="H31" s="198" t="s">
        <v>2193</v>
      </c>
      <c r="I31" s="245" t="s">
        <v>2194</v>
      </c>
      <c r="J31" s="692" t="s">
        <v>58</v>
      </c>
      <c r="K31" s="198" t="s">
        <v>2035</v>
      </c>
      <c r="L31" s="723">
        <v>0.8</v>
      </c>
      <c r="M31" s="837" t="s">
        <v>2196</v>
      </c>
      <c r="N31" s="838"/>
      <c r="O31" s="838" t="s">
        <v>458</v>
      </c>
      <c r="P31" s="208">
        <v>1</v>
      </c>
      <c r="Q31" s="839">
        <v>0.125</v>
      </c>
      <c r="R31" s="208">
        <v>1</v>
      </c>
      <c r="S31" s="208"/>
      <c r="T31" s="764">
        <f t="shared" si="0"/>
        <v>0</v>
      </c>
      <c r="U31" s="208" t="s">
        <v>34</v>
      </c>
      <c r="V31" s="840"/>
      <c r="W31" s="245"/>
    </row>
    <row r="32" spans="1:23" ht="17.55" customHeight="1" x14ac:dyDescent="0.4">
      <c r="A32" s="788">
        <v>31</v>
      </c>
      <c r="B32" s="246" t="s">
        <v>2184</v>
      </c>
      <c r="C32" s="199" t="s">
        <v>24</v>
      </c>
      <c r="D32" s="836">
        <v>1001</v>
      </c>
      <c r="E32" s="198" t="s">
        <v>2192</v>
      </c>
      <c r="F32" s="198" t="s">
        <v>1939</v>
      </c>
      <c r="G32" s="210">
        <v>1134</v>
      </c>
      <c r="H32" s="198" t="s">
        <v>2193</v>
      </c>
      <c r="I32" s="245" t="s">
        <v>2194</v>
      </c>
      <c r="J32" s="692" t="s">
        <v>58</v>
      </c>
      <c r="K32" s="198" t="s">
        <v>2035</v>
      </c>
      <c r="L32" s="723">
        <v>0.8</v>
      </c>
      <c r="M32" s="837" t="s">
        <v>1732</v>
      </c>
      <c r="N32" s="838"/>
      <c r="O32" s="838" t="s">
        <v>2197</v>
      </c>
      <c r="P32" s="208">
        <v>1</v>
      </c>
      <c r="Q32" s="839">
        <v>0.125</v>
      </c>
      <c r="R32" s="208">
        <v>1</v>
      </c>
      <c r="S32" s="208"/>
      <c r="T32" s="764">
        <f t="shared" si="0"/>
        <v>0</v>
      </c>
      <c r="U32" s="208" t="s">
        <v>34</v>
      </c>
      <c r="V32" s="840"/>
      <c r="W32" s="245"/>
    </row>
    <row r="33" spans="1:23" ht="17.55" customHeight="1" x14ac:dyDescent="0.4">
      <c r="A33" s="788">
        <v>32</v>
      </c>
      <c r="B33" s="246" t="s">
        <v>2184</v>
      </c>
      <c r="C33" s="199" t="s">
        <v>24</v>
      </c>
      <c r="D33" s="836">
        <v>1001</v>
      </c>
      <c r="E33" s="198" t="s">
        <v>2192</v>
      </c>
      <c r="F33" s="198" t="s">
        <v>1939</v>
      </c>
      <c r="G33" s="210">
        <v>1134</v>
      </c>
      <c r="H33" s="198" t="s">
        <v>2193</v>
      </c>
      <c r="I33" s="245" t="s">
        <v>2194</v>
      </c>
      <c r="J33" s="692" t="s">
        <v>58</v>
      </c>
      <c r="K33" s="198" t="s">
        <v>2035</v>
      </c>
      <c r="L33" s="723">
        <v>0.8</v>
      </c>
      <c r="M33" s="837" t="s">
        <v>2198</v>
      </c>
      <c r="N33" s="841"/>
      <c r="O33" s="841" t="s">
        <v>453</v>
      </c>
      <c r="P33" s="208">
        <v>0.97</v>
      </c>
      <c r="Q33" s="839">
        <v>0.125</v>
      </c>
      <c r="R33" s="208">
        <v>0.97</v>
      </c>
      <c r="S33" s="208"/>
      <c r="T33" s="764">
        <f t="shared" si="0"/>
        <v>0</v>
      </c>
      <c r="U33" s="208" t="s">
        <v>34</v>
      </c>
      <c r="V33" s="840"/>
      <c r="W33" s="245"/>
    </row>
    <row r="34" spans="1:23" ht="17.55" customHeight="1" x14ac:dyDescent="0.4">
      <c r="A34" s="788">
        <v>33</v>
      </c>
      <c r="B34" s="246" t="s">
        <v>2184</v>
      </c>
      <c r="C34" s="199" t="s">
        <v>24</v>
      </c>
      <c r="D34" s="836">
        <v>1001</v>
      </c>
      <c r="E34" s="198" t="s">
        <v>2192</v>
      </c>
      <c r="F34" s="198" t="s">
        <v>1939</v>
      </c>
      <c r="G34" s="210">
        <v>1134</v>
      </c>
      <c r="H34" s="198" t="s">
        <v>2193</v>
      </c>
      <c r="I34" s="245" t="s">
        <v>2194</v>
      </c>
      <c r="J34" s="692" t="s">
        <v>58</v>
      </c>
      <c r="K34" s="198" t="s">
        <v>2035</v>
      </c>
      <c r="L34" s="723">
        <v>0.8</v>
      </c>
      <c r="M34" s="837" t="s">
        <v>2199</v>
      </c>
      <c r="N34" s="838"/>
      <c r="O34" s="838" t="s">
        <v>1947</v>
      </c>
      <c r="P34" s="208">
        <v>1</v>
      </c>
      <c r="Q34" s="839">
        <v>0.125</v>
      </c>
      <c r="R34" s="208">
        <v>1</v>
      </c>
      <c r="S34" s="208"/>
      <c r="T34" s="764">
        <f t="shared" si="0"/>
        <v>0</v>
      </c>
      <c r="U34" s="208" t="s">
        <v>34</v>
      </c>
      <c r="V34" s="840"/>
      <c r="W34" s="245"/>
    </row>
    <row r="35" spans="1:23" ht="17.55" customHeight="1" x14ac:dyDescent="0.4">
      <c r="A35" s="788">
        <v>34</v>
      </c>
      <c r="B35" s="246" t="s">
        <v>2184</v>
      </c>
      <c r="C35" s="199" t="s">
        <v>24</v>
      </c>
      <c r="D35" s="836">
        <v>1001</v>
      </c>
      <c r="E35" s="198" t="s">
        <v>2192</v>
      </c>
      <c r="F35" s="198" t="s">
        <v>1939</v>
      </c>
      <c r="G35" s="210">
        <v>1134</v>
      </c>
      <c r="H35" s="198" t="s">
        <v>2193</v>
      </c>
      <c r="I35" s="245" t="s">
        <v>2194</v>
      </c>
      <c r="J35" s="692" t="s">
        <v>58</v>
      </c>
      <c r="K35" s="198" t="s">
        <v>2035</v>
      </c>
      <c r="L35" s="723">
        <v>0.8</v>
      </c>
      <c r="M35" s="837" t="s">
        <v>497</v>
      </c>
      <c r="N35" s="838"/>
      <c r="O35" s="838" t="s">
        <v>499</v>
      </c>
      <c r="P35" s="208">
        <v>1</v>
      </c>
      <c r="Q35" s="839">
        <v>0.125</v>
      </c>
      <c r="R35" s="208">
        <v>1</v>
      </c>
      <c r="S35" s="208"/>
      <c r="T35" s="764">
        <f t="shared" si="0"/>
        <v>0</v>
      </c>
      <c r="U35" s="208" t="s">
        <v>34</v>
      </c>
      <c r="V35" s="840"/>
      <c r="W35" s="245"/>
    </row>
    <row r="36" spans="1:23" ht="17.55" customHeight="1" x14ac:dyDescent="0.4">
      <c r="A36" s="788">
        <v>35</v>
      </c>
      <c r="B36" s="246" t="s">
        <v>2184</v>
      </c>
      <c r="C36" s="199" t="s">
        <v>24</v>
      </c>
      <c r="D36" s="836">
        <v>1001</v>
      </c>
      <c r="E36" s="198" t="s">
        <v>2192</v>
      </c>
      <c r="F36" s="198" t="s">
        <v>1939</v>
      </c>
      <c r="G36" s="210">
        <v>1134</v>
      </c>
      <c r="H36" s="198" t="s">
        <v>2193</v>
      </c>
      <c r="I36" s="245" t="s">
        <v>2194</v>
      </c>
      <c r="J36" s="246" t="s">
        <v>111</v>
      </c>
      <c r="K36" s="246" t="s">
        <v>110</v>
      </c>
      <c r="L36" s="731">
        <v>0.2</v>
      </c>
      <c r="M36" s="842" t="s">
        <v>2200</v>
      </c>
      <c r="N36" s="843"/>
      <c r="O36" s="843"/>
      <c r="P36" s="687">
        <v>1</v>
      </c>
      <c r="Q36" s="844">
        <v>0.25</v>
      </c>
      <c r="R36" s="687">
        <v>1</v>
      </c>
      <c r="S36" s="687"/>
      <c r="T36" s="845">
        <f t="shared" si="0"/>
        <v>0</v>
      </c>
      <c r="U36" s="687" t="s">
        <v>34</v>
      </c>
      <c r="V36" s="799"/>
      <c r="W36" s="245"/>
    </row>
    <row r="37" spans="1:23" ht="17.55" customHeight="1" x14ac:dyDescent="0.4">
      <c r="A37" s="788">
        <v>36</v>
      </c>
      <c r="B37" s="246" t="s">
        <v>2184</v>
      </c>
      <c r="C37" s="199" t="s">
        <v>24</v>
      </c>
      <c r="D37" s="836">
        <v>1001</v>
      </c>
      <c r="E37" s="198" t="s">
        <v>2192</v>
      </c>
      <c r="F37" s="198" t="s">
        <v>1939</v>
      </c>
      <c r="G37" s="210">
        <v>1134</v>
      </c>
      <c r="H37" s="198" t="s">
        <v>2193</v>
      </c>
      <c r="I37" s="198" t="s">
        <v>2194</v>
      </c>
      <c r="J37" s="199" t="s">
        <v>111</v>
      </c>
      <c r="K37" s="199" t="s">
        <v>110</v>
      </c>
      <c r="L37" s="846">
        <v>0.2</v>
      </c>
      <c r="M37" s="847" t="s">
        <v>419</v>
      </c>
      <c r="N37" s="848"/>
      <c r="O37" s="848" t="s">
        <v>2201</v>
      </c>
      <c r="P37" s="218">
        <v>1</v>
      </c>
      <c r="Q37" s="849">
        <v>0.25</v>
      </c>
      <c r="R37" s="218">
        <v>1</v>
      </c>
      <c r="S37" s="218"/>
      <c r="T37" s="765">
        <f t="shared" si="0"/>
        <v>0</v>
      </c>
      <c r="U37" s="218" t="s">
        <v>34</v>
      </c>
      <c r="V37" s="799"/>
      <c r="W37" s="198"/>
    </row>
    <row r="38" spans="1:23" ht="17.55" customHeight="1" x14ac:dyDescent="0.4">
      <c r="A38" s="788">
        <v>37</v>
      </c>
      <c r="B38" s="246" t="s">
        <v>2184</v>
      </c>
      <c r="C38" s="199" t="s">
        <v>24</v>
      </c>
      <c r="D38" s="836">
        <v>1001</v>
      </c>
      <c r="E38" s="198" t="s">
        <v>2192</v>
      </c>
      <c r="F38" s="198" t="s">
        <v>1939</v>
      </c>
      <c r="G38" s="210">
        <v>1134</v>
      </c>
      <c r="H38" s="198" t="s">
        <v>2193</v>
      </c>
      <c r="I38" s="198" t="s">
        <v>2194</v>
      </c>
      <c r="J38" s="199" t="s">
        <v>111</v>
      </c>
      <c r="K38" s="199" t="s">
        <v>110</v>
      </c>
      <c r="L38" s="846">
        <v>0.2</v>
      </c>
      <c r="M38" s="847" t="s">
        <v>1974</v>
      </c>
      <c r="N38" s="220" t="s">
        <v>2202</v>
      </c>
      <c r="O38" s="848" t="s">
        <v>2203</v>
      </c>
      <c r="P38" s="218">
        <v>1</v>
      </c>
      <c r="Q38" s="849">
        <v>0.25</v>
      </c>
      <c r="R38" s="218">
        <v>1</v>
      </c>
      <c r="S38" s="218"/>
      <c r="T38" s="765">
        <f t="shared" si="0"/>
        <v>0</v>
      </c>
      <c r="U38" s="218" t="s">
        <v>34</v>
      </c>
      <c r="V38" s="799"/>
      <c r="W38" s="198"/>
    </row>
    <row r="39" spans="1:23" ht="17.55" customHeight="1" x14ac:dyDescent="0.4">
      <c r="A39" s="788">
        <v>38</v>
      </c>
      <c r="B39" s="246" t="s">
        <v>2184</v>
      </c>
      <c r="C39" s="199" t="s">
        <v>24</v>
      </c>
      <c r="D39" s="836">
        <v>1001</v>
      </c>
      <c r="E39" s="198" t="s">
        <v>2192</v>
      </c>
      <c r="F39" s="198" t="s">
        <v>1939</v>
      </c>
      <c r="G39" s="210">
        <v>1134</v>
      </c>
      <c r="H39" s="198" t="s">
        <v>2193</v>
      </c>
      <c r="I39" s="198" t="s">
        <v>2194</v>
      </c>
      <c r="J39" s="199" t="s">
        <v>111</v>
      </c>
      <c r="K39" s="199" t="s">
        <v>110</v>
      </c>
      <c r="L39" s="846">
        <v>0.2</v>
      </c>
      <c r="M39" s="847" t="s">
        <v>417</v>
      </c>
      <c r="N39" s="850" t="s">
        <v>2204</v>
      </c>
      <c r="O39" s="848" t="s">
        <v>462</v>
      </c>
      <c r="P39" s="218">
        <v>1</v>
      </c>
      <c r="Q39" s="849">
        <v>0.25</v>
      </c>
      <c r="R39" s="218">
        <v>1</v>
      </c>
      <c r="S39" s="218"/>
      <c r="T39" s="765">
        <f t="shared" si="0"/>
        <v>0</v>
      </c>
      <c r="U39" s="218" t="s">
        <v>34</v>
      </c>
      <c r="V39" s="799"/>
      <c r="W39" s="198"/>
    </row>
    <row r="40" spans="1:23" ht="17.55" customHeight="1" x14ac:dyDescent="0.4">
      <c r="A40" s="788">
        <v>39</v>
      </c>
      <c r="B40" s="187" t="s">
        <v>2184</v>
      </c>
      <c r="C40" s="851" t="s">
        <v>24</v>
      </c>
      <c r="D40" s="830">
        <v>1097</v>
      </c>
      <c r="E40" s="236" t="s">
        <v>2205</v>
      </c>
      <c r="F40" s="236" t="s">
        <v>1014</v>
      </c>
      <c r="G40" s="243">
        <v>1127</v>
      </c>
      <c r="H40" s="236" t="s">
        <v>2206</v>
      </c>
      <c r="I40" s="236" t="s">
        <v>175</v>
      </c>
      <c r="J40" s="187" t="s">
        <v>58</v>
      </c>
      <c r="K40" s="187" t="s">
        <v>2035</v>
      </c>
      <c r="L40" s="713">
        <v>1</v>
      </c>
      <c r="M40" s="191" t="s">
        <v>2207</v>
      </c>
      <c r="N40" s="192" t="s">
        <v>2208</v>
      </c>
      <c r="O40" s="193"/>
      <c r="P40" s="197">
        <v>1</v>
      </c>
      <c r="Q40" s="833">
        <v>0.2</v>
      </c>
      <c r="R40" s="197">
        <v>1</v>
      </c>
      <c r="S40" s="197"/>
      <c r="T40" s="196">
        <f t="shared" si="0"/>
        <v>0</v>
      </c>
      <c r="U40" s="197" t="s">
        <v>34</v>
      </c>
      <c r="V40" s="1953">
        <f>SUM(T40:T47)%</f>
        <v>0</v>
      </c>
      <c r="W40" s="236"/>
    </row>
    <row r="41" spans="1:23" ht="17.55" customHeight="1" x14ac:dyDescent="0.4">
      <c r="A41" s="788">
        <v>40</v>
      </c>
      <c r="B41" s="246" t="s">
        <v>2184</v>
      </c>
      <c r="C41" s="198" t="s">
        <v>24</v>
      </c>
      <c r="D41" s="836">
        <v>1097</v>
      </c>
      <c r="E41" s="198" t="s">
        <v>2205</v>
      </c>
      <c r="F41" s="198" t="s">
        <v>1014</v>
      </c>
      <c r="G41" s="210">
        <v>1127</v>
      </c>
      <c r="H41" s="198" t="s">
        <v>2206</v>
      </c>
      <c r="I41" s="198" t="s">
        <v>175</v>
      </c>
      <c r="J41" s="692" t="s">
        <v>58</v>
      </c>
      <c r="K41" s="246" t="s">
        <v>2035</v>
      </c>
      <c r="L41" s="723">
        <v>1</v>
      </c>
      <c r="M41" s="202" t="s">
        <v>2209</v>
      </c>
      <c r="N41" s="203" t="s">
        <v>2210</v>
      </c>
      <c r="O41" s="211"/>
      <c r="P41" s="208">
        <v>1</v>
      </c>
      <c r="Q41" s="839">
        <v>0.2</v>
      </c>
      <c r="R41" s="208">
        <v>1</v>
      </c>
      <c r="S41" s="208"/>
      <c r="T41" s="207">
        <f t="shared" si="0"/>
        <v>0</v>
      </c>
      <c r="U41" s="208" t="s">
        <v>34</v>
      </c>
      <c r="V41" s="840"/>
      <c r="W41" s="198"/>
    </row>
    <row r="42" spans="1:23" ht="17.55" customHeight="1" x14ac:dyDescent="0.4">
      <c r="A42" s="788">
        <v>41</v>
      </c>
      <c r="B42" s="246" t="s">
        <v>2184</v>
      </c>
      <c r="C42" s="198" t="s">
        <v>24</v>
      </c>
      <c r="D42" s="836">
        <v>1097</v>
      </c>
      <c r="E42" s="198" t="s">
        <v>2205</v>
      </c>
      <c r="F42" s="198" t="s">
        <v>1014</v>
      </c>
      <c r="G42" s="210">
        <v>1127</v>
      </c>
      <c r="H42" s="198" t="s">
        <v>2206</v>
      </c>
      <c r="I42" s="198" t="s">
        <v>175</v>
      </c>
      <c r="J42" s="692" t="s">
        <v>58</v>
      </c>
      <c r="K42" s="246" t="s">
        <v>2035</v>
      </c>
      <c r="L42" s="723">
        <v>1</v>
      </c>
      <c r="M42" s="202" t="s">
        <v>2211</v>
      </c>
      <c r="N42" s="203" t="s">
        <v>2212</v>
      </c>
      <c r="O42" s="211"/>
      <c r="P42" s="208">
        <v>1</v>
      </c>
      <c r="Q42" s="839">
        <v>0.1</v>
      </c>
      <c r="R42" s="208">
        <v>1</v>
      </c>
      <c r="S42" s="208"/>
      <c r="T42" s="207">
        <f t="shared" si="0"/>
        <v>0</v>
      </c>
      <c r="U42" s="208" t="s">
        <v>34</v>
      </c>
      <c r="V42" s="840"/>
      <c r="W42" s="198"/>
    </row>
    <row r="43" spans="1:23" ht="17.55" customHeight="1" x14ac:dyDescent="0.4">
      <c r="A43" s="788">
        <v>42</v>
      </c>
      <c r="B43" s="246" t="s">
        <v>2184</v>
      </c>
      <c r="C43" s="198" t="s">
        <v>24</v>
      </c>
      <c r="D43" s="836">
        <v>1097</v>
      </c>
      <c r="E43" s="198" t="s">
        <v>2205</v>
      </c>
      <c r="F43" s="198" t="s">
        <v>1014</v>
      </c>
      <c r="G43" s="210">
        <v>1127</v>
      </c>
      <c r="H43" s="198" t="s">
        <v>2206</v>
      </c>
      <c r="I43" s="198" t="s">
        <v>175</v>
      </c>
      <c r="J43" s="692" t="s">
        <v>58</v>
      </c>
      <c r="K43" s="246" t="s">
        <v>2035</v>
      </c>
      <c r="L43" s="723">
        <v>1</v>
      </c>
      <c r="M43" s="202" t="s">
        <v>1021</v>
      </c>
      <c r="N43" s="203" t="s">
        <v>1022</v>
      </c>
      <c r="O43" s="211"/>
      <c r="P43" s="208">
        <v>1</v>
      </c>
      <c r="Q43" s="839">
        <v>0.1</v>
      </c>
      <c r="R43" s="208">
        <v>1</v>
      </c>
      <c r="S43" s="208"/>
      <c r="T43" s="207">
        <f t="shared" si="0"/>
        <v>0</v>
      </c>
      <c r="U43" s="208" t="s">
        <v>34</v>
      </c>
      <c r="V43" s="840"/>
      <c r="W43" s="198"/>
    </row>
    <row r="44" spans="1:23" ht="17.55" customHeight="1" x14ac:dyDescent="0.4">
      <c r="A44" s="788">
        <v>43</v>
      </c>
      <c r="B44" s="246" t="s">
        <v>2184</v>
      </c>
      <c r="C44" s="198" t="s">
        <v>24</v>
      </c>
      <c r="D44" s="836">
        <v>1097</v>
      </c>
      <c r="E44" s="198" t="s">
        <v>2205</v>
      </c>
      <c r="F44" s="198" t="s">
        <v>1014</v>
      </c>
      <c r="G44" s="210">
        <v>1127</v>
      </c>
      <c r="H44" s="198" t="s">
        <v>2206</v>
      </c>
      <c r="I44" s="198" t="s">
        <v>175</v>
      </c>
      <c r="J44" s="692" t="s">
        <v>58</v>
      </c>
      <c r="K44" s="246" t="s">
        <v>2035</v>
      </c>
      <c r="L44" s="723">
        <v>1</v>
      </c>
      <c r="M44" s="202" t="s">
        <v>2213</v>
      </c>
      <c r="N44" s="203" t="s">
        <v>255</v>
      </c>
      <c r="O44" s="211"/>
      <c r="P44" s="208">
        <v>1</v>
      </c>
      <c r="Q44" s="839">
        <v>0.1</v>
      </c>
      <c r="R44" s="208">
        <v>1</v>
      </c>
      <c r="S44" s="208"/>
      <c r="T44" s="207">
        <f t="shared" si="0"/>
        <v>0</v>
      </c>
      <c r="U44" s="208" t="s">
        <v>34</v>
      </c>
      <c r="V44" s="840"/>
      <c r="W44" s="198"/>
    </row>
    <row r="45" spans="1:23" ht="17.55" customHeight="1" x14ac:dyDescent="0.4">
      <c r="A45" s="788">
        <v>44</v>
      </c>
      <c r="B45" s="246" t="s">
        <v>2184</v>
      </c>
      <c r="C45" s="199" t="s">
        <v>24</v>
      </c>
      <c r="D45" s="836">
        <v>1097</v>
      </c>
      <c r="E45" s="198" t="s">
        <v>2205</v>
      </c>
      <c r="F45" s="198" t="s">
        <v>1014</v>
      </c>
      <c r="G45" s="210">
        <v>1127</v>
      </c>
      <c r="H45" s="198" t="s">
        <v>2206</v>
      </c>
      <c r="I45" s="198" t="s">
        <v>175</v>
      </c>
      <c r="J45" s="692" t="s">
        <v>58</v>
      </c>
      <c r="K45" s="246" t="s">
        <v>2035</v>
      </c>
      <c r="L45" s="723">
        <v>1</v>
      </c>
      <c r="M45" s="202" t="s">
        <v>2214</v>
      </c>
      <c r="N45" s="203" t="s">
        <v>776</v>
      </c>
      <c r="O45" s="211"/>
      <c r="P45" s="208">
        <v>1</v>
      </c>
      <c r="Q45" s="839">
        <v>0.1</v>
      </c>
      <c r="R45" s="208">
        <v>1</v>
      </c>
      <c r="S45" s="208"/>
      <c r="T45" s="207">
        <f t="shared" si="0"/>
        <v>0</v>
      </c>
      <c r="U45" s="208" t="s">
        <v>34</v>
      </c>
      <c r="V45" s="840"/>
      <c r="W45" s="198"/>
    </row>
    <row r="46" spans="1:23" ht="17.55" customHeight="1" x14ac:dyDescent="0.4">
      <c r="A46" s="788">
        <v>45</v>
      </c>
      <c r="B46" s="246" t="s">
        <v>2184</v>
      </c>
      <c r="C46" s="199" t="s">
        <v>24</v>
      </c>
      <c r="D46" s="836">
        <v>1097</v>
      </c>
      <c r="E46" s="198" t="s">
        <v>2205</v>
      </c>
      <c r="F46" s="198" t="s">
        <v>1014</v>
      </c>
      <c r="G46" s="210">
        <v>1127</v>
      </c>
      <c r="H46" s="198" t="s">
        <v>2206</v>
      </c>
      <c r="I46" s="198" t="s">
        <v>175</v>
      </c>
      <c r="J46" s="692" t="s">
        <v>58</v>
      </c>
      <c r="K46" s="246" t="s">
        <v>2035</v>
      </c>
      <c r="L46" s="723">
        <v>1</v>
      </c>
      <c r="M46" s="202" t="s">
        <v>1027</v>
      </c>
      <c r="N46" s="203" t="s">
        <v>251</v>
      </c>
      <c r="O46" s="211"/>
      <c r="P46" s="208">
        <v>1</v>
      </c>
      <c r="Q46" s="839">
        <v>0.1</v>
      </c>
      <c r="R46" s="208">
        <v>1</v>
      </c>
      <c r="S46" s="208"/>
      <c r="T46" s="207">
        <f t="shared" si="0"/>
        <v>0</v>
      </c>
      <c r="U46" s="208" t="s">
        <v>34</v>
      </c>
      <c r="V46" s="840"/>
      <c r="W46" s="198"/>
    </row>
    <row r="47" spans="1:23" ht="17.55" customHeight="1" x14ac:dyDescent="0.4">
      <c r="A47" s="788">
        <v>46</v>
      </c>
      <c r="B47" s="246" t="s">
        <v>2184</v>
      </c>
      <c r="C47" s="198" t="s">
        <v>24</v>
      </c>
      <c r="D47" s="836">
        <v>1097</v>
      </c>
      <c r="E47" s="198" t="s">
        <v>2205</v>
      </c>
      <c r="F47" s="198" t="s">
        <v>1014</v>
      </c>
      <c r="G47" s="210">
        <v>1127</v>
      </c>
      <c r="H47" s="198" t="s">
        <v>2206</v>
      </c>
      <c r="I47" s="198" t="s">
        <v>175</v>
      </c>
      <c r="J47" s="692" t="s">
        <v>58</v>
      </c>
      <c r="K47" s="246" t="s">
        <v>2035</v>
      </c>
      <c r="L47" s="723">
        <v>1</v>
      </c>
      <c r="M47" s="202" t="s">
        <v>2215</v>
      </c>
      <c r="N47" s="203" t="s">
        <v>1029</v>
      </c>
      <c r="O47" s="211"/>
      <c r="P47" s="208">
        <v>1</v>
      </c>
      <c r="Q47" s="839">
        <v>0.1</v>
      </c>
      <c r="R47" s="208">
        <v>1</v>
      </c>
      <c r="S47" s="208"/>
      <c r="T47" s="207">
        <f t="shared" si="0"/>
        <v>0</v>
      </c>
      <c r="U47" s="208" t="s">
        <v>34</v>
      </c>
      <c r="V47" s="840"/>
      <c r="W47" s="198"/>
    </row>
    <row r="48" spans="1:23" ht="17.55" customHeight="1" x14ac:dyDescent="0.4">
      <c r="A48" s="788">
        <v>47</v>
      </c>
      <c r="B48" s="187" t="s">
        <v>2184</v>
      </c>
      <c r="C48" s="236" t="s">
        <v>24</v>
      </c>
      <c r="D48" s="830">
        <v>1127</v>
      </c>
      <c r="E48" s="236" t="s">
        <v>2216</v>
      </c>
      <c r="F48" s="236" t="s">
        <v>2217</v>
      </c>
      <c r="G48" s="243">
        <v>1134</v>
      </c>
      <c r="H48" s="236" t="s">
        <v>2193</v>
      </c>
      <c r="I48" s="236" t="s">
        <v>175</v>
      </c>
      <c r="J48" s="187" t="s">
        <v>58</v>
      </c>
      <c r="K48" s="198" t="s">
        <v>2035</v>
      </c>
      <c r="L48" s="713">
        <v>0.8</v>
      </c>
      <c r="M48" s="191" t="s">
        <v>176</v>
      </c>
      <c r="N48" s="852" t="s">
        <v>177</v>
      </c>
      <c r="O48" s="852"/>
      <c r="P48" s="654">
        <v>0.12</v>
      </c>
      <c r="Q48" s="853">
        <v>0.15</v>
      </c>
      <c r="R48" s="654">
        <v>0.12</v>
      </c>
      <c r="S48" s="654"/>
      <c r="T48" s="854">
        <f t="shared" si="0"/>
        <v>0</v>
      </c>
      <c r="U48" s="855" t="s">
        <v>83</v>
      </c>
      <c r="V48" s="1953">
        <f>SUM(T48:T61)%</f>
        <v>0</v>
      </c>
      <c r="W48" s="236"/>
    </row>
    <row r="49" spans="1:23" ht="17.55" customHeight="1" x14ac:dyDescent="0.4">
      <c r="A49" s="788">
        <v>48</v>
      </c>
      <c r="B49" s="246" t="s">
        <v>2184</v>
      </c>
      <c r="C49" s="199" t="s">
        <v>24</v>
      </c>
      <c r="D49" s="805">
        <v>1127</v>
      </c>
      <c r="E49" s="199" t="s">
        <v>2216</v>
      </c>
      <c r="F49" s="199" t="s">
        <v>2217</v>
      </c>
      <c r="G49" s="649">
        <v>1134</v>
      </c>
      <c r="H49" s="199" t="s">
        <v>2193</v>
      </c>
      <c r="I49" s="199" t="s">
        <v>175</v>
      </c>
      <c r="J49" s="79" t="s">
        <v>58</v>
      </c>
      <c r="K49" s="198" t="s">
        <v>2035</v>
      </c>
      <c r="L49" s="723">
        <v>0.8</v>
      </c>
      <c r="M49" s="202" t="s">
        <v>176</v>
      </c>
      <c r="N49" s="856" t="s">
        <v>178</v>
      </c>
      <c r="O49" s="856" t="s">
        <v>1477</v>
      </c>
      <c r="P49" s="657">
        <v>0.02</v>
      </c>
      <c r="Q49" s="857">
        <v>0.15</v>
      </c>
      <c r="R49" s="657">
        <v>0.02</v>
      </c>
      <c r="S49" s="657"/>
      <c r="T49" s="207">
        <f t="shared" si="0"/>
        <v>0</v>
      </c>
      <c r="U49" s="208" t="s">
        <v>83</v>
      </c>
      <c r="V49" s="231"/>
      <c r="W49" s="199"/>
    </row>
    <row r="50" spans="1:23" ht="17.55" customHeight="1" x14ac:dyDescent="0.4">
      <c r="A50" s="788">
        <v>49</v>
      </c>
      <c r="B50" s="246" t="s">
        <v>2184</v>
      </c>
      <c r="C50" s="199" t="s">
        <v>24</v>
      </c>
      <c r="D50" s="805">
        <v>1127</v>
      </c>
      <c r="E50" s="199" t="s">
        <v>2216</v>
      </c>
      <c r="F50" s="199" t="s">
        <v>2217</v>
      </c>
      <c r="G50" s="649">
        <v>1134</v>
      </c>
      <c r="H50" s="199" t="s">
        <v>2193</v>
      </c>
      <c r="I50" s="199" t="s">
        <v>175</v>
      </c>
      <c r="J50" s="79" t="s">
        <v>58</v>
      </c>
      <c r="K50" s="198" t="s">
        <v>2035</v>
      </c>
      <c r="L50" s="723">
        <v>0.8</v>
      </c>
      <c r="M50" s="202" t="s">
        <v>180</v>
      </c>
      <c r="N50" s="203" t="s">
        <v>181</v>
      </c>
      <c r="O50" s="757" t="s">
        <v>2218</v>
      </c>
      <c r="P50" s="208">
        <v>0.01</v>
      </c>
      <c r="Q50" s="857">
        <v>0.25</v>
      </c>
      <c r="R50" s="208">
        <v>0.01</v>
      </c>
      <c r="S50" s="208"/>
      <c r="T50" s="207">
        <f t="shared" si="0"/>
        <v>0</v>
      </c>
      <c r="U50" s="208" t="s">
        <v>34</v>
      </c>
      <c r="V50" s="231"/>
      <c r="W50" s="199"/>
    </row>
    <row r="51" spans="1:23" ht="17.55" customHeight="1" x14ac:dyDescent="0.4">
      <c r="A51" s="788">
        <v>50</v>
      </c>
      <c r="B51" s="246" t="s">
        <v>2184</v>
      </c>
      <c r="C51" s="199" t="s">
        <v>24</v>
      </c>
      <c r="D51" s="805">
        <v>1127</v>
      </c>
      <c r="E51" s="199" t="s">
        <v>2216</v>
      </c>
      <c r="F51" s="199" t="s">
        <v>2217</v>
      </c>
      <c r="G51" s="649">
        <v>1134</v>
      </c>
      <c r="H51" s="199" t="s">
        <v>2193</v>
      </c>
      <c r="I51" s="199" t="s">
        <v>175</v>
      </c>
      <c r="J51" s="79" t="s">
        <v>58</v>
      </c>
      <c r="K51" s="198" t="s">
        <v>2035</v>
      </c>
      <c r="L51" s="723">
        <v>0.8</v>
      </c>
      <c r="M51" s="202" t="s">
        <v>182</v>
      </c>
      <c r="N51" s="203" t="s">
        <v>183</v>
      </c>
      <c r="O51" s="757"/>
      <c r="P51" s="208">
        <v>0</v>
      </c>
      <c r="Q51" s="857">
        <v>0</v>
      </c>
      <c r="R51" s="208">
        <v>0</v>
      </c>
      <c r="S51" s="208"/>
      <c r="T51" s="207">
        <f t="shared" si="0"/>
        <v>0</v>
      </c>
      <c r="U51" s="208" t="s">
        <v>34</v>
      </c>
      <c r="V51" s="231"/>
      <c r="W51" s="199"/>
    </row>
    <row r="52" spans="1:23" ht="17.55" customHeight="1" x14ac:dyDescent="0.4">
      <c r="A52" s="788">
        <v>51</v>
      </c>
      <c r="B52" s="246" t="s">
        <v>2184</v>
      </c>
      <c r="C52" s="199" t="s">
        <v>24</v>
      </c>
      <c r="D52" s="805">
        <v>1127</v>
      </c>
      <c r="E52" s="199" t="s">
        <v>2216</v>
      </c>
      <c r="F52" s="199" t="s">
        <v>2217</v>
      </c>
      <c r="G52" s="649">
        <v>1134</v>
      </c>
      <c r="H52" s="199" t="s">
        <v>2193</v>
      </c>
      <c r="I52" s="199" t="s">
        <v>175</v>
      </c>
      <c r="J52" s="79" t="s">
        <v>58</v>
      </c>
      <c r="K52" s="198" t="s">
        <v>2035</v>
      </c>
      <c r="L52" s="723">
        <v>0.8</v>
      </c>
      <c r="M52" s="202" t="s">
        <v>185</v>
      </c>
      <c r="N52" s="203" t="s">
        <v>1449</v>
      </c>
      <c r="O52" s="757"/>
      <c r="P52" s="208">
        <v>0.01</v>
      </c>
      <c r="Q52" s="857">
        <v>0.1</v>
      </c>
      <c r="R52" s="208">
        <v>0.01</v>
      </c>
      <c r="S52" s="208"/>
      <c r="T52" s="207">
        <f t="shared" si="0"/>
        <v>0</v>
      </c>
      <c r="U52" s="208" t="s">
        <v>83</v>
      </c>
      <c r="V52" s="231"/>
      <c r="W52" s="199"/>
    </row>
    <row r="53" spans="1:23" ht="17.55" customHeight="1" x14ac:dyDescent="0.4">
      <c r="A53" s="788">
        <v>52</v>
      </c>
      <c r="B53" s="246" t="s">
        <v>2184</v>
      </c>
      <c r="C53" s="199" t="s">
        <v>24</v>
      </c>
      <c r="D53" s="805">
        <v>1127</v>
      </c>
      <c r="E53" s="199" t="s">
        <v>2216</v>
      </c>
      <c r="F53" s="199" t="s">
        <v>2217</v>
      </c>
      <c r="G53" s="649">
        <v>1134</v>
      </c>
      <c r="H53" s="199" t="s">
        <v>2193</v>
      </c>
      <c r="I53" s="199" t="s">
        <v>175</v>
      </c>
      <c r="J53" s="79" t="s">
        <v>58</v>
      </c>
      <c r="K53" s="198" t="s">
        <v>2035</v>
      </c>
      <c r="L53" s="723">
        <v>0.8</v>
      </c>
      <c r="M53" s="202" t="s">
        <v>188</v>
      </c>
      <c r="N53" s="203" t="s">
        <v>189</v>
      </c>
      <c r="O53" s="858" t="s">
        <v>1451</v>
      </c>
      <c r="P53" s="208">
        <v>0.1</v>
      </c>
      <c r="Q53" s="857">
        <v>0.15</v>
      </c>
      <c r="R53" s="208">
        <v>0.1</v>
      </c>
      <c r="S53" s="208"/>
      <c r="T53" s="207">
        <f t="shared" si="0"/>
        <v>0</v>
      </c>
      <c r="U53" s="208" t="s">
        <v>83</v>
      </c>
      <c r="V53" s="231"/>
      <c r="W53" s="199"/>
    </row>
    <row r="54" spans="1:23" ht="17.55" customHeight="1" x14ac:dyDescent="0.4">
      <c r="A54" s="788">
        <v>53</v>
      </c>
      <c r="B54" s="246" t="s">
        <v>2184</v>
      </c>
      <c r="C54" s="199" t="s">
        <v>24</v>
      </c>
      <c r="D54" s="805">
        <v>1127</v>
      </c>
      <c r="E54" s="199" t="s">
        <v>2216</v>
      </c>
      <c r="F54" s="199" t="s">
        <v>2217</v>
      </c>
      <c r="G54" s="649">
        <v>1134</v>
      </c>
      <c r="H54" s="199" t="s">
        <v>2193</v>
      </c>
      <c r="I54" s="199" t="s">
        <v>175</v>
      </c>
      <c r="J54" s="79" t="s">
        <v>58</v>
      </c>
      <c r="K54" s="198" t="s">
        <v>2035</v>
      </c>
      <c r="L54" s="723">
        <v>0.8</v>
      </c>
      <c r="M54" s="202" t="s">
        <v>191</v>
      </c>
      <c r="N54" s="203" t="s">
        <v>1452</v>
      </c>
      <c r="O54" s="757"/>
      <c r="P54" s="250">
        <v>350</v>
      </c>
      <c r="Q54" s="857">
        <v>0.1</v>
      </c>
      <c r="R54" s="250">
        <v>350</v>
      </c>
      <c r="S54" s="250"/>
      <c r="T54" s="207">
        <f t="shared" si="0"/>
        <v>0</v>
      </c>
      <c r="U54" s="208" t="s">
        <v>34</v>
      </c>
      <c r="V54" s="231"/>
      <c r="W54" s="199"/>
    </row>
    <row r="55" spans="1:23" ht="17.55" customHeight="1" x14ac:dyDescent="0.4">
      <c r="A55" s="788">
        <v>54</v>
      </c>
      <c r="B55" s="246" t="s">
        <v>2184</v>
      </c>
      <c r="C55" s="199" t="s">
        <v>24</v>
      </c>
      <c r="D55" s="805">
        <v>1127</v>
      </c>
      <c r="E55" s="199" t="s">
        <v>2216</v>
      </c>
      <c r="F55" s="199" t="s">
        <v>2217</v>
      </c>
      <c r="G55" s="649">
        <v>1134</v>
      </c>
      <c r="H55" s="199" t="s">
        <v>2193</v>
      </c>
      <c r="I55" s="199" t="s">
        <v>175</v>
      </c>
      <c r="J55" s="79" t="s">
        <v>58</v>
      </c>
      <c r="K55" s="198" t="s">
        <v>2035</v>
      </c>
      <c r="L55" s="723">
        <v>0.8</v>
      </c>
      <c r="M55" s="202" t="s">
        <v>2219</v>
      </c>
      <c r="N55" s="856" t="s">
        <v>2220</v>
      </c>
      <c r="O55" s="856"/>
      <c r="P55" s="657">
        <v>1</v>
      </c>
      <c r="Q55" s="857">
        <v>0.1</v>
      </c>
      <c r="R55" s="657">
        <v>1</v>
      </c>
      <c r="S55" s="657"/>
      <c r="T55" s="207">
        <f t="shared" si="0"/>
        <v>0</v>
      </c>
      <c r="U55" s="208" t="s">
        <v>34</v>
      </c>
      <c r="V55" s="231"/>
      <c r="W55" s="199"/>
    </row>
    <row r="56" spans="1:23" ht="17.55" customHeight="1" x14ac:dyDescent="0.4">
      <c r="A56" s="788">
        <v>55</v>
      </c>
      <c r="B56" s="246" t="s">
        <v>2184</v>
      </c>
      <c r="C56" s="199" t="s">
        <v>24</v>
      </c>
      <c r="D56" s="805">
        <v>1127</v>
      </c>
      <c r="E56" s="199" t="s">
        <v>2216</v>
      </c>
      <c r="F56" s="199" t="s">
        <v>2217</v>
      </c>
      <c r="G56" s="649">
        <v>1134</v>
      </c>
      <c r="H56" s="199" t="s">
        <v>2193</v>
      </c>
      <c r="I56" s="199" t="s">
        <v>175</v>
      </c>
      <c r="J56" s="210" t="s">
        <v>111</v>
      </c>
      <c r="K56" s="210" t="s">
        <v>110</v>
      </c>
      <c r="L56" s="859">
        <v>0.2</v>
      </c>
      <c r="M56" s="860" t="s">
        <v>1470</v>
      </c>
      <c r="N56" s="861" t="s">
        <v>212</v>
      </c>
      <c r="O56" s="649" t="s">
        <v>2221</v>
      </c>
      <c r="P56" s="765">
        <v>3</v>
      </c>
      <c r="Q56" s="862">
        <v>0.25</v>
      </c>
      <c r="R56" s="765">
        <v>3</v>
      </c>
      <c r="S56" s="765"/>
      <c r="T56" s="863">
        <f t="shared" si="0"/>
        <v>0</v>
      </c>
      <c r="U56" s="864" t="s">
        <v>34</v>
      </c>
      <c r="V56" s="865"/>
      <c r="W56" s="246"/>
    </row>
    <row r="57" spans="1:23" ht="17.55" customHeight="1" x14ac:dyDescent="0.4">
      <c r="A57" s="788">
        <v>56</v>
      </c>
      <c r="B57" s="246" t="s">
        <v>2184</v>
      </c>
      <c r="C57" s="199" t="s">
        <v>24</v>
      </c>
      <c r="D57" s="805">
        <v>1127</v>
      </c>
      <c r="E57" s="199" t="s">
        <v>2216</v>
      </c>
      <c r="F57" s="199" t="s">
        <v>2217</v>
      </c>
      <c r="G57" s="649">
        <v>1134</v>
      </c>
      <c r="H57" s="199" t="s">
        <v>2193</v>
      </c>
      <c r="I57" s="199" t="s">
        <v>175</v>
      </c>
      <c r="J57" s="210" t="s">
        <v>111</v>
      </c>
      <c r="K57" s="210" t="s">
        <v>110</v>
      </c>
      <c r="L57" s="859">
        <v>0.2</v>
      </c>
      <c r="M57" s="199" t="s">
        <v>200</v>
      </c>
      <c r="N57" s="767" t="s">
        <v>1454</v>
      </c>
      <c r="O57" s="866"/>
      <c r="P57" s="867">
        <v>29</v>
      </c>
      <c r="Q57" s="862">
        <v>0.25</v>
      </c>
      <c r="R57" s="867">
        <v>29</v>
      </c>
      <c r="S57" s="867"/>
      <c r="T57" s="863">
        <f t="shared" si="0"/>
        <v>0</v>
      </c>
      <c r="U57" s="864" t="s">
        <v>34</v>
      </c>
      <c r="V57" s="868"/>
      <c r="W57" s="199"/>
    </row>
    <row r="58" spans="1:23" ht="17.55" customHeight="1" x14ac:dyDescent="0.4">
      <c r="A58" s="788">
        <v>57</v>
      </c>
      <c r="B58" s="246" t="s">
        <v>2184</v>
      </c>
      <c r="C58" s="199" t="s">
        <v>24</v>
      </c>
      <c r="D58" s="805">
        <v>1127</v>
      </c>
      <c r="E58" s="199" t="s">
        <v>2216</v>
      </c>
      <c r="F58" s="199" t="s">
        <v>2217</v>
      </c>
      <c r="G58" s="649">
        <v>1134</v>
      </c>
      <c r="H58" s="199" t="s">
        <v>2193</v>
      </c>
      <c r="I58" s="199" t="s">
        <v>175</v>
      </c>
      <c r="J58" s="210" t="s">
        <v>111</v>
      </c>
      <c r="K58" s="210" t="s">
        <v>110</v>
      </c>
      <c r="L58" s="859">
        <v>0.2</v>
      </c>
      <c r="M58" s="210" t="s">
        <v>197</v>
      </c>
      <c r="N58" s="767" t="s">
        <v>1456</v>
      </c>
      <c r="O58" s="767"/>
      <c r="P58" s="867">
        <v>29</v>
      </c>
      <c r="Q58" s="862">
        <v>0.25</v>
      </c>
      <c r="R58" s="867">
        <v>29</v>
      </c>
      <c r="S58" s="867"/>
      <c r="T58" s="863">
        <f t="shared" si="0"/>
        <v>0</v>
      </c>
      <c r="U58" s="864" t="s">
        <v>34</v>
      </c>
      <c r="V58" s="868"/>
      <c r="W58" s="199"/>
    </row>
    <row r="59" spans="1:23" ht="17.55" customHeight="1" x14ac:dyDescent="0.4">
      <c r="A59" s="788">
        <v>58</v>
      </c>
      <c r="B59" s="246" t="s">
        <v>2184</v>
      </c>
      <c r="C59" s="199" t="s">
        <v>24</v>
      </c>
      <c r="D59" s="805">
        <v>1127</v>
      </c>
      <c r="E59" s="199" t="s">
        <v>2216</v>
      </c>
      <c r="F59" s="199" t="s">
        <v>2217</v>
      </c>
      <c r="G59" s="649">
        <v>1134</v>
      </c>
      <c r="H59" s="199" t="s">
        <v>2193</v>
      </c>
      <c r="I59" s="199" t="s">
        <v>175</v>
      </c>
      <c r="J59" s="210" t="s">
        <v>111</v>
      </c>
      <c r="K59" s="210" t="s">
        <v>110</v>
      </c>
      <c r="L59" s="859">
        <v>0.2</v>
      </c>
      <c r="M59" s="210" t="s">
        <v>1457</v>
      </c>
      <c r="N59" s="767" t="s">
        <v>203</v>
      </c>
      <c r="O59" s="767"/>
      <c r="P59" s="234">
        <v>0.8</v>
      </c>
      <c r="Q59" s="862">
        <v>0.25</v>
      </c>
      <c r="R59" s="234">
        <v>0.8</v>
      </c>
      <c r="S59" s="234"/>
      <c r="T59" s="863">
        <f t="shared" si="0"/>
        <v>0</v>
      </c>
      <c r="U59" s="864" t="s">
        <v>34</v>
      </c>
      <c r="V59" s="868"/>
      <c r="W59" s="199"/>
    </row>
    <row r="60" spans="1:23" ht="17.55" customHeight="1" x14ac:dyDescent="0.4">
      <c r="A60" s="788">
        <v>59</v>
      </c>
      <c r="B60" s="246" t="s">
        <v>2184</v>
      </c>
      <c r="C60" s="199" t="s">
        <v>24</v>
      </c>
      <c r="D60" s="805">
        <v>1127</v>
      </c>
      <c r="E60" s="199" t="s">
        <v>2216</v>
      </c>
      <c r="F60" s="199" t="s">
        <v>2217</v>
      </c>
      <c r="G60" s="649">
        <v>1134</v>
      </c>
      <c r="H60" s="199" t="s">
        <v>2193</v>
      </c>
      <c r="I60" s="199" t="s">
        <v>175</v>
      </c>
      <c r="J60" s="210" t="s">
        <v>111</v>
      </c>
      <c r="K60" s="210" t="s">
        <v>110</v>
      </c>
      <c r="L60" s="859">
        <v>0.2</v>
      </c>
      <c r="M60" s="213" t="s">
        <v>204</v>
      </c>
      <c r="N60" s="214" t="s">
        <v>2222</v>
      </c>
      <c r="O60" s="767"/>
      <c r="P60" s="864">
        <v>0</v>
      </c>
      <c r="Q60" s="869">
        <v>0</v>
      </c>
      <c r="R60" s="864">
        <v>0</v>
      </c>
      <c r="S60" s="864"/>
      <c r="T60" s="863">
        <f t="shared" si="0"/>
        <v>0</v>
      </c>
      <c r="U60" s="864" t="s">
        <v>34</v>
      </c>
      <c r="V60" s="868"/>
      <c r="W60" s="199"/>
    </row>
    <row r="61" spans="1:23" ht="17.55" customHeight="1" x14ac:dyDescent="0.4">
      <c r="A61" s="788">
        <v>60</v>
      </c>
      <c r="B61" s="246" t="s">
        <v>2184</v>
      </c>
      <c r="C61" s="199" t="s">
        <v>24</v>
      </c>
      <c r="D61" s="805">
        <v>1127</v>
      </c>
      <c r="E61" s="199" t="s">
        <v>2216</v>
      </c>
      <c r="F61" s="199" t="s">
        <v>2217</v>
      </c>
      <c r="G61" s="649">
        <v>1134</v>
      </c>
      <c r="H61" s="199" t="s">
        <v>2193</v>
      </c>
      <c r="I61" s="199" t="s">
        <v>175</v>
      </c>
      <c r="J61" s="210" t="s">
        <v>111</v>
      </c>
      <c r="K61" s="210" t="s">
        <v>110</v>
      </c>
      <c r="L61" s="859">
        <v>0.2</v>
      </c>
      <c r="M61" s="213" t="s">
        <v>2223</v>
      </c>
      <c r="N61" s="214" t="s">
        <v>2224</v>
      </c>
      <c r="O61" s="767"/>
      <c r="P61" s="864">
        <v>0</v>
      </c>
      <c r="Q61" s="869">
        <v>0</v>
      </c>
      <c r="R61" s="864">
        <v>0</v>
      </c>
      <c r="S61" s="864"/>
      <c r="T61" s="863">
        <f t="shared" si="0"/>
        <v>0</v>
      </c>
      <c r="U61" s="864" t="s">
        <v>34</v>
      </c>
      <c r="V61" s="868"/>
      <c r="W61" s="199"/>
    </row>
    <row r="62" spans="1:23" ht="17.55" customHeight="1" x14ac:dyDescent="0.4">
      <c r="A62" s="788">
        <v>61</v>
      </c>
      <c r="B62" s="187" t="s">
        <v>2184</v>
      </c>
      <c r="C62" s="187" t="s">
        <v>24</v>
      </c>
      <c r="D62" s="830">
        <v>1076</v>
      </c>
      <c r="E62" s="236" t="s">
        <v>2225</v>
      </c>
      <c r="F62" s="236" t="s">
        <v>514</v>
      </c>
      <c r="G62" s="243">
        <v>1134</v>
      </c>
      <c r="H62" s="236" t="s">
        <v>2193</v>
      </c>
      <c r="I62" s="236" t="s">
        <v>1645</v>
      </c>
      <c r="J62" s="187" t="s">
        <v>58</v>
      </c>
      <c r="K62" s="236" t="s">
        <v>2035</v>
      </c>
      <c r="L62" s="713">
        <v>0.8</v>
      </c>
      <c r="M62" s="191" t="s">
        <v>2226</v>
      </c>
      <c r="N62" s="186" t="s">
        <v>2227</v>
      </c>
      <c r="O62" s="193" t="s">
        <v>2228</v>
      </c>
      <c r="P62" s="197">
        <v>0.98</v>
      </c>
      <c r="Q62" s="833">
        <v>0.16666666666666666</v>
      </c>
      <c r="R62" s="197">
        <v>0.98</v>
      </c>
      <c r="S62" s="197"/>
      <c r="T62" s="834">
        <f t="shared" si="0"/>
        <v>0</v>
      </c>
      <c r="U62" s="197" t="s">
        <v>34</v>
      </c>
      <c r="V62" s="1953">
        <f>SUM(T62:T72)%</f>
        <v>0</v>
      </c>
      <c r="W62" s="710" t="s">
        <v>2229</v>
      </c>
    </row>
    <row r="63" spans="1:23" ht="17.55" customHeight="1" x14ac:dyDescent="0.4">
      <c r="A63" s="788">
        <v>62</v>
      </c>
      <c r="B63" s="246" t="s">
        <v>2184</v>
      </c>
      <c r="C63" s="199" t="s">
        <v>24</v>
      </c>
      <c r="D63" s="836">
        <v>1076</v>
      </c>
      <c r="E63" s="245" t="s">
        <v>2225</v>
      </c>
      <c r="F63" s="245" t="s">
        <v>514</v>
      </c>
      <c r="G63" s="253">
        <v>1134</v>
      </c>
      <c r="H63" s="198" t="s">
        <v>2193</v>
      </c>
      <c r="I63" s="198" t="s">
        <v>1645</v>
      </c>
      <c r="J63" s="692" t="s">
        <v>58</v>
      </c>
      <c r="K63" s="198" t="s">
        <v>2035</v>
      </c>
      <c r="L63" s="723">
        <v>0.8</v>
      </c>
      <c r="M63" s="202" t="s">
        <v>2021</v>
      </c>
      <c r="N63" s="682" t="s">
        <v>499</v>
      </c>
      <c r="O63" s="211" t="s">
        <v>2230</v>
      </c>
      <c r="P63" s="208">
        <v>1</v>
      </c>
      <c r="Q63" s="839">
        <v>0.1111111111111111</v>
      </c>
      <c r="R63" s="208">
        <v>1</v>
      </c>
      <c r="S63" s="208"/>
      <c r="T63" s="764">
        <f t="shared" si="0"/>
        <v>0</v>
      </c>
      <c r="U63" s="208" t="s">
        <v>34</v>
      </c>
      <c r="V63" s="840"/>
      <c r="W63" s="198"/>
    </row>
    <row r="64" spans="1:23" ht="17.55" customHeight="1" x14ac:dyDescent="0.4">
      <c r="A64" s="788">
        <v>63</v>
      </c>
      <c r="B64" s="246" t="s">
        <v>2184</v>
      </c>
      <c r="C64" s="199" t="s">
        <v>24</v>
      </c>
      <c r="D64" s="836">
        <v>1076</v>
      </c>
      <c r="E64" s="245" t="s">
        <v>2225</v>
      </c>
      <c r="F64" s="245" t="s">
        <v>514</v>
      </c>
      <c r="G64" s="253">
        <v>1134</v>
      </c>
      <c r="H64" s="198" t="s">
        <v>2193</v>
      </c>
      <c r="I64" s="198" t="s">
        <v>1645</v>
      </c>
      <c r="J64" s="692" t="s">
        <v>58</v>
      </c>
      <c r="K64" s="198" t="s">
        <v>2035</v>
      </c>
      <c r="L64" s="723">
        <v>0.8</v>
      </c>
      <c r="M64" s="202" t="s">
        <v>2022</v>
      </c>
      <c r="N64" s="682"/>
      <c r="O64" s="211" t="s">
        <v>2230</v>
      </c>
      <c r="P64" s="208">
        <v>1</v>
      </c>
      <c r="Q64" s="839">
        <v>0.1111111111111111</v>
      </c>
      <c r="R64" s="208">
        <v>1</v>
      </c>
      <c r="S64" s="208"/>
      <c r="T64" s="764">
        <f t="shared" si="0"/>
        <v>0</v>
      </c>
      <c r="U64" s="208" t="s">
        <v>34</v>
      </c>
      <c r="V64" s="840"/>
      <c r="W64" s="198"/>
    </row>
    <row r="65" spans="1:23" ht="17.55" customHeight="1" x14ac:dyDescent="0.4">
      <c r="A65" s="788">
        <v>64</v>
      </c>
      <c r="B65" s="246" t="s">
        <v>2184</v>
      </c>
      <c r="C65" s="199" t="s">
        <v>24</v>
      </c>
      <c r="D65" s="836">
        <v>1076</v>
      </c>
      <c r="E65" s="245" t="s">
        <v>2225</v>
      </c>
      <c r="F65" s="245" t="s">
        <v>514</v>
      </c>
      <c r="G65" s="253">
        <v>1134</v>
      </c>
      <c r="H65" s="198" t="s">
        <v>2193</v>
      </c>
      <c r="I65" s="198" t="s">
        <v>1645</v>
      </c>
      <c r="J65" s="692" t="s">
        <v>58</v>
      </c>
      <c r="K65" s="198" t="s">
        <v>2035</v>
      </c>
      <c r="L65" s="723">
        <v>0.8</v>
      </c>
      <c r="M65" s="202" t="s">
        <v>2023</v>
      </c>
      <c r="N65" s="682" t="s">
        <v>520</v>
      </c>
      <c r="O65" s="211" t="s">
        <v>2230</v>
      </c>
      <c r="P65" s="208">
        <v>1</v>
      </c>
      <c r="Q65" s="839">
        <v>0.16666666666666666</v>
      </c>
      <c r="R65" s="208">
        <v>1</v>
      </c>
      <c r="S65" s="208"/>
      <c r="T65" s="764">
        <f t="shared" si="0"/>
        <v>0</v>
      </c>
      <c r="U65" s="208" t="s">
        <v>34</v>
      </c>
      <c r="V65" s="840"/>
      <c r="W65" s="198"/>
    </row>
    <row r="66" spans="1:23" ht="17.55" customHeight="1" x14ac:dyDescent="0.4">
      <c r="A66" s="788">
        <v>65</v>
      </c>
      <c r="B66" s="246" t="s">
        <v>2184</v>
      </c>
      <c r="C66" s="199" t="s">
        <v>24</v>
      </c>
      <c r="D66" s="836">
        <v>1076</v>
      </c>
      <c r="E66" s="245" t="s">
        <v>2225</v>
      </c>
      <c r="F66" s="245" t="s">
        <v>514</v>
      </c>
      <c r="G66" s="253">
        <v>1134</v>
      </c>
      <c r="H66" s="198" t="s">
        <v>2193</v>
      </c>
      <c r="I66" s="198" t="s">
        <v>1645</v>
      </c>
      <c r="J66" s="692" t="s">
        <v>58</v>
      </c>
      <c r="K66" s="198" t="s">
        <v>2035</v>
      </c>
      <c r="L66" s="723">
        <v>0.8</v>
      </c>
      <c r="M66" s="202" t="s">
        <v>2024</v>
      </c>
      <c r="N66" s="682" t="s">
        <v>2025</v>
      </c>
      <c r="O66" s="211" t="s">
        <v>2230</v>
      </c>
      <c r="P66" s="208">
        <v>0.998</v>
      </c>
      <c r="Q66" s="839">
        <v>0.16666666666666666</v>
      </c>
      <c r="R66" s="208">
        <v>0.998</v>
      </c>
      <c r="S66" s="208"/>
      <c r="T66" s="764">
        <f t="shared" ref="T66:T129" si="1">IF(AND(S66&gt;=60%,S66&lt;100%),S66*((Q66*L66)),IF(S66=100%,((Q66*L66)*S66)*100%,IF(S66&gt;100%,((L66*Q66)*100%)*100%,0)))*100</f>
        <v>0</v>
      </c>
      <c r="U66" s="208" t="s">
        <v>34</v>
      </c>
      <c r="V66" s="840"/>
      <c r="W66" s="198"/>
    </row>
    <row r="67" spans="1:23" ht="17.55" customHeight="1" x14ac:dyDescent="0.4">
      <c r="A67" s="788">
        <v>66</v>
      </c>
      <c r="B67" s="246" t="s">
        <v>2184</v>
      </c>
      <c r="C67" s="199" t="s">
        <v>24</v>
      </c>
      <c r="D67" s="836">
        <v>1076</v>
      </c>
      <c r="E67" s="245" t="s">
        <v>2225</v>
      </c>
      <c r="F67" s="245" t="s">
        <v>514</v>
      </c>
      <c r="G67" s="253">
        <v>1134</v>
      </c>
      <c r="H67" s="198" t="s">
        <v>2193</v>
      </c>
      <c r="I67" s="198" t="s">
        <v>1645</v>
      </c>
      <c r="J67" s="692" t="s">
        <v>58</v>
      </c>
      <c r="K67" s="198" t="s">
        <v>2035</v>
      </c>
      <c r="L67" s="723">
        <v>0.8</v>
      </c>
      <c r="M67" s="202" t="s">
        <v>2026</v>
      </c>
      <c r="N67" s="682" t="s">
        <v>2027</v>
      </c>
      <c r="O67" s="211" t="s">
        <v>2230</v>
      </c>
      <c r="P67" s="208">
        <v>1</v>
      </c>
      <c r="Q67" s="839">
        <v>0.16666666666666666</v>
      </c>
      <c r="R67" s="208">
        <v>1</v>
      </c>
      <c r="S67" s="208"/>
      <c r="T67" s="764">
        <f t="shared" si="1"/>
        <v>0</v>
      </c>
      <c r="U67" s="208" t="s">
        <v>34</v>
      </c>
      <c r="V67" s="840"/>
      <c r="W67" s="198"/>
    </row>
    <row r="68" spans="1:23" ht="17.55" customHeight="1" x14ac:dyDescent="0.4">
      <c r="A68" s="788">
        <v>67</v>
      </c>
      <c r="B68" s="246" t="s">
        <v>2184</v>
      </c>
      <c r="C68" s="199" t="s">
        <v>24</v>
      </c>
      <c r="D68" s="836">
        <v>1076</v>
      </c>
      <c r="E68" s="245" t="s">
        <v>2225</v>
      </c>
      <c r="F68" s="245" t="s">
        <v>514</v>
      </c>
      <c r="G68" s="253">
        <v>1134</v>
      </c>
      <c r="H68" s="198" t="s">
        <v>2193</v>
      </c>
      <c r="I68" s="198" t="s">
        <v>1645</v>
      </c>
      <c r="J68" s="692" t="s">
        <v>58</v>
      </c>
      <c r="K68" s="198" t="s">
        <v>2035</v>
      </c>
      <c r="L68" s="723">
        <v>0.8</v>
      </c>
      <c r="M68" s="202" t="s">
        <v>2028</v>
      </c>
      <c r="N68" s="682" t="s">
        <v>1685</v>
      </c>
      <c r="O68" s="211" t="s">
        <v>2230</v>
      </c>
      <c r="P68" s="208">
        <v>1</v>
      </c>
      <c r="Q68" s="839">
        <v>0.1111111111111111</v>
      </c>
      <c r="R68" s="208">
        <v>1</v>
      </c>
      <c r="S68" s="208"/>
      <c r="T68" s="764">
        <f t="shared" si="1"/>
        <v>0</v>
      </c>
      <c r="U68" s="208" t="s">
        <v>34</v>
      </c>
      <c r="V68" s="840"/>
      <c r="W68" s="198"/>
    </row>
    <row r="69" spans="1:23" ht="17.55" customHeight="1" x14ac:dyDescent="0.4">
      <c r="A69" s="788">
        <v>68</v>
      </c>
      <c r="B69" s="246" t="s">
        <v>2184</v>
      </c>
      <c r="C69" s="199" t="s">
        <v>24</v>
      </c>
      <c r="D69" s="836">
        <v>1076</v>
      </c>
      <c r="E69" s="245" t="s">
        <v>2225</v>
      </c>
      <c r="F69" s="245" t="s">
        <v>514</v>
      </c>
      <c r="G69" s="253">
        <v>1134</v>
      </c>
      <c r="H69" s="198" t="s">
        <v>2193</v>
      </c>
      <c r="I69" s="198" t="s">
        <v>1645</v>
      </c>
      <c r="J69" s="199" t="s">
        <v>111</v>
      </c>
      <c r="K69" s="199" t="s">
        <v>110</v>
      </c>
      <c r="L69" s="846">
        <v>0.2</v>
      </c>
      <c r="M69" s="213" t="s">
        <v>2029</v>
      </c>
      <c r="N69" s="699" t="s">
        <v>1661</v>
      </c>
      <c r="O69" s="220" t="s">
        <v>2230</v>
      </c>
      <c r="P69" s="218">
        <v>1</v>
      </c>
      <c r="Q69" s="849">
        <v>0.25</v>
      </c>
      <c r="R69" s="218">
        <v>1</v>
      </c>
      <c r="S69" s="218"/>
      <c r="T69" s="765">
        <f t="shared" si="1"/>
        <v>0</v>
      </c>
      <c r="U69" s="218" t="s">
        <v>34</v>
      </c>
      <c r="V69" s="799"/>
      <c r="W69" s="198"/>
    </row>
    <row r="70" spans="1:23" ht="17.55" customHeight="1" x14ac:dyDescent="0.4">
      <c r="A70" s="788">
        <v>69</v>
      </c>
      <c r="B70" s="246" t="s">
        <v>2184</v>
      </c>
      <c r="C70" s="199" t="s">
        <v>24</v>
      </c>
      <c r="D70" s="836">
        <v>1076</v>
      </c>
      <c r="E70" s="245" t="s">
        <v>2225</v>
      </c>
      <c r="F70" s="245" t="s">
        <v>514</v>
      </c>
      <c r="G70" s="253">
        <v>1134</v>
      </c>
      <c r="H70" s="198" t="s">
        <v>2193</v>
      </c>
      <c r="I70" s="198" t="s">
        <v>1645</v>
      </c>
      <c r="J70" s="199" t="s">
        <v>111</v>
      </c>
      <c r="K70" s="199" t="s">
        <v>110</v>
      </c>
      <c r="L70" s="846">
        <v>0.2</v>
      </c>
      <c r="M70" s="213" t="s">
        <v>2030</v>
      </c>
      <c r="N70" s="699" t="s">
        <v>533</v>
      </c>
      <c r="O70" s="220" t="s">
        <v>2230</v>
      </c>
      <c r="P70" s="218">
        <v>1</v>
      </c>
      <c r="Q70" s="849">
        <v>0.25</v>
      </c>
      <c r="R70" s="218">
        <v>1</v>
      </c>
      <c r="S70" s="218"/>
      <c r="T70" s="765">
        <f t="shared" si="1"/>
        <v>0</v>
      </c>
      <c r="U70" s="218" t="s">
        <v>34</v>
      </c>
      <c r="V70" s="799"/>
      <c r="W70" s="198"/>
    </row>
    <row r="71" spans="1:23" ht="17.55" customHeight="1" x14ac:dyDescent="0.4">
      <c r="A71" s="788">
        <v>70</v>
      </c>
      <c r="B71" s="246" t="s">
        <v>2184</v>
      </c>
      <c r="C71" s="199" t="s">
        <v>24</v>
      </c>
      <c r="D71" s="836">
        <v>1076</v>
      </c>
      <c r="E71" s="245" t="s">
        <v>2225</v>
      </c>
      <c r="F71" s="245" t="s">
        <v>514</v>
      </c>
      <c r="G71" s="253">
        <v>1134</v>
      </c>
      <c r="H71" s="198" t="s">
        <v>2193</v>
      </c>
      <c r="I71" s="198" t="s">
        <v>1645</v>
      </c>
      <c r="J71" s="199" t="s">
        <v>111</v>
      </c>
      <c r="K71" s="199" t="s">
        <v>110</v>
      </c>
      <c r="L71" s="846">
        <v>0.2</v>
      </c>
      <c r="M71" s="213" t="s">
        <v>2031</v>
      </c>
      <c r="N71" s="699" t="s">
        <v>1659</v>
      </c>
      <c r="O71" s="220" t="s">
        <v>2231</v>
      </c>
      <c r="P71" s="218">
        <v>1</v>
      </c>
      <c r="Q71" s="849">
        <v>0.25</v>
      </c>
      <c r="R71" s="218">
        <v>1</v>
      </c>
      <c r="S71" s="218"/>
      <c r="T71" s="765">
        <f t="shared" si="1"/>
        <v>0</v>
      </c>
      <c r="U71" s="218" t="s">
        <v>34</v>
      </c>
      <c r="V71" s="799"/>
      <c r="W71" s="198"/>
    </row>
    <row r="72" spans="1:23" ht="17.55" customHeight="1" x14ac:dyDescent="0.4">
      <c r="A72" s="788">
        <v>71</v>
      </c>
      <c r="B72" s="246" t="s">
        <v>2184</v>
      </c>
      <c r="C72" s="199" t="s">
        <v>24</v>
      </c>
      <c r="D72" s="836">
        <v>1076</v>
      </c>
      <c r="E72" s="245" t="s">
        <v>2225</v>
      </c>
      <c r="F72" s="245" t="s">
        <v>514</v>
      </c>
      <c r="G72" s="253">
        <v>1134</v>
      </c>
      <c r="H72" s="198" t="s">
        <v>2193</v>
      </c>
      <c r="I72" s="198" t="s">
        <v>1645</v>
      </c>
      <c r="J72" s="199" t="s">
        <v>111</v>
      </c>
      <c r="K72" s="199" t="s">
        <v>110</v>
      </c>
      <c r="L72" s="846">
        <v>0.2</v>
      </c>
      <c r="M72" s="213" t="s">
        <v>2032</v>
      </c>
      <c r="N72" s="699" t="s">
        <v>527</v>
      </c>
      <c r="O72" s="220" t="s">
        <v>2230</v>
      </c>
      <c r="P72" s="218">
        <v>1</v>
      </c>
      <c r="Q72" s="849">
        <v>0.25</v>
      </c>
      <c r="R72" s="218">
        <v>1</v>
      </c>
      <c r="S72" s="218"/>
      <c r="T72" s="765">
        <f t="shared" si="1"/>
        <v>0</v>
      </c>
      <c r="U72" s="218" t="s">
        <v>34</v>
      </c>
      <c r="V72" s="799"/>
      <c r="W72" s="198"/>
    </row>
    <row r="73" spans="1:23" ht="17.55" customHeight="1" x14ac:dyDescent="0.4">
      <c r="A73" s="788">
        <v>72</v>
      </c>
      <c r="B73" s="187" t="s">
        <v>2184</v>
      </c>
      <c r="C73" s="187" t="s">
        <v>24</v>
      </c>
      <c r="D73" s="830">
        <v>1076</v>
      </c>
      <c r="E73" s="236" t="s">
        <v>2225</v>
      </c>
      <c r="F73" s="236" t="s">
        <v>514</v>
      </c>
      <c r="G73" s="243">
        <v>1134</v>
      </c>
      <c r="H73" s="236" t="s">
        <v>2193</v>
      </c>
      <c r="I73" s="236" t="s">
        <v>1645</v>
      </c>
      <c r="J73" s="187" t="s">
        <v>58</v>
      </c>
      <c r="K73" s="236" t="s">
        <v>2035</v>
      </c>
      <c r="L73" s="644">
        <v>0.5</v>
      </c>
      <c r="M73" s="748" t="s">
        <v>2232</v>
      </c>
      <c r="N73" s="653" t="s">
        <v>2233</v>
      </c>
      <c r="O73" s="749"/>
      <c r="P73" s="870">
        <v>0.01</v>
      </c>
      <c r="Q73" s="871">
        <v>0.3</v>
      </c>
      <c r="R73" s="870">
        <v>0.01</v>
      </c>
      <c r="S73" s="870"/>
      <c r="T73" s="834">
        <f t="shared" si="1"/>
        <v>0</v>
      </c>
      <c r="U73" s="197" t="s">
        <v>34</v>
      </c>
      <c r="V73" s="1953">
        <f>SUM(T73:T85)%</f>
        <v>0</v>
      </c>
      <c r="W73" s="710" t="s">
        <v>2229</v>
      </c>
    </row>
    <row r="74" spans="1:23" ht="17.55" customHeight="1" x14ac:dyDescent="0.4">
      <c r="A74" s="788">
        <v>73</v>
      </c>
      <c r="B74" s="246" t="s">
        <v>2184</v>
      </c>
      <c r="C74" s="199" t="s">
        <v>24</v>
      </c>
      <c r="D74" s="836">
        <v>1076</v>
      </c>
      <c r="E74" s="245" t="s">
        <v>2225</v>
      </c>
      <c r="F74" s="245" t="s">
        <v>514</v>
      </c>
      <c r="G74" s="253">
        <v>1134</v>
      </c>
      <c r="H74" s="198" t="s">
        <v>2193</v>
      </c>
      <c r="I74" s="198" t="s">
        <v>1645</v>
      </c>
      <c r="J74" s="692" t="s">
        <v>58</v>
      </c>
      <c r="K74" s="198" t="s">
        <v>2035</v>
      </c>
      <c r="L74" s="647">
        <v>0.5</v>
      </c>
      <c r="M74" s="756" t="s">
        <v>2234</v>
      </c>
      <c r="N74" s="79" t="s">
        <v>2235</v>
      </c>
      <c r="O74" s="757"/>
      <c r="P74" s="872">
        <v>0.01</v>
      </c>
      <c r="Q74" s="873">
        <v>0.15</v>
      </c>
      <c r="R74" s="872">
        <v>0.01</v>
      </c>
      <c r="S74" s="872"/>
      <c r="T74" s="764">
        <f t="shared" si="1"/>
        <v>0</v>
      </c>
      <c r="U74" s="208" t="s">
        <v>34</v>
      </c>
      <c r="V74" s="840"/>
      <c r="W74" s="198"/>
    </row>
    <row r="75" spans="1:23" ht="17.55" customHeight="1" x14ac:dyDescent="0.4">
      <c r="A75" s="788">
        <v>74</v>
      </c>
      <c r="B75" s="246" t="s">
        <v>2184</v>
      </c>
      <c r="C75" s="199" t="s">
        <v>24</v>
      </c>
      <c r="D75" s="836">
        <v>1076</v>
      </c>
      <c r="E75" s="245" t="s">
        <v>2225</v>
      </c>
      <c r="F75" s="245" t="s">
        <v>514</v>
      </c>
      <c r="G75" s="253">
        <v>1134</v>
      </c>
      <c r="H75" s="198" t="s">
        <v>2193</v>
      </c>
      <c r="I75" s="198" t="s">
        <v>1645</v>
      </c>
      <c r="J75" s="692" t="s">
        <v>58</v>
      </c>
      <c r="K75" s="198" t="s">
        <v>2035</v>
      </c>
      <c r="L75" s="647">
        <v>0.5</v>
      </c>
      <c r="M75" s="756" t="s">
        <v>2236</v>
      </c>
      <c r="N75" s="79" t="s">
        <v>2237</v>
      </c>
      <c r="O75" s="757"/>
      <c r="P75" s="872">
        <v>0.01</v>
      </c>
      <c r="Q75" s="873">
        <v>0.15</v>
      </c>
      <c r="R75" s="872">
        <v>0.01</v>
      </c>
      <c r="S75" s="872"/>
      <c r="T75" s="764">
        <f t="shared" si="1"/>
        <v>0</v>
      </c>
      <c r="U75" s="208" t="s">
        <v>34</v>
      </c>
      <c r="V75" s="840"/>
      <c r="W75" s="198"/>
    </row>
    <row r="76" spans="1:23" ht="17.55" customHeight="1" x14ac:dyDescent="0.4">
      <c r="A76" s="788">
        <v>75</v>
      </c>
      <c r="B76" s="246" t="s">
        <v>2184</v>
      </c>
      <c r="C76" s="199" t="s">
        <v>24</v>
      </c>
      <c r="D76" s="836">
        <v>1076</v>
      </c>
      <c r="E76" s="245" t="s">
        <v>2225</v>
      </c>
      <c r="F76" s="245" t="s">
        <v>514</v>
      </c>
      <c r="G76" s="253">
        <v>1134</v>
      </c>
      <c r="H76" s="198" t="s">
        <v>2193</v>
      </c>
      <c r="I76" s="198" t="s">
        <v>1645</v>
      </c>
      <c r="J76" s="692" t="s">
        <v>58</v>
      </c>
      <c r="K76" s="198" t="s">
        <v>2035</v>
      </c>
      <c r="L76" s="647">
        <v>0.5</v>
      </c>
      <c r="M76" s="756" t="s">
        <v>2238</v>
      </c>
      <c r="N76" s="79" t="s">
        <v>2239</v>
      </c>
      <c r="O76" s="757"/>
      <c r="P76" s="872">
        <v>1</v>
      </c>
      <c r="Q76" s="873">
        <v>0.1</v>
      </c>
      <c r="R76" s="872">
        <v>1</v>
      </c>
      <c r="S76" s="872"/>
      <c r="T76" s="764">
        <f t="shared" si="1"/>
        <v>0</v>
      </c>
      <c r="U76" s="208" t="s">
        <v>34</v>
      </c>
      <c r="V76" s="840"/>
      <c r="W76" s="198"/>
    </row>
    <row r="77" spans="1:23" ht="17.55" customHeight="1" x14ac:dyDescent="0.4">
      <c r="A77" s="788">
        <v>76</v>
      </c>
      <c r="B77" s="246" t="s">
        <v>2184</v>
      </c>
      <c r="C77" s="199" t="s">
        <v>24</v>
      </c>
      <c r="D77" s="836">
        <v>1076</v>
      </c>
      <c r="E77" s="245" t="s">
        <v>2225</v>
      </c>
      <c r="F77" s="245" t="s">
        <v>514</v>
      </c>
      <c r="G77" s="253">
        <v>1134</v>
      </c>
      <c r="H77" s="198" t="s">
        <v>2193</v>
      </c>
      <c r="I77" s="198" t="s">
        <v>1645</v>
      </c>
      <c r="J77" s="692" t="s">
        <v>58</v>
      </c>
      <c r="K77" s="198" t="s">
        <v>2035</v>
      </c>
      <c r="L77" s="647">
        <v>0.5</v>
      </c>
      <c r="M77" s="756" t="s">
        <v>2240</v>
      </c>
      <c r="N77" s="79" t="s">
        <v>358</v>
      </c>
      <c r="O77" s="757"/>
      <c r="P77" s="872">
        <v>1</v>
      </c>
      <c r="Q77" s="873">
        <v>0.2</v>
      </c>
      <c r="R77" s="872">
        <v>1</v>
      </c>
      <c r="S77" s="872"/>
      <c r="T77" s="764">
        <f t="shared" si="1"/>
        <v>0</v>
      </c>
      <c r="U77" s="208" t="s">
        <v>34</v>
      </c>
      <c r="V77" s="840"/>
      <c r="W77" s="198"/>
    </row>
    <row r="78" spans="1:23" ht="17.55" customHeight="1" x14ac:dyDescent="0.4">
      <c r="A78" s="788">
        <v>77</v>
      </c>
      <c r="B78" s="246" t="s">
        <v>2184</v>
      </c>
      <c r="C78" s="199" t="s">
        <v>24</v>
      </c>
      <c r="D78" s="836">
        <v>1076</v>
      </c>
      <c r="E78" s="245" t="s">
        <v>2225</v>
      </c>
      <c r="F78" s="245" t="s">
        <v>514</v>
      </c>
      <c r="G78" s="253">
        <v>1134</v>
      </c>
      <c r="H78" s="198" t="s">
        <v>2193</v>
      </c>
      <c r="I78" s="198" t="s">
        <v>1645</v>
      </c>
      <c r="J78" s="692" t="s">
        <v>58</v>
      </c>
      <c r="K78" s="198" t="s">
        <v>2035</v>
      </c>
      <c r="L78" s="647">
        <v>0.5</v>
      </c>
      <c r="M78" s="756" t="s">
        <v>2241</v>
      </c>
      <c r="N78" s="79" t="s">
        <v>2242</v>
      </c>
      <c r="O78" s="757" t="s">
        <v>2243</v>
      </c>
      <c r="P78" s="872">
        <v>1</v>
      </c>
      <c r="Q78" s="873">
        <v>0.1</v>
      </c>
      <c r="R78" s="872">
        <v>1</v>
      </c>
      <c r="S78" s="872"/>
      <c r="T78" s="764">
        <f t="shared" si="1"/>
        <v>0</v>
      </c>
      <c r="U78" s="208" t="s">
        <v>34</v>
      </c>
      <c r="V78" s="840"/>
      <c r="W78" s="198"/>
    </row>
    <row r="79" spans="1:23" ht="17.55" customHeight="1" x14ac:dyDescent="0.4">
      <c r="A79" s="788">
        <v>78</v>
      </c>
      <c r="B79" s="246" t="s">
        <v>2184</v>
      </c>
      <c r="C79" s="199" t="s">
        <v>24</v>
      </c>
      <c r="D79" s="836">
        <v>1076</v>
      </c>
      <c r="E79" s="245" t="s">
        <v>2225</v>
      </c>
      <c r="F79" s="245" t="s">
        <v>514</v>
      </c>
      <c r="G79" s="253">
        <v>1134</v>
      </c>
      <c r="H79" s="198" t="s">
        <v>2193</v>
      </c>
      <c r="I79" s="198" t="s">
        <v>1645</v>
      </c>
      <c r="J79" s="199" t="s">
        <v>111</v>
      </c>
      <c r="K79" s="199" t="s">
        <v>110</v>
      </c>
      <c r="L79" s="874">
        <v>0.5</v>
      </c>
      <c r="M79" s="875" t="s">
        <v>1046</v>
      </c>
      <c r="N79" s="253" t="s">
        <v>1046</v>
      </c>
      <c r="O79" s="876" t="s">
        <v>2244</v>
      </c>
      <c r="P79" s="877">
        <v>5</v>
      </c>
      <c r="Q79" s="878">
        <v>0.3</v>
      </c>
      <c r="R79" s="877">
        <v>5</v>
      </c>
      <c r="S79" s="877"/>
      <c r="T79" s="765">
        <f t="shared" si="1"/>
        <v>0</v>
      </c>
      <c r="U79" s="218" t="s">
        <v>34</v>
      </c>
      <c r="V79" s="799"/>
      <c r="W79" s="198"/>
    </row>
    <row r="80" spans="1:23" ht="17.55" customHeight="1" x14ac:dyDescent="0.4">
      <c r="A80" s="788">
        <v>79</v>
      </c>
      <c r="B80" s="246" t="s">
        <v>2184</v>
      </c>
      <c r="C80" s="199" t="s">
        <v>24</v>
      </c>
      <c r="D80" s="836">
        <v>1076</v>
      </c>
      <c r="E80" s="245" t="s">
        <v>2225</v>
      </c>
      <c r="F80" s="245" t="s">
        <v>514</v>
      </c>
      <c r="G80" s="253">
        <v>1134</v>
      </c>
      <c r="H80" s="198" t="s">
        <v>2193</v>
      </c>
      <c r="I80" s="198" t="s">
        <v>1645</v>
      </c>
      <c r="J80" s="199" t="s">
        <v>111</v>
      </c>
      <c r="K80" s="199" t="s">
        <v>110</v>
      </c>
      <c r="L80" s="874">
        <v>0.5</v>
      </c>
      <c r="M80" s="875" t="s">
        <v>1470</v>
      </c>
      <c r="N80" s="253" t="s">
        <v>212</v>
      </c>
      <c r="O80" s="876" t="s">
        <v>2245</v>
      </c>
      <c r="P80" s="877">
        <v>10</v>
      </c>
      <c r="Q80" s="878">
        <v>0.1</v>
      </c>
      <c r="R80" s="877">
        <v>10</v>
      </c>
      <c r="S80" s="877"/>
      <c r="T80" s="765">
        <f t="shared" si="1"/>
        <v>0</v>
      </c>
      <c r="U80" s="218" t="s">
        <v>34</v>
      </c>
      <c r="V80" s="799"/>
      <c r="W80" s="198"/>
    </row>
    <row r="81" spans="1:23" ht="17.55" customHeight="1" x14ac:dyDescent="0.4">
      <c r="A81" s="788">
        <v>80</v>
      </c>
      <c r="B81" s="246" t="s">
        <v>2184</v>
      </c>
      <c r="C81" s="199" t="s">
        <v>24</v>
      </c>
      <c r="D81" s="836">
        <v>1076</v>
      </c>
      <c r="E81" s="245" t="s">
        <v>2225</v>
      </c>
      <c r="F81" s="245" t="s">
        <v>514</v>
      </c>
      <c r="G81" s="253">
        <v>1134</v>
      </c>
      <c r="H81" s="198" t="s">
        <v>2193</v>
      </c>
      <c r="I81" s="198" t="s">
        <v>1645</v>
      </c>
      <c r="J81" s="199" t="s">
        <v>111</v>
      </c>
      <c r="K81" s="199" t="s">
        <v>110</v>
      </c>
      <c r="L81" s="874">
        <v>0.5</v>
      </c>
      <c r="M81" s="875" t="s">
        <v>2246</v>
      </c>
      <c r="N81" s="876" t="s">
        <v>2247</v>
      </c>
      <c r="O81" s="879"/>
      <c r="P81" s="877">
        <v>1</v>
      </c>
      <c r="Q81" s="878">
        <v>0.1</v>
      </c>
      <c r="R81" s="877">
        <v>1</v>
      </c>
      <c r="S81" s="877"/>
      <c r="T81" s="765">
        <f t="shared" si="1"/>
        <v>0</v>
      </c>
      <c r="U81" s="218" t="s">
        <v>34</v>
      </c>
      <c r="V81" s="799"/>
      <c r="W81" s="198"/>
    </row>
    <row r="82" spans="1:23" ht="17.55" customHeight="1" x14ac:dyDescent="0.4">
      <c r="A82" s="788">
        <v>81</v>
      </c>
      <c r="B82" s="246" t="s">
        <v>2184</v>
      </c>
      <c r="C82" s="199" t="s">
        <v>24</v>
      </c>
      <c r="D82" s="836">
        <v>1076</v>
      </c>
      <c r="E82" s="245" t="s">
        <v>2225</v>
      </c>
      <c r="F82" s="245" t="s">
        <v>514</v>
      </c>
      <c r="G82" s="253">
        <v>1134</v>
      </c>
      <c r="H82" s="198" t="s">
        <v>2193</v>
      </c>
      <c r="I82" s="198" t="s">
        <v>1645</v>
      </c>
      <c r="J82" s="199" t="s">
        <v>111</v>
      </c>
      <c r="K82" s="199" t="s">
        <v>110</v>
      </c>
      <c r="L82" s="874">
        <v>0.5</v>
      </c>
      <c r="M82" s="875" t="s">
        <v>2248</v>
      </c>
      <c r="N82" s="879" t="s">
        <v>2249</v>
      </c>
      <c r="O82" s="879"/>
      <c r="P82" s="877">
        <v>1</v>
      </c>
      <c r="Q82" s="878">
        <v>0.1</v>
      </c>
      <c r="R82" s="877">
        <v>1</v>
      </c>
      <c r="S82" s="877"/>
      <c r="T82" s="765">
        <f t="shared" si="1"/>
        <v>0</v>
      </c>
      <c r="U82" s="218" t="s">
        <v>34</v>
      </c>
      <c r="V82" s="799"/>
      <c r="W82" s="198"/>
    </row>
    <row r="83" spans="1:23" ht="17.55" customHeight="1" x14ac:dyDescent="0.4">
      <c r="A83" s="788">
        <v>82</v>
      </c>
      <c r="B83" s="246" t="s">
        <v>2184</v>
      </c>
      <c r="C83" s="199" t="s">
        <v>24</v>
      </c>
      <c r="D83" s="836">
        <v>1076</v>
      </c>
      <c r="E83" s="245" t="s">
        <v>2225</v>
      </c>
      <c r="F83" s="245" t="s">
        <v>514</v>
      </c>
      <c r="G83" s="253">
        <v>1134</v>
      </c>
      <c r="H83" s="198" t="s">
        <v>2193</v>
      </c>
      <c r="I83" s="198" t="s">
        <v>1645</v>
      </c>
      <c r="J83" s="199" t="s">
        <v>111</v>
      </c>
      <c r="K83" s="199" t="s">
        <v>110</v>
      </c>
      <c r="L83" s="874">
        <v>0.5</v>
      </c>
      <c r="M83" s="875" t="s">
        <v>1055</v>
      </c>
      <c r="N83" s="879" t="s">
        <v>1056</v>
      </c>
      <c r="O83" s="879"/>
      <c r="P83" s="877">
        <v>1</v>
      </c>
      <c r="Q83" s="878">
        <v>0.1</v>
      </c>
      <c r="R83" s="877">
        <v>1</v>
      </c>
      <c r="S83" s="877"/>
      <c r="T83" s="765">
        <f t="shared" si="1"/>
        <v>0</v>
      </c>
      <c r="U83" s="218" t="s">
        <v>34</v>
      </c>
      <c r="V83" s="799"/>
      <c r="W83" s="198"/>
    </row>
    <row r="84" spans="1:23" ht="17.55" customHeight="1" x14ac:dyDescent="0.4">
      <c r="A84" s="788">
        <v>83</v>
      </c>
      <c r="B84" s="246" t="s">
        <v>2184</v>
      </c>
      <c r="C84" s="199" t="s">
        <v>24</v>
      </c>
      <c r="D84" s="836">
        <v>1076</v>
      </c>
      <c r="E84" s="245" t="s">
        <v>2225</v>
      </c>
      <c r="F84" s="245" t="s">
        <v>514</v>
      </c>
      <c r="G84" s="253">
        <v>1134</v>
      </c>
      <c r="H84" s="198" t="s">
        <v>2193</v>
      </c>
      <c r="I84" s="198" t="s">
        <v>1645</v>
      </c>
      <c r="J84" s="199" t="s">
        <v>111</v>
      </c>
      <c r="K84" s="199" t="s">
        <v>110</v>
      </c>
      <c r="L84" s="874">
        <v>0.5</v>
      </c>
      <c r="M84" s="875" t="s">
        <v>2250</v>
      </c>
      <c r="N84" s="879" t="s">
        <v>2251</v>
      </c>
      <c r="O84" s="879"/>
      <c r="P84" s="877">
        <v>1</v>
      </c>
      <c r="Q84" s="878">
        <v>0.1</v>
      </c>
      <c r="R84" s="877">
        <v>1</v>
      </c>
      <c r="S84" s="877"/>
      <c r="T84" s="765">
        <f t="shared" si="1"/>
        <v>0</v>
      </c>
      <c r="U84" s="218" t="s">
        <v>34</v>
      </c>
      <c r="V84" s="799"/>
      <c r="W84" s="198"/>
    </row>
    <row r="85" spans="1:23" ht="17.55" customHeight="1" x14ac:dyDescent="0.4">
      <c r="A85" s="788">
        <v>84</v>
      </c>
      <c r="B85" s="246" t="s">
        <v>2184</v>
      </c>
      <c r="C85" s="199" t="s">
        <v>24</v>
      </c>
      <c r="D85" s="836">
        <v>1076</v>
      </c>
      <c r="E85" s="245" t="s">
        <v>2225</v>
      </c>
      <c r="F85" s="245" t="s">
        <v>514</v>
      </c>
      <c r="G85" s="253">
        <v>1134</v>
      </c>
      <c r="H85" s="198" t="s">
        <v>2193</v>
      </c>
      <c r="I85" s="198" t="s">
        <v>1645</v>
      </c>
      <c r="J85" s="199" t="s">
        <v>111</v>
      </c>
      <c r="K85" s="199" t="s">
        <v>110</v>
      </c>
      <c r="L85" s="874">
        <v>0.5</v>
      </c>
      <c r="M85" s="875" t="s">
        <v>2252</v>
      </c>
      <c r="N85" s="879" t="s">
        <v>2253</v>
      </c>
      <c r="O85" s="879"/>
      <c r="P85" s="877">
        <v>1</v>
      </c>
      <c r="Q85" s="878">
        <v>0.2</v>
      </c>
      <c r="R85" s="877">
        <v>1</v>
      </c>
      <c r="S85" s="877"/>
      <c r="T85" s="765">
        <f t="shared" si="1"/>
        <v>0</v>
      </c>
      <c r="U85" s="218" t="s">
        <v>34</v>
      </c>
      <c r="V85" s="799"/>
      <c r="W85" s="198"/>
    </row>
    <row r="86" spans="1:23" ht="17.55" customHeight="1" x14ac:dyDescent="0.4">
      <c r="A86" s="788">
        <v>85</v>
      </c>
      <c r="B86" s="187" t="s">
        <v>2184</v>
      </c>
      <c r="C86" s="880" t="s">
        <v>24</v>
      </c>
      <c r="D86" s="881">
        <v>1057</v>
      </c>
      <c r="E86" s="880" t="s">
        <v>2254</v>
      </c>
      <c r="F86" s="880" t="s">
        <v>346</v>
      </c>
      <c r="G86" s="882">
        <v>1000</v>
      </c>
      <c r="H86" s="883" t="s">
        <v>2193</v>
      </c>
      <c r="I86" s="884" t="s">
        <v>28</v>
      </c>
      <c r="J86" s="880" t="s">
        <v>58</v>
      </c>
      <c r="K86" s="880" t="s">
        <v>2035</v>
      </c>
      <c r="L86" s="885">
        <v>0.3</v>
      </c>
      <c r="M86" s="886" t="s">
        <v>1384</v>
      </c>
      <c r="N86" s="887" t="s">
        <v>1385</v>
      </c>
      <c r="O86" s="888"/>
      <c r="P86" s="889">
        <v>10</v>
      </c>
      <c r="Q86" s="890">
        <v>0.1</v>
      </c>
      <c r="R86" s="889">
        <v>10</v>
      </c>
      <c r="S86" s="889"/>
      <c r="T86" s="891">
        <f t="shared" si="1"/>
        <v>0</v>
      </c>
      <c r="U86" s="892" t="s">
        <v>34</v>
      </c>
      <c r="V86" s="1954">
        <f>SUM(T86:T101)%</f>
        <v>0</v>
      </c>
      <c r="W86" s="884"/>
    </row>
    <row r="87" spans="1:23" ht="17.55" customHeight="1" x14ac:dyDescent="0.4">
      <c r="A87" s="788">
        <v>86</v>
      </c>
      <c r="B87" s="246" t="s">
        <v>2184</v>
      </c>
      <c r="C87" s="246" t="s">
        <v>24</v>
      </c>
      <c r="D87" s="893">
        <v>1057</v>
      </c>
      <c r="E87" s="246" t="s">
        <v>2254</v>
      </c>
      <c r="F87" s="246" t="s">
        <v>346</v>
      </c>
      <c r="G87" s="210">
        <v>1000</v>
      </c>
      <c r="H87" s="245" t="s">
        <v>2193</v>
      </c>
      <c r="I87" s="649" t="s">
        <v>28</v>
      </c>
      <c r="J87" s="692" t="s">
        <v>58</v>
      </c>
      <c r="K87" s="692" t="s">
        <v>2035</v>
      </c>
      <c r="L87" s="894">
        <v>0.3</v>
      </c>
      <c r="M87" s="895" t="s">
        <v>1386</v>
      </c>
      <c r="N87" s="896" t="s">
        <v>1387</v>
      </c>
      <c r="O87" s="897"/>
      <c r="P87" s="898">
        <v>3</v>
      </c>
      <c r="Q87" s="899">
        <v>0.03</v>
      </c>
      <c r="R87" s="898">
        <v>3</v>
      </c>
      <c r="S87" s="898"/>
      <c r="T87" s="900">
        <f t="shared" si="1"/>
        <v>0</v>
      </c>
      <c r="U87" s="901" t="s">
        <v>34</v>
      </c>
      <c r="V87" s="902"/>
      <c r="W87" s="649"/>
    </row>
    <row r="88" spans="1:23" ht="17.55" customHeight="1" x14ac:dyDescent="0.4">
      <c r="A88" s="788">
        <v>87</v>
      </c>
      <c r="B88" s="246" t="s">
        <v>2184</v>
      </c>
      <c r="C88" s="246" t="s">
        <v>24</v>
      </c>
      <c r="D88" s="893">
        <v>1057</v>
      </c>
      <c r="E88" s="246" t="s">
        <v>2254</v>
      </c>
      <c r="F88" s="246" t="s">
        <v>346</v>
      </c>
      <c r="G88" s="210">
        <v>1000</v>
      </c>
      <c r="H88" s="245" t="s">
        <v>2193</v>
      </c>
      <c r="I88" s="649" t="s">
        <v>28</v>
      </c>
      <c r="J88" s="692" t="s">
        <v>58</v>
      </c>
      <c r="K88" s="692" t="s">
        <v>2035</v>
      </c>
      <c r="L88" s="894">
        <v>0.3</v>
      </c>
      <c r="M88" s="895" t="s">
        <v>349</v>
      </c>
      <c r="N88" s="896" t="s">
        <v>1388</v>
      </c>
      <c r="O88" s="897"/>
      <c r="P88" s="898">
        <v>10</v>
      </c>
      <c r="Q88" s="899">
        <v>0.1</v>
      </c>
      <c r="R88" s="898">
        <v>10</v>
      </c>
      <c r="S88" s="898"/>
      <c r="T88" s="900">
        <f t="shared" si="1"/>
        <v>0</v>
      </c>
      <c r="U88" s="901" t="s">
        <v>34</v>
      </c>
      <c r="V88" s="902"/>
      <c r="W88" s="649"/>
    </row>
    <row r="89" spans="1:23" ht="17.55" customHeight="1" x14ac:dyDescent="0.4">
      <c r="A89" s="788">
        <v>88</v>
      </c>
      <c r="B89" s="246" t="s">
        <v>2184</v>
      </c>
      <c r="C89" s="246" t="s">
        <v>24</v>
      </c>
      <c r="D89" s="893">
        <v>1057</v>
      </c>
      <c r="E89" s="246" t="s">
        <v>2254</v>
      </c>
      <c r="F89" s="246" t="s">
        <v>346</v>
      </c>
      <c r="G89" s="210">
        <v>1000</v>
      </c>
      <c r="H89" s="245" t="s">
        <v>2193</v>
      </c>
      <c r="I89" s="649" t="s">
        <v>28</v>
      </c>
      <c r="J89" s="692" t="s">
        <v>58</v>
      </c>
      <c r="K89" s="692" t="s">
        <v>2035</v>
      </c>
      <c r="L89" s="894">
        <v>0.3</v>
      </c>
      <c r="M89" s="895" t="s">
        <v>351</v>
      </c>
      <c r="N89" s="896" t="s">
        <v>352</v>
      </c>
      <c r="O89" s="897"/>
      <c r="P89" s="898">
        <v>10</v>
      </c>
      <c r="Q89" s="899">
        <v>0.1</v>
      </c>
      <c r="R89" s="898">
        <v>10</v>
      </c>
      <c r="S89" s="898"/>
      <c r="T89" s="900">
        <f t="shared" si="1"/>
        <v>0</v>
      </c>
      <c r="U89" s="901" t="s">
        <v>34</v>
      </c>
      <c r="V89" s="902"/>
      <c r="W89" s="649"/>
    </row>
    <row r="90" spans="1:23" ht="17.55" customHeight="1" x14ac:dyDescent="0.4">
      <c r="A90" s="788">
        <v>89</v>
      </c>
      <c r="B90" s="246" t="s">
        <v>2184</v>
      </c>
      <c r="C90" s="246" t="s">
        <v>24</v>
      </c>
      <c r="D90" s="893">
        <v>1057</v>
      </c>
      <c r="E90" s="246" t="s">
        <v>2254</v>
      </c>
      <c r="F90" s="246" t="s">
        <v>346</v>
      </c>
      <c r="G90" s="210">
        <v>1000</v>
      </c>
      <c r="H90" s="245" t="s">
        <v>2193</v>
      </c>
      <c r="I90" s="649" t="s">
        <v>28</v>
      </c>
      <c r="J90" s="692" t="s">
        <v>58</v>
      </c>
      <c r="K90" s="692" t="s">
        <v>2035</v>
      </c>
      <c r="L90" s="894">
        <v>0.3</v>
      </c>
      <c r="M90" s="895" t="s">
        <v>353</v>
      </c>
      <c r="N90" s="896" t="s">
        <v>354</v>
      </c>
      <c r="O90" s="897"/>
      <c r="P90" s="898">
        <v>10</v>
      </c>
      <c r="Q90" s="899">
        <v>7.0000000000000007E-2</v>
      </c>
      <c r="R90" s="898">
        <v>10</v>
      </c>
      <c r="S90" s="898"/>
      <c r="T90" s="900">
        <f t="shared" si="1"/>
        <v>0</v>
      </c>
      <c r="U90" s="901" t="s">
        <v>34</v>
      </c>
      <c r="V90" s="902"/>
      <c r="W90" s="649"/>
    </row>
    <row r="91" spans="1:23" ht="17.55" customHeight="1" x14ac:dyDescent="0.4">
      <c r="A91" s="788">
        <v>90</v>
      </c>
      <c r="B91" s="246" t="s">
        <v>2184</v>
      </c>
      <c r="C91" s="246" t="s">
        <v>24</v>
      </c>
      <c r="D91" s="893">
        <v>1057</v>
      </c>
      <c r="E91" s="246" t="s">
        <v>2254</v>
      </c>
      <c r="F91" s="246" t="s">
        <v>346</v>
      </c>
      <c r="G91" s="210">
        <v>1000</v>
      </c>
      <c r="H91" s="245" t="s">
        <v>2193</v>
      </c>
      <c r="I91" s="649" t="s">
        <v>28</v>
      </c>
      <c r="J91" s="692" t="s">
        <v>58</v>
      </c>
      <c r="K91" s="692" t="s">
        <v>2035</v>
      </c>
      <c r="L91" s="894">
        <v>0.3</v>
      </c>
      <c r="M91" s="895" t="s">
        <v>355</v>
      </c>
      <c r="N91" s="896" t="s">
        <v>356</v>
      </c>
      <c r="O91" s="897"/>
      <c r="P91" s="898">
        <v>5</v>
      </c>
      <c r="Q91" s="899">
        <v>0.05</v>
      </c>
      <c r="R91" s="898">
        <v>5</v>
      </c>
      <c r="S91" s="898"/>
      <c r="T91" s="900">
        <f t="shared" si="1"/>
        <v>0</v>
      </c>
      <c r="U91" s="901" t="s">
        <v>34</v>
      </c>
      <c r="V91" s="902"/>
      <c r="W91" s="649"/>
    </row>
    <row r="92" spans="1:23" ht="17.55" customHeight="1" x14ac:dyDescent="0.4">
      <c r="A92" s="788">
        <v>91</v>
      </c>
      <c r="B92" s="246" t="s">
        <v>2184</v>
      </c>
      <c r="C92" s="246" t="s">
        <v>24</v>
      </c>
      <c r="D92" s="893">
        <v>1057</v>
      </c>
      <c r="E92" s="246" t="s">
        <v>2254</v>
      </c>
      <c r="F92" s="246" t="s">
        <v>346</v>
      </c>
      <c r="G92" s="210">
        <v>1000</v>
      </c>
      <c r="H92" s="245" t="s">
        <v>2193</v>
      </c>
      <c r="I92" s="649" t="s">
        <v>28</v>
      </c>
      <c r="J92" s="692" t="s">
        <v>58</v>
      </c>
      <c r="K92" s="692" t="s">
        <v>2035</v>
      </c>
      <c r="L92" s="894">
        <v>0.3</v>
      </c>
      <c r="M92" s="895" t="s">
        <v>357</v>
      </c>
      <c r="N92" s="896" t="s">
        <v>358</v>
      </c>
      <c r="O92" s="897"/>
      <c r="P92" s="898">
        <v>15</v>
      </c>
      <c r="Q92" s="899">
        <v>0.15</v>
      </c>
      <c r="R92" s="898">
        <v>15</v>
      </c>
      <c r="S92" s="898"/>
      <c r="T92" s="900">
        <f t="shared" si="1"/>
        <v>0</v>
      </c>
      <c r="U92" s="901" t="s">
        <v>34</v>
      </c>
      <c r="V92" s="902"/>
      <c r="W92" s="649"/>
    </row>
    <row r="93" spans="1:23" ht="17.55" customHeight="1" x14ac:dyDescent="0.4">
      <c r="A93" s="788">
        <v>92</v>
      </c>
      <c r="B93" s="246" t="s">
        <v>2184</v>
      </c>
      <c r="C93" s="246" t="s">
        <v>24</v>
      </c>
      <c r="D93" s="893">
        <v>1057</v>
      </c>
      <c r="E93" s="246" t="s">
        <v>2254</v>
      </c>
      <c r="F93" s="246" t="s">
        <v>346</v>
      </c>
      <c r="G93" s="210">
        <v>1000</v>
      </c>
      <c r="H93" s="245" t="s">
        <v>2193</v>
      </c>
      <c r="I93" s="649" t="s">
        <v>28</v>
      </c>
      <c r="J93" s="692" t="s">
        <v>58</v>
      </c>
      <c r="K93" s="692" t="s">
        <v>2035</v>
      </c>
      <c r="L93" s="894">
        <v>0.3</v>
      </c>
      <c r="M93" s="895" t="s">
        <v>359</v>
      </c>
      <c r="N93" s="896" t="s">
        <v>360</v>
      </c>
      <c r="O93" s="897"/>
      <c r="P93" s="898">
        <v>10</v>
      </c>
      <c r="Q93" s="899">
        <v>0.1</v>
      </c>
      <c r="R93" s="898">
        <v>10</v>
      </c>
      <c r="S93" s="898"/>
      <c r="T93" s="900">
        <f t="shared" si="1"/>
        <v>0</v>
      </c>
      <c r="U93" s="901" t="s">
        <v>34</v>
      </c>
      <c r="V93" s="902"/>
      <c r="W93" s="649"/>
    </row>
    <row r="94" spans="1:23" ht="17.55" customHeight="1" x14ac:dyDescent="0.4">
      <c r="A94" s="788">
        <v>93</v>
      </c>
      <c r="B94" s="246" t="s">
        <v>2184</v>
      </c>
      <c r="C94" s="246" t="s">
        <v>24</v>
      </c>
      <c r="D94" s="893">
        <v>1057</v>
      </c>
      <c r="E94" s="246" t="s">
        <v>2254</v>
      </c>
      <c r="F94" s="246" t="s">
        <v>346</v>
      </c>
      <c r="G94" s="210">
        <v>1000</v>
      </c>
      <c r="H94" s="245" t="s">
        <v>2193</v>
      </c>
      <c r="I94" s="649" t="s">
        <v>28</v>
      </c>
      <c r="J94" s="692" t="s">
        <v>58</v>
      </c>
      <c r="K94" s="692" t="s">
        <v>2035</v>
      </c>
      <c r="L94" s="894">
        <v>0.3</v>
      </c>
      <c r="M94" s="895" t="s">
        <v>347</v>
      </c>
      <c r="N94" s="896" t="s">
        <v>348</v>
      </c>
      <c r="O94" s="897"/>
      <c r="P94" s="898">
        <v>10</v>
      </c>
      <c r="Q94" s="899">
        <v>0.1</v>
      </c>
      <c r="R94" s="898">
        <v>10</v>
      </c>
      <c r="S94" s="898"/>
      <c r="T94" s="900">
        <f t="shared" si="1"/>
        <v>0</v>
      </c>
      <c r="U94" s="901" t="s">
        <v>34</v>
      </c>
      <c r="V94" s="902"/>
      <c r="W94" s="649"/>
    </row>
    <row r="95" spans="1:23" ht="17.55" customHeight="1" x14ac:dyDescent="0.4">
      <c r="A95" s="788">
        <v>94</v>
      </c>
      <c r="B95" s="246" t="s">
        <v>2184</v>
      </c>
      <c r="C95" s="246" t="s">
        <v>24</v>
      </c>
      <c r="D95" s="893">
        <v>1057</v>
      </c>
      <c r="E95" s="246" t="s">
        <v>2254</v>
      </c>
      <c r="F95" s="246" t="s">
        <v>346</v>
      </c>
      <c r="G95" s="210">
        <v>1000</v>
      </c>
      <c r="H95" s="245" t="s">
        <v>2193</v>
      </c>
      <c r="I95" s="649" t="s">
        <v>28</v>
      </c>
      <c r="J95" s="692" t="s">
        <v>58</v>
      </c>
      <c r="K95" s="692" t="s">
        <v>2035</v>
      </c>
      <c r="L95" s="894">
        <v>0.3</v>
      </c>
      <c r="M95" s="895" t="s">
        <v>362</v>
      </c>
      <c r="N95" s="896" t="s">
        <v>1389</v>
      </c>
      <c r="O95" s="897"/>
      <c r="P95" s="898">
        <v>10</v>
      </c>
      <c r="Q95" s="899">
        <v>0.05</v>
      </c>
      <c r="R95" s="898">
        <v>10</v>
      </c>
      <c r="S95" s="898"/>
      <c r="T95" s="900">
        <f t="shared" si="1"/>
        <v>0</v>
      </c>
      <c r="U95" s="901" t="s">
        <v>34</v>
      </c>
      <c r="V95" s="902"/>
      <c r="W95" s="649"/>
    </row>
    <row r="96" spans="1:23" ht="17.55" customHeight="1" x14ac:dyDescent="0.4">
      <c r="A96" s="788">
        <v>95</v>
      </c>
      <c r="B96" s="246" t="s">
        <v>2184</v>
      </c>
      <c r="C96" s="246" t="s">
        <v>24</v>
      </c>
      <c r="D96" s="893">
        <v>1057</v>
      </c>
      <c r="E96" s="246" t="s">
        <v>2254</v>
      </c>
      <c r="F96" s="246" t="s">
        <v>346</v>
      </c>
      <c r="G96" s="210">
        <v>1000</v>
      </c>
      <c r="H96" s="245" t="s">
        <v>2193</v>
      </c>
      <c r="I96" s="649" t="s">
        <v>28</v>
      </c>
      <c r="J96" s="692" t="s">
        <v>58</v>
      </c>
      <c r="K96" s="692" t="s">
        <v>2035</v>
      </c>
      <c r="L96" s="894">
        <v>0.3</v>
      </c>
      <c r="M96" s="895" t="s">
        <v>367</v>
      </c>
      <c r="N96" s="896" t="s">
        <v>368</v>
      </c>
      <c r="O96" s="897"/>
      <c r="P96" s="898">
        <v>10</v>
      </c>
      <c r="Q96" s="899">
        <v>0.05</v>
      </c>
      <c r="R96" s="898">
        <v>10</v>
      </c>
      <c r="S96" s="898"/>
      <c r="T96" s="900">
        <f t="shared" si="1"/>
        <v>0</v>
      </c>
      <c r="U96" s="901" t="s">
        <v>34</v>
      </c>
      <c r="V96" s="902"/>
      <c r="W96" s="649"/>
    </row>
    <row r="97" spans="1:23" ht="17.55" customHeight="1" x14ac:dyDescent="0.4">
      <c r="A97" s="788">
        <v>96</v>
      </c>
      <c r="B97" s="246" t="s">
        <v>2184</v>
      </c>
      <c r="C97" s="246" t="s">
        <v>24</v>
      </c>
      <c r="D97" s="893">
        <v>1057</v>
      </c>
      <c r="E97" s="246" t="s">
        <v>2254</v>
      </c>
      <c r="F97" s="246" t="s">
        <v>346</v>
      </c>
      <c r="G97" s="210">
        <v>1000</v>
      </c>
      <c r="H97" s="245" t="s">
        <v>2193</v>
      </c>
      <c r="I97" s="649" t="s">
        <v>28</v>
      </c>
      <c r="J97" s="692" t="s">
        <v>58</v>
      </c>
      <c r="K97" s="692" t="s">
        <v>2035</v>
      </c>
      <c r="L97" s="894">
        <v>0.3</v>
      </c>
      <c r="M97" s="895" t="s">
        <v>390</v>
      </c>
      <c r="N97" s="896" t="s">
        <v>1390</v>
      </c>
      <c r="O97" s="897"/>
      <c r="P97" s="898">
        <v>5</v>
      </c>
      <c r="Q97" s="899">
        <v>0.05</v>
      </c>
      <c r="R97" s="898">
        <v>5</v>
      </c>
      <c r="S97" s="898"/>
      <c r="T97" s="900">
        <f t="shared" si="1"/>
        <v>0</v>
      </c>
      <c r="U97" s="901" t="s">
        <v>34</v>
      </c>
      <c r="V97" s="902"/>
      <c r="W97" s="649"/>
    </row>
    <row r="98" spans="1:23" ht="17.55" customHeight="1" x14ac:dyDescent="0.4">
      <c r="A98" s="788">
        <v>97</v>
      </c>
      <c r="B98" s="246" t="s">
        <v>2184</v>
      </c>
      <c r="C98" s="246" t="s">
        <v>24</v>
      </c>
      <c r="D98" s="893">
        <v>1057</v>
      </c>
      <c r="E98" s="246" t="s">
        <v>2254</v>
      </c>
      <c r="F98" s="246" t="s">
        <v>346</v>
      </c>
      <c r="G98" s="210">
        <v>1000</v>
      </c>
      <c r="H98" s="245" t="s">
        <v>2193</v>
      </c>
      <c r="I98" s="649" t="s">
        <v>28</v>
      </c>
      <c r="J98" s="692" t="s">
        <v>58</v>
      </c>
      <c r="K98" s="692" t="s">
        <v>2035</v>
      </c>
      <c r="L98" s="894">
        <v>0.3</v>
      </c>
      <c r="M98" s="895" t="s">
        <v>1391</v>
      </c>
      <c r="N98" s="896" t="s">
        <v>1392</v>
      </c>
      <c r="O98" s="897"/>
      <c r="P98" s="898">
        <v>5</v>
      </c>
      <c r="Q98" s="899">
        <v>0.05</v>
      </c>
      <c r="R98" s="898">
        <v>5</v>
      </c>
      <c r="S98" s="898"/>
      <c r="T98" s="900">
        <f t="shared" si="1"/>
        <v>0</v>
      </c>
      <c r="U98" s="901" t="s">
        <v>34</v>
      </c>
      <c r="V98" s="902"/>
      <c r="W98" s="649"/>
    </row>
    <row r="99" spans="1:23" ht="17.55" customHeight="1" x14ac:dyDescent="0.4">
      <c r="A99" s="788">
        <v>98</v>
      </c>
      <c r="B99" s="246" t="s">
        <v>2184</v>
      </c>
      <c r="C99" s="246" t="s">
        <v>24</v>
      </c>
      <c r="D99" s="893">
        <v>1057</v>
      </c>
      <c r="E99" s="246" t="s">
        <v>2254</v>
      </c>
      <c r="F99" s="246" t="s">
        <v>346</v>
      </c>
      <c r="G99" s="210">
        <v>1000</v>
      </c>
      <c r="H99" s="245" t="s">
        <v>2193</v>
      </c>
      <c r="I99" s="649" t="s">
        <v>28</v>
      </c>
      <c r="J99" s="199" t="s">
        <v>111</v>
      </c>
      <c r="K99" s="199" t="s">
        <v>110</v>
      </c>
      <c r="L99" s="903">
        <v>0.7</v>
      </c>
      <c r="M99" s="904" t="s">
        <v>373</v>
      </c>
      <c r="N99" s="905" t="s">
        <v>374</v>
      </c>
      <c r="O99" s="906"/>
      <c r="P99" s="907">
        <v>40</v>
      </c>
      <c r="Q99" s="908">
        <v>0.4</v>
      </c>
      <c r="R99" s="907">
        <v>40</v>
      </c>
      <c r="S99" s="907"/>
      <c r="T99" s="909">
        <f t="shared" si="1"/>
        <v>0</v>
      </c>
      <c r="U99" s="910" t="s">
        <v>34</v>
      </c>
      <c r="V99" s="911"/>
      <c r="W99" s="649"/>
    </row>
    <row r="100" spans="1:23" ht="17.55" customHeight="1" x14ac:dyDescent="0.4">
      <c r="A100" s="788">
        <v>99</v>
      </c>
      <c r="B100" s="246" t="s">
        <v>2184</v>
      </c>
      <c r="C100" s="246" t="s">
        <v>24</v>
      </c>
      <c r="D100" s="893">
        <v>1057</v>
      </c>
      <c r="E100" s="246" t="s">
        <v>2254</v>
      </c>
      <c r="F100" s="246" t="s">
        <v>346</v>
      </c>
      <c r="G100" s="210">
        <v>1000</v>
      </c>
      <c r="H100" s="245" t="s">
        <v>2193</v>
      </c>
      <c r="I100" s="649" t="s">
        <v>28</v>
      </c>
      <c r="J100" s="199" t="s">
        <v>111</v>
      </c>
      <c r="K100" s="199" t="s">
        <v>110</v>
      </c>
      <c r="L100" s="903">
        <v>0.7</v>
      </c>
      <c r="M100" s="904" t="s">
        <v>376</v>
      </c>
      <c r="N100" s="905" t="s">
        <v>377</v>
      </c>
      <c r="O100" s="906"/>
      <c r="P100" s="907">
        <v>40</v>
      </c>
      <c r="Q100" s="908">
        <v>0.4</v>
      </c>
      <c r="R100" s="907">
        <v>40</v>
      </c>
      <c r="S100" s="907"/>
      <c r="T100" s="909">
        <f t="shared" si="1"/>
        <v>0</v>
      </c>
      <c r="U100" s="910" t="s">
        <v>34</v>
      </c>
      <c r="V100" s="911"/>
      <c r="W100" s="649"/>
    </row>
    <row r="101" spans="1:23" ht="17.55" customHeight="1" x14ac:dyDescent="0.4">
      <c r="A101" s="788">
        <v>100</v>
      </c>
      <c r="B101" s="246" t="s">
        <v>2184</v>
      </c>
      <c r="C101" s="246" t="s">
        <v>24</v>
      </c>
      <c r="D101" s="893">
        <v>1057</v>
      </c>
      <c r="E101" s="246" t="s">
        <v>2254</v>
      </c>
      <c r="F101" s="246" t="s">
        <v>346</v>
      </c>
      <c r="G101" s="210">
        <v>1000</v>
      </c>
      <c r="H101" s="245" t="s">
        <v>2193</v>
      </c>
      <c r="I101" s="649" t="s">
        <v>28</v>
      </c>
      <c r="J101" s="199" t="s">
        <v>111</v>
      </c>
      <c r="K101" s="199" t="s">
        <v>110</v>
      </c>
      <c r="L101" s="903">
        <v>0.7</v>
      </c>
      <c r="M101" s="904" t="s">
        <v>396</v>
      </c>
      <c r="N101" s="905" t="s">
        <v>1393</v>
      </c>
      <c r="O101" s="906"/>
      <c r="P101" s="907">
        <v>20</v>
      </c>
      <c r="Q101" s="908">
        <v>0.2</v>
      </c>
      <c r="R101" s="907">
        <v>20</v>
      </c>
      <c r="S101" s="907"/>
      <c r="T101" s="909">
        <f t="shared" si="1"/>
        <v>0</v>
      </c>
      <c r="U101" s="910" t="s">
        <v>34</v>
      </c>
      <c r="V101" s="911"/>
      <c r="W101" s="649"/>
    </row>
    <row r="102" spans="1:23" ht="17.55" customHeight="1" x14ac:dyDescent="0.4">
      <c r="A102" s="788">
        <v>101</v>
      </c>
      <c r="B102" s="187" t="s">
        <v>2184</v>
      </c>
      <c r="C102" s="880" t="s">
        <v>24</v>
      </c>
      <c r="D102" s="881">
        <v>1005</v>
      </c>
      <c r="E102" s="880" t="s">
        <v>2255</v>
      </c>
      <c r="F102" s="880" t="s">
        <v>2256</v>
      </c>
      <c r="G102" s="882">
        <v>1057</v>
      </c>
      <c r="H102" s="883" t="s">
        <v>2254</v>
      </c>
      <c r="I102" s="883" t="s">
        <v>28</v>
      </c>
      <c r="J102" s="880" t="s">
        <v>58</v>
      </c>
      <c r="K102" s="880" t="s">
        <v>2035</v>
      </c>
      <c r="L102" s="885">
        <v>0.5</v>
      </c>
      <c r="M102" s="886" t="s">
        <v>1386</v>
      </c>
      <c r="N102" s="887" t="s">
        <v>1387</v>
      </c>
      <c r="O102" s="888"/>
      <c r="P102" s="889">
        <v>5</v>
      </c>
      <c r="Q102" s="890">
        <v>0.05</v>
      </c>
      <c r="R102" s="889">
        <v>5</v>
      </c>
      <c r="S102" s="889"/>
      <c r="T102" s="891">
        <f t="shared" si="1"/>
        <v>0</v>
      </c>
      <c r="U102" s="892" t="s">
        <v>34</v>
      </c>
      <c r="V102" s="1954">
        <f>SUM(T102:T113)%</f>
        <v>0</v>
      </c>
      <c r="W102" s="883"/>
    </row>
    <row r="103" spans="1:23" ht="17.55" customHeight="1" x14ac:dyDescent="0.4">
      <c r="A103" s="788">
        <v>102</v>
      </c>
      <c r="B103" s="246" t="s">
        <v>2184</v>
      </c>
      <c r="C103" s="246" t="s">
        <v>24</v>
      </c>
      <c r="D103" s="893">
        <v>1005</v>
      </c>
      <c r="E103" s="246" t="s">
        <v>2255</v>
      </c>
      <c r="F103" s="246" t="s">
        <v>2256</v>
      </c>
      <c r="G103" s="210">
        <v>1057</v>
      </c>
      <c r="H103" s="198" t="s">
        <v>2254</v>
      </c>
      <c r="I103" s="198" t="s">
        <v>28</v>
      </c>
      <c r="J103" s="692" t="s">
        <v>58</v>
      </c>
      <c r="K103" s="692" t="s">
        <v>2035</v>
      </c>
      <c r="L103" s="894">
        <v>0.5</v>
      </c>
      <c r="M103" s="895" t="s">
        <v>351</v>
      </c>
      <c r="N103" s="896" t="s">
        <v>352</v>
      </c>
      <c r="O103" s="897"/>
      <c r="P103" s="898">
        <v>15</v>
      </c>
      <c r="Q103" s="899">
        <v>0.15</v>
      </c>
      <c r="R103" s="898">
        <v>15</v>
      </c>
      <c r="S103" s="898"/>
      <c r="T103" s="900">
        <f t="shared" si="1"/>
        <v>0</v>
      </c>
      <c r="U103" s="901" t="s">
        <v>34</v>
      </c>
      <c r="V103" s="902"/>
      <c r="W103" s="198"/>
    </row>
    <row r="104" spans="1:23" ht="17.55" customHeight="1" x14ac:dyDescent="0.4">
      <c r="A104" s="788">
        <v>103</v>
      </c>
      <c r="B104" s="246" t="s">
        <v>2184</v>
      </c>
      <c r="C104" s="246" t="s">
        <v>24</v>
      </c>
      <c r="D104" s="893">
        <v>1005</v>
      </c>
      <c r="E104" s="246" t="s">
        <v>2255</v>
      </c>
      <c r="F104" s="246" t="s">
        <v>2256</v>
      </c>
      <c r="G104" s="210">
        <v>1057</v>
      </c>
      <c r="H104" s="198" t="s">
        <v>2254</v>
      </c>
      <c r="I104" s="198" t="s">
        <v>28</v>
      </c>
      <c r="J104" s="692" t="s">
        <v>58</v>
      </c>
      <c r="K104" s="692" t="s">
        <v>2035</v>
      </c>
      <c r="L104" s="894">
        <v>0.5</v>
      </c>
      <c r="M104" s="895" t="s">
        <v>381</v>
      </c>
      <c r="N104" s="896" t="s">
        <v>382</v>
      </c>
      <c r="O104" s="897"/>
      <c r="P104" s="898">
        <v>15</v>
      </c>
      <c r="Q104" s="899">
        <v>0.15</v>
      </c>
      <c r="R104" s="898">
        <v>15</v>
      </c>
      <c r="S104" s="898"/>
      <c r="T104" s="900">
        <f t="shared" si="1"/>
        <v>0</v>
      </c>
      <c r="U104" s="901" t="s">
        <v>34</v>
      </c>
      <c r="V104" s="902"/>
      <c r="W104" s="198"/>
    </row>
    <row r="105" spans="1:23" ht="17.55" customHeight="1" x14ac:dyDescent="0.4">
      <c r="A105" s="788">
        <v>104</v>
      </c>
      <c r="B105" s="246" t="s">
        <v>2184</v>
      </c>
      <c r="C105" s="246" t="s">
        <v>24</v>
      </c>
      <c r="D105" s="893">
        <v>1005</v>
      </c>
      <c r="E105" s="246" t="s">
        <v>2255</v>
      </c>
      <c r="F105" s="246" t="s">
        <v>2256</v>
      </c>
      <c r="G105" s="210">
        <v>1057</v>
      </c>
      <c r="H105" s="198" t="s">
        <v>2254</v>
      </c>
      <c r="I105" s="198" t="s">
        <v>28</v>
      </c>
      <c r="J105" s="692" t="s">
        <v>58</v>
      </c>
      <c r="K105" s="692" t="s">
        <v>2035</v>
      </c>
      <c r="L105" s="894">
        <v>0.5</v>
      </c>
      <c r="M105" s="895" t="s">
        <v>384</v>
      </c>
      <c r="N105" s="896" t="s">
        <v>385</v>
      </c>
      <c r="O105" s="897"/>
      <c r="P105" s="898">
        <v>5</v>
      </c>
      <c r="Q105" s="899">
        <v>0.05</v>
      </c>
      <c r="R105" s="898">
        <v>5</v>
      </c>
      <c r="S105" s="898"/>
      <c r="T105" s="900">
        <f t="shared" si="1"/>
        <v>0</v>
      </c>
      <c r="U105" s="901" t="s">
        <v>34</v>
      </c>
      <c r="V105" s="902"/>
      <c r="W105" s="198"/>
    </row>
    <row r="106" spans="1:23" ht="17.55" customHeight="1" x14ac:dyDescent="0.4">
      <c r="A106" s="788">
        <v>105</v>
      </c>
      <c r="B106" s="246" t="s">
        <v>2184</v>
      </c>
      <c r="C106" s="246" t="s">
        <v>24</v>
      </c>
      <c r="D106" s="893">
        <v>1005</v>
      </c>
      <c r="E106" s="246" t="s">
        <v>2255</v>
      </c>
      <c r="F106" s="246" t="s">
        <v>2256</v>
      </c>
      <c r="G106" s="210">
        <v>1057</v>
      </c>
      <c r="H106" s="198" t="s">
        <v>2254</v>
      </c>
      <c r="I106" s="198" t="s">
        <v>28</v>
      </c>
      <c r="J106" s="692" t="s">
        <v>58</v>
      </c>
      <c r="K106" s="692" t="s">
        <v>2035</v>
      </c>
      <c r="L106" s="894">
        <v>0.5</v>
      </c>
      <c r="M106" s="895" t="s">
        <v>2257</v>
      </c>
      <c r="N106" s="896" t="s">
        <v>2258</v>
      </c>
      <c r="O106" s="897"/>
      <c r="P106" s="898">
        <v>15</v>
      </c>
      <c r="Q106" s="899">
        <v>0.15</v>
      </c>
      <c r="R106" s="898">
        <v>15</v>
      </c>
      <c r="S106" s="898"/>
      <c r="T106" s="900">
        <f t="shared" si="1"/>
        <v>0</v>
      </c>
      <c r="U106" s="901" t="s">
        <v>34</v>
      </c>
      <c r="V106" s="902"/>
      <c r="W106" s="198"/>
    </row>
    <row r="107" spans="1:23" ht="17.55" customHeight="1" x14ac:dyDescent="0.4">
      <c r="A107" s="788">
        <v>106</v>
      </c>
      <c r="B107" s="246" t="s">
        <v>2184</v>
      </c>
      <c r="C107" s="246" t="s">
        <v>24</v>
      </c>
      <c r="D107" s="893">
        <v>1005</v>
      </c>
      <c r="E107" s="246" t="s">
        <v>2255</v>
      </c>
      <c r="F107" s="246" t="s">
        <v>2256</v>
      </c>
      <c r="G107" s="210">
        <v>1057</v>
      </c>
      <c r="H107" s="198" t="s">
        <v>2254</v>
      </c>
      <c r="I107" s="198" t="s">
        <v>28</v>
      </c>
      <c r="J107" s="692" t="s">
        <v>58</v>
      </c>
      <c r="K107" s="692" t="s">
        <v>2035</v>
      </c>
      <c r="L107" s="894">
        <v>0.5</v>
      </c>
      <c r="M107" s="895" t="s">
        <v>347</v>
      </c>
      <c r="N107" s="896" t="s">
        <v>348</v>
      </c>
      <c r="O107" s="897"/>
      <c r="P107" s="898">
        <v>10</v>
      </c>
      <c r="Q107" s="899">
        <v>0.1</v>
      </c>
      <c r="R107" s="898">
        <v>10</v>
      </c>
      <c r="S107" s="898"/>
      <c r="T107" s="900">
        <f t="shared" si="1"/>
        <v>0</v>
      </c>
      <c r="U107" s="901" t="s">
        <v>34</v>
      </c>
      <c r="V107" s="902"/>
      <c r="W107" s="198"/>
    </row>
    <row r="108" spans="1:23" ht="17.55" customHeight="1" x14ac:dyDescent="0.4">
      <c r="A108" s="788">
        <v>107</v>
      </c>
      <c r="B108" s="246" t="s">
        <v>2184</v>
      </c>
      <c r="C108" s="246" t="s">
        <v>24</v>
      </c>
      <c r="D108" s="893">
        <v>1005</v>
      </c>
      <c r="E108" s="246" t="s">
        <v>2255</v>
      </c>
      <c r="F108" s="246" t="s">
        <v>2256</v>
      </c>
      <c r="G108" s="210">
        <v>1057</v>
      </c>
      <c r="H108" s="198" t="s">
        <v>2254</v>
      </c>
      <c r="I108" s="198" t="s">
        <v>28</v>
      </c>
      <c r="J108" s="692" t="s">
        <v>58</v>
      </c>
      <c r="K108" s="692" t="s">
        <v>2035</v>
      </c>
      <c r="L108" s="894">
        <v>0.5</v>
      </c>
      <c r="M108" s="895" t="s">
        <v>387</v>
      </c>
      <c r="N108" s="896" t="s">
        <v>388</v>
      </c>
      <c r="O108" s="897"/>
      <c r="P108" s="898">
        <v>15</v>
      </c>
      <c r="Q108" s="899">
        <v>0.15</v>
      </c>
      <c r="R108" s="898">
        <v>15</v>
      </c>
      <c r="S108" s="898"/>
      <c r="T108" s="900">
        <f t="shared" si="1"/>
        <v>0</v>
      </c>
      <c r="U108" s="901" t="s">
        <v>34</v>
      </c>
      <c r="V108" s="902"/>
      <c r="W108" s="198"/>
    </row>
    <row r="109" spans="1:23" ht="17.55" customHeight="1" x14ac:dyDescent="0.4">
      <c r="A109" s="788">
        <v>108</v>
      </c>
      <c r="B109" s="246" t="s">
        <v>2184</v>
      </c>
      <c r="C109" s="246" t="s">
        <v>24</v>
      </c>
      <c r="D109" s="893">
        <v>1005</v>
      </c>
      <c r="E109" s="246" t="s">
        <v>2255</v>
      </c>
      <c r="F109" s="246" t="s">
        <v>2256</v>
      </c>
      <c r="G109" s="210">
        <v>1057</v>
      </c>
      <c r="H109" s="198" t="s">
        <v>2254</v>
      </c>
      <c r="I109" s="198" t="s">
        <v>28</v>
      </c>
      <c r="J109" s="692" t="s">
        <v>58</v>
      </c>
      <c r="K109" s="692" t="s">
        <v>2035</v>
      </c>
      <c r="L109" s="894">
        <v>0.5</v>
      </c>
      <c r="M109" s="895" t="s">
        <v>390</v>
      </c>
      <c r="N109" s="896" t="s">
        <v>1390</v>
      </c>
      <c r="O109" s="897"/>
      <c r="P109" s="898">
        <v>10</v>
      </c>
      <c r="Q109" s="899">
        <v>0.1</v>
      </c>
      <c r="R109" s="898">
        <v>10</v>
      </c>
      <c r="S109" s="898"/>
      <c r="T109" s="900">
        <f t="shared" si="1"/>
        <v>0</v>
      </c>
      <c r="U109" s="901" t="s">
        <v>34</v>
      </c>
      <c r="V109" s="902"/>
      <c r="W109" s="198"/>
    </row>
    <row r="110" spans="1:23" ht="17.55" customHeight="1" x14ac:dyDescent="0.4">
      <c r="A110" s="788">
        <v>109</v>
      </c>
      <c r="B110" s="246" t="s">
        <v>2184</v>
      </c>
      <c r="C110" s="246" t="s">
        <v>24</v>
      </c>
      <c r="D110" s="893">
        <v>1005</v>
      </c>
      <c r="E110" s="246" t="s">
        <v>2255</v>
      </c>
      <c r="F110" s="246" t="s">
        <v>2256</v>
      </c>
      <c r="G110" s="210">
        <v>1057</v>
      </c>
      <c r="H110" s="198" t="s">
        <v>2254</v>
      </c>
      <c r="I110" s="198" t="s">
        <v>28</v>
      </c>
      <c r="J110" s="692" t="s">
        <v>58</v>
      </c>
      <c r="K110" s="692" t="s">
        <v>2035</v>
      </c>
      <c r="L110" s="894">
        <v>0.5</v>
      </c>
      <c r="M110" s="895" t="s">
        <v>392</v>
      </c>
      <c r="N110" s="896" t="s">
        <v>393</v>
      </c>
      <c r="O110" s="897"/>
      <c r="P110" s="898">
        <v>10</v>
      </c>
      <c r="Q110" s="899">
        <v>0.1</v>
      </c>
      <c r="R110" s="898">
        <v>10</v>
      </c>
      <c r="S110" s="898"/>
      <c r="T110" s="900">
        <f t="shared" si="1"/>
        <v>0</v>
      </c>
      <c r="U110" s="901" t="s">
        <v>34</v>
      </c>
      <c r="V110" s="902"/>
      <c r="W110" s="198"/>
    </row>
    <row r="111" spans="1:23" ht="17.55" customHeight="1" x14ac:dyDescent="0.4">
      <c r="A111" s="788">
        <v>110</v>
      </c>
      <c r="B111" s="246" t="s">
        <v>2184</v>
      </c>
      <c r="C111" s="246" t="s">
        <v>24</v>
      </c>
      <c r="D111" s="893">
        <v>1005</v>
      </c>
      <c r="E111" s="246" t="s">
        <v>2255</v>
      </c>
      <c r="F111" s="246" t="s">
        <v>2256</v>
      </c>
      <c r="G111" s="210">
        <v>1057</v>
      </c>
      <c r="H111" s="198" t="s">
        <v>2254</v>
      </c>
      <c r="I111" s="198" t="s">
        <v>28</v>
      </c>
      <c r="J111" s="199" t="s">
        <v>111</v>
      </c>
      <c r="K111" s="199" t="s">
        <v>110</v>
      </c>
      <c r="L111" s="903">
        <v>0.5</v>
      </c>
      <c r="M111" s="904" t="s">
        <v>373</v>
      </c>
      <c r="N111" s="905" t="s">
        <v>374</v>
      </c>
      <c r="O111" s="912"/>
      <c r="P111" s="913">
        <v>40</v>
      </c>
      <c r="Q111" s="914">
        <v>0.4</v>
      </c>
      <c r="R111" s="913">
        <v>40</v>
      </c>
      <c r="S111" s="913"/>
      <c r="T111" s="909">
        <f t="shared" si="1"/>
        <v>0</v>
      </c>
      <c r="U111" s="910" t="s">
        <v>34</v>
      </c>
      <c r="V111" s="911"/>
      <c r="W111" s="198"/>
    </row>
    <row r="112" spans="1:23" ht="17.55" customHeight="1" x14ac:dyDescent="0.4">
      <c r="A112" s="788">
        <v>111</v>
      </c>
      <c r="B112" s="246" t="s">
        <v>2184</v>
      </c>
      <c r="C112" s="246" t="s">
        <v>24</v>
      </c>
      <c r="D112" s="893">
        <v>1005</v>
      </c>
      <c r="E112" s="246" t="s">
        <v>2255</v>
      </c>
      <c r="F112" s="246" t="s">
        <v>2256</v>
      </c>
      <c r="G112" s="210">
        <v>1057</v>
      </c>
      <c r="H112" s="198" t="s">
        <v>2254</v>
      </c>
      <c r="I112" s="198" t="s">
        <v>28</v>
      </c>
      <c r="J112" s="199" t="s">
        <v>111</v>
      </c>
      <c r="K112" s="199" t="s">
        <v>110</v>
      </c>
      <c r="L112" s="903">
        <v>0.5</v>
      </c>
      <c r="M112" s="904" t="s">
        <v>376</v>
      </c>
      <c r="N112" s="905" t="s">
        <v>377</v>
      </c>
      <c r="O112" s="912"/>
      <c r="P112" s="913">
        <v>40</v>
      </c>
      <c r="Q112" s="914">
        <v>0.4</v>
      </c>
      <c r="R112" s="913">
        <v>40</v>
      </c>
      <c r="S112" s="913"/>
      <c r="T112" s="909">
        <f t="shared" si="1"/>
        <v>0</v>
      </c>
      <c r="U112" s="910" t="s">
        <v>34</v>
      </c>
      <c r="V112" s="911"/>
      <c r="W112" s="198"/>
    </row>
    <row r="113" spans="1:23" ht="17.55" customHeight="1" x14ac:dyDescent="0.4">
      <c r="A113" s="788">
        <v>112</v>
      </c>
      <c r="B113" s="246" t="s">
        <v>2184</v>
      </c>
      <c r="C113" s="246" t="s">
        <v>24</v>
      </c>
      <c r="D113" s="893">
        <v>1005</v>
      </c>
      <c r="E113" s="246" t="s">
        <v>2255</v>
      </c>
      <c r="F113" s="246" t="s">
        <v>2256</v>
      </c>
      <c r="G113" s="210">
        <v>1057</v>
      </c>
      <c r="H113" s="198" t="s">
        <v>2254</v>
      </c>
      <c r="I113" s="198" t="s">
        <v>28</v>
      </c>
      <c r="J113" s="199" t="s">
        <v>111</v>
      </c>
      <c r="K113" s="199" t="s">
        <v>110</v>
      </c>
      <c r="L113" s="903">
        <v>0.5</v>
      </c>
      <c r="M113" s="904" t="s">
        <v>396</v>
      </c>
      <c r="N113" s="905" t="s">
        <v>1393</v>
      </c>
      <c r="O113" s="912"/>
      <c r="P113" s="913">
        <v>20</v>
      </c>
      <c r="Q113" s="914">
        <v>0.2</v>
      </c>
      <c r="R113" s="913">
        <v>20</v>
      </c>
      <c r="S113" s="913"/>
      <c r="T113" s="909">
        <f t="shared" si="1"/>
        <v>0</v>
      </c>
      <c r="U113" s="910" t="s">
        <v>34</v>
      </c>
      <c r="V113" s="911"/>
      <c r="W113" s="198"/>
    </row>
    <row r="114" spans="1:23" ht="17.55" customHeight="1" x14ac:dyDescent="0.4">
      <c r="A114" s="788">
        <v>113</v>
      </c>
      <c r="B114" s="187" t="s">
        <v>2184</v>
      </c>
      <c r="C114" s="880" t="s">
        <v>24</v>
      </c>
      <c r="D114" s="881">
        <v>1114</v>
      </c>
      <c r="E114" s="880" t="s">
        <v>2259</v>
      </c>
      <c r="F114" s="880" t="s">
        <v>2260</v>
      </c>
      <c r="G114" s="882">
        <v>1057</v>
      </c>
      <c r="H114" s="883" t="s">
        <v>2254</v>
      </c>
      <c r="I114" s="883" t="s">
        <v>28</v>
      </c>
      <c r="J114" s="880" t="s">
        <v>58</v>
      </c>
      <c r="K114" s="880" t="s">
        <v>2035</v>
      </c>
      <c r="L114" s="915">
        <v>0.5</v>
      </c>
      <c r="M114" s="886" t="s">
        <v>1386</v>
      </c>
      <c r="N114" s="887" t="s">
        <v>1387</v>
      </c>
      <c r="O114" s="888"/>
      <c r="P114" s="889">
        <v>5</v>
      </c>
      <c r="Q114" s="890">
        <v>0.05</v>
      </c>
      <c r="R114" s="889">
        <v>5</v>
      </c>
      <c r="S114" s="889"/>
      <c r="T114" s="891">
        <f t="shared" si="1"/>
        <v>0</v>
      </c>
      <c r="U114" s="892" t="s">
        <v>34</v>
      </c>
      <c r="V114" s="1954">
        <f>SUM(T114:T125)%</f>
        <v>0</v>
      </c>
      <c r="W114" s="883"/>
    </row>
    <row r="115" spans="1:23" ht="17.55" customHeight="1" x14ac:dyDescent="0.4">
      <c r="A115" s="788">
        <v>114</v>
      </c>
      <c r="B115" s="246" t="s">
        <v>2184</v>
      </c>
      <c r="C115" s="246" t="s">
        <v>24</v>
      </c>
      <c r="D115" s="893">
        <v>1114</v>
      </c>
      <c r="E115" s="246" t="s">
        <v>2259</v>
      </c>
      <c r="F115" s="246" t="s">
        <v>2260</v>
      </c>
      <c r="G115" s="210">
        <v>1057</v>
      </c>
      <c r="H115" s="198" t="s">
        <v>2254</v>
      </c>
      <c r="I115" s="198" t="s">
        <v>28</v>
      </c>
      <c r="J115" s="692" t="s">
        <v>58</v>
      </c>
      <c r="K115" s="692" t="s">
        <v>2035</v>
      </c>
      <c r="L115" s="894">
        <v>0.5</v>
      </c>
      <c r="M115" s="895" t="s">
        <v>351</v>
      </c>
      <c r="N115" s="896" t="s">
        <v>352</v>
      </c>
      <c r="O115" s="897"/>
      <c r="P115" s="898">
        <v>15</v>
      </c>
      <c r="Q115" s="899">
        <v>0.15</v>
      </c>
      <c r="R115" s="898">
        <v>15</v>
      </c>
      <c r="S115" s="898"/>
      <c r="T115" s="900">
        <f t="shared" si="1"/>
        <v>0</v>
      </c>
      <c r="U115" s="901" t="s">
        <v>34</v>
      </c>
      <c r="V115" s="902"/>
      <c r="W115" s="198"/>
    </row>
    <row r="116" spans="1:23" ht="17.55" customHeight="1" x14ac:dyDescent="0.4">
      <c r="A116" s="788">
        <v>115</v>
      </c>
      <c r="B116" s="246" t="s">
        <v>2184</v>
      </c>
      <c r="C116" s="246" t="s">
        <v>24</v>
      </c>
      <c r="D116" s="893">
        <v>1114</v>
      </c>
      <c r="E116" s="246" t="s">
        <v>2259</v>
      </c>
      <c r="F116" s="246" t="s">
        <v>2260</v>
      </c>
      <c r="G116" s="210">
        <v>1057</v>
      </c>
      <c r="H116" s="198" t="s">
        <v>2254</v>
      </c>
      <c r="I116" s="198" t="s">
        <v>28</v>
      </c>
      <c r="J116" s="692" t="s">
        <v>58</v>
      </c>
      <c r="K116" s="692" t="s">
        <v>2035</v>
      </c>
      <c r="L116" s="894">
        <v>0.5</v>
      </c>
      <c r="M116" s="895" t="s">
        <v>381</v>
      </c>
      <c r="N116" s="896" t="s">
        <v>382</v>
      </c>
      <c r="O116" s="897"/>
      <c r="P116" s="898">
        <v>15</v>
      </c>
      <c r="Q116" s="899">
        <v>0.15</v>
      </c>
      <c r="R116" s="898">
        <v>15</v>
      </c>
      <c r="S116" s="898"/>
      <c r="T116" s="900">
        <f t="shared" si="1"/>
        <v>0</v>
      </c>
      <c r="U116" s="901" t="s">
        <v>34</v>
      </c>
      <c r="V116" s="902"/>
      <c r="W116" s="198"/>
    </row>
    <row r="117" spans="1:23" ht="17.55" customHeight="1" x14ac:dyDescent="0.4">
      <c r="A117" s="788">
        <v>116</v>
      </c>
      <c r="B117" s="246" t="s">
        <v>2184</v>
      </c>
      <c r="C117" s="246" t="s">
        <v>24</v>
      </c>
      <c r="D117" s="893">
        <v>1114</v>
      </c>
      <c r="E117" s="246" t="s">
        <v>2259</v>
      </c>
      <c r="F117" s="246" t="s">
        <v>2260</v>
      </c>
      <c r="G117" s="210">
        <v>1057</v>
      </c>
      <c r="H117" s="198" t="s">
        <v>2254</v>
      </c>
      <c r="I117" s="198" t="s">
        <v>28</v>
      </c>
      <c r="J117" s="692" t="s">
        <v>58</v>
      </c>
      <c r="K117" s="692" t="s">
        <v>2035</v>
      </c>
      <c r="L117" s="894">
        <v>0.5</v>
      </c>
      <c r="M117" s="895" t="s">
        <v>384</v>
      </c>
      <c r="N117" s="896" t="s">
        <v>385</v>
      </c>
      <c r="O117" s="897"/>
      <c r="P117" s="898">
        <v>5</v>
      </c>
      <c r="Q117" s="899">
        <v>0.05</v>
      </c>
      <c r="R117" s="898">
        <v>5</v>
      </c>
      <c r="S117" s="898"/>
      <c r="T117" s="900">
        <f t="shared" si="1"/>
        <v>0</v>
      </c>
      <c r="U117" s="901" t="s">
        <v>34</v>
      </c>
      <c r="V117" s="902"/>
      <c r="W117" s="198"/>
    </row>
    <row r="118" spans="1:23" ht="17.55" customHeight="1" x14ac:dyDescent="0.4">
      <c r="A118" s="788">
        <v>117</v>
      </c>
      <c r="B118" s="246" t="s">
        <v>2184</v>
      </c>
      <c r="C118" s="246" t="s">
        <v>24</v>
      </c>
      <c r="D118" s="893">
        <v>1114</v>
      </c>
      <c r="E118" s="246" t="s">
        <v>2259</v>
      </c>
      <c r="F118" s="246" t="s">
        <v>2260</v>
      </c>
      <c r="G118" s="210">
        <v>1057</v>
      </c>
      <c r="H118" s="198" t="s">
        <v>2254</v>
      </c>
      <c r="I118" s="198" t="s">
        <v>28</v>
      </c>
      <c r="J118" s="692" t="s">
        <v>58</v>
      </c>
      <c r="K118" s="692" t="s">
        <v>2035</v>
      </c>
      <c r="L118" s="894">
        <v>0.5</v>
      </c>
      <c r="M118" s="895" t="s">
        <v>2257</v>
      </c>
      <c r="N118" s="896" t="s">
        <v>2258</v>
      </c>
      <c r="O118" s="897"/>
      <c r="P118" s="898">
        <v>15</v>
      </c>
      <c r="Q118" s="899">
        <v>0.15</v>
      </c>
      <c r="R118" s="898">
        <v>15</v>
      </c>
      <c r="S118" s="898"/>
      <c r="T118" s="900">
        <f t="shared" si="1"/>
        <v>0</v>
      </c>
      <c r="U118" s="901" t="s">
        <v>34</v>
      </c>
      <c r="V118" s="902"/>
      <c r="W118" s="198"/>
    </row>
    <row r="119" spans="1:23" ht="17.55" customHeight="1" x14ac:dyDescent="0.4">
      <c r="A119" s="788">
        <v>118</v>
      </c>
      <c r="B119" s="246" t="s">
        <v>2184</v>
      </c>
      <c r="C119" s="246" t="s">
        <v>24</v>
      </c>
      <c r="D119" s="893">
        <v>1114</v>
      </c>
      <c r="E119" s="246" t="s">
        <v>2259</v>
      </c>
      <c r="F119" s="246" t="s">
        <v>2260</v>
      </c>
      <c r="G119" s="210">
        <v>1057</v>
      </c>
      <c r="H119" s="198" t="s">
        <v>2254</v>
      </c>
      <c r="I119" s="198" t="s">
        <v>28</v>
      </c>
      <c r="J119" s="692" t="s">
        <v>58</v>
      </c>
      <c r="K119" s="692" t="s">
        <v>2035</v>
      </c>
      <c r="L119" s="894">
        <v>0.5</v>
      </c>
      <c r="M119" s="895" t="s">
        <v>347</v>
      </c>
      <c r="N119" s="896" t="s">
        <v>348</v>
      </c>
      <c r="O119" s="897"/>
      <c r="P119" s="898">
        <v>10</v>
      </c>
      <c r="Q119" s="899">
        <v>0.1</v>
      </c>
      <c r="R119" s="898">
        <v>10</v>
      </c>
      <c r="S119" s="898"/>
      <c r="T119" s="900">
        <f t="shared" si="1"/>
        <v>0</v>
      </c>
      <c r="U119" s="901" t="s">
        <v>34</v>
      </c>
      <c r="V119" s="902"/>
      <c r="W119" s="198"/>
    </row>
    <row r="120" spans="1:23" ht="17.55" customHeight="1" x14ac:dyDescent="0.4">
      <c r="A120" s="788">
        <v>119</v>
      </c>
      <c r="B120" s="246" t="s">
        <v>2184</v>
      </c>
      <c r="C120" s="246" t="s">
        <v>24</v>
      </c>
      <c r="D120" s="893">
        <v>1114</v>
      </c>
      <c r="E120" s="246" t="s">
        <v>2259</v>
      </c>
      <c r="F120" s="246" t="s">
        <v>2260</v>
      </c>
      <c r="G120" s="210">
        <v>1057</v>
      </c>
      <c r="H120" s="198" t="s">
        <v>2254</v>
      </c>
      <c r="I120" s="198" t="s">
        <v>28</v>
      </c>
      <c r="J120" s="692" t="s">
        <v>58</v>
      </c>
      <c r="K120" s="692" t="s">
        <v>2035</v>
      </c>
      <c r="L120" s="894">
        <v>0.5</v>
      </c>
      <c r="M120" s="895" t="s">
        <v>387</v>
      </c>
      <c r="N120" s="896" t="s">
        <v>388</v>
      </c>
      <c r="O120" s="897"/>
      <c r="P120" s="898">
        <v>15</v>
      </c>
      <c r="Q120" s="899">
        <v>0.15</v>
      </c>
      <c r="R120" s="898">
        <v>15</v>
      </c>
      <c r="S120" s="898"/>
      <c r="T120" s="900">
        <f t="shared" si="1"/>
        <v>0</v>
      </c>
      <c r="U120" s="901" t="s">
        <v>34</v>
      </c>
      <c r="V120" s="902"/>
      <c r="W120" s="198"/>
    </row>
    <row r="121" spans="1:23" ht="17.55" customHeight="1" x14ac:dyDescent="0.4">
      <c r="A121" s="788">
        <v>120</v>
      </c>
      <c r="B121" s="246" t="s">
        <v>2184</v>
      </c>
      <c r="C121" s="246" t="s">
        <v>24</v>
      </c>
      <c r="D121" s="893">
        <v>1114</v>
      </c>
      <c r="E121" s="246" t="s">
        <v>2259</v>
      </c>
      <c r="F121" s="246" t="s">
        <v>2260</v>
      </c>
      <c r="G121" s="210">
        <v>1057</v>
      </c>
      <c r="H121" s="198" t="s">
        <v>2254</v>
      </c>
      <c r="I121" s="198" t="s">
        <v>28</v>
      </c>
      <c r="J121" s="692" t="s">
        <v>58</v>
      </c>
      <c r="K121" s="692" t="s">
        <v>2035</v>
      </c>
      <c r="L121" s="894">
        <v>0.5</v>
      </c>
      <c r="M121" s="895" t="s">
        <v>390</v>
      </c>
      <c r="N121" s="896" t="s">
        <v>1390</v>
      </c>
      <c r="O121" s="897"/>
      <c r="P121" s="898">
        <v>10</v>
      </c>
      <c r="Q121" s="899">
        <v>0.1</v>
      </c>
      <c r="R121" s="898">
        <v>10</v>
      </c>
      <c r="S121" s="898"/>
      <c r="T121" s="900">
        <f t="shared" si="1"/>
        <v>0</v>
      </c>
      <c r="U121" s="901" t="s">
        <v>34</v>
      </c>
      <c r="V121" s="902"/>
      <c r="W121" s="198"/>
    </row>
    <row r="122" spans="1:23" ht="17.55" customHeight="1" x14ac:dyDescent="0.4">
      <c r="A122" s="788">
        <v>121</v>
      </c>
      <c r="B122" s="246" t="s">
        <v>2184</v>
      </c>
      <c r="C122" s="246" t="s">
        <v>24</v>
      </c>
      <c r="D122" s="893">
        <v>1114</v>
      </c>
      <c r="E122" s="246" t="s">
        <v>2259</v>
      </c>
      <c r="F122" s="246" t="s">
        <v>2260</v>
      </c>
      <c r="G122" s="210">
        <v>1057</v>
      </c>
      <c r="H122" s="198" t="s">
        <v>2254</v>
      </c>
      <c r="I122" s="198" t="s">
        <v>28</v>
      </c>
      <c r="J122" s="692" t="s">
        <v>58</v>
      </c>
      <c r="K122" s="692" t="s">
        <v>2035</v>
      </c>
      <c r="L122" s="894">
        <v>0.5</v>
      </c>
      <c r="M122" s="895" t="s">
        <v>392</v>
      </c>
      <c r="N122" s="896" t="s">
        <v>393</v>
      </c>
      <c r="O122" s="897"/>
      <c r="P122" s="898">
        <v>10</v>
      </c>
      <c r="Q122" s="899">
        <v>0.1</v>
      </c>
      <c r="R122" s="898">
        <v>10</v>
      </c>
      <c r="S122" s="898"/>
      <c r="T122" s="900">
        <f t="shared" si="1"/>
        <v>0</v>
      </c>
      <c r="U122" s="901" t="s">
        <v>34</v>
      </c>
      <c r="V122" s="902"/>
      <c r="W122" s="198"/>
    </row>
    <row r="123" spans="1:23" ht="17.55" customHeight="1" x14ac:dyDescent="0.4">
      <c r="A123" s="788">
        <v>122</v>
      </c>
      <c r="B123" s="246" t="s">
        <v>2184</v>
      </c>
      <c r="C123" s="246" t="s">
        <v>24</v>
      </c>
      <c r="D123" s="893">
        <v>1114</v>
      </c>
      <c r="E123" s="246" t="s">
        <v>2259</v>
      </c>
      <c r="F123" s="246" t="s">
        <v>2260</v>
      </c>
      <c r="G123" s="210">
        <v>1057</v>
      </c>
      <c r="H123" s="198" t="s">
        <v>2254</v>
      </c>
      <c r="I123" s="198" t="s">
        <v>28</v>
      </c>
      <c r="J123" s="199" t="s">
        <v>111</v>
      </c>
      <c r="K123" s="199" t="s">
        <v>110</v>
      </c>
      <c r="L123" s="903">
        <v>0.5</v>
      </c>
      <c r="M123" s="904" t="s">
        <v>373</v>
      </c>
      <c r="N123" s="905" t="s">
        <v>374</v>
      </c>
      <c r="O123" s="912"/>
      <c r="P123" s="913">
        <v>40</v>
      </c>
      <c r="Q123" s="914">
        <v>0.4</v>
      </c>
      <c r="R123" s="913">
        <v>40</v>
      </c>
      <c r="S123" s="913"/>
      <c r="T123" s="909">
        <f t="shared" si="1"/>
        <v>0</v>
      </c>
      <c r="U123" s="910" t="s">
        <v>34</v>
      </c>
      <c r="V123" s="911"/>
      <c r="W123" s="198"/>
    </row>
    <row r="124" spans="1:23" ht="17.55" customHeight="1" x14ac:dyDescent="0.4">
      <c r="A124" s="788">
        <v>123</v>
      </c>
      <c r="B124" s="246" t="s">
        <v>2184</v>
      </c>
      <c r="C124" s="246" t="s">
        <v>24</v>
      </c>
      <c r="D124" s="893">
        <v>1114</v>
      </c>
      <c r="E124" s="246" t="s">
        <v>2259</v>
      </c>
      <c r="F124" s="246" t="s">
        <v>2260</v>
      </c>
      <c r="G124" s="210">
        <v>1057</v>
      </c>
      <c r="H124" s="198" t="s">
        <v>2254</v>
      </c>
      <c r="I124" s="198" t="s">
        <v>28</v>
      </c>
      <c r="J124" s="199" t="s">
        <v>111</v>
      </c>
      <c r="K124" s="199" t="s">
        <v>110</v>
      </c>
      <c r="L124" s="903">
        <v>0.5</v>
      </c>
      <c r="M124" s="904" t="s">
        <v>376</v>
      </c>
      <c r="N124" s="905" t="s">
        <v>377</v>
      </c>
      <c r="O124" s="912"/>
      <c r="P124" s="913">
        <v>40</v>
      </c>
      <c r="Q124" s="914">
        <v>0.4</v>
      </c>
      <c r="R124" s="913">
        <v>40</v>
      </c>
      <c r="S124" s="913"/>
      <c r="T124" s="909">
        <f t="shared" si="1"/>
        <v>0</v>
      </c>
      <c r="U124" s="910" t="s">
        <v>34</v>
      </c>
      <c r="V124" s="911"/>
      <c r="W124" s="198"/>
    </row>
    <row r="125" spans="1:23" ht="17.55" customHeight="1" x14ac:dyDescent="0.4">
      <c r="A125" s="788">
        <v>124</v>
      </c>
      <c r="B125" s="246" t="s">
        <v>2184</v>
      </c>
      <c r="C125" s="246" t="s">
        <v>24</v>
      </c>
      <c r="D125" s="893">
        <v>1114</v>
      </c>
      <c r="E125" s="246" t="s">
        <v>2259</v>
      </c>
      <c r="F125" s="246" t="s">
        <v>2260</v>
      </c>
      <c r="G125" s="210">
        <v>1057</v>
      </c>
      <c r="H125" s="198" t="s">
        <v>2254</v>
      </c>
      <c r="I125" s="198" t="s">
        <v>28</v>
      </c>
      <c r="J125" s="199" t="s">
        <v>111</v>
      </c>
      <c r="K125" s="199" t="s">
        <v>110</v>
      </c>
      <c r="L125" s="903">
        <v>0.5</v>
      </c>
      <c r="M125" s="904" t="s">
        <v>396</v>
      </c>
      <c r="N125" s="905" t="s">
        <v>1393</v>
      </c>
      <c r="O125" s="912"/>
      <c r="P125" s="913">
        <v>20</v>
      </c>
      <c r="Q125" s="914">
        <v>0.2</v>
      </c>
      <c r="R125" s="913">
        <v>20</v>
      </c>
      <c r="S125" s="913"/>
      <c r="T125" s="909">
        <f t="shared" si="1"/>
        <v>0</v>
      </c>
      <c r="U125" s="910" t="s">
        <v>34</v>
      </c>
      <c r="V125" s="911"/>
      <c r="W125" s="198"/>
    </row>
    <row r="126" spans="1:23" ht="17.55" customHeight="1" x14ac:dyDescent="0.4">
      <c r="A126" s="788">
        <v>125</v>
      </c>
      <c r="B126" s="187" t="s">
        <v>2184</v>
      </c>
      <c r="C126" s="880" t="s">
        <v>24</v>
      </c>
      <c r="D126" s="881">
        <v>1120</v>
      </c>
      <c r="E126" s="880" t="s">
        <v>2261</v>
      </c>
      <c r="F126" s="880" t="s">
        <v>2262</v>
      </c>
      <c r="G126" s="882">
        <v>1057</v>
      </c>
      <c r="H126" s="883" t="s">
        <v>2254</v>
      </c>
      <c r="I126" s="883" t="s">
        <v>28</v>
      </c>
      <c r="J126" s="880" t="s">
        <v>58</v>
      </c>
      <c r="K126" s="880" t="s">
        <v>2035</v>
      </c>
      <c r="L126" s="885">
        <v>0.5</v>
      </c>
      <c r="M126" s="886" t="s">
        <v>1386</v>
      </c>
      <c r="N126" s="887" t="s">
        <v>1387</v>
      </c>
      <c r="O126" s="888"/>
      <c r="P126" s="889">
        <v>5</v>
      </c>
      <c r="Q126" s="890">
        <v>0.05</v>
      </c>
      <c r="R126" s="889">
        <v>5</v>
      </c>
      <c r="S126" s="889"/>
      <c r="T126" s="891">
        <f t="shared" si="1"/>
        <v>0</v>
      </c>
      <c r="U126" s="892" t="s">
        <v>34</v>
      </c>
      <c r="V126" s="1954">
        <f>SUM(T126:T137)%</f>
        <v>0</v>
      </c>
      <c r="W126" s="883"/>
    </row>
    <row r="127" spans="1:23" ht="17.55" customHeight="1" x14ac:dyDescent="0.4">
      <c r="A127" s="788">
        <v>126</v>
      </c>
      <c r="B127" s="246" t="s">
        <v>2184</v>
      </c>
      <c r="C127" s="246" t="s">
        <v>24</v>
      </c>
      <c r="D127" s="893">
        <v>1120</v>
      </c>
      <c r="E127" s="246" t="s">
        <v>2261</v>
      </c>
      <c r="F127" s="246" t="s">
        <v>2262</v>
      </c>
      <c r="G127" s="210">
        <v>1057</v>
      </c>
      <c r="H127" s="198" t="s">
        <v>2254</v>
      </c>
      <c r="I127" s="198" t="s">
        <v>28</v>
      </c>
      <c r="J127" s="692" t="s">
        <v>58</v>
      </c>
      <c r="K127" s="692" t="s">
        <v>2035</v>
      </c>
      <c r="L127" s="894">
        <v>0.5</v>
      </c>
      <c r="M127" s="895" t="s">
        <v>351</v>
      </c>
      <c r="N127" s="896" t="s">
        <v>352</v>
      </c>
      <c r="O127" s="897"/>
      <c r="P127" s="898">
        <v>15</v>
      </c>
      <c r="Q127" s="899">
        <v>0.15</v>
      </c>
      <c r="R127" s="898">
        <v>15</v>
      </c>
      <c r="S127" s="898"/>
      <c r="T127" s="900">
        <f t="shared" si="1"/>
        <v>0</v>
      </c>
      <c r="U127" s="901" t="s">
        <v>34</v>
      </c>
      <c r="V127" s="902"/>
      <c r="W127" s="198"/>
    </row>
    <row r="128" spans="1:23" ht="17.55" customHeight="1" x14ac:dyDescent="0.4">
      <c r="A128" s="788">
        <v>127</v>
      </c>
      <c r="B128" s="246" t="s">
        <v>2184</v>
      </c>
      <c r="C128" s="246" t="s">
        <v>24</v>
      </c>
      <c r="D128" s="893">
        <v>1120</v>
      </c>
      <c r="E128" s="246" t="s">
        <v>2261</v>
      </c>
      <c r="F128" s="246" t="s">
        <v>2262</v>
      </c>
      <c r="G128" s="210">
        <v>1057</v>
      </c>
      <c r="H128" s="198" t="s">
        <v>2254</v>
      </c>
      <c r="I128" s="198" t="s">
        <v>28</v>
      </c>
      <c r="J128" s="692" t="s">
        <v>58</v>
      </c>
      <c r="K128" s="692" t="s">
        <v>2035</v>
      </c>
      <c r="L128" s="894">
        <v>0.5</v>
      </c>
      <c r="M128" s="895" t="s">
        <v>381</v>
      </c>
      <c r="N128" s="896" t="s">
        <v>382</v>
      </c>
      <c r="O128" s="897"/>
      <c r="P128" s="898">
        <v>15</v>
      </c>
      <c r="Q128" s="899">
        <v>0.15</v>
      </c>
      <c r="R128" s="898">
        <v>15</v>
      </c>
      <c r="S128" s="898"/>
      <c r="T128" s="900">
        <f t="shared" si="1"/>
        <v>0</v>
      </c>
      <c r="U128" s="901" t="s">
        <v>34</v>
      </c>
      <c r="V128" s="902"/>
      <c r="W128" s="198"/>
    </row>
    <row r="129" spans="1:23" ht="17.55" customHeight="1" x14ac:dyDescent="0.4">
      <c r="A129" s="788">
        <v>128</v>
      </c>
      <c r="B129" s="246" t="s">
        <v>2184</v>
      </c>
      <c r="C129" s="246" t="s">
        <v>24</v>
      </c>
      <c r="D129" s="893">
        <v>1120</v>
      </c>
      <c r="E129" s="246" t="s">
        <v>2261</v>
      </c>
      <c r="F129" s="246" t="s">
        <v>2262</v>
      </c>
      <c r="G129" s="210">
        <v>1057</v>
      </c>
      <c r="H129" s="198" t="s">
        <v>2254</v>
      </c>
      <c r="I129" s="198" t="s">
        <v>28</v>
      </c>
      <c r="J129" s="692" t="s">
        <v>58</v>
      </c>
      <c r="K129" s="692" t="s">
        <v>2035</v>
      </c>
      <c r="L129" s="894">
        <v>0.5</v>
      </c>
      <c r="M129" s="895" t="s">
        <v>384</v>
      </c>
      <c r="N129" s="896" t="s">
        <v>385</v>
      </c>
      <c r="O129" s="897"/>
      <c r="P129" s="898">
        <v>5</v>
      </c>
      <c r="Q129" s="899">
        <v>0.05</v>
      </c>
      <c r="R129" s="898">
        <v>5</v>
      </c>
      <c r="S129" s="898"/>
      <c r="T129" s="900">
        <f t="shared" si="1"/>
        <v>0</v>
      </c>
      <c r="U129" s="901" t="s">
        <v>34</v>
      </c>
      <c r="V129" s="902"/>
      <c r="W129" s="198"/>
    </row>
    <row r="130" spans="1:23" ht="17.55" customHeight="1" x14ac:dyDescent="0.4">
      <c r="A130" s="788">
        <v>129</v>
      </c>
      <c r="B130" s="246" t="s">
        <v>2184</v>
      </c>
      <c r="C130" s="246" t="s">
        <v>24</v>
      </c>
      <c r="D130" s="893">
        <v>1120</v>
      </c>
      <c r="E130" s="246" t="s">
        <v>2261</v>
      </c>
      <c r="F130" s="246" t="s">
        <v>2262</v>
      </c>
      <c r="G130" s="210">
        <v>1057</v>
      </c>
      <c r="H130" s="198" t="s">
        <v>2254</v>
      </c>
      <c r="I130" s="198" t="s">
        <v>28</v>
      </c>
      <c r="J130" s="692" t="s">
        <v>58</v>
      </c>
      <c r="K130" s="692" t="s">
        <v>2035</v>
      </c>
      <c r="L130" s="894">
        <v>0.5</v>
      </c>
      <c r="M130" s="895" t="s">
        <v>2257</v>
      </c>
      <c r="N130" s="896" t="s">
        <v>2258</v>
      </c>
      <c r="O130" s="897"/>
      <c r="P130" s="898">
        <v>15</v>
      </c>
      <c r="Q130" s="899">
        <v>0.15</v>
      </c>
      <c r="R130" s="898">
        <v>15</v>
      </c>
      <c r="S130" s="898"/>
      <c r="T130" s="900">
        <f t="shared" ref="T130:T193" si="2">IF(AND(S130&gt;=60%,S130&lt;100%),S130*((Q130*L130)),IF(S130=100%,((Q130*L130)*S130)*100%,IF(S130&gt;100%,((L130*Q130)*100%)*100%,0)))*100</f>
        <v>0</v>
      </c>
      <c r="U130" s="901" t="s">
        <v>34</v>
      </c>
      <c r="V130" s="902"/>
      <c r="W130" s="198"/>
    </row>
    <row r="131" spans="1:23" ht="17.55" customHeight="1" x14ac:dyDescent="0.4">
      <c r="A131" s="788">
        <v>130</v>
      </c>
      <c r="B131" s="246" t="s">
        <v>2184</v>
      </c>
      <c r="C131" s="246" t="s">
        <v>24</v>
      </c>
      <c r="D131" s="893">
        <v>1120</v>
      </c>
      <c r="E131" s="246" t="s">
        <v>2261</v>
      </c>
      <c r="F131" s="246" t="s">
        <v>2262</v>
      </c>
      <c r="G131" s="210">
        <v>1057</v>
      </c>
      <c r="H131" s="198" t="s">
        <v>2254</v>
      </c>
      <c r="I131" s="198" t="s">
        <v>28</v>
      </c>
      <c r="J131" s="692" t="s">
        <v>58</v>
      </c>
      <c r="K131" s="692" t="s">
        <v>2035</v>
      </c>
      <c r="L131" s="894">
        <v>0.5</v>
      </c>
      <c r="M131" s="895" t="s">
        <v>347</v>
      </c>
      <c r="N131" s="896" t="s">
        <v>348</v>
      </c>
      <c r="O131" s="897"/>
      <c r="P131" s="898">
        <v>10</v>
      </c>
      <c r="Q131" s="899">
        <v>0.1</v>
      </c>
      <c r="R131" s="898">
        <v>10</v>
      </c>
      <c r="S131" s="898"/>
      <c r="T131" s="900">
        <f t="shared" si="2"/>
        <v>0</v>
      </c>
      <c r="U131" s="901" t="s">
        <v>34</v>
      </c>
      <c r="V131" s="902"/>
      <c r="W131" s="198"/>
    </row>
    <row r="132" spans="1:23" ht="17.55" customHeight="1" x14ac:dyDescent="0.4">
      <c r="A132" s="788">
        <v>131</v>
      </c>
      <c r="B132" s="246" t="s">
        <v>2184</v>
      </c>
      <c r="C132" s="246" t="s">
        <v>24</v>
      </c>
      <c r="D132" s="893">
        <v>1120</v>
      </c>
      <c r="E132" s="246" t="s">
        <v>2261</v>
      </c>
      <c r="F132" s="246" t="s">
        <v>2262</v>
      </c>
      <c r="G132" s="210">
        <v>1057</v>
      </c>
      <c r="H132" s="198" t="s">
        <v>2254</v>
      </c>
      <c r="I132" s="198" t="s">
        <v>28</v>
      </c>
      <c r="J132" s="692" t="s">
        <v>58</v>
      </c>
      <c r="K132" s="692" t="s">
        <v>2035</v>
      </c>
      <c r="L132" s="894">
        <v>0.5</v>
      </c>
      <c r="M132" s="895" t="s">
        <v>387</v>
      </c>
      <c r="N132" s="896" t="s">
        <v>388</v>
      </c>
      <c r="O132" s="897"/>
      <c r="P132" s="898">
        <v>15</v>
      </c>
      <c r="Q132" s="899">
        <v>0.15</v>
      </c>
      <c r="R132" s="898">
        <v>15</v>
      </c>
      <c r="S132" s="898"/>
      <c r="T132" s="900">
        <f t="shared" si="2"/>
        <v>0</v>
      </c>
      <c r="U132" s="901" t="s">
        <v>34</v>
      </c>
      <c r="V132" s="902"/>
      <c r="W132" s="198"/>
    </row>
    <row r="133" spans="1:23" ht="17.55" customHeight="1" x14ac:dyDescent="0.4">
      <c r="A133" s="788">
        <v>132</v>
      </c>
      <c r="B133" s="246" t="s">
        <v>2184</v>
      </c>
      <c r="C133" s="246" t="s">
        <v>24</v>
      </c>
      <c r="D133" s="893">
        <v>1120</v>
      </c>
      <c r="E133" s="246" t="s">
        <v>2261</v>
      </c>
      <c r="F133" s="246" t="s">
        <v>2262</v>
      </c>
      <c r="G133" s="210">
        <v>1057</v>
      </c>
      <c r="H133" s="198" t="s">
        <v>2254</v>
      </c>
      <c r="I133" s="198" t="s">
        <v>28</v>
      </c>
      <c r="J133" s="692" t="s">
        <v>58</v>
      </c>
      <c r="K133" s="692" t="s">
        <v>2035</v>
      </c>
      <c r="L133" s="894">
        <v>0.5</v>
      </c>
      <c r="M133" s="895" t="s">
        <v>390</v>
      </c>
      <c r="N133" s="896" t="s">
        <v>1390</v>
      </c>
      <c r="O133" s="897"/>
      <c r="P133" s="898">
        <v>10</v>
      </c>
      <c r="Q133" s="899">
        <v>0.1</v>
      </c>
      <c r="R133" s="898">
        <v>10</v>
      </c>
      <c r="S133" s="898"/>
      <c r="T133" s="900">
        <f t="shared" si="2"/>
        <v>0</v>
      </c>
      <c r="U133" s="901" t="s">
        <v>34</v>
      </c>
      <c r="V133" s="902"/>
      <c r="W133" s="198"/>
    </row>
    <row r="134" spans="1:23" ht="17.55" customHeight="1" x14ac:dyDescent="0.4">
      <c r="A134" s="788">
        <v>133</v>
      </c>
      <c r="B134" s="246" t="s">
        <v>2184</v>
      </c>
      <c r="C134" s="246" t="s">
        <v>24</v>
      </c>
      <c r="D134" s="893">
        <v>1120</v>
      </c>
      <c r="E134" s="246" t="s">
        <v>2261</v>
      </c>
      <c r="F134" s="246" t="s">
        <v>2262</v>
      </c>
      <c r="G134" s="210">
        <v>1057</v>
      </c>
      <c r="H134" s="198" t="s">
        <v>2254</v>
      </c>
      <c r="I134" s="198" t="s">
        <v>28</v>
      </c>
      <c r="J134" s="692" t="s">
        <v>58</v>
      </c>
      <c r="K134" s="692" t="s">
        <v>2035</v>
      </c>
      <c r="L134" s="894">
        <v>0.5</v>
      </c>
      <c r="M134" s="895" t="s">
        <v>392</v>
      </c>
      <c r="N134" s="896" t="s">
        <v>393</v>
      </c>
      <c r="O134" s="897"/>
      <c r="P134" s="898">
        <v>10</v>
      </c>
      <c r="Q134" s="899">
        <v>0.1</v>
      </c>
      <c r="R134" s="898">
        <v>10</v>
      </c>
      <c r="S134" s="898"/>
      <c r="T134" s="900">
        <f t="shared" si="2"/>
        <v>0</v>
      </c>
      <c r="U134" s="901" t="s">
        <v>34</v>
      </c>
      <c r="V134" s="902"/>
      <c r="W134" s="198"/>
    </row>
    <row r="135" spans="1:23" ht="17.55" customHeight="1" x14ac:dyDescent="0.4">
      <c r="A135" s="788">
        <v>134</v>
      </c>
      <c r="B135" s="246" t="s">
        <v>2184</v>
      </c>
      <c r="C135" s="246" t="s">
        <v>24</v>
      </c>
      <c r="D135" s="893">
        <v>1120</v>
      </c>
      <c r="E135" s="246" t="s">
        <v>2261</v>
      </c>
      <c r="F135" s="246" t="s">
        <v>2262</v>
      </c>
      <c r="G135" s="210">
        <v>1057</v>
      </c>
      <c r="H135" s="198" t="s">
        <v>2254</v>
      </c>
      <c r="I135" s="198" t="s">
        <v>28</v>
      </c>
      <c r="J135" s="199" t="s">
        <v>111</v>
      </c>
      <c r="K135" s="199" t="s">
        <v>110</v>
      </c>
      <c r="L135" s="903">
        <v>0.5</v>
      </c>
      <c r="M135" s="904" t="s">
        <v>373</v>
      </c>
      <c r="N135" s="905" t="s">
        <v>374</v>
      </c>
      <c r="O135" s="912"/>
      <c r="P135" s="913">
        <v>40</v>
      </c>
      <c r="Q135" s="914">
        <v>0.4</v>
      </c>
      <c r="R135" s="913">
        <v>40</v>
      </c>
      <c r="S135" s="913"/>
      <c r="T135" s="909">
        <f t="shared" si="2"/>
        <v>0</v>
      </c>
      <c r="U135" s="910" t="s">
        <v>34</v>
      </c>
      <c r="V135" s="911"/>
      <c r="W135" s="198"/>
    </row>
    <row r="136" spans="1:23" ht="17.55" customHeight="1" x14ac:dyDescent="0.4">
      <c r="A136" s="788">
        <v>135</v>
      </c>
      <c r="B136" s="246" t="s">
        <v>2184</v>
      </c>
      <c r="C136" s="246" t="s">
        <v>24</v>
      </c>
      <c r="D136" s="893">
        <v>1120</v>
      </c>
      <c r="E136" s="246" t="s">
        <v>2261</v>
      </c>
      <c r="F136" s="246" t="s">
        <v>2262</v>
      </c>
      <c r="G136" s="210">
        <v>1057</v>
      </c>
      <c r="H136" s="198" t="s">
        <v>2254</v>
      </c>
      <c r="I136" s="198" t="s">
        <v>28</v>
      </c>
      <c r="J136" s="199" t="s">
        <v>111</v>
      </c>
      <c r="K136" s="199" t="s">
        <v>110</v>
      </c>
      <c r="L136" s="903">
        <v>0.5</v>
      </c>
      <c r="M136" s="904" t="s">
        <v>376</v>
      </c>
      <c r="N136" s="905" t="s">
        <v>377</v>
      </c>
      <c r="O136" s="912"/>
      <c r="P136" s="913">
        <v>40</v>
      </c>
      <c r="Q136" s="914">
        <v>0.4</v>
      </c>
      <c r="R136" s="913">
        <v>40</v>
      </c>
      <c r="S136" s="913"/>
      <c r="T136" s="909">
        <f t="shared" si="2"/>
        <v>0</v>
      </c>
      <c r="U136" s="910" t="s">
        <v>34</v>
      </c>
      <c r="V136" s="911"/>
      <c r="W136" s="198"/>
    </row>
    <row r="137" spans="1:23" ht="17.55" customHeight="1" x14ac:dyDescent="0.4">
      <c r="A137" s="788">
        <v>136</v>
      </c>
      <c r="B137" s="246" t="s">
        <v>2184</v>
      </c>
      <c r="C137" s="246" t="s">
        <v>24</v>
      </c>
      <c r="D137" s="893">
        <v>1120</v>
      </c>
      <c r="E137" s="246" t="s">
        <v>2261</v>
      </c>
      <c r="F137" s="246" t="s">
        <v>2262</v>
      </c>
      <c r="G137" s="210">
        <v>1057</v>
      </c>
      <c r="H137" s="198" t="s">
        <v>2254</v>
      </c>
      <c r="I137" s="198" t="s">
        <v>28</v>
      </c>
      <c r="J137" s="199" t="s">
        <v>111</v>
      </c>
      <c r="K137" s="199" t="s">
        <v>110</v>
      </c>
      <c r="L137" s="903">
        <v>0.5</v>
      </c>
      <c r="M137" s="904" t="s">
        <v>396</v>
      </c>
      <c r="N137" s="905" t="s">
        <v>1393</v>
      </c>
      <c r="O137" s="912"/>
      <c r="P137" s="913">
        <v>20</v>
      </c>
      <c r="Q137" s="914">
        <v>0.2</v>
      </c>
      <c r="R137" s="913">
        <v>20</v>
      </c>
      <c r="S137" s="913"/>
      <c r="T137" s="909">
        <f t="shared" si="2"/>
        <v>0</v>
      </c>
      <c r="U137" s="910" t="s">
        <v>34</v>
      </c>
      <c r="V137" s="911"/>
      <c r="W137" s="198"/>
    </row>
    <row r="138" spans="1:23" ht="17.55" customHeight="1" x14ac:dyDescent="0.4">
      <c r="A138" s="788">
        <v>137</v>
      </c>
      <c r="B138" s="187" t="s">
        <v>2184</v>
      </c>
      <c r="C138" s="187" t="s">
        <v>2263</v>
      </c>
      <c r="D138" s="830">
        <v>1063</v>
      </c>
      <c r="E138" s="236" t="s">
        <v>2264</v>
      </c>
      <c r="F138" s="236" t="s">
        <v>2265</v>
      </c>
      <c r="G138" s="243">
        <v>1134</v>
      </c>
      <c r="H138" s="236" t="s">
        <v>2193</v>
      </c>
      <c r="I138" s="236" t="s">
        <v>2266</v>
      </c>
      <c r="J138" s="187" t="s">
        <v>58</v>
      </c>
      <c r="K138" s="236" t="s">
        <v>2035</v>
      </c>
      <c r="L138" s="855">
        <v>0.8</v>
      </c>
      <c r="M138" s="916" t="s">
        <v>652</v>
      </c>
      <c r="N138" s="916" t="s">
        <v>2267</v>
      </c>
      <c r="O138" s="917" t="s">
        <v>2268</v>
      </c>
      <c r="P138" s="197">
        <v>1</v>
      </c>
      <c r="Q138" s="833">
        <v>0.2</v>
      </c>
      <c r="R138" s="197">
        <v>1</v>
      </c>
      <c r="S138" s="197"/>
      <c r="T138" s="834">
        <f t="shared" si="2"/>
        <v>0</v>
      </c>
      <c r="U138" s="197" t="s">
        <v>34</v>
      </c>
      <c r="V138" s="1953">
        <f>SUM(T138:T147)%</f>
        <v>0</v>
      </c>
      <c r="W138" s="710" t="s">
        <v>2269</v>
      </c>
    </row>
    <row r="139" spans="1:23" ht="17.55" customHeight="1" x14ac:dyDescent="0.4">
      <c r="A139" s="788">
        <v>138</v>
      </c>
      <c r="B139" s="246" t="s">
        <v>2184</v>
      </c>
      <c r="C139" s="246" t="s">
        <v>2263</v>
      </c>
      <c r="D139" s="836">
        <v>1063</v>
      </c>
      <c r="E139" s="245" t="s">
        <v>2264</v>
      </c>
      <c r="F139" s="245" t="s">
        <v>2265</v>
      </c>
      <c r="G139" s="253">
        <v>1134</v>
      </c>
      <c r="H139" s="245" t="s">
        <v>2193</v>
      </c>
      <c r="I139" s="245" t="s">
        <v>2266</v>
      </c>
      <c r="J139" s="692" t="s">
        <v>58</v>
      </c>
      <c r="K139" s="245" t="s">
        <v>2035</v>
      </c>
      <c r="L139" s="204">
        <v>0.8</v>
      </c>
      <c r="M139" s="918" t="s">
        <v>2270</v>
      </c>
      <c r="N139" s="918" t="s">
        <v>2271</v>
      </c>
      <c r="O139" s="919" t="s">
        <v>2272</v>
      </c>
      <c r="P139" s="208">
        <v>1</v>
      </c>
      <c r="Q139" s="839">
        <v>0.2</v>
      </c>
      <c r="R139" s="208">
        <v>1</v>
      </c>
      <c r="S139" s="208"/>
      <c r="T139" s="764">
        <f t="shared" si="2"/>
        <v>0</v>
      </c>
      <c r="U139" s="208" t="s">
        <v>34</v>
      </c>
      <c r="V139" s="840"/>
      <c r="W139" s="245"/>
    </row>
    <row r="140" spans="1:23" ht="17.55" customHeight="1" x14ac:dyDescent="0.4">
      <c r="A140" s="788">
        <v>139</v>
      </c>
      <c r="B140" s="246" t="s">
        <v>2184</v>
      </c>
      <c r="C140" s="246" t="s">
        <v>2263</v>
      </c>
      <c r="D140" s="836">
        <v>1063</v>
      </c>
      <c r="E140" s="245" t="s">
        <v>2264</v>
      </c>
      <c r="F140" s="245" t="s">
        <v>2265</v>
      </c>
      <c r="G140" s="253">
        <v>1134</v>
      </c>
      <c r="H140" s="245" t="s">
        <v>2193</v>
      </c>
      <c r="I140" s="245" t="s">
        <v>2266</v>
      </c>
      <c r="J140" s="692" t="s">
        <v>58</v>
      </c>
      <c r="K140" s="245" t="s">
        <v>2035</v>
      </c>
      <c r="L140" s="204">
        <v>0.8</v>
      </c>
      <c r="M140" s="918" t="s">
        <v>1139</v>
      </c>
      <c r="N140" s="918" t="s">
        <v>2273</v>
      </c>
      <c r="O140" s="919" t="s">
        <v>2274</v>
      </c>
      <c r="P140" s="208">
        <v>1</v>
      </c>
      <c r="Q140" s="839">
        <v>0.06</v>
      </c>
      <c r="R140" s="208">
        <v>1</v>
      </c>
      <c r="S140" s="208"/>
      <c r="T140" s="764">
        <f t="shared" si="2"/>
        <v>0</v>
      </c>
      <c r="U140" s="208" t="s">
        <v>34</v>
      </c>
      <c r="V140" s="840"/>
      <c r="W140" s="245"/>
    </row>
    <row r="141" spans="1:23" ht="17.55" customHeight="1" x14ac:dyDescent="0.4">
      <c r="A141" s="788">
        <v>140</v>
      </c>
      <c r="B141" s="246" t="s">
        <v>2184</v>
      </c>
      <c r="C141" s="246" t="s">
        <v>2263</v>
      </c>
      <c r="D141" s="836">
        <v>1063</v>
      </c>
      <c r="E141" s="245" t="s">
        <v>2264</v>
      </c>
      <c r="F141" s="245" t="s">
        <v>2265</v>
      </c>
      <c r="G141" s="253">
        <v>1134</v>
      </c>
      <c r="H141" s="245" t="s">
        <v>2193</v>
      </c>
      <c r="I141" s="245" t="s">
        <v>2266</v>
      </c>
      <c r="J141" s="692" t="s">
        <v>58</v>
      </c>
      <c r="K141" s="245" t="s">
        <v>2035</v>
      </c>
      <c r="L141" s="204">
        <v>0.8</v>
      </c>
      <c r="M141" s="918" t="s">
        <v>660</v>
      </c>
      <c r="N141" s="918" t="s">
        <v>2275</v>
      </c>
      <c r="O141" s="919" t="s">
        <v>2276</v>
      </c>
      <c r="P141" s="208">
        <v>1</v>
      </c>
      <c r="Q141" s="839">
        <v>0.14000000000000001</v>
      </c>
      <c r="R141" s="208">
        <v>1</v>
      </c>
      <c r="S141" s="208"/>
      <c r="T141" s="764">
        <f t="shared" si="2"/>
        <v>0</v>
      </c>
      <c r="U141" s="208" t="s">
        <v>34</v>
      </c>
      <c r="V141" s="840"/>
      <c r="W141" s="245"/>
    </row>
    <row r="142" spans="1:23" ht="17.55" customHeight="1" x14ac:dyDescent="0.4">
      <c r="A142" s="788">
        <v>141</v>
      </c>
      <c r="B142" s="246" t="s">
        <v>2184</v>
      </c>
      <c r="C142" s="246" t="s">
        <v>2263</v>
      </c>
      <c r="D142" s="836">
        <v>1063</v>
      </c>
      <c r="E142" s="245" t="s">
        <v>2264</v>
      </c>
      <c r="F142" s="245" t="s">
        <v>2265</v>
      </c>
      <c r="G142" s="253">
        <v>1134</v>
      </c>
      <c r="H142" s="245" t="s">
        <v>2193</v>
      </c>
      <c r="I142" s="245" t="s">
        <v>2266</v>
      </c>
      <c r="J142" s="692" t="s">
        <v>58</v>
      </c>
      <c r="K142" s="245" t="s">
        <v>2035</v>
      </c>
      <c r="L142" s="204">
        <v>0.8</v>
      </c>
      <c r="M142" s="918" t="s">
        <v>1143</v>
      </c>
      <c r="N142" s="918" t="s">
        <v>2277</v>
      </c>
      <c r="O142" s="919" t="s">
        <v>2278</v>
      </c>
      <c r="P142" s="208">
        <v>1</v>
      </c>
      <c r="Q142" s="839">
        <v>0.14000000000000001</v>
      </c>
      <c r="R142" s="208">
        <v>1</v>
      </c>
      <c r="S142" s="208"/>
      <c r="T142" s="764">
        <f t="shared" si="2"/>
        <v>0</v>
      </c>
      <c r="U142" s="208" t="s">
        <v>34</v>
      </c>
      <c r="V142" s="840"/>
      <c r="W142" s="245"/>
    </row>
    <row r="143" spans="1:23" ht="17.55" customHeight="1" x14ac:dyDescent="0.4">
      <c r="A143" s="788">
        <v>142</v>
      </c>
      <c r="B143" s="246" t="s">
        <v>2184</v>
      </c>
      <c r="C143" s="246" t="s">
        <v>2263</v>
      </c>
      <c r="D143" s="836">
        <v>1063</v>
      </c>
      <c r="E143" s="245" t="s">
        <v>2264</v>
      </c>
      <c r="F143" s="245" t="s">
        <v>2265</v>
      </c>
      <c r="G143" s="253">
        <v>1134</v>
      </c>
      <c r="H143" s="245" t="s">
        <v>2193</v>
      </c>
      <c r="I143" s="245" t="s">
        <v>2266</v>
      </c>
      <c r="J143" s="692" t="s">
        <v>58</v>
      </c>
      <c r="K143" s="245" t="s">
        <v>2035</v>
      </c>
      <c r="L143" s="204">
        <v>0.8</v>
      </c>
      <c r="M143" s="918" t="s">
        <v>665</v>
      </c>
      <c r="N143" s="918" t="s">
        <v>2279</v>
      </c>
      <c r="O143" s="919" t="s">
        <v>2280</v>
      </c>
      <c r="P143" s="208">
        <v>1</v>
      </c>
      <c r="Q143" s="839">
        <v>0.14000000000000001</v>
      </c>
      <c r="R143" s="208">
        <v>1</v>
      </c>
      <c r="S143" s="208"/>
      <c r="T143" s="764">
        <f t="shared" si="2"/>
        <v>0</v>
      </c>
      <c r="U143" s="208" t="s">
        <v>34</v>
      </c>
      <c r="V143" s="840"/>
      <c r="W143" s="245"/>
    </row>
    <row r="144" spans="1:23" ht="17.55" customHeight="1" x14ac:dyDescent="0.4">
      <c r="A144" s="788">
        <v>143</v>
      </c>
      <c r="B144" s="246" t="s">
        <v>2184</v>
      </c>
      <c r="C144" s="246" t="s">
        <v>2263</v>
      </c>
      <c r="D144" s="836">
        <v>1063</v>
      </c>
      <c r="E144" s="245" t="s">
        <v>2264</v>
      </c>
      <c r="F144" s="245" t="s">
        <v>2265</v>
      </c>
      <c r="G144" s="253">
        <v>1134</v>
      </c>
      <c r="H144" s="245" t="s">
        <v>2193</v>
      </c>
      <c r="I144" s="245" t="s">
        <v>2266</v>
      </c>
      <c r="J144" s="692" t="s">
        <v>58</v>
      </c>
      <c r="K144" s="245" t="s">
        <v>2035</v>
      </c>
      <c r="L144" s="204">
        <v>0.8</v>
      </c>
      <c r="M144" s="918" t="s">
        <v>1146</v>
      </c>
      <c r="N144" s="918" t="s">
        <v>2281</v>
      </c>
      <c r="O144" s="919" t="s">
        <v>2282</v>
      </c>
      <c r="P144" s="208">
        <v>1</v>
      </c>
      <c r="Q144" s="839">
        <v>0.12</v>
      </c>
      <c r="R144" s="208">
        <v>1</v>
      </c>
      <c r="S144" s="208"/>
      <c r="T144" s="764">
        <f t="shared" si="2"/>
        <v>0</v>
      </c>
      <c r="U144" s="208" t="s">
        <v>34</v>
      </c>
      <c r="V144" s="840"/>
      <c r="W144" s="245"/>
    </row>
    <row r="145" spans="1:23" ht="17.55" customHeight="1" x14ac:dyDescent="0.4">
      <c r="A145" s="788">
        <v>144</v>
      </c>
      <c r="B145" s="246" t="s">
        <v>2184</v>
      </c>
      <c r="C145" s="246" t="s">
        <v>2263</v>
      </c>
      <c r="D145" s="836">
        <v>1063</v>
      </c>
      <c r="E145" s="245" t="s">
        <v>2264</v>
      </c>
      <c r="F145" s="245" t="s">
        <v>2265</v>
      </c>
      <c r="G145" s="253">
        <v>1134</v>
      </c>
      <c r="H145" s="198" t="s">
        <v>2193</v>
      </c>
      <c r="I145" s="198" t="s">
        <v>2266</v>
      </c>
      <c r="J145" s="199" t="s">
        <v>111</v>
      </c>
      <c r="K145" s="199" t="s">
        <v>110</v>
      </c>
      <c r="L145" s="650">
        <v>0.2</v>
      </c>
      <c r="M145" s="920" t="s">
        <v>1149</v>
      </c>
      <c r="N145" s="920" t="s">
        <v>2283</v>
      </c>
      <c r="O145" s="921" t="s">
        <v>2284</v>
      </c>
      <c r="P145" s="218">
        <v>1</v>
      </c>
      <c r="Q145" s="849">
        <v>0.4</v>
      </c>
      <c r="R145" s="218">
        <v>1</v>
      </c>
      <c r="S145" s="218"/>
      <c r="T145" s="765">
        <f t="shared" si="2"/>
        <v>0</v>
      </c>
      <c r="U145" s="218" t="s">
        <v>34</v>
      </c>
      <c r="V145" s="799"/>
      <c r="W145" s="198"/>
    </row>
    <row r="146" spans="1:23" ht="17.55" customHeight="1" x14ac:dyDescent="0.4">
      <c r="A146" s="788">
        <v>145</v>
      </c>
      <c r="B146" s="246" t="s">
        <v>2184</v>
      </c>
      <c r="C146" s="246" t="s">
        <v>2263</v>
      </c>
      <c r="D146" s="836">
        <v>1063</v>
      </c>
      <c r="E146" s="245" t="s">
        <v>2264</v>
      </c>
      <c r="F146" s="245" t="s">
        <v>2265</v>
      </c>
      <c r="G146" s="253">
        <v>1134</v>
      </c>
      <c r="H146" s="198" t="s">
        <v>2193</v>
      </c>
      <c r="I146" s="198" t="s">
        <v>2266</v>
      </c>
      <c r="J146" s="199" t="s">
        <v>111</v>
      </c>
      <c r="K146" s="199" t="s">
        <v>110</v>
      </c>
      <c r="L146" s="650">
        <v>0.2</v>
      </c>
      <c r="M146" s="920" t="s">
        <v>1151</v>
      </c>
      <c r="N146" s="920" t="s">
        <v>2285</v>
      </c>
      <c r="O146" s="921" t="s">
        <v>2286</v>
      </c>
      <c r="P146" s="218">
        <v>1</v>
      </c>
      <c r="Q146" s="849">
        <v>0.2</v>
      </c>
      <c r="R146" s="218">
        <v>1</v>
      </c>
      <c r="S146" s="218"/>
      <c r="T146" s="845">
        <f t="shared" si="2"/>
        <v>0</v>
      </c>
      <c r="U146" s="218" t="s">
        <v>34</v>
      </c>
      <c r="V146" s="799"/>
      <c r="W146" s="198"/>
    </row>
    <row r="147" spans="1:23" ht="17.55" customHeight="1" x14ac:dyDescent="0.4">
      <c r="A147" s="788">
        <v>146</v>
      </c>
      <c r="B147" s="246" t="s">
        <v>2184</v>
      </c>
      <c r="C147" s="246" t="s">
        <v>2263</v>
      </c>
      <c r="D147" s="836">
        <v>1063</v>
      </c>
      <c r="E147" s="245" t="s">
        <v>2264</v>
      </c>
      <c r="F147" s="245" t="s">
        <v>2265</v>
      </c>
      <c r="G147" s="253">
        <v>1134</v>
      </c>
      <c r="H147" s="198" t="s">
        <v>2193</v>
      </c>
      <c r="I147" s="198" t="s">
        <v>2266</v>
      </c>
      <c r="J147" s="199" t="s">
        <v>111</v>
      </c>
      <c r="K147" s="199" t="s">
        <v>110</v>
      </c>
      <c r="L147" s="650">
        <v>0.2</v>
      </c>
      <c r="M147" s="920" t="s">
        <v>1156</v>
      </c>
      <c r="N147" s="920" t="s">
        <v>2287</v>
      </c>
      <c r="O147" s="921" t="s">
        <v>2288</v>
      </c>
      <c r="P147" s="218">
        <v>1</v>
      </c>
      <c r="Q147" s="849">
        <v>0.4</v>
      </c>
      <c r="R147" s="218">
        <v>1</v>
      </c>
      <c r="S147" s="218"/>
      <c r="T147" s="765">
        <f t="shared" si="2"/>
        <v>0</v>
      </c>
      <c r="U147" s="218" t="s">
        <v>34</v>
      </c>
      <c r="V147" s="799"/>
      <c r="W147" s="198"/>
    </row>
    <row r="148" spans="1:23" ht="17.55" customHeight="1" x14ac:dyDescent="0.4">
      <c r="A148" s="788">
        <v>147</v>
      </c>
      <c r="B148" s="187" t="s">
        <v>2184</v>
      </c>
      <c r="C148" s="187" t="s">
        <v>2263</v>
      </c>
      <c r="D148" s="830">
        <v>1063</v>
      </c>
      <c r="E148" s="236" t="s">
        <v>2264</v>
      </c>
      <c r="F148" s="236" t="s">
        <v>2265</v>
      </c>
      <c r="G148" s="243">
        <v>1134</v>
      </c>
      <c r="H148" s="236" t="s">
        <v>2193</v>
      </c>
      <c r="I148" s="236" t="s">
        <v>870</v>
      </c>
      <c r="J148" s="187" t="s">
        <v>58</v>
      </c>
      <c r="K148" s="236" t="s">
        <v>2035</v>
      </c>
      <c r="L148" s="855">
        <v>0.8</v>
      </c>
      <c r="M148" s="922"/>
      <c r="N148" s="923" t="s">
        <v>2289</v>
      </c>
      <c r="O148" s="917"/>
      <c r="P148" s="197">
        <v>1</v>
      </c>
      <c r="Q148" s="833">
        <v>0.1</v>
      </c>
      <c r="R148" s="197">
        <v>1</v>
      </c>
      <c r="S148" s="197"/>
      <c r="T148" s="834">
        <f t="shared" si="2"/>
        <v>0</v>
      </c>
      <c r="U148" s="197" t="s">
        <v>34</v>
      </c>
      <c r="V148" s="1953">
        <f>SUM(T148:T159)%</f>
        <v>0</v>
      </c>
      <c r="W148" s="710" t="s">
        <v>2269</v>
      </c>
    </row>
    <row r="149" spans="1:23" ht="17.55" customHeight="1" x14ac:dyDescent="0.4">
      <c r="A149" s="788">
        <v>148</v>
      </c>
      <c r="B149" s="246" t="s">
        <v>2184</v>
      </c>
      <c r="C149" s="246" t="s">
        <v>2263</v>
      </c>
      <c r="D149" s="836">
        <v>1063</v>
      </c>
      <c r="E149" s="245" t="s">
        <v>2264</v>
      </c>
      <c r="F149" s="245" t="s">
        <v>2265</v>
      </c>
      <c r="G149" s="253">
        <v>1134</v>
      </c>
      <c r="H149" s="198" t="s">
        <v>2193</v>
      </c>
      <c r="I149" s="198" t="s">
        <v>870</v>
      </c>
      <c r="J149" s="692" t="s">
        <v>58</v>
      </c>
      <c r="K149" s="245" t="s">
        <v>2035</v>
      </c>
      <c r="L149" s="204">
        <v>0.8</v>
      </c>
      <c r="M149" s="918"/>
      <c r="N149" s="924" t="s">
        <v>2290</v>
      </c>
      <c r="O149" s="919"/>
      <c r="P149" s="208">
        <v>1</v>
      </c>
      <c r="Q149" s="839">
        <v>0.1</v>
      </c>
      <c r="R149" s="208">
        <v>1</v>
      </c>
      <c r="S149" s="208"/>
      <c r="T149" s="764">
        <f t="shared" si="2"/>
        <v>0</v>
      </c>
      <c r="U149" s="208" t="s">
        <v>34</v>
      </c>
      <c r="V149" s="840"/>
      <c r="W149" s="799"/>
    </row>
    <row r="150" spans="1:23" ht="17.55" customHeight="1" x14ac:dyDescent="0.4">
      <c r="A150" s="788">
        <v>149</v>
      </c>
      <c r="B150" s="246" t="s">
        <v>2184</v>
      </c>
      <c r="C150" s="246" t="s">
        <v>2263</v>
      </c>
      <c r="D150" s="836">
        <v>1063</v>
      </c>
      <c r="E150" s="245" t="s">
        <v>2264</v>
      </c>
      <c r="F150" s="245" t="s">
        <v>2265</v>
      </c>
      <c r="G150" s="253">
        <v>1134</v>
      </c>
      <c r="H150" s="198" t="s">
        <v>2193</v>
      </c>
      <c r="I150" s="198" t="s">
        <v>870</v>
      </c>
      <c r="J150" s="692" t="s">
        <v>58</v>
      </c>
      <c r="K150" s="245" t="s">
        <v>2035</v>
      </c>
      <c r="L150" s="204">
        <v>0.8</v>
      </c>
      <c r="M150" s="918"/>
      <c r="N150" s="924" t="s">
        <v>2291</v>
      </c>
      <c r="O150" s="919"/>
      <c r="P150" s="208">
        <v>1</v>
      </c>
      <c r="Q150" s="839">
        <v>0.1</v>
      </c>
      <c r="R150" s="208">
        <v>1</v>
      </c>
      <c r="S150" s="208"/>
      <c r="T150" s="764">
        <f t="shared" si="2"/>
        <v>0</v>
      </c>
      <c r="U150" s="208" t="s">
        <v>34</v>
      </c>
      <c r="V150" s="840"/>
      <c r="W150" s="799"/>
    </row>
    <row r="151" spans="1:23" ht="17.55" customHeight="1" x14ac:dyDescent="0.4">
      <c r="A151" s="788">
        <v>150</v>
      </c>
      <c r="B151" s="246" t="s">
        <v>2184</v>
      </c>
      <c r="C151" s="246" t="s">
        <v>2263</v>
      </c>
      <c r="D151" s="836">
        <v>1063</v>
      </c>
      <c r="E151" s="245" t="s">
        <v>2264</v>
      </c>
      <c r="F151" s="245" t="s">
        <v>2265</v>
      </c>
      <c r="G151" s="253">
        <v>1134</v>
      </c>
      <c r="H151" s="198" t="s">
        <v>2193</v>
      </c>
      <c r="I151" s="198" t="s">
        <v>870</v>
      </c>
      <c r="J151" s="692" t="s">
        <v>58</v>
      </c>
      <c r="K151" s="245" t="s">
        <v>2035</v>
      </c>
      <c r="L151" s="204">
        <v>0.8</v>
      </c>
      <c r="M151" s="918"/>
      <c r="N151" s="924" t="s">
        <v>2292</v>
      </c>
      <c r="O151" s="919"/>
      <c r="P151" s="208">
        <v>1</v>
      </c>
      <c r="Q151" s="839">
        <v>0.1</v>
      </c>
      <c r="R151" s="208">
        <v>1</v>
      </c>
      <c r="S151" s="208"/>
      <c r="T151" s="764">
        <f t="shared" si="2"/>
        <v>0</v>
      </c>
      <c r="U151" s="208" t="s">
        <v>34</v>
      </c>
      <c r="V151" s="840"/>
      <c r="W151" s="799"/>
    </row>
    <row r="152" spans="1:23" ht="17.55" customHeight="1" x14ac:dyDescent="0.4">
      <c r="A152" s="788">
        <v>151</v>
      </c>
      <c r="B152" s="246" t="s">
        <v>2184</v>
      </c>
      <c r="C152" s="246" t="s">
        <v>2263</v>
      </c>
      <c r="D152" s="836">
        <v>1063</v>
      </c>
      <c r="E152" s="245" t="s">
        <v>2264</v>
      </c>
      <c r="F152" s="245" t="s">
        <v>2265</v>
      </c>
      <c r="G152" s="253">
        <v>1134</v>
      </c>
      <c r="H152" s="198" t="s">
        <v>2193</v>
      </c>
      <c r="I152" s="198" t="s">
        <v>870</v>
      </c>
      <c r="J152" s="692" t="s">
        <v>58</v>
      </c>
      <c r="K152" s="245" t="s">
        <v>2035</v>
      </c>
      <c r="L152" s="204">
        <v>0.8</v>
      </c>
      <c r="M152" s="918"/>
      <c r="N152" s="924" t="s">
        <v>2293</v>
      </c>
      <c r="O152" s="919"/>
      <c r="P152" s="208">
        <v>1</v>
      </c>
      <c r="Q152" s="839">
        <v>0.15</v>
      </c>
      <c r="R152" s="208">
        <v>1</v>
      </c>
      <c r="S152" s="208"/>
      <c r="T152" s="764">
        <f t="shared" si="2"/>
        <v>0</v>
      </c>
      <c r="U152" s="208" t="s">
        <v>34</v>
      </c>
      <c r="V152" s="840"/>
      <c r="W152" s="799"/>
    </row>
    <row r="153" spans="1:23" ht="17.55" customHeight="1" x14ac:dyDescent="0.4">
      <c r="A153" s="788">
        <v>152</v>
      </c>
      <c r="B153" s="246" t="s">
        <v>2184</v>
      </c>
      <c r="C153" s="246" t="s">
        <v>2263</v>
      </c>
      <c r="D153" s="836">
        <v>1063</v>
      </c>
      <c r="E153" s="245" t="s">
        <v>2264</v>
      </c>
      <c r="F153" s="245" t="s">
        <v>2265</v>
      </c>
      <c r="G153" s="253">
        <v>1134</v>
      </c>
      <c r="H153" s="198" t="s">
        <v>2193</v>
      </c>
      <c r="I153" s="198" t="s">
        <v>870</v>
      </c>
      <c r="J153" s="692" t="s">
        <v>58</v>
      </c>
      <c r="K153" s="245" t="s">
        <v>2035</v>
      </c>
      <c r="L153" s="204">
        <v>0.8</v>
      </c>
      <c r="M153" s="918"/>
      <c r="N153" s="924" t="s">
        <v>2294</v>
      </c>
      <c r="O153" s="919"/>
      <c r="P153" s="208">
        <v>1</v>
      </c>
      <c r="Q153" s="839">
        <v>0.1</v>
      </c>
      <c r="R153" s="208">
        <v>1</v>
      </c>
      <c r="S153" s="208"/>
      <c r="T153" s="764">
        <f t="shared" si="2"/>
        <v>0</v>
      </c>
      <c r="U153" s="208" t="s">
        <v>34</v>
      </c>
      <c r="V153" s="840"/>
      <c r="W153" s="799"/>
    </row>
    <row r="154" spans="1:23" ht="17.55" customHeight="1" x14ac:dyDescent="0.4">
      <c r="A154" s="788">
        <v>153</v>
      </c>
      <c r="B154" s="246" t="s">
        <v>2184</v>
      </c>
      <c r="C154" s="246" t="s">
        <v>2263</v>
      </c>
      <c r="D154" s="836">
        <v>1063</v>
      </c>
      <c r="E154" s="245" t="s">
        <v>2264</v>
      </c>
      <c r="F154" s="245" t="s">
        <v>2265</v>
      </c>
      <c r="G154" s="253">
        <v>1134</v>
      </c>
      <c r="H154" s="198" t="s">
        <v>2193</v>
      </c>
      <c r="I154" s="198" t="s">
        <v>870</v>
      </c>
      <c r="J154" s="692" t="s">
        <v>58</v>
      </c>
      <c r="K154" s="245" t="s">
        <v>2035</v>
      </c>
      <c r="L154" s="204">
        <v>0.8</v>
      </c>
      <c r="M154" s="918"/>
      <c r="N154" s="924" t="s">
        <v>2295</v>
      </c>
      <c r="O154" s="919"/>
      <c r="P154" s="208">
        <v>1</v>
      </c>
      <c r="Q154" s="839">
        <v>0.15</v>
      </c>
      <c r="R154" s="208">
        <v>1</v>
      </c>
      <c r="S154" s="208"/>
      <c r="T154" s="764">
        <f t="shared" si="2"/>
        <v>0</v>
      </c>
      <c r="U154" s="208" t="s">
        <v>34</v>
      </c>
      <c r="V154" s="840"/>
      <c r="W154" s="799"/>
    </row>
    <row r="155" spans="1:23" ht="17.55" customHeight="1" x14ac:dyDescent="0.4">
      <c r="A155" s="788">
        <v>154</v>
      </c>
      <c r="B155" s="246" t="s">
        <v>2184</v>
      </c>
      <c r="C155" s="246" t="s">
        <v>2263</v>
      </c>
      <c r="D155" s="836">
        <v>1063</v>
      </c>
      <c r="E155" s="245" t="s">
        <v>2264</v>
      </c>
      <c r="F155" s="245" t="s">
        <v>2265</v>
      </c>
      <c r="G155" s="253">
        <v>1134</v>
      </c>
      <c r="H155" s="198" t="s">
        <v>2193</v>
      </c>
      <c r="I155" s="198" t="s">
        <v>870</v>
      </c>
      <c r="J155" s="692" t="s">
        <v>58</v>
      </c>
      <c r="K155" s="245" t="s">
        <v>2035</v>
      </c>
      <c r="L155" s="204">
        <v>0.8</v>
      </c>
      <c r="M155" s="918"/>
      <c r="N155" s="924" t="s">
        <v>2296</v>
      </c>
      <c r="O155" s="919"/>
      <c r="P155" s="208">
        <v>1</v>
      </c>
      <c r="Q155" s="839">
        <v>0.1</v>
      </c>
      <c r="R155" s="208">
        <v>1</v>
      </c>
      <c r="S155" s="208"/>
      <c r="T155" s="764">
        <f t="shared" si="2"/>
        <v>0</v>
      </c>
      <c r="U155" s="208" t="s">
        <v>34</v>
      </c>
      <c r="V155" s="840"/>
      <c r="W155" s="799"/>
    </row>
    <row r="156" spans="1:23" ht="17.55" customHeight="1" x14ac:dyDescent="0.4">
      <c r="A156" s="788">
        <v>155</v>
      </c>
      <c r="B156" s="246" t="s">
        <v>2184</v>
      </c>
      <c r="C156" s="246" t="s">
        <v>2263</v>
      </c>
      <c r="D156" s="836">
        <v>1063</v>
      </c>
      <c r="E156" s="245" t="s">
        <v>2264</v>
      </c>
      <c r="F156" s="245" t="s">
        <v>2265</v>
      </c>
      <c r="G156" s="253">
        <v>1134</v>
      </c>
      <c r="H156" s="198" t="s">
        <v>2193</v>
      </c>
      <c r="I156" s="198" t="s">
        <v>870</v>
      </c>
      <c r="J156" s="692" t="s">
        <v>58</v>
      </c>
      <c r="K156" s="245" t="s">
        <v>2035</v>
      </c>
      <c r="L156" s="204">
        <v>0.8</v>
      </c>
      <c r="M156" s="918"/>
      <c r="N156" s="924" t="s">
        <v>2297</v>
      </c>
      <c r="O156" s="919"/>
      <c r="P156" s="208">
        <v>1</v>
      </c>
      <c r="Q156" s="839">
        <v>0.1</v>
      </c>
      <c r="R156" s="208">
        <v>1</v>
      </c>
      <c r="S156" s="208"/>
      <c r="T156" s="764">
        <f t="shared" si="2"/>
        <v>0</v>
      </c>
      <c r="U156" s="208" t="s">
        <v>34</v>
      </c>
      <c r="V156" s="840"/>
      <c r="W156" s="799"/>
    </row>
    <row r="157" spans="1:23" ht="17.55" customHeight="1" x14ac:dyDescent="0.4">
      <c r="A157" s="788">
        <v>156</v>
      </c>
      <c r="B157" s="246" t="s">
        <v>2184</v>
      </c>
      <c r="C157" s="246" t="s">
        <v>2263</v>
      </c>
      <c r="D157" s="836">
        <v>1063</v>
      </c>
      <c r="E157" s="245" t="s">
        <v>2264</v>
      </c>
      <c r="F157" s="245" t="s">
        <v>2265</v>
      </c>
      <c r="G157" s="253">
        <v>1134</v>
      </c>
      <c r="H157" s="198" t="s">
        <v>2193</v>
      </c>
      <c r="I157" s="198" t="s">
        <v>870</v>
      </c>
      <c r="J157" s="199" t="s">
        <v>111</v>
      </c>
      <c r="K157" s="199" t="s">
        <v>110</v>
      </c>
      <c r="L157" s="650">
        <v>0.2</v>
      </c>
      <c r="M157" s="920"/>
      <c r="N157" s="925" t="s">
        <v>2298</v>
      </c>
      <c r="O157" s="921"/>
      <c r="P157" s="218">
        <v>1</v>
      </c>
      <c r="Q157" s="849">
        <v>0.4</v>
      </c>
      <c r="R157" s="218">
        <v>1</v>
      </c>
      <c r="S157" s="218"/>
      <c r="T157" s="765">
        <f t="shared" si="2"/>
        <v>0</v>
      </c>
      <c r="U157" s="218" t="s">
        <v>34</v>
      </c>
      <c r="V157" s="799"/>
      <c r="W157" s="799"/>
    </row>
    <row r="158" spans="1:23" ht="17.55" customHeight="1" x14ac:dyDescent="0.4">
      <c r="A158" s="788">
        <v>157</v>
      </c>
      <c r="B158" s="246" t="s">
        <v>2184</v>
      </c>
      <c r="C158" s="246" t="s">
        <v>2263</v>
      </c>
      <c r="D158" s="836">
        <v>1063</v>
      </c>
      <c r="E158" s="245" t="s">
        <v>2264</v>
      </c>
      <c r="F158" s="245" t="s">
        <v>2265</v>
      </c>
      <c r="G158" s="253">
        <v>1134</v>
      </c>
      <c r="H158" s="198" t="s">
        <v>2193</v>
      </c>
      <c r="I158" s="198" t="s">
        <v>870</v>
      </c>
      <c r="J158" s="199" t="s">
        <v>111</v>
      </c>
      <c r="K158" s="199" t="s">
        <v>110</v>
      </c>
      <c r="L158" s="650">
        <v>0.2</v>
      </c>
      <c r="M158" s="920"/>
      <c r="N158" s="925" t="s">
        <v>2299</v>
      </c>
      <c r="O158" s="921"/>
      <c r="P158" s="218">
        <v>1</v>
      </c>
      <c r="Q158" s="849">
        <v>0.2</v>
      </c>
      <c r="R158" s="218">
        <v>1</v>
      </c>
      <c r="S158" s="218"/>
      <c r="T158" s="845">
        <f t="shared" si="2"/>
        <v>0</v>
      </c>
      <c r="U158" s="218" t="s">
        <v>34</v>
      </c>
      <c r="V158" s="799"/>
      <c r="W158" s="799"/>
    </row>
    <row r="159" spans="1:23" ht="17.55" customHeight="1" x14ac:dyDescent="0.4">
      <c r="A159" s="788">
        <v>158</v>
      </c>
      <c r="B159" s="246" t="s">
        <v>2184</v>
      </c>
      <c r="C159" s="246" t="s">
        <v>2263</v>
      </c>
      <c r="D159" s="836">
        <v>1063</v>
      </c>
      <c r="E159" s="245" t="s">
        <v>2264</v>
      </c>
      <c r="F159" s="245" t="s">
        <v>2265</v>
      </c>
      <c r="G159" s="253">
        <v>1134</v>
      </c>
      <c r="H159" s="198" t="s">
        <v>2193</v>
      </c>
      <c r="I159" s="198" t="s">
        <v>870</v>
      </c>
      <c r="J159" s="199" t="s">
        <v>111</v>
      </c>
      <c r="K159" s="199" t="s">
        <v>110</v>
      </c>
      <c r="L159" s="650">
        <v>0.2</v>
      </c>
      <c r="M159" s="920"/>
      <c r="N159" s="925" t="s">
        <v>2300</v>
      </c>
      <c r="O159" s="921"/>
      <c r="P159" s="218">
        <v>1</v>
      </c>
      <c r="Q159" s="849">
        <v>0.4</v>
      </c>
      <c r="R159" s="218">
        <v>1</v>
      </c>
      <c r="S159" s="218"/>
      <c r="T159" s="765">
        <f t="shared" si="2"/>
        <v>0</v>
      </c>
      <c r="U159" s="218" t="s">
        <v>34</v>
      </c>
      <c r="V159" s="799"/>
      <c r="W159" s="799"/>
    </row>
    <row r="160" spans="1:23" ht="17.55" customHeight="1" x14ac:dyDescent="0.4">
      <c r="A160" s="788">
        <v>159</v>
      </c>
      <c r="B160" s="187" t="s">
        <v>2184</v>
      </c>
      <c r="C160" s="187" t="s">
        <v>24</v>
      </c>
      <c r="D160" s="830">
        <v>1088</v>
      </c>
      <c r="E160" s="236" t="s">
        <v>2301</v>
      </c>
      <c r="F160" s="236" t="s">
        <v>2302</v>
      </c>
      <c r="G160" s="243">
        <v>1134</v>
      </c>
      <c r="H160" s="236" t="s">
        <v>2193</v>
      </c>
      <c r="I160" s="236" t="s">
        <v>881</v>
      </c>
      <c r="J160" s="187" t="s">
        <v>58</v>
      </c>
      <c r="K160" s="187" t="s">
        <v>2035</v>
      </c>
      <c r="L160" s="713">
        <v>0.5</v>
      </c>
      <c r="M160" s="191" t="s">
        <v>2303</v>
      </c>
      <c r="N160" s="192" t="s">
        <v>2304</v>
      </c>
      <c r="O160" s="193"/>
      <c r="P160" s="225">
        <v>200000000</v>
      </c>
      <c r="Q160" s="926">
        <v>0.1</v>
      </c>
      <c r="R160" s="225">
        <v>200000000</v>
      </c>
      <c r="S160" s="225"/>
      <c r="T160" s="196">
        <f t="shared" si="2"/>
        <v>0</v>
      </c>
      <c r="U160" s="197" t="s">
        <v>34</v>
      </c>
      <c r="V160" s="1953">
        <f>SUM(T160:T169)%</f>
        <v>0</v>
      </c>
      <c r="W160" s="236"/>
    </row>
    <row r="161" spans="1:23" ht="17.55" customHeight="1" x14ac:dyDescent="0.4">
      <c r="A161" s="788">
        <v>160</v>
      </c>
      <c r="B161" s="246" t="s">
        <v>2184</v>
      </c>
      <c r="C161" s="246" t="s">
        <v>24</v>
      </c>
      <c r="D161" s="836">
        <v>1088</v>
      </c>
      <c r="E161" s="198" t="s">
        <v>2301</v>
      </c>
      <c r="F161" s="198" t="s">
        <v>2302</v>
      </c>
      <c r="G161" s="253">
        <v>1134</v>
      </c>
      <c r="H161" s="198" t="s">
        <v>2193</v>
      </c>
      <c r="I161" s="198" t="s">
        <v>881</v>
      </c>
      <c r="J161" s="692" t="s">
        <v>58</v>
      </c>
      <c r="K161" s="246" t="s">
        <v>2035</v>
      </c>
      <c r="L161" s="723">
        <v>0.5</v>
      </c>
      <c r="M161" s="202" t="s">
        <v>2305</v>
      </c>
      <c r="N161" s="203" t="s">
        <v>2306</v>
      </c>
      <c r="O161" s="211"/>
      <c r="P161" s="657">
        <v>0.7</v>
      </c>
      <c r="Q161" s="927">
        <v>0.2</v>
      </c>
      <c r="R161" s="657">
        <v>0.7</v>
      </c>
      <c r="S161" s="657"/>
      <c r="T161" s="207">
        <f t="shared" si="2"/>
        <v>0</v>
      </c>
      <c r="U161" s="208" t="s">
        <v>34</v>
      </c>
      <c r="V161" s="840"/>
      <c r="W161" s="198"/>
    </row>
    <row r="162" spans="1:23" ht="17.55" customHeight="1" x14ac:dyDescent="0.4">
      <c r="A162" s="788">
        <v>161</v>
      </c>
      <c r="B162" s="246" t="s">
        <v>2184</v>
      </c>
      <c r="C162" s="246" t="s">
        <v>24</v>
      </c>
      <c r="D162" s="836">
        <v>1088</v>
      </c>
      <c r="E162" s="198" t="s">
        <v>2301</v>
      </c>
      <c r="F162" s="198" t="s">
        <v>2302</v>
      </c>
      <c r="G162" s="253">
        <v>1134</v>
      </c>
      <c r="H162" s="198" t="s">
        <v>2193</v>
      </c>
      <c r="I162" s="198" t="s">
        <v>881</v>
      </c>
      <c r="J162" s="692" t="s">
        <v>58</v>
      </c>
      <c r="K162" s="246" t="s">
        <v>2035</v>
      </c>
      <c r="L162" s="723">
        <v>0.5</v>
      </c>
      <c r="M162" s="202" t="s">
        <v>2307</v>
      </c>
      <c r="N162" s="203" t="s">
        <v>2308</v>
      </c>
      <c r="O162" s="211"/>
      <c r="P162" s="657">
        <v>0.2</v>
      </c>
      <c r="Q162" s="927">
        <v>0.2</v>
      </c>
      <c r="R162" s="657">
        <v>0.2</v>
      </c>
      <c r="S162" s="657"/>
      <c r="T162" s="207">
        <f t="shared" si="2"/>
        <v>0</v>
      </c>
      <c r="U162" s="208" t="s">
        <v>83</v>
      </c>
      <c r="V162" s="840"/>
      <c r="W162" s="198"/>
    </row>
    <row r="163" spans="1:23" ht="17.55" customHeight="1" x14ac:dyDescent="0.4">
      <c r="A163" s="788">
        <v>162</v>
      </c>
      <c r="B163" s="246" t="s">
        <v>2184</v>
      </c>
      <c r="C163" s="246" t="s">
        <v>24</v>
      </c>
      <c r="D163" s="836">
        <v>1088</v>
      </c>
      <c r="E163" s="198" t="s">
        <v>2301</v>
      </c>
      <c r="F163" s="198" t="s">
        <v>2302</v>
      </c>
      <c r="G163" s="253">
        <v>1134</v>
      </c>
      <c r="H163" s="198" t="s">
        <v>2193</v>
      </c>
      <c r="I163" s="198" t="s">
        <v>881</v>
      </c>
      <c r="J163" s="692" t="s">
        <v>58</v>
      </c>
      <c r="K163" s="246" t="s">
        <v>2035</v>
      </c>
      <c r="L163" s="723">
        <v>0.5</v>
      </c>
      <c r="M163" s="202" t="s">
        <v>2309</v>
      </c>
      <c r="N163" s="203" t="s">
        <v>2310</v>
      </c>
      <c r="O163" s="211"/>
      <c r="P163" s="228">
        <v>12</v>
      </c>
      <c r="Q163" s="927">
        <v>0.15</v>
      </c>
      <c r="R163" s="228">
        <v>12</v>
      </c>
      <c r="S163" s="228"/>
      <c r="T163" s="207">
        <f t="shared" si="2"/>
        <v>0</v>
      </c>
      <c r="U163" s="208" t="s">
        <v>34</v>
      </c>
      <c r="V163" s="840"/>
      <c r="W163" s="198"/>
    </row>
    <row r="164" spans="1:23" ht="17.55" customHeight="1" x14ac:dyDescent="0.4">
      <c r="A164" s="788">
        <v>163</v>
      </c>
      <c r="B164" s="246" t="s">
        <v>2184</v>
      </c>
      <c r="C164" s="246" t="s">
        <v>24</v>
      </c>
      <c r="D164" s="836">
        <v>1088</v>
      </c>
      <c r="E164" s="198" t="s">
        <v>2301</v>
      </c>
      <c r="F164" s="198" t="s">
        <v>2302</v>
      </c>
      <c r="G164" s="253">
        <v>1134</v>
      </c>
      <c r="H164" s="198" t="s">
        <v>2193</v>
      </c>
      <c r="I164" s="198" t="s">
        <v>881</v>
      </c>
      <c r="J164" s="692" t="s">
        <v>58</v>
      </c>
      <c r="K164" s="246" t="s">
        <v>2035</v>
      </c>
      <c r="L164" s="723">
        <v>0.5</v>
      </c>
      <c r="M164" s="202" t="s">
        <v>2311</v>
      </c>
      <c r="N164" s="203" t="s">
        <v>2312</v>
      </c>
      <c r="O164" s="211"/>
      <c r="P164" s="228">
        <v>24</v>
      </c>
      <c r="Q164" s="927">
        <v>0.2</v>
      </c>
      <c r="R164" s="228">
        <v>24</v>
      </c>
      <c r="S164" s="228"/>
      <c r="T164" s="207">
        <f t="shared" si="2"/>
        <v>0</v>
      </c>
      <c r="U164" s="208" t="s">
        <v>34</v>
      </c>
      <c r="V164" s="840"/>
      <c r="W164" s="198"/>
    </row>
    <row r="165" spans="1:23" ht="17.55" customHeight="1" x14ac:dyDescent="0.4">
      <c r="A165" s="788">
        <v>164</v>
      </c>
      <c r="B165" s="246" t="s">
        <v>2184</v>
      </c>
      <c r="C165" s="246" t="s">
        <v>24</v>
      </c>
      <c r="D165" s="836">
        <v>1088</v>
      </c>
      <c r="E165" s="198" t="s">
        <v>2301</v>
      </c>
      <c r="F165" s="198" t="s">
        <v>2302</v>
      </c>
      <c r="G165" s="253">
        <v>1134</v>
      </c>
      <c r="H165" s="198" t="s">
        <v>2193</v>
      </c>
      <c r="I165" s="198" t="s">
        <v>881</v>
      </c>
      <c r="J165" s="692" t="s">
        <v>58</v>
      </c>
      <c r="K165" s="246" t="s">
        <v>2035</v>
      </c>
      <c r="L165" s="723">
        <v>0.5</v>
      </c>
      <c r="M165" s="202" t="s">
        <v>2313</v>
      </c>
      <c r="N165" s="203" t="s">
        <v>2314</v>
      </c>
      <c r="O165" s="211"/>
      <c r="P165" s="928">
        <v>3</v>
      </c>
      <c r="Q165" s="927">
        <v>0.15</v>
      </c>
      <c r="R165" s="928">
        <v>3</v>
      </c>
      <c r="S165" s="928"/>
      <c r="T165" s="207">
        <f t="shared" si="2"/>
        <v>0</v>
      </c>
      <c r="U165" s="208" t="s">
        <v>34</v>
      </c>
      <c r="V165" s="840"/>
      <c r="W165" s="198"/>
    </row>
    <row r="166" spans="1:23" ht="17.55" customHeight="1" x14ac:dyDescent="0.4">
      <c r="A166" s="788">
        <v>165</v>
      </c>
      <c r="B166" s="246" t="s">
        <v>2184</v>
      </c>
      <c r="C166" s="246" t="s">
        <v>24</v>
      </c>
      <c r="D166" s="836">
        <v>1088</v>
      </c>
      <c r="E166" s="198" t="s">
        <v>2301</v>
      </c>
      <c r="F166" s="198" t="s">
        <v>2302</v>
      </c>
      <c r="G166" s="253">
        <v>1134</v>
      </c>
      <c r="H166" s="198" t="s">
        <v>2193</v>
      </c>
      <c r="I166" s="198" t="s">
        <v>881</v>
      </c>
      <c r="J166" s="246" t="s">
        <v>111</v>
      </c>
      <c r="K166" s="246" t="s">
        <v>110</v>
      </c>
      <c r="L166" s="731">
        <v>0.5</v>
      </c>
      <c r="M166" s="258" t="s">
        <v>2315</v>
      </c>
      <c r="N166" s="259" t="s">
        <v>2316</v>
      </c>
      <c r="O166" s="685"/>
      <c r="P166" s="929">
        <v>0.8</v>
      </c>
      <c r="Q166" s="930">
        <v>0.3</v>
      </c>
      <c r="R166" s="929">
        <v>0.8</v>
      </c>
      <c r="S166" s="929"/>
      <c r="T166" s="263">
        <f t="shared" si="2"/>
        <v>0</v>
      </c>
      <c r="U166" s="687" t="s">
        <v>34</v>
      </c>
      <c r="V166" s="799"/>
      <c r="W166" s="198"/>
    </row>
    <row r="167" spans="1:23" ht="17.55" customHeight="1" x14ac:dyDescent="0.4">
      <c r="A167" s="788">
        <v>166</v>
      </c>
      <c r="B167" s="246" t="s">
        <v>2184</v>
      </c>
      <c r="C167" s="246" t="s">
        <v>24</v>
      </c>
      <c r="D167" s="836">
        <v>1088</v>
      </c>
      <c r="E167" s="198" t="s">
        <v>2301</v>
      </c>
      <c r="F167" s="198" t="s">
        <v>2302</v>
      </c>
      <c r="G167" s="253">
        <v>1134</v>
      </c>
      <c r="H167" s="198" t="s">
        <v>2193</v>
      </c>
      <c r="I167" s="198" t="s">
        <v>881</v>
      </c>
      <c r="J167" s="199" t="s">
        <v>111</v>
      </c>
      <c r="K167" s="199" t="s">
        <v>110</v>
      </c>
      <c r="L167" s="846">
        <v>0.5</v>
      </c>
      <c r="M167" s="213" t="s">
        <v>2317</v>
      </c>
      <c r="N167" s="214" t="s">
        <v>2318</v>
      </c>
      <c r="O167" s="220"/>
      <c r="P167" s="798">
        <v>1</v>
      </c>
      <c r="Q167" s="931">
        <v>0.2</v>
      </c>
      <c r="R167" s="798">
        <v>1</v>
      </c>
      <c r="S167" s="798"/>
      <c r="T167" s="217">
        <f t="shared" si="2"/>
        <v>0</v>
      </c>
      <c r="U167" s="218" t="s">
        <v>34</v>
      </c>
      <c r="V167" s="799"/>
      <c r="W167" s="198"/>
    </row>
    <row r="168" spans="1:23" ht="17.55" customHeight="1" x14ac:dyDescent="0.4">
      <c r="A168" s="788">
        <v>167</v>
      </c>
      <c r="B168" s="246" t="s">
        <v>2184</v>
      </c>
      <c r="C168" s="246" t="s">
        <v>24</v>
      </c>
      <c r="D168" s="836">
        <v>1088</v>
      </c>
      <c r="E168" s="198" t="s">
        <v>2301</v>
      </c>
      <c r="F168" s="198" t="s">
        <v>2302</v>
      </c>
      <c r="G168" s="253">
        <v>1134</v>
      </c>
      <c r="H168" s="198" t="s">
        <v>2193</v>
      </c>
      <c r="I168" s="198" t="s">
        <v>881</v>
      </c>
      <c r="J168" s="199" t="s">
        <v>111</v>
      </c>
      <c r="K168" s="199" t="s">
        <v>110</v>
      </c>
      <c r="L168" s="846">
        <v>0.5</v>
      </c>
      <c r="M168" s="213" t="s">
        <v>2319</v>
      </c>
      <c r="N168" s="214" t="s">
        <v>2320</v>
      </c>
      <c r="O168" s="220"/>
      <c r="P168" s="233">
        <v>0.7</v>
      </c>
      <c r="Q168" s="931">
        <v>0.25</v>
      </c>
      <c r="R168" s="233">
        <v>0.7</v>
      </c>
      <c r="S168" s="233"/>
      <c r="T168" s="217">
        <f t="shared" si="2"/>
        <v>0</v>
      </c>
      <c r="U168" s="218" t="s">
        <v>34</v>
      </c>
      <c r="V168" s="799"/>
      <c r="W168" s="198"/>
    </row>
    <row r="169" spans="1:23" ht="17.55" customHeight="1" x14ac:dyDescent="0.4">
      <c r="A169" s="788">
        <v>168</v>
      </c>
      <c r="B169" s="246" t="s">
        <v>2184</v>
      </c>
      <c r="C169" s="246" t="s">
        <v>24</v>
      </c>
      <c r="D169" s="836">
        <v>1088</v>
      </c>
      <c r="E169" s="198" t="s">
        <v>2301</v>
      </c>
      <c r="F169" s="198" t="s">
        <v>2302</v>
      </c>
      <c r="G169" s="253">
        <v>1134</v>
      </c>
      <c r="H169" s="198" t="s">
        <v>2193</v>
      </c>
      <c r="I169" s="198" t="s">
        <v>881</v>
      </c>
      <c r="J169" s="199" t="s">
        <v>111</v>
      </c>
      <c r="K169" s="199" t="s">
        <v>110</v>
      </c>
      <c r="L169" s="846">
        <v>0.5</v>
      </c>
      <c r="M169" s="213" t="s">
        <v>2321</v>
      </c>
      <c r="N169" s="214" t="s">
        <v>2322</v>
      </c>
      <c r="O169" s="220"/>
      <c r="P169" s="932">
        <v>10</v>
      </c>
      <c r="Q169" s="931">
        <v>0.25</v>
      </c>
      <c r="R169" s="932">
        <v>10</v>
      </c>
      <c r="S169" s="932"/>
      <c r="T169" s="217">
        <f t="shared" si="2"/>
        <v>0</v>
      </c>
      <c r="U169" s="218" t="s">
        <v>34</v>
      </c>
      <c r="V169" s="799"/>
      <c r="W169" s="198"/>
    </row>
    <row r="170" spans="1:23" ht="17.55" customHeight="1" x14ac:dyDescent="0.4">
      <c r="A170" s="788">
        <v>169</v>
      </c>
      <c r="B170" s="187" t="s">
        <v>2184</v>
      </c>
      <c r="C170" s="187" t="s">
        <v>24</v>
      </c>
      <c r="D170" s="830">
        <v>1105</v>
      </c>
      <c r="E170" s="236" t="s">
        <v>2323</v>
      </c>
      <c r="F170" s="236" t="s">
        <v>2324</v>
      </c>
      <c r="G170" s="243">
        <v>1088</v>
      </c>
      <c r="H170" s="236" t="s">
        <v>2301</v>
      </c>
      <c r="I170" s="236" t="s">
        <v>881</v>
      </c>
      <c r="J170" s="187" t="s">
        <v>58</v>
      </c>
      <c r="K170" s="187" t="s">
        <v>2035</v>
      </c>
      <c r="L170" s="713">
        <v>0.5</v>
      </c>
      <c r="M170" s="191" t="s">
        <v>2303</v>
      </c>
      <c r="N170" s="192" t="s">
        <v>2304</v>
      </c>
      <c r="O170" s="193"/>
      <c r="P170" s="933">
        <v>70000000</v>
      </c>
      <c r="Q170" s="934">
        <v>0.1</v>
      </c>
      <c r="R170" s="933">
        <v>70000000</v>
      </c>
      <c r="S170" s="933"/>
      <c r="T170" s="196">
        <f t="shared" si="2"/>
        <v>0</v>
      </c>
      <c r="U170" s="197" t="s">
        <v>34</v>
      </c>
      <c r="V170" s="1953">
        <f>SUM(T170:T177)%</f>
        <v>0</v>
      </c>
      <c r="W170" s="236"/>
    </row>
    <row r="171" spans="1:23" ht="17.55" customHeight="1" x14ac:dyDescent="0.4">
      <c r="A171" s="788">
        <v>170</v>
      </c>
      <c r="B171" s="246" t="s">
        <v>2184</v>
      </c>
      <c r="C171" s="246" t="s">
        <v>24</v>
      </c>
      <c r="D171" s="836">
        <v>1105</v>
      </c>
      <c r="E171" s="198" t="s">
        <v>2323</v>
      </c>
      <c r="F171" s="198" t="s">
        <v>2324</v>
      </c>
      <c r="G171" s="210">
        <v>1088</v>
      </c>
      <c r="H171" s="198" t="s">
        <v>2301</v>
      </c>
      <c r="I171" s="198" t="s">
        <v>881</v>
      </c>
      <c r="J171" s="692" t="s">
        <v>58</v>
      </c>
      <c r="K171" s="246" t="s">
        <v>2035</v>
      </c>
      <c r="L171" s="723">
        <v>0.5</v>
      </c>
      <c r="M171" s="202" t="s">
        <v>2305</v>
      </c>
      <c r="N171" s="203" t="s">
        <v>2306</v>
      </c>
      <c r="O171" s="211"/>
      <c r="P171" s="935">
        <v>0.7</v>
      </c>
      <c r="Q171" s="936">
        <v>0.2</v>
      </c>
      <c r="R171" s="935">
        <v>0.7</v>
      </c>
      <c r="S171" s="935"/>
      <c r="T171" s="207">
        <f t="shared" si="2"/>
        <v>0</v>
      </c>
      <c r="U171" s="208" t="s">
        <v>34</v>
      </c>
      <c r="V171" s="840"/>
      <c r="W171" s="198"/>
    </row>
    <row r="172" spans="1:23" ht="17.55" customHeight="1" x14ac:dyDescent="0.4">
      <c r="A172" s="788">
        <v>171</v>
      </c>
      <c r="B172" s="246" t="s">
        <v>2184</v>
      </c>
      <c r="C172" s="246" t="s">
        <v>24</v>
      </c>
      <c r="D172" s="836">
        <v>1105</v>
      </c>
      <c r="E172" s="198" t="s">
        <v>2323</v>
      </c>
      <c r="F172" s="198" t="s">
        <v>2324</v>
      </c>
      <c r="G172" s="210">
        <v>1088</v>
      </c>
      <c r="H172" s="198" t="s">
        <v>2301</v>
      </c>
      <c r="I172" s="198" t="s">
        <v>881</v>
      </c>
      <c r="J172" s="692" t="s">
        <v>58</v>
      </c>
      <c r="K172" s="246" t="s">
        <v>2035</v>
      </c>
      <c r="L172" s="723">
        <v>0.5</v>
      </c>
      <c r="M172" s="202" t="s">
        <v>2307</v>
      </c>
      <c r="N172" s="203" t="s">
        <v>2308</v>
      </c>
      <c r="O172" s="211"/>
      <c r="P172" s="935">
        <v>0.2</v>
      </c>
      <c r="Q172" s="936">
        <v>0.2</v>
      </c>
      <c r="R172" s="935">
        <v>0.2</v>
      </c>
      <c r="S172" s="935"/>
      <c r="T172" s="207">
        <f t="shared" si="2"/>
        <v>0</v>
      </c>
      <c r="U172" s="208" t="s">
        <v>83</v>
      </c>
      <c r="V172" s="840"/>
      <c r="W172" s="198"/>
    </row>
    <row r="173" spans="1:23" ht="17.55" customHeight="1" x14ac:dyDescent="0.4">
      <c r="A173" s="788">
        <v>172</v>
      </c>
      <c r="B173" s="246" t="s">
        <v>2184</v>
      </c>
      <c r="C173" s="246" t="s">
        <v>24</v>
      </c>
      <c r="D173" s="836">
        <v>1105</v>
      </c>
      <c r="E173" s="198" t="s">
        <v>2323</v>
      </c>
      <c r="F173" s="198" t="s">
        <v>2324</v>
      </c>
      <c r="G173" s="210">
        <v>1088</v>
      </c>
      <c r="H173" s="198" t="s">
        <v>2301</v>
      </c>
      <c r="I173" s="198" t="s">
        <v>881</v>
      </c>
      <c r="J173" s="692" t="s">
        <v>58</v>
      </c>
      <c r="K173" s="246" t="s">
        <v>2035</v>
      </c>
      <c r="L173" s="723">
        <v>0.5</v>
      </c>
      <c r="M173" s="202" t="s">
        <v>2309</v>
      </c>
      <c r="N173" s="203" t="s">
        <v>2310</v>
      </c>
      <c r="O173" s="211"/>
      <c r="P173" s="937">
        <v>12</v>
      </c>
      <c r="Q173" s="936">
        <v>0.2</v>
      </c>
      <c r="R173" s="937">
        <v>12</v>
      </c>
      <c r="S173" s="937"/>
      <c r="T173" s="207">
        <f t="shared" si="2"/>
        <v>0</v>
      </c>
      <c r="U173" s="208" t="s">
        <v>34</v>
      </c>
      <c r="V173" s="840"/>
      <c r="W173" s="198"/>
    </row>
    <row r="174" spans="1:23" ht="17.55" customHeight="1" x14ac:dyDescent="0.4">
      <c r="A174" s="788">
        <v>173</v>
      </c>
      <c r="B174" s="246" t="s">
        <v>2184</v>
      </c>
      <c r="C174" s="246" t="s">
        <v>24</v>
      </c>
      <c r="D174" s="836">
        <v>1105</v>
      </c>
      <c r="E174" s="198" t="s">
        <v>2323</v>
      </c>
      <c r="F174" s="198" t="s">
        <v>2324</v>
      </c>
      <c r="G174" s="210">
        <v>1088</v>
      </c>
      <c r="H174" s="198" t="s">
        <v>2301</v>
      </c>
      <c r="I174" s="198" t="s">
        <v>881</v>
      </c>
      <c r="J174" s="692" t="s">
        <v>58</v>
      </c>
      <c r="K174" s="246" t="s">
        <v>2035</v>
      </c>
      <c r="L174" s="723">
        <v>0.5</v>
      </c>
      <c r="M174" s="202" t="s">
        <v>2313</v>
      </c>
      <c r="N174" s="203" t="s">
        <v>2314</v>
      </c>
      <c r="O174" s="211"/>
      <c r="P174" s="682">
        <v>3</v>
      </c>
      <c r="Q174" s="936">
        <v>0.3</v>
      </c>
      <c r="R174" s="682">
        <v>3</v>
      </c>
      <c r="S174" s="682"/>
      <c r="T174" s="207">
        <f t="shared" si="2"/>
        <v>0</v>
      </c>
      <c r="U174" s="208" t="s">
        <v>34</v>
      </c>
      <c r="V174" s="840"/>
      <c r="W174" s="198"/>
    </row>
    <row r="175" spans="1:23" ht="17.55" customHeight="1" x14ac:dyDescent="0.4">
      <c r="A175" s="788">
        <v>174</v>
      </c>
      <c r="B175" s="246" t="s">
        <v>2184</v>
      </c>
      <c r="C175" s="246" t="s">
        <v>24</v>
      </c>
      <c r="D175" s="836">
        <v>1105</v>
      </c>
      <c r="E175" s="198" t="s">
        <v>2323</v>
      </c>
      <c r="F175" s="198" t="s">
        <v>2324</v>
      </c>
      <c r="G175" s="210">
        <v>1088</v>
      </c>
      <c r="H175" s="198" t="s">
        <v>2301</v>
      </c>
      <c r="I175" s="198" t="s">
        <v>881</v>
      </c>
      <c r="J175" s="246" t="s">
        <v>111</v>
      </c>
      <c r="K175" s="246" t="s">
        <v>110</v>
      </c>
      <c r="L175" s="731">
        <v>0.5</v>
      </c>
      <c r="M175" s="258" t="s">
        <v>2315</v>
      </c>
      <c r="N175" s="259" t="s">
        <v>2316</v>
      </c>
      <c r="O175" s="685"/>
      <c r="P175" s="929">
        <v>0.8</v>
      </c>
      <c r="Q175" s="930">
        <v>0.4</v>
      </c>
      <c r="R175" s="929">
        <v>0.8</v>
      </c>
      <c r="S175" s="929"/>
      <c r="T175" s="263">
        <f t="shared" si="2"/>
        <v>0</v>
      </c>
      <c r="U175" s="687" t="s">
        <v>34</v>
      </c>
      <c r="V175" s="799"/>
      <c r="W175" s="198"/>
    </row>
    <row r="176" spans="1:23" ht="17.55" customHeight="1" x14ac:dyDescent="0.4">
      <c r="A176" s="788">
        <v>175</v>
      </c>
      <c r="B176" s="246" t="s">
        <v>2184</v>
      </c>
      <c r="C176" s="246" t="s">
        <v>24</v>
      </c>
      <c r="D176" s="836">
        <v>1105</v>
      </c>
      <c r="E176" s="198" t="s">
        <v>2323</v>
      </c>
      <c r="F176" s="198" t="s">
        <v>2324</v>
      </c>
      <c r="G176" s="210">
        <v>1088</v>
      </c>
      <c r="H176" s="198" t="s">
        <v>2301</v>
      </c>
      <c r="I176" s="198" t="s">
        <v>881</v>
      </c>
      <c r="J176" s="246" t="s">
        <v>111</v>
      </c>
      <c r="K176" s="246" t="s">
        <v>110</v>
      </c>
      <c r="L176" s="731">
        <v>0.5</v>
      </c>
      <c r="M176" s="258" t="s">
        <v>2317</v>
      </c>
      <c r="N176" s="259" t="s">
        <v>2318</v>
      </c>
      <c r="O176" s="685"/>
      <c r="P176" s="938">
        <v>1</v>
      </c>
      <c r="Q176" s="930">
        <v>0.3</v>
      </c>
      <c r="R176" s="938">
        <v>1</v>
      </c>
      <c r="S176" s="938"/>
      <c r="T176" s="263">
        <f t="shared" si="2"/>
        <v>0</v>
      </c>
      <c r="U176" s="687" t="s">
        <v>34</v>
      </c>
      <c r="V176" s="799"/>
      <c r="W176" s="198"/>
    </row>
    <row r="177" spans="1:23" ht="17.55" customHeight="1" x14ac:dyDescent="0.4">
      <c r="A177" s="788">
        <v>176</v>
      </c>
      <c r="B177" s="246" t="s">
        <v>2184</v>
      </c>
      <c r="C177" s="246" t="s">
        <v>24</v>
      </c>
      <c r="D177" s="836">
        <v>1105</v>
      </c>
      <c r="E177" s="198" t="s">
        <v>2323</v>
      </c>
      <c r="F177" s="198" t="s">
        <v>2324</v>
      </c>
      <c r="G177" s="210">
        <v>1088</v>
      </c>
      <c r="H177" s="198" t="s">
        <v>2301</v>
      </c>
      <c r="I177" s="198" t="s">
        <v>881</v>
      </c>
      <c r="J177" s="199" t="s">
        <v>111</v>
      </c>
      <c r="K177" s="199" t="s">
        <v>110</v>
      </c>
      <c r="L177" s="846">
        <v>0.5</v>
      </c>
      <c r="M177" s="213" t="s">
        <v>2321</v>
      </c>
      <c r="N177" s="214" t="s">
        <v>2325</v>
      </c>
      <c r="O177" s="220"/>
      <c r="P177" s="932">
        <v>5</v>
      </c>
      <c r="Q177" s="931">
        <v>0.3</v>
      </c>
      <c r="R177" s="932">
        <v>5</v>
      </c>
      <c r="S177" s="932"/>
      <c r="T177" s="217">
        <f t="shared" si="2"/>
        <v>0</v>
      </c>
      <c r="U177" s="218" t="s">
        <v>34</v>
      </c>
      <c r="V177" s="799"/>
      <c r="W177" s="198"/>
    </row>
    <row r="178" spans="1:23" ht="17.55" customHeight="1" x14ac:dyDescent="0.4">
      <c r="A178" s="788">
        <v>177</v>
      </c>
      <c r="B178" s="187" t="s">
        <v>2184</v>
      </c>
      <c r="C178" s="187" t="s">
        <v>24</v>
      </c>
      <c r="D178" s="830">
        <v>1121</v>
      </c>
      <c r="E178" s="236" t="s">
        <v>2326</v>
      </c>
      <c r="F178" s="236" t="s">
        <v>2324</v>
      </c>
      <c r="G178" s="243">
        <v>1088</v>
      </c>
      <c r="H178" s="236" t="s">
        <v>2301</v>
      </c>
      <c r="I178" s="236" t="s">
        <v>881</v>
      </c>
      <c r="J178" s="187" t="s">
        <v>58</v>
      </c>
      <c r="K178" s="187" t="s">
        <v>2035</v>
      </c>
      <c r="L178" s="713">
        <v>0.5</v>
      </c>
      <c r="M178" s="191" t="s">
        <v>2303</v>
      </c>
      <c r="N178" s="192" t="s">
        <v>2304</v>
      </c>
      <c r="O178" s="193"/>
      <c r="P178" s="933">
        <v>70000000</v>
      </c>
      <c r="Q178" s="934">
        <v>0.1</v>
      </c>
      <c r="R178" s="933">
        <v>70000000</v>
      </c>
      <c r="S178" s="933"/>
      <c r="T178" s="196">
        <f t="shared" si="2"/>
        <v>0</v>
      </c>
      <c r="U178" s="197" t="s">
        <v>34</v>
      </c>
      <c r="V178" s="1953">
        <f>SUM(T178:T186)%</f>
        <v>0</v>
      </c>
      <c r="W178" s="236"/>
    </row>
    <row r="179" spans="1:23" ht="17.55" customHeight="1" x14ac:dyDescent="0.4">
      <c r="A179" s="788">
        <v>178</v>
      </c>
      <c r="B179" s="246" t="s">
        <v>2184</v>
      </c>
      <c r="C179" s="246" t="s">
        <v>24</v>
      </c>
      <c r="D179" s="836">
        <v>1121</v>
      </c>
      <c r="E179" s="198" t="s">
        <v>2326</v>
      </c>
      <c r="F179" s="198" t="s">
        <v>2324</v>
      </c>
      <c r="G179" s="210">
        <v>1088</v>
      </c>
      <c r="H179" s="245" t="s">
        <v>2301</v>
      </c>
      <c r="I179" s="245" t="s">
        <v>881</v>
      </c>
      <c r="J179" s="692" t="s">
        <v>58</v>
      </c>
      <c r="K179" s="246" t="s">
        <v>2035</v>
      </c>
      <c r="L179" s="723">
        <v>0.5</v>
      </c>
      <c r="M179" s="202" t="s">
        <v>2305</v>
      </c>
      <c r="N179" s="203" t="s">
        <v>2306</v>
      </c>
      <c r="O179" s="211"/>
      <c r="P179" s="935">
        <v>0.7</v>
      </c>
      <c r="Q179" s="936">
        <v>0.2</v>
      </c>
      <c r="R179" s="935">
        <v>0.7</v>
      </c>
      <c r="S179" s="935"/>
      <c r="T179" s="207">
        <f t="shared" si="2"/>
        <v>0</v>
      </c>
      <c r="U179" s="208" t="s">
        <v>34</v>
      </c>
      <c r="V179" s="840"/>
      <c r="W179" s="245"/>
    </row>
    <row r="180" spans="1:23" ht="17.55" customHeight="1" x14ac:dyDescent="0.4">
      <c r="A180" s="788">
        <v>179</v>
      </c>
      <c r="B180" s="246" t="s">
        <v>2184</v>
      </c>
      <c r="C180" s="246" t="s">
        <v>24</v>
      </c>
      <c r="D180" s="836">
        <v>1121</v>
      </c>
      <c r="E180" s="198" t="s">
        <v>2326</v>
      </c>
      <c r="F180" s="198" t="s">
        <v>2324</v>
      </c>
      <c r="G180" s="210">
        <v>1088</v>
      </c>
      <c r="H180" s="245" t="s">
        <v>2301</v>
      </c>
      <c r="I180" s="245" t="s">
        <v>881</v>
      </c>
      <c r="J180" s="692" t="s">
        <v>58</v>
      </c>
      <c r="K180" s="246" t="s">
        <v>2035</v>
      </c>
      <c r="L180" s="723">
        <v>0.5</v>
      </c>
      <c r="M180" s="202" t="s">
        <v>2307</v>
      </c>
      <c r="N180" s="203" t="s">
        <v>2308</v>
      </c>
      <c r="O180" s="211"/>
      <c r="P180" s="935">
        <v>0.2</v>
      </c>
      <c r="Q180" s="936">
        <v>0.2</v>
      </c>
      <c r="R180" s="935">
        <v>0.2</v>
      </c>
      <c r="S180" s="935"/>
      <c r="T180" s="207">
        <f t="shared" si="2"/>
        <v>0</v>
      </c>
      <c r="U180" s="208" t="s">
        <v>83</v>
      </c>
      <c r="V180" s="840"/>
      <c r="W180" s="245"/>
    </row>
    <row r="181" spans="1:23" ht="17.55" customHeight="1" x14ac:dyDescent="0.4">
      <c r="A181" s="788">
        <v>180</v>
      </c>
      <c r="B181" s="246" t="s">
        <v>2184</v>
      </c>
      <c r="C181" s="246" t="s">
        <v>24</v>
      </c>
      <c r="D181" s="836">
        <v>1121</v>
      </c>
      <c r="E181" s="198" t="s">
        <v>2326</v>
      </c>
      <c r="F181" s="198" t="s">
        <v>2324</v>
      </c>
      <c r="G181" s="210">
        <v>1088</v>
      </c>
      <c r="H181" s="245" t="s">
        <v>2301</v>
      </c>
      <c r="I181" s="245" t="s">
        <v>881</v>
      </c>
      <c r="J181" s="692" t="s">
        <v>58</v>
      </c>
      <c r="K181" s="246" t="s">
        <v>2035</v>
      </c>
      <c r="L181" s="723">
        <v>0.5</v>
      </c>
      <c r="M181" s="202" t="s">
        <v>2309</v>
      </c>
      <c r="N181" s="203" t="s">
        <v>2310</v>
      </c>
      <c r="O181" s="211"/>
      <c r="P181" s="937">
        <v>12</v>
      </c>
      <c r="Q181" s="936">
        <v>0.2</v>
      </c>
      <c r="R181" s="937">
        <v>12</v>
      </c>
      <c r="S181" s="937"/>
      <c r="T181" s="207">
        <f t="shared" si="2"/>
        <v>0</v>
      </c>
      <c r="U181" s="208" t="s">
        <v>34</v>
      </c>
      <c r="V181" s="840"/>
      <c r="W181" s="245"/>
    </row>
    <row r="182" spans="1:23" ht="17.55" customHeight="1" x14ac:dyDescent="0.4">
      <c r="A182" s="788">
        <v>181</v>
      </c>
      <c r="B182" s="246" t="s">
        <v>2184</v>
      </c>
      <c r="C182" s="246" t="s">
        <v>24</v>
      </c>
      <c r="D182" s="836">
        <v>1121</v>
      </c>
      <c r="E182" s="198" t="s">
        <v>2326</v>
      </c>
      <c r="F182" s="198" t="s">
        <v>2324</v>
      </c>
      <c r="G182" s="210">
        <v>1088</v>
      </c>
      <c r="H182" s="245" t="s">
        <v>2301</v>
      </c>
      <c r="I182" s="245" t="s">
        <v>881</v>
      </c>
      <c r="J182" s="692" t="s">
        <v>58</v>
      </c>
      <c r="K182" s="246" t="s">
        <v>2035</v>
      </c>
      <c r="L182" s="723">
        <v>0.5</v>
      </c>
      <c r="M182" s="202" t="s">
        <v>2327</v>
      </c>
      <c r="N182" s="203" t="s">
        <v>2328</v>
      </c>
      <c r="O182" s="211"/>
      <c r="P182" s="937">
        <v>24</v>
      </c>
      <c r="Q182" s="936">
        <v>0.2</v>
      </c>
      <c r="R182" s="937">
        <v>24</v>
      </c>
      <c r="S182" s="937"/>
      <c r="T182" s="207">
        <f t="shared" si="2"/>
        <v>0</v>
      </c>
      <c r="U182" s="208" t="s">
        <v>34</v>
      </c>
      <c r="V182" s="840"/>
      <c r="W182" s="245"/>
    </row>
    <row r="183" spans="1:23" ht="17.55" customHeight="1" x14ac:dyDescent="0.4">
      <c r="A183" s="788">
        <v>182</v>
      </c>
      <c r="B183" s="246" t="s">
        <v>2184</v>
      </c>
      <c r="C183" s="246" t="s">
        <v>24</v>
      </c>
      <c r="D183" s="836">
        <v>1121</v>
      </c>
      <c r="E183" s="198" t="s">
        <v>2326</v>
      </c>
      <c r="F183" s="198" t="s">
        <v>2324</v>
      </c>
      <c r="G183" s="210">
        <v>1088</v>
      </c>
      <c r="H183" s="245" t="s">
        <v>2301</v>
      </c>
      <c r="I183" s="245" t="s">
        <v>881</v>
      </c>
      <c r="J183" s="692" t="s">
        <v>58</v>
      </c>
      <c r="K183" s="246" t="s">
        <v>2035</v>
      </c>
      <c r="L183" s="723">
        <v>0.5</v>
      </c>
      <c r="M183" s="202" t="s">
        <v>2313</v>
      </c>
      <c r="N183" s="203" t="s">
        <v>2314</v>
      </c>
      <c r="O183" s="211"/>
      <c r="P183" s="682">
        <v>3</v>
      </c>
      <c r="Q183" s="936">
        <v>0.1</v>
      </c>
      <c r="R183" s="682">
        <v>3</v>
      </c>
      <c r="S183" s="682"/>
      <c r="T183" s="207">
        <f t="shared" si="2"/>
        <v>0</v>
      </c>
      <c r="U183" s="208" t="s">
        <v>34</v>
      </c>
      <c r="V183" s="840"/>
      <c r="W183" s="245"/>
    </row>
    <row r="184" spans="1:23" ht="17.55" customHeight="1" x14ac:dyDescent="0.4">
      <c r="A184" s="788">
        <v>183</v>
      </c>
      <c r="B184" s="246" t="s">
        <v>2184</v>
      </c>
      <c r="C184" s="246" t="s">
        <v>24</v>
      </c>
      <c r="D184" s="836">
        <v>1121</v>
      </c>
      <c r="E184" s="198" t="s">
        <v>2326</v>
      </c>
      <c r="F184" s="198" t="s">
        <v>2324</v>
      </c>
      <c r="G184" s="210">
        <v>1088</v>
      </c>
      <c r="H184" s="245" t="s">
        <v>2301</v>
      </c>
      <c r="I184" s="245" t="s">
        <v>881</v>
      </c>
      <c r="J184" s="246" t="s">
        <v>111</v>
      </c>
      <c r="K184" s="246" t="s">
        <v>110</v>
      </c>
      <c r="L184" s="731">
        <v>0.5</v>
      </c>
      <c r="M184" s="258" t="s">
        <v>2315</v>
      </c>
      <c r="N184" s="259" t="s">
        <v>2329</v>
      </c>
      <c r="O184" s="685"/>
      <c r="P184" s="929">
        <v>0.8</v>
      </c>
      <c r="Q184" s="930">
        <v>0.35</v>
      </c>
      <c r="R184" s="929">
        <v>0.8</v>
      </c>
      <c r="S184" s="929"/>
      <c r="T184" s="263">
        <f t="shared" si="2"/>
        <v>0</v>
      </c>
      <c r="U184" s="687" t="s">
        <v>34</v>
      </c>
      <c r="V184" s="799"/>
      <c r="W184" s="245"/>
    </row>
    <row r="185" spans="1:23" ht="17.55" customHeight="1" x14ac:dyDescent="0.4">
      <c r="A185" s="788">
        <v>184</v>
      </c>
      <c r="B185" s="246" t="s">
        <v>2184</v>
      </c>
      <c r="C185" s="246" t="s">
        <v>24</v>
      </c>
      <c r="D185" s="836">
        <v>1121</v>
      </c>
      <c r="E185" s="198" t="s">
        <v>2326</v>
      </c>
      <c r="F185" s="198" t="s">
        <v>2324</v>
      </c>
      <c r="G185" s="210">
        <v>1088</v>
      </c>
      <c r="H185" s="198" t="s">
        <v>2301</v>
      </c>
      <c r="I185" s="198" t="s">
        <v>881</v>
      </c>
      <c r="J185" s="199" t="s">
        <v>111</v>
      </c>
      <c r="K185" s="199" t="s">
        <v>110</v>
      </c>
      <c r="L185" s="846">
        <v>0.5</v>
      </c>
      <c r="M185" s="213" t="s">
        <v>2317</v>
      </c>
      <c r="N185" s="214" t="s">
        <v>2318</v>
      </c>
      <c r="O185" s="220"/>
      <c r="P185" s="699">
        <v>1</v>
      </c>
      <c r="Q185" s="931">
        <v>0.3</v>
      </c>
      <c r="R185" s="699">
        <v>1</v>
      </c>
      <c r="S185" s="699"/>
      <c r="T185" s="217">
        <f t="shared" si="2"/>
        <v>0</v>
      </c>
      <c r="U185" s="218" t="s">
        <v>34</v>
      </c>
      <c r="V185" s="799"/>
      <c r="W185" s="198"/>
    </row>
    <row r="186" spans="1:23" ht="17.55" customHeight="1" x14ac:dyDescent="0.4">
      <c r="A186" s="788">
        <v>185</v>
      </c>
      <c r="B186" s="246" t="s">
        <v>2184</v>
      </c>
      <c r="C186" s="246" t="s">
        <v>24</v>
      </c>
      <c r="D186" s="836">
        <v>1121</v>
      </c>
      <c r="E186" s="198" t="s">
        <v>2326</v>
      </c>
      <c r="F186" s="198" t="s">
        <v>2324</v>
      </c>
      <c r="G186" s="210">
        <v>1088</v>
      </c>
      <c r="H186" s="198" t="s">
        <v>2301</v>
      </c>
      <c r="I186" s="198" t="s">
        <v>881</v>
      </c>
      <c r="J186" s="199" t="s">
        <v>111</v>
      </c>
      <c r="K186" s="199" t="s">
        <v>110</v>
      </c>
      <c r="L186" s="846">
        <v>0.5</v>
      </c>
      <c r="M186" s="213" t="s">
        <v>2321</v>
      </c>
      <c r="N186" s="214" t="s">
        <v>2325</v>
      </c>
      <c r="O186" s="220"/>
      <c r="P186" s="932">
        <v>5</v>
      </c>
      <c r="Q186" s="931">
        <v>0.35</v>
      </c>
      <c r="R186" s="932">
        <v>5</v>
      </c>
      <c r="S186" s="932"/>
      <c r="T186" s="217">
        <f t="shared" si="2"/>
        <v>0</v>
      </c>
      <c r="U186" s="218" t="s">
        <v>34</v>
      </c>
      <c r="V186" s="799"/>
      <c r="W186" s="198"/>
    </row>
    <row r="187" spans="1:23" ht="17.55" customHeight="1" x14ac:dyDescent="0.4">
      <c r="A187" s="788">
        <v>186</v>
      </c>
      <c r="B187" s="187" t="s">
        <v>2184</v>
      </c>
      <c r="C187" s="653" t="s">
        <v>24</v>
      </c>
      <c r="D187" s="789">
        <v>1030</v>
      </c>
      <c r="E187" s="653" t="s">
        <v>2330</v>
      </c>
      <c r="F187" s="653" t="s">
        <v>569</v>
      </c>
      <c r="G187" s="653">
        <v>1134</v>
      </c>
      <c r="H187" s="653" t="s">
        <v>2193</v>
      </c>
      <c r="I187" s="653" t="s">
        <v>2331</v>
      </c>
      <c r="J187" s="653" t="s">
        <v>58</v>
      </c>
      <c r="K187" s="79" t="s">
        <v>2332</v>
      </c>
      <c r="L187" s="939">
        <v>0.5</v>
      </c>
      <c r="M187" s="940"/>
      <c r="N187" s="941" t="s">
        <v>2333</v>
      </c>
      <c r="O187" s="791"/>
      <c r="P187" s="835">
        <v>1</v>
      </c>
      <c r="Q187" s="793">
        <v>0.2</v>
      </c>
      <c r="R187" s="835">
        <v>1</v>
      </c>
      <c r="S187" s="835"/>
      <c r="T187" s="653">
        <f t="shared" si="2"/>
        <v>0</v>
      </c>
      <c r="U187" s="653" t="s">
        <v>34</v>
      </c>
      <c r="V187" s="1953">
        <f>SUM(T187:T200)%</f>
        <v>0</v>
      </c>
      <c r="W187" s="653"/>
    </row>
    <row r="188" spans="1:23" ht="17.55" customHeight="1" x14ac:dyDescent="0.4">
      <c r="A188" s="788">
        <v>187</v>
      </c>
      <c r="B188" s="246" t="s">
        <v>2184</v>
      </c>
      <c r="C188" s="648" t="s">
        <v>24</v>
      </c>
      <c r="D188" s="942">
        <v>1030</v>
      </c>
      <c r="E188" s="648" t="s">
        <v>2330</v>
      </c>
      <c r="F188" s="648" t="s">
        <v>569</v>
      </c>
      <c r="G188" s="648">
        <v>1134</v>
      </c>
      <c r="H188" s="648" t="s">
        <v>2193</v>
      </c>
      <c r="I188" s="648" t="s">
        <v>2331</v>
      </c>
      <c r="J188" s="79" t="s">
        <v>58</v>
      </c>
      <c r="K188" s="79" t="s">
        <v>2332</v>
      </c>
      <c r="L188" s="209">
        <v>0.5</v>
      </c>
      <c r="M188" s="943"/>
      <c r="N188" s="944" t="s">
        <v>2334</v>
      </c>
      <c r="O188" s="840"/>
      <c r="P188" s="231">
        <v>1</v>
      </c>
      <c r="Q188" s="945">
        <v>0.2</v>
      </c>
      <c r="R188" s="231">
        <v>1</v>
      </c>
      <c r="S188" s="231"/>
      <c r="T188" s="79">
        <f t="shared" si="2"/>
        <v>0</v>
      </c>
      <c r="U188" s="79" t="s">
        <v>34</v>
      </c>
      <c r="V188" s="231"/>
      <c r="W188" s="648"/>
    </row>
    <row r="189" spans="1:23" ht="17.55" customHeight="1" x14ac:dyDescent="0.4">
      <c r="A189" s="788">
        <v>188</v>
      </c>
      <c r="B189" s="246" t="s">
        <v>2184</v>
      </c>
      <c r="C189" s="648" t="s">
        <v>24</v>
      </c>
      <c r="D189" s="942">
        <v>1030</v>
      </c>
      <c r="E189" s="648" t="s">
        <v>2330</v>
      </c>
      <c r="F189" s="648" t="s">
        <v>569</v>
      </c>
      <c r="G189" s="648">
        <v>1134</v>
      </c>
      <c r="H189" s="648" t="s">
        <v>2193</v>
      </c>
      <c r="I189" s="648" t="s">
        <v>2331</v>
      </c>
      <c r="J189" s="79" t="s">
        <v>58</v>
      </c>
      <c r="K189" s="79" t="s">
        <v>2332</v>
      </c>
      <c r="L189" s="209">
        <v>0.5</v>
      </c>
      <c r="M189" s="943"/>
      <c r="N189" s="944" t="s">
        <v>2335</v>
      </c>
      <c r="O189" s="840"/>
      <c r="P189" s="231">
        <v>1</v>
      </c>
      <c r="Q189" s="945">
        <v>0.1</v>
      </c>
      <c r="R189" s="231">
        <v>1</v>
      </c>
      <c r="S189" s="231"/>
      <c r="T189" s="79">
        <f t="shared" si="2"/>
        <v>0</v>
      </c>
      <c r="U189" s="79" t="s">
        <v>34</v>
      </c>
      <c r="V189" s="231"/>
      <c r="W189" s="648"/>
    </row>
    <row r="190" spans="1:23" ht="17.55" customHeight="1" x14ac:dyDescent="0.4">
      <c r="A190" s="788">
        <v>189</v>
      </c>
      <c r="B190" s="246" t="s">
        <v>2184</v>
      </c>
      <c r="C190" s="648" t="s">
        <v>24</v>
      </c>
      <c r="D190" s="942">
        <v>1030</v>
      </c>
      <c r="E190" s="648" t="s">
        <v>2330</v>
      </c>
      <c r="F190" s="648" t="s">
        <v>569</v>
      </c>
      <c r="G190" s="648">
        <v>1134</v>
      </c>
      <c r="H190" s="648" t="s">
        <v>2193</v>
      </c>
      <c r="I190" s="648" t="s">
        <v>2331</v>
      </c>
      <c r="J190" s="79" t="s">
        <v>58</v>
      </c>
      <c r="K190" s="79" t="s">
        <v>2332</v>
      </c>
      <c r="L190" s="209">
        <v>0.5</v>
      </c>
      <c r="M190" s="943"/>
      <c r="N190" s="944" t="s">
        <v>2336</v>
      </c>
      <c r="O190" s="840"/>
      <c r="P190" s="231">
        <v>1</v>
      </c>
      <c r="Q190" s="945">
        <v>0.2</v>
      </c>
      <c r="R190" s="231">
        <v>1</v>
      </c>
      <c r="S190" s="231"/>
      <c r="T190" s="79">
        <f t="shared" si="2"/>
        <v>0</v>
      </c>
      <c r="U190" s="79" t="s">
        <v>34</v>
      </c>
      <c r="V190" s="231"/>
      <c r="W190" s="648"/>
    </row>
    <row r="191" spans="1:23" ht="17.55" customHeight="1" x14ac:dyDescent="0.4">
      <c r="A191" s="788">
        <v>190</v>
      </c>
      <c r="B191" s="246" t="s">
        <v>2184</v>
      </c>
      <c r="C191" s="648" t="s">
        <v>24</v>
      </c>
      <c r="D191" s="942">
        <v>1030</v>
      </c>
      <c r="E191" s="648" t="s">
        <v>2330</v>
      </c>
      <c r="F191" s="648" t="s">
        <v>569</v>
      </c>
      <c r="G191" s="648">
        <v>1134</v>
      </c>
      <c r="H191" s="648" t="s">
        <v>2193</v>
      </c>
      <c r="I191" s="648" t="s">
        <v>2331</v>
      </c>
      <c r="J191" s="79" t="s">
        <v>58</v>
      </c>
      <c r="K191" s="79" t="s">
        <v>2332</v>
      </c>
      <c r="L191" s="209">
        <v>0.5</v>
      </c>
      <c r="M191" s="943"/>
      <c r="N191" s="944" t="s">
        <v>2337</v>
      </c>
      <c r="O191" s="840"/>
      <c r="P191" s="231">
        <v>1</v>
      </c>
      <c r="Q191" s="945">
        <v>0.2</v>
      </c>
      <c r="R191" s="231">
        <v>1</v>
      </c>
      <c r="S191" s="231"/>
      <c r="T191" s="79">
        <f t="shared" si="2"/>
        <v>0</v>
      </c>
      <c r="U191" s="79" t="s">
        <v>34</v>
      </c>
      <c r="V191" s="231"/>
      <c r="W191" s="648"/>
    </row>
    <row r="192" spans="1:23" ht="17.55" customHeight="1" x14ac:dyDescent="0.4">
      <c r="A192" s="788">
        <v>191</v>
      </c>
      <c r="B192" s="246" t="s">
        <v>2184</v>
      </c>
      <c r="C192" s="648" t="s">
        <v>24</v>
      </c>
      <c r="D192" s="942">
        <v>1030</v>
      </c>
      <c r="E192" s="648" t="s">
        <v>2330</v>
      </c>
      <c r="F192" s="648" t="s">
        <v>569</v>
      </c>
      <c r="G192" s="648">
        <v>1134</v>
      </c>
      <c r="H192" s="648" t="s">
        <v>2193</v>
      </c>
      <c r="I192" s="648" t="s">
        <v>2331</v>
      </c>
      <c r="J192" s="79" t="s">
        <v>58</v>
      </c>
      <c r="K192" s="79" t="s">
        <v>2332</v>
      </c>
      <c r="L192" s="209">
        <v>0.5</v>
      </c>
      <c r="M192" s="943"/>
      <c r="N192" s="944" t="s">
        <v>2338</v>
      </c>
      <c r="O192" s="840"/>
      <c r="P192" s="231">
        <v>1</v>
      </c>
      <c r="Q192" s="945">
        <v>0.1</v>
      </c>
      <c r="R192" s="231">
        <v>1</v>
      </c>
      <c r="S192" s="231"/>
      <c r="T192" s="79">
        <f t="shared" si="2"/>
        <v>0</v>
      </c>
      <c r="U192" s="79" t="s">
        <v>34</v>
      </c>
      <c r="V192" s="231"/>
      <c r="W192" s="648"/>
    </row>
    <row r="193" spans="1:23" ht="17.55" customHeight="1" x14ac:dyDescent="0.4">
      <c r="A193" s="788">
        <v>192</v>
      </c>
      <c r="B193" s="246" t="s">
        <v>2184</v>
      </c>
      <c r="C193" s="648" t="s">
        <v>24</v>
      </c>
      <c r="D193" s="942">
        <v>1030</v>
      </c>
      <c r="E193" s="648" t="s">
        <v>2330</v>
      </c>
      <c r="F193" s="648" t="s">
        <v>569</v>
      </c>
      <c r="G193" s="648">
        <v>1134</v>
      </c>
      <c r="H193" s="648" t="s">
        <v>2193</v>
      </c>
      <c r="I193" s="648" t="s">
        <v>2331</v>
      </c>
      <c r="J193" s="648" t="s">
        <v>58</v>
      </c>
      <c r="K193" s="648" t="s">
        <v>2332</v>
      </c>
      <c r="L193" s="265">
        <v>0.5</v>
      </c>
      <c r="M193" s="947"/>
      <c r="N193" s="948" t="s">
        <v>2339</v>
      </c>
      <c r="O193" s="949"/>
      <c r="P193" s="865">
        <v>1</v>
      </c>
      <c r="Q193" s="950">
        <v>0.3</v>
      </c>
      <c r="R193" s="865">
        <v>1</v>
      </c>
      <c r="S193" s="865"/>
      <c r="T193" s="648">
        <f t="shared" si="2"/>
        <v>0</v>
      </c>
      <c r="U193" s="648" t="s">
        <v>34</v>
      </c>
      <c r="V193" s="865"/>
      <c r="W193" s="648"/>
    </row>
    <row r="194" spans="1:23" ht="17.55" customHeight="1" x14ac:dyDescent="0.4">
      <c r="A194" s="788">
        <v>193</v>
      </c>
      <c r="B194" s="246" t="s">
        <v>2184</v>
      </c>
      <c r="C194" s="648" t="s">
        <v>24</v>
      </c>
      <c r="D194" s="942">
        <v>1030</v>
      </c>
      <c r="E194" s="648" t="s">
        <v>2330</v>
      </c>
      <c r="F194" s="648" t="s">
        <v>569</v>
      </c>
      <c r="G194" s="648">
        <v>1134</v>
      </c>
      <c r="H194" s="648" t="s">
        <v>2193</v>
      </c>
      <c r="I194" s="648" t="s">
        <v>2331</v>
      </c>
      <c r="J194" s="648" t="s">
        <v>111</v>
      </c>
      <c r="K194" s="648" t="s">
        <v>110</v>
      </c>
      <c r="L194" s="265">
        <v>0.5</v>
      </c>
      <c r="M194" s="947"/>
      <c r="N194" s="948" t="s">
        <v>2340</v>
      </c>
      <c r="O194" s="949"/>
      <c r="P194" s="865">
        <v>1</v>
      </c>
      <c r="Q194" s="950">
        <v>0.1</v>
      </c>
      <c r="R194" s="865">
        <v>1</v>
      </c>
      <c r="S194" s="865"/>
      <c r="T194" s="648">
        <f t="shared" ref="T194:T257" si="3">IF(AND(S194&gt;=60%,S194&lt;100%),S194*((Q194*L194)),IF(S194=100%,((Q194*L194)*S194)*100%,IF(S194&gt;100%,((L194*Q194)*100%)*100%,0)))*100</f>
        <v>0</v>
      </c>
      <c r="U194" s="648" t="s">
        <v>34</v>
      </c>
      <c r="V194" s="865"/>
      <c r="W194" s="648"/>
    </row>
    <row r="195" spans="1:23" ht="17.55" customHeight="1" x14ac:dyDescent="0.4">
      <c r="A195" s="788">
        <v>194</v>
      </c>
      <c r="B195" s="246" t="s">
        <v>2184</v>
      </c>
      <c r="C195" s="648" t="s">
        <v>24</v>
      </c>
      <c r="D195" s="942">
        <v>1030</v>
      </c>
      <c r="E195" s="648" t="s">
        <v>2330</v>
      </c>
      <c r="F195" s="648" t="s">
        <v>569</v>
      </c>
      <c r="G195" s="648">
        <v>1134</v>
      </c>
      <c r="H195" s="648" t="s">
        <v>2193</v>
      </c>
      <c r="I195" s="648" t="s">
        <v>2331</v>
      </c>
      <c r="J195" s="648" t="s">
        <v>111</v>
      </c>
      <c r="K195" s="648" t="s">
        <v>110</v>
      </c>
      <c r="L195" s="265">
        <v>0.5</v>
      </c>
      <c r="M195" s="947"/>
      <c r="N195" s="948" t="s">
        <v>2341</v>
      </c>
      <c r="O195" s="949"/>
      <c r="P195" s="865">
        <v>1</v>
      </c>
      <c r="Q195" s="950">
        <v>0.1</v>
      </c>
      <c r="R195" s="865">
        <v>1</v>
      </c>
      <c r="S195" s="865"/>
      <c r="T195" s="648">
        <f t="shared" si="3"/>
        <v>0</v>
      </c>
      <c r="U195" s="648" t="s">
        <v>34</v>
      </c>
      <c r="V195" s="865"/>
      <c r="W195" s="648"/>
    </row>
    <row r="196" spans="1:23" ht="17.55" customHeight="1" x14ac:dyDescent="0.4">
      <c r="A196" s="788">
        <v>195</v>
      </c>
      <c r="B196" s="246" t="s">
        <v>2184</v>
      </c>
      <c r="C196" s="648" t="s">
        <v>24</v>
      </c>
      <c r="D196" s="942">
        <v>1030</v>
      </c>
      <c r="E196" s="648" t="s">
        <v>2330</v>
      </c>
      <c r="F196" s="648" t="s">
        <v>569</v>
      </c>
      <c r="G196" s="648">
        <v>1134</v>
      </c>
      <c r="H196" s="648" t="s">
        <v>2193</v>
      </c>
      <c r="I196" s="648" t="s">
        <v>2331</v>
      </c>
      <c r="J196" s="648" t="s">
        <v>111</v>
      </c>
      <c r="K196" s="648" t="s">
        <v>110</v>
      </c>
      <c r="L196" s="265">
        <v>0.5</v>
      </c>
      <c r="M196" s="947"/>
      <c r="N196" s="948" t="s">
        <v>2342</v>
      </c>
      <c r="O196" s="949"/>
      <c r="P196" s="865">
        <v>1</v>
      </c>
      <c r="Q196" s="950">
        <v>0.1</v>
      </c>
      <c r="R196" s="865">
        <v>1</v>
      </c>
      <c r="S196" s="865"/>
      <c r="T196" s="648">
        <f t="shared" si="3"/>
        <v>0</v>
      </c>
      <c r="U196" s="648" t="s">
        <v>34</v>
      </c>
      <c r="V196" s="865"/>
      <c r="W196" s="648"/>
    </row>
    <row r="197" spans="1:23" ht="17.55" customHeight="1" x14ac:dyDescent="0.4">
      <c r="A197" s="788">
        <v>196</v>
      </c>
      <c r="B197" s="246" t="s">
        <v>2184</v>
      </c>
      <c r="C197" s="648" t="s">
        <v>24</v>
      </c>
      <c r="D197" s="942">
        <v>1030</v>
      </c>
      <c r="E197" s="648" t="s">
        <v>2330</v>
      </c>
      <c r="F197" s="648" t="s">
        <v>569</v>
      </c>
      <c r="G197" s="648">
        <v>1134</v>
      </c>
      <c r="H197" s="648" t="s">
        <v>2193</v>
      </c>
      <c r="I197" s="648" t="s">
        <v>2331</v>
      </c>
      <c r="J197" s="648" t="s">
        <v>111</v>
      </c>
      <c r="K197" s="648" t="s">
        <v>110</v>
      </c>
      <c r="L197" s="265">
        <v>0.5</v>
      </c>
      <c r="M197" s="947"/>
      <c r="N197" s="948" t="s">
        <v>2343</v>
      </c>
      <c r="O197" s="949"/>
      <c r="P197" s="865">
        <v>1</v>
      </c>
      <c r="Q197" s="950">
        <v>0.1</v>
      </c>
      <c r="R197" s="865">
        <v>1</v>
      </c>
      <c r="S197" s="865"/>
      <c r="T197" s="648">
        <f t="shared" si="3"/>
        <v>0</v>
      </c>
      <c r="U197" s="648" t="s">
        <v>34</v>
      </c>
      <c r="V197" s="865"/>
      <c r="W197" s="648"/>
    </row>
    <row r="198" spans="1:23" ht="17.55" customHeight="1" x14ac:dyDescent="0.4">
      <c r="A198" s="788">
        <v>197</v>
      </c>
      <c r="B198" s="246" t="s">
        <v>2184</v>
      </c>
      <c r="C198" s="648" t="s">
        <v>24</v>
      </c>
      <c r="D198" s="942">
        <v>1030</v>
      </c>
      <c r="E198" s="648" t="s">
        <v>2330</v>
      </c>
      <c r="F198" s="648" t="s">
        <v>569</v>
      </c>
      <c r="G198" s="648">
        <v>1134</v>
      </c>
      <c r="H198" s="648" t="s">
        <v>2193</v>
      </c>
      <c r="I198" s="648" t="s">
        <v>2331</v>
      </c>
      <c r="J198" s="648" t="s">
        <v>111</v>
      </c>
      <c r="K198" s="648" t="s">
        <v>110</v>
      </c>
      <c r="L198" s="265">
        <v>0.5</v>
      </c>
      <c r="M198" s="947"/>
      <c r="N198" s="948" t="s">
        <v>2344</v>
      </c>
      <c r="O198" s="949"/>
      <c r="P198" s="865">
        <v>1</v>
      </c>
      <c r="Q198" s="950">
        <v>0.1</v>
      </c>
      <c r="R198" s="865">
        <v>1</v>
      </c>
      <c r="S198" s="865"/>
      <c r="T198" s="648">
        <f t="shared" si="3"/>
        <v>0</v>
      </c>
      <c r="U198" s="648" t="s">
        <v>34</v>
      </c>
      <c r="V198" s="865"/>
      <c r="W198" s="648"/>
    </row>
    <row r="199" spans="1:23" ht="17.55" customHeight="1" x14ac:dyDescent="0.4">
      <c r="A199" s="788">
        <v>198</v>
      </c>
      <c r="B199" s="246" t="s">
        <v>2184</v>
      </c>
      <c r="C199" s="648" t="s">
        <v>24</v>
      </c>
      <c r="D199" s="942">
        <v>1030</v>
      </c>
      <c r="E199" s="648" t="s">
        <v>2330</v>
      </c>
      <c r="F199" s="648" t="s">
        <v>569</v>
      </c>
      <c r="G199" s="648">
        <v>1134</v>
      </c>
      <c r="H199" s="648" t="s">
        <v>2193</v>
      </c>
      <c r="I199" s="648" t="s">
        <v>2331</v>
      </c>
      <c r="J199" s="648" t="s">
        <v>111</v>
      </c>
      <c r="K199" s="648" t="s">
        <v>110</v>
      </c>
      <c r="L199" s="265">
        <v>0.5</v>
      </c>
      <c r="M199" s="947"/>
      <c r="N199" s="948" t="s">
        <v>2345</v>
      </c>
      <c r="O199" s="949"/>
      <c r="P199" s="865">
        <v>1</v>
      </c>
      <c r="Q199" s="950">
        <v>0.1</v>
      </c>
      <c r="R199" s="865">
        <v>1</v>
      </c>
      <c r="S199" s="865"/>
      <c r="T199" s="648">
        <f t="shared" si="3"/>
        <v>0</v>
      </c>
      <c r="U199" s="648" t="s">
        <v>34</v>
      </c>
      <c r="V199" s="865"/>
      <c r="W199" s="648"/>
    </row>
    <row r="200" spans="1:23" ht="17.55" customHeight="1" x14ac:dyDescent="0.4">
      <c r="A200" s="788">
        <v>199</v>
      </c>
      <c r="B200" s="246" t="s">
        <v>2184</v>
      </c>
      <c r="C200" s="648" t="s">
        <v>24</v>
      </c>
      <c r="D200" s="942">
        <v>1030</v>
      </c>
      <c r="E200" s="648" t="s">
        <v>2330</v>
      </c>
      <c r="F200" s="648" t="s">
        <v>569</v>
      </c>
      <c r="G200" s="648">
        <v>1134</v>
      </c>
      <c r="H200" s="648" t="s">
        <v>2193</v>
      </c>
      <c r="I200" s="648" t="s">
        <v>2331</v>
      </c>
      <c r="J200" s="648" t="s">
        <v>111</v>
      </c>
      <c r="K200" s="648" t="s">
        <v>110</v>
      </c>
      <c r="L200" s="265">
        <v>0.5</v>
      </c>
      <c r="M200" s="947"/>
      <c r="N200" s="948" t="s">
        <v>2346</v>
      </c>
      <c r="O200" s="949"/>
      <c r="P200" s="865">
        <v>1</v>
      </c>
      <c r="Q200" s="950">
        <v>0.1</v>
      </c>
      <c r="R200" s="865">
        <v>1</v>
      </c>
      <c r="S200" s="865"/>
      <c r="T200" s="648">
        <f t="shared" si="3"/>
        <v>0</v>
      </c>
      <c r="U200" s="648" t="s">
        <v>34</v>
      </c>
      <c r="V200" s="865"/>
      <c r="W200" s="648"/>
    </row>
    <row r="201" spans="1:23" ht="17.55" customHeight="1" x14ac:dyDescent="0.4">
      <c r="A201" s="788">
        <v>200</v>
      </c>
      <c r="B201" s="236" t="s">
        <v>2184</v>
      </c>
      <c r="C201" s="236" t="s">
        <v>24</v>
      </c>
      <c r="D201" s="951">
        <v>1132</v>
      </c>
      <c r="E201" s="236" t="s">
        <v>2347</v>
      </c>
      <c r="F201" s="236" t="s">
        <v>755</v>
      </c>
      <c r="G201" s="236">
        <v>1124</v>
      </c>
      <c r="H201" s="236" t="s">
        <v>2348</v>
      </c>
      <c r="I201" s="236" t="s">
        <v>729</v>
      </c>
      <c r="J201" s="243" t="s">
        <v>58</v>
      </c>
      <c r="K201" s="243" t="s">
        <v>2035</v>
      </c>
      <c r="L201" s="713">
        <v>0.6</v>
      </c>
      <c r="M201" s="236"/>
      <c r="N201" s="952" t="s">
        <v>2349</v>
      </c>
      <c r="O201" s="236"/>
      <c r="P201" s="953">
        <v>1</v>
      </c>
      <c r="Q201" s="853">
        <v>0.2</v>
      </c>
      <c r="R201" s="953">
        <v>1</v>
      </c>
      <c r="S201" s="953"/>
      <c r="T201" s="854">
        <f t="shared" si="3"/>
        <v>0</v>
      </c>
      <c r="U201" s="855" t="s">
        <v>34</v>
      </c>
      <c r="V201" s="1951">
        <f>SUM(T201:T224)%</f>
        <v>0</v>
      </c>
      <c r="W201" s="854"/>
    </row>
    <row r="202" spans="1:23" ht="17.55" customHeight="1" x14ac:dyDescent="0.4">
      <c r="A202" s="788">
        <v>201</v>
      </c>
      <c r="B202" s="246" t="s">
        <v>2184</v>
      </c>
      <c r="C202" s="246" t="s">
        <v>24</v>
      </c>
      <c r="D202" s="893">
        <v>1132</v>
      </c>
      <c r="E202" s="246" t="s">
        <v>2347</v>
      </c>
      <c r="F202" s="246" t="s">
        <v>755</v>
      </c>
      <c r="G202" s="246">
        <v>1124</v>
      </c>
      <c r="H202" s="246" t="s">
        <v>2348</v>
      </c>
      <c r="I202" s="246" t="s">
        <v>729</v>
      </c>
      <c r="J202" s="79" t="s">
        <v>58</v>
      </c>
      <c r="K202" s="79" t="s">
        <v>2035</v>
      </c>
      <c r="L202" s="954">
        <v>0.6</v>
      </c>
      <c r="M202" s="692"/>
      <c r="N202" s="757" t="s">
        <v>2350</v>
      </c>
      <c r="O202" s="692"/>
      <c r="P202" s="208">
        <v>1</v>
      </c>
      <c r="Q202" s="955">
        <v>0.1</v>
      </c>
      <c r="R202" s="208">
        <v>1</v>
      </c>
      <c r="S202" s="208"/>
      <c r="T202" s="207">
        <f t="shared" si="3"/>
        <v>0</v>
      </c>
      <c r="U202" s="206" t="s">
        <v>34</v>
      </c>
      <c r="V202" s="840"/>
      <c r="W202" s="263"/>
    </row>
    <row r="203" spans="1:23" ht="17.55" customHeight="1" x14ac:dyDescent="0.4">
      <c r="A203" s="788">
        <v>202</v>
      </c>
      <c r="B203" s="246" t="s">
        <v>2184</v>
      </c>
      <c r="C203" s="246" t="s">
        <v>24</v>
      </c>
      <c r="D203" s="893">
        <v>1132</v>
      </c>
      <c r="E203" s="246" t="s">
        <v>2347</v>
      </c>
      <c r="F203" s="246" t="s">
        <v>755</v>
      </c>
      <c r="G203" s="246">
        <v>1124</v>
      </c>
      <c r="H203" s="246" t="s">
        <v>2348</v>
      </c>
      <c r="I203" s="246" t="s">
        <v>729</v>
      </c>
      <c r="J203" s="79" t="s">
        <v>58</v>
      </c>
      <c r="K203" s="79" t="s">
        <v>2035</v>
      </c>
      <c r="L203" s="954">
        <v>0.6</v>
      </c>
      <c r="M203" s="692"/>
      <c r="N203" s="757" t="s">
        <v>2351</v>
      </c>
      <c r="O203" s="692"/>
      <c r="P203" s="208">
        <v>1</v>
      </c>
      <c r="Q203" s="955">
        <v>0.1</v>
      </c>
      <c r="R203" s="208">
        <v>1</v>
      </c>
      <c r="S203" s="208"/>
      <c r="T203" s="207">
        <f t="shared" si="3"/>
        <v>0</v>
      </c>
      <c r="U203" s="206" t="s">
        <v>34</v>
      </c>
      <c r="V203" s="840"/>
      <c r="W203" s="263"/>
    </row>
    <row r="204" spans="1:23" ht="17.55" customHeight="1" x14ac:dyDescent="0.4">
      <c r="A204" s="788">
        <v>203</v>
      </c>
      <c r="B204" s="246" t="s">
        <v>2184</v>
      </c>
      <c r="C204" s="246" t="s">
        <v>24</v>
      </c>
      <c r="D204" s="893">
        <v>1132</v>
      </c>
      <c r="E204" s="246" t="s">
        <v>2347</v>
      </c>
      <c r="F204" s="246" t="s">
        <v>755</v>
      </c>
      <c r="G204" s="246">
        <v>1124</v>
      </c>
      <c r="H204" s="246" t="s">
        <v>2348</v>
      </c>
      <c r="I204" s="246" t="s">
        <v>729</v>
      </c>
      <c r="J204" s="79" t="s">
        <v>58</v>
      </c>
      <c r="K204" s="79" t="s">
        <v>2035</v>
      </c>
      <c r="L204" s="954">
        <v>0.6</v>
      </c>
      <c r="M204" s="692"/>
      <c r="N204" s="757" t="s">
        <v>2352</v>
      </c>
      <c r="O204" s="692"/>
      <c r="P204" s="208">
        <v>1</v>
      </c>
      <c r="Q204" s="955">
        <v>0.1</v>
      </c>
      <c r="R204" s="208">
        <v>1</v>
      </c>
      <c r="S204" s="208"/>
      <c r="T204" s="207">
        <f t="shared" si="3"/>
        <v>0</v>
      </c>
      <c r="U204" s="206" t="s">
        <v>34</v>
      </c>
      <c r="V204" s="840"/>
      <c r="W204" s="263"/>
    </row>
    <row r="205" spans="1:23" ht="17.55" customHeight="1" x14ac:dyDescent="0.4">
      <c r="A205" s="788">
        <v>204</v>
      </c>
      <c r="B205" s="246" t="s">
        <v>2184</v>
      </c>
      <c r="C205" s="246" t="s">
        <v>24</v>
      </c>
      <c r="D205" s="893">
        <v>1132</v>
      </c>
      <c r="E205" s="246" t="s">
        <v>2347</v>
      </c>
      <c r="F205" s="246" t="s">
        <v>755</v>
      </c>
      <c r="G205" s="246">
        <v>1124</v>
      </c>
      <c r="H205" s="246" t="s">
        <v>2348</v>
      </c>
      <c r="I205" s="246" t="s">
        <v>729</v>
      </c>
      <c r="J205" s="79" t="s">
        <v>58</v>
      </c>
      <c r="K205" s="79" t="s">
        <v>2035</v>
      </c>
      <c r="L205" s="954">
        <v>0.6</v>
      </c>
      <c r="M205" s="692"/>
      <c r="N205" s="757" t="s">
        <v>2353</v>
      </c>
      <c r="O205" s="692"/>
      <c r="P205" s="208">
        <v>1</v>
      </c>
      <c r="Q205" s="955">
        <v>0.1</v>
      </c>
      <c r="R205" s="208">
        <v>1</v>
      </c>
      <c r="S205" s="208"/>
      <c r="T205" s="207">
        <f t="shared" si="3"/>
        <v>0</v>
      </c>
      <c r="U205" s="206" t="s">
        <v>34</v>
      </c>
      <c r="V205" s="840"/>
      <c r="W205" s="263"/>
    </row>
    <row r="206" spans="1:23" ht="17.55" customHeight="1" x14ac:dyDescent="0.4">
      <c r="A206" s="788">
        <v>205</v>
      </c>
      <c r="B206" s="246" t="s">
        <v>2184</v>
      </c>
      <c r="C206" s="246" t="s">
        <v>24</v>
      </c>
      <c r="D206" s="893">
        <v>1132</v>
      </c>
      <c r="E206" s="246" t="s">
        <v>2347</v>
      </c>
      <c r="F206" s="246" t="s">
        <v>755</v>
      </c>
      <c r="G206" s="246">
        <v>1124</v>
      </c>
      <c r="H206" s="246" t="s">
        <v>2348</v>
      </c>
      <c r="I206" s="246" t="s">
        <v>729</v>
      </c>
      <c r="J206" s="79" t="s">
        <v>58</v>
      </c>
      <c r="K206" s="79" t="s">
        <v>2035</v>
      </c>
      <c r="L206" s="954">
        <v>0.6</v>
      </c>
      <c r="M206" s="692"/>
      <c r="N206" s="757" t="s">
        <v>2354</v>
      </c>
      <c r="O206" s="692"/>
      <c r="P206" s="208">
        <v>1</v>
      </c>
      <c r="Q206" s="955">
        <v>0.1</v>
      </c>
      <c r="R206" s="208">
        <v>1</v>
      </c>
      <c r="S206" s="208"/>
      <c r="T206" s="207">
        <f t="shared" si="3"/>
        <v>0</v>
      </c>
      <c r="U206" s="206" t="s">
        <v>34</v>
      </c>
      <c r="V206" s="840"/>
      <c r="W206" s="263"/>
    </row>
    <row r="207" spans="1:23" ht="17.55" customHeight="1" x14ac:dyDescent="0.4">
      <c r="A207" s="788">
        <v>206</v>
      </c>
      <c r="B207" s="246" t="s">
        <v>2184</v>
      </c>
      <c r="C207" s="246" t="s">
        <v>24</v>
      </c>
      <c r="D207" s="893">
        <v>1132</v>
      </c>
      <c r="E207" s="246" t="s">
        <v>2347</v>
      </c>
      <c r="F207" s="246" t="s">
        <v>755</v>
      </c>
      <c r="G207" s="246">
        <v>1124</v>
      </c>
      <c r="H207" s="246" t="s">
        <v>2348</v>
      </c>
      <c r="I207" s="246" t="s">
        <v>729</v>
      </c>
      <c r="J207" s="79" t="s">
        <v>58</v>
      </c>
      <c r="K207" s="79" t="s">
        <v>2035</v>
      </c>
      <c r="L207" s="954">
        <v>0.6</v>
      </c>
      <c r="M207" s="692"/>
      <c r="N207" s="757" t="s">
        <v>2355</v>
      </c>
      <c r="O207" s="692"/>
      <c r="P207" s="208">
        <v>1</v>
      </c>
      <c r="Q207" s="955">
        <v>0.1</v>
      </c>
      <c r="R207" s="208">
        <v>1</v>
      </c>
      <c r="S207" s="208"/>
      <c r="T207" s="207">
        <f t="shared" si="3"/>
        <v>0</v>
      </c>
      <c r="U207" s="206" t="s">
        <v>34</v>
      </c>
      <c r="V207" s="840"/>
      <c r="W207" s="263"/>
    </row>
    <row r="208" spans="1:23" ht="17.55" customHeight="1" x14ac:dyDescent="0.4">
      <c r="A208" s="788">
        <v>207</v>
      </c>
      <c r="B208" s="246" t="s">
        <v>2184</v>
      </c>
      <c r="C208" s="246" t="s">
        <v>24</v>
      </c>
      <c r="D208" s="893">
        <v>1132</v>
      </c>
      <c r="E208" s="246" t="s">
        <v>2347</v>
      </c>
      <c r="F208" s="246" t="s">
        <v>755</v>
      </c>
      <c r="G208" s="246">
        <v>1124</v>
      </c>
      <c r="H208" s="246" t="s">
        <v>2348</v>
      </c>
      <c r="I208" s="246" t="s">
        <v>729</v>
      </c>
      <c r="J208" s="79" t="s">
        <v>58</v>
      </c>
      <c r="K208" s="79" t="s">
        <v>2035</v>
      </c>
      <c r="L208" s="954">
        <v>0.6</v>
      </c>
      <c r="M208" s="692"/>
      <c r="N208" s="757" t="s">
        <v>2356</v>
      </c>
      <c r="O208" s="692"/>
      <c r="P208" s="208">
        <v>1</v>
      </c>
      <c r="Q208" s="955">
        <v>0.1</v>
      </c>
      <c r="R208" s="208">
        <v>1</v>
      </c>
      <c r="S208" s="208"/>
      <c r="T208" s="207">
        <f t="shared" si="3"/>
        <v>0</v>
      </c>
      <c r="U208" s="206" t="s">
        <v>34</v>
      </c>
      <c r="V208" s="840"/>
      <c r="W208" s="263"/>
    </row>
    <row r="209" spans="1:23" ht="17.55" customHeight="1" x14ac:dyDescent="0.4">
      <c r="A209" s="788">
        <v>208</v>
      </c>
      <c r="B209" s="246" t="s">
        <v>2184</v>
      </c>
      <c r="C209" s="246" t="s">
        <v>24</v>
      </c>
      <c r="D209" s="893">
        <v>1132</v>
      </c>
      <c r="E209" s="246" t="s">
        <v>2347</v>
      </c>
      <c r="F209" s="246" t="s">
        <v>755</v>
      </c>
      <c r="G209" s="246">
        <v>1124</v>
      </c>
      <c r="H209" s="246" t="s">
        <v>2348</v>
      </c>
      <c r="I209" s="246" t="s">
        <v>729</v>
      </c>
      <c r="J209" s="79" t="s">
        <v>58</v>
      </c>
      <c r="K209" s="79" t="s">
        <v>2035</v>
      </c>
      <c r="L209" s="954">
        <v>0.6</v>
      </c>
      <c r="M209" s="692"/>
      <c r="N209" s="757" t="s">
        <v>2357</v>
      </c>
      <c r="O209" s="692"/>
      <c r="P209" s="208">
        <v>1</v>
      </c>
      <c r="Q209" s="955">
        <v>0.1</v>
      </c>
      <c r="R209" s="208">
        <v>1</v>
      </c>
      <c r="S209" s="208"/>
      <c r="T209" s="207">
        <f t="shared" si="3"/>
        <v>0</v>
      </c>
      <c r="U209" s="206" t="s">
        <v>34</v>
      </c>
      <c r="V209" s="840"/>
      <c r="W209" s="263"/>
    </row>
    <row r="210" spans="1:23" ht="17.55" customHeight="1" x14ac:dyDescent="0.4">
      <c r="A210" s="788">
        <v>209</v>
      </c>
      <c r="B210" s="246" t="s">
        <v>2184</v>
      </c>
      <c r="C210" s="246" t="s">
        <v>24</v>
      </c>
      <c r="D210" s="893">
        <v>1132</v>
      </c>
      <c r="E210" s="246" t="s">
        <v>2347</v>
      </c>
      <c r="F210" s="246" t="s">
        <v>755</v>
      </c>
      <c r="G210" s="246">
        <v>1124</v>
      </c>
      <c r="H210" s="246" t="s">
        <v>2348</v>
      </c>
      <c r="I210" s="246" t="s">
        <v>729</v>
      </c>
      <c r="J210" s="253" t="s">
        <v>111</v>
      </c>
      <c r="K210" s="210" t="s">
        <v>110</v>
      </c>
      <c r="L210" s="797">
        <v>0.4</v>
      </c>
      <c r="M210" s="246"/>
      <c r="N210" s="767" t="s">
        <v>255</v>
      </c>
      <c r="O210" s="246"/>
      <c r="P210" s="222">
        <v>1</v>
      </c>
      <c r="Q210" s="878">
        <v>0.05</v>
      </c>
      <c r="R210" s="222">
        <v>1</v>
      </c>
      <c r="S210" s="222"/>
      <c r="T210" s="263">
        <f t="shared" si="3"/>
        <v>0</v>
      </c>
      <c r="U210" s="262" t="s">
        <v>34</v>
      </c>
      <c r="V210" s="949"/>
      <c r="W210" s="263"/>
    </row>
    <row r="211" spans="1:23" ht="17.55" customHeight="1" x14ac:dyDescent="0.4">
      <c r="A211" s="788">
        <v>210</v>
      </c>
      <c r="B211" s="246" t="s">
        <v>2184</v>
      </c>
      <c r="C211" s="246" t="s">
        <v>24</v>
      </c>
      <c r="D211" s="893">
        <v>1132</v>
      </c>
      <c r="E211" s="246" t="s">
        <v>2347</v>
      </c>
      <c r="F211" s="246" t="s">
        <v>755</v>
      </c>
      <c r="G211" s="246">
        <v>1124</v>
      </c>
      <c r="H211" s="246" t="s">
        <v>2348</v>
      </c>
      <c r="I211" s="246" t="s">
        <v>729</v>
      </c>
      <c r="J211" s="253" t="s">
        <v>111</v>
      </c>
      <c r="K211" s="253" t="s">
        <v>110</v>
      </c>
      <c r="L211" s="956">
        <v>0.4</v>
      </c>
      <c r="M211" s="246"/>
      <c r="N211" s="879" t="s">
        <v>768</v>
      </c>
      <c r="O211" s="246"/>
      <c r="P211" s="874">
        <v>1</v>
      </c>
      <c r="Q211" s="878">
        <v>0.05</v>
      </c>
      <c r="R211" s="874">
        <v>1</v>
      </c>
      <c r="S211" s="874"/>
      <c r="T211" s="263">
        <f t="shared" si="3"/>
        <v>0</v>
      </c>
      <c r="U211" s="262" t="s">
        <v>34</v>
      </c>
      <c r="V211" s="949"/>
      <c r="W211" s="263"/>
    </row>
    <row r="212" spans="1:23" ht="17.55" customHeight="1" x14ac:dyDescent="0.4">
      <c r="A212" s="788">
        <v>211</v>
      </c>
      <c r="B212" s="246" t="s">
        <v>2184</v>
      </c>
      <c r="C212" s="246" t="s">
        <v>24</v>
      </c>
      <c r="D212" s="893">
        <v>1132</v>
      </c>
      <c r="E212" s="246" t="s">
        <v>2347</v>
      </c>
      <c r="F212" s="246" t="s">
        <v>755</v>
      </c>
      <c r="G212" s="246">
        <v>1124</v>
      </c>
      <c r="H212" s="246" t="s">
        <v>2348</v>
      </c>
      <c r="I212" s="246" t="s">
        <v>729</v>
      </c>
      <c r="J212" s="253" t="s">
        <v>111</v>
      </c>
      <c r="K212" s="253" t="s">
        <v>110</v>
      </c>
      <c r="L212" s="956">
        <v>0.4</v>
      </c>
      <c r="M212" s="246"/>
      <c r="N212" s="879" t="s">
        <v>769</v>
      </c>
      <c r="O212" s="246"/>
      <c r="P212" s="874">
        <v>1</v>
      </c>
      <c r="Q212" s="878">
        <v>0.05</v>
      </c>
      <c r="R212" s="874">
        <v>1</v>
      </c>
      <c r="S212" s="874"/>
      <c r="T212" s="263">
        <f t="shared" si="3"/>
        <v>0</v>
      </c>
      <c r="U212" s="262" t="s">
        <v>34</v>
      </c>
      <c r="V212" s="949"/>
      <c r="W212" s="263"/>
    </row>
    <row r="213" spans="1:23" ht="17.55" customHeight="1" x14ac:dyDescent="0.4">
      <c r="A213" s="788">
        <v>212</v>
      </c>
      <c r="B213" s="246" t="s">
        <v>2184</v>
      </c>
      <c r="C213" s="246" t="s">
        <v>24</v>
      </c>
      <c r="D213" s="893">
        <v>1132</v>
      </c>
      <c r="E213" s="246" t="s">
        <v>2347</v>
      </c>
      <c r="F213" s="246" t="s">
        <v>755</v>
      </c>
      <c r="G213" s="246">
        <v>1124</v>
      </c>
      <c r="H213" s="246" t="s">
        <v>2348</v>
      </c>
      <c r="I213" s="246" t="s">
        <v>729</v>
      </c>
      <c r="J213" s="253" t="s">
        <v>111</v>
      </c>
      <c r="K213" s="253" t="s">
        <v>110</v>
      </c>
      <c r="L213" s="956">
        <v>0.4</v>
      </c>
      <c r="M213" s="246"/>
      <c r="N213" s="879" t="s">
        <v>770</v>
      </c>
      <c r="O213" s="246"/>
      <c r="P213" s="874">
        <v>1</v>
      </c>
      <c r="Q213" s="878">
        <v>0.15</v>
      </c>
      <c r="R213" s="874">
        <v>1</v>
      </c>
      <c r="S213" s="874"/>
      <c r="T213" s="263">
        <f t="shared" si="3"/>
        <v>0</v>
      </c>
      <c r="U213" s="262" t="s">
        <v>34</v>
      </c>
      <c r="V213" s="949"/>
      <c r="W213" s="263"/>
    </row>
    <row r="214" spans="1:23" ht="17.55" customHeight="1" x14ac:dyDescent="0.4">
      <c r="A214" s="788">
        <v>213</v>
      </c>
      <c r="B214" s="246" t="s">
        <v>2184</v>
      </c>
      <c r="C214" s="246" t="s">
        <v>24</v>
      </c>
      <c r="D214" s="893">
        <v>1132</v>
      </c>
      <c r="E214" s="246" t="s">
        <v>2347</v>
      </c>
      <c r="F214" s="246" t="s">
        <v>755</v>
      </c>
      <c r="G214" s="246">
        <v>1124</v>
      </c>
      <c r="H214" s="246" t="s">
        <v>2348</v>
      </c>
      <c r="I214" s="246" t="s">
        <v>729</v>
      </c>
      <c r="J214" s="253" t="s">
        <v>111</v>
      </c>
      <c r="K214" s="253" t="s">
        <v>110</v>
      </c>
      <c r="L214" s="956">
        <v>0.4</v>
      </c>
      <c r="M214" s="246"/>
      <c r="N214" s="879" t="s">
        <v>254</v>
      </c>
      <c r="O214" s="246"/>
      <c r="P214" s="874">
        <v>1</v>
      </c>
      <c r="Q214" s="878">
        <v>0.1</v>
      </c>
      <c r="R214" s="874">
        <v>1</v>
      </c>
      <c r="S214" s="874"/>
      <c r="T214" s="263">
        <f t="shared" si="3"/>
        <v>0</v>
      </c>
      <c r="U214" s="262" t="s">
        <v>34</v>
      </c>
      <c r="V214" s="949"/>
      <c r="W214" s="263"/>
    </row>
    <row r="215" spans="1:23" ht="17.55" customHeight="1" x14ac:dyDescent="0.4">
      <c r="A215" s="788">
        <v>214</v>
      </c>
      <c r="B215" s="246" t="s">
        <v>2184</v>
      </c>
      <c r="C215" s="246" t="s">
        <v>24</v>
      </c>
      <c r="D215" s="893">
        <v>1132</v>
      </c>
      <c r="E215" s="246" t="s">
        <v>2347</v>
      </c>
      <c r="F215" s="246" t="s">
        <v>755</v>
      </c>
      <c r="G215" s="246">
        <v>1124</v>
      </c>
      <c r="H215" s="246" t="s">
        <v>2348</v>
      </c>
      <c r="I215" s="246" t="s">
        <v>729</v>
      </c>
      <c r="J215" s="253" t="s">
        <v>111</v>
      </c>
      <c r="K215" s="253" t="s">
        <v>110</v>
      </c>
      <c r="L215" s="956">
        <v>0.4</v>
      </c>
      <c r="M215" s="246"/>
      <c r="N215" s="879" t="s">
        <v>771</v>
      </c>
      <c r="O215" s="246"/>
      <c r="P215" s="874">
        <v>1</v>
      </c>
      <c r="Q215" s="878">
        <v>0.05</v>
      </c>
      <c r="R215" s="874">
        <v>1</v>
      </c>
      <c r="S215" s="874"/>
      <c r="T215" s="263">
        <f t="shared" si="3"/>
        <v>0</v>
      </c>
      <c r="U215" s="262" t="s">
        <v>34</v>
      </c>
      <c r="V215" s="949"/>
      <c r="W215" s="263"/>
    </row>
    <row r="216" spans="1:23" ht="17.55" customHeight="1" x14ac:dyDescent="0.4">
      <c r="A216" s="788">
        <v>215</v>
      </c>
      <c r="B216" s="246" t="s">
        <v>2184</v>
      </c>
      <c r="C216" s="246" t="s">
        <v>24</v>
      </c>
      <c r="D216" s="893">
        <v>1132</v>
      </c>
      <c r="E216" s="246" t="s">
        <v>2347</v>
      </c>
      <c r="F216" s="246" t="s">
        <v>755</v>
      </c>
      <c r="G216" s="246">
        <v>1124</v>
      </c>
      <c r="H216" s="246" t="s">
        <v>2348</v>
      </c>
      <c r="I216" s="246" t="s">
        <v>729</v>
      </c>
      <c r="J216" s="253" t="s">
        <v>111</v>
      </c>
      <c r="K216" s="253" t="s">
        <v>110</v>
      </c>
      <c r="L216" s="956">
        <v>0.4</v>
      </c>
      <c r="M216" s="246"/>
      <c r="N216" s="879" t="s">
        <v>772</v>
      </c>
      <c r="O216" s="246"/>
      <c r="P216" s="874">
        <v>1</v>
      </c>
      <c r="Q216" s="878">
        <v>0.1</v>
      </c>
      <c r="R216" s="874">
        <v>1</v>
      </c>
      <c r="S216" s="874"/>
      <c r="T216" s="263">
        <f t="shared" si="3"/>
        <v>0</v>
      </c>
      <c r="U216" s="262" t="s">
        <v>34</v>
      </c>
      <c r="V216" s="799"/>
      <c r="W216" s="263"/>
    </row>
    <row r="217" spans="1:23" ht="17.55" customHeight="1" x14ac:dyDescent="0.4">
      <c r="A217" s="788">
        <v>216</v>
      </c>
      <c r="B217" s="246" t="s">
        <v>2184</v>
      </c>
      <c r="C217" s="246" t="s">
        <v>24</v>
      </c>
      <c r="D217" s="893">
        <v>1132</v>
      </c>
      <c r="E217" s="246" t="s">
        <v>2347</v>
      </c>
      <c r="F217" s="246" t="s">
        <v>755</v>
      </c>
      <c r="G217" s="246">
        <v>1124</v>
      </c>
      <c r="H217" s="246" t="s">
        <v>2348</v>
      </c>
      <c r="I217" s="246" t="s">
        <v>729</v>
      </c>
      <c r="J217" s="253" t="s">
        <v>111</v>
      </c>
      <c r="K217" s="253" t="s">
        <v>110</v>
      </c>
      <c r="L217" s="956">
        <v>0.4</v>
      </c>
      <c r="M217" s="246"/>
      <c r="N217" s="879" t="s">
        <v>773</v>
      </c>
      <c r="O217" s="246"/>
      <c r="P217" s="874">
        <v>1</v>
      </c>
      <c r="Q217" s="878">
        <v>0.05</v>
      </c>
      <c r="R217" s="874">
        <v>1</v>
      </c>
      <c r="S217" s="874"/>
      <c r="T217" s="263">
        <f t="shared" si="3"/>
        <v>0</v>
      </c>
      <c r="U217" s="262" t="s">
        <v>34</v>
      </c>
      <c r="V217" s="799"/>
      <c r="W217" s="263"/>
    </row>
    <row r="218" spans="1:23" ht="17.55" customHeight="1" x14ac:dyDescent="0.4">
      <c r="A218" s="788">
        <v>217</v>
      </c>
      <c r="B218" s="246" t="s">
        <v>2184</v>
      </c>
      <c r="C218" s="246" t="s">
        <v>24</v>
      </c>
      <c r="D218" s="893">
        <v>1132</v>
      </c>
      <c r="E218" s="246" t="s">
        <v>2347</v>
      </c>
      <c r="F218" s="246" t="s">
        <v>755</v>
      </c>
      <c r="G218" s="246">
        <v>1124</v>
      </c>
      <c r="H218" s="246" t="s">
        <v>2348</v>
      </c>
      <c r="I218" s="246" t="s">
        <v>729</v>
      </c>
      <c r="J218" s="253" t="s">
        <v>111</v>
      </c>
      <c r="K218" s="253" t="s">
        <v>110</v>
      </c>
      <c r="L218" s="956">
        <v>0.4</v>
      </c>
      <c r="M218" s="246"/>
      <c r="N218" s="879" t="s">
        <v>774</v>
      </c>
      <c r="O218" s="246"/>
      <c r="P218" s="874">
        <v>1</v>
      </c>
      <c r="Q218" s="878">
        <v>0.05</v>
      </c>
      <c r="R218" s="874">
        <v>1</v>
      </c>
      <c r="S218" s="874"/>
      <c r="T218" s="263">
        <f t="shared" si="3"/>
        <v>0</v>
      </c>
      <c r="U218" s="262" t="s">
        <v>34</v>
      </c>
      <c r="V218" s="799"/>
      <c r="W218" s="263"/>
    </row>
    <row r="219" spans="1:23" ht="17.55" customHeight="1" x14ac:dyDescent="0.4">
      <c r="A219" s="788">
        <v>218</v>
      </c>
      <c r="B219" s="246" t="s">
        <v>2184</v>
      </c>
      <c r="C219" s="246" t="s">
        <v>24</v>
      </c>
      <c r="D219" s="893">
        <v>1132</v>
      </c>
      <c r="E219" s="246" t="s">
        <v>2347</v>
      </c>
      <c r="F219" s="246" t="s">
        <v>755</v>
      </c>
      <c r="G219" s="246">
        <v>1124</v>
      </c>
      <c r="H219" s="246" t="s">
        <v>2348</v>
      </c>
      <c r="I219" s="246" t="s">
        <v>729</v>
      </c>
      <c r="J219" s="253" t="s">
        <v>111</v>
      </c>
      <c r="K219" s="253" t="s">
        <v>110</v>
      </c>
      <c r="L219" s="956">
        <v>0.4</v>
      </c>
      <c r="M219" s="246"/>
      <c r="N219" s="879" t="s">
        <v>775</v>
      </c>
      <c r="O219" s="246"/>
      <c r="P219" s="874">
        <v>1</v>
      </c>
      <c r="Q219" s="878">
        <v>0.05</v>
      </c>
      <c r="R219" s="874">
        <v>1</v>
      </c>
      <c r="S219" s="874"/>
      <c r="T219" s="263">
        <f t="shared" si="3"/>
        <v>0</v>
      </c>
      <c r="U219" s="262" t="s">
        <v>34</v>
      </c>
      <c r="V219" s="799"/>
      <c r="W219" s="263"/>
    </row>
    <row r="220" spans="1:23" ht="17.55" customHeight="1" x14ac:dyDescent="0.4">
      <c r="A220" s="788">
        <v>219</v>
      </c>
      <c r="B220" s="246" t="s">
        <v>2184</v>
      </c>
      <c r="C220" s="246" t="s">
        <v>24</v>
      </c>
      <c r="D220" s="893">
        <v>1132</v>
      </c>
      <c r="E220" s="246" t="s">
        <v>2347</v>
      </c>
      <c r="F220" s="246" t="s">
        <v>755</v>
      </c>
      <c r="G220" s="246">
        <v>1124</v>
      </c>
      <c r="H220" s="246" t="s">
        <v>2348</v>
      </c>
      <c r="I220" s="246" t="s">
        <v>729</v>
      </c>
      <c r="J220" s="253" t="s">
        <v>111</v>
      </c>
      <c r="K220" s="253" t="s">
        <v>110</v>
      </c>
      <c r="L220" s="956">
        <v>0.4</v>
      </c>
      <c r="M220" s="246"/>
      <c r="N220" s="879" t="s">
        <v>776</v>
      </c>
      <c r="O220" s="246"/>
      <c r="P220" s="874">
        <v>1</v>
      </c>
      <c r="Q220" s="878">
        <v>0.1</v>
      </c>
      <c r="R220" s="874">
        <v>1</v>
      </c>
      <c r="S220" s="874"/>
      <c r="T220" s="263">
        <f t="shared" si="3"/>
        <v>0</v>
      </c>
      <c r="U220" s="262" t="s">
        <v>34</v>
      </c>
      <c r="V220" s="799"/>
      <c r="W220" s="263"/>
    </row>
    <row r="221" spans="1:23" ht="17.55" customHeight="1" x14ac:dyDescent="0.4">
      <c r="A221" s="788">
        <v>220</v>
      </c>
      <c r="B221" s="246" t="s">
        <v>2184</v>
      </c>
      <c r="C221" s="246" t="s">
        <v>24</v>
      </c>
      <c r="D221" s="893">
        <v>1132</v>
      </c>
      <c r="E221" s="246" t="s">
        <v>2347</v>
      </c>
      <c r="F221" s="246" t="s">
        <v>755</v>
      </c>
      <c r="G221" s="246">
        <v>1124</v>
      </c>
      <c r="H221" s="246" t="s">
        <v>2348</v>
      </c>
      <c r="I221" s="246" t="s">
        <v>729</v>
      </c>
      <c r="J221" s="253" t="s">
        <v>111</v>
      </c>
      <c r="K221" s="253" t="s">
        <v>110</v>
      </c>
      <c r="L221" s="956">
        <v>0.4</v>
      </c>
      <c r="M221" s="246"/>
      <c r="N221" s="879" t="s">
        <v>251</v>
      </c>
      <c r="O221" s="246"/>
      <c r="P221" s="874">
        <v>1</v>
      </c>
      <c r="Q221" s="878">
        <v>0.05</v>
      </c>
      <c r="R221" s="874">
        <v>1</v>
      </c>
      <c r="S221" s="874"/>
      <c r="T221" s="263">
        <f t="shared" si="3"/>
        <v>0</v>
      </c>
      <c r="U221" s="262" t="s">
        <v>34</v>
      </c>
      <c r="V221" s="799"/>
      <c r="W221" s="263"/>
    </row>
    <row r="222" spans="1:23" ht="17.55" customHeight="1" x14ac:dyDescent="0.4">
      <c r="A222" s="788">
        <v>221</v>
      </c>
      <c r="B222" s="246" t="s">
        <v>2184</v>
      </c>
      <c r="C222" s="246" t="s">
        <v>24</v>
      </c>
      <c r="D222" s="893">
        <v>1132</v>
      </c>
      <c r="E222" s="246" t="s">
        <v>2347</v>
      </c>
      <c r="F222" s="246" t="s">
        <v>755</v>
      </c>
      <c r="G222" s="246">
        <v>1124</v>
      </c>
      <c r="H222" s="246" t="s">
        <v>2348</v>
      </c>
      <c r="I222" s="246" t="s">
        <v>729</v>
      </c>
      <c r="J222" s="253" t="s">
        <v>111</v>
      </c>
      <c r="K222" s="253" t="s">
        <v>110</v>
      </c>
      <c r="L222" s="956">
        <v>0.4</v>
      </c>
      <c r="M222" s="246"/>
      <c r="N222" s="879" t="s">
        <v>252</v>
      </c>
      <c r="O222" s="246"/>
      <c r="P222" s="874">
        <v>1</v>
      </c>
      <c r="Q222" s="878">
        <v>0.05</v>
      </c>
      <c r="R222" s="874">
        <v>1</v>
      </c>
      <c r="S222" s="874"/>
      <c r="T222" s="263">
        <f t="shared" si="3"/>
        <v>0</v>
      </c>
      <c r="U222" s="262" t="s">
        <v>34</v>
      </c>
      <c r="V222" s="799"/>
      <c r="W222" s="263"/>
    </row>
    <row r="223" spans="1:23" ht="17.55" customHeight="1" x14ac:dyDescent="0.4">
      <c r="A223" s="788">
        <v>222</v>
      </c>
      <c r="B223" s="246" t="s">
        <v>2184</v>
      </c>
      <c r="C223" s="246" t="s">
        <v>24</v>
      </c>
      <c r="D223" s="893">
        <v>1132</v>
      </c>
      <c r="E223" s="246" t="s">
        <v>2347</v>
      </c>
      <c r="F223" s="246" t="s">
        <v>755</v>
      </c>
      <c r="G223" s="246">
        <v>1124</v>
      </c>
      <c r="H223" s="246" t="s">
        <v>2348</v>
      </c>
      <c r="I223" s="246" t="s">
        <v>729</v>
      </c>
      <c r="J223" s="253" t="s">
        <v>111</v>
      </c>
      <c r="K223" s="253" t="s">
        <v>110</v>
      </c>
      <c r="L223" s="956">
        <v>0.4</v>
      </c>
      <c r="M223" s="246"/>
      <c r="N223" s="879" t="s">
        <v>777</v>
      </c>
      <c r="O223" s="246"/>
      <c r="P223" s="874">
        <v>1</v>
      </c>
      <c r="Q223" s="878">
        <v>0.05</v>
      </c>
      <c r="R223" s="874">
        <v>1</v>
      </c>
      <c r="S223" s="874"/>
      <c r="T223" s="263">
        <f t="shared" si="3"/>
        <v>0</v>
      </c>
      <c r="U223" s="262" t="s">
        <v>34</v>
      </c>
      <c r="V223" s="799"/>
      <c r="W223" s="263"/>
    </row>
    <row r="224" spans="1:23" ht="17.55" customHeight="1" x14ac:dyDescent="0.4">
      <c r="A224" s="788">
        <v>223</v>
      </c>
      <c r="B224" s="246" t="s">
        <v>2184</v>
      </c>
      <c r="C224" s="246" t="s">
        <v>24</v>
      </c>
      <c r="D224" s="893">
        <v>1132</v>
      </c>
      <c r="E224" s="246" t="s">
        <v>2347</v>
      </c>
      <c r="F224" s="246" t="s">
        <v>755</v>
      </c>
      <c r="G224" s="246">
        <v>1124</v>
      </c>
      <c r="H224" s="246" t="s">
        <v>2348</v>
      </c>
      <c r="I224" s="246" t="s">
        <v>729</v>
      </c>
      <c r="J224" s="253" t="s">
        <v>111</v>
      </c>
      <c r="K224" s="253" t="s">
        <v>110</v>
      </c>
      <c r="L224" s="956">
        <v>0.4</v>
      </c>
      <c r="M224" s="246"/>
      <c r="N224" s="879" t="s">
        <v>253</v>
      </c>
      <c r="O224" s="246"/>
      <c r="P224" s="874">
        <v>1</v>
      </c>
      <c r="Q224" s="878">
        <v>0.05</v>
      </c>
      <c r="R224" s="874">
        <v>1</v>
      </c>
      <c r="S224" s="874"/>
      <c r="T224" s="263">
        <f t="shared" si="3"/>
        <v>0</v>
      </c>
      <c r="U224" s="262" t="s">
        <v>34</v>
      </c>
      <c r="V224" s="799"/>
      <c r="W224" s="263"/>
    </row>
    <row r="225" spans="1:23" ht="17.55" customHeight="1" x14ac:dyDescent="0.4">
      <c r="A225" s="788">
        <v>224</v>
      </c>
      <c r="B225" s="236" t="s">
        <v>2184</v>
      </c>
      <c r="C225" s="236" t="s">
        <v>24</v>
      </c>
      <c r="D225" s="951">
        <v>1129</v>
      </c>
      <c r="E225" s="236" t="s">
        <v>2358</v>
      </c>
      <c r="F225" s="236" t="s">
        <v>755</v>
      </c>
      <c r="G225" s="236">
        <v>1124</v>
      </c>
      <c r="H225" s="236" t="s">
        <v>2348</v>
      </c>
      <c r="I225" s="236" t="s">
        <v>729</v>
      </c>
      <c r="J225" s="243" t="s">
        <v>58</v>
      </c>
      <c r="K225" s="243" t="s">
        <v>2035</v>
      </c>
      <c r="L225" s="713">
        <v>0.6</v>
      </c>
      <c r="M225" s="236"/>
      <c r="N225" s="952" t="s">
        <v>2359</v>
      </c>
      <c r="O225" s="236"/>
      <c r="P225" s="953">
        <v>1</v>
      </c>
      <c r="Q225" s="853">
        <v>0.1</v>
      </c>
      <c r="R225" s="953">
        <v>1</v>
      </c>
      <c r="S225" s="953"/>
      <c r="T225" s="854">
        <f t="shared" si="3"/>
        <v>0</v>
      </c>
      <c r="U225" s="855" t="s">
        <v>34</v>
      </c>
      <c r="V225" s="1951">
        <f>SUM(T225:T251)%</f>
        <v>0</v>
      </c>
      <c r="W225" s="854"/>
    </row>
    <row r="226" spans="1:23" ht="17.55" customHeight="1" x14ac:dyDescent="0.4">
      <c r="A226" s="788">
        <v>225</v>
      </c>
      <c r="B226" s="246" t="s">
        <v>2184</v>
      </c>
      <c r="C226" s="246" t="s">
        <v>24</v>
      </c>
      <c r="D226" s="893">
        <v>1129</v>
      </c>
      <c r="E226" s="246" t="s">
        <v>2358</v>
      </c>
      <c r="F226" s="246" t="s">
        <v>755</v>
      </c>
      <c r="G226" s="246">
        <v>1124</v>
      </c>
      <c r="H226" s="246" t="s">
        <v>2348</v>
      </c>
      <c r="I226" s="246" t="s">
        <v>729</v>
      </c>
      <c r="J226" s="648" t="s">
        <v>58</v>
      </c>
      <c r="K226" s="79" t="s">
        <v>2035</v>
      </c>
      <c r="L226" s="954">
        <v>0.6</v>
      </c>
      <c r="M226" s="692"/>
      <c r="N226" s="757" t="s">
        <v>2360</v>
      </c>
      <c r="O226" s="692"/>
      <c r="P226" s="208">
        <v>1</v>
      </c>
      <c r="Q226" s="955">
        <v>0.1</v>
      </c>
      <c r="R226" s="208">
        <v>1</v>
      </c>
      <c r="S226" s="208"/>
      <c r="T226" s="207">
        <f t="shared" si="3"/>
        <v>0</v>
      </c>
      <c r="U226" s="206" t="s">
        <v>34</v>
      </c>
      <c r="V226" s="840"/>
      <c r="W226" s="263"/>
    </row>
    <row r="227" spans="1:23" ht="17.55" customHeight="1" x14ac:dyDescent="0.4">
      <c r="A227" s="788">
        <v>226</v>
      </c>
      <c r="B227" s="246" t="s">
        <v>2184</v>
      </c>
      <c r="C227" s="246" t="s">
        <v>24</v>
      </c>
      <c r="D227" s="893">
        <v>1129</v>
      </c>
      <c r="E227" s="246" t="s">
        <v>2358</v>
      </c>
      <c r="F227" s="246" t="s">
        <v>755</v>
      </c>
      <c r="G227" s="246">
        <v>1124</v>
      </c>
      <c r="H227" s="246" t="s">
        <v>2348</v>
      </c>
      <c r="I227" s="246" t="s">
        <v>729</v>
      </c>
      <c r="J227" s="648" t="s">
        <v>58</v>
      </c>
      <c r="K227" s="79" t="s">
        <v>2035</v>
      </c>
      <c r="L227" s="954">
        <v>0.6</v>
      </c>
      <c r="M227" s="692"/>
      <c r="N227" s="757" t="s">
        <v>2361</v>
      </c>
      <c r="O227" s="692"/>
      <c r="P227" s="208">
        <v>1</v>
      </c>
      <c r="Q227" s="955">
        <v>0.05</v>
      </c>
      <c r="R227" s="208">
        <v>1</v>
      </c>
      <c r="S227" s="208"/>
      <c r="T227" s="207">
        <f t="shared" si="3"/>
        <v>0</v>
      </c>
      <c r="U227" s="206" t="s">
        <v>34</v>
      </c>
      <c r="V227" s="840"/>
      <c r="W227" s="263"/>
    </row>
    <row r="228" spans="1:23" ht="17.55" customHeight="1" x14ac:dyDescent="0.4">
      <c r="A228" s="788">
        <v>227</v>
      </c>
      <c r="B228" s="246" t="s">
        <v>2184</v>
      </c>
      <c r="C228" s="246" t="s">
        <v>24</v>
      </c>
      <c r="D228" s="893">
        <v>1129</v>
      </c>
      <c r="E228" s="246" t="s">
        <v>2358</v>
      </c>
      <c r="F228" s="246" t="s">
        <v>755</v>
      </c>
      <c r="G228" s="246">
        <v>1124</v>
      </c>
      <c r="H228" s="246" t="s">
        <v>2348</v>
      </c>
      <c r="I228" s="246" t="s">
        <v>729</v>
      </c>
      <c r="J228" s="648" t="s">
        <v>58</v>
      </c>
      <c r="K228" s="79" t="s">
        <v>2035</v>
      </c>
      <c r="L228" s="954">
        <v>0.6</v>
      </c>
      <c r="M228" s="692"/>
      <c r="N228" s="757" t="s">
        <v>2362</v>
      </c>
      <c r="O228" s="692"/>
      <c r="P228" s="208">
        <v>1</v>
      </c>
      <c r="Q228" s="955">
        <v>0.2</v>
      </c>
      <c r="R228" s="208">
        <v>1</v>
      </c>
      <c r="S228" s="208"/>
      <c r="T228" s="207">
        <f t="shared" si="3"/>
        <v>0</v>
      </c>
      <c r="U228" s="206" t="s">
        <v>34</v>
      </c>
      <c r="V228" s="840"/>
      <c r="W228" s="263"/>
    </row>
    <row r="229" spans="1:23" ht="17.55" customHeight="1" x14ac:dyDescent="0.4">
      <c r="A229" s="788">
        <v>228</v>
      </c>
      <c r="B229" s="246" t="s">
        <v>2184</v>
      </c>
      <c r="C229" s="246" t="s">
        <v>24</v>
      </c>
      <c r="D229" s="893">
        <v>1129</v>
      </c>
      <c r="E229" s="246" t="s">
        <v>2358</v>
      </c>
      <c r="F229" s="246" t="s">
        <v>755</v>
      </c>
      <c r="G229" s="246">
        <v>1124</v>
      </c>
      <c r="H229" s="246" t="s">
        <v>2348</v>
      </c>
      <c r="I229" s="246" t="s">
        <v>729</v>
      </c>
      <c r="J229" s="648" t="s">
        <v>58</v>
      </c>
      <c r="K229" s="79" t="s">
        <v>2035</v>
      </c>
      <c r="L229" s="954">
        <v>0.6</v>
      </c>
      <c r="M229" s="692"/>
      <c r="N229" s="757" t="s">
        <v>2363</v>
      </c>
      <c r="O229" s="692"/>
      <c r="P229" s="208">
        <v>1</v>
      </c>
      <c r="Q229" s="955">
        <v>0.05</v>
      </c>
      <c r="R229" s="208">
        <v>1</v>
      </c>
      <c r="S229" s="208"/>
      <c r="T229" s="207">
        <f t="shared" si="3"/>
        <v>0</v>
      </c>
      <c r="U229" s="206" t="s">
        <v>34</v>
      </c>
      <c r="V229" s="840"/>
      <c r="W229" s="263"/>
    </row>
    <row r="230" spans="1:23" ht="17.55" customHeight="1" x14ac:dyDescent="0.4">
      <c r="A230" s="788">
        <v>229</v>
      </c>
      <c r="B230" s="246" t="s">
        <v>2184</v>
      </c>
      <c r="C230" s="246" t="s">
        <v>24</v>
      </c>
      <c r="D230" s="893">
        <v>1129</v>
      </c>
      <c r="E230" s="246" t="s">
        <v>2358</v>
      </c>
      <c r="F230" s="246" t="s">
        <v>755</v>
      </c>
      <c r="G230" s="246">
        <v>1124</v>
      </c>
      <c r="H230" s="246" t="s">
        <v>2348</v>
      </c>
      <c r="I230" s="246" t="s">
        <v>729</v>
      </c>
      <c r="J230" s="648" t="s">
        <v>58</v>
      </c>
      <c r="K230" s="79" t="s">
        <v>2035</v>
      </c>
      <c r="L230" s="954">
        <v>0.6</v>
      </c>
      <c r="M230" s="692"/>
      <c r="N230" s="757" t="s">
        <v>763</v>
      </c>
      <c r="O230" s="692"/>
      <c r="P230" s="208">
        <v>1</v>
      </c>
      <c r="Q230" s="955">
        <v>0.05</v>
      </c>
      <c r="R230" s="208">
        <v>1</v>
      </c>
      <c r="S230" s="208"/>
      <c r="T230" s="207">
        <f t="shared" si="3"/>
        <v>0</v>
      </c>
      <c r="U230" s="206" t="s">
        <v>34</v>
      </c>
      <c r="V230" s="840"/>
      <c r="W230" s="263"/>
    </row>
    <row r="231" spans="1:23" ht="17.55" customHeight="1" x14ac:dyDescent="0.4">
      <c r="A231" s="788">
        <v>230</v>
      </c>
      <c r="B231" s="246" t="s">
        <v>2184</v>
      </c>
      <c r="C231" s="246" t="s">
        <v>24</v>
      </c>
      <c r="D231" s="893">
        <v>1129</v>
      </c>
      <c r="E231" s="246" t="s">
        <v>2358</v>
      </c>
      <c r="F231" s="246" t="s">
        <v>755</v>
      </c>
      <c r="G231" s="246">
        <v>1124</v>
      </c>
      <c r="H231" s="246" t="s">
        <v>2348</v>
      </c>
      <c r="I231" s="246" t="s">
        <v>729</v>
      </c>
      <c r="J231" s="648" t="s">
        <v>58</v>
      </c>
      <c r="K231" s="79" t="s">
        <v>2035</v>
      </c>
      <c r="L231" s="954">
        <v>0.6</v>
      </c>
      <c r="M231" s="692"/>
      <c r="N231" s="757" t="s">
        <v>2364</v>
      </c>
      <c r="O231" s="692"/>
      <c r="P231" s="208">
        <v>1</v>
      </c>
      <c r="Q231" s="955">
        <v>0.1</v>
      </c>
      <c r="R231" s="208">
        <v>1</v>
      </c>
      <c r="S231" s="208"/>
      <c r="T231" s="207">
        <f t="shared" si="3"/>
        <v>0</v>
      </c>
      <c r="U231" s="206" t="s">
        <v>34</v>
      </c>
      <c r="V231" s="840"/>
      <c r="W231" s="263"/>
    </row>
    <row r="232" spans="1:23" ht="17.55" customHeight="1" x14ac:dyDescent="0.4">
      <c r="A232" s="788">
        <v>231</v>
      </c>
      <c r="B232" s="246" t="s">
        <v>2184</v>
      </c>
      <c r="C232" s="246" t="s">
        <v>24</v>
      </c>
      <c r="D232" s="893">
        <v>1129</v>
      </c>
      <c r="E232" s="246" t="s">
        <v>2358</v>
      </c>
      <c r="F232" s="246" t="s">
        <v>755</v>
      </c>
      <c r="G232" s="246">
        <v>1124</v>
      </c>
      <c r="H232" s="246" t="s">
        <v>2348</v>
      </c>
      <c r="I232" s="246" t="s">
        <v>729</v>
      </c>
      <c r="J232" s="648" t="s">
        <v>58</v>
      </c>
      <c r="K232" s="79" t="s">
        <v>2035</v>
      </c>
      <c r="L232" s="954">
        <v>0.6</v>
      </c>
      <c r="M232" s="692"/>
      <c r="N232" s="757" t="s">
        <v>2365</v>
      </c>
      <c r="O232" s="692"/>
      <c r="P232" s="208">
        <v>1</v>
      </c>
      <c r="Q232" s="955">
        <v>0.05</v>
      </c>
      <c r="R232" s="208">
        <v>1</v>
      </c>
      <c r="S232" s="208"/>
      <c r="T232" s="207">
        <f t="shared" si="3"/>
        <v>0</v>
      </c>
      <c r="U232" s="206" t="s">
        <v>34</v>
      </c>
      <c r="V232" s="840"/>
      <c r="W232" s="263"/>
    </row>
    <row r="233" spans="1:23" ht="17.55" customHeight="1" x14ac:dyDescent="0.4">
      <c r="A233" s="788">
        <v>232</v>
      </c>
      <c r="B233" s="246" t="s">
        <v>2184</v>
      </c>
      <c r="C233" s="246" t="s">
        <v>24</v>
      </c>
      <c r="D233" s="893">
        <v>1129</v>
      </c>
      <c r="E233" s="246" t="s">
        <v>2358</v>
      </c>
      <c r="F233" s="246" t="s">
        <v>755</v>
      </c>
      <c r="G233" s="246">
        <v>1124</v>
      </c>
      <c r="H233" s="246" t="s">
        <v>2348</v>
      </c>
      <c r="I233" s="246" t="s">
        <v>729</v>
      </c>
      <c r="J233" s="648" t="s">
        <v>58</v>
      </c>
      <c r="K233" s="79" t="s">
        <v>2035</v>
      </c>
      <c r="L233" s="954">
        <v>0.6</v>
      </c>
      <c r="M233" s="692"/>
      <c r="N233" s="757" t="s">
        <v>2366</v>
      </c>
      <c r="O233" s="692"/>
      <c r="P233" s="208">
        <v>1</v>
      </c>
      <c r="Q233" s="955">
        <v>0.05</v>
      </c>
      <c r="R233" s="208">
        <v>1</v>
      </c>
      <c r="S233" s="208"/>
      <c r="T233" s="207">
        <f t="shared" si="3"/>
        <v>0</v>
      </c>
      <c r="U233" s="206" t="s">
        <v>34</v>
      </c>
      <c r="V233" s="840"/>
      <c r="W233" s="263"/>
    </row>
    <row r="234" spans="1:23" ht="17.55" customHeight="1" x14ac:dyDescent="0.4">
      <c r="A234" s="788">
        <v>233</v>
      </c>
      <c r="B234" s="246" t="s">
        <v>2184</v>
      </c>
      <c r="C234" s="246" t="s">
        <v>24</v>
      </c>
      <c r="D234" s="893">
        <v>1129</v>
      </c>
      <c r="E234" s="246" t="s">
        <v>2358</v>
      </c>
      <c r="F234" s="246" t="s">
        <v>755</v>
      </c>
      <c r="G234" s="246">
        <v>1124</v>
      </c>
      <c r="H234" s="246" t="s">
        <v>2348</v>
      </c>
      <c r="I234" s="246" t="s">
        <v>729</v>
      </c>
      <c r="J234" s="648" t="s">
        <v>58</v>
      </c>
      <c r="K234" s="79" t="s">
        <v>2035</v>
      </c>
      <c r="L234" s="954">
        <v>0.6</v>
      </c>
      <c r="M234" s="692"/>
      <c r="N234" s="757" t="s">
        <v>2367</v>
      </c>
      <c r="O234" s="692"/>
      <c r="P234" s="208">
        <v>1</v>
      </c>
      <c r="Q234" s="955">
        <v>0.1</v>
      </c>
      <c r="R234" s="208">
        <v>1</v>
      </c>
      <c r="S234" s="208"/>
      <c r="T234" s="207">
        <f t="shared" si="3"/>
        <v>0</v>
      </c>
      <c r="U234" s="206" t="s">
        <v>34</v>
      </c>
      <c r="V234" s="840"/>
      <c r="W234" s="263"/>
    </row>
    <row r="235" spans="1:23" ht="17.55" customHeight="1" x14ac:dyDescent="0.4">
      <c r="A235" s="788">
        <v>234</v>
      </c>
      <c r="B235" s="246" t="s">
        <v>2184</v>
      </c>
      <c r="C235" s="246" t="s">
        <v>24</v>
      </c>
      <c r="D235" s="893">
        <v>1129</v>
      </c>
      <c r="E235" s="246" t="s">
        <v>2358</v>
      </c>
      <c r="F235" s="246" t="s">
        <v>755</v>
      </c>
      <c r="G235" s="246">
        <v>1124</v>
      </c>
      <c r="H235" s="246" t="s">
        <v>2348</v>
      </c>
      <c r="I235" s="246" t="s">
        <v>729</v>
      </c>
      <c r="J235" s="648" t="s">
        <v>58</v>
      </c>
      <c r="K235" s="79" t="s">
        <v>2035</v>
      </c>
      <c r="L235" s="954">
        <v>0.6</v>
      </c>
      <c r="M235" s="692"/>
      <c r="N235" s="757" t="s">
        <v>2368</v>
      </c>
      <c r="O235" s="692"/>
      <c r="P235" s="208">
        <v>1</v>
      </c>
      <c r="Q235" s="955">
        <v>0.05</v>
      </c>
      <c r="R235" s="208">
        <v>1</v>
      </c>
      <c r="S235" s="208"/>
      <c r="T235" s="207">
        <f t="shared" si="3"/>
        <v>0</v>
      </c>
      <c r="U235" s="206" t="s">
        <v>34</v>
      </c>
      <c r="V235" s="840"/>
      <c r="W235" s="263"/>
    </row>
    <row r="236" spans="1:23" ht="17.55" customHeight="1" x14ac:dyDescent="0.4">
      <c r="A236" s="788">
        <v>235</v>
      </c>
      <c r="B236" s="246" t="s">
        <v>2184</v>
      </c>
      <c r="C236" s="246" t="s">
        <v>24</v>
      </c>
      <c r="D236" s="893">
        <v>1129</v>
      </c>
      <c r="E236" s="246" t="s">
        <v>2358</v>
      </c>
      <c r="F236" s="246" t="s">
        <v>755</v>
      </c>
      <c r="G236" s="246">
        <v>1124</v>
      </c>
      <c r="H236" s="246" t="s">
        <v>2348</v>
      </c>
      <c r="I236" s="246" t="s">
        <v>729</v>
      </c>
      <c r="J236" s="648" t="s">
        <v>58</v>
      </c>
      <c r="K236" s="79" t="s">
        <v>2035</v>
      </c>
      <c r="L236" s="954">
        <v>0.6</v>
      </c>
      <c r="M236" s="692"/>
      <c r="N236" s="757" t="s">
        <v>2369</v>
      </c>
      <c r="O236" s="692"/>
      <c r="P236" s="208">
        <v>1</v>
      </c>
      <c r="Q236" s="955">
        <v>0.1</v>
      </c>
      <c r="R236" s="208">
        <v>1</v>
      </c>
      <c r="S236" s="208"/>
      <c r="T236" s="207">
        <f t="shared" si="3"/>
        <v>0</v>
      </c>
      <c r="U236" s="206" t="s">
        <v>34</v>
      </c>
      <c r="V236" s="840"/>
      <c r="W236" s="263"/>
    </row>
    <row r="237" spans="1:23" ht="17.55" customHeight="1" x14ac:dyDescent="0.4">
      <c r="A237" s="788">
        <v>236</v>
      </c>
      <c r="B237" s="246" t="s">
        <v>2184</v>
      </c>
      <c r="C237" s="246" t="s">
        <v>24</v>
      </c>
      <c r="D237" s="893">
        <v>1129</v>
      </c>
      <c r="E237" s="246" t="s">
        <v>2358</v>
      </c>
      <c r="F237" s="246" t="s">
        <v>755</v>
      </c>
      <c r="G237" s="246">
        <v>1124</v>
      </c>
      <c r="H237" s="246" t="s">
        <v>2348</v>
      </c>
      <c r="I237" s="246" t="s">
        <v>729</v>
      </c>
      <c r="J237" s="253" t="s">
        <v>111</v>
      </c>
      <c r="K237" s="210" t="s">
        <v>110</v>
      </c>
      <c r="L237" s="797">
        <v>0.4</v>
      </c>
      <c r="M237" s="246"/>
      <c r="N237" s="767" t="s">
        <v>255</v>
      </c>
      <c r="O237" s="246"/>
      <c r="P237" s="222">
        <v>1</v>
      </c>
      <c r="Q237" s="878">
        <v>0.05</v>
      </c>
      <c r="R237" s="222">
        <v>1</v>
      </c>
      <c r="S237" s="222"/>
      <c r="T237" s="263">
        <f t="shared" si="3"/>
        <v>0</v>
      </c>
      <c r="U237" s="262" t="s">
        <v>34</v>
      </c>
      <c r="V237" s="949"/>
      <c r="W237" s="263"/>
    </row>
    <row r="238" spans="1:23" ht="17.55" customHeight="1" x14ac:dyDescent="0.4">
      <c r="A238" s="788">
        <v>237</v>
      </c>
      <c r="B238" s="246" t="s">
        <v>2184</v>
      </c>
      <c r="C238" s="246" t="s">
        <v>24</v>
      </c>
      <c r="D238" s="893">
        <v>1129</v>
      </c>
      <c r="E238" s="246" t="s">
        <v>2358</v>
      </c>
      <c r="F238" s="246" t="s">
        <v>755</v>
      </c>
      <c r="G238" s="246">
        <v>1124</v>
      </c>
      <c r="H238" s="246" t="s">
        <v>2348</v>
      </c>
      <c r="I238" s="246" t="s">
        <v>729</v>
      </c>
      <c r="J238" s="253" t="s">
        <v>111</v>
      </c>
      <c r="K238" s="253" t="s">
        <v>110</v>
      </c>
      <c r="L238" s="956">
        <v>0.4</v>
      </c>
      <c r="M238" s="246"/>
      <c r="N238" s="879" t="s">
        <v>768</v>
      </c>
      <c r="O238" s="246"/>
      <c r="P238" s="874">
        <v>1</v>
      </c>
      <c r="Q238" s="878">
        <v>0.05</v>
      </c>
      <c r="R238" s="874">
        <v>1</v>
      </c>
      <c r="S238" s="874"/>
      <c r="T238" s="263">
        <f t="shared" si="3"/>
        <v>0</v>
      </c>
      <c r="U238" s="262" t="s">
        <v>34</v>
      </c>
      <c r="V238" s="949"/>
      <c r="W238" s="263"/>
    </row>
    <row r="239" spans="1:23" ht="17.55" customHeight="1" x14ac:dyDescent="0.4">
      <c r="A239" s="788">
        <v>238</v>
      </c>
      <c r="B239" s="246" t="s">
        <v>2184</v>
      </c>
      <c r="C239" s="246" t="s">
        <v>24</v>
      </c>
      <c r="D239" s="893">
        <v>1129</v>
      </c>
      <c r="E239" s="246" t="s">
        <v>2358</v>
      </c>
      <c r="F239" s="246" t="s">
        <v>755</v>
      </c>
      <c r="G239" s="246">
        <v>1124</v>
      </c>
      <c r="H239" s="246" t="s">
        <v>2348</v>
      </c>
      <c r="I239" s="246" t="s">
        <v>729</v>
      </c>
      <c r="J239" s="253" t="s">
        <v>111</v>
      </c>
      <c r="K239" s="253" t="s">
        <v>110</v>
      </c>
      <c r="L239" s="956">
        <v>0.4</v>
      </c>
      <c r="M239" s="246"/>
      <c r="N239" s="879" t="s">
        <v>769</v>
      </c>
      <c r="O239" s="246"/>
      <c r="P239" s="874">
        <v>1</v>
      </c>
      <c r="Q239" s="878">
        <v>0.05</v>
      </c>
      <c r="R239" s="874">
        <v>1</v>
      </c>
      <c r="S239" s="874"/>
      <c r="T239" s="263">
        <f t="shared" si="3"/>
        <v>0</v>
      </c>
      <c r="U239" s="262" t="s">
        <v>34</v>
      </c>
      <c r="V239" s="949"/>
      <c r="W239" s="263"/>
    </row>
    <row r="240" spans="1:23" ht="17.55" customHeight="1" x14ac:dyDescent="0.4">
      <c r="A240" s="788">
        <v>239</v>
      </c>
      <c r="B240" s="246" t="s">
        <v>2184</v>
      </c>
      <c r="C240" s="246" t="s">
        <v>24</v>
      </c>
      <c r="D240" s="893">
        <v>1129</v>
      </c>
      <c r="E240" s="246" t="s">
        <v>2358</v>
      </c>
      <c r="F240" s="246" t="s">
        <v>755</v>
      </c>
      <c r="G240" s="246">
        <v>1124</v>
      </c>
      <c r="H240" s="246" t="s">
        <v>2348</v>
      </c>
      <c r="I240" s="246" t="s">
        <v>729</v>
      </c>
      <c r="J240" s="253" t="s">
        <v>111</v>
      </c>
      <c r="K240" s="253" t="s">
        <v>110</v>
      </c>
      <c r="L240" s="956">
        <v>0.4</v>
      </c>
      <c r="M240" s="246"/>
      <c r="N240" s="879" t="s">
        <v>770</v>
      </c>
      <c r="O240" s="246"/>
      <c r="P240" s="874">
        <v>1</v>
      </c>
      <c r="Q240" s="878">
        <v>0.15</v>
      </c>
      <c r="R240" s="874">
        <v>1</v>
      </c>
      <c r="S240" s="874"/>
      <c r="T240" s="263">
        <f t="shared" si="3"/>
        <v>0</v>
      </c>
      <c r="U240" s="262" t="s">
        <v>34</v>
      </c>
      <c r="V240" s="949"/>
      <c r="W240" s="263"/>
    </row>
    <row r="241" spans="1:23" ht="17.55" customHeight="1" x14ac:dyDescent="0.4">
      <c r="A241" s="788">
        <v>240</v>
      </c>
      <c r="B241" s="246" t="s">
        <v>2184</v>
      </c>
      <c r="C241" s="246" t="s">
        <v>24</v>
      </c>
      <c r="D241" s="893">
        <v>1129</v>
      </c>
      <c r="E241" s="246" t="s">
        <v>2358</v>
      </c>
      <c r="F241" s="246" t="s">
        <v>755</v>
      </c>
      <c r="G241" s="246">
        <v>1124</v>
      </c>
      <c r="H241" s="246" t="s">
        <v>2348</v>
      </c>
      <c r="I241" s="246" t="s">
        <v>729</v>
      </c>
      <c r="J241" s="253" t="s">
        <v>111</v>
      </c>
      <c r="K241" s="253" t="s">
        <v>110</v>
      </c>
      <c r="L241" s="956">
        <v>0.4</v>
      </c>
      <c r="M241" s="246"/>
      <c r="N241" s="879" t="s">
        <v>254</v>
      </c>
      <c r="O241" s="246"/>
      <c r="P241" s="874">
        <v>1</v>
      </c>
      <c r="Q241" s="878">
        <v>0.1</v>
      </c>
      <c r="R241" s="874">
        <v>1</v>
      </c>
      <c r="S241" s="874"/>
      <c r="T241" s="263">
        <f t="shared" si="3"/>
        <v>0</v>
      </c>
      <c r="U241" s="262" t="s">
        <v>34</v>
      </c>
      <c r="V241" s="949"/>
      <c r="W241" s="263"/>
    </row>
    <row r="242" spans="1:23" ht="17.55" customHeight="1" x14ac:dyDescent="0.4">
      <c r="A242" s="788">
        <v>241</v>
      </c>
      <c r="B242" s="246" t="s">
        <v>2184</v>
      </c>
      <c r="C242" s="246" t="s">
        <v>24</v>
      </c>
      <c r="D242" s="893">
        <v>1129</v>
      </c>
      <c r="E242" s="246" t="s">
        <v>2358</v>
      </c>
      <c r="F242" s="246" t="s">
        <v>755</v>
      </c>
      <c r="G242" s="246">
        <v>1124</v>
      </c>
      <c r="H242" s="246" t="s">
        <v>2348</v>
      </c>
      <c r="I242" s="246" t="s">
        <v>729</v>
      </c>
      <c r="J242" s="253" t="s">
        <v>111</v>
      </c>
      <c r="K242" s="253" t="s">
        <v>110</v>
      </c>
      <c r="L242" s="956">
        <v>0.4</v>
      </c>
      <c r="M242" s="246"/>
      <c r="N242" s="879" t="s">
        <v>771</v>
      </c>
      <c r="O242" s="246"/>
      <c r="P242" s="874">
        <v>1</v>
      </c>
      <c r="Q242" s="878">
        <v>0.05</v>
      </c>
      <c r="R242" s="874">
        <v>1</v>
      </c>
      <c r="S242" s="874"/>
      <c r="T242" s="263">
        <f t="shared" si="3"/>
        <v>0</v>
      </c>
      <c r="U242" s="262" t="s">
        <v>34</v>
      </c>
      <c r="V242" s="799"/>
      <c r="W242" s="263"/>
    </row>
    <row r="243" spans="1:23" ht="17.55" customHeight="1" x14ac:dyDescent="0.4">
      <c r="A243" s="788">
        <v>242</v>
      </c>
      <c r="B243" s="246" t="s">
        <v>2184</v>
      </c>
      <c r="C243" s="246" t="s">
        <v>24</v>
      </c>
      <c r="D243" s="893">
        <v>1129</v>
      </c>
      <c r="E243" s="246" t="s">
        <v>2358</v>
      </c>
      <c r="F243" s="246" t="s">
        <v>755</v>
      </c>
      <c r="G243" s="246">
        <v>1124</v>
      </c>
      <c r="H243" s="246" t="s">
        <v>2348</v>
      </c>
      <c r="I243" s="246" t="s">
        <v>729</v>
      </c>
      <c r="J243" s="253" t="s">
        <v>111</v>
      </c>
      <c r="K243" s="253" t="s">
        <v>110</v>
      </c>
      <c r="L243" s="956">
        <v>0.4</v>
      </c>
      <c r="M243" s="246"/>
      <c r="N243" s="879" t="s">
        <v>772</v>
      </c>
      <c r="O243" s="246"/>
      <c r="P243" s="874">
        <v>1</v>
      </c>
      <c r="Q243" s="878">
        <v>0.1</v>
      </c>
      <c r="R243" s="874">
        <v>1</v>
      </c>
      <c r="S243" s="874"/>
      <c r="T243" s="263">
        <f t="shared" si="3"/>
        <v>0</v>
      </c>
      <c r="U243" s="262" t="s">
        <v>34</v>
      </c>
      <c r="V243" s="799"/>
      <c r="W243" s="263"/>
    </row>
    <row r="244" spans="1:23" ht="17.55" customHeight="1" x14ac:dyDescent="0.4">
      <c r="A244" s="788">
        <v>243</v>
      </c>
      <c r="B244" s="246" t="s">
        <v>2184</v>
      </c>
      <c r="C244" s="246" t="s">
        <v>24</v>
      </c>
      <c r="D244" s="893">
        <v>1129</v>
      </c>
      <c r="E244" s="246" t="s">
        <v>2358</v>
      </c>
      <c r="F244" s="246" t="s">
        <v>755</v>
      </c>
      <c r="G244" s="246">
        <v>1124</v>
      </c>
      <c r="H244" s="246" t="s">
        <v>2348</v>
      </c>
      <c r="I244" s="246" t="s">
        <v>729</v>
      </c>
      <c r="J244" s="253" t="s">
        <v>111</v>
      </c>
      <c r="K244" s="253" t="s">
        <v>110</v>
      </c>
      <c r="L244" s="956">
        <v>0.4</v>
      </c>
      <c r="M244" s="246"/>
      <c r="N244" s="879" t="s">
        <v>773</v>
      </c>
      <c r="O244" s="246"/>
      <c r="P244" s="874">
        <v>1</v>
      </c>
      <c r="Q244" s="878">
        <v>0.05</v>
      </c>
      <c r="R244" s="874">
        <v>1</v>
      </c>
      <c r="S244" s="874"/>
      <c r="T244" s="263">
        <f t="shared" si="3"/>
        <v>0</v>
      </c>
      <c r="U244" s="262" t="s">
        <v>34</v>
      </c>
      <c r="V244" s="799"/>
      <c r="W244" s="263"/>
    </row>
    <row r="245" spans="1:23" ht="17.55" customHeight="1" x14ac:dyDescent="0.4">
      <c r="A245" s="788">
        <v>244</v>
      </c>
      <c r="B245" s="246" t="s">
        <v>2184</v>
      </c>
      <c r="C245" s="246" t="s">
        <v>24</v>
      </c>
      <c r="D245" s="893">
        <v>1129</v>
      </c>
      <c r="E245" s="246" t="s">
        <v>2358</v>
      </c>
      <c r="F245" s="246" t="s">
        <v>755</v>
      </c>
      <c r="G245" s="246">
        <v>1124</v>
      </c>
      <c r="H245" s="246" t="s">
        <v>2348</v>
      </c>
      <c r="I245" s="246" t="s">
        <v>729</v>
      </c>
      <c r="J245" s="253" t="s">
        <v>111</v>
      </c>
      <c r="K245" s="253" t="s">
        <v>110</v>
      </c>
      <c r="L245" s="956">
        <v>0.4</v>
      </c>
      <c r="M245" s="246"/>
      <c r="N245" s="879" t="s">
        <v>774</v>
      </c>
      <c r="O245" s="246"/>
      <c r="P245" s="874">
        <v>1</v>
      </c>
      <c r="Q245" s="878">
        <v>0.05</v>
      </c>
      <c r="R245" s="874">
        <v>1</v>
      </c>
      <c r="S245" s="874"/>
      <c r="T245" s="263">
        <f t="shared" si="3"/>
        <v>0</v>
      </c>
      <c r="U245" s="262" t="s">
        <v>34</v>
      </c>
      <c r="V245" s="799"/>
      <c r="W245" s="263"/>
    </row>
    <row r="246" spans="1:23" ht="17.55" customHeight="1" x14ac:dyDescent="0.4">
      <c r="A246" s="788">
        <v>245</v>
      </c>
      <c r="B246" s="246" t="s">
        <v>2184</v>
      </c>
      <c r="C246" s="246" t="s">
        <v>24</v>
      </c>
      <c r="D246" s="893">
        <v>1129</v>
      </c>
      <c r="E246" s="246" t="s">
        <v>2358</v>
      </c>
      <c r="F246" s="246" t="s">
        <v>755</v>
      </c>
      <c r="G246" s="246">
        <v>1124</v>
      </c>
      <c r="H246" s="246" t="s">
        <v>2348</v>
      </c>
      <c r="I246" s="246" t="s">
        <v>729</v>
      </c>
      <c r="J246" s="253" t="s">
        <v>111</v>
      </c>
      <c r="K246" s="253" t="s">
        <v>110</v>
      </c>
      <c r="L246" s="956">
        <v>0.4</v>
      </c>
      <c r="M246" s="246"/>
      <c r="N246" s="879" t="s">
        <v>775</v>
      </c>
      <c r="O246" s="246"/>
      <c r="P246" s="874">
        <v>1</v>
      </c>
      <c r="Q246" s="878">
        <v>0.05</v>
      </c>
      <c r="R246" s="874">
        <v>1</v>
      </c>
      <c r="S246" s="874"/>
      <c r="T246" s="263">
        <f t="shared" si="3"/>
        <v>0</v>
      </c>
      <c r="U246" s="262" t="s">
        <v>34</v>
      </c>
      <c r="V246" s="799"/>
      <c r="W246" s="263"/>
    </row>
    <row r="247" spans="1:23" ht="17.55" customHeight="1" x14ac:dyDescent="0.4">
      <c r="A247" s="788">
        <v>246</v>
      </c>
      <c r="B247" s="246" t="s">
        <v>2184</v>
      </c>
      <c r="C247" s="246" t="s">
        <v>24</v>
      </c>
      <c r="D247" s="893">
        <v>1129</v>
      </c>
      <c r="E247" s="246" t="s">
        <v>2358</v>
      </c>
      <c r="F247" s="246" t="s">
        <v>755</v>
      </c>
      <c r="G247" s="246">
        <v>1124</v>
      </c>
      <c r="H247" s="246" t="s">
        <v>2348</v>
      </c>
      <c r="I247" s="246" t="s">
        <v>729</v>
      </c>
      <c r="J247" s="253" t="s">
        <v>111</v>
      </c>
      <c r="K247" s="253" t="s">
        <v>110</v>
      </c>
      <c r="L247" s="956">
        <v>0.4</v>
      </c>
      <c r="M247" s="246"/>
      <c r="N247" s="879" t="s">
        <v>776</v>
      </c>
      <c r="O247" s="246"/>
      <c r="P247" s="874">
        <v>1</v>
      </c>
      <c r="Q247" s="878">
        <v>0.1</v>
      </c>
      <c r="R247" s="874">
        <v>1</v>
      </c>
      <c r="S247" s="874"/>
      <c r="T247" s="263">
        <f t="shared" si="3"/>
        <v>0</v>
      </c>
      <c r="U247" s="262" t="s">
        <v>34</v>
      </c>
      <c r="V247" s="799"/>
      <c r="W247" s="263"/>
    </row>
    <row r="248" spans="1:23" ht="17.55" customHeight="1" x14ac:dyDescent="0.4">
      <c r="A248" s="788">
        <v>247</v>
      </c>
      <c r="B248" s="246" t="s">
        <v>2184</v>
      </c>
      <c r="C248" s="246" t="s">
        <v>24</v>
      </c>
      <c r="D248" s="893">
        <v>1129</v>
      </c>
      <c r="E248" s="246" t="s">
        <v>2358</v>
      </c>
      <c r="F248" s="246" t="s">
        <v>755</v>
      </c>
      <c r="G248" s="246">
        <v>1124</v>
      </c>
      <c r="H248" s="246" t="s">
        <v>2348</v>
      </c>
      <c r="I248" s="246" t="s">
        <v>729</v>
      </c>
      <c r="J248" s="253" t="s">
        <v>111</v>
      </c>
      <c r="K248" s="253" t="s">
        <v>110</v>
      </c>
      <c r="L248" s="956">
        <v>0.4</v>
      </c>
      <c r="M248" s="246"/>
      <c r="N248" s="879" t="s">
        <v>251</v>
      </c>
      <c r="O248" s="246"/>
      <c r="P248" s="874">
        <v>1</v>
      </c>
      <c r="Q248" s="878">
        <v>0.05</v>
      </c>
      <c r="R248" s="874">
        <v>1</v>
      </c>
      <c r="S248" s="874"/>
      <c r="T248" s="263">
        <f t="shared" si="3"/>
        <v>0</v>
      </c>
      <c r="U248" s="262" t="s">
        <v>34</v>
      </c>
      <c r="V248" s="799"/>
      <c r="W248" s="263"/>
    </row>
    <row r="249" spans="1:23" ht="17.55" customHeight="1" x14ac:dyDescent="0.4">
      <c r="A249" s="788">
        <v>248</v>
      </c>
      <c r="B249" s="246" t="s">
        <v>2184</v>
      </c>
      <c r="C249" s="246" t="s">
        <v>24</v>
      </c>
      <c r="D249" s="893">
        <v>1129</v>
      </c>
      <c r="E249" s="246" t="s">
        <v>2358</v>
      </c>
      <c r="F249" s="246" t="s">
        <v>755</v>
      </c>
      <c r="G249" s="246">
        <v>1124</v>
      </c>
      <c r="H249" s="246" t="s">
        <v>2348</v>
      </c>
      <c r="I249" s="246" t="s">
        <v>729</v>
      </c>
      <c r="J249" s="253" t="s">
        <v>111</v>
      </c>
      <c r="K249" s="253" t="s">
        <v>110</v>
      </c>
      <c r="L249" s="956">
        <v>0.4</v>
      </c>
      <c r="M249" s="246"/>
      <c r="N249" s="879" t="s">
        <v>252</v>
      </c>
      <c r="O249" s="246"/>
      <c r="P249" s="874">
        <v>1</v>
      </c>
      <c r="Q249" s="878">
        <v>0.05</v>
      </c>
      <c r="R249" s="874">
        <v>1</v>
      </c>
      <c r="S249" s="874"/>
      <c r="T249" s="263">
        <f t="shared" si="3"/>
        <v>0</v>
      </c>
      <c r="U249" s="262" t="s">
        <v>34</v>
      </c>
      <c r="V249" s="799"/>
      <c r="W249" s="263"/>
    </row>
    <row r="250" spans="1:23" ht="17.55" customHeight="1" x14ac:dyDescent="0.4">
      <c r="A250" s="788">
        <v>249</v>
      </c>
      <c r="B250" s="246" t="s">
        <v>2184</v>
      </c>
      <c r="C250" s="246" t="s">
        <v>24</v>
      </c>
      <c r="D250" s="893">
        <v>1129</v>
      </c>
      <c r="E250" s="246" t="s">
        <v>2358</v>
      </c>
      <c r="F250" s="246" t="s">
        <v>755</v>
      </c>
      <c r="G250" s="246">
        <v>1124</v>
      </c>
      <c r="H250" s="246" t="s">
        <v>2348</v>
      </c>
      <c r="I250" s="246" t="s">
        <v>729</v>
      </c>
      <c r="J250" s="253" t="s">
        <v>111</v>
      </c>
      <c r="K250" s="253" t="s">
        <v>110</v>
      </c>
      <c r="L250" s="956">
        <v>0.4</v>
      </c>
      <c r="M250" s="246"/>
      <c r="N250" s="879" t="s">
        <v>777</v>
      </c>
      <c r="O250" s="246"/>
      <c r="P250" s="874">
        <v>1</v>
      </c>
      <c r="Q250" s="878">
        <v>0.05</v>
      </c>
      <c r="R250" s="874">
        <v>1</v>
      </c>
      <c r="S250" s="874"/>
      <c r="T250" s="263">
        <f t="shared" si="3"/>
        <v>0</v>
      </c>
      <c r="U250" s="262" t="s">
        <v>34</v>
      </c>
      <c r="V250" s="799"/>
      <c r="W250" s="263"/>
    </row>
    <row r="251" spans="1:23" ht="17.55" customHeight="1" x14ac:dyDescent="0.4">
      <c r="A251" s="788">
        <v>250</v>
      </c>
      <c r="B251" s="246" t="s">
        <v>2184</v>
      </c>
      <c r="C251" s="246" t="s">
        <v>24</v>
      </c>
      <c r="D251" s="893">
        <v>1129</v>
      </c>
      <c r="E251" s="246" t="s">
        <v>2358</v>
      </c>
      <c r="F251" s="246" t="s">
        <v>755</v>
      </c>
      <c r="G251" s="246">
        <v>1124</v>
      </c>
      <c r="H251" s="246" t="s">
        <v>2348</v>
      </c>
      <c r="I251" s="246" t="s">
        <v>729</v>
      </c>
      <c r="J251" s="253" t="s">
        <v>111</v>
      </c>
      <c r="K251" s="253" t="s">
        <v>110</v>
      </c>
      <c r="L251" s="956">
        <v>0.4</v>
      </c>
      <c r="M251" s="246"/>
      <c r="N251" s="879" t="s">
        <v>253</v>
      </c>
      <c r="O251" s="246"/>
      <c r="P251" s="874">
        <v>1</v>
      </c>
      <c r="Q251" s="878">
        <v>0.05</v>
      </c>
      <c r="R251" s="874">
        <v>1</v>
      </c>
      <c r="S251" s="874"/>
      <c r="T251" s="263">
        <f t="shared" si="3"/>
        <v>0</v>
      </c>
      <c r="U251" s="262" t="s">
        <v>34</v>
      </c>
      <c r="V251" s="799"/>
      <c r="W251" s="263"/>
    </row>
    <row r="252" spans="1:23" ht="17.55" customHeight="1" x14ac:dyDescent="0.4">
      <c r="A252" s="788">
        <v>251</v>
      </c>
      <c r="B252" s="236" t="s">
        <v>2184</v>
      </c>
      <c r="C252" s="236" t="s">
        <v>24</v>
      </c>
      <c r="D252" s="951">
        <v>1113</v>
      </c>
      <c r="E252" s="236" t="s">
        <v>2370</v>
      </c>
      <c r="F252" s="236" t="s">
        <v>755</v>
      </c>
      <c r="G252" s="236">
        <v>1124</v>
      </c>
      <c r="H252" s="236" t="s">
        <v>2348</v>
      </c>
      <c r="I252" s="236" t="s">
        <v>729</v>
      </c>
      <c r="J252" s="243" t="s">
        <v>58</v>
      </c>
      <c r="K252" s="243" t="s">
        <v>2035</v>
      </c>
      <c r="L252" s="713">
        <v>0.6</v>
      </c>
      <c r="M252" s="236"/>
      <c r="N252" s="952" t="s">
        <v>2371</v>
      </c>
      <c r="O252" s="236"/>
      <c r="P252" s="953">
        <v>1</v>
      </c>
      <c r="Q252" s="853">
        <v>0.15</v>
      </c>
      <c r="R252" s="953">
        <v>1</v>
      </c>
      <c r="S252" s="953"/>
      <c r="T252" s="854">
        <f t="shared" si="3"/>
        <v>0</v>
      </c>
      <c r="U252" s="855" t="s">
        <v>34</v>
      </c>
      <c r="V252" s="1950">
        <f>SUM(T252:T276)%</f>
        <v>0</v>
      </c>
      <c r="W252" s="854"/>
    </row>
    <row r="253" spans="1:23" ht="17.55" customHeight="1" x14ac:dyDescent="0.4">
      <c r="A253" s="788">
        <v>252</v>
      </c>
      <c r="B253" s="245" t="s">
        <v>2184</v>
      </c>
      <c r="C253" s="245" t="s">
        <v>24</v>
      </c>
      <c r="D253" s="958">
        <v>1113</v>
      </c>
      <c r="E253" s="245" t="s">
        <v>2370</v>
      </c>
      <c r="F253" s="245" t="s">
        <v>755</v>
      </c>
      <c r="G253" s="245">
        <v>1124</v>
      </c>
      <c r="H253" s="245" t="s">
        <v>2348</v>
      </c>
      <c r="I253" s="245" t="s">
        <v>729</v>
      </c>
      <c r="J253" s="253" t="s">
        <v>58</v>
      </c>
      <c r="K253" s="959" t="s">
        <v>2035</v>
      </c>
      <c r="L253" s="723">
        <v>0.6</v>
      </c>
      <c r="M253" s="719"/>
      <c r="N253" s="819" t="s">
        <v>2372</v>
      </c>
      <c r="O253" s="719"/>
      <c r="P253" s="669">
        <v>1</v>
      </c>
      <c r="Q253" s="857">
        <v>0.1</v>
      </c>
      <c r="R253" s="669">
        <v>1</v>
      </c>
      <c r="S253" s="669"/>
      <c r="T253" s="960">
        <f t="shared" si="3"/>
        <v>0</v>
      </c>
      <c r="U253" s="204" t="s">
        <v>34</v>
      </c>
      <c r="V253" s="961"/>
      <c r="W253" s="962"/>
    </row>
    <row r="254" spans="1:23" ht="17.55" customHeight="1" x14ac:dyDescent="0.4">
      <c r="A254" s="788">
        <v>253</v>
      </c>
      <c r="B254" s="245" t="s">
        <v>2184</v>
      </c>
      <c r="C254" s="245" t="s">
        <v>24</v>
      </c>
      <c r="D254" s="958">
        <v>1113</v>
      </c>
      <c r="E254" s="245" t="s">
        <v>2370</v>
      </c>
      <c r="F254" s="245" t="s">
        <v>755</v>
      </c>
      <c r="G254" s="245">
        <v>1124</v>
      </c>
      <c r="H254" s="245" t="s">
        <v>2348</v>
      </c>
      <c r="I254" s="245" t="s">
        <v>729</v>
      </c>
      <c r="J254" s="253" t="s">
        <v>58</v>
      </c>
      <c r="K254" s="959" t="s">
        <v>2035</v>
      </c>
      <c r="L254" s="723">
        <v>0.6</v>
      </c>
      <c r="M254" s="719"/>
      <c r="N254" s="819" t="s">
        <v>2373</v>
      </c>
      <c r="O254" s="719"/>
      <c r="P254" s="669">
        <v>1</v>
      </c>
      <c r="Q254" s="857">
        <v>0.1</v>
      </c>
      <c r="R254" s="669">
        <v>1</v>
      </c>
      <c r="S254" s="669"/>
      <c r="T254" s="960">
        <f t="shared" si="3"/>
        <v>0</v>
      </c>
      <c r="U254" s="204" t="s">
        <v>34</v>
      </c>
      <c r="V254" s="961"/>
      <c r="W254" s="962"/>
    </row>
    <row r="255" spans="1:23" ht="17.55" customHeight="1" x14ac:dyDescent="0.4">
      <c r="A255" s="788">
        <v>254</v>
      </c>
      <c r="B255" s="245" t="s">
        <v>2184</v>
      </c>
      <c r="C255" s="245" t="s">
        <v>24</v>
      </c>
      <c r="D255" s="958">
        <v>1113</v>
      </c>
      <c r="E255" s="245" t="s">
        <v>2370</v>
      </c>
      <c r="F255" s="245" t="s">
        <v>755</v>
      </c>
      <c r="G255" s="245">
        <v>1124</v>
      </c>
      <c r="H255" s="245" t="s">
        <v>2348</v>
      </c>
      <c r="I255" s="245" t="s">
        <v>729</v>
      </c>
      <c r="J255" s="253" t="s">
        <v>58</v>
      </c>
      <c r="K255" s="959" t="s">
        <v>2035</v>
      </c>
      <c r="L255" s="723">
        <v>0.6</v>
      </c>
      <c r="M255" s="719"/>
      <c r="N255" s="819" t="s">
        <v>2374</v>
      </c>
      <c r="O255" s="719"/>
      <c r="P255" s="669">
        <v>1</v>
      </c>
      <c r="Q255" s="857">
        <v>0.1</v>
      </c>
      <c r="R255" s="669">
        <v>1</v>
      </c>
      <c r="S255" s="669"/>
      <c r="T255" s="960">
        <f t="shared" si="3"/>
        <v>0</v>
      </c>
      <c r="U255" s="204" t="s">
        <v>34</v>
      </c>
      <c r="V255" s="961"/>
      <c r="W255" s="962"/>
    </row>
    <row r="256" spans="1:23" ht="17.55" customHeight="1" x14ac:dyDescent="0.4">
      <c r="A256" s="788">
        <v>255</v>
      </c>
      <c r="B256" s="245" t="s">
        <v>2184</v>
      </c>
      <c r="C256" s="245" t="s">
        <v>24</v>
      </c>
      <c r="D256" s="958">
        <v>1113</v>
      </c>
      <c r="E256" s="245" t="s">
        <v>2370</v>
      </c>
      <c r="F256" s="245" t="s">
        <v>755</v>
      </c>
      <c r="G256" s="245">
        <v>1124</v>
      </c>
      <c r="H256" s="245" t="s">
        <v>2348</v>
      </c>
      <c r="I256" s="245" t="s">
        <v>729</v>
      </c>
      <c r="J256" s="253" t="s">
        <v>58</v>
      </c>
      <c r="K256" s="959" t="s">
        <v>2035</v>
      </c>
      <c r="L256" s="723">
        <v>0.6</v>
      </c>
      <c r="M256" s="719"/>
      <c r="N256" s="819" t="s">
        <v>2375</v>
      </c>
      <c r="O256" s="719"/>
      <c r="P256" s="669">
        <v>1</v>
      </c>
      <c r="Q256" s="857">
        <v>0.1</v>
      </c>
      <c r="R256" s="669">
        <v>1</v>
      </c>
      <c r="S256" s="669"/>
      <c r="T256" s="960">
        <f t="shared" si="3"/>
        <v>0</v>
      </c>
      <c r="U256" s="204" t="s">
        <v>34</v>
      </c>
      <c r="V256" s="961"/>
      <c r="W256" s="962"/>
    </row>
    <row r="257" spans="1:23" ht="17.55" customHeight="1" x14ac:dyDescent="0.4">
      <c r="A257" s="788">
        <v>256</v>
      </c>
      <c r="B257" s="245" t="s">
        <v>2184</v>
      </c>
      <c r="C257" s="245" t="s">
        <v>24</v>
      </c>
      <c r="D257" s="958">
        <v>1113</v>
      </c>
      <c r="E257" s="245" t="s">
        <v>2370</v>
      </c>
      <c r="F257" s="245" t="s">
        <v>755</v>
      </c>
      <c r="G257" s="245">
        <v>1124</v>
      </c>
      <c r="H257" s="245" t="s">
        <v>2348</v>
      </c>
      <c r="I257" s="245" t="s">
        <v>729</v>
      </c>
      <c r="J257" s="253" t="s">
        <v>58</v>
      </c>
      <c r="K257" s="959" t="s">
        <v>2035</v>
      </c>
      <c r="L257" s="723">
        <v>0.6</v>
      </c>
      <c r="M257" s="719"/>
      <c r="N257" s="819" t="s">
        <v>2376</v>
      </c>
      <c r="O257" s="719"/>
      <c r="P257" s="204">
        <v>1</v>
      </c>
      <c r="Q257" s="857">
        <v>0.2</v>
      </c>
      <c r="R257" s="204">
        <v>1</v>
      </c>
      <c r="S257" s="204"/>
      <c r="T257" s="960">
        <f t="shared" si="3"/>
        <v>0</v>
      </c>
      <c r="U257" s="204" t="s">
        <v>34</v>
      </c>
      <c r="V257" s="961"/>
      <c r="W257" s="701"/>
    </row>
    <row r="258" spans="1:23" ht="17.55" customHeight="1" x14ac:dyDescent="0.4">
      <c r="A258" s="788">
        <v>257</v>
      </c>
      <c r="B258" s="245" t="s">
        <v>2184</v>
      </c>
      <c r="C258" s="245" t="s">
        <v>24</v>
      </c>
      <c r="D258" s="958">
        <v>1113</v>
      </c>
      <c r="E258" s="245" t="s">
        <v>2370</v>
      </c>
      <c r="F258" s="245" t="s">
        <v>755</v>
      </c>
      <c r="G258" s="245">
        <v>1124</v>
      </c>
      <c r="H258" s="245" t="s">
        <v>2348</v>
      </c>
      <c r="I258" s="245" t="s">
        <v>729</v>
      </c>
      <c r="J258" s="253" t="s">
        <v>58</v>
      </c>
      <c r="K258" s="959" t="s">
        <v>2035</v>
      </c>
      <c r="L258" s="723">
        <v>0.6</v>
      </c>
      <c r="M258" s="719"/>
      <c r="N258" s="819" t="s">
        <v>2377</v>
      </c>
      <c r="O258" s="719"/>
      <c r="P258" s="669">
        <v>1</v>
      </c>
      <c r="Q258" s="857">
        <v>0.1</v>
      </c>
      <c r="R258" s="669">
        <v>1</v>
      </c>
      <c r="S258" s="669"/>
      <c r="T258" s="960">
        <f t="shared" ref="T258:T314" si="4">IF(AND(S258&gt;=60%,S258&lt;100%),S258*((Q258*L258)),IF(S258=100%,((Q258*L258)*S258)*100%,IF(S258&gt;100%,((L258*Q258)*100%)*100%,0)))*100</f>
        <v>0</v>
      </c>
      <c r="U258" s="204" t="s">
        <v>34</v>
      </c>
      <c r="V258" s="961"/>
      <c r="W258" s="962"/>
    </row>
    <row r="259" spans="1:23" ht="17.55" customHeight="1" x14ac:dyDescent="0.4">
      <c r="A259" s="788">
        <v>258</v>
      </c>
      <c r="B259" s="245" t="s">
        <v>2184</v>
      </c>
      <c r="C259" s="245" t="s">
        <v>24</v>
      </c>
      <c r="D259" s="958">
        <v>1113</v>
      </c>
      <c r="E259" s="245" t="s">
        <v>2370</v>
      </c>
      <c r="F259" s="245" t="s">
        <v>755</v>
      </c>
      <c r="G259" s="245">
        <v>1124</v>
      </c>
      <c r="H259" s="245" t="s">
        <v>2348</v>
      </c>
      <c r="I259" s="245" t="s">
        <v>729</v>
      </c>
      <c r="J259" s="253" t="s">
        <v>58</v>
      </c>
      <c r="K259" s="959" t="s">
        <v>2035</v>
      </c>
      <c r="L259" s="723">
        <v>0.6</v>
      </c>
      <c r="M259" s="719"/>
      <c r="N259" s="819" t="s">
        <v>2378</v>
      </c>
      <c r="O259" s="719"/>
      <c r="P259" s="669">
        <v>1</v>
      </c>
      <c r="Q259" s="857">
        <v>0.05</v>
      </c>
      <c r="R259" s="669">
        <v>1</v>
      </c>
      <c r="S259" s="669"/>
      <c r="T259" s="960">
        <f t="shared" si="4"/>
        <v>0</v>
      </c>
      <c r="U259" s="204" t="s">
        <v>34</v>
      </c>
      <c r="V259" s="961"/>
      <c r="W259" s="962"/>
    </row>
    <row r="260" spans="1:23" ht="17.55" customHeight="1" x14ac:dyDescent="0.4">
      <c r="A260" s="788">
        <v>259</v>
      </c>
      <c r="B260" s="245" t="s">
        <v>2184</v>
      </c>
      <c r="C260" s="245" t="s">
        <v>24</v>
      </c>
      <c r="D260" s="958">
        <v>1113</v>
      </c>
      <c r="E260" s="245" t="s">
        <v>2370</v>
      </c>
      <c r="F260" s="245" t="s">
        <v>755</v>
      </c>
      <c r="G260" s="245">
        <v>1124</v>
      </c>
      <c r="H260" s="245" t="s">
        <v>2348</v>
      </c>
      <c r="I260" s="245" t="s">
        <v>729</v>
      </c>
      <c r="J260" s="253" t="s">
        <v>58</v>
      </c>
      <c r="K260" s="959" t="s">
        <v>2035</v>
      </c>
      <c r="L260" s="723">
        <v>0.6</v>
      </c>
      <c r="M260" s="719"/>
      <c r="N260" s="819" t="s">
        <v>2379</v>
      </c>
      <c r="O260" s="719"/>
      <c r="P260" s="669">
        <v>1</v>
      </c>
      <c r="Q260" s="857">
        <v>0.05</v>
      </c>
      <c r="R260" s="669">
        <v>1</v>
      </c>
      <c r="S260" s="669"/>
      <c r="T260" s="960">
        <f t="shared" si="4"/>
        <v>0</v>
      </c>
      <c r="U260" s="204" t="s">
        <v>34</v>
      </c>
      <c r="V260" s="961"/>
      <c r="W260" s="962"/>
    </row>
    <row r="261" spans="1:23" ht="17.55" customHeight="1" x14ac:dyDescent="0.4">
      <c r="A261" s="788">
        <v>260</v>
      </c>
      <c r="B261" s="245" t="s">
        <v>2184</v>
      </c>
      <c r="C261" s="245" t="s">
        <v>24</v>
      </c>
      <c r="D261" s="958">
        <v>1113</v>
      </c>
      <c r="E261" s="245" t="s">
        <v>2370</v>
      </c>
      <c r="F261" s="245" t="s">
        <v>755</v>
      </c>
      <c r="G261" s="245">
        <v>1124</v>
      </c>
      <c r="H261" s="245" t="s">
        <v>2348</v>
      </c>
      <c r="I261" s="245" t="s">
        <v>729</v>
      </c>
      <c r="J261" s="253" t="s">
        <v>58</v>
      </c>
      <c r="K261" s="959" t="s">
        <v>2035</v>
      </c>
      <c r="L261" s="723">
        <v>0.6</v>
      </c>
      <c r="M261" s="719"/>
      <c r="N261" s="819" t="s">
        <v>2380</v>
      </c>
      <c r="O261" s="719"/>
      <c r="P261" s="669">
        <v>1</v>
      </c>
      <c r="Q261" s="857">
        <v>0.05</v>
      </c>
      <c r="R261" s="669">
        <v>1</v>
      </c>
      <c r="S261" s="669"/>
      <c r="T261" s="960">
        <f t="shared" si="4"/>
        <v>0</v>
      </c>
      <c r="U261" s="204" t="s">
        <v>34</v>
      </c>
      <c r="V261" s="961"/>
      <c r="W261" s="962"/>
    </row>
    <row r="262" spans="1:23" ht="17.55" customHeight="1" x14ac:dyDescent="0.4">
      <c r="A262" s="788">
        <v>261</v>
      </c>
      <c r="B262" s="245" t="s">
        <v>2184</v>
      </c>
      <c r="C262" s="245" t="s">
        <v>24</v>
      </c>
      <c r="D262" s="958">
        <v>1113</v>
      </c>
      <c r="E262" s="245" t="s">
        <v>2370</v>
      </c>
      <c r="F262" s="245" t="s">
        <v>755</v>
      </c>
      <c r="G262" s="245">
        <v>1124</v>
      </c>
      <c r="H262" s="245" t="s">
        <v>2348</v>
      </c>
      <c r="I262" s="245" t="s">
        <v>729</v>
      </c>
      <c r="J262" s="253" t="s">
        <v>111</v>
      </c>
      <c r="K262" s="210" t="s">
        <v>110</v>
      </c>
      <c r="L262" s="846">
        <v>0.4</v>
      </c>
      <c r="M262" s="245"/>
      <c r="N262" s="767" t="s">
        <v>255</v>
      </c>
      <c r="O262" s="245"/>
      <c r="P262" s="650">
        <v>1</v>
      </c>
      <c r="Q262" s="963">
        <v>0.05</v>
      </c>
      <c r="R262" s="650">
        <v>1</v>
      </c>
      <c r="S262" s="650"/>
      <c r="T262" s="962">
        <f t="shared" si="4"/>
        <v>0</v>
      </c>
      <c r="U262" s="964" t="s">
        <v>34</v>
      </c>
      <c r="V262" s="965"/>
      <c r="W262" s="962"/>
    </row>
    <row r="263" spans="1:23" ht="17.55" customHeight="1" x14ac:dyDescent="0.4">
      <c r="A263" s="788">
        <v>262</v>
      </c>
      <c r="B263" s="245" t="s">
        <v>2184</v>
      </c>
      <c r="C263" s="245" t="s">
        <v>24</v>
      </c>
      <c r="D263" s="958">
        <v>1113</v>
      </c>
      <c r="E263" s="245" t="s">
        <v>2370</v>
      </c>
      <c r="F263" s="245" t="s">
        <v>755</v>
      </c>
      <c r="G263" s="245">
        <v>1124</v>
      </c>
      <c r="H263" s="245" t="s">
        <v>2348</v>
      </c>
      <c r="I263" s="245" t="s">
        <v>729</v>
      </c>
      <c r="J263" s="253" t="s">
        <v>111</v>
      </c>
      <c r="K263" s="253" t="s">
        <v>110</v>
      </c>
      <c r="L263" s="731">
        <v>0.4</v>
      </c>
      <c r="M263" s="245"/>
      <c r="N263" s="879" t="s">
        <v>768</v>
      </c>
      <c r="O263" s="245"/>
      <c r="P263" s="964">
        <v>1</v>
      </c>
      <c r="Q263" s="963">
        <v>0.05</v>
      </c>
      <c r="R263" s="964">
        <v>1</v>
      </c>
      <c r="S263" s="964"/>
      <c r="T263" s="962">
        <f t="shared" si="4"/>
        <v>0</v>
      </c>
      <c r="U263" s="964" t="s">
        <v>34</v>
      </c>
      <c r="V263" s="965"/>
      <c r="W263" s="962"/>
    </row>
    <row r="264" spans="1:23" ht="17.55" customHeight="1" x14ac:dyDescent="0.4">
      <c r="A264" s="788">
        <v>263</v>
      </c>
      <c r="B264" s="245" t="s">
        <v>2184</v>
      </c>
      <c r="C264" s="245" t="s">
        <v>24</v>
      </c>
      <c r="D264" s="958">
        <v>1113</v>
      </c>
      <c r="E264" s="245" t="s">
        <v>2370</v>
      </c>
      <c r="F264" s="245" t="s">
        <v>755</v>
      </c>
      <c r="G264" s="245">
        <v>1124</v>
      </c>
      <c r="H264" s="245" t="s">
        <v>2348</v>
      </c>
      <c r="I264" s="245" t="s">
        <v>729</v>
      </c>
      <c r="J264" s="253" t="s">
        <v>111</v>
      </c>
      <c r="K264" s="253" t="s">
        <v>110</v>
      </c>
      <c r="L264" s="731">
        <v>0.4</v>
      </c>
      <c r="M264" s="245"/>
      <c r="N264" s="879" t="s">
        <v>769</v>
      </c>
      <c r="O264" s="245"/>
      <c r="P264" s="964">
        <v>1</v>
      </c>
      <c r="Q264" s="963">
        <v>0.05</v>
      </c>
      <c r="R264" s="964">
        <v>1</v>
      </c>
      <c r="S264" s="964"/>
      <c r="T264" s="962">
        <f t="shared" si="4"/>
        <v>0</v>
      </c>
      <c r="U264" s="964" t="s">
        <v>34</v>
      </c>
      <c r="V264" s="965"/>
      <c r="W264" s="962"/>
    </row>
    <row r="265" spans="1:23" ht="17.55" customHeight="1" x14ac:dyDescent="0.4">
      <c r="A265" s="788">
        <v>264</v>
      </c>
      <c r="B265" s="245" t="s">
        <v>2184</v>
      </c>
      <c r="C265" s="245" t="s">
        <v>24</v>
      </c>
      <c r="D265" s="958">
        <v>1113</v>
      </c>
      <c r="E265" s="245" t="s">
        <v>2370</v>
      </c>
      <c r="F265" s="245" t="s">
        <v>755</v>
      </c>
      <c r="G265" s="245">
        <v>1124</v>
      </c>
      <c r="H265" s="245" t="s">
        <v>2348</v>
      </c>
      <c r="I265" s="245" t="s">
        <v>729</v>
      </c>
      <c r="J265" s="253" t="s">
        <v>111</v>
      </c>
      <c r="K265" s="253" t="s">
        <v>110</v>
      </c>
      <c r="L265" s="731">
        <v>0.4</v>
      </c>
      <c r="M265" s="245"/>
      <c r="N265" s="879" t="s">
        <v>770</v>
      </c>
      <c r="O265" s="245"/>
      <c r="P265" s="964">
        <v>1</v>
      </c>
      <c r="Q265" s="963">
        <v>0.15</v>
      </c>
      <c r="R265" s="964">
        <v>1</v>
      </c>
      <c r="S265" s="964"/>
      <c r="T265" s="962">
        <f t="shared" si="4"/>
        <v>0</v>
      </c>
      <c r="U265" s="964" t="s">
        <v>34</v>
      </c>
      <c r="V265" s="965"/>
      <c r="W265" s="962"/>
    </row>
    <row r="266" spans="1:23" ht="17.55" customHeight="1" x14ac:dyDescent="0.4">
      <c r="A266" s="788">
        <v>265</v>
      </c>
      <c r="B266" s="245" t="s">
        <v>2184</v>
      </c>
      <c r="C266" s="245" t="s">
        <v>24</v>
      </c>
      <c r="D266" s="958">
        <v>1113</v>
      </c>
      <c r="E266" s="245" t="s">
        <v>2370</v>
      </c>
      <c r="F266" s="245" t="s">
        <v>755</v>
      </c>
      <c r="G266" s="245">
        <v>1124</v>
      </c>
      <c r="H266" s="245" t="s">
        <v>2348</v>
      </c>
      <c r="I266" s="245" t="s">
        <v>729</v>
      </c>
      <c r="J266" s="253" t="s">
        <v>111</v>
      </c>
      <c r="K266" s="253" t="s">
        <v>110</v>
      </c>
      <c r="L266" s="731">
        <v>0.4</v>
      </c>
      <c r="M266" s="245"/>
      <c r="N266" s="879" t="s">
        <v>254</v>
      </c>
      <c r="O266" s="245"/>
      <c r="P266" s="964">
        <v>1</v>
      </c>
      <c r="Q266" s="963">
        <v>0.1</v>
      </c>
      <c r="R266" s="964">
        <v>1</v>
      </c>
      <c r="S266" s="964"/>
      <c r="T266" s="962">
        <f t="shared" si="4"/>
        <v>0</v>
      </c>
      <c r="U266" s="964" t="s">
        <v>34</v>
      </c>
      <c r="V266" s="965"/>
      <c r="W266" s="962"/>
    </row>
    <row r="267" spans="1:23" ht="17.55" customHeight="1" x14ac:dyDescent="0.4">
      <c r="A267" s="788">
        <v>266</v>
      </c>
      <c r="B267" s="245" t="s">
        <v>2184</v>
      </c>
      <c r="C267" s="245" t="s">
        <v>24</v>
      </c>
      <c r="D267" s="958">
        <v>1113</v>
      </c>
      <c r="E267" s="245" t="s">
        <v>2370</v>
      </c>
      <c r="F267" s="245" t="s">
        <v>755</v>
      </c>
      <c r="G267" s="245">
        <v>1124</v>
      </c>
      <c r="H267" s="245" t="s">
        <v>2348</v>
      </c>
      <c r="I267" s="245" t="s">
        <v>729</v>
      </c>
      <c r="J267" s="253" t="s">
        <v>111</v>
      </c>
      <c r="K267" s="253" t="s">
        <v>110</v>
      </c>
      <c r="L267" s="731">
        <v>0.4</v>
      </c>
      <c r="M267" s="245"/>
      <c r="N267" s="879" t="s">
        <v>771</v>
      </c>
      <c r="O267" s="245"/>
      <c r="P267" s="964">
        <v>1</v>
      </c>
      <c r="Q267" s="963">
        <v>0.05</v>
      </c>
      <c r="R267" s="964">
        <v>1</v>
      </c>
      <c r="S267" s="964"/>
      <c r="T267" s="962">
        <f t="shared" si="4"/>
        <v>0</v>
      </c>
      <c r="U267" s="964" t="s">
        <v>34</v>
      </c>
      <c r="V267" s="965"/>
      <c r="W267" s="962"/>
    </row>
    <row r="268" spans="1:23" ht="17.55" customHeight="1" x14ac:dyDescent="0.4">
      <c r="A268" s="788">
        <v>267</v>
      </c>
      <c r="B268" s="245" t="s">
        <v>2184</v>
      </c>
      <c r="C268" s="245" t="s">
        <v>24</v>
      </c>
      <c r="D268" s="958">
        <v>1113</v>
      </c>
      <c r="E268" s="245" t="s">
        <v>2370</v>
      </c>
      <c r="F268" s="245" t="s">
        <v>755</v>
      </c>
      <c r="G268" s="245">
        <v>1124</v>
      </c>
      <c r="H268" s="245" t="s">
        <v>2348</v>
      </c>
      <c r="I268" s="245" t="s">
        <v>729</v>
      </c>
      <c r="J268" s="253" t="s">
        <v>111</v>
      </c>
      <c r="K268" s="253" t="s">
        <v>110</v>
      </c>
      <c r="L268" s="731">
        <v>0.4</v>
      </c>
      <c r="M268" s="245"/>
      <c r="N268" s="879" t="s">
        <v>772</v>
      </c>
      <c r="O268" s="245"/>
      <c r="P268" s="964">
        <v>1</v>
      </c>
      <c r="Q268" s="963">
        <v>0.1</v>
      </c>
      <c r="R268" s="964">
        <v>1</v>
      </c>
      <c r="S268" s="964"/>
      <c r="T268" s="962">
        <f t="shared" si="4"/>
        <v>0</v>
      </c>
      <c r="U268" s="964" t="s">
        <v>34</v>
      </c>
      <c r="V268" s="965"/>
      <c r="W268" s="962"/>
    </row>
    <row r="269" spans="1:23" ht="17.55" customHeight="1" x14ac:dyDescent="0.4">
      <c r="A269" s="788">
        <v>268</v>
      </c>
      <c r="B269" s="245" t="s">
        <v>2184</v>
      </c>
      <c r="C269" s="245" t="s">
        <v>24</v>
      </c>
      <c r="D269" s="958">
        <v>1113</v>
      </c>
      <c r="E269" s="245" t="s">
        <v>2370</v>
      </c>
      <c r="F269" s="245" t="s">
        <v>755</v>
      </c>
      <c r="G269" s="245">
        <v>1124</v>
      </c>
      <c r="H269" s="245" t="s">
        <v>2348</v>
      </c>
      <c r="I269" s="245" t="s">
        <v>729</v>
      </c>
      <c r="J269" s="253" t="s">
        <v>111</v>
      </c>
      <c r="K269" s="253" t="s">
        <v>110</v>
      </c>
      <c r="L269" s="731">
        <v>0.4</v>
      </c>
      <c r="M269" s="245"/>
      <c r="N269" s="879" t="s">
        <v>773</v>
      </c>
      <c r="O269" s="245"/>
      <c r="P269" s="964">
        <v>1</v>
      </c>
      <c r="Q269" s="963">
        <v>0.05</v>
      </c>
      <c r="R269" s="964">
        <v>1</v>
      </c>
      <c r="S269" s="964"/>
      <c r="T269" s="962">
        <f t="shared" si="4"/>
        <v>0</v>
      </c>
      <c r="U269" s="964" t="s">
        <v>34</v>
      </c>
      <c r="V269" s="965"/>
      <c r="W269" s="962"/>
    </row>
    <row r="270" spans="1:23" ht="17.55" customHeight="1" x14ac:dyDescent="0.4">
      <c r="A270" s="788">
        <v>269</v>
      </c>
      <c r="B270" s="245" t="s">
        <v>2184</v>
      </c>
      <c r="C270" s="245" t="s">
        <v>24</v>
      </c>
      <c r="D270" s="958">
        <v>1113</v>
      </c>
      <c r="E270" s="245" t="s">
        <v>2370</v>
      </c>
      <c r="F270" s="245" t="s">
        <v>755</v>
      </c>
      <c r="G270" s="245">
        <v>1124</v>
      </c>
      <c r="H270" s="245" t="s">
        <v>2348</v>
      </c>
      <c r="I270" s="245" t="s">
        <v>729</v>
      </c>
      <c r="J270" s="253" t="s">
        <v>111</v>
      </c>
      <c r="K270" s="253" t="s">
        <v>110</v>
      </c>
      <c r="L270" s="731">
        <v>0.4</v>
      </c>
      <c r="M270" s="245"/>
      <c r="N270" s="879" t="s">
        <v>774</v>
      </c>
      <c r="O270" s="245"/>
      <c r="P270" s="964">
        <v>1</v>
      </c>
      <c r="Q270" s="963">
        <v>0.05</v>
      </c>
      <c r="R270" s="964">
        <v>1</v>
      </c>
      <c r="S270" s="964"/>
      <c r="T270" s="962">
        <f t="shared" si="4"/>
        <v>0</v>
      </c>
      <c r="U270" s="964" t="s">
        <v>34</v>
      </c>
      <c r="V270" s="965"/>
      <c r="W270" s="962"/>
    </row>
    <row r="271" spans="1:23" ht="17.55" customHeight="1" x14ac:dyDescent="0.4">
      <c r="A271" s="788">
        <v>270</v>
      </c>
      <c r="B271" s="245" t="s">
        <v>2184</v>
      </c>
      <c r="C271" s="245" t="s">
        <v>24</v>
      </c>
      <c r="D271" s="958">
        <v>1113</v>
      </c>
      <c r="E271" s="245" t="s">
        <v>2370</v>
      </c>
      <c r="F271" s="245" t="s">
        <v>755</v>
      </c>
      <c r="G271" s="245">
        <v>1124</v>
      </c>
      <c r="H271" s="245" t="s">
        <v>2348</v>
      </c>
      <c r="I271" s="245" t="s">
        <v>729</v>
      </c>
      <c r="J271" s="253" t="s">
        <v>111</v>
      </c>
      <c r="K271" s="253" t="s">
        <v>110</v>
      </c>
      <c r="L271" s="731">
        <v>0.4</v>
      </c>
      <c r="M271" s="245"/>
      <c r="N271" s="879" t="s">
        <v>775</v>
      </c>
      <c r="O271" s="245"/>
      <c r="P271" s="964">
        <v>1</v>
      </c>
      <c r="Q271" s="963">
        <v>0.05</v>
      </c>
      <c r="R271" s="964">
        <v>1</v>
      </c>
      <c r="S271" s="964"/>
      <c r="T271" s="962">
        <f t="shared" si="4"/>
        <v>0</v>
      </c>
      <c r="U271" s="964" t="s">
        <v>34</v>
      </c>
      <c r="V271" s="965"/>
      <c r="W271" s="962"/>
    </row>
    <row r="272" spans="1:23" ht="17.55" customHeight="1" x14ac:dyDescent="0.4">
      <c r="A272" s="788">
        <v>271</v>
      </c>
      <c r="B272" s="245" t="s">
        <v>2184</v>
      </c>
      <c r="C272" s="245" t="s">
        <v>24</v>
      </c>
      <c r="D272" s="958">
        <v>1113</v>
      </c>
      <c r="E272" s="245" t="s">
        <v>2370</v>
      </c>
      <c r="F272" s="245" t="s">
        <v>755</v>
      </c>
      <c r="G272" s="245">
        <v>1124</v>
      </c>
      <c r="H272" s="245" t="s">
        <v>2348</v>
      </c>
      <c r="I272" s="245" t="s">
        <v>729</v>
      </c>
      <c r="J272" s="253" t="s">
        <v>111</v>
      </c>
      <c r="K272" s="253" t="s">
        <v>110</v>
      </c>
      <c r="L272" s="731">
        <v>0.4</v>
      </c>
      <c r="M272" s="245"/>
      <c r="N272" s="879" t="s">
        <v>776</v>
      </c>
      <c r="O272" s="245"/>
      <c r="P272" s="964">
        <v>1</v>
      </c>
      <c r="Q272" s="963">
        <v>0.1</v>
      </c>
      <c r="R272" s="964">
        <v>1</v>
      </c>
      <c r="S272" s="964"/>
      <c r="T272" s="962">
        <f t="shared" si="4"/>
        <v>0</v>
      </c>
      <c r="U272" s="964" t="s">
        <v>34</v>
      </c>
      <c r="V272" s="965"/>
      <c r="W272" s="962"/>
    </row>
    <row r="273" spans="1:23" ht="17.55" customHeight="1" x14ac:dyDescent="0.4">
      <c r="A273" s="788">
        <v>272</v>
      </c>
      <c r="B273" s="245" t="s">
        <v>2184</v>
      </c>
      <c r="C273" s="245" t="s">
        <v>24</v>
      </c>
      <c r="D273" s="958">
        <v>1113</v>
      </c>
      <c r="E273" s="245" t="s">
        <v>2370</v>
      </c>
      <c r="F273" s="245" t="s">
        <v>755</v>
      </c>
      <c r="G273" s="245">
        <v>1124</v>
      </c>
      <c r="H273" s="245" t="s">
        <v>2348</v>
      </c>
      <c r="I273" s="245" t="s">
        <v>729</v>
      </c>
      <c r="J273" s="253" t="s">
        <v>111</v>
      </c>
      <c r="K273" s="253" t="s">
        <v>110</v>
      </c>
      <c r="L273" s="731">
        <v>0.4</v>
      </c>
      <c r="M273" s="245"/>
      <c r="N273" s="879" t="s">
        <v>251</v>
      </c>
      <c r="O273" s="245"/>
      <c r="P273" s="964">
        <v>1</v>
      </c>
      <c r="Q273" s="963">
        <v>0.05</v>
      </c>
      <c r="R273" s="964">
        <v>1</v>
      </c>
      <c r="S273" s="964"/>
      <c r="T273" s="962">
        <f t="shared" si="4"/>
        <v>0</v>
      </c>
      <c r="U273" s="964" t="s">
        <v>34</v>
      </c>
      <c r="V273" s="965"/>
      <c r="W273" s="962"/>
    </row>
    <row r="274" spans="1:23" ht="17.55" customHeight="1" x14ac:dyDescent="0.4">
      <c r="A274" s="788">
        <v>273</v>
      </c>
      <c r="B274" s="245" t="s">
        <v>2184</v>
      </c>
      <c r="C274" s="245" t="s">
        <v>24</v>
      </c>
      <c r="D274" s="958">
        <v>1113</v>
      </c>
      <c r="E274" s="245" t="s">
        <v>2370</v>
      </c>
      <c r="F274" s="245" t="s">
        <v>755</v>
      </c>
      <c r="G274" s="245">
        <v>1124</v>
      </c>
      <c r="H274" s="245" t="s">
        <v>2348</v>
      </c>
      <c r="I274" s="245" t="s">
        <v>729</v>
      </c>
      <c r="J274" s="253" t="s">
        <v>111</v>
      </c>
      <c r="K274" s="253" t="s">
        <v>110</v>
      </c>
      <c r="L274" s="731">
        <v>0.4</v>
      </c>
      <c r="M274" s="245"/>
      <c r="N274" s="879" t="s">
        <v>252</v>
      </c>
      <c r="O274" s="245"/>
      <c r="P274" s="964">
        <v>1</v>
      </c>
      <c r="Q274" s="963">
        <v>0.05</v>
      </c>
      <c r="R274" s="964">
        <v>1</v>
      </c>
      <c r="S274" s="964"/>
      <c r="T274" s="962">
        <f t="shared" si="4"/>
        <v>0</v>
      </c>
      <c r="U274" s="964" t="s">
        <v>34</v>
      </c>
      <c r="V274" s="965"/>
      <c r="W274" s="962"/>
    </row>
    <row r="275" spans="1:23" ht="17.55" customHeight="1" x14ac:dyDescent="0.4">
      <c r="A275" s="788">
        <v>274</v>
      </c>
      <c r="B275" s="245" t="s">
        <v>2184</v>
      </c>
      <c r="C275" s="245" t="s">
        <v>24</v>
      </c>
      <c r="D275" s="958">
        <v>1113</v>
      </c>
      <c r="E275" s="245" t="s">
        <v>2370</v>
      </c>
      <c r="F275" s="245" t="s">
        <v>755</v>
      </c>
      <c r="G275" s="245">
        <v>1124</v>
      </c>
      <c r="H275" s="245" t="s">
        <v>2348</v>
      </c>
      <c r="I275" s="245" t="s">
        <v>729</v>
      </c>
      <c r="J275" s="253" t="s">
        <v>111</v>
      </c>
      <c r="K275" s="253" t="s">
        <v>110</v>
      </c>
      <c r="L275" s="731">
        <v>0.4</v>
      </c>
      <c r="M275" s="245"/>
      <c r="N275" s="879" t="s">
        <v>777</v>
      </c>
      <c r="O275" s="245"/>
      <c r="P275" s="964">
        <v>1</v>
      </c>
      <c r="Q275" s="963">
        <v>0.05</v>
      </c>
      <c r="R275" s="964">
        <v>1</v>
      </c>
      <c r="S275" s="964"/>
      <c r="T275" s="962">
        <f t="shared" si="4"/>
        <v>0</v>
      </c>
      <c r="U275" s="964" t="s">
        <v>34</v>
      </c>
      <c r="V275" s="965"/>
      <c r="W275" s="962"/>
    </row>
    <row r="276" spans="1:23" ht="17.55" customHeight="1" x14ac:dyDescent="0.4">
      <c r="A276" s="788">
        <v>275</v>
      </c>
      <c r="B276" s="245" t="s">
        <v>2184</v>
      </c>
      <c r="C276" s="245" t="s">
        <v>24</v>
      </c>
      <c r="D276" s="958">
        <v>1113</v>
      </c>
      <c r="E276" s="245" t="s">
        <v>2370</v>
      </c>
      <c r="F276" s="245" t="s">
        <v>755</v>
      </c>
      <c r="G276" s="245">
        <v>1124</v>
      </c>
      <c r="H276" s="245" t="s">
        <v>2348</v>
      </c>
      <c r="I276" s="245" t="s">
        <v>729</v>
      </c>
      <c r="J276" s="253" t="s">
        <v>111</v>
      </c>
      <c r="K276" s="253" t="s">
        <v>110</v>
      </c>
      <c r="L276" s="731">
        <v>0.4</v>
      </c>
      <c r="M276" s="245"/>
      <c r="N276" s="879" t="s">
        <v>253</v>
      </c>
      <c r="O276" s="245"/>
      <c r="P276" s="964">
        <v>1</v>
      </c>
      <c r="Q276" s="963">
        <v>0.05</v>
      </c>
      <c r="R276" s="964">
        <v>1</v>
      </c>
      <c r="S276" s="964"/>
      <c r="T276" s="962">
        <f t="shared" si="4"/>
        <v>0</v>
      </c>
      <c r="U276" s="964" t="s">
        <v>34</v>
      </c>
      <c r="V276" s="965"/>
      <c r="W276" s="962"/>
    </row>
    <row r="277" spans="1:23" ht="17.55" customHeight="1" x14ac:dyDescent="0.4">
      <c r="A277" s="788">
        <v>276</v>
      </c>
      <c r="B277" s="236" t="s">
        <v>2184</v>
      </c>
      <c r="C277" s="236" t="s">
        <v>24</v>
      </c>
      <c r="D277" s="951">
        <v>1124</v>
      </c>
      <c r="E277" s="236" t="s">
        <v>2381</v>
      </c>
      <c r="F277" s="236" t="s">
        <v>2382</v>
      </c>
      <c r="G277" s="236">
        <v>1134</v>
      </c>
      <c r="H277" s="236" t="s">
        <v>2185</v>
      </c>
      <c r="I277" s="236" t="s">
        <v>729</v>
      </c>
      <c r="J277" s="243" t="s">
        <v>58</v>
      </c>
      <c r="K277" s="243" t="s">
        <v>2035</v>
      </c>
      <c r="L277" s="713">
        <v>0.4</v>
      </c>
      <c r="M277" s="236"/>
      <c r="N277" s="952" t="s">
        <v>2383</v>
      </c>
      <c r="O277" s="236"/>
      <c r="P277" s="966">
        <v>1</v>
      </c>
      <c r="Q277" s="853">
        <v>0.15</v>
      </c>
      <c r="R277" s="966">
        <v>1</v>
      </c>
      <c r="S277" s="966"/>
      <c r="T277" s="854">
        <f t="shared" si="4"/>
        <v>0</v>
      </c>
      <c r="U277" s="855" t="s">
        <v>34</v>
      </c>
      <c r="V277" s="1951">
        <f>SUM(T277:T306)%</f>
        <v>0</v>
      </c>
      <c r="W277" s="854"/>
    </row>
    <row r="278" spans="1:23" ht="17.55" customHeight="1" x14ac:dyDescent="0.4">
      <c r="A278" s="788">
        <v>277</v>
      </c>
      <c r="B278" s="199" t="s">
        <v>2184</v>
      </c>
      <c r="C278" s="199" t="s">
        <v>24</v>
      </c>
      <c r="D278" s="805">
        <v>1124</v>
      </c>
      <c r="E278" s="199" t="s">
        <v>2381</v>
      </c>
      <c r="F278" s="199" t="s">
        <v>2382</v>
      </c>
      <c r="G278" s="199">
        <v>1134</v>
      </c>
      <c r="H278" s="199" t="s">
        <v>2185</v>
      </c>
      <c r="I278" s="199" t="s">
        <v>729</v>
      </c>
      <c r="J278" s="649" t="s">
        <v>58</v>
      </c>
      <c r="K278" s="79" t="s">
        <v>2035</v>
      </c>
      <c r="L278" s="954">
        <v>0.4</v>
      </c>
      <c r="M278" s="692"/>
      <c r="N278" s="757" t="s">
        <v>840</v>
      </c>
      <c r="O278" s="692"/>
      <c r="P278" s="935">
        <v>1</v>
      </c>
      <c r="Q278" s="955">
        <v>0.05</v>
      </c>
      <c r="R278" s="935">
        <v>1</v>
      </c>
      <c r="S278" s="935"/>
      <c r="T278" s="207">
        <f t="shared" si="4"/>
        <v>0</v>
      </c>
      <c r="U278" s="206" t="s">
        <v>34</v>
      </c>
      <c r="V278" s="840"/>
      <c r="W278" s="217"/>
    </row>
    <row r="279" spans="1:23" ht="17.55" customHeight="1" x14ac:dyDescent="0.4">
      <c r="A279" s="788">
        <v>278</v>
      </c>
      <c r="B279" s="199" t="s">
        <v>2184</v>
      </c>
      <c r="C279" s="199" t="s">
        <v>24</v>
      </c>
      <c r="D279" s="805">
        <v>1124</v>
      </c>
      <c r="E279" s="199" t="s">
        <v>2381</v>
      </c>
      <c r="F279" s="199" t="s">
        <v>2382</v>
      </c>
      <c r="G279" s="199">
        <v>1134</v>
      </c>
      <c r="H279" s="199" t="s">
        <v>2185</v>
      </c>
      <c r="I279" s="199" t="s">
        <v>729</v>
      </c>
      <c r="J279" s="649" t="s">
        <v>58</v>
      </c>
      <c r="K279" s="79" t="s">
        <v>2035</v>
      </c>
      <c r="L279" s="954">
        <v>0.4</v>
      </c>
      <c r="M279" s="692"/>
      <c r="N279" s="757" t="s">
        <v>841</v>
      </c>
      <c r="O279" s="692"/>
      <c r="P279" s="935">
        <v>1</v>
      </c>
      <c r="Q279" s="955">
        <v>0.05</v>
      </c>
      <c r="R279" s="935">
        <v>1</v>
      </c>
      <c r="S279" s="935"/>
      <c r="T279" s="207">
        <f t="shared" si="4"/>
        <v>0</v>
      </c>
      <c r="U279" s="206" t="s">
        <v>34</v>
      </c>
      <c r="V279" s="840"/>
      <c r="W279" s="217"/>
    </row>
    <row r="280" spans="1:23" ht="17.55" customHeight="1" x14ac:dyDescent="0.4">
      <c r="A280" s="788">
        <v>279</v>
      </c>
      <c r="B280" s="199" t="s">
        <v>2184</v>
      </c>
      <c r="C280" s="199" t="s">
        <v>24</v>
      </c>
      <c r="D280" s="805">
        <v>1124</v>
      </c>
      <c r="E280" s="199" t="s">
        <v>2381</v>
      </c>
      <c r="F280" s="199" t="s">
        <v>2382</v>
      </c>
      <c r="G280" s="199">
        <v>1134</v>
      </c>
      <c r="H280" s="199" t="s">
        <v>2185</v>
      </c>
      <c r="I280" s="199" t="s">
        <v>729</v>
      </c>
      <c r="J280" s="649" t="s">
        <v>58</v>
      </c>
      <c r="K280" s="79" t="s">
        <v>2035</v>
      </c>
      <c r="L280" s="954">
        <v>0.4</v>
      </c>
      <c r="M280" s="692"/>
      <c r="N280" s="757" t="s">
        <v>842</v>
      </c>
      <c r="O280" s="692"/>
      <c r="P280" s="935">
        <v>1</v>
      </c>
      <c r="Q280" s="955">
        <v>0.05</v>
      </c>
      <c r="R280" s="935">
        <v>1</v>
      </c>
      <c r="S280" s="935"/>
      <c r="T280" s="207">
        <f t="shared" si="4"/>
        <v>0</v>
      </c>
      <c r="U280" s="206" t="s">
        <v>34</v>
      </c>
      <c r="V280" s="840"/>
      <c r="W280" s="217"/>
    </row>
    <row r="281" spans="1:23" ht="17.55" customHeight="1" x14ac:dyDescent="0.4">
      <c r="A281" s="788">
        <v>280</v>
      </c>
      <c r="B281" s="199" t="s">
        <v>2184</v>
      </c>
      <c r="C281" s="199" t="s">
        <v>24</v>
      </c>
      <c r="D281" s="805">
        <v>1124</v>
      </c>
      <c r="E281" s="199" t="s">
        <v>2381</v>
      </c>
      <c r="F281" s="199" t="s">
        <v>2382</v>
      </c>
      <c r="G281" s="199">
        <v>1134</v>
      </c>
      <c r="H281" s="199" t="s">
        <v>2185</v>
      </c>
      <c r="I281" s="199" t="s">
        <v>729</v>
      </c>
      <c r="J281" s="649" t="s">
        <v>58</v>
      </c>
      <c r="K281" s="79" t="s">
        <v>2035</v>
      </c>
      <c r="L281" s="954">
        <v>0.4</v>
      </c>
      <c r="M281" s="692"/>
      <c r="N281" s="757" t="s">
        <v>1324</v>
      </c>
      <c r="O281" s="692"/>
      <c r="P281" s="935">
        <v>1</v>
      </c>
      <c r="Q281" s="955">
        <v>0.1</v>
      </c>
      <c r="R281" s="935">
        <v>1</v>
      </c>
      <c r="S281" s="935"/>
      <c r="T281" s="207">
        <f t="shared" si="4"/>
        <v>0</v>
      </c>
      <c r="U281" s="206" t="s">
        <v>34</v>
      </c>
      <c r="V281" s="840"/>
      <c r="W281" s="217"/>
    </row>
    <row r="282" spans="1:23" ht="17.55" customHeight="1" x14ac:dyDescent="0.4">
      <c r="A282" s="788">
        <v>281</v>
      </c>
      <c r="B282" s="199" t="s">
        <v>2184</v>
      </c>
      <c r="C282" s="199" t="s">
        <v>24</v>
      </c>
      <c r="D282" s="805">
        <v>1124</v>
      </c>
      <c r="E282" s="199" t="s">
        <v>2381</v>
      </c>
      <c r="F282" s="199" t="s">
        <v>2382</v>
      </c>
      <c r="G282" s="199">
        <v>1134</v>
      </c>
      <c r="H282" s="199" t="s">
        <v>2185</v>
      </c>
      <c r="I282" s="199" t="s">
        <v>729</v>
      </c>
      <c r="J282" s="649" t="s">
        <v>58</v>
      </c>
      <c r="K282" s="79" t="s">
        <v>2035</v>
      </c>
      <c r="L282" s="954">
        <v>0.4</v>
      </c>
      <c r="M282" s="692"/>
      <c r="N282" s="757" t="s">
        <v>844</v>
      </c>
      <c r="O282" s="692"/>
      <c r="P282" s="935">
        <v>1</v>
      </c>
      <c r="Q282" s="955">
        <v>0.05</v>
      </c>
      <c r="R282" s="935">
        <v>1</v>
      </c>
      <c r="S282" s="935"/>
      <c r="T282" s="207">
        <f t="shared" si="4"/>
        <v>0</v>
      </c>
      <c r="U282" s="206" t="s">
        <v>34</v>
      </c>
      <c r="V282" s="840"/>
      <c r="W282" s="217"/>
    </row>
    <row r="283" spans="1:23" ht="17.55" customHeight="1" x14ac:dyDescent="0.4">
      <c r="A283" s="788">
        <v>282</v>
      </c>
      <c r="B283" s="199" t="s">
        <v>2184</v>
      </c>
      <c r="C283" s="199" t="s">
        <v>24</v>
      </c>
      <c r="D283" s="805">
        <v>1124</v>
      </c>
      <c r="E283" s="199" t="s">
        <v>2381</v>
      </c>
      <c r="F283" s="199" t="s">
        <v>2382</v>
      </c>
      <c r="G283" s="199">
        <v>1134</v>
      </c>
      <c r="H283" s="199" t="s">
        <v>2185</v>
      </c>
      <c r="I283" s="199" t="s">
        <v>729</v>
      </c>
      <c r="J283" s="649" t="s">
        <v>58</v>
      </c>
      <c r="K283" s="79" t="s">
        <v>2035</v>
      </c>
      <c r="L283" s="954">
        <v>0.4</v>
      </c>
      <c r="M283" s="692"/>
      <c r="N283" s="757" t="s">
        <v>2384</v>
      </c>
      <c r="O283" s="692"/>
      <c r="P283" s="935">
        <v>1</v>
      </c>
      <c r="Q283" s="955">
        <v>0.05</v>
      </c>
      <c r="R283" s="935">
        <v>1</v>
      </c>
      <c r="S283" s="935"/>
      <c r="T283" s="207">
        <f t="shared" si="4"/>
        <v>0</v>
      </c>
      <c r="U283" s="206" t="s">
        <v>34</v>
      </c>
      <c r="V283" s="840"/>
      <c r="W283" s="217"/>
    </row>
    <row r="284" spans="1:23" ht="17.55" customHeight="1" x14ac:dyDescent="0.4">
      <c r="A284" s="788">
        <v>283</v>
      </c>
      <c r="B284" s="199" t="s">
        <v>2184</v>
      </c>
      <c r="C284" s="199" t="s">
        <v>24</v>
      </c>
      <c r="D284" s="805">
        <v>1124</v>
      </c>
      <c r="E284" s="199" t="s">
        <v>2381</v>
      </c>
      <c r="F284" s="199" t="s">
        <v>2382</v>
      </c>
      <c r="G284" s="199">
        <v>1134</v>
      </c>
      <c r="H284" s="199" t="s">
        <v>2185</v>
      </c>
      <c r="I284" s="199" t="s">
        <v>729</v>
      </c>
      <c r="J284" s="649" t="s">
        <v>58</v>
      </c>
      <c r="K284" s="79" t="s">
        <v>2035</v>
      </c>
      <c r="L284" s="954">
        <v>0.4</v>
      </c>
      <c r="M284" s="692"/>
      <c r="N284" s="757" t="s">
        <v>2385</v>
      </c>
      <c r="O284" s="692"/>
      <c r="P284" s="935">
        <v>1</v>
      </c>
      <c r="Q284" s="955">
        <v>0.1</v>
      </c>
      <c r="R284" s="935">
        <v>1</v>
      </c>
      <c r="S284" s="935"/>
      <c r="T284" s="207">
        <f t="shared" si="4"/>
        <v>0</v>
      </c>
      <c r="U284" s="206" t="s">
        <v>34</v>
      </c>
      <c r="V284" s="840"/>
      <c r="W284" s="217"/>
    </row>
    <row r="285" spans="1:23" ht="17.55" customHeight="1" x14ac:dyDescent="0.4">
      <c r="A285" s="788">
        <v>284</v>
      </c>
      <c r="B285" s="199" t="s">
        <v>2184</v>
      </c>
      <c r="C285" s="199" t="s">
        <v>24</v>
      </c>
      <c r="D285" s="805">
        <v>1124</v>
      </c>
      <c r="E285" s="199" t="s">
        <v>2381</v>
      </c>
      <c r="F285" s="199" t="s">
        <v>2382</v>
      </c>
      <c r="G285" s="199">
        <v>1134</v>
      </c>
      <c r="H285" s="199" t="s">
        <v>2185</v>
      </c>
      <c r="I285" s="199" t="s">
        <v>729</v>
      </c>
      <c r="J285" s="649" t="s">
        <v>58</v>
      </c>
      <c r="K285" s="79" t="s">
        <v>2035</v>
      </c>
      <c r="L285" s="954">
        <v>0.4</v>
      </c>
      <c r="M285" s="692"/>
      <c r="N285" s="757" t="s">
        <v>2386</v>
      </c>
      <c r="O285" s="692"/>
      <c r="P285" s="935">
        <v>1</v>
      </c>
      <c r="Q285" s="955">
        <v>0.05</v>
      </c>
      <c r="R285" s="935">
        <v>1</v>
      </c>
      <c r="S285" s="935"/>
      <c r="T285" s="207">
        <f t="shared" si="4"/>
        <v>0</v>
      </c>
      <c r="U285" s="206" t="s">
        <v>34</v>
      </c>
      <c r="V285" s="840"/>
      <c r="W285" s="217"/>
    </row>
    <row r="286" spans="1:23" ht="17.55" customHeight="1" x14ac:dyDescent="0.4">
      <c r="A286" s="788">
        <v>285</v>
      </c>
      <c r="B286" s="199" t="s">
        <v>2184</v>
      </c>
      <c r="C286" s="199" t="s">
        <v>24</v>
      </c>
      <c r="D286" s="805">
        <v>1124</v>
      </c>
      <c r="E286" s="199" t="s">
        <v>2381</v>
      </c>
      <c r="F286" s="199" t="s">
        <v>2382</v>
      </c>
      <c r="G286" s="199">
        <v>1134</v>
      </c>
      <c r="H286" s="199" t="s">
        <v>2185</v>
      </c>
      <c r="I286" s="199" t="s">
        <v>729</v>
      </c>
      <c r="J286" s="649" t="s">
        <v>58</v>
      </c>
      <c r="K286" s="79" t="s">
        <v>2035</v>
      </c>
      <c r="L286" s="954">
        <v>0.4</v>
      </c>
      <c r="M286" s="692"/>
      <c r="N286" s="757" t="s">
        <v>1328</v>
      </c>
      <c r="O286" s="692"/>
      <c r="P286" s="935">
        <v>1</v>
      </c>
      <c r="Q286" s="955">
        <v>0.1</v>
      </c>
      <c r="R286" s="935">
        <v>1</v>
      </c>
      <c r="S286" s="935"/>
      <c r="T286" s="207">
        <f t="shared" si="4"/>
        <v>0</v>
      </c>
      <c r="U286" s="206" t="s">
        <v>34</v>
      </c>
      <c r="V286" s="840"/>
      <c r="W286" s="217"/>
    </row>
    <row r="287" spans="1:23" ht="17.55" customHeight="1" x14ac:dyDescent="0.4">
      <c r="A287" s="788">
        <v>286</v>
      </c>
      <c r="B287" s="199" t="s">
        <v>2184</v>
      </c>
      <c r="C287" s="199" t="s">
        <v>24</v>
      </c>
      <c r="D287" s="805">
        <v>1124</v>
      </c>
      <c r="E287" s="199" t="s">
        <v>2381</v>
      </c>
      <c r="F287" s="199" t="s">
        <v>2382</v>
      </c>
      <c r="G287" s="199">
        <v>1134</v>
      </c>
      <c r="H287" s="199" t="s">
        <v>2185</v>
      </c>
      <c r="I287" s="199" t="s">
        <v>729</v>
      </c>
      <c r="J287" s="649" t="s">
        <v>58</v>
      </c>
      <c r="K287" s="79" t="s">
        <v>2035</v>
      </c>
      <c r="L287" s="954">
        <v>0.4</v>
      </c>
      <c r="M287" s="692"/>
      <c r="N287" s="757" t="s">
        <v>2387</v>
      </c>
      <c r="O287" s="692"/>
      <c r="P287" s="935">
        <v>1</v>
      </c>
      <c r="Q287" s="955">
        <v>0.05</v>
      </c>
      <c r="R287" s="935">
        <v>1</v>
      </c>
      <c r="S287" s="935"/>
      <c r="T287" s="207">
        <f t="shared" si="4"/>
        <v>0</v>
      </c>
      <c r="U287" s="206" t="s">
        <v>34</v>
      </c>
      <c r="V287" s="840"/>
      <c r="W287" s="217"/>
    </row>
    <row r="288" spans="1:23" ht="17.55" customHeight="1" x14ac:dyDescent="0.4">
      <c r="A288" s="788">
        <v>287</v>
      </c>
      <c r="B288" s="199" t="s">
        <v>2184</v>
      </c>
      <c r="C288" s="199" t="s">
        <v>24</v>
      </c>
      <c r="D288" s="805">
        <v>1124</v>
      </c>
      <c r="E288" s="199" t="s">
        <v>2381</v>
      </c>
      <c r="F288" s="199" t="s">
        <v>2382</v>
      </c>
      <c r="G288" s="199">
        <v>1134</v>
      </c>
      <c r="H288" s="199" t="s">
        <v>2185</v>
      </c>
      <c r="I288" s="199" t="s">
        <v>729</v>
      </c>
      <c r="J288" s="649" t="s">
        <v>58</v>
      </c>
      <c r="K288" s="79" t="s">
        <v>2035</v>
      </c>
      <c r="L288" s="954">
        <v>0.4</v>
      </c>
      <c r="M288" s="692"/>
      <c r="N288" s="757" t="s">
        <v>1326</v>
      </c>
      <c r="O288" s="692"/>
      <c r="P288" s="935">
        <v>1</v>
      </c>
      <c r="Q288" s="955">
        <v>0.05</v>
      </c>
      <c r="R288" s="935">
        <v>1</v>
      </c>
      <c r="S288" s="935"/>
      <c r="T288" s="207">
        <f t="shared" si="4"/>
        <v>0</v>
      </c>
      <c r="U288" s="206" t="s">
        <v>34</v>
      </c>
      <c r="V288" s="840"/>
      <c r="W288" s="217"/>
    </row>
    <row r="289" spans="1:23" ht="17.55" customHeight="1" x14ac:dyDescent="0.4">
      <c r="A289" s="788">
        <v>288</v>
      </c>
      <c r="B289" s="199" t="s">
        <v>2184</v>
      </c>
      <c r="C289" s="199" t="s">
        <v>24</v>
      </c>
      <c r="D289" s="805">
        <v>1124</v>
      </c>
      <c r="E289" s="199" t="s">
        <v>2381</v>
      </c>
      <c r="F289" s="199" t="s">
        <v>2382</v>
      </c>
      <c r="G289" s="199">
        <v>1134</v>
      </c>
      <c r="H289" s="199" t="s">
        <v>2185</v>
      </c>
      <c r="I289" s="199" t="s">
        <v>729</v>
      </c>
      <c r="J289" s="649" t="s">
        <v>58</v>
      </c>
      <c r="K289" s="79" t="s">
        <v>2035</v>
      </c>
      <c r="L289" s="954">
        <v>0.4</v>
      </c>
      <c r="M289" s="692"/>
      <c r="N289" s="757" t="s">
        <v>2388</v>
      </c>
      <c r="O289" s="692"/>
      <c r="P289" s="935">
        <v>1</v>
      </c>
      <c r="Q289" s="955">
        <v>0.05</v>
      </c>
      <c r="R289" s="935">
        <v>1</v>
      </c>
      <c r="S289" s="935"/>
      <c r="T289" s="207">
        <f t="shared" si="4"/>
        <v>0</v>
      </c>
      <c r="U289" s="206" t="s">
        <v>34</v>
      </c>
      <c r="V289" s="840"/>
      <c r="W289" s="217"/>
    </row>
    <row r="290" spans="1:23" ht="17.55" customHeight="1" x14ac:dyDescent="0.4">
      <c r="A290" s="788">
        <v>289</v>
      </c>
      <c r="B290" s="199" t="s">
        <v>2184</v>
      </c>
      <c r="C290" s="199" t="s">
        <v>24</v>
      </c>
      <c r="D290" s="805">
        <v>1124</v>
      </c>
      <c r="E290" s="199" t="s">
        <v>2381</v>
      </c>
      <c r="F290" s="199" t="s">
        <v>2382</v>
      </c>
      <c r="G290" s="199">
        <v>1134</v>
      </c>
      <c r="H290" s="199" t="s">
        <v>2185</v>
      </c>
      <c r="I290" s="199" t="s">
        <v>729</v>
      </c>
      <c r="J290" s="649" t="s">
        <v>58</v>
      </c>
      <c r="K290" s="79" t="s">
        <v>2035</v>
      </c>
      <c r="L290" s="954">
        <v>0.4</v>
      </c>
      <c r="M290" s="692"/>
      <c r="N290" s="757" t="s">
        <v>2389</v>
      </c>
      <c r="O290" s="692"/>
      <c r="P290" s="935">
        <v>1</v>
      </c>
      <c r="Q290" s="955">
        <v>0.05</v>
      </c>
      <c r="R290" s="935">
        <v>1</v>
      </c>
      <c r="S290" s="935"/>
      <c r="T290" s="207">
        <f t="shared" si="4"/>
        <v>0</v>
      </c>
      <c r="U290" s="206" t="s">
        <v>34</v>
      </c>
      <c r="V290" s="840"/>
      <c r="W290" s="217"/>
    </row>
    <row r="291" spans="1:23" ht="17.55" customHeight="1" x14ac:dyDescent="0.4">
      <c r="A291" s="788">
        <v>290</v>
      </c>
      <c r="B291" s="199" t="s">
        <v>2184</v>
      </c>
      <c r="C291" s="199" t="s">
        <v>24</v>
      </c>
      <c r="D291" s="805">
        <v>1124</v>
      </c>
      <c r="E291" s="199" t="s">
        <v>2381</v>
      </c>
      <c r="F291" s="199" t="s">
        <v>2382</v>
      </c>
      <c r="G291" s="199">
        <v>1134</v>
      </c>
      <c r="H291" s="199" t="s">
        <v>2185</v>
      </c>
      <c r="I291" s="199" t="s">
        <v>729</v>
      </c>
      <c r="J291" s="649" t="s">
        <v>58</v>
      </c>
      <c r="K291" s="79" t="s">
        <v>2035</v>
      </c>
      <c r="L291" s="954">
        <v>0.4</v>
      </c>
      <c r="M291" s="692"/>
      <c r="N291" s="757" t="s">
        <v>1325</v>
      </c>
      <c r="O291" s="692"/>
      <c r="P291" s="935">
        <v>1</v>
      </c>
      <c r="Q291" s="955">
        <v>0.05</v>
      </c>
      <c r="R291" s="935">
        <v>1</v>
      </c>
      <c r="S291" s="935"/>
      <c r="T291" s="207">
        <f t="shared" si="4"/>
        <v>0</v>
      </c>
      <c r="U291" s="206" t="s">
        <v>34</v>
      </c>
      <c r="V291" s="840"/>
      <c r="W291" s="217"/>
    </row>
    <row r="292" spans="1:23" ht="17.55" customHeight="1" x14ac:dyDescent="0.4">
      <c r="A292" s="788">
        <v>291</v>
      </c>
      <c r="B292" s="199" t="s">
        <v>2184</v>
      </c>
      <c r="C292" s="199" t="s">
        <v>24</v>
      </c>
      <c r="D292" s="805">
        <v>1124</v>
      </c>
      <c r="E292" s="199" t="s">
        <v>2381</v>
      </c>
      <c r="F292" s="199" t="s">
        <v>2382</v>
      </c>
      <c r="G292" s="199">
        <v>1134</v>
      </c>
      <c r="H292" s="199" t="s">
        <v>2185</v>
      </c>
      <c r="I292" s="199" t="s">
        <v>729</v>
      </c>
      <c r="J292" s="210" t="s">
        <v>111</v>
      </c>
      <c r="K292" s="210" t="s">
        <v>110</v>
      </c>
      <c r="L292" s="846">
        <v>0.6</v>
      </c>
      <c r="M292" s="199"/>
      <c r="N292" s="767" t="s">
        <v>851</v>
      </c>
      <c r="O292" s="199"/>
      <c r="P292" s="967">
        <v>1</v>
      </c>
      <c r="Q292" s="968">
        <v>0.1</v>
      </c>
      <c r="R292" s="967">
        <v>1</v>
      </c>
      <c r="S292" s="967"/>
      <c r="T292" s="701">
        <f t="shared" si="4"/>
        <v>0</v>
      </c>
      <c r="U292" s="650" t="s">
        <v>34</v>
      </c>
      <c r="V292" s="799"/>
      <c r="W292" s="701"/>
    </row>
    <row r="293" spans="1:23" ht="17.55" customHeight="1" x14ac:dyDescent="0.4">
      <c r="A293" s="788">
        <v>292</v>
      </c>
      <c r="B293" s="199" t="s">
        <v>2184</v>
      </c>
      <c r="C293" s="199" t="s">
        <v>24</v>
      </c>
      <c r="D293" s="805">
        <v>1124</v>
      </c>
      <c r="E293" s="199" t="s">
        <v>2381</v>
      </c>
      <c r="F293" s="199" t="s">
        <v>2382</v>
      </c>
      <c r="G293" s="199">
        <v>1134</v>
      </c>
      <c r="H293" s="199" t="s">
        <v>2185</v>
      </c>
      <c r="I293" s="199" t="s">
        <v>729</v>
      </c>
      <c r="J293" s="210" t="s">
        <v>111</v>
      </c>
      <c r="K293" s="210" t="s">
        <v>110</v>
      </c>
      <c r="L293" s="846">
        <v>0.6</v>
      </c>
      <c r="M293" s="199"/>
      <c r="N293" s="767" t="s">
        <v>1331</v>
      </c>
      <c r="O293" s="199"/>
      <c r="P293" s="967">
        <v>1</v>
      </c>
      <c r="Q293" s="968">
        <v>0.05</v>
      </c>
      <c r="R293" s="967">
        <v>1</v>
      </c>
      <c r="S293" s="967"/>
      <c r="T293" s="701">
        <f t="shared" si="4"/>
        <v>0</v>
      </c>
      <c r="U293" s="650" t="s">
        <v>34</v>
      </c>
      <c r="V293" s="799"/>
      <c r="W293" s="701"/>
    </row>
    <row r="294" spans="1:23" ht="17.55" customHeight="1" x14ac:dyDescent="0.4">
      <c r="A294" s="788">
        <v>293</v>
      </c>
      <c r="B294" s="199" t="s">
        <v>2184</v>
      </c>
      <c r="C294" s="199" t="s">
        <v>24</v>
      </c>
      <c r="D294" s="805">
        <v>1124</v>
      </c>
      <c r="E294" s="199" t="s">
        <v>2381</v>
      </c>
      <c r="F294" s="199" t="s">
        <v>2382</v>
      </c>
      <c r="G294" s="199">
        <v>1134</v>
      </c>
      <c r="H294" s="199" t="s">
        <v>2185</v>
      </c>
      <c r="I294" s="199" t="s">
        <v>729</v>
      </c>
      <c r="J294" s="210" t="s">
        <v>111</v>
      </c>
      <c r="K294" s="210" t="s">
        <v>110</v>
      </c>
      <c r="L294" s="846">
        <v>0.6</v>
      </c>
      <c r="M294" s="199"/>
      <c r="N294" s="879" t="s">
        <v>855</v>
      </c>
      <c r="O294" s="199"/>
      <c r="P294" s="967">
        <v>1</v>
      </c>
      <c r="Q294" s="968">
        <v>0.05</v>
      </c>
      <c r="R294" s="967">
        <v>1</v>
      </c>
      <c r="S294" s="967"/>
      <c r="T294" s="701">
        <f t="shared" si="4"/>
        <v>0</v>
      </c>
      <c r="U294" s="650" t="s">
        <v>34</v>
      </c>
      <c r="V294" s="799"/>
      <c r="W294" s="701"/>
    </row>
    <row r="295" spans="1:23" ht="17.55" customHeight="1" x14ac:dyDescent="0.4">
      <c r="A295" s="788">
        <v>294</v>
      </c>
      <c r="B295" s="199" t="s">
        <v>2184</v>
      </c>
      <c r="C295" s="199" t="s">
        <v>24</v>
      </c>
      <c r="D295" s="805">
        <v>1124</v>
      </c>
      <c r="E295" s="199" t="s">
        <v>2381</v>
      </c>
      <c r="F295" s="199" t="s">
        <v>2382</v>
      </c>
      <c r="G295" s="199">
        <v>1134</v>
      </c>
      <c r="H295" s="199" t="s">
        <v>2185</v>
      </c>
      <c r="I295" s="199" t="s">
        <v>729</v>
      </c>
      <c r="J295" s="210" t="s">
        <v>111</v>
      </c>
      <c r="K295" s="210" t="s">
        <v>110</v>
      </c>
      <c r="L295" s="846">
        <v>0.6</v>
      </c>
      <c r="M295" s="199"/>
      <c r="N295" s="767" t="s">
        <v>856</v>
      </c>
      <c r="O295" s="199"/>
      <c r="P295" s="967">
        <v>1</v>
      </c>
      <c r="Q295" s="968">
        <v>0.05</v>
      </c>
      <c r="R295" s="967">
        <v>1</v>
      </c>
      <c r="S295" s="967"/>
      <c r="T295" s="701">
        <f t="shared" si="4"/>
        <v>0</v>
      </c>
      <c r="U295" s="650" t="s">
        <v>34</v>
      </c>
      <c r="V295" s="799"/>
      <c r="W295" s="701"/>
    </row>
    <row r="296" spans="1:23" ht="17.55" customHeight="1" x14ac:dyDescent="0.4">
      <c r="A296" s="788">
        <v>295</v>
      </c>
      <c r="B296" s="199" t="s">
        <v>2184</v>
      </c>
      <c r="C296" s="199" t="s">
        <v>24</v>
      </c>
      <c r="D296" s="805">
        <v>1124</v>
      </c>
      <c r="E296" s="199" t="s">
        <v>2381</v>
      </c>
      <c r="F296" s="199" t="s">
        <v>2382</v>
      </c>
      <c r="G296" s="199">
        <v>1134</v>
      </c>
      <c r="H296" s="199" t="s">
        <v>2185</v>
      </c>
      <c r="I296" s="199" t="s">
        <v>729</v>
      </c>
      <c r="J296" s="210" t="s">
        <v>111</v>
      </c>
      <c r="K296" s="210" t="s">
        <v>110</v>
      </c>
      <c r="L296" s="846">
        <v>0.6</v>
      </c>
      <c r="M296" s="199"/>
      <c r="N296" s="767" t="s">
        <v>1332</v>
      </c>
      <c r="O296" s="199"/>
      <c r="P296" s="967">
        <v>1</v>
      </c>
      <c r="Q296" s="968">
        <v>0.05</v>
      </c>
      <c r="R296" s="967">
        <v>1</v>
      </c>
      <c r="S296" s="967"/>
      <c r="T296" s="701">
        <f t="shared" si="4"/>
        <v>0</v>
      </c>
      <c r="U296" s="650" t="s">
        <v>34</v>
      </c>
      <c r="V296" s="799"/>
      <c r="W296" s="701"/>
    </row>
    <row r="297" spans="1:23" ht="17.55" customHeight="1" x14ac:dyDescent="0.4">
      <c r="A297" s="788">
        <v>296</v>
      </c>
      <c r="B297" s="199" t="s">
        <v>2184</v>
      </c>
      <c r="C297" s="199" t="s">
        <v>24</v>
      </c>
      <c r="D297" s="805">
        <v>1124</v>
      </c>
      <c r="E297" s="199" t="s">
        <v>2381</v>
      </c>
      <c r="F297" s="199" t="s">
        <v>2382</v>
      </c>
      <c r="G297" s="199">
        <v>1134</v>
      </c>
      <c r="H297" s="199" t="s">
        <v>2185</v>
      </c>
      <c r="I297" s="199" t="s">
        <v>729</v>
      </c>
      <c r="J297" s="210" t="s">
        <v>111</v>
      </c>
      <c r="K297" s="210" t="s">
        <v>110</v>
      </c>
      <c r="L297" s="846">
        <v>0.6</v>
      </c>
      <c r="M297" s="199"/>
      <c r="N297" s="767" t="s">
        <v>853</v>
      </c>
      <c r="O297" s="199"/>
      <c r="P297" s="967">
        <v>1</v>
      </c>
      <c r="Q297" s="968">
        <v>0.25</v>
      </c>
      <c r="R297" s="967">
        <v>1</v>
      </c>
      <c r="S297" s="967"/>
      <c r="T297" s="701">
        <f t="shared" si="4"/>
        <v>0</v>
      </c>
      <c r="U297" s="650" t="s">
        <v>34</v>
      </c>
      <c r="V297" s="799"/>
      <c r="W297" s="701"/>
    </row>
    <row r="298" spans="1:23" ht="17.55" customHeight="1" x14ac:dyDescent="0.4">
      <c r="A298" s="788">
        <v>297</v>
      </c>
      <c r="B298" s="199" t="s">
        <v>2184</v>
      </c>
      <c r="C298" s="199" t="s">
        <v>24</v>
      </c>
      <c r="D298" s="805">
        <v>1124</v>
      </c>
      <c r="E298" s="199" t="s">
        <v>2381</v>
      </c>
      <c r="F298" s="199" t="s">
        <v>2382</v>
      </c>
      <c r="G298" s="199">
        <v>1134</v>
      </c>
      <c r="H298" s="199" t="s">
        <v>2185</v>
      </c>
      <c r="I298" s="199" t="s">
        <v>729</v>
      </c>
      <c r="J298" s="210" t="s">
        <v>111</v>
      </c>
      <c r="K298" s="210" t="s">
        <v>110</v>
      </c>
      <c r="L298" s="846">
        <v>0.6</v>
      </c>
      <c r="M298" s="199"/>
      <c r="N298" s="767" t="s">
        <v>1333</v>
      </c>
      <c r="O298" s="199"/>
      <c r="P298" s="967">
        <v>1</v>
      </c>
      <c r="Q298" s="968">
        <v>0.05</v>
      </c>
      <c r="R298" s="967">
        <v>1</v>
      </c>
      <c r="S298" s="967"/>
      <c r="T298" s="701">
        <f t="shared" si="4"/>
        <v>0</v>
      </c>
      <c r="U298" s="650" t="s">
        <v>34</v>
      </c>
      <c r="V298" s="799"/>
      <c r="W298" s="701"/>
    </row>
    <row r="299" spans="1:23" ht="17.55" customHeight="1" x14ac:dyDescent="0.4">
      <c r="A299" s="788">
        <v>298</v>
      </c>
      <c r="B299" s="199" t="s">
        <v>2184</v>
      </c>
      <c r="C299" s="199" t="s">
        <v>24</v>
      </c>
      <c r="D299" s="805">
        <v>1124</v>
      </c>
      <c r="E299" s="199" t="s">
        <v>2381</v>
      </c>
      <c r="F299" s="199" t="s">
        <v>2382</v>
      </c>
      <c r="G299" s="199">
        <v>1134</v>
      </c>
      <c r="H299" s="199" t="s">
        <v>2185</v>
      </c>
      <c r="I299" s="199" t="s">
        <v>729</v>
      </c>
      <c r="J299" s="210" t="s">
        <v>111</v>
      </c>
      <c r="K299" s="210" t="s">
        <v>110</v>
      </c>
      <c r="L299" s="846">
        <v>0.6</v>
      </c>
      <c r="M299" s="199"/>
      <c r="N299" s="767" t="s">
        <v>744</v>
      </c>
      <c r="O299" s="199"/>
      <c r="P299" s="967">
        <v>1</v>
      </c>
      <c r="Q299" s="968">
        <v>0.05</v>
      </c>
      <c r="R299" s="967">
        <v>1</v>
      </c>
      <c r="S299" s="967"/>
      <c r="T299" s="701">
        <f t="shared" si="4"/>
        <v>0</v>
      </c>
      <c r="U299" s="650" t="s">
        <v>34</v>
      </c>
      <c r="V299" s="799"/>
      <c r="W299" s="701"/>
    </row>
    <row r="300" spans="1:23" ht="17.55" customHeight="1" x14ac:dyDescent="0.4">
      <c r="A300" s="788">
        <v>299</v>
      </c>
      <c r="B300" s="199" t="s">
        <v>2184</v>
      </c>
      <c r="C300" s="199" t="s">
        <v>24</v>
      </c>
      <c r="D300" s="805">
        <v>1124</v>
      </c>
      <c r="E300" s="199" t="s">
        <v>2381</v>
      </c>
      <c r="F300" s="199" t="s">
        <v>2382</v>
      </c>
      <c r="G300" s="199">
        <v>1134</v>
      </c>
      <c r="H300" s="199" t="s">
        <v>2185</v>
      </c>
      <c r="I300" s="199" t="s">
        <v>729</v>
      </c>
      <c r="J300" s="210" t="s">
        <v>111</v>
      </c>
      <c r="K300" s="210" t="s">
        <v>110</v>
      </c>
      <c r="L300" s="846">
        <v>0.6</v>
      </c>
      <c r="M300" s="199"/>
      <c r="N300" s="767" t="s">
        <v>854</v>
      </c>
      <c r="O300" s="199"/>
      <c r="P300" s="967">
        <v>1</v>
      </c>
      <c r="Q300" s="968">
        <v>0.05</v>
      </c>
      <c r="R300" s="967">
        <v>1</v>
      </c>
      <c r="S300" s="967"/>
      <c r="T300" s="701">
        <f t="shared" si="4"/>
        <v>0</v>
      </c>
      <c r="U300" s="650" t="s">
        <v>34</v>
      </c>
      <c r="V300" s="799"/>
      <c r="W300" s="701"/>
    </row>
    <row r="301" spans="1:23" ht="17.55" customHeight="1" x14ac:dyDescent="0.4">
      <c r="A301" s="788">
        <v>300</v>
      </c>
      <c r="B301" s="199" t="s">
        <v>2184</v>
      </c>
      <c r="C301" s="199" t="s">
        <v>24</v>
      </c>
      <c r="D301" s="805">
        <v>1124</v>
      </c>
      <c r="E301" s="199" t="s">
        <v>2381</v>
      </c>
      <c r="F301" s="199" t="s">
        <v>2382</v>
      </c>
      <c r="G301" s="199">
        <v>1134</v>
      </c>
      <c r="H301" s="199" t="s">
        <v>2185</v>
      </c>
      <c r="I301" s="199" t="s">
        <v>729</v>
      </c>
      <c r="J301" s="210" t="s">
        <v>111</v>
      </c>
      <c r="K301" s="210" t="s">
        <v>110</v>
      </c>
      <c r="L301" s="846">
        <v>0.6</v>
      </c>
      <c r="M301" s="199"/>
      <c r="N301" s="767" t="s">
        <v>852</v>
      </c>
      <c r="O301" s="199"/>
      <c r="P301" s="967">
        <v>1</v>
      </c>
      <c r="Q301" s="968">
        <v>0.05</v>
      </c>
      <c r="R301" s="967">
        <v>1</v>
      </c>
      <c r="S301" s="967"/>
      <c r="T301" s="701">
        <f t="shared" si="4"/>
        <v>0</v>
      </c>
      <c r="U301" s="650" t="s">
        <v>34</v>
      </c>
      <c r="V301" s="799"/>
      <c r="W301" s="701"/>
    </row>
    <row r="302" spans="1:23" ht="17.55" customHeight="1" x14ac:dyDescent="0.4">
      <c r="A302" s="788">
        <v>301</v>
      </c>
      <c r="B302" s="199" t="s">
        <v>2184</v>
      </c>
      <c r="C302" s="199" t="s">
        <v>24</v>
      </c>
      <c r="D302" s="805">
        <v>1124</v>
      </c>
      <c r="E302" s="199" t="s">
        <v>2381</v>
      </c>
      <c r="F302" s="199" t="s">
        <v>2382</v>
      </c>
      <c r="G302" s="199">
        <v>1134</v>
      </c>
      <c r="H302" s="199" t="s">
        <v>2185</v>
      </c>
      <c r="I302" s="199" t="s">
        <v>729</v>
      </c>
      <c r="J302" s="210" t="s">
        <v>111</v>
      </c>
      <c r="K302" s="210" t="s">
        <v>110</v>
      </c>
      <c r="L302" s="846">
        <v>0.6</v>
      </c>
      <c r="M302" s="199"/>
      <c r="N302" s="767" t="s">
        <v>746</v>
      </c>
      <c r="O302" s="199"/>
      <c r="P302" s="967">
        <v>1</v>
      </c>
      <c r="Q302" s="968">
        <v>0.05</v>
      </c>
      <c r="R302" s="967">
        <v>1</v>
      </c>
      <c r="S302" s="967"/>
      <c r="T302" s="701">
        <f t="shared" si="4"/>
        <v>0</v>
      </c>
      <c r="U302" s="650" t="s">
        <v>34</v>
      </c>
      <c r="V302" s="799"/>
      <c r="W302" s="701"/>
    </row>
    <row r="303" spans="1:23" ht="17.55" customHeight="1" x14ac:dyDescent="0.4">
      <c r="A303" s="788">
        <v>302</v>
      </c>
      <c r="B303" s="199" t="s">
        <v>2184</v>
      </c>
      <c r="C303" s="199" t="s">
        <v>24</v>
      </c>
      <c r="D303" s="805">
        <v>1124</v>
      </c>
      <c r="E303" s="199" t="s">
        <v>2381</v>
      </c>
      <c r="F303" s="199" t="s">
        <v>2382</v>
      </c>
      <c r="G303" s="199">
        <v>1134</v>
      </c>
      <c r="H303" s="199" t="s">
        <v>2185</v>
      </c>
      <c r="I303" s="199" t="s">
        <v>729</v>
      </c>
      <c r="J303" s="210" t="s">
        <v>111</v>
      </c>
      <c r="K303" s="210" t="s">
        <v>110</v>
      </c>
      <c r="L303" s="846">
        <v>0.6</v>
      </c>
      <c r="M303" s="199"/>
      <c r="N303" s="767" t="s">
        <v>2390</v>
      </c>
      <c r="O303" s="199"/>
      <c r="P303" s="967">
        <v>1</v>
      </c>
      <c r="Q303" s="968">
        <v>0.05</v>
      </c>
      <c r="R303" s="967">
        <v>1</v>
      </c>
      <c r="S303" s="967"/>
      <c r="T303" s="701">
        <f t="shared" si="4"/>
        <v>0</v>
      </c>
      <c r="U303" s="650" t="s">
        <v>34</v>
      </c>
      <c r="V303" s="799"/>
      <c r="W303" s="701"/>
    </row>
    <row r="304" spans="1:23" ht="17.55" customHeight="1" x14ac:dyDescent="0.4">
      <c r="A304" s="788">
        <v>303</v>
      </c>
      <c r="B304" s="199" t="s">
        <v>2184</v>
      </c>
      <c r="C304" s="199" t="s">
        <v>24</v>
      </c>
      <c r="D304" s="805">
        <v>1124</v>
      </c>
      <c r="E304" s="199" t="s">
        <v>2381</v>
      </c>
      <c r="F304" s="199" t="s">
        <v>2382</v>
      </c>
      <c r="G304" s="199">
        <v>1134</v>
      </c>
      <c r="H304" s="199" t="s">
        <v>2185</v>
      </c>
      <c r="I304" s="199" t="s">
        <v>729</v>
      </c>
      <c r="J304" s="210" t="s">
        <v>111</v>
      </c>
      <c r="K304" s="210" t="s">
        <v>110</v>
      </c>
      <c r="L304" s="846">
        <v>0.6</v>
      </c>
      <c r="M304" s="199"/>
      <c r="N304" s="767" t="s">
        <v>1301</v>
      </c>
      <c r="O304" s="199"/>
      <c r="P304" s="967">
        <v>1</v>
      </c>
      <c r="Q304" s="968">
        <v>0.05</v>
      </c>
      <c r="R304" s="967">
        <v>1</v>
      </c>
      <c r="S304" s="967"/>
      <c r="T304" s="701">
        <f t="shared" si="4"/>
        <v>0</v>
      </c>
      <c r="U304" s="650" t="s">
        <v>34</v>
      </c>
      <c r="V304" s="799"/>
      <c r="W304" s="701"/>
    </row>
    <row r="305" spans="1:23" ht="17.55" customHeight="1" x14ac:dyDescent="0.4">
      <c r="A305" s="788">
        <v>304</v>
      </c>
      <c r="B305" s="199" t="s">
        <v>2184</v>
      </c>
      <c r="C305" s="199" t="s">
        <v>24</v>
      </c>
      <c r="D305" s="805">
        <v>1124</v>
      </c>
      <c r="E305" s="199" t="s">
        <v>2381</v>
      </c>
      <c r="F305" s="199" t="s">
        <v>2382</v>
      </c>
      <c r="G305" s="199">
        <v>1134</v>
      </c>
      <c r="H305" s="199" t="s">
        <v>2185</v>
      </c>
      <c r="I305" s="199" t="s">
        <v>729</v>
      </c>
      <c r="J305" s="210" t="s">
        <v>111</v>
      </c>
      <c r="K305" s="210" t="s">
        <v>110</v>
      </c>
      <c r="L305" s="846">
        <v>0.6</v>
      </c>
      <c r="M305" s="199"/>
      <c r="N305" s="767" t="s">
        <v>1336</v>
      </c>
      <c r="O305" s="199"/>
      <c r="P305" s="967">
        <v>1</v>
      </c>
      <c r="Q305" s="968">
        <v>0.05</v>
      </c>
      <c r="R305" s="967">
        <v>1</v>
      </c>
      <c r="S305" s="967"/>
      <c r="T305" s="701">
        <f t="shared" si="4"/>
        <v>0</v>
      </c>
      <c r="U305" s="650" t="s">
        <v>34</v>
      </c>
      <c r="V305" s="799"/>
      <c r="W305" s="701"/>
    </row>
    <row r="306" spans="1:23" ht="17.55" customHeight="1" x14ac:dyDescent="0.4">
      <c r="A306" s="788">
        <v>305</v>
      </c>
      <c r="B306" s="199" t="s">
        <v>2184</v>
      </c>
      <c r="C306" s="199" t="s">
        <v>24</v>
      </c>
      <c r="D306" s="805">
        <v>1124</v>
      </c>
      <c r="E306" s="199" t="s">
        <v>2381</v>
      </c>
      <c r="F306" s="199" t="s">
        <v>2382</v>
      </c>
      <c r="G306" s="199">
        <v>1134</v>
      </c>
      <c r="H306" s="199" t="s">
        <v>2185</v>
      </c>
      <c r="I306" s="199" t="s">
        <v>729</v>
      </c>
      <c r="J306" s="210" t="s">
        <v>111</v>
      </c>
      <c r="K306" s="210" t="s">
        <v>110</v>
      </c>
      <c r="L306" s="846">
        <v>0.6</v>
      </c>
      <c r="M306" s="199"/>
      <c r="N306" s="767" t="s">
        <v>753</v>
      </c>
      <c r="O306" s="199"/>
      <c r="P306" s="967">
        <v>1</v>
      </c>
      <c r="Q306" s="968">
        <v>0.05</v>
      </c>
      <c r="R306" s="967">
        <v>1</v>
      </c>
      <c r="S306" s="967"/>
      <c r="T306" s="701">
        <f t="shared" si="4"/>
        <v>0</v>
      </c>
      <c r="U306" s="650" t="s">
        <v>34</v>
      </c>
      <c r="V306" s="799"/>
      <c r="W306" s="701"/>
    </row>
    <row r="307" spans="1:23" ht="17.55" customHeight="1" x14ac:dyDescent="0.4">
      <c r="A307" s="788">
        <v>306</v>
      </c>
      <c r="B307" s="187" t="s">
        <v>2184</v>
      </c>
      <c r="C307" s="187" t="s">
        <v>24</v>
      </c>
      <c r="D307" s="830">
        <v>1058</v>
      </c>
      <c r="E307" s="236" t="s">
        <v>2391</v>
      </c>
      <c r="F307" s="236" t="s">
        <v>2392</v>
      </c>
      <c r="G307" s="243">
        <v>1127</v>
      </c>
      <c r="H307" s="236" t="s">
        <v>2206</v>
      </c>
      <c r="I307" s="236" t="s">
        <v>175</v>
      </c>
      <c r="J307" s="187" t="s">
        <v>58</v>
      </c>
      <c r="K307" s="187" t="s">
        <v>2035</v>
      </c>
      <c r="L307" s="713">
        <v>1</v>
      </c>
      <c r="M307" s="191"/>
      <c r="N307" s="192" t="s">
        <v>2393</v>
      </c>
      <c r="O307" s="193" t="s">
        <v>2394</v>
      </c>
      <c r="P307" s="197">
        <v>1</v>
      </c>
      <c r="Q307" s="833">
        <v>0.2</v>
      </c>
      <c r="R307" s="197">
        <v>1</v>
      </c>
      <c r="S307" s="197"/>
      <c r="T307" s="196">
        <f t="shared" si="4"/>
        <v>0</v>
      </c>
      <c r="U307" s="197" t="s">
        <v>34</v>
      </c>
      <c r="V307" s="1953">
        <f>SUM(T307:T314)%</f>
        <v>0</v>
      </c>
      <c r="W307" s="236"/>
    </row>
    <row r="308" spans="1:23" ht="17.55" customHeight="1" x14ac:dyDescent="0.4">
      <c r="A308" s="788">
        <v>307</v>
      </c>
      <c r="B308" s="246" t="s">
        <v>2184</v>
      </c>
      <c r="C308" s="198" t="s">
        <v>24</v>
      </c>
      <c r="D308" s="836">
        <v>1058</v>
      </c>
      <c r="E308" s="198" t="s">
        <v>2391</v>
      </c>
      <c r="F308" s="198" t="s">
        <v>2392</v>
      </c>
      <c r="G308" s="210">
        <v>1127</v>
      </c>
      <c r="H308" s="198" t="s">
        <v>2206</v>
      </c>
      <c r="I308" s="198" t="s">
        <v>175</v>
      </c>
      <c r="J308" s="692" t="s">
        <v>58</v>
      </c>
      <c r="K308" s="246" t="s">
        <v>2035</v>
      </c>
      <c r="L308" s="723">
        <v>1</v>
      </c>
      <c r="M308" s="202" t="s">
        <v>2395</v>
      </c>
      <c r="N308" s="203" t="s">
        <v>2396</v>
      </c>
      <c r="O308" s="211"/>
      <c r="P308" s="208">
        <v>1</v>
      </c>
      <c r="Q308" s="839">
        <v>0.2</v>
      </c>
      <c r="R308" s="208">
        <v>1</v>
      </c>
      <c r="S308" s="208"/>
      <c r="T308" s="207">
        <f t="shared" si="4"/>
        <v>0</v>
      </c>
      <c r="U308" s="208" t="s">
        <v>34</v>
      </c>
      <c r="V308" s="840"/>
      <c r="W308" s="198"/>
    </row>
    <row r="309" spans="1:23" ht="17.55" customHeight="1" x14ac:dyDescent="0.4">
      <c r="A309" s="788">
        <v>308</v>
      </c>
      <c r="B309" s="246" t="s">
        <v>2184</v>
      </c>
      <c r="C309" s="198" t="s">
        <v>24</v>
      </c>
      <c r="D309" s="836">
        <v>1058</v>
      </c>
      <c r="E309" s="198" t="s">
        <v>2391</v>
      </c>
      <c r="F309" s="198" t="s">
        <v>2392</v>
      </c>
      <c r="G309" s="210">
        <v>1127</v>
      </c>
      <c r="H309" s="198" t="s">
        <v>2206</v>
      </c>
      <c r="I309" s="198" t="s">
        <v>175</v>
      </c>
      <c r="J309" s="692" t="s">
        <v>58</v>
      </c>
      <c r="K309" s="246" t="s">
        <v>2035</v>
      </c>
      <c r="L309" s="723">
        <v>1</v>
      </c>
      <c r="M309" s="202" t="s">
        <v>2397</v>
      </c>
      <c r="N309" s="203" t="s">
        <v>2398</v>
      </c>
      <c r="O309" s="211"/>
      <c r="P309" s="208">
        <v>1</v>
      </c>
      <c r="Q309" s="839">
        <v>0.1</v>
      </c>
      <c r="R309" s="208">
        <v>1</v>
      </c>
      <c r="S309" s="208"/>
      <c r="T309" s="207">
        <f t="shared" si="4"/>
        <v>0</v>
      </c>
      <c r="U309" s="208" t="s">
        <v>34</v>
      </c>
      <c r="V309" s="840"/>
      <c r="W309" s="198"/>
    </row>
    <row r="310" spans="1:23" ht="17.55" customHeight="1" x14ac:dyDescent="0.4">
      <c r="A310" s="788">
        <v>309</v>
      </c>
      <c r="B310" s="246" t="s">
        <v>2184</v>
      </c>
      <c r="C310" s="199" t="s">
        <v>24</v>
      </c>
      <c r="D310" s="836">
        <v>1058</v>
      </c>
      <c r="E310" s="198" t="s">
        <v>2391</v>
      </c>
      <c r="F310" s="198" t="s">
        <v>2392</v>
      </c>
      <c r="G310" s="210">
        <v>1127</v>
      </c>
      <c r="H310" s="198" t="s">
        <v>2206</v>
      </c>
      <c r="I310" s="198" t="s">
        <v>175</v>
      </c>
      <c r="J310" s="692" t="s">
        <v>58</v>
      </c>
      <c r="K310" s="246" t="s">
        <v>2035</v>
      </c>
      <c r="L310" s="723">
        <v>1</v>
      </c>
      <c r="M310" s="202" t="s">
        <v>1021</v>
      </c>
      <c r="N310" s="203" t="s">
        <v>1022</v>
      </c>
      <c r="O310" s="211"/>
      <c r="P310" s="208">
        <v>1</v>
      </c>
      <c r="Q310" s="839">
        <v>0.1</v>
      </c>
      <c r="R310" s="208">
        <v>1</v>
      </c>
      <c r="S310" s="208"/>
      <c r="T310" s="207">
        <f t="shared" si="4"/>
        <v>0</v>
      </c>
      <c r="U310" s="208" t="s">
        <v>34</v>
      </c>
      <c r="V310" s="840"/>
      <c r="W310" s="198"/>
    </row>
    <row r="311" spans="1:23" ht="17.55" customHeight="1" x14ac:dyDescent="0.4">
      <c r="A311" s="788">
        <v>310</v>
      </c>
      <c r="B311" s="246" t="s">
        <v>2184</v>
      </c>
      <c r="C311" s="199" t="s">
        <v>24</v>
      </c>
      <c r="D311" s="836">
        <v>1058</v>
      </c>
      <c r="E311" s="198" t="s">
        <v>2391</v>
      </c>
      <c r="F311" s="198" t="s">
        <v>2392</v>
      </c>
      <c r="G311" s="210">
        <v>1127</v>
      </c>
      <c r="H311" s="198" t="s">
        <v>2206</v>
      </c>
      <c r="I311" s="198" t="s">
        <v>175</v>
      </c>
      <c r="J311" s="692" t="s">
        <v>58</v>
      </c>
      <c r="K311" s="246" t="s">
        <v>2035</v>
      </c>
      <c r="L311" s="723">
        <v>1</v>
      </c>
      <c r="M311" s="202" t="s">
        <v>2213</v>
      </c>
      <c r="N311" s="203" t="s">
        <v>255</v>
      </c>
      <c r="O311" s="211"/>
      <c r="P311" s="208">
        <v>1</v>
      </c>
      <c r="Q311" s="839">
        <v>0.1</v>
      </c>
      <c r="R311" s="208">
        <v>1</v>
      </c>
      <c r="S311" s="208"/>
      <c r="T311" s="207">
        <f t="shared" si="4"/>
        <v>0</v>
      </c>
      <c r="U311" s="208" t="s">
        <v>34</v>
      </c>
      <c r="V311" s="840"/>
      <c r="W311" s="198"/>
    </row>
    <row r="312" spans="1:23" ht="17.55" customHeight="1" x14ac:dyDescent="0.4">
      <c r="A312" s="788">
        <v>311</v>
      </c>
      <c r="B312" s="246" t="s">
        <v>2184</v>
      </c>
      <c r="C312" s="198" t="s">
        <v>24</v>
      </c>
      <c r="D312" s="836">
        <v>1058</v>
      </c>
      <c r="E312" s="198" t="s">
        <v>2391</v>
      </c>
      <c r="F312" s="198" t="s">
        <v>2392</v>
      </c>
      <c r="G312" s="210">
        <v>1127</v>
      </c>
      <c r="H312" s="198" t="s">
        <v>2206</v>
      </c>
      <c r="I312" s="198" t="s">
        <v>175</v>
      </c>
      <c r="J312" s="692" t="s">
        <v>58</v>
      </c>
      <c r="K312" s="246" t="s">
        <v>2035</v>
      </c>
      <c r="L312" s="723">
        <v>1</v>
      </c>
      <c r="M312" s="202" t="s">
        <v>2214</v>
      </c>
      <c r="N312" s="203" t="s">
        <v>776</v>
      </c>
      <c r="O312" s="211"/>
      <c r="P312" s="208">
        <v>1</v>
      </c>
      <c r="Q312" s="839">
        <v>0.1</v>
      </c>
      <c r="R312" s="208">
        <v>1</v>
      </c>
      <c r="S312" s="208"/>
      <c r="T312" s="207">
        <f t="shared" si="4"/>
        <v>0</v>
      </c>
      <c r="U312" s="208" t="s">
        <v>34</v>
      </c>
      <c r="V312" s="840"/>
      <c r="W312" s="198"/>
    </row>
    <row r="313" spans="1:23" ht="17.55" customHeight="1" x14ac:dyDescent="0.4">
      <c r="A313" s="788">
        <v>312</v>
      </c>
      <c r="B313" s="246" t="s">
        <v>2184</v>
      </c>
      <c r="C313" s="198" t="s">
        <v>24</v>
      </c>
      <c r="D313" s="836">
        <v>1058</v>
      </c>
      <c r="E313" s="198" t="s">
        <v>2391</v>
      </c>
      <c r="F313" s="198" t="s">
        <v>2392</v>
      </c>
      <c r="G313" s="210">
        <v>1127</v>
      </c>
      <c r="H313" s="198" t="s">
        <v>2206</v>
      </c>
      <c r="I313" s="198" t="s">
        <v>175</v>
      </c>
      <c r="J313" s="692" t="s">
        <v>58</v>
      </c>
      <c r="K313" s="246" t="s">
        <v>2035</v>
      </c>
      <c r="L313" s="723">
        <v>1</v>
      </c>
      <c r="M313" s="202" t="s">
        <v>1027</v>
      </c>
      <c r="N313" s="203" t="s">
        <v>251</v>
      </c>
      <c r="O313" s="211"/>
      <c r="P313" s="208">
        <v>1</v>
      </c>
      <c r="Q313" s="839">
        <v>0.1</v>
      </c>
      <c r="R313" s="208">
        <v>1</v>
      </c>
      <c r="S313" s="208"/>
      <c r="T313" s="207">
        <f t="shared" si="4"/>
        <v>0</v>
      </c>
      <c r="U313" s="208" t="s">
        <v>34</v>
      </c>
      <c r="V313" s="840"/>
      <c r="W313" s="198"/>
    </row>
    <row r="314" spans="1:23" ht="17.55" customHeight="1" x14ac:dyDescent="0.4">
      <c r="A314" s="788">
        <v>313</v>
      </c>
      <c r="B314" s="246" t="s">
        <v>2184</v>
      </c>
      <c r="C314" s="198" t="s">
        <v>24</v>
      </c>
      <c r="D314" s="836">
        <v>1058</v>
      </c>
      <c r="E314" s="198" t="s">
        <v>2391</v>
      </c>
      <c r="F314" s="198" t="s">
        <v>2392</v>
      </c>
      <c r="G314" s="210">
        <v>1127</v>
      </c>
      <c r="H314" s="198" t="s">
        <v>2206</v>
      </c>
      <c r="I314" s="198" t="s">
        <v>175</v>
      </c>
      <c r="J314" s="692" t="s">
        <v>58</v>
      </c>
      <c r="K314" s="246" t="s">
        <v>2035</v>
      </c>
      <c r="L314" s="723">
        <v>1</v>
      </c>
      <c r="M314" s="202" t="s">
        <v>2215</v>
      </c>
      <c r="N314" s="203" t="s">
        <v>1029</v>
      </c>
      <c r="O314" s="211"/>
      <c r="P314" s="208">
        <v>1</v>
      </c>
      <c r="Q314" s="839">
        <v>0.1</v>
      </c>
      <c r="R314" s="208">
        <v>1</v>
      </c>
      <c r="S314" s="208"/>
      <c r="T314" s="207">
        <f t="shared" si="4"/>
        <v>0</v>
      </c>
      <c r="U314" s="208" t="s">
        <v>34</v>
      </c>
      <c r="V314" s="840"/>
      <c r="W314" s="198"/>
    </row>
  </sheetData>
  <autoFilter ref="A1:W314" xr:uid="{00000000-0001-0000-0000-000000000000}"/>
  <conditionalFormatting sqref="A2:A314">
    <cfRule type="dataBar" priority="32">
      <dataBar>
        <cfvo type="min"/>
        <cfvo type="max"/>
        <color rgb="FF638EC6"/>
      </dataBar>
      <extLst>
        <ext xmlns:x14="http://schemas.microsoft.com/office/spreadsheetml/2009/9/main" uri="{B025F937-C7B1-47D3-B67F-A62EFF666E3E}">
          <x14:id>{6FF0C696-C0FF-4C19-85CF-34D9DB434E0A}</x14:id>
        </ext>
      </extLst>
    </cfRule>
  </conditionalFormatting>
  <conditionalFormatting sqref="I86:I101">
    <cfRule type="cellIs" dxfId="71" priority="24" operator="equal">
      <formula>"maintasks"</formula>
    </cfRule>
  </conditionalFormatting>
  <conditionalFormatting sqref="J2:J5">
    <cfRule type="cellIs" dxfId="70" priority="30" operator="equal">
      <formula>"maintasks"</formula>
    </cfRule>
  </conditionalFormatting>
  <conditionalFormatting sqref="J252:J261">
    <cfRule type="cellIs" dxfId="69" priority="13" operator="equal">
      <formula>"maintasks"</formula>
    </cfRule>
  </conditionalFormatting>
  <conditionalFormatting sqref="J1:K1 K29:K55 M1:O1 N2:N5 M6:O21 O22:O24 M25:O28">
    <cfRule type="cellIs" dxfId="68" priority="31" operator="equal">
      <formula>"maintasks"</formula>
    </cfRule>
  </conditionalFormatting>
  <conditionalFormatting sqref="J1:K72 K73:K306">
    <cfRule type="containsText" dxfId="67" priority="6" operator="containsText" text="MainTasks">
      <formula>NOT(ISERROR(SEARCH("MainTasks",J1)))</formula>
    </cfRule>
  </conditionalFormatting>
  <conditionalFormatting sqref="J6:K28">
    <cfRule type="cellIs" dxfId="66" priority="29" operator="equal">
      <formula>"maintasks"</formula>
    </cfRule>
  </conditionalFormatting>
  <conditionalFormatting sqref="J73:K137 J160:K200 K138:K147 J138:J159">
    <cfRule type="containsText" dxfId="65" priority="20" operator="containsText" text="MainTasks">
      <formula>NOT(ISERROR(SEARCH("MainTasks",J73)))</formula>
    </cfRule>
  </conditionalFormatting>
  <conditionalFormatting sqref="J210:K224 N210:N224">
    <cfRule type="cellIs" dxfId="64" priority="15" operator="equal">
      <formula>"maintasks"</formula>
    </cfRule>
  </conditionalFormatting>
  <conditionalFormatting sqref="J237:K251 N237:N251">
    <cfRule type="cellIs" dxfId="63" priority="14" operator="equal">
      <formula>"maintasks"</formula>
    </cfRule>
  </conditionalFormatting>
  <conditionalFormatting sqref="J262:K276 N262:N276">
    <cfRule type="cellIs" dxfId="62" priority="12" operator="equal">
      <formula>"maintasks"</formula>
    </cfRule>
  </conditionalFormatting>
  <conditionalFormatting sqref="J307:K1048576">
    <cfRule type="containsText" dxfId="61" priority="3" operator="containsText" text="MainTasks">
      <formula>NOT(ISERROR(SEARCH("MainTasks",J307)))</formula>
    </cfRule>
  </conditionalFormatting>
  <conditionalFormatting sqref="K56:K61">
    <cfRule type="containsText" dxfId="60" priority="19" operator="containsText" text="maintasks">
      <formula>NOT(ISERROR(SEARCH("maintasks",K56)))</formula>
    </cfRule>
  </conditionalFormatting>
  <conditionalFormatting sqref="K62:K85">
    <cfRule type="cellIs" dxfId="59" priority="18" operator="equal">
      <formula>"maintasks"</formula>
    </cfRule>
  </conditionalFormatting>
  <conditionalFormatting sqref="K138:K186">
    <cfRule type="cellIs" dxfId="58" priority="8" operator="equal">
      <formula>"maintasks"</formula>
    </cfRule>
  </conditionalFormatting>
  <conditionalFormatting sqref="K187:K200">
    <cfRule type="containsText" dxfId="57" priority="17" operator="containsText" text="maintasks">
      <formula>NOT(ISERROR(SEARCH("maintasks",K187)))</formula>
    </cfRule>
  </conditionalFormatting>
  <conditionalFormatting sqref="K307:K314">
    <cfRule type="cellIs" dxfId="56" priority="5" operator="equal">
      <formula>"maintasks"</formula>
    </cfRule>
  </conditionalFormatting>
  <conditionalFormatting sqref="M58:M59">
    <cfRule type="cellIs" dxfId="55" priority="25" operator="equal">
      <formula>"maintasks"</formula>
    </cfRule>
  </conditionalFormatting>
  <conditionalFormatting sqref="M22:N22">
    <cfRule type="cellIs" dxfId="54" priority="28" operator="equal">
      <formula>"maintasks"</formula>
    </cfRule>
  </conditionalFormatting>
  <conditionalFormatting sqref="M40:O47">
    <cfRule type="cellIs" dxfId="53" priority="27" operator="equal">
      <formula>"maintasks"</formula>
    </cfRule>
  </conditionalFormatting>
  <conditionalFormatting sqref="M73:O85">
    <cfRule type="cellIs" dxfId="52" priority="7" operator="equal">
      <formula>"maintasks"</formula>
    </cfRule>
  </conditionalFormatting>
  <conditionalFormatting sqref="M86:O137">
    <cfRule type="cellIs" dxfId="51" priority="23" operator="equal">
      <formula>"maintasks"</formula>
    </cfRule>
  </conditionalFormatting>
  <conditionalFormatting sqref="M160:O186">
    <cfRule type="cellIs" dxfId="50" priority="21" operator="equal">
      <formula>"maintasks"</formula>
    </cfRule>
  </conditionalFormatting>
  <conditionalFormatting sqref="M307:O314">
    <cfRule type="cellIs" dxfId="49" priority="4" operator="equal">
      <formula>"maintasks"</formula>
    </cfRule>
  </conditionalFormatting>
  <conditionalFormatting sqref="N57:N59">
    <cfRule type="cellIs" dxfId="48" priority="26" operator="equal">
      <formula>"maintasks"</formula>
    </cfRule>
  </conditionalFormatting>
  <conditionalFormatting sqref="N257">
    <cfRule type="cellIs" dxfId="47" priority="11" operator="equal">
      <formula>"maintasks"</formula>
    </cfRule>
  </conditionalFormatting>
  <conditionalFormatting sqref="N48:O49 N55:O55">
    <cfRule type="cellIs" dxfId="46" priority="22" operator="equal">
      <formula>"maintasks"</formula>
    </cfRule>
  </conditionalFormatting>
  <conditionalFormatting sqref="P2:S5">
    <cfRule type="cellIs" dxfId="45" priority="1" operator="equal">
      <formula>"maintasks"</formula>
    </cfRule>
  </conditionalFormatting>
  <conditionalFormatting sqref="V252">
    <cfRule type="cellIs" dxfId="44" priority="10" operator="equal">
      <formula>"maintasks"</formula>
    </cfRule>
  </conditionalFormatting>
  <conditionalFormatting sqref="V277">
    <cfRule type="cellIs" dxfId="43" priority="9" operator="equal">
      <formula>"maintasks"</formula>
    </cfRule>
  </conditionalFormatting>
  <conditionalFormatting sqref="W86:W101">
    <cfRule type="cellIs" dxfId="42" priority="16" operator="equal">
      <formula>"maintasks"</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6FF0C696-C0FF-4C19-85CF-34D9DB434E0A}">
            <x14:dataBar minLength="0" maxLength="100" border="1" negativeBarBorderColorSameAsPositive="0">
              <x14:cfvo type="autoMin"/>
              <x14:cfvo type="autoMax"/>
              <x14:borderColor rgb="FF638EC6"/>
              <x14:negativeFillColor rgb="FFFF0000"/>
              <x14:negativeBorderColor rgb="FFFF0000"/>
              <x14:axisColor rgb="FF000000"/>
            </x14:dataBar>
          </x14:cfRule>
          <xm:sqref>A2:A314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3790-98B3-4530-BB29-50943C1CED95}">
  <sheetPr>
    <tabColor theme="7" tint="0.79998168889431442"/>
  </sheetPr>
  <dimension ref="A1:X343"/>
  <sheetViews>
    <sheetView zoomScale="49" zoomScaleNormal="49" workbookViewId="0">
      <pane ySplit="1" topLeftCell="A2" activePane="bottomLeft" state="frozen"/>
      <selection activeCell="J1" sqref="J1"/>
      <selection pane="bottomLeft"/>
    </sheetView>
  </sheetViews>
  <sheetFormatPr defaultColWidth="8.77734375" defaultRowHeight="20.55" customHeight="1" x14ac:dyDescent="0.6"/>
  <cols>
    <col min="1" max="3" width="8.77734375" style="787"/>
    <col min="4" max="4" width="9.77734375" style="267" customWidth="1"/>
    <col min="5" max="5" width="13.33203125" style="787" customWidth="1"/>
    <col min="6" max="6" width="15" style="787" customWidth="1"/>
    <col min="7" max="9" width="8.77734375" style="787" customWidth="1"/>
    <col min="10" max="10" width="11.21875" style="787" customWidth="1"/>
    <col min="11" max="12" width="8.77734375" style="787" customWidth="1"/>
    <col min="13" max="13" width="26.77734375" style="1041" customWidth="1"/>
    <col min="14" max="14" width="24.6640625" style="1042" customWidth="1"/>
    <col min="15" max="15" width="16.21875" style="787" customWidth="1"/>
    <col min="16" max="16" width="11.33203125" style="787" customWidth="1"/>
    <col min="17" max="17" width="10.33203125" style="1043" customWidth="1"/>
    <col min="18" max="18" width="11.5546875" style="787" customWidth="1"/>
    <col min="19" max="21" width="8.77734375" style="787" customWidth="1"/>
    <col min="22" max="22" width="8.77734375" style="1044" customWidth="1"/>
    <col min="23" max="23" width="12.88671875" style="787" customWidth="1"/>
    <col min="24" max="16384" width="8.77734375" style="787"/>
  </cols>
  <sheetData>
    <row r="1" spans="1:24" s="980" customFormat="1" ht="27" customHeight="1" x14ac:dyDescent="0.4">
      <c r="A1" s="972" t="s">
        <v>0</v>
      </c>
      <c r="B1" s="973" t="s">
        <v>1</v>
      </c>
      <c r="C1" s="973" t="s">
        <v>2</v>
      </c>
      <c r="D1" s="972" t="s">
        <v>3</v>
      </c>
      <c r="E1" s="973" t="s">
        <v>4</v>
      </c>
      <c r="F1" s="973" t="s">
        <v>5</v>
      </c>
      <c r="G1" s="973" t="s">
        <v>917</v>
      </c>
      <c r="H1" s="973" t="s">
        <v>7</v>
      </c>
      <c r="I1" s="973" t="s">
        <v>8</v>
      </c>
      <c r="J1" s="973" t="s">
        <v>9</v>
      </c>
      <c r="K1" s="973" t="s">
        <v>10</v>
      </c>
      <c r="L1" s="979" t="s">
        <v>918</v>
      </c>
      <c r="M1" s="1045" t="s">
        <v>12</v>
      </c>
      <c r="N1" s="1046" t="s">
        <v>13</v>
      </c>
      <c r="O1" s="973" t="s">
        <v>14</v>
      </c>
      <c r="P1" s="973" t="s">
        <v>919</v>
      </c>
      <c r="Q1" s="979" t="s">
        <v>920</v>
      </c>
      <c r="R1" s="1047" t="s">
        <v>17</v>
      </c>
      <c r="S1" s="979" t="s">
        <v>18</v>
      </c>
      <c r="T1" s="972" t="s">
        <v>19</v>
      </c>
      <c r="U1" s="973" t="s">
        <v>921</v>
      </c>
      <c r="V1" s="979" t="s">
        <v>922</v>
      </c>
      <c r="W1" s="973" t="s">
        <v>22</v>
      </c>
      <c r="X1" s="787"/>
    </row>
    <row r="2" spans="1:24" s="980" customFormat="1" ht="28.5" customHeight="1" x14ac:dyDescent="0.4">
      <c r="A2" s="788">
        <v>1</v>
      </c>
      <c r="B2" s="187" t="s">
        <v>2399</v>
      </c>
      <c r="C2" s="653" t="s">
        <v>24</v>
      </c>
      <c r="D2" s="49">
        <v>2000</v>
      </c>
      <c r="E2" s="187" t="s">
        <v>2400</v>
      </c>
      <c r="F2" s="187" t="s">
        <v>2401</v>
      </c>
      <c r="G2" s="653">
        <v>1000</v>
      </c>
      <c r="H2" s="187" t="s">
        <v>27</v>
      </c>
      <c r="I2" s="187" t="s">
        <v>28</v>
      </c>
      <c r="J2" s="653" t="s">
        <v>29</v>
      </c>
      <c r="K2" s="653" t="s">
        <v>30</v>
      </c>
      <c r="L2" s="644">
        <v>0.4</v>
      </c>
      <c r="M2" s="748" t="s">
        <v>31</v>
      </c>
      <c r="N2" s="749" t="s">
        <v>32</v>
      </c>
      <c r="O2" s="981" t="s">
        <v>2402</v>
      </c>
      <c r="P2" s="982">
        <v>415808.22747491382</v>
      </c>
      <c r="Q2" s="983">
        <v>0.4</v>
      </c>
      <c r="R2" s="982"/>
      <c r="S2" s="644">
        <f t="shared" ref="S2:S65" si="0">ROUND(IF(OR(P2="",R2=""),0,IF(AND(P2=0,R2=0),1,IF(U2="+",R2/P2,P2/R2))),2)</f>
        <v>0</v>
      </c>
      <c r="T2" s="653">
        <f t="shared" ref="T2:T65" si="1">IF(AND(S2&gt;=60%,S2&lt;100%),S2*((Q2*L2)),IF(S2=100%,((Q2*L2)*S2)*100%,IF(S2&gt;100%,((L2*Q2)*100%)*100%,0)))*100</f>
        <v>0</v>
      </c>
      <c r="U2" s="794" t="s">
        <v>34</v>
      </c>
      <c r="V2" s="1949">
        <f>SUM(T2:T30)%</f>
        <v>0</v>
      </c>
      <c r="W2" s="187"/>
      <c r="X2" s="787"/>
    </row>
    <row r="3" spans="1:24" s="980" customFormat="1" ht="20.55" customHeight="1" x14ac:dyDescent="0.4">
      <c r="A3" s="788">
        <v>2</v>
      </c>
      <c r="B3" s="199" t="s">
        <v>2399</v>
      </c>
      <c r="C3" s="649" t="s">
        <v>24</v>
      </c>
      <c r="D3" s="68">
        <v>2000</v>
      </c>
      <c r="E3" s="199" t="s">
        <v>2400</v>
      </c>
      <c r="F3" s="199" t="s">
        <v>2401</v>
      </c>
      <c r="G3" s="649">
        <v>1000</v>
      </c>
      <c r="H3" s="199" t="s">
        <v>27</v>
      </c>
      <c r="I3" s="199" t="s">
        <v>28</v>
      </c>
      <c r="J3" s="798" t="s">
        <v>29</v>
      </c>
      <c r="K3" s="648" t="s">
        <v>30</v>
      </c>
      <c r="L3" s="222">
        <v>0.4</v>
      </c>
      <c r="M3" s="829" t="s">
        <v>2403</v>
      </c>
      <c r="N3" s="827" t="s">
        <v>2404</v>
      </c>
      <c r="O3" s="827"/>
      <c r="P3" s="984">
        <v>252000</v>
      </c>
      <c r="Q3" s="985">
        <v>0.1</v>
      </c>
      <c r="R3" s="984"/>
      <c r="S3" s="874">
        <f t="shared" si="0"/>
        <v>0</v>
      </c>
      <c r="T3" s="648">
        <f t="shared" si="1"/>
        <v>0</v>
      </c>
      <c r="U3" s="803" t="s">
        <v>34</v>
      </c>
      <c r="V3" s="803"/>
      <c r="W3" s="199"/>
      <c r="X3" s="787"/>
    </row>
    <row r="4" spans="1:24" s="980" customFormat="1" ht="20.55" customHeight="1" x14ac:dyDescent="0.4">
      <c r="A4" s="788">
        <v>3</v>
      </c>
      <c r="B4" s="199" t="s">
        <v>2399</v>
      </c>
      <c r="C4" s="649" t="s">
        <v>24</v>
      </c>
      <c r="D4" s="68">
        <v>2000</v>
      </c>
      <c r="E4" s="199" t="s">
        <v>2400</v>
      </c>
      <c r="F4" s="199" t="s">
        <v>2401</v>
      </c>
      <c r="G4" s="199">
        <v>1000</v>
      </c>
      <c r="H4" s="199" t="s">
        <v>27</v>
      </c>
      <c r="I4" s="199" t="s">
        <v>28</v>
      </c>
      <c r="J4" s="649" t="s">
        <v>29</v>
      </c>
      <c r="K4" s="648" t="s">
        <v>30</v>
      </c>
      <c r="L4" s="222">
        <v>0.4</v>
      </c>
      <c r="M4" s="829" t="s">
        <v>43</v>
      </c>
      <c r="N4" s="827" t="s">
        <v>44</v>
      </c>
      <c r="O4" s="827"/>
      <c r="P4" s="984">
        <v>392408</v>
      </c>
      <c r="Q4" s="985">
        <v>0.4</v>
      </c>
      <c r="R4" s="984"/>
      <c r="S4" s="874">
        <f t="shared" si="0"/>
        <v>0</v>
      </c>
      <c r="T4" s="648">
        <f t="shared" si="1"/>
        <v>0</v>
      </c>
      <c r="U4" s="803" t="s">
        <v>34</v>
      </c>
      <c r="V4" s="803"/>
      <c r="W4" s="199"/>
      <c r="X4" s="787"/>
    </row>
    <row r="5" spans="1:24" s="980" customFormat="1" ht="20.55" customHeight="1" x14ac:dyDescent="0.4">
      <c r="A5" s="788">
        <v>4</v>
      </c>
      <c r="B5" s="199" t="s">
        <v>2399</v>
      </c>
      <c r="C5" s="649" t="s">
        <v>24</v>
      </c>
      <c r="D5" s="68">
        <v>2000</v>
      </c>
      <c r="E5" s="199" t="s">
        <v>2400</v>
      </c>
      <c r="F5" s="199" t="s">
        <v>2401</v>
      </c>
      <c r="G5" s="199">
        <v>1000</v>
      </c>
      <c r="H5" s="199" t="s">
        <v>27</v>
      </c>
      <c r="I5" s="199" t="s">
        <v>28</v>
      </c>
      <c r="J5" s="649" t="s">
        <v>29</v>
      </c>
      <c r="K5" s="648" t="s">
        <v>30</v>
      </c>
      <c r="L5" s="222">
        <v>0.4</v>
      </c>
      <c r="M5" s="829" t="s">
        <v>53</v>
      </c>
      <c r="N5" s="827" t="s">
        <v>54</v>
      </c>
      <c r="O5" s="827"/>
      <c r="P5" s="222">
        <v>0.23519973117992984</v>
      </c>
      <c r="Q5" s="985">
        <v>0.05</v>
      </c>
      <c r="R5" s="222"/>
      <c r="S5" s="874">
        <f t="shared" si="0"/>
        <v>0</v>
      </c>
      <c r="T5" s="648">
        <f t="shared" si="1"/>
        <v>0</v>
      </c>
      <c r="U5" s="803" t="s">
        <v>34</v>
      </c>
      <c r="V5" s="803"/>
      <c r="W5" s="199"/>
      <c r="X5" s="787"/>
    </row>
    <row r="6" spans="1:24" s="980" customFormat="1" ht="20.55" customHeight="1" x14ac:dyDescent="0.4">
      <c r="A6" s="788">
        <v>5</v>
      </c>
      <c r="B6" s="199" t="s">
        <v>2399</v>
      </c>
      <c r="C6" s="649" t="s">
        <v>24</v>
      </c>
      <c r="D6" s="68">
        <v>2000</v>
      </c>
      <c r="E6" s="199" t="s">
        <v>2400</v>
      </c>
      <c r="F6" s="199" t="s">
        <v>2401</v>
      </c>
      <c r="G6" s="199">
        <v>1000</v>
      </c>
      <c r="H6" s="199" t="s">
        <v>27</v>
      </c>
      <c r="I6" s="199" t="s">
        <v>28</v>
      </c>
      <c r="J6" s="649" t="s">
        <v>29</v>
      </c>
      <c r="K6" s="648" t="s">
        <v>30</v>
      </c>
      <c r="L6" s="222">
        <v>0.4</v>
      </c>
      <c r="M6" s="829" t="s">
        <v>55</v>
      </c>
      <c r="N6" s="827" t="s">
        <v>56</v>
      </c>
      <c r="O6" s="827"/>
      <c r="P6" s="222">
        <v>8.72564600206268E-2</v>
      </c>
      <c r="Q6" s="985">
        <v>0.05</v>
      </c>
      <c r="R6" s="222"/>
      <c r="S6" s="874">
        <f t="shared" si="0"/>
        <v>0</v>
      </c>
      <c r="T6" s="648">
        <f t="shared" si="1"/>
        <v>0</v>
      </c>
      <c r="U6" s="803" t="s">
        <v>34</v>
      </c>
      <c r="V6" s="803"/>
      <c r="W6" s="199"/>
      <c r="X6" s="787"/>
    </row>
    <row r="7" spans="1:24" s="980" customFormat="1" ht="20.55" customHeight="1" x14ac:dyDescent="0.4">
      <c r="A7" s="788">
        <v>6</v>
      </c>
      <c r="B7" s="199" t="s">
        <v>2399</v>
      </c>
      <c r="C7" s="649" t="s">
        <v>24</v>
      </c>
      <c r="D7" s="68">
        <v>2000</v>
      </c>
      <c r="E7" s="199" t="s">
        <v>2400</v>
      </c>
      <c r="F7" s="199" t="s">
        <v>2401</v>
      </c>
      <c r="G7" s="199">
        <v>1000</v>
      </c>
      <c r="H7" s="199" t="s">
        <v>27</v>
      </c>
      <c r="I7" s="199" t="s">
        <v>28</v>
      </c>
      <c r="J7" s="79" t="s">
        <v>2035</v>
      </c>
      <c r="K7" s="79" t="s">
        <v>58</v>
      </c>
      <c r="L7" s="815">
        <v>0.2</v>
      </c>
      <c r="M7" s="821" t="s">
        <v>59</v>
      </c>
      <c r="N7" s="757" t="s">
        <v>60</v>
      </c>
      <c r="O7" s="757" t="s">
        <v>61</v>
      </c>
      <c r="P7" s="647">
        <v>0.9</v>
      </c>
      <c r="Q7" s="986">
        <v>0.1</v>
      </c>
      <c r="R7" s="647"/>
      <c r="S7" s="647">
        <f t="shared" si="0"/>
        <v>0</v>
      </c>
      <c r="T7" s="79">
        <f t="shared" si="1"/>
        <v>0</v>
      </c>
      <c r="U7" s="815" t="s">
        <v>34</v>
      </c>
      <c r="V7" s="815"/>
      <c r="W7" s="199"/>
      <c r="X7" s="787"/>
    </row>
    <row r="8" spans="1:24" s="980" customFormat="1" ht="20.55" customHeight="1" x14ac:dyDescent="0.4">
      <c r="A8" s="788">
        <v>7</v>
      </c>
      <c r="B8" s="199" t="s">
        <v>2399</v>
      </c>
      <c r="C8" s="649" t="s">
        <v>24</v>
      </c>
      <c r="D8" s="68">
        <v>2000</v>
      </c>
      <c r="E8" s="199" t="s">
        <v>2400</v>
      </c>
      <c r="F8" s="199" t="s">
        <v>2401</v>
      </c>
      <c r="G8" s="199">
        <v>1000</v>
      </c>
      <c r="H8" s="199" t="s">
        <v>27</v>
      </c>
      <c r="I8" s="199" t="s">
        <v>28</v>
      </c>
      <c r="J8" s="79" t="s">
        <v>2035</v>
      </c>
      <c r="K8" s="79" t="s">
        <v>58</v>
      </c>
      <c r="L8" s="815">
        <v>0.2</v>
      </c>
      <c r="M8" s="756" t="s">
        <v>62</v>
      </c>
      <c r="N8" s="818" t="s">
        <v>63</v>
      </c>
      <c r="O8" s="819" t="s">
        <v>64</v>
      </c>
      <c r="P8" s="647">
        <v>0.9</v>
      </c>
      <c r="Q8" s="986">
        <v>0.06</v>
      </c>
      <c r="R8" s="647"/>
      <c r="S8" s="647">
        <f t="shared" si="0"/>
        <v>0</v>
      </c>
      <c r="T8" s="79">
        <f t="shared" si="1"/>
        <v>0</v>
      </c>
      <c r="U8" s="815" t="s">
        <v>34</v>
      </c>
      <c r="V8" s="815"/>
      <c r="W8" s="199"/>
      <c r="X8" s="787"/>
    </row>
    <row r="9" spans="1:24" s="980" customFormat="1" ht="20.55" customHeight="1" x14ac:dyDescent="0.4">
      <c r="A9" s="788">
        <v>8</v>
      </c>
      <c r="B9" s="199" t="s">
        <v>2399</v>
      </c>
      <c r="C9" s="649" t="s">
        <v>24</v>
      </c>
      <c r="D9" s="68">
        <v>2000</v>
      </c>
      <c r="E9" s="199" t="s">
        <v>2400</v>
      </c>
      <c r="F9" s="199" t="s">
        <v>2401</v>
      </c>
      <c r="G9" s="199">
        <v>1000</v>
      </c>
      <c r="H9" s="199" t="s">
        <v>27</v>
      </c>
      <c r="I9" s="199" t="s">
        <v>28</v>
      </c>
      <c r="J9" s="79" t="s">
        <v>2035</v>
      </c>
      <c r="K9" s="79" t="s">
        <v>58</v>
      </c>
      <c r="L9" s="815">
        <v>0.2</v>
      </c>
      <c r="M9" s="756" t="s">
        <v>65</v>
      </c>
      <c r="N9" s="819" t="s">
        <v>66</v>
      </c>
      <c r="O9" s="819" t="s">
        <v>67</v>
      </c>
      <c r="P9" s="647">
        <v>0.8</v>
      </c>
      <c r="Q9" s="986">
        <v>0.06</v>
      </c>
      <c r="R9" s="647"/>
      <c r="S9" s="647">
        <f t="shared" si="0"/>
        <v>0</v>
      </c>
      <c r="T9" s="79">
        <f t="shared" si="1"/>
        <v>0</v>
      </c>
      <c r="U9" s="815" t="s">
        <v>34</v>
      </c>
      <c r="V9" s="815"/>
      <c r="W9" s="199"/>
      <c r="X9" s="787"/>
    </row>
    <row r="10" spans="1:24" s="980" customFormat="1" ht="20.55" customHeight="1" x14ac:dyDescent="0.4">
      <c r="A10" s="788">
        <v>9</v>
      </c>
      <c r="B10" s="199" t="s">
        <v>2399</v>
      </c>
      <c r="C10" s="649" t="s">
        <v>24</v>
      </c>
      <c r="D10" s="68">
        <v>2000</v>
      </c>
      <c r="E10" s="199" t="s">
        <v>2400</v>
      </c>
      <c r="F10" s="199" t="s">
        <v>2401</v>
      </c>
      <c r="G10" s="199">
        <v>1000</v>
      </c>
      <c r="H10" s="199" t="s">
        <v>27</v>
      </c>
      <c r="I10" s="199" t="s">
        <v>28</v>
      </c>
      <c r="J10" s="79" t="s">
        <v>2035</v>
      </c>
      <c r="K10" s="79" t="s">
        <v>58</v>
      </c>
      <c r="L10" s="815">
        <v>0.2</v>
      </c>
      <c r="M10" s="821" t="s">
        <v>68</v>
      </c>
      <c r="N10" s="819" t="s">
        <v>69</v>
      </c>
      <c r="O10" s="819" t="s">
        <v>70</v>
      </c>
      <c r="P10" s="647">
        <v>0.95</v>
      </c>
      <c r="Q10" s="986">
        <v>0.1</v>
      </c>
      <c r="R10" s="647"/>
      <c r="S10" s="647">
        <f t="shared" si="0"/>
        <v>0</v>
      </c>
      <c r="T10" s="79">
        <f t="shared" si="1"/>
        <v>0</v>
      </c>
      <c r="U10" s="815" t="s">
        <v>34</v>
      </c>
      <c r="V10" s="815"/>
      <c r="W10" s="199"/>
      <c r="X10" s="787"/>
    </row>
    <row r="11" spans="1:24" s="980" customFormat="1" ht="20.55" customHeight="1" x14ac:dyDescent="0.4">
      <c r="A11" s="788">
        <v>10</v>
      </c>
      <c r="B11" s="199" t="s">
        <v>2399</v>
      </c>
      <c r="C11" s="649" t="s">
        <v>24</v>
      </c>
      <c r="D11" s="68">
        <v>2000</v>
      </c>
      <c r="E11" s="199" t="s">
        <v>2400</v>
      </c>
      <c r="F11" s="199" t="s">
        <v>2401</v>
      </c>
      <c r="G11" s="199">
        <v>1000</v>
      </c>
      <c r="H11" s="199" t="s">
        <v>27</v>
      </c>
      <c r="I11" s="199" t="s">
        <v>28</v>
      </c>
      <c r="J11" s="79" t="s">
        <v>2035</v>
      </c>
      <c r="K11" s="79" t="s">
        <v>58</v>
      </c>
      <c r="L11" s="815">
        <v>0.2</v>
      </c>
      <c r="M11" s="821" t="s">
        <v>71</v>
      </c>
      <c r="N11" s="818" t="s">
        <v>72</v>
      </c>
      <c r="O11" s="822" t="s">
        <v>73</v>
      </c>
      <c r="P11" s="647">
        <v>0.95</v>
      </c>
      <c r="Q11" s="986">
        <v>0.1</v>
      </c>
      <c r="R11" s="647"/>
      <c r="S11" s="647">
        <f t="shared" si="0"/>
        <v>0</v>
      </c>
      <c r="T11" s="79">
        <f t="shared" si="1"/>
        <v>0</v>
      </c>
      <c r="U11" s="815" t="s">
        <v>34</v>
      </c>
      <c r="V11" s="815"/>
      <c r="W11" s="199"/>
      <c r="X11" s="787"/>
    </row>
    <row r="12" spans="1:24" s="980" customFormat="1" ht="20.55" customHeight="1" x14ac:dyDescent="0.4">
      <c r="A12" s="788">
        <v>11</v>
      </c>
      <c r="B12" s="199" t="s">
        <v>2399</v>
      </c>
      <c r="C12" s="649" t="s">
        <v>24</v>
      </c>
      <c r="D12" s="68">
        <v>2000</v>
      </c>
      <c r="E12" s="199" t="s">
        <v>2400</v>
      </c>
      <c r="F12" s="199" t="s">
        <v>2401</v>
      </c>
      <c r="G12" s="199">
        <v>1000</v>
      </c>
      <c r="H12" s="199" t="s">
        <v>27</v>
      </c>
      <c r="I12" s="199" t="s">
        <v>28</v>
      </c>
      <c r="J12" s="79" t="s">
        <v>2035</v>
      </c>
      <c r="K12" s="79" t="s">
        <v>58</v>
      </c>
      <c r="L12" s="815">
        <v>0.2</v>
      </c>
      <c r="M12" s="756" t="s">
        <v>74</v>
      </c>
      <c r="N12" s="819" t="s">
        <v>75</v>
      </c>
      <c r="O12" s="819" t="s">
        <v>76</v>
      </c>
      <c r="P12" s="764">
        <v>90</v>
      </c>
      <c r="Q12" s="986">
        <v>0.05</v>
      </c>
      <c r="R12" s="764"/>
      <c r="S12" s="647">
        <f t="shared" si="0"/>
        <v>0</v>
      </c>
      <c r="T12" s="79">
        <f t="shared" si="1"/>
        <v>0</v>
      </c>
      <c r="U12" s="815" t="s">
        <v>34</v>
      </c>
      <c r="V12" s="815"/>
      <c r="W12" s="199"/>
      <c r="X12" s="787"/>
    </row>
    <row r="13" spans="1:24" s="980" customFormat="1" ht="20.55" customHeight="1" x14ac:dyDescent="0.4">
      <c r="A13" s="788">
        <v>12</v>
      </c>
      <c r="B13" s="199" t="s">
        <v>2399</v>
      </c>
      <c r="C13" s="649" t="s">
        <v>24</v>
      </c>
      <c r="D13" s="68">
        <v>2000</v>
      </c>
      <c r="E13" s="199" t="s">
        <v>2400</v>
      </c>
      <c r="F13" s="199" t="s">
        <v>2401</v>
      </c>
      <c r="G13" s="199">
        <v>1000</v>
      </c>
      <c r="H13" s="199" t="s">
        <v>27</v>
      </c>
      <c r="I13" s="199" t="s">
        <v>28</v>
      </c>
      <c r="J13" s="79" t="s">
        <v>2035</v>
      </c>
      <c r="K13" s="79" t="s">
        <v>58</v>
      </c>
      <c r="L13" s="815">
        <v>0.2</v>
      </c>
      <c r="M13" s="821" t="s">
        <v>77</v>
      </c>
      <c r="N13" s="818" t="s">
        <v>78</v>
      </c>
      <c r="O13" s="819" t="s">
        <v>79</v>
      </c>
      <c r="P13" s="647">
        <v>0.99</v>
      </c>
      <c r="Q13" s="986">
        <v>0.1</v>
      </c>
      <c r="R13" s="647"/>
      <c r="S13" s="647">
        <f t="shared" si="0"/>
        <v>0</v>
      </c>
      <c r="T13" s="79">
        <f t="shared" si="1"/>
        <v>0</v>
      </c>
      <c r="U13" s="815" t="s">
        <v>34</v>
      </c>
      <c r="V13" s="815"/>
      <c r="W13" s="199"/>
      <c r="X13" s="787"/>
    </row>
    <row r="14" spans="1:24" s="980" customFormat="1" ht="20.55" customHeight="1" x14ac:dyDescent="0.4">
      <c r="A14" s="788">
        <v>13</v>
      </c>
      <c r="B14" s="199" t="s">
        <v>2399</v>
      </c>
      <c r="C14" s="649" t="s">
        <v>24</v>
      </c>
      <c r="D14" s="68">
        <v>2000</v>
      </c>
      <c r="E14" s="199" t="s">
        <v>2400</v>
      </c>
      <c r="F14" s="199" t="s">
        <v>2401</v>
      </c>
      <c r="G14" s="199">
        <v>1000</v>
      </c>
      <c r="H14" s="199" t="s">
        <v>27</v>
      </c>
      <c r="I14" s="199" t="s">
        <v>28</v>
      </c>
      <c r="J14" s="79" t="s">
        <v>2035</v>
      </c>
      <c r="K14" s="79" t="s">
        <v>58</v>
      </c>
      <c r="L14" s="815">
        <v>0.2</v>
      </c>
      <c r="M14" s="821" t="s">
        <v>80</v>
      </c>
      <c r="N14" s="819" t="s">
        <v>81</v>
      </c>
      <c r="O14" s="819" t="s">
        <v>82</v>
      </c>
      <c r="P14" s="647">
        <v>0</v>
      </c>
      <c r="Q14" s="986">
        <v>0.05</v>
      </c>
      <c r="R14" s="647"/>
      <c r="S14" s="647">
        <f t="shared" si="0"/>
        <v>0</v>
      </c>
      <c r="T14" s="79">
        <f t="shared" si="1"/>
        <v>0</v>
      </c>
      <c r="U14" s="815" t="s">
        <v>83</v>
      </c>
      <c r="V14" s="815"/>
      <c r="W14" s="199"/>
      <c r="X14" s="787"/>
    </row>
    <row r="15" spans="1:24" s="980" customFormat="1" ht="20.55" customHeight="1" x14ac:dyDescent="0.4">
      <c r="A15" s="788">
        <v>14</v>
      </c>
      <c r="B15" s="199" t="s">
        <v>2399</v>
      </c>
      <c r="C15" s="649" t="s">
        <v>24</v>
      </c>
      <c r="D15" s="68">
        <v>2000</v>
      </c>
      <c r="E15" s="199" t="s">
        <v>2400</v>
      </c>
      <c r="F15" s="199" t="s">
        <v>2401</v>
      </c>
      <c r="G15" s="199">
        <v>1000</v>
      </c>
      <c r="H15" s="199" t="s">
        <v>27</v>
      </c>
      <c r="I15" s="199" t="s">
        <v>28</v>
      </c>
      <c r="J15" s="79" t="s">
        <v>2035</v>
      </c>
      <c r="K15" s="79" t="s">
        <v>58</v>
      </c>
      <c r="L15" s="815">
        <v>0.2</v>
      </c>
      <c r="M15" s="821" t="s">
        <v>84</v>
      </c>
      <c r="N15" s="819" t="s">
        <v>85</v>
      </c>
      <c r="O15" s="819" t="s">
        <v>86</v>
      </c>
      <c r="P15" s="647">
        <v>0.03</v>
      </c>
      <c r="Q15" s="986">
        <v>0.03</v>
      </c>
      <c r="R15" s="647"/>
      <c r="S15" s="647">
        <f t="shared" si="0"/>
        <v>0</v>
      </c>
      <c r="T15" s="79">
        <f t="shared" si="1"/>
        <v>0</v>
      </c>
      <c r="U15" s="815" t="s">
        <v>83</v>
      </c>
      <c r="V15" s="815"/>
      <c r="W15" s="199"/>
      <c r="X15" s="787"/>
    </row>
    <row r="16" spans="1:24" s="980" customFormat="1" ht="20.55" customHeight="1" x14ac:dyDescent="0.4">
      <c r="A16" s="788">
        <v>15</v>
      </c>
      <c r="B16" s="199" t="s">
        <v>2399</v>
      </c>
      <c r="C16" s="649" t="s">
        <v>24</v>
      </c>
      <c r="D16" s="68">
        <v>2000</v>
      </c>
      <c r="E16" s="199" t="s">
        <v>2400</v>
      </c>
      <c r="F16" s="199" t="s">
        <v>2401</v>
      </c>
      <c r="G16" s="199">
        <v>1000</v>
      </c>
      <c r="H16" s="199" t="s">
        <v>27</v>
      </c>
      <c r="I16" s="199" t="s">
        <v>28</v>
      </c>
      <c r="J16" s="79" t="s">
        <v>2035</v>
      </c>
      <c r="K16" s="79" t="s">
        <v>58</v>
      </c>
      <c r="L16" s="815">
        <v>0.2</v>
      </c>
      <c r="M16" s="821" t="s">
        <v>87</v>
      </c>
      <c r="N16" s="819" t="s">
        <v>88</v>
      </c>
      <c r="O16" s="819" t="s">
        <v>89</v>
      </c>
      <c r="P16" s="647">
        <v>0.95</v>
      </c>
      <c r="Q16" s="986">
        <v>0.05</v>
      </c>
      <c r="R16" s="647"/>
      <c r="S16" s="647">
        <f t="shared" si="0"/>
        <v>0</v>
      </c>
      <c r="T16" s="79">
        <f t="shared" si="1"/>
        <v>0</v>
      </c>
      <c r="U16" s="815" t="s">
        <v>34</v>
      </c>
      <c r="V16" s="815"/>
      <c r="W16" s="199"/>
      <c r="X16" s="787"/>
    </row>
    <row r="17" spans="1:24" s="980" customFormat="1" ht="20.55" customHeight="1" x14ac:dyDescent="0.4">
      <c r="A17" s="788">
        <v>16</v>
      </c>
      <c r="B17" s="199" t="s">
        <v>2399</v>
      </c>
      <c r="C17" s="649" t="s">
        <v>24</v>
      </c>
      <c r="D17" s="68">
        <v>2000</v>
      </c>
      <c r="E17" s="199" t="s">
        <v>2400</v>
      </c>
      <c r="F17" s="199" t="s">
        <v>2401</v>
      </c>
      <c r="G17" s="199">
        <v>1000</v>
      </c>
      <c r="H17" s="199" t="s">
        <v>27</v>
      </c>
      <c r="I17" s="199" t="s">
        <v>28</v>
      </c>
      <c r="J17" s="79" t="s">
        <v>2035</v>
      </c>
      <c r="K17" s="79" t="s">
        <v>58</v>
      </c>
      <c r="L17" s="815">
        <v>0.2</v>
      </c>
      <c r="M17" s="756" t="s">
        <v>90</v>
      </c>
      <c r="N17" s="819" t="s">
        <v>91</v>
      </c>
      <c r="O17" s="819" t="s">
        <v>92</v>
      </c>
      <c r="P17" s="764">
        <v>2</v>
      </c>
      <c r="Q17" s="986">
        <v>0.02</v>
      </c>
      <c r="R17" s="764"/>
      <c r="S17" s="647">
        <f t="shared" si="0"/>
        <v>0</v>
      </c>
      <c r="T17" s="79">
        <f t="shared" si="1"/>
        <v>0</v>
      </c>
      <c r="U17" s="815" t="s">
        <v>34</v>
      </c>
      <c r="V17" s="815"/>
      <c r="W17" s="199"/>
      <c r="X17" s="787"/>
    </row>
    <row r="18" spans="1:24" s="980" customFormat="1" ht="20.55" customHeight="1" x14ac:dyDescent="0.4">
      <c r="A18" s="788">
        <v>17</v>
      </c>
      <c r="B18" s="199" t="s">
        <v>2399</v>
      </c>
      <c r="C18" s="649" t="s">
        <v>24</v>
      </c>
      <c r="D18" s="68">
        <v>2000</v>
      </c>
      <c r="E18" s="199" t="s">
        <v>2400</v>
      </c>
      <c r="F18" s="199" t="s">
        <v>2401</v>
      </c>
      <c r="G18" s="199">
        <v>1000</v>
      </c>
      <c r="H18" s="199" t="s">
        <v>27</v>
      </c>
      <c r="I18" s="199" t="s">
        <v>28</v>
      </c>
      <c r="J18" s="79" t="s">
        <v>2035</v>
      </c>
      <c r="K18" s="79" t="s">
        <v>58</v>
      </c>
      <c r="L18" s="815">
        <v>0.2</v>
      </c>
      <c r="M18" s="756" t="s">
        <v>93</v>
      </c>
      <c r="N18" s="819" t="s">
        <v>94</v>
      </c>
      <c r="O18" s="819" t="s">
        <v>95</v>
      </c>
      <c r="P18" s="647">
        <v>0.75</v>
      </c>
      <c r="Q18" s="986">
        <v>0.03</v>
      </c>
      <c r="R18" s="647"/>
      <c r="S18" s="647">
        <f t="shared" si="0"/>
        <v>0</v>
      </c>
      <c r="T18" s="79">
        <f t="shared" si="1"/>
        <v>0</v>
      </c>
      <c r="U18" s="815" t="s">
        <v>34</v>
      </c>
      <c r="V18" s="815"/>
      <c r="W18" s="199"/>
      <c r="X18" s="787"/>
    </row>
    <row r="19" spans="1:24" s="980" customFormat="1" ht="20.55" customHeight="1" x14ac:dyDescent="0.4">
      <c r="A19" s="788">
        <v>18</v>
      </c>
      <c r="B19" s="199" t="s">
        <v>2399</v>
      </c>
      <c r="C19" s="649" t="s">
        <v>24</v>
      </c>
      <c r="D19" s="68">
        <v>2000</v>
      </c>
      <c r="E19" s="199" t="s">
        <v>2400</v>
      </c>
      <c r="F19" s="199" t="s">
        <v>2401</v>
      </c>
      <c r="G19" s="199">
        <v>1000</v>
      </c>
      <c r="H19" s="199" t="s">
        <v>27</v>
      </c>
      <c r="I19" s="199" t="s">
        <v>28</v>
      </c>
      <c r="J19" s="79" t="s">
        <v>2035</v>
      </c>
      <c r="K19" s="79" t="s">
        <v>58</v>
      </c>
      <c r="L19" s="815">
        <v>0.2</v>
      </c>
      <c r="M19" s="821" t="s">
        <v>96</v>
      </c>
      <c r="N19" s="819" t="s">
        <v>97</v>
      </c>
      <c r="O19" s="819" t="s">
        <v>98</v>
      </c>
      <c r="P19" s="764">
        <v>1</v>
      </c>
      <c r="Q19" s="986">
        <v>0.05</v>
      </c>
      <c r="R19" s="764"/>
      <c r="S19" s="647">
        <f t="shared" si="0"/>
        <v>0</v>
      </c>
      <c r="T19" s="79">
        <f t="shared" si="1"/>
        <v>0</v>
      </c>
      <c r="U19" s="815" t="s">
        <v>83</v>
      </c>
      <c r="V19" s="815"/>
      <c r="W19" s="199"/>
      <c r="X19" s="787"/>
    </row>
    <row r="20" spans="1:24" s="980" customFormat="1" ht="20.55" customHeight="1" x14ac:dyDescent="0.4">
      <c r="A20" s="788">
        <v>19</v>
      </c>
      <c r="B20" s="199" t="s">
        <v>2399</v>
      </c>
      <c r="C20" s="649" t="s">
        <v>24</v>
      </c>
      <c r="D20" s="68">
        <v>2000</v>
      </c>
      <c r="E20" s="199" t="s">
        <v>2400</v>
      </c>
      <c r="F20" s="199" t="s">
        <v>2401</v>
      </c>
      <c r="G20" s="199">
        <v>1000</v>
      </c>
      <c r="H20" s="199" t="s">
        <v>27</v>
      </c>
      <c r="I20" s="199" t="s">
        <v>28</v>
      </c>
      <c r="J20" s="79" t="s">
        <v>2035</v>
      </c>
      <c r="K20" s="79" t="s">
        <v>58</v>
      </c>
      <c r="L20" s="815">
        <v>0.2</v>
      </c>
      <c r="M20" s="756" t="s">
        <v>99</v>
      </c>
      <c r="N20" s="819" t="s">
        <v>100</v>
      </c>
      <c r="O20" s="819" t="s">
        <v>101</v>
      </c>
      <c r="P20" s="647">
        <v>0.95</v>
      </c>
      <c r="Q20" s="986">
        <v>0.05</v>
      </c>
      <c r="R20" s="647"/>
      <c r="S20" s="647">
        <f t="shared" si="0"/>
        <v>0</v>
      </c>
      <c r="T20" s="79">
        <f t="shared" si="1"/>
        <v>0</v>
      </c>
      <c r="U20" s="815" t="s">
        <v>34</v>
      </c>
      <c r="V20" s="815"/>
      <c r="W20" s="199"/>
      <c r="X20" s="787"/>
    </row>
    <row r="21" spans="1:24" s="980" customFormat="1" ht="20.55" customHeight="1" x14ac:dyDescent="0.4">
      <c r="A21" s="788">
        <v>20</v>
      </c>
      <c r="B21" s="199" t="s">
        <v>2399</v>
      </c>
      <c r="C21" s="649" t="s">
        <v>24</v>
      </c>
      <c r="D21" s="68">
        <v>2000</v>
      </c>
      <c r="E21" s="199" t="s">
        <v>2400</v>
      </c>
      <c r="F21" s="199" t="s">
        <v>2401</v>
      </c>
      <c r="G21" s="199">
        <v>1000</v>
      </c>
      <c r="H21" s="199" t="s">
        <v>27</v>
      </c>
      <c r="I21" s="199" t="s">
        <v>28</v>
      </c>
      <c r="J21" s="79" t="s">
        <v>2035</v>
      </c>
      <c r="K21" s="79" t="s">
        <v>58</v>
      </c>
      <c r="L21" s="815">
        <v>0.2</v>
      </c>
      <c r="M21" s="756" t="s">
        <v>102</v>
      </c>
      <c r="N21" s="819" t="s">
        <v>103</v>
      </c>
      <c r="O21" s="819" t="s">
        <v>104</v>
      </c>
      <c r="P21" s="764">
        <v>1</v>
      </c>
      <c r="Q21" s="986">
        <v>0.05</v>
      </c>
      <c r="R21" s="764"/>
      <c r="S21" s="647">
        <f t="shared" si="0"/>
        <v>0</v>
      </c>
      <c r="T21" s="79">
        <f t="shared" si="1"/>
        <v>0</v>
      </c>
      <c r="U21" s="815" t="s">
        <v>34</v>
      </c>
      <c r="V21" s="815"/>
      <c r="W21" s="199"/>
      <c r="X21" s="787"/>
    </row>
    <row r="22" spans="1:24" s="980" customFormat="1" ht="20.55" customHeight="1" x14ac:dyDescent="0.4">
      <c r="A22" s="788">
        <v>21</v>
      </c>
      <c r="B22" s="199" t="s">
        <v>2399</v>
      </c>
      <c r="C22" s="649" t="s">
        <v>24</v>
      </c>
      <c r="D22" s="68">
        <v>2000</v>
      </c>
      <c r="E22" s="199" t="s">
        <v>2400</v>
      </c>
      <c r="F22" s="199" t="s">
        <v>2401</v>
      </c>
      <c r="G22" s="199">
        <v>1000</v>
      </c>
      <c r="H22" s="199" t="s">
        <v>27</v>
      </c>
      <c r="I22" s="199" t="s">
        <v>28</v>
      </c>
      <c r="J22" s="79" t="s">
        <v>2035</v>
      </c>
      <c r="K22" s="79" t="s">
        <v>58</v>
      </c>
      <c r="L22" s="815">
        <v>0.2</v>
      </c>
      <c r="M22" s="756" t="s">
        <v>105</v>
      </c>
      <c r="N22" s="819" t="s">
        <v>106</v>
      </c>
      <c r="O22" s="819" t="s">
        <v>107</v>
      </c>
      <c r="P22" s="764">
        <v>1</v>
      </c>
      <c r="Q22" s="986">
        <v>0.05</v>
      </c>
      <c r="R22" s="764"/>
      <c r="S22" s="647">
        <f t="shared" si="0"/>
        <v>0</v>
      </c>
      <c r="T22" s="79">
        <f t="shared" si="1"/>
        <v>0</v>
      </c>
      <c r="U22" s="815" t="s">
        <v>34</v>
      </c>
      <c r="V22" s="815"/>
      <c r="W22" s="199"/>
      <c r="X22" s="787"/>
    </row>
    <row r="23" spans="1:24" s="980" customFormat="1" ht="20.55" customHeight="1" x14ac:dyDescent="0.4">
      <c r="A23" s="788">
        <v>22</v>
      </c>
      <c r="B23" s="199" t="s">
        <v>2399</v>
      </c>
      <c r="C23" s="649" t="s">
        <v>24</v>
      </c>
      <c r="D23" s="68">
        <v>2000</v>
      </c>
      <c r="E23" s="199" t="s">
        <v>2400</v>
      </c>
      <c r="F23" s="199" t="s">
        <v>2401</v>
      </c>
      <c r="G23" s="199">
        <v>1000</v>
      </c>
      <c r="H23" s="199" t="s">
        <v>27</v>
      </c>
      <c r="I23" s="199" t="s">
        <v>28</v>
      </c>
      <c r="J23" s="79" t="s">
        <v>2035</v>
      </c>
      <c r="K23" s="79" t="s">
        <v>58</v>
      </c>
      <c r="L23" s="815">
        <v>0.2</v>
      </c>
      <c r="M23" s="756" t="s">
        <v>108</v>
      </c>
      <c r="N23" s="819" t="s">
        <v>109</v>
      </c>
      <c r="O23" s="819"/>
      <c r="P23" s="647">
        <v>0.85</v>
      </c>
      <c r="Q23" s="363">
        <v>0.05</v>
      </c>
      <c r="R23" s="647"/>
      <c r="S23" s="647">
        <f t="shared" si="0"/>
        <v>0</v>
      </c>
      <c r="T23" s="79">
        <f t="shared" si="1"/>
        <v>0</v>
      </c>
      <c r="U23" s="815" t="s">
        <v>34</v>
      </c>
      <c r="V23" s="815"/>
      <c r="W23" s="199"/>
      <c r="X23" s="787"/>
    </row>
    <row r="24" spans="1:24" s="980" customFormat="1" ht="20.55" customHeight="1" x14ac:dyDescent="0.4">
      <c r="A24" s="788">
        <v>23</v>
      </c>
      <c r="B24" s="199" t="s">
        <v>2399</v>
      </c>
      <c r="C24" s="649" t="s">
        <v>24</v>
      </c>
      <c r="D24" s="68">
        <v>2000</v>
      </c>
      <c r="E24" s="199" t="s">
        <v>2400</v>
      </c>
      <c r="F24" s="199" t="s">
        <v>2401</v>
      </c>
      <c r="G24" s="199">
        <v>1000</v>
      </c>
      <c r="H24" s="199" t="s">
        <v>27</v>
      </c>
      <c r="I24" s="199" t="s">
        <v>28</v>
      </c>
      <c r="J24" s="649" t="s">
        <v>110</v>
      </c>
      <c r="K24" s="649" t="s">
        <v>111</v>
      </c>
      <c r="L24" s="803">
        <v>0.4</v>
      </c>
      <c r="M24" s="829" t="s">
        <v>2405</v>
      </c>
      <c r="N24" s="827" t="s">
        <v>2406</v>
      </c>
      <c r="O24" s="827"/>
      <c r="P24" s="222">
        <v>1</v>
      </c>
      <c r="Q24" s="985">
        <v>0.1</v>
      </c>
      <c r="R24" s="222"/>
      <c r="S24" s="874">
        <f t="shared" si="0"/>
        <v>0</v>
      </c>
      <c r="T24" s="648">
        <f t="shared" si="1"/>
        <v>0</v>
      </c>
      <c r="U24" s="803" t="s">
        <v>34</v>
      </c>
      <c r="V24" s="803"/>
      <c r="W24" s="199"/>
      <c r="X24" s="787"/>
    </row>
    <row r="25" spans="1:24" s="980" customFormat="1" ht="20.55" customHeight="1" x14ac:dyDescent="0.4">
      <c r="A25" s="788">
        <v>24</v>
      </c>
      <c r="B25" s="199" t="s">
        <v>2399</v>
      </c>
      <c r="C25" s="649" t="s">
        <v>24</v>
      </c>
      <c r="D25" s="68">
        <v>2000</v>
      </c>
      <c r="E25" s="199" t="s">
        <v>2400</v>
      </c>
      <c r="F25" s="199" t="s">
        <v>2401</v>
      </c>
      <c r="G25" s="199">
        <v>1000</v>
      </c>
      <c r="H25" s="199" t="s">
        <v>27</v>
      </c>
      <c r="I25" s="199" t="s">
        <v>28</v>
      </c>
      <c r="J25" s="649" t="s">
        <v>110</v>
      </c>
      <c r="K25" s="649" t="s">
        <v>111</v>
      </c>
      <c r="L25" s="803">
        <v>0.4</v>
      </c>
      <c r="M25" s="829" t="s">
        <v>124</v>
      </c>
      <c r="N25" s="827" t="s">
        <v>125</v>
      </c>
      <c r="O25" s="827"/>
      <c r="P25" s="222">
        <v>1</v>
      </c>
      <c r="Q25" s="985">
        <v>0.1</v>
      </c>
      <c r="R25" s="222"/>
      <c r="S25" s="874">
        <f t="shared" si="0"/>
        <v>0</v>
      </c>
      <c r="T25" s="648">
        <f t="shared" si="1"/>
        <v>0</v>
      </c>
      <c r="U25" s="803" t="s">
        <v>34</v>
      </c>
      <c r="V25" s="803"/>
      <c r="W25" s="199"/>
      <c r="X25" s="787"/>
    </row>
    <row r="26" spans="1:24" s="980" customFormat="1" ht="20.55" customHeight="1" x14ac:dyDescent="0.4">
      <c r="A26" s="788">
        <v>25</v>
      </c>
      <c r="B26" s="199" t="s">
        <v>2399</v>
      </c>
      <c r="C26" s="649" t="s">
        <v>24</v>
      </c>
      <c r="D26" s="68">
        <v>2000</v>
      </c>
      <c r="E26" s="199" t="s">
        <v>2400</v>
      </c>
      <c r="F26" s="199" t="s">
        <v>2401</v>
      </c>
      <c r="G26" s="199">
        <v>1000</v>
      </c>
      <c r="H26" s="199" t="s">
        <v>27</v>
      </c>
      <c r="I26" s="199" t="s">
        <v>28</v>
      </c>
      <c r="J26" s="649" t="s">
        <v>110</v>
      </c>
      <c r="K26" s="649" t="s">
        <v>111</v>
      </c>
      <c r="L26" s="803">
        <v>0.4</v>
      </c>
      <c r="M26" s="829" t="s">
        <v>2188</v>
      </c>
      <c r="N26" s="826" t="s">
        <v>2189</v>
      </c>
      <c r="O26" s="827"/>
      <c r="P26" s="222">
        <v>1</v>
      </c>
      <c r="Q26" s="985">
        <v>0.15</v>
      </c>
      <c r="R26" s="222"/>
      <c r="S26" s="874">
        <f t="shared" si="0"/>
        <v>0</v>
      </c>
      <c r="T26" s="648">
        <f t="shared" si="1"/>
        <v>0</v>
      </c>
      <c r="U26" s="803" t="s">
        <v>34</v>
      </c>
      <c r="V26" s="803"/>
      <c r="W26" s="199"/>
      <c r="X26" s="787"/>
    </row>
    <row r="27" spans="1:24" s="980" customFormat="1" ht="20.55" customHeight="1" x14ac:dyDescent="0.4">
      <c r="A27" s="788">
        <v>26</v>
      </c>
      <c r="B27" s="199" t="s">
        <v>2399</v>
      </c>
      <c r="C27" s="649" t="s">
        <v>24</v>
      </c>
      <c r="D27" s="68">
        <v>2000</v>
      </c>
      <c r="E27" s="199" t="s">
        <v>2400</v>
      </c>
      <c r="F27" s="199" t="s">
        <v>2401</v>
      </c>
      <c r="G27" s="199">
        <v>1000</v>
      </c>
      <c r="H27" s="199" t="s">
        <v>27</v>
      </c>
      <c r="I27" s="199" t="s">
        <v>28</v>
      </c>
      <c r="J27" s="649" t="s">
        <v>110</v>
      </c>
      <c r="K27" s="649" t="s">
        <v>111</v>
      </c>
      <c r="L27" s="803">
        <v>0.4</v>
      </c>
      <c r="M27" s="829" t="s">
        <v>2190</v>
      </c>
      <c r="N27" s="826" t="s">
        <v>2191</v>
      </c>
      <c r="O27" s="827"/>
      <c r="P27" s="222">
        <v>1</v>
      </c>
      <c r="Q27" s="985">
        <v>0.15</v>
      </c>
      <c r="R27" s="222"/>
      <c r="S27" s="874">
        <f t="shared" si="0"/>
        <v>0</v>
      </c>
      <c r="T27" s="648">
        <f t="shared" si="1"/>
        <v>0</v>
      </c>
      <c r="U27" s="803" t="s">
        <v>34</v>
      </c>
      <c r="V27" s="803"/>
      <c r="W27" s="199"/>
      <c r="X27" s="787"/>
    </row>
    <row r="28" spans="1:24" s="980" customFormat="1" ht="20.55" customHeight="1" x14ac:dyDescent="0.4">
      <c r="A28" s="788">
        <v>27</v>
      </c>
      <c r="B28" s="199" t="s">
        <v>2399</v>
      </c>
      <c r="C28" s="649" t="s">
        <v>24</v>
      </c>
      <c r="D28" s="68">
        <v>2000</v>
      </c>
      <c r="E28" s="199" t="s">
        <v>2400</v>
      </c>
      <c r="F28" s="199" t="s">
        <v>2401</v>
      </c>
      <c r="G28" s="199">
        <v>1000</v>
      </c>
      <c r="H28" s="199" t="s">
        <v>27</v>
      </c>
      <c r="I28" s="199" t="s">
        <v>28</v>
      </c>
      <c r="J28" s="649" t="s">
        <v>110</v>
      </c>
      <c r="K28" s="649" t="s">
        <v>111</v>
      </c>
      <c r="L28" s="803">
        <v>0.4</v>
      </c>
      <c r="M28" s="829" t="s">
        <v>126</v>
      </c>
      <c r="N28" s="827" t="s">
        <v>127</v>
      </c>
      <c r="O28" s="827"/>
      <c r="P28" s="222">
        <v>1</v>
      </c>
      <c r="Q28" s="985">
        <v>0.15</v>
      </c>
      <c r="R28" s="222"/>
      <c r="S28" s="874">
        <f t="shared" si="0"/>
        <v>0</v>
      </c>
      <c r="T28" s="648">
        <f t="shared" si="1"/>
        <v>0</v>
      </c>
      <c r="U28" s="803" t="s">
        <v>34</v>
      </c>
      <c r="V28" s="803"/>
      <c r="W28" s="199"/>
      <c r="X28" s="787"/>
    </row>
    <row r="29" spans="1:24" s="980" customFormat="1" ht="20.55" customHeight="1" x14ac:dyDescent="0.4">
      <c r="A29" s="788">
        <v>28</v>
      </c>
      <c r="B29" s="199" t="s">
        <v>2399</v>
      </c>
      <c r="C29" s="649" t="s">
        <v>24</v>
      </c>
      <c r="D29" s="68">
        <v>2000</v>
      </c>
      <c r="E29" s="199" t="s">
        <v>2400</v>
      </c>
      <c r="F29" s="199" t="s">
        <v>2401</v>
      </c>
      <c r="G29" s="199">
        <v>1000</v>
      </c>
      <c r="H29" s="199" t="s">
        <v>27</v>
      </c>
      <c r="I29" s="199" t="s">
        <v>28</v>
      </c>
      <c r="J29" s="649" t="s">
        <v>110</v>
      </c>
      <c r="K29" s="649" t="s">
        <v>111</v>
      </c>
      <c r="L29" s="803">
        <v>0.4</v>
      </c>
      <c r="M29" s="829" t="s">
        <v>128</v>
      </c>
      <c r="N29" s="827" t="s">
        <v>129</v>
      </c>
      <c r="O29" s="827" t="s">
        <v>130</v>
      </c>
      <c r="P29" s="765">
        <v>3</v>
      </c>
      <c r="Q29" s="985">
        <v>0.15</v>
      </c>
      <c r="R29" s="765"/>
      <c r="S29" s="874">
        <f t="shared" si="0"/>
        <v>0</v>
      </c>
      <c r="T29" s="648">
        <f t="shared" si="1"/>
        <v>0</v>
      </c>
      <c r="U29" s="803" t="s">
        <v>34</v>
      </c>
      <c r="V29" s="803"/>
      <c r="W29" s="199"/>
      <c r="X29" s="787"/>
    </row>
    <row r="30" spans="1:24" s="980" customFormat="1" ht="20.55" customHeight="1" x14ac:dyDescent="0.4">
      <c r="A30" s="788">
        <v>29</v>
      </c>
      <c r="B30" s="199" t="s">
        <v>2399</v>
      </c>
      <c r="C30" s="649" t="s">
        <v>24</v>
      </c>
      <c r="D30" s="68">
        <v>2000</v>
      </c>
      <c r="E30" s="199" t="s">
        <v>2400</v>
      </c>
      <c r="F30" s="199" t="s">
        <v>2401</v>
      </c>
      <c r="G30" s="199">
        <v>1000</v>
      </c>
      <c r="H30" s="199" t="s">
        <v>27</v>
      </c>
      <c r="I30" s="199" t="s">
        <v>28</v>
      </c>
      <c r="J30" s="649" t="s">
        <v>110</v>
      </c>
      <c r="K30" s="649" t="s">
        <v>111</v>
      </c>
      <c r="L30" s="803">
        <v>0.4</v>
      </c>
      <c r="M30" s="829" t="s">
        <v>131</v>
      </c>
      <c r="N30" s="827" t="s">
        <v>132</v>
      </c>
      <c r="O30" s="827"/>
      <c r="P30" s="222">
        <v>1</v>
      </c>
      <c r="Q30" s="985">
        <v>0.2</v>
      </c>
      <c r="R30" s="222"/>
      <c r="S30" s="874">
        <f t="shared" si="0"/>
        <v>0</v>
      </c>
      <c r="T30" s="648">
        <f t="shared" si="1"/>
        <v>0</v>
      </c>
      <c r="U30" s="803" t="s">
        <v>34</v>
      </c>
      <c r="V30" s="803"/>
      <c r="W30" s="199"/>
      <c r="X30" s="787"/>
    </row>
    <row r="31" spans="1:24" ht="20.55" customHeight="1" x14ac:dyDescent="0.4">
      <c r="A31" s="788">
        <v>30</v>
      </c>
      <c r="B31" s="653" t="s">
        <v>2399</v>
      </c>
      <c r="C31" s="653" t="s">
        <v>24</v>
      </c>
      <c r="D31" s="49">
        <v>2011</v>
      </c>
      <c r="E31" s="653" t="s">
        <v>2407</v>
      </c>
      <c r="F31" s="653" t="s">
        <v>2408</v>
      </c>
      <c r="G31" s="653">
        <v>2000</v>
      </c>
      <c r="H31" s="653" t="s">
        <v>2409</v>
      </c>
      <c r="I31" s="653" t="s">
        <v>2266</v>
      </c>
      <c r="J31" s="653" t="s">
        <v>2035</v>
      </c>
      <c r="K31" s="653" t="s">
        <v>58</v>
      </c>
      <c r="L31" s="794">
        <v>1</v>
      </c>
      <c r="M31" s="987"/>
      <c r="N31" s="988" t="s">
        <v>2410</v>
      </c>
      <c r="O31" s="653" t="s">
        <v>2411</v>
      </c>
      <c r="P31" s="794">
        <v>0.9</v>
      </c>
      <c r="Q31" s="983">
        <v>0.2</v>
      </c>
      <c r="R31" s="794"/>
      <c r="S31" s="644">
        <f t="shared" si="0"/>
        <v>0</v>
      </c>
      <c r="T31" s="653">
        <f t="shared" si="1"/>
        <v>0</v>
      </c>
      <c r="U31" s="653" t="s">
        <v>34</v>
      </c>
      <c r="V31" s="1949">
        <f>SUM(T31:T35)%</f>
        <v>0</v>
      </c>
      <c r="W31" s="653"/>
    </row>
    <row r="32" spans="1:24" ht="20.55" customHeight="1" x14ac:dyDescent="0.4">
      <c r="A32" s="788">
        <v>31</v>
      </c>
      <c r="B32" s="649" t="s">
        <v>2399</v>
      </c>
      <c r="C32" s="649" t="s">
        <v>24</v>
      </c>
      <c r="D32" s="68">
        <v>2011</v>
      </c>
      <c r="E32" s="649" t="s">
        <v>2407</v>
      </c>
      <c r="F32" s="649" t="s">
        <v>2408</v>
      </c>
      <c r="G32" s="649">
        <v>2000</v>
      </c>
      <c r="H32" s="649" t="s">
        <v>2409</v>
      </c>
      <c r="I32" s="649" t="s">
        <v>2266</v>
      </c>
      <c r="J32" s="79" t="s">
        <v>2035</v>
      </c>
      <c r="K32" s="79" t="s">
        <v>58</v>
      </c>
      <c r="L32" s="815">
        <v>1</v>
      </c>
      <c r="M32" s="989"/>
      <c r="N32" s="990" t="s">
        <v>2412</v>
      </c>
      <c r="O32" s="79"/>
      <c r="P32" s="815">
        <v>1</v>
      </c>
      <c r="Q32" s="986">
        <v>0.1</v>
      </c>
      <c r="R32" s="815"/>
      <c r="S32" s="647">
        <f t="shared" si="0"/>
        <v>0</v>
      </c>
      <c r="T32" s="79">
        <f t="shared" si="1"/>
        <v>0</v>
      </c>
      <c r="U32" s="79" t="s">
        <v>34</v>
      </c>
      <c r="V32" s="79"/>
      <c r="W32" s="649"/>
    </row>
    <row r="33" spans="1:23" ht="20.55" customHeight="1" x14ac:dyDescent="0.4">
      <c r="A33" s="788">
        <v>32</v>
      </c>
      <c r="B33" s="649" t="s">
        <v>2399</v>
      </c>
      <c r="C33" s="649" t="s">
        <v>24</v>
      </c>
      <c r="D33" s="68">
        <v>2011</v>
      </c>
      <c r="E33" s="649" t="s">
        <v>2407</v>
      </c>
      <c r="F33" s="649" t="s">
        <v>2408</v>
      </c>
      <c r="G33" s="649">
        <v>2000</v>
      </c>
      <c r="H33" s="649" t="s">
        <v>2409</v>
      </c>
      <c r="I33" s="649" t="s">
        <v>2266</v>
      </c>
      <c r="J33" s="79" t="s">
        <v>2035</v>
      </c>
      <c r="K33" s="79" t="s">
        <v>58</v>
      </c>
      <c r="L33" s="815">
        <v>1</v>
      </c>
      <c r="M33" s="989"/>
      <c r="N33" s="990" t="s">
        <v>2413</v>
      </c>
      <c r="O33" s="79" t="s">
        <v>2414</v>
      </c>
      <c r="P33" s="815">
        <v>1</v>
      </c>
      <c r="Q33" s="986">
        <v>0.1</v>
      </c>
      <c r="R33" s="815"/>
      <c r="S33" s="647">
        <f t="shared" si="0"/>
        <v>0</v>
      </c>
      <c r="T33" s="79">
        <f t="shared" si="1"/>
        <v>0</v>
      </c>
      <c r="U33" s="79" t="s">
        <v>34</v>
      </c>
      <c r="V33" s="79"/>
      <c r="W33" s="649"/>
    </row>
    <row r="34" spans="1:23" ht="20.55" customHeight="1" x14ac:dyDescent="0.4">
      <c r="A34" s="788">
        <v>33</v>
      </c>
      <c r="B34" s="649" t="s">
        <v>2399</v>
      </c>
      <c r="C34" s="649" t="s">
        <v>24</v>
      </c>
      <c r="D34" s="68">
        <v>2011</v>
      </c>
      <c r="E34" s="649" t="s">
        <v>2407</v>
      </c>
      <c r="F34" s="649" t="s">
        <v>2408</v>
      </c>
      <c r="G34" s="649">
        <v>2000</v>
      </c>
      <c r="H34" s="649" t="s">
        <v>2409</v>
      </c>
      <c r="I34" s="649" t="s">
        <v>2266</v>
      </c>
      <c r="J34" s="79" t="s">
        <v>2035</v>
      </c>
      <c r="K34" s="79" t="s">
        <v>58</v>
      </c>
      <c r="L34" s="815">
        <v>1</v>
      </c>
      <c r="M34" s="989"/>
      <c r="N34" s="990" t="s">
        <v>2415</v>
      </c>
      <c r="O34" s="79" t="s">
        <v>2416</v>
      </c>
      <c r="P34" s="991">
        <v>4000000000</v>
      </c>
      <c r="Q34" s="986">
        <v>0.5</v>
      </c>
      <c r="R34" s="991"/>
      <c r="S34" s="647">
        <f t="shared" si="0"/>
        <v>0</v>
      </c>
      <c r="T34" s="79">
        <f t="shared" si="1"/>
        <v>0</v>
      </c>
      <c r="U34" s="79" t="s">
        <v>34</v>
      </c>
      <c r="V34" s="79"/>
      <c r="W34" s="649"/>
    </row>
    <row r="35" spans="1:23" ht="20.55" customHeight="1" x14ac:dyDescent="0.4">
      <c r="A35" s="788">
        <v>34</v>
      </c>
      <c r="B35" s="649" t="s">
        <v>2399</v>
      </c>
      <c r="C35" s="649" t="s">
        <v>24</v>
      </c>
      <c r="D35" s="68">
        <v>2011</v>
      </c>
      <c r="E35" s="649" t="s">
        <v>2407</v>
      </c>
      <c r="F35" s="649" t="s">
        <v>2408</v>
      </c>
      <c r="G35" s="649">
        <v>2000</v>
      </c>
      <c r="H35" s="649" t="s">
        <v>2409</v>
      </c>
      <c r="I35" s="649" t="s">
        <v>2266</v>
      </c>
      <c r="J35" s="79" t="s">
        <v>2035</v>
      </c>
      <c r="K35" s="79" t="s">
        <v>58</v>
      </c>
      <c r="L35" s="815">
        <v>1</v>
      </c>
      <c r="M35" s="989"/>
      <c r="N35" s="990" t="s">
        <v>2417</v>
      </c>
      <c r="O35" s="79"/>
      <c r="P35" s="815">
        <v>1</v>
      </c>
      <c r="Q35" s="986">
        <v>0.1</v>
      </c>
      <c r="R35" s="815"/>
      <c r="S35" s="647">
        <f t="shared" si="0"/>
        <v>0</v>
      </c>
      <c r="T35" s="79">
        <f t="shared" si="1"/>
        <v>0</v>
      </c>
      <c r="U35" s="79" t="s">
        <v>34</v>
      </c>
      <c r="V35" s="79"/>
      <c r="W35" s="649"/>
    </row>
    <row r="36" spans="1:23" ht="20.55" customHeight="1" x14ac:dyDescent="0.4">
      <c r="A36" s="788">
        <v>35</v>
      </c>
      <c r="B36" s="653" t="s">
        <v>2399</v>
      </c>
      <c r="C36" s="653" t="s">
        <v>24</v>
      </c>
      <c r="D36" s="49">
        <v>2066</v>
      </c>
      <c r="E36" s="653" t="s">
        <v>2418</v>
      </c>
      <c r="F36" s="653" t="s">
        <v>2419</v>
      </c>
      <c r="G36" s="653">
        <v>2000</v>
      </c>
      <c r="H36" s="653" t="s">
        <v>2409</v>
      </c>
      <c r="I36" s="653" t="s">
        <v>2266</v>
      </c>
      <c r="J36" s="653" t="s">
        <v>2035</v>
      </c>
      <c r="K36" s="653" t="s">
        <v>58</v>
      </c>
      <c r="L36" s="794">
        <v>1</v>
      </c>
      <c r="M36" s="987" t="s">
        <v>2420</v>
      </c>
      <c r="N36" s="988" t="s">
        <v>2421</v>
      </c>
      <c r="O36" s="653"/>
      <c r="P36" s="794">
        <v>0.9</v>
      </c>
      <c r="Q36" s="983">
        <v>0.2</v>
      </c>
      <c r="R36" s="794"/>
      <c r="S36" s="644">
        <f t="shared" si="0"/>
        <v>0</v>
      </c>
      <c r="T36" s="653">
        <f t="shared" si="1"/>
        <v>0</v>
      </c>
      <c r="U36" s="653" t="s">
        <v>34</v>
      </c>
      <c r="V36" s="1949">
        <f>SUM(T36:T45)%</f>
        <v>0</v>
      </c>
      <c r="W36" s="653"/>
    </row>
    <row r="37" spans="1:23" ht="20.55" customHeight="1" x14ac:dyDescent="0.4">
      <c r="A37" s="788">
        <v>36</v>
      </c>
      <c r="B37" s="649" t="s">
        <v>2399</v>
      </c>
      <c r="C37" s="649" t="s">
        <v>24</v>
      </c>
      <c r="D37" s="68">
        <v>2066</v>
      </c>
      <c r="E37" s="649" t="s">
        <v>2418</v>
      </c>
      <c r="F37" s="649" t="s">
        <v>2419</v>
      </c>
      <c r="G37" s="649">
        <v>2000</v>
      </c>
      <c r="H37" s="649" t="s">
        <v>2409</v>
      </c>
      <c r="I37" s="649" t="s">
        <v>2266</v>
      </c>
      <c r="J37" s="79" t="s">
        <v>2035</v>
      </c>
      <c r="K37" s="79" t="s">
        <v>58</v>
      </c>
      <c r="L37" s="815">
        <v>1</v>
      </c>
      <c r="M37" s="989" t="s">
        <v>2422</v>
      </c>
      <c r="N37" s="990" t="s">
        <v>2423</v>
      </c>
      <c r="O37" s="79"/>
      <c r="P37" s="815">
        <v>0.9</v>
      </c>
      <c r="Q37" s="986">
        <v>0.12</v>
      </c>
      <c r="R37" s="815"/>
      <c r="S37" s="647">
        <f t="shared" si="0"/>
        <v>0</v>
      </c>
      <c r="T37" s="79">
        <f t="shared" si="1"/>
        <v>0</v>
      </c>
      <c r="U37" s="79" t="s">
        <v>34</v>
      </c>
      <c r="V37" s="79"/>
      <c r="W37" s="649"/>
    </row>
    <row r="38" spans="1:23" ht="20.55" customHeight="1" x14ac:dyDescent="0.4">
      <c r="A38" s="788">
        <v>37</v>
      </c>
      <c r="B38" s="649" t="s">
        <v>2399</v>
      </c>
      <c r="C38" s="649" t="s">
        <v>24</v>
      </c>
      <c r="D38" s="68">
        <v>2066</v>
      </c>
      <c r="E38" s="649" t="s">
        <v>2418</v>
      </c>
      <c r="F38" s="649" t="s">
        <v>2419</v>
      </c>
      <c r="G38" s="649">
        <v>2000</v>
      </c>
      <c r="H38" s="649" t="s">
        <v>2409</v>
      </c>
      <c r="I38" s="649" t="s">
        <v>2266</v>
      </c>
      <c r="J38" s="79" t="s">
        <v>2035</v>
      </c>
      <c r="K38" s="79" t="s">
        <v>58</v>
      </c>
      <c r="L38" s="815">
        <v>1</v>
      </c>
      <c r="M38" s="989" t="s">
        <v>696</v>
      </c>
      <c r="N38" s="992" t="s">
        <v>2424</v>
      </c>
      <c r="O38" s="79" t="s">
        <v>2425</v>
      </c>
      <c r="P38" s="815">
        <v>0.8</v>
      </c>
      <c r="Q38" s="986">
        <v>0.12</v>
      </c>
      <c r="R38" s="815"/>
      <c r="S38" s="647">
        <f t="shared" si="0"/>
        <v>0</v>
      </c>
      <c r="T38" s="79">
        <f t="shared" si="1"/>
        <v>0</v>
      </c>
      <c r="U38" s="79" t="s">
        <v>34</v>
      </c>
      <c r="V38" s="79"/>
      <c r="W38" s="649"/>
    </row>
    <row r="39" spans="1:23" ht="20.55" customHeight="1" x14ac:dyDescent="0.4">
      <c r="A39" s="788">
        <v>38</v>
      </c>
      <c r="B39" s="649" t="s">
        <v>2399</v>
      </c>
      <c r="C39" s="649" t="s">
        <v>24</v>
      </c>
      <c r="D39" s="68">
        <v>2066</v>
      </c>
      <c r="E39" s="649" t="s">
        <v>2418</v>
      </c>
      <c r="F39" s="649" t="s">
        <v>2419</v>
      </c>
      <c r="G39" s="649">
        <v>2000</v>
      </c>
      <c r="H39" s="649" t="s">
        <v>2409</v>
      </c>
      <c r="I39" s="649" t="s">
        <v>2266</v>
      </c>
      <c r="J39" s="79" t="s">
        <v>2035</v>
      </c>
      <c r="K39" s="79" t="s">
        <v>58</v>
      </c>
      <c r="L39" s="815">
        <v>1</v>
      </c>
      <c r="M39" s="989" t="s">
        <v>709</v>
      </c>
      <c r="N39" s="990" t="s">
        <v>661</v>
      </c>
      <c r="O39" s="79"/>
      <c r="P39" s="815">
        <v>0.9</v>
      </c>
      <c r="Q39" s="986">
        <v>0.11</v>
      </c>
      <c r="R39" s="815"/>
      <c r="S39" s="647">
        <f t="shared" si="0"/>
        <v>0</v>
      </c>
      <c r="T39" s="79">
        <f t="shared" si="1"/>
        <v>0</v>
      </c>
      <c r="U39" s="79" t="s">
        <v>34</v>
      </c>
      <c r="V39" s="79"/>
      <c r="W39" s="649"/>
    </row>
    <row r="40" spans="1:23" ht="20.55" customHeight="1" x14ac:dyDescent="0.4">
      <c r="A40" s="788">
        <v>39</v>
      </c>
      <c r="B40" s="649" t="s">
        <v>2399</v>
      </c>
      <c r="C40" s="649" t="s">
        <v>24</v>
      </c>
      <c r="D40" s="68">
        <v>2066</v>
      </c>
      <c r="E40" s="649" t="s">
        <v>2418</v>
      </c>
      <c r="F40" s="649" t="s">
        <v>2419</v>
      </c>
      <c r="G40" s="649">
        <v>2000</v>
      </c>
      <c r="H40" s="649" t="s">
        <v>2409</v>
      </c>
      <c r="I40" s="649" t="s">
        <v>2266</v>
      </c>
      <c r="J40" s="79" t="s">
        <v>2035</v>
      </c>
      <c r="K40" s="79" t="s">
        <v>58</v>
      </c>
      <c r="L40" s="815">
        <v>1</v>
      </c>
      <c r="M40" s="989" t="s">
        <v>700</v>
      </c>
      <c r="N40" s="990" t="s">
        <v>701</v>
      </c>
      <c r="O40" s="79"/>
      <c r="P40" s="815">
        <v>0.95</v>
      </c>
      <c r="Q40" s="986">
        <v>0.1</v>
      </c>
      <c r="R40" s="815"/>
      <c r="S40" s="647">
        <f t="shared" si="0"/>
        <v>0</v>
      </c>
      <c r="T40" s="79">
        <f t="shared" si="1"/>
        <v>0</v>
      </c>
      <c r="U40" s="79" t="s">
        <v>34</v>
      </c>
      <c r="V40" s="79"/>
      <c r="W40" s="649"/>
    </row>
    <row r="41" spans="1:23" ht="20.55" customHeight="1" x14ac:dyDescent="0.4">
      <c r="A41" s="788">
        <v>40</v>
      </c>
      <c r="B41" s="649" t="s">
        <v>2399</v>
      </c>
      <c r="C41" s="649" t="s">
        <v>24</v>
      </c>
      <c r="D41" s="68">
        <v>2066</v>
      </c>
      <c r="E41" s="649" t="s">
        <v>2418</v>
      </c>
      <c r="F41" s="649" t="s">
        <v>2419</v>
      </c>
      <c r="G41" s="649">
        <v>2000</v>
      </c>
      <c r="H41" s="649" t="s">
        <v>2409</v>
      </c>
      <c r="I41" s="649" t="s">
        <v>2266</v>
      </c>
      <c r="J41" s="79" t="s">
        <v>2035</v>
      </c>
      <c r="K41" s="79" t="s">
        <v>58</v>
      </c>
      <c r="L41" s="815">
        <v>1</v>
      </c>
      <c r="M41" s="989" t="s">
        <v>1146</v>
      </c>
      <c r="N41" s="990" t="s">
        <v>2426</v>
      </c>
      <c r="O41" s="79"/>
      <c r="P41" s="815">
        <v>1</v>
      </c>
      <c r="Q41" s="986">
        <v>0.1</v>
      </c>
      <c r="R41" s="815"/>
      <c r="S41" s="647">
        <f t="shared" si="0"/>
        <v>0</v>
      </c>
      <c r="T41" s="79">
        <f t="shared" si="1"/>
        <v>0</v>
      </c>
      <c r="U41" s="79" t="s">
        <v>34</v>
      </c>
      <c r="V41" s="79"/>
      <c r="W41" s="649"/>
    </row>
    <row r="42" spans="1:23" ht="20.55" customHeight="1" x14ac:dyDescent="0.4">
      <c r="A42" s="788">
        <v>41</v>
      </c>
      <c r="B42" s="649" t="s">
        <v>2399</v>
      </c>
      <c r="C42" s="649" t="s">
        <v>24</v>
      </c>
      <c r="D42" s="68">
        <v>2066</v>
      </c>
      <c r="E42" s="649" t="s">
        <v>2418</v>
      </c>
      <c r="F42" s="649" t="s">
        <v>2419</v>
      </c>
      <c r="G42" s="649">
        <v>2000</v>
      </c>
      <c r="H42" s="649" t="s">
        <v>2409</v>
      </c>
      <c r="I42" s="649" t="s">
        <v>2266</v>
      </c>
      <c r="J42" s="79" t="s">
        <v>2035</v>
      </c>
      <c r="K42" s="79" t="s">
        <v>58</v>
      </c>
      <c r="L42" s="815">
        <v>1</v>
      </c>
      <c r="M42" s="989" t="s">
        <v>2427</v>
      </c>
      <c r="N42" s="990" t="s">
        <v>2428</v>
      </c>
      <c r="O42" s="79"/>
      <c r="P42" s="815">
        <v>0.9</v>
      </c>
      <c r="Q42" s="986">
        <v>0.08</v>
      </c>
      <c r="R42" s="815"/>
      <c r="S42" s="647">
        <f t="shared" si="0"/>
        <v>0</v>
      </c>
      <c r="T42" s="79">
        <f t="shared" si="1"/>
        <v>0</v>
      </c>
      <c r="U42" s="79" t="s">
        <v>34</v>
      </c>
      <c r="V42" s="79"/>
      <c r="W42" s="649"/>
    </row>
    <row r="43" spans="1:23" ht="20.55" customHeight="1" x14ac:dyDescent="0.4">
      <c r="A43" s="788">
        <v>42</v>
      </c>
      <c r="B43" s="649" t="s">
        <v>2399</v>
      </c>
      <c r="C43" s="649" t="s">
        <v>24</v>
      </c>
      <c r="D43" s="68">
        <v>2066</v>
      </c>
      <c r="E43" s="649" t="s">
        <v>2418</v>
      </c>
      <c r="F43" s="649" t="s">
        <v>2419</v>
      </c>
      <c r="G43" s="649">
        <v>2000</v>
      </c>
      <c r="H43" s="649" t="s">
        <v>2409</v>
      </c>
      <c r="I43" s="649" t="s">
        <v>2266</v>
      </c>
      <c r="J43" s="79" t="s">
        <v>2035</v>
      </c>
      <c r="K43" s="79" t="s">
        <v>58</v>
      </c>
      <c r="L43" s="815">
        <v>1</v>
      </c>
      <c r="M43" s="989" t="s">
        <v>2429</v>
      </c>
      <c r="N43" s="990" t="s">
        <v>2430</v>
      </c>
      <c r="O43" s="79"/>
      <c r="P43" s="815">
        <v>0.9</v>
      </c>
      <c r="Q43" s="986">
        <v>7.0000000000000007E-2</v>
      </c>
      <c r="R43" s="815"/>
      <c r="S43" s="647">
        <f t="shared" si="0"/>
        <v>0</v>
      </c>
      <c r="T43" s="79">
        <f t="shared" si="1"/>
        <v>0</v>
      </c>
      <c r="U43" s="79" t="s">
        <v>34</v>
      </c>
      <c r="V43" s="79"/>
      <c r="W43" s="649"/>
    </row>
    <row r="44" spans="1:23" ht="20.55" customHeight="1" x14ac:dyDescent="0.4">
      <c r="A44" s="788">
        <v>43</v>
      </c>
      <c r="B44" s="649" t="s">
        <v>2399</v>
      </c>
      <c r="C44" s="649" t="s">
        <v>24</v>
      </c>
      <c r="D44" s="68">
        <v>2066</v>
      </c>
      <c r="E44" s="649" t="s">
        <v>2418</v>
      </c>
      <c r="F44" s="649" t="s">
        <v>2419</v>
      </c>
      <c r="G44" s="649">
        <v>2000</v>
      </c>
      <c r="H44" s="649" t="s">
        <v>2409</v>
      </c>
      <c r="I44" s="649" t="s">
        <v>2266</v>
      </c>
      <c r="J44" s="79" t="s">
        <v>2035</v>
      </c>
      <c r="K44" s="79" t="s">
        <v>58</v>
      </c>
      <c r="L44" s="815">
        <v>1</v>
      </c>
      <c r="M44" s="989"/>
      <c r="N44" s="990" t="s">
        <v>2431</v>
      </c>
      <c r="O44" s="79" t="s">
        <v>2432</v>
      </c>
      <c r="P44" s="815">
        <v>0.98</v>
      </c>
      <c r="Q44" s="986">
        <v>0.05</v>
      </c>
      <c r="R44" s="815"/>
      <c r="S44" s="647">
        <f t="shared" si="0"/>
        <v>0</v>
      </c>
      <c r="T44" s="79">
        <f t="shared" si="1"/>
        <v>0</v>
      </c>
      <c r="U44" s="79" t="s">
        <v>34</v>
      </c>
      <c r="V44" s="647"/>
      <c r="W44" s="649"/>
    </row>
    <row r="45" spans="1:23" ht="20.55" customHeight="1" x14ac:dyDescent="0.4">
      <c r="A45" s="788">
        <v>44</v>
      </c>
      <c r="B45" s="649" t="s">
        <v>2399</v>
      </c>
      <c r="C45" s="649" t="s">
        <v>24</v>
      </c>
      <c r="D45" s="68">
        <v>2066</v>
      </c>
      <c r="E45" s="649" t="s">
        <v>2418</v>
      </c>
      <c r="F45" s="649" t="s">
        <v>2419</v>
      </c>
      <c r="G45" s="649">
        <v>2000</v>
      </c>
      <c r="H45" s="649" t="s">
        <v>2409</v>
      </c>
      <c r="I45" s="649" t="s">
        <v>2266</v>
      </c>
      <c r="J45" s="79" t="s">
        <v>2035</v>
      </c>
      <c r="K45" s="79" t="s">
        <v>58</v>
      </c>
      <c r="L45" s="815">
        <v>1</v>
      </c>
      <c r="M45" s="989"/>
      <c r="N45" s="990" t="s">
        <v>2433</v>
      </c>
      <c r="O45" s="79" t="s">
        <v>2434</v>
      </c>
      <c r="P45" s="815">
        <v>1</v>
      </c>
      <c r="Q45" s="986">
        <v>0.05</v>
      </c>
      <c r="R45" s="815"/>
      <c r="S45" s="647">
        <f t="shared" si="0"/>
        <v>0</v>
      </c>
      <c r="T45" s="79">
        <f t="shared" si="1"/>
        <v>0</v>
      </c>
      <c r="U45" s="79" t="s">
        <v>34</v>
      </c>
      <c r="V45" s="647"/>
      <c r="W45" s="649"/>
    </row>
    <row r="46" spans="1:23" ht="20.55" customHeight="1" x14ac:dyDescent="0.4">
      <c r="A46" s="788">
        <v>45</v>
      </c>
      <c r="B46" s="653" t="s">
        <v>2399</v>
      </c>
      <c r="C46" s="653" t="s">
        <v>24</v>
      </c>
      <c r="D46" s="49">
        <v>2379</v>
      </c>
      <c r="E46" s="653" t="s">
        <v>2435</v>
      </c>
      <c r="F46" s="653" t="s">
        <v>514</v>
      </c>
      <c r="G46" s="653">
        <v>2000</v>
      </c>
      <c r="H46" s="653" t="s">
        <v>2409</v>
      </c>
      <c r="I46" s="653" t="s">
        <v>1645</v>
      </c>
      <c r="J46" s="653" t="s">
        <v>2035</v>
      </c>
      <c r="K46" s="653" t="s">
        <v>58</v>
      </c>
      <c r="L46" s="644">
        <v>0.9</v>
      </c>
      <c r="M46" s="987"/>
      <c r="N46" s="988" t="s">
        <v>2436</v>
      </c>
      <c r="O46" s="653" t="s">
        <v>2437</v>
      </c>
      <c r="P46" s="794">
        <v>0.01</v>
      </c>
      <c r="Q46" s="983">
        <v>0.2</v>
      </c>
      <c r="R46" s="794"/>
      <c r="S46" s="644">
        <f t="shared" si="0"/>
        <v>0</v>
      </c>
      <c r="T46" s="653">
        <f t="shared" si="1"/>
        <v>0</v>
      </c>
      <c r="U46" s="653" t="s">
        <v>83</v>
      </c>
      <c r="V46" s="1949">
        <f>SUM(T46:T56)%</f>
        <v>0</v>
      </c>
      <c r="W46" s="653"/>
    </row>
    <row r="47" spans="1:23" ht="20.55" customHeight="1" x14ac:dyDescent="0.4">
      <c r="A47" s="788">
        <v>46</v>
      </c>
      <c r="B47" s="649" t="s">
        <v>2399</v>
      </c>
      <c r="C47" s="649" t="s">
        <v>24</v>
      </c>
      <c r="D47" s="68">
        <v>2379</v>
      </c>
      <c r="E47" s="649" t="s">
        <v>2435</v>
      </c>
      <c r="F47" s="649" t="s">
        <v>514</v>
      </c>
      <c r="G47" s="649">
        <v>2000</v>
      </c>
      <c r="H47" s="649" t="s">
        <v>2409</v>
      </c>
      <c r="I47" s="649" t="s">
        <v>1645</v>
      </c>
      <c r="J47" s="79" t="s">
        <v>2035</v>
      </c>
      <c r="K47" s="79" t="s">
        <v>58</v>
      </c>
      <c r="L47" s="647">
        <v>0.9</v>
      </c>
      <c r="M47" s="989"/>
      <c r="N47" s="990" t="s">
        <v>2438</v>
      </c>
      <c r="O47" s="79" t="s">
        <v>2439</v>
      </c>
      <c r="P47" s="993">
        <v>1</v>
      </c>
      <c r="Q47" s="994">
        <v>0.2</v>
      </c>
      <c r="R47" s="993"/>
      <c r="S47" s="647">
        <f t="shared" si="0"/>
        <v>0</v>
      </c>
      <c r="T47" s="79">
        <f t="shared" si="1"/>
        <v>0</v>
      </c>
      <c r="U47" s="79" t="s">
        <v>34</v>
      </c>
      <c r="V47" s="79"/>
      <c r="W47" s="649"/>
    </row>
    <row r="48" spans="1:23" ht="20.55" customHeight="1" x14ac:dyDescent="0.4">
      <c r="A48" s="788">
        <v>47</v>
      </c>
      <c r="B48" s="649" t="s">
        <v>2399</v>
      </c>
      <c r="C48" s="649" t="s">
        <v>24</v>
      </c>
      <c r="D48" s="68">
        <v>2379</v>
      </c>
      <c r="E48" s="649" t="s">
        <v>2435</v>
      </c>
      <c r="F48" s="649" t="s">
        <v>514</v>
      </c>
      <c r="G48" s="649">
        <v>2000</v>
      </c>
      <c r="H48" s="649" t="s">
        <v>2409</v>
      </c>
      <c r="I48" s="649" t="s">
        <v>1645</v>
      </c>
      <c r="J48" s="79" t="s">
        <v>2035</v>
      </c>
      <c r="K48" s="79" t="s">
        <v>58</v>
      </c>
      <c r="L48" s="647">
        <v>0.9</v>
      </c>
      <c r="M48" s="989"/>
      <c r="N48" s="990" t="s">
        <v>2440</v>
      </c>
      <c r="O48" s="79" t="s">
        <v>2441</v>
      </c>
      <c r="P48" s="993">
        <v>1</v>
      </c>
      <c r="Q48" s="994">
        <v>0.1</v>
      </c>
      <c r="R48" s="993"/>
      <c r="S48" s="647">
        <f t="shared" si="0"/>
        <v>0</v>
      </c>
      <c r="T48" s="79">
        <f t="shared" si="1"/>
        <v>0</v>
      </c>
      <c r="U48" s="79" t="s">
        <v>34</v>
      </c>
      <c r="V48" s="79"/>
      <c r="W48" s="649"/>
    </row>
    <row r="49" spans="1:23" ht="20.55" customHeight="1" x14ac:dyDescent="0.4">
      <c r="A49" s="788">
        <v>48</v>
      </c>
      <c r="B49" s="649" t="s">
        <v>2399</v>
      </c>
      <c r="C49" s="649" t="s">
        <v>24</v>
      </c>
      <c r="D49" s="68">
        <v>2379</v>
      </c>
      <c r="E49" s="649" t="s">
        <v>2435</v>
      </c>
      <c r="F49" s="649" t="s">
        <v>514</v>
      </c>
      <c r="G49" s="649">
        <v>2000</v>
      </c>
      <c r="H49" s="649" t="s">
        <v>2409</v>
      </c>
      <c r="I49" s="649" t="s">
        <v>1645</v>
      </c>
      <c r="J49" s="79" t="s">
        <v>2035</v>
      </c>
      <c r="K49" s="79" t="s">
        <v>58</v>
      </c>
      <c r="L49" s="647">
        <v>0.9</v>
      </c>
      <c r="M49" s="989"/>
      <c r="N49" s="990" t="s">
        <v>2442</v>
      </c>
      <c r="O49" s="79" t="s">
        <v>2443</v>
      </c>
      <c r="P49" s="993">
        <v>0.95</v>
      </c>
      <c r="Q49" s="994">
        <v>0.1</v>
      </c>
      <c r="R49" s="993"/>
      <c r="S49" s="647">
        <f t="shared" si="0"/>
        <v>0</v>
      </c>
      <c r="T49" s="79">
        <f t="shared" si="1"/>
        <v>0</v>
      </c>
      <c r="U49" s="79" t="s">
        <v>34</v>
      </c>
      <c r="V49" s="79"/>
      <c r="W49" s="649"/>
    </row>
    <row r="50" spans="1:23" ht="20.55" customHeight="1" x14ac:dyDescent="0.4">
      <c r="A50" s="788">
        <v>49</v>
      </c>
      <c r="B50" s="649" t="s">
        <v>2399</v>
      </c>
      <c r="C50" s="649" t="s">
        <v>24</v>
      </c>
      <c r="D50" s="68">
        <v>2379</v>
      </c>
      <c r="E50" s="649" t="s">
        <v>2435</v>
      </c>
      <c r="F50" s="649" t="s">
        <v>514</v>
      </c>
      <c r="G50" s="649">
        <v>2000</v>
      </c>
      <c r="H50" s="649" t="s">
        <v>2409</v>
      </c>
      <c r="I50" s="649" t="s">
        <v>1645</v>
      </c>
      <c r="J50" s="79" t="s">
        <v>2035</v>
      </c>
      <c r="K50" s="79" t="s">
        <v>58</v>
      </c>
      <c r="L50" s="647">
        <v>0.9</v>
      </c>
      <c r="M50" s="995" t="s">
        <v>80</v>
      </c>
      <c r="N50" s="996" t="s">
        <v>81</v>
      </c>
      <c r="O50" s="997" t="s">
        <v>82</v>
      </c>
      <c r="P50" s="998">
        <v>0</v>
      </c>
      <c r="Q50" s="999">
        <v>0.05</v>
      </c>
      <c r="R50" s="998"/>
      <c r="S50" s="998">
        <f t="shared" si="0"/>
        <v>0</v>
      </c>
      <c r="T50" s="1000">
        <f t="shared" si="1"/>
        <v>0</v>
      </c>
      <c r="U50" s="998" t="s">
        <v>83</v>
      </c>
      <c r="V50" s="79"/>
      <c r="W50" s="649"/>
    </row>
    <row r="51" spans="1:23" ht="20.55" customHeight="1" x14ac:dyDescent="0.4">
      <c r="A51" s="788">
        <v>50</v>
      </c>
      <c r="B51" s="649" t="s">
        <v>2399</v>
      </c>
      <c r="C51" s="649" t="s">
        <v>24</v>
      </c>
      <c r="D51" s="68">
        <v>2379</v>
      </c>
      <c r="E51" s="649" t="s">
        <v>2435</v>
      </c>
      <c r="F51" s="649" t="s">
        <v>514</v>
      </c>
      <c r="G51" s="649">
        <v>2000</v>
      </c>
      <c r="H51" s="649" t="s">
        <v>2409</v>
      </c>
      <c r="I51" s="649" t="s">
        <v>1645</v>
      </c>
      <c r="J51" s="79" t="s">
        <v>2035</v>
      </c>
      <c r="K51" s="79" t="s">
        <v>58</v>
      </c>
      <c r="L51" s="647">
        <v>0.9</v>
      </c>
      <c r="M51" s="989"/>
      <c r="N51" s="990" t="s">
        <v>2444</v>
      </c>
      <c r="O51" s="79" t="s">
        <v>2445</v>
      </c>
      <c r="P51" s="993">
        <v>0.95</v>
      </c>
      <c r="Q51" s="994">
        <v>0.05</v>
      </c>
      <c r="R51" s="993"/>
      <c r="S51" s="647">
        <f t="shared" si="0"/>
        <v>0</v>
      </c>
      <c r="T51" s="79">
        <f t="shared" si="1"/>
        <v>0</v>
      </c>
      <c r="U51" s="79" t="s">
        <v>34</v>
      </c>
      <c r="V51" s="79"/>
      <c r="W51" s="649"/>
    </row>
    <row r="52" spans="1:23" ht="20.55" customHeight="1" x14ac:dyDescent="0.4">
      <c r="A52" s="788">
        <v>51</v>
      </c>
      <c r="B52" s="649" t="s">
        <v>2399</v>
      </c>
      <c r="C52" s="649" t="s">
        <v>24</v>
      </c>
      <c r="D52" s="68">
        <v>2379</v>
      </c>
      <c r="E52" s="649" t="s">
        <v>2435</v>
      </c>
      <c r="F52" s="649" t="s">
        <v>514</v>
      </c>
      <c r="G52" s="649">
        <v>2000</v>
      </c>
      <c r="H52" s="649" t="s">
        <v>2409</v>
      </c>
      <c r="I52" s="649" t="s">
        <v>1645</v>
      </c>
      <c r="J52" s="79" t="s">
        <v>2035</v>
      </c>
      <c r="K52" s="79" t="s">
        <v>58</v>
      </c>
      <c r="L52" s="647">
        <v>0.9</v>
      </c>
      <c r="M52" s="989"/>
      <c r="N52" s="990" t="s">
        <v>2446</v>
      </c>
      <c r="O52" s="79" t="s">
        <v>2447</v>
      </c>
      <c r="P52" s="993">
        <v>0.95</v>
      </c>
      <c r="Q52" s="994">
        <v>0.05</v>
      </c>
      <c r="R52" s="993"/>
      <c r="S52" s="647">
        <f t="shared" si="0"/>
        <v>0</v>
      </c>
      <c r="T52" s="79">
        <f t="shared" si="1"/>
        <v>0</v>
      </c>
      <c r="U52" s="79" t="s">
        <v>34</v>
      </c>
      <c r="V52" s="79"/>
      <c r="W52" s="649"/>
    </row>
    <row r="53" spans="1:23" ht="20.55" customHeight="1" x14ac:dyDescent="0.4">
      <c r="A53" s="788">
        <v>52</v>
      </c>
      <c r="B53" s="649" t="s">
        <v>2399</v>
      </c>
      <c r="C53" s="649" t="s">
        <v>24</v>
      </c>
      <c r="D53" s="68">
        <v>2379</v>
      </c>
      <c r="E53" s="649" t="s">
        <v>2435</v>
      </c>
      <c r="F53" s="649" t="s">
        <v>514</v>
      </c>
      <c r="G53" s="649">
        <v>2000</v>
      </c>
      <c r="H53" s="649" t="s">
        <v>2409</v>
      </c>
      <c r="I53" s="649" t="s">
        <v>1645</v>
      </c>
      <c r="J53" s="79" t="s">
        <v>2035</v>
      </c>
      <c r="K53" s="79" t="s">
        <v>58</v>
      </c>
      <c r="L53" s="647">
        <v>0.9</v>
      </c>
      <c r="M53" s="989"/>
      <c r="N53" s="990" t="s">
        <v>2448</v>
      </c>
      <c r="O53" s="79" t="s">
        <v>2449</v>
      </c>
      <c r="P53" s="993">
        <v>0.95</v>
      </c>
      <c r="Q53" s="994">
        <v>0.05</v>
      </c>
      <c r="R53" s="993"/>
      <c r="S53" s="647">
        <f t="shared" si="0"/>
        <v>0</v>
      </c>
      <c r="T53" s="79">
        <f t="shared" si="1"/>
        <v>0</v>
      </c>
      <c r="U53" s="79" t="s">
        <v>34</v>
      </c>
      <c r="V53" s="79"/>
      <c r="W53" s="649"/>
    </row>
    <row r="54" spans="1:23" ht="20.55" customHeight="1" x14ac:dyDescent="0.4">
      <c r="A54" s="788">
        <v>53</v>
      </c>
      <c r="B54" s="649" t="s">
        <v>2399</v>
      </c>
      <c r="C54" s="649" t="s">
        <v>24</v>
      </c>
      <c r="D54" s="68">
        <v>2379</v>
      </c>
      <c r="E54" s="649" t="s">
        <v>2435</v>
      </c>
      <c r="F54" s="649" t="s">
        <v>514</v>
      </c>
      <c r="G54" s="649">
        <v>2000</v>
      </c>
      <c r="H54" s="649" t="s">
        <v>2409</v>
      </c>
      <c r="I54" s="649" t="s">
        <v>1645</v>
      </c>
      <c r="J54" s="79" t="s">
        <v>2035</v>
      </c>
      <c r="K54" s="79" t="s">
        <v>58</v>
      </c>
      <c r="L54" s="647">
        <v>0.9</v>
      </c>
      <c r="M54" s="989"/>
      <c r="N54" s="990" t="s">
        <v>2450</v>
      </c>
      <c r="O54" s="79" t="s">
        <v>2451</v>
      </c>
      <c r="P54" s="993">
        <v>0.95</v>
      </c>
      <c r="Q54" s="994">
        <v>0.1</v>
      </c>
      <c r="R54" s="993"/>
      <c r="S54" s="647">
        <f t="shared" si="0"/>
        <v>0</v>
      </c>
      <c r="T54" s="79">
        <f t="shared" si="1"/>
        <v>0</v>
      </c>
      <c r="U54" s="79" t="s">
        <v>34</v>
      </c>
      <c r="V54" s="79"/>
      <c r="W54" s="649"/>
    </row>
    <row r="55" spans="1:23" ht="20.55" customHeight="1" x14ac:dyDescent="0.4">
      <c r="A55" s="788">
        <v>54</v>
      </c>
      <c r="B55" s="649" t="s">
        <v>2399</v>
      </c>
      <c r="C55" s="649" t="s">
        <v>24</v>
      </c>
      <c r="D55" s="68">
        <v>2379</v>
      </c>
      <c r="E55" s="649" t="s">
        <v>2435</v>
      </c>
      <c r="F55" s="649" t="s">
        <v>514</v>
      </c>
      <c r="G55" s="649">
        <v>2000</v>
      </c>
      <c r="H55" s="649" t="s">
        <v>2409</v>
      </c>
      <c r="I55" s="649" t="s">
        <v>1645</v>
      </c>
      <c r="J55" s="79" t="s">
        <v>2035</v>
      </c>
      <c r="K55" s="79" t="s">
        <v>58</v>
      </c>
      <c r="L55" s="647">
        <v>0.9</v>
      </c>
      <c r="M55" s="989"/>
      <c r="N55" s="990" t="s">
        <v>2452</v>
      </c>
      <c r="O55" s="79" t="s">
        <v>2453</v>
      </c>
      <c r="P55" s="993">
        <v>1</v>
      </c>
      <c r="Q55" s="994">
        <v>0.1</v>
      </c>
      <c r="R55" s="993"/>
      <c r="S55" s="647">
        <f t="shared" si="0"/>
        <v>0</v>
      </c>
      <c r="T55" s="79">
        <f t="shared" si="1"/>
        <v>0</v>
      </c>
      <c r="U55" s="79" t="s">
        <v>34</v>
      </c>
      <c r="V55" s="79"/>
      <c r="W55" s="649"/>
    </row>
    <row r="56" spans="1:23" ht="20.55" customHeight="1" x14ac:dyDescent="0.4">
      <c r="A56" s="788">
        <v>55</v>
      </c>
      <c r="B56" s="1001" t="s">
        <v>2399</v>
      </c>
      <c r="C56" s="1001" t="s">
        <v>24</v>
      </c>
      <c r="D56" s="1002">
        <v>2379</v>
      </c>
      <c r="E56" s="1001" t="s">
        <v>2435</v>
      </c>
      <c r="F56" s="1001" t="s">
        <v>514</v>
      </c>
      <c r="G56" s="1001">
        <v>2000</v>
      </c>
      <c r="H56" s="1001" t="s">
        <v>2409</v>
      </c>
      <c r="I56" s="1001" t="s">
        <v>1645</v>
      </c>
      <c r="J56" s="1001" t="s">
        <v>110</v>
      </c>
      <c r="K56" s="1001" t="s">
        <v>111</v>
      </c>
      <c r="L56" s="222">
        <v>0.1</v>
      </c>
      <c r="M56" s="1003"/>
      <c r="N56" s="1004" t="s">
        <v>2454</v>
      </c>
      <c r="O56" s="1001" t="s">
        <v>2455</v>
      </c>
      <c r="P56" s="1005">
        <v>1</v>
      </c>
      <c r="Q56" s="1006">
        <v>1</v>
      </c>
      <c r="R56" s="1005"/>
      <c r="S56" s="1007">
        <f t="shared" si="0"/>
        <v>0</v>
      </c>
      <c r="T56" s="1001">
        <f t="shared" si="1"/>
        <v>0</v>
      </c>
      <c r="U56" s="1001" t="s">
        <v>34</v>
      </c>
      <c r="V56" s="1001"/>
      <c r="W56" s="1001"/>
    </row>
    <row r="57" spans="1:23" ht="20.55" customHeight="1" x14ac:dyDescent="0.4">
      <c r="A57" s="788">
        <v>56</v>
      </c>
      <c r="B57" s="653" t="s">
        <v>2399</v>
      </c>
      <c r="C57" s="653" t="s">
        <v>24</v>
      </c>
      <c r="D57" s="49">
        <v>2056</v>
      </c>
      <c r="E57" s="653" t="s">
        <v>2456</v>
      </c>
      <c r="F57" s="653" t="s">
        <v>2302</v>
      </c>
      <c r="G57" s="653">
        <v>2000</v>
      </c>
      <c r="H57" s="653" t="s">
        <v>2409</v>
      </c>
      <c r="I57" s="653" t="s">
        <v>881</v>
      </c>
      <c r="J57" s="653" t="s">
        <v>2035</v>
      </c>
      <c r="K57" s="653" t="s">
        <v>58</v>
      </c>
      <c r="L57" s="644">
        <v>0.5</v>
      </c>
      <c r="M57" s="653" t="s">
        <v>2303</v>
      </c>
      <c r="N57" s="1008" t="s">
        <v>2304</v>
      </c>
      <c r="O57" s="653"/>
      <c r="P57" s="653">
        <v>35000000</v>
      </c>
      <c r="Q57" s="983">
        <v>0.2</v>
      </c>
      <c r="R57" s="653"/>
      <c r="S57" s="644">
        <f t="shared" si="0"/>
        <v>0</v>
      </c>
      <c r="T57" s="653">
        <f t="shared" si="1"/>
        <v>0</v>
      </c>
      <c r="U57" s="653" t="s">
        <v>34</v>
      </c>
      <c r="V57" s="1949">
        <f>SUM(T57:T65)%</f>
        <v>0</v>
      </c>
      <c r="W57" s="653"/>
    </row>
    <row r="58" spans="1:23" ht="20.55" customHeight="1" x14ac:dyDescent="0.4">
      <c r="A58" s="788">
        <v>57</v>
      </c>
      <c r="B58" s="649" t="s">
        <v>2399</v>
      </c>
      <c r="C58" s="649" t="s">
        <v>24</v>
      </c>
      <c r="D58" s="68">
        <v>2056</v>
      </c>
      <c r="E58" s="649" t="s">
        <v>2456</v>
      </c>
      <c r="F58" s="649" t="s">
        <v>2302</v>
      </c>
      <c r="G58" s="649">
        <v>2000</v>
      </c>
      <c r="H58" s="649" t="s">
        <v>2409</v>
      </c>
      <c r="I58" s="649" t="s">
        <v>881</v>
      </c>
      <c r="J58" s="79" t="s">
        <v>2035</v>
      </c>
      <c r="K58" s="79" t="s">
        <v>58</v>
      </c>
      <c r="L58" s="647">
        <v>0.5</v>
      </c>
      <c r="M58" s="79" t="s">
        <v>2457</v>
      </c>
      <c r="N58" s="1009" t="s">
        <v>2458</v>
      </c>
      <c r="O58" s="79"/>
      <c r="P58" s="79">
        <v>12</v>
      </c>
      <c r="Q58" s="986">
        <v>0.2</v>
      </c>
      <c r="R58" s="79"/>
      <c r="S58" s="647">
        <f t="shared" si="0"/>
        <v>0</v>
      </c>
      <c r="T58" s="79">
        <f t="shared" si="1"/>
        <v>0</v>
      </c>
      <c r="U58" s="79" t="s">
        <v>34</v>
      </c>
      <c r="V58" s="79"/>
      <c r="W58" s="649"/>
    </row>
    <row r="59" spans="1:23" ht="20.55" customHeight="1" x14ac:dyDescent="0.4">
      <c r="A59" s="788">
        <v>58</v>
      </c>
      <c r="B59" s="1001" t="s">
        <v>2399</v>
      </c>
      <c r="C59" s="1001" t="s">
        <v>24</v>
      </c>
      <c r="D59" s="68">
        <v>2056</v>
      </c>
      <c r="E59" s="649" t="s">
        <v>2456</v>
      </c>
      <c r="F59" s="649" t="s">
        <v>2302</v>
      </c>
      <c r="G59" s="649">
        <v>2000</v>
      </c>
      <c r="H59" s="649" t="s">
        <v>2409</v>
      </c>
      <c r="I59" s="649" t="s">
        <v>881</v>
      </c>
      <c r="J59" s="79" t="s">
        <v>2035</v>
      </c>
      <c r="K59" s="79" t="s">
        <v>58</v>
      </c>
      <c r="L59" s="647">
        <v>0.5</v>
      </c>
      <c r="M59" s="79" t="s">
        <v>2459</v>
      </c>
      <c r="N59" s="1009" t="s">
        <v>2460</v>
      </c>
      <c r="O59" s="79"/>
      <c r="P59" s="79">
        <v>12</v>
      </c>
      <c r="Q59" s="986">
        <v>0.2</v>
      </c>
      <c r="R59" s="79"/>
      <c r="S59" s="647">
        <f t="shared" si="0"/>
        <v>0</v>
      </c>
      <c r="T59" s="79">
        <f t="shared" si="1"/>
        <v>0</v>
      </c>
      <c r="U59" s="79" t="s">
        <v>34</v>
      </c>
      <c r="V59" s="79"/>
      <c r="W59" s="649"/>
    </row>
    <row r="60" spans="1:23" ht="20.55" customHeight="1" x14ac:dyDescent="0.4">
      <c r="A60" s="788">
        <v>59</v>
      </c>
      <c r="B60" s="649" t="s">
        <v>2399</v>
      </c>
      <c r="C60" s="649" t="s">
        <v>24</v>
      </c>
      <c r="D60" s="68">
        <v>2056</v>
      </c>
      <c r="E60" s="649" t="s">
        <v>2456</v>
      </c>
      <c r="F60" s="649" t="s">
        <v>2302</v>
      </c>
      <c r="G60" s="649">
        <v>2000</v>
      </c>
      <c r="H60" s="649" t="s">
        <v>2409</v>
      </c>
      <c r="I60" s="649" t="s">
        <v>881</v>
      </c>
      <c r="J60" s="79" t="s">
        <v>2035</v>
      </c>
      <c r="K60" s="79" t="s">
        <v>58</v>
      </c>
      <c r="L60" s="647">
        <v>0.5</v>
      </c>
      <c r="M60" s="79" t="s">
        <v>2461</v>
      </c>
      <c r="N60" s="1009" t="s">
        <v>2462</v>
      </c>
      <c r="O60" s="79"/>
      <c r="P60" s="815">
        <v>1</v>
      </c>
      <c r="Q60" s="986">
        <v>0.2</v>
      </c>
      <c r="R60" s="815"/>
      <c r="S60" s="647">
        <f t="shared" si="0"/>
        <v>0</v>
      </c>
      <c r="T60" s="79">
        <f t="shared" si="1"/>
        <v>0</v>
      </c>
      <c r="U60" s="79" t="s">
        <v>34</v>
      </c>
      <c r="V60" s="79"/>
      <c r="W60" s="649"/>
    </row>
    <row r="61" spans="1:23" ht="20.55" customHeight="1" x14ac:dyDescent="0.4">
      <c r="A61" s="788">
        <v>60</v>
      </c>
      <c r="B61" s="649" t="s">
        <v>2399</v>
      </c>
      <c r="C61" s="649" t="s">
        <v>24</v>
      </c>
      <c r="D61" s="68">
        <v>2056</v>
      </c>
      <c r="E61" s="649" t="s">
        <v>2456</v>
      </c>
      <c r="F61" s="649" t="s">
        <v>2302</v>
      </c>
      <c r="G61" s="649">
        <v>2000</v>
      </c>
      <c r="H61" s="649" t="s">
        <v>2409</v>
      </c>
      <c r="I61" s="649" t="s">
        <v>881</v>
      </c>
      <c r="J61" s="79" t="s">
        <v>2035</v>
      </c>
      <c r="K61" s="79" t="s">
        <v>58</v>
      </c>
      <c r="L61" s="647">
        <v>0.5</v>
      </c>
      <c r="M61" s="79" t="s">
        <v>2463</v>
      </c>
      <c r="N61" s="1009" t="s">
        <v>2464</v>
      </c>
      <c r="O61" s="79"/>
      <c r="P61" s="815">
        <v>1</v>
      </c>
      <c r="Q61" s="986">
        <v>0.2</v>
      </c>
      <c r="R61" s="815"/>
      <c r="S61" s="647">
        <f t="shared" si="0"/>
        <v>0</v>
      </c>
      <c r="T61" s="79">
        <f t="shared" si="1"/>
        <v>0</v>
      </c>
      <c r="U61" s="79" t="s">
        <v>34</v>
      </c>
      <c r="V61" s="79"/>
      <c r="W61" s="649"/>
    </row>
    <row r="62" spans="1:23" ht="20.55" customHeight="1" x14ac:dyDescent="0.4">
      <c r="A62" s="788">
        <v>61</v>
      </c>
      <c r="B62" s="1001" t="s">
        <v>2399</v>
      </c>
      <c r="C62" s="1001" t="s">
        <v>24</v>
      </c>
      <c r="D62" s="68">
        <v>2056</v>
      </c>
      <c r="E62" s="649" t="s">
        <v>2456</v>
      </c>
      <c r="F62" s="649" t="s">
        <v>2302</v>
      </c>
      <c r="G62" s="649">
        <v>2000</v>
      </c>
      <c r="H62" s="649" t="s">
        <v>2409</v>
      </c>
      <c r="I62" s="649" t="s">
        <v>881</v>
      </c>
      <c r="J62" s="648" t="s">
        <v>110</v>
      </c>
      <c r="K62" s="648" t="s">
        <v>111</v>
      </c>
      <c r="L62" s="874">
        <v>0.5</v>
      </c>
      <c r="M62" s="648" t="s">
        <v>2465</v>
      </c>
      <c r="N62" s="1010" t="s">
        <v>2466</v>
      </c>
      <c r="O62" s="648"/>
      <c r="P62" s="648">
        <v>1</v>
      </c>
      <c r="Q62" s="1011">
        <v>0.3</v>
      </c>
      <c r="R62" s="648"/>
      <c r="S62" s="222">
        <f t="shared" si="0"/>
        <v>0</v>
      </c>
      <c r="T62" s="649">
        <f t="shared" si="1"/>
        <v>0</v>
      </c>
      <c r="U62" s="649" t="s">
        <v>34</v>
      </c>
      <c r="V62" s="649"/>
      <c r="W62" s="649"/>
    </row>
    <row r="63" spans="1:23" ht="20.55" customHeight="1" x14ac:dyDescent="0.4">
      <c r="A63" s="788">
        <v>62</v>
      </c>
      <c r="B63" s="649" t="s">
        <v>2399</v>
      </c>
      <c r="C63" s="649" t="s">
        <v>24</v>
      </c>
      <c r="D63" s="68">
        <v>2056</v>
      </c>
      <c r="E63" s="649" t="s">
        <v>2456</v>
      </c>
      <c r="F63" s="649" t="s">
        <v>2302</v>
      </c>
      <c r="G63" s="649">
        <v>2000</v>
      </c>
      <c r="H63" s="649" t="s">
        <v>2409</v>
      </c>
      <c r="I63" s="649" t="s">
        <v>881</v>
      </c>
      <c r="J63" s="648" t="s">
        <v>110</v>
      </c>
      <c r="K63" s="648" t="s">
        <v>111</v>
      </c>
      <c r="L63" s="874">
        <v>0.5</v>
      </c>
      <c r="M63" s="648" t="s">
        <v>2467</v>
      </c>
      <c r="N63" s="1010" t="s">
        <v>2468</v>
      </c>
      <c r="O63" s="648"/>
      <c r="P63" s="648">
        <v>6</v>
      </c>
      <c r="Q63" s="1011">
        <v>0.3</v>
      </c>
      <c r="R63" s="648"/>
      <c r="S63" s="222">
        <f t="shared" si="0"/>
        <v>0</v>
      </c>
      <c r="T63" s="649">
        <f t="shared" si="1"/>
        <v>0</v>
      </c>
      <c r="U63" s="649" t="s">
        <v>34</v>
      </c>
      <c r="V63" s="649"/>
      <c r="W63" s="649"/>
    </row>
    <row r="64" spans="1:23" ht="20.55" customHeight="1" x14ac:dyDescent="0.4">
      <c r="A64" s="788">
        <v>63</v>
      </c>
      <c r="B64" s="649" t="s">
        <v>2399</v>
      </c>
      <c r="C64" s="649" t="s">
        <v>24</v>
      </c>
      <c r="D64" s="68">
        <v>2056</v>
      </c>
      <c r="E64" s="649" t="s">
        <v>2456</v>
      </c>
      <c r="F64" s="649" t="s">
        <v>2302</v>
      </c>
      <c r="G64" s="649">
        <v>2000</v>
      </c>
      <c r="H64" s="649" t="s">
        <v>2409</v>
      </c>
      <c r="I64" s="649" t="s">
        <v>881</v>
      </c>
      <c r="J64" s="648" t="s">
        <v>110</v>
      </c>
      <c r="K64" s="648" t="s">
        <v>111</v>
      </c>
      <c r="L64" s="874">
        <v>0.5</v>
      </c>
      <c r="M64" s="648" t="s">
        <v>2469</v>
      </c>
      <c r="N64" s="1010" t="s">
        <v>2470</v>
      </c>
      <c r="O64" s="648"/>
      <c r="P64" s="648">
        <v>1</v>
      </c>
      <c r="Q64" s="1011">
        <v>0.3</v>
      </c>
      <c r="R64" s="648"/>
      <c r="S64" s="222">
        <f t="shared" si="0"/>
        <v>0</v>
      </c>
      <c r="T64" s="649">
        <f t="shared" si="1"/>
        <v>0</v>
      </c>
      <c r="U64" s="649" t="s">
        <v>34</v>
      </c>
      <c r="V64" s="649"/>
      <c r="W64" s="649"/>
    </row>
    <row r="65" spans="1:23" ht="20.55" customHeight="1" x14ac:dyDescent="0.4">
      <c r="A65" s="788">
        <v>64</v>
      </c>
      <c r="B65" s="649" t="s">
        <v>2399</v>
      </c>
      <c r="C65" s="649" t="s">
        <v>24</v>
      </c>
      <c r="D65" s="68">
        <v>2056</v>
      </c>
      <c r="E65" s="649" t="s">
        <v>2456</v>
      </c>
      <c r="F65" s="649" t="s">
        <v>2302</v>
      </c>
      <c r="G65" s="649">
        <v>2000</v>
      </c>
      <c r="H65" s="649" t="s">
        <v>2409</v>
      </c>
      <c r="I65" s="649" t="s">
        <v>881</v>
      </c>
      <c r="J65" s="648" t="s">
        <v>110</v>
      </c>
      <c r="K65" s="648" t="s">
        <v>111</v>
      </c>
      <c r="L65" s="874">
        <v>0.5</v>
      </c>
      <c r="M65" s="648" t="s">
        <v>2471</v>
      </c>
      <c r="N65" s="1010" t="s">
        <v>2472</v>
      </c>
      <c r="O65" s="648"/>
      <c r="P65" s="1012">
        <v>1</v>
      </c>
      <c r="Q65" s="1011">
        <v>0.1</v>
      </c>
      <c r="R65" s="1012"/>
      <c r="S65" s="222">
        <f t="shared" si="0"/>
        <v>0</v>
      </c>
      <c r="T65" s="649">
        <f t="shared" si="1"/>
        <v>0</v>
      </c>
      <c r="U65" s="649" t="s">
        <v>34</v>
      </c>
      <c r="V65" s="649"/>
      <c r="W65" s="649"/>
    </row>
    <row r="66" spans="1:23" ht="20.55" customHeight="1" x14ac:dyDescent="0.4">
      <c r="A66" s="788">
        <v>65</v>
      </c>
      <c r="B66" s="653" t="s">
        <v>2399</v>
      </c>
      <c r="C66" s="653" t="s">
        <v>24</v>
      </c>
      <c r="D66" s="49">
        <v>2201</v>
      </c>
      <c r="E66" s="653" t="s">
        <v>2473</v>
      </c>
      <c r="F66" s="653" t="s">
        <v>2324</v>
      </c>
      <c r="G66" s="653">
        <v>2056</v>
      </c>
      <c r="H66" s="653" t="s">
        <v>2456</v>
      </c>
      <c r="I66" s="653" t="s">
        <v>881</v>
      </c>
      <c r="J66" s="653" t="s">
        <v>2035</v>
      </c>
      <c r="K66" s="653" t="s">
        <v>58</v>
      </c>
      <c r="L66" s="644">
        <v>0.5</v>
      </c>
      <c r="M66" s="987" t="s">
        <v>2303</v>
      </c>
      <c r="N66" s="988" t="s">
        <v>2304</v>
      </c>
      <c r="O66" s="653"/>
      <c r="P66" s="653">
        <v>150000000</v>
      </c>
      <c r="Q66" s="983">
        <v>0.2</v>
      </c>
      <c r="R66" s="653"/>
      <c r="S66" s="644">
        <f t="shared" ref="S66:S129" si="2">ROUND(IF(OR(P66="",R66=""),0,IF(AND(P66=0,R66=0),1,IF(U66="+",R66/P66,P66/R66))),2)</f>
        <v>0</v>
      </c>
      <c r="T66" s="653">
        <f t="shared" ref="T66:T129" si="3">IF(AND(S66&gt;=60%,S66&lt;100%),S66*((Q66*L66)),IF(S66=100%,((Q66*L66)*S66)*100%,IF(S66&gt;100%,((L66*Q66)*100%)*100%,0)))*100</f>
        <v>0</v>
      </c>
      <c r="U66" s="653" t="s">
        <v>34</v>
      </c>
      <c r="V66" s="1949">
        <f>SUM(T66:T73)%</f>
        <v>0</v>
      </c>
      <c r="W66" s="653"/>
    </row>
    <row r="67" spans="1:23" ht="20.55" customHeight="1" x14ac:dyDescent="0.4">
      <c r="A67" s="788">
        <v>66</v>
      </c>
      <c r="B67" s="649" t="s">
        <v>2399</v>
      </c>
      <c r="C67" s="649" t="s">
        <v>24</v>
      </c>
      <c r="D67" s="68">
        <v>2201</v>
      </c>
      <c r="E67" s="649" t="s">
        <v>2473</v>
      </c>
      <c r="F67" s="649" t="s">
        <v>2324</v>
      </c>
      <c r="G67" s="649">
        <v>2056</v>
      </c>
      <c r="H67" s="649" t="s">
        <v>2456</v>
      </c>
      <c r="I67" s="649" t="s">
        <v>881</v>
      </c>
      <c r="J67" s="79" t="s">
        <v>2035</v>
      </c>
      <c r="K67" s="79" t="s">
        <v>58</v>
      </c>
      <c r="L67" s="647">
        <v>0.5</v>
      </c>
      <c r="M67" s="989" t="s">
        <v>2474</v>
      </c>
      <c r="N67" s="990" t="s">
        <v>2475</v>
      </c>
      <c r="O67" s="79"/>
      <c r="P67" s="815">
        <v>0.2</v>
      </c>
      <c r="Q67" s="986">
        <v>0.3</v>
      </c>
      <c r="R67" s="815"/>
      <c r="S67" s="647">
        <f t="shared" si="2"/>
        <v>0</v>
      </c>
      <c r="T67" s="79">
        <f t="shared" si="3"/>
        <v>0</v>
      </c>
      <c r="U67" s="79" t="s">
        <v>34</v>
      </c>
      <c r="V67" s="79"/>
      <c r="W67" s="649"/>
    </row>
    <row r="68" spans="1:23" ht="20.55" customHeight="1" x14ac:dyDescent="0.4">
      <c r="A68" s="788">
        <v>67</v>
      </c>
      <c r="B68" s="649" t="s">
        <v>2399</v>
      </c>
      <c r="C68" s="649" t="s">
        <v>24</v>
      </c>
      <c r="D68" s="68">
        <v>2201</v>
      </c>
      <c r="E68" s="649" t="s">
        <v>2473</v>
      </c>
      <c r="F68" s="649" t="s">
        <v>2324</v>
      </c>
      <c r="G68" s="649">
        <v>2056</v>
      </c>
      <c r="H68" s="649" t="s">
        <v>2456</v>
      </c>
      <c r="I68" s="649" t="s">
        <v>881</v>
      </c>
      <c r="J68" s="79" t="s">
        <v>2035</v>
      </c>
      <c r="K68" s="79" t="s">
        <v>58</v>
      </c>
      <c r="L68" s="647">
        <v>0.5</v>
      </c>
      <c r="M68" s="989" t="s">
        <v>2457</v>
      </c>
      <c r="N68" s="990" t="s">
        <v>2458</v>
      </c>
      <c r="O68" s="79"/>
      <c r="P68" s="79">
        <v>12</v>
      </c>
      <c r="Q68" s="986">
        <v>0.2</v>
      </c>
      <c r="R68" s="79"/>
      <c r="S68" s="647">
        <f t="shared" si="2"/>
        <v>0</v>
      </c>
      <c r="T68" s="79">
        <f t="shared" si="3"/>
        <v>0</v>
      </c>
      <c r="U68" s="79" t="s">
        <v>34</v>
      </c>
      <c r="V68" s="79"/>
      <c r="W68" s="649"/>
    </row>
    <row r="69" spans="1:23" ht="20.55" customHeight="1" x14ac:dyDescent="0.4">
      <c r="A69" s="788">
        <v>68</v>
      </c>
      <c r="B69" s="649" t="s">
        <v>2399</v>
      </c>
      <c r="C69" s="649" t="s">
        <v>24</v>
      </c>
      <c r="D69" s="68">
        <v>2201</v>
      </c>
      <c r="E69" s="649" t="s">
        <v>2473</v>
      </c>
      <c r="F69" s="649" t="s">
        <v>2324</v>
      </c>
      <c r="G69" s="649">
        <v>2056</v>
      </c>
      <c r="H69" s="649" t="s">
        <v>2456</v>
      </c>
      <c r="I69" s="649" t="s">
        <v>881</v>
      </c>
      <c r="J69" s="79" t="s">
        <v>2035</v>
      </c>
      <c r="K69" s="79" t="s">
        <v>58</v>
      </c>
      <c r="L69" s="647">
        <v>0.5</v>
      </c>
      <c r="M69" s="989" t="s">
        <v>2476</v>
      </c>
      <c r="N69" s="990" t="s">
        <v>2477</v>
      </c>
      <c r="O69" s="79"/>
      <c r="P69" s="79">
        <v>20000000</v>
      </c>
      <c r="Q69" s="986">
        <v>0.2</v>
      </c>
      <c r="R69" s="79"/>
      <c r="S69" s="647">
        <f t="shared" si="2"/>
        <v>0</v>
      </c>
      <c r="T69" s="79">
        <f t="shared" si="3"/>
        <v>0</v>
      </c>
      <c r="U69" s="79" t="s">
        <v>34</v>
      </c>
      <c r="V69" s="79"/>
      <c r="W69" s="649"/>
    </row>
    <row r="70" spans="1:23" ht="20.55" customHeight="1" x14ac:dyDescent="0.4">
      <c r="A70" s="788">
        <v>69</v>
      </c>
      <c r="B70" s="649" t="s">
        <v>2399</v>
      </c>
      <c r="C70" s="649" t="s">
        <v>24</v>
      </c>
      <c r="D70" s="68">
        <v>2201</v>
      </c>
      <c r="E70" s="649" t="s">
        <v>2473</v>
      </c>
      <c r="F70" s="649" t="s">
        <v>2324</v>
      </c>
      <c r="G70" s="649">
        <v>2056</v>
      </c>
      <c r="H70" s="649" t="s">
        <v>2456</v>
      </c>
      <c r="I70" s="649" t="s">
        <v>881</v>
      </c>
      <c r="J70" s="79" t="s">
        <v>2035</v>
      </c>
      <c r="K70" s="79" t="s">
        <v>58</v>
      </c>
      <c r="L70" s="647">
        <v>0.5</v>
      </c>
      <c r="M70" s="989" t="s">
        <v>2478</v>
      </c>
      <c r="N70" s="990" t="s">
        <v>2479</v>
      </c>
      <c r="O70" s="79"/>
      <c r="P70" s="79">
        <v>3</v>
      </c>
      <c r="Q70" s="986">
        <v>0.1</v>
      </c>
      <c r="R70" s="79"/>
      <c r="S70" s="647">
        <f t="shared" si="2"/>
        <v>0</v>
      </c>
      <c r="T70" s="79">
        <f t="shared" si="3"/>
        <v>0</v>
      </c>
      <c r="U70" s="79" t="s">
        <v>34</v>
      </c>
      <c r="V70" s="79"/>
      <c r="W70" s="649"/>
    </row>
    <row r="71" spans="1:23" ht="20.55" customHeight="1" x14ac:dyDescent="0.4">
      <c r="A71" s="788">
        <v>70</v>
      </c>
      <c r="B71" s="649" t="s">
        <v>2399</v>
      </c>
      <c r="C71" s="649" t="s">
        <v>24</v>
      </c>
      <c r="D71" s="68">
        <v>2201</v>
      </c>
      <c r="E71" s="649" t="s">
        <v>2473</v>
      </c>
      <c r="F71" s="649" t="s">
        <v>2324</v>
      </c>
      <c r="G71" s="649">
        <v>2056</v>
      </c>
      <c r="H71" s="649" t="s">
        <v>2456</v>
      </c>
      <c r="I71" s="649" t="s">
        <v>881</v>
      </c>
      <c r="J71" s="649" t="s">
        <v>110</v>
      </c>
      <c r="K71" s="649" t="s">
        <v>111</v>
      </c>
      <c r="L71" s="222">
        <v>0.5</v>
      </c>
      <c r="M71" s="860" t="s">
        <v>2465</v>
      </c>
      <c r="N71" s="1013" t="s">
        <v>2466</v>
      </c>
      <c r="O71" s="649"/>
      <c r="P71" s="649">
        <v>1</v>
      </c>
      <c r="Q71" s="985">
        <v>0.3</v>
      </c>
      <c r="R71" s="649"/>
      <c r="S71" s="222">
        <f t="shared" si="2"/>
        <v>0</v>
      </c>
      <c r="T71" s="649">
        <f t="shared" si="3"/>
        <v>0</v>
      </c>
      <c r="U71" s="649" t="s">
        <v>34</v>
      </c>
      <c r="V71" s="649"/>
      <c r="W71" s="649"/>
    </row>
    <row r="72" spans="1:23" ht="20.55" customHeight="1" x14ac:dyDescent="0.4">
      <c r="A72" s="788">
        <v>71</v>
      </c>
      <c r="B72" s="649" t="s">
        <v>2399</v>
      </c>
      <c r="C72" s="649" t="s">
        <v>24</v>
      </c>
      <c r="D72" s="68">
        <v>2201</v>
      </c>
      <c r="E72" s="649" t="s">
        <v>2473</v>
      </c>
      <c r="F72" s="649" t="s">
        <v>2324</v>
      </c>
      <c r="G72" s="649">
        <v>2056</v>
      </c>
      <c r="H72" s="649" t="s">
        <v>2456</v>
      </c>
      <c r="I72" s="649" t="s">
        <v>881</v>
      </c>
      <c r="J72" s="649" t="s">
        <v>110</v>
      </c>
      <c r="K72" s="649" t="s">
        <v>111</v>
      </c>
      <c r="L72" s="222">
        <v>0.5</v>
      </c>
      <c r="M72" s="860" t="s">
        <v>2467</v>
      </c>
      <c r="N72" s="1013" t="s">
        <v>2480</v>
      </c>
      <c r="O72" s="649"/>
      <c r="P72" s="649">
        <v>1</v>
      </c>
      <c r="Q72" s="985">
        <v>0.35</v>
      </c>
      <c r="R72" s="649"/>
      <c r="S72" s="222">
        <f t="shared" si="2"/>
        <v>0</v>
      </c>
      <c r="T72" s="649">
        <f t="shared" si="3"/>
        <v>0</v>
      </c>
      <c r="U72" s="649" t="s">
        <v>34</v>
      </c>
      <c r="V72" s="649"/>
      <c r="W72" s="649"/>
    </row>
    <row r="73" spans="1:23" ht="20.55" customHeight="1" x14ac:dyDescent="0.4">
      <c r="A73" s="788">
        <v>72</v>
      </c>
      <c r="B73" s="1001" t="s">
        <v>2399</v>
      </c>
      <c r="C73" s="1001" t="s">
        <v>24</v>
      </c>
      <c r="D73" s="1002">
        <v>2201</v>
      </c>
      <c r="E73" s="1001" t="s">
        <v>2473</v>
      </c>
      <c r="F73" s="1001" t="s">
        <v>2324</v>
      </c>
      <c r="G73" s="1001">
        <v>2056</v>
      </c>
      <c r="H73" s="1001" t="s">
        <v>2456</v>
      </c>
      <c r="I73" s="1001" t="s">
        <v>881</v>
      </c>
      <c r="J73" s="1001" t="s">
        <v>110</v>
      </c>
      <c r="K73" s="1001" t="s">
        <v>111</v>
      </c>
      <c r="L73" s="222">
        <v>0.5</v>
      </c>
      <c r="M73" s="1003" t="s">
        <v>2481</v>
      </c>
      <c r="N73" s="1004" t="s">
        <v>2482</v>
      </c>
      <c r="O73" s="1001"/>
      <c r="P73" s="1001">
        <v>6</v>
      </c>
      <c r="Q73" s="985">
        <v>0.35</v>
      </c>
      <c r="R73" s="1001"/>
      <c r="S73" s="1007">
        <f t="shared" si="2"/>
        <v>0</v>
      </c>
      <c r="T73" s="1001">
        <f t="shared" si="3"/>
        <v>0</v>
      </c>
      <c r="U73" s="1001" t="s">
        <v>34</v>
      </c>
      <c r="V73" s="1001"/>
      <c r="W73" s="1001"/>
    </row>
    <row r="74" spans="1:23" ht="20.55" customHeight="1" x14ac:dyDescent="0.4">
      <c r="A74" s="788">
        <v>73</v>
      </c>
      <c r="B74" s="653" t="s">
        <v>2399</v>
      </c>
      <c r="C74" s="653" t="s">
        <v>24</v>
      </c>
      <c r="D74" s="49">
        <v>2242</v>
      </c>
      <c r="E74" s="653" t="s">
        <v>2483</v>
      </c>
      <c r="F74" s="653" t="s">
        <v>2324</v>
      </c>
      <c r="G74" s="653">
        <v>2056</v>
      </c>
      <c r="H74" s="653" t="s">
        <v>2456</v>
      </c>
      <c r="I74" s="653" t="s">
        <v>881</v>
      </c>
      <c r="J74" s="653" t="s">
        <v>2035</v>
      </c>
      <c r="K74" s="653" t="s">
        <v>58</v>
      </c>
      <c r="L74" s="644">
        <v>0.5</v>
      </c>
      <c r="M74" s="987" t="s">
        <v>2303</v>
      </c>
      <c r="N74" s="988" t="s">
        <v>2304</v>
      </c>
      <c r="O74" s="653"/>
      <c r="P74" s="653">
        <v>200000000</v>
      </c>
      <c r="Q74" s="983">
        <v>0.2</v>
      </c>
      <c r="R74" s="653"/>
      <c r="S74" s="644">
        <f t="shared" si="2"/>
        <v>0</v>
      </c>
      <c r="T74" s="653">
        <f t="shared" si="3"/>
        <v>0</v>
      </c>
      <c r="U74" s="653" t="s">
        <v>34</v>
      </c>
      <c r="V74" s="1949">
        <f>SUM(T74:T82)%</f>
        <v>0</v>
      </c>
      <c r="W74" s="653"/>
    </row>
    <row r="75" spans="1:23" ht="20.55" customHeight="1" x14ac:dyDescent="0.4">
      <c r="A75" s="788">
        <v>74</v>
      </c>
      <c r="B75" s="649" t="s">
        <v>2399</v>
      </c>
      <c r="C75" s="649" t="s">
        <v>24</v>
      </c>
      <c r="D75" s="68">
        <v>2242</v>
      </c>
      <c r="E75" s="649" t="s">
        <v>2483</v>
      </c>
      <c r="F75" s="649" t="s">
        <v>2324</v>
      </c>
      <c r="G75" s="649">
        <v>2056</v>
      </c>
      <c r="H75" s="649" t="s">
        <v>2456</v>
      </c>
      <c r="I75" s="649" t="s">
        <v>881</v>
      </c>
      <c r="J75" s="79" t="s">
        <v>2035</v>
      </c>
      <c r="K75" s="79" t="s">
        <v>58</v>
      </c>
      <c r="L75" s="647">
        <v>0.5</v>
      </c>
      <c r="M75" s="989" t="s">
        <v>2484</v>
      </c>
      <c r="N75" s="990" t="s">
        <v>2475</v>
      </c>
      <c r="O75" s="79"/>
      <c r="P75" s="79">
        <v>0.2</v>
      </c>
      <c r="Q75" s="986">
        <v>0.3</v>
      </c>
      <c r="R75" s="79"/>
      <c r="S75" s="647">
        <f t="shared" si="2"/>
        <v>0</v>
      </c>
      <c r="T75" s="1014">
        <f t="shared" si="3"/>
        <v>0</v>
      </c>
      <c r="U75" s="79" t="s">
        <v>34</v>
      </c>
      <c r="V75" s="79"/>
      <c r="W75" s="649"/>
    </row>
    <row r="76" spans="1:23" ht="20.55" customHeight="1" x14ac:dyDescent="0.4">
      <c r="A76" s="788">
        <v>75</v>
      </c>
      <c r="B76" s="649" t="s">
        <v>2399</v>
      </c>
      <c r="C76" s="649" t="s">
        <v>24</v>
      </c>
      <c r="D76" s="68">
        <v>2242</v>
      </c>
      <c r="E76" s="649" t="s">
        <v>2483</v>
      </c>
      <c r="F76" s="649" t="s">
        <v>2324</v>
      </c>
      <c r="G76" s="649">
        <v>2056</v>
      </c>
      <c r="H76" s="649" t="s">
        <v>2456</v>
      </c>
      <c r="I76" s="649" t="s">
        <v>881</v>
      </c>
      <c r="J76" s="79" t="s">
        <v>2035</v>
      </c>
      <c r="K76" s="79" t="s">
        <v>58</v>
      </c>
      <c r="L76" s="647">
        <v>0.5</v>
      </c>
      <c r="M76" s="989" t="s">
        <v>2457</v>
      </c>
      <c r="N76" s="990" t="s">
        <v>2458</v>
      </c>
      <c r="O76" s="79"/>
      <c r="P76" s="79">
        <v>12</v>
      </c>
      <c r="Q76" s="986">
        <v>0.2</v>
      </c>
      <c r="R76" s="79"/>
      <c r="S76" s="647">
        <f t="shared" si="2"/>
        <v>0</v>
      </c>
      <c r="T76" s="1014">
        <f t="shared" si="3"/>
        <v>0</v>
      </c>
      <c r="U76" s="79" t="s">
        <v>34</v>
      </c>
      <c r="V76" s="79"/>
      <c r="W76" s="649"/>
    </row>
    <row r="77" spans="1:23" ht="20.55" customHeight="1" x14ac:dyDescent="0.4">
      <c r="A77" s="788">
        <v>76</v>
      </c>
      <c r="B77" s="649" t="s">
        <v>2399</v>
      </c>
      <c r="C77" s="649" t="s">
        <v>24</v>
      </c>
      <c r="D77" s="68">
        <v>2242</v>
      </c>
      <c r="E77" s="649" t="s">
        <v>2483</v>
      </c>
      <c r="F77" s="649" t="s">
        <v>2324</v>
      </c>
      <c r="G77" s="649">
        <v>2056</v>
      </c>
      <c r="H77" s="649" t="s">
        <v>2456</v>
      </c>
      <c r="I77" s="649" t="s">
        <v>881</v>
      </c>
      <c r="J77" s="79" t="s">
        <v>2035</v>
      </c>
      <c r="K77" s="79" t="s">
        <v>58</v>
      </c>
      <c r="L77" s="647">
        <v>0.5</v>
      </c>
      <c r="M77" s="989" t="s">
        <v>2485</v>
      </c>
      <c r="N77" s="990" t="s">
        <v>2486</v>
      </c>
      <c r="O77" s="79"/>
      <c r="P77" s="79">
        <v>0.8</v>
      </c>
      <c r="Q77" s="986">
        <v>0.2</v>
      </c>
      <c r="R77" s="79"/>
      <c r="S77" s="647">
        <f t="shared" si="2"/>
        <v>0</v>
      </c>
      <c r="T77" s="1014">
        <f t="shared" si="3"/>
        <v>0</v>
      </c>
      <c r="U77" s="79" t="s">
        <v>34</v>
      </c>
      <c r="V77" s="79"/>
      <c r="W77" s="649"/>
    </row>
    <row r="78" spans="1:23" ht="20.55" customHeight="1" x14ac:dyDescent="0.4">
      <c r="A78" s="788">
        <v>77</v>
      </c>
      <c r="B78" s="649" t="s">
        <v>2399</v>
      </c>
      <c r="C78" s="649" t="s">
        <v>24</v>
      </c>
      <c r="D78" s="68">
        <v>2242</v>
      </c>
      <c r="E78" s="649" t="s">
        <v>2483</v>
      </c>
      <c r="F78" s="649" t="s">
        <v>2324</v>
      </c>
      <c r="G78" s="649">
        <v>2056</v>
      </c>
      <c r="H78" s="649" t="s">
        <v>2456</v>
      </c>
      <c r="I78" s="649" t="s">
        <v>881</v>
      </c>
      <c r="J78" s="79" t="s">
        <v>2035</v>
      </c>
      <c r="K78" s="79" t="s">
        <v>58</v>
      </c>
      <c r="L78" s="647">
        <v>0.5</v>
      </c>
      <c r="M78" s="989" t="s">
        <v>2487</v>
      </c>
      <c r="N78" s="990" t="s">
        <v>2488</v>
      </c>
      <c r="O78" s="79"/>
      <c r="P78" s="79">
        <v>6</v>
      </c>
      <c r="Q78" s="986">
        <v>0.1</v>
      </c>
      <c r="R78" s="79"/>
      <c r="S78" s="647">
        <f t="shared" si="2"/>
        <v>0</v>
      </c>
      <c r="T78" s="1014">
        <f t="shared" si="3"/>
        <v>0</v>
      </c>
      <c r="U78" s="79" t="s">
        <v>34</v>
      </c>
      <c r="V78" s="79"/>
      <c r="W78" s="649"/>
    </row>
    <row r="79" spans="1:23" ht="20.55" customHeight="1" x14ac:dyDescent="0.4">
      <c r="A79" s="788">
        <v>78</v>
      </c>
      <c r="B79" s="649" t="s">
        <v>2399</v>
      </c>
      <c r="C79" s="649" t="s">
        <v>24</v>
      </c>
      <c r="D79" s="68">
        <v>2242</v>
      </c>
      <c r="E79" s="649" t="s">
        <v>2483</v>
      </c>
      <c r="F79" s="649" t="s">
        <v>2324</v>
      </c>
      <c r="G79" s="649">
        <v>2056</v>
      </c>
      <c r="H79" s="649" t="s">
        <v>2456</v>
      </c>
      <c r="I79" s="649" t="s">
        <v>881</v>
      </c>
      <c r="J79" s="649" t="s">
        <v>110</v>
      </c>
      <c r="K79" s="649" t="s">
        <v>111</v>
      </c>
      <c r="L79" s="222">
        <v>0.5</v>
      </c>
      <c r="M79" s="860" t="s">
        <v>2489</v>
      </c>
      <c r="N79" s="1013" t="s">
        <v>2490</v>
      </c>
      <c r="O79" s="649"/>
      <c r="P79" s="649">
        <v>1</v>
      </c>
      <c r="Q79" s="985">
        <v>0.25</v>
      </c>
      <c r="R79" s="649"/>
      <c r="S79" s="222">
        <f t="shared" si="2"/>
        <v>0</v>
      </c>
      <c r="T79" s="1001">
        <f t="shared" si="3"/>
        <v>0</v>
      </c>
      <c r="U79" s="649" t="s">
        <v>34</v>
      </c>
      <c r="V79" s="649"/>
      <c r="W79" s="649"/>
    </row>
    <row r="80" spans="1:23" ht="20.55" customHeight="1" x14ac:dyDescent="0.4">
      <c r="A80" s="788">
        <v>79</v>
      </c>
      <c r="B80" s="649" t="s">
        <v>2399</v>
      </c>
      <c r="C80" s="649" t="s">
        <v>24</v>
      </c>
      <c r="D80" s="68">
        <v>2242</v>
      </c>
      <c r="E80" s="649" t="s">
        <v>2483</v>
      </c>
      <c r="F80" s="649" t="s">
        <v>2324</v>
      </c>
      <c r="G80" s="649">
        <v>2056</v>
      </c>
      <c r="H80" s="649" t="s">
        <v>2456</v>
      </c>
      <c r="I80" s="649" t="s">
        <v>881</v>
      </c>
      <c r="J80" s="649" t="s">
        <v>110</v>
      </c>
      <c r="K80" s="649" t="s">
        <v>111</v>
      </c>
      <c r="L80" s="222">
        <v>0.5</v>
      </c>
      <c r="M80" s="860" t="s">
        <v>2491</v>
      </c>
      <c r="N80" s="1013" t="s">
        <v>2492</v>
      </c>
      <c r="O80" s="649"/>
      <c r="P80" s="649">
        <v>2</v>
      </c>
      <c r="Q80" s="985">
        <v>0.25</v>
      </c>
      <c r="R80" s="649"/>
      <c r="S80" s="222">
        <f t="shared" si="2"/>
        <v>0</v>
      </c>
      <c r="T80" s="1001">
        <f t="shared" si="3"/>
        <v>0</v>
      </c>
      <c r="U80" s="649" t="s">
        <v>34</v>
      </c>
      <c r="V80" s="649"/>
      <c r="W80" s="649"/>
    </row>
    <row r="81" spans="1:23" ht="20.55" customHeight="1" x14ac:dyDescent="0.4">
      <c r="A81" s="788">
        <v>80</v>
      </c>
      <c r="B81" s="1001" t="s">
        <v>2399</v>
      </c>
      <c r="C81" s="1001" t="s">
        <v>24</v>
      </c>
      <c r="D81" s="1002">
        <v>2242</v>
      </c>
      <c r="E81" s="1001" t="s">
        <v>2483</v>
      </c>
      <c r="F81" s="1001" t="s">
        <v>2324</v>
      </c>
      <c r="G81" s="1001">
        <v>2056</v>
      </c>
      <c r="H81" s="1001" t="s">
        <v>2456</v>
      </c>
      <c r="I81" s="1001" t="s">
        <v>881</v>
      </c>
      <c r="J81" s="1001" t="s">
        <v>110</v>
      </c>
      <c r="K81" s="1001" t="s">
        <v>111</v>
      </c>
      <c r="L81" s="222">
        <v>0.5</v>
      </c>
      <c r="M81" s="1003" t="s">
        <v>2493</v>
      </c>
      <c r="N81" s="1004" t="s">
        <v>2494</v>
      </c>
      <c r="O81" s="1001"/>
      <c r="P81" s="1001">
        <v>5</v>
      </c>
      <c r="Q81" s="985">
        <v>0.25</v>
      </c>
      <c r="R81" s="1001"/>
      <c r="S81" s="1007">
        <f t="shared" si="2"/>
        <v>0</v>
      </c>
      <c r="T81" s="1001">
        <f t="shared" si="3"/>
        <v>0</v>
      </c>
      <c r="U81" s="1001" t="s">
        <v>34</v>
      </c>
      <c r="V81" s="1001"/>
      <c r="W81" s="1001"/>
    </row>
    <row r="82" spans="1:23" ht="20.55" customHeight="1" x14ac:dyDescent="0.4">
      <c r="A82" s="788">
        <v>81</v>
      </c>
      <c r="B82" s="1001" t="s">
        <v>2399</v>
      </c>
      <c r="C82" s="1001" t="s">
        <v>24</v>
      </c>
      <c r="D82" s="1002">
        <v>2242</v>
      </c>
      <c r="E82" s="1001" t="s">
        <v>2483</v>
      </c>
      <c r="F82" s="1001" t="s">
        <v>2324</v>
      </c>
      <c r="G82" s="649">
        <v>2056</v>
      </c>
      <c r="H82" s="1001" t="s">
        <v>2456</v>
      </c>
      <c r="I82" s="1001" t="s">
        <v>881</v>
      </c>
      <c r="J82" s="1001" t="s">
        <v>110</v>
      </c>
      <c r="K82" s="1001" t="s">
        <v>111</v>
      </c>
      <c r="L82" s="222">
        <v>0.5</v>
      </c>
      <c r="M82" s="1003"/>
      <c r="N82" s="1004" t="s">
        <v>2495</v>
      </c>
      <c r="O82" s="1001"/>
      <c r="P82" s="1001">
        <v>5</v>
      </c>
      <c r="Q82" s="985">
        <v>0.25</v>
      </c>
      <c r="R82" s="1001"/>
      <c r="S82" s="1007">
        <f t="shared" si="2"/>
        <v>0</v>
      </c>
      <c r="T82" s="1001">
        <f t="shared" si="3"/>
        <v>0</v>
      </c>
      <c r="U82" s="1001" t="s">
        <v>34</v>
      </c>
      <c r="V82" s="1001"/>
      <c r="W82" s="1001"/>
    </row>
    <row r="83" spans="1:23" ht="20.55" customHeight="1" x14ac:dyDescent="0.4">
      <c r="A83" s="788">
        <v>82</v>
      </c>
      <c r="B83" s="653" t="s">
        <v>2399</v>
      </c>
      <c r="C83" s="653" t="s">
        <v>24</v>
      </c>
      <c r="D83" s="49">
        <v>5403</v>
      </c>
      <c r="E83" s="653" t="s">
        <v>2496</v>
      </c>
      <c r="F83" s="653" t="s">
        <v>2497</v>
      </c>
      <c r="G83" s="653">
        <v>2000</v>
      </c>
      <c r="H83" s="653" t="s">
        <v>2409</v>
      </c>
      <c r="I83" s="653" t="s">
        <v>2498</v>
      </c>
      <c r="J83" s="653" t="s">
        <v>2035</v>
      </c>
      <c r="K83" s="653" t="s">
        <v>58</v>
      </c>
      <c r="L83" s="644">
        <v>0.9</v>
      </c>
      <c r="M83" s="987"/>
      <c r="N83" s="988" t="s">
        <v>2499</v>
      </c>
      <c r="O83" s="653"/>
      <c r="P83" s="653">
        <v>4</v>
      </c>
      <c r="Q83" s="983">
        <v>0.2</v>
      </c>
      <c r="R83" s="653"/>
      <c r="S83" s="644">
        <f t="shared" si="2"/>
        <v>0</v>
      </c>
      <c r="T83" s="653">
        <f t="shared" si="3"/>
        <v>0</v>
      </c>
      <c r="U83" s="653" t="s">
        <v>83</v>
      </c>
      <c r="V83" s="1949">
        <f>SUM(T83:T89)%</f>
        <v>0</v>
      </c>
      <c r="W83" s="653"/>
    </row>
    <row r="84" spans="1:23" ht="20.55" customHeight="1" x14ac:dyDescent="0.4">
      <c r="A84" s="788">
        <v>83</v>
      </c>
      <c r="B84" s="649" t="s">
        <v>2399</v>
      </c>
      <c r="C84" s="649" t="s">
        <v>24</v>
      </c>
      <c r="D84" s="68">
        <v>5403</v>
      </c>
      <c r="E84" s="649" t="s">
        <v>2496</v>
      </c>
      <c r="F84" s="649" t="s">
        <v>2497</v>
      </c>
      <c r="G84" s="649">
        <v>2000</v>
      </c>
      <c r="H84" s="649" t="s">
        <v>2409</v>
      </c>
      <c r="I84" s="649" t="s">
        <v>2498</v>
      </c>
      <c r="J84" s="79" t="s">
        <v>2035</v>
      </c>
      <c r="K84" s="79" t="s">
        <v>58</v>
      </c>
      <c r="L84" s="647">
        <v>0.9</v>
      </c>
      <c r="M84" s="989"/>
      <c r="N84" s="990" t="s">
        <v>2500</v>
      </c>
      <c r="O84" s="79"/>
      <c r="P84" s="815">
        <v>0.1</v>
      </c>
      <c r="Q84" s="986">
        <v>0.15</v>
      </c>
      <c r="R84" s="815"/>
      <c r="S84" s="647">
        <f t="shared" si="2"/>
        <v>0</v>
      </c>
      <c r="T84" s="79">
        <f t="shared" si="3"/>
        <v>0</v>
      </c>
      <c r="U84" s="79" t="s">
        <v>34</v>
      </c>
      <c r="V84" s="79"/>
      <c r="W84" s="649"/>
    </row>
    <row r="85" spans="1:23" ht="20.55" customHeight="1" x14ac:dyDescent="0.4">
      <c r="A85" s="788">
        <v>84</v>
      </c>
      <c r="B85" s="649" t="s">
        <v>2399</v>
      </c>
      <c r="C85" s="649" t="s">
        <v>24</v>
      </c>
      <c r="D85" s="68">
        <v>5403</v>
      </c>
      <c r="E85" s="649" t="s">
        <v>2496</v>
      </c>
      <c r="F85" s="649" t="s">
        <v>2497</v>
      </c>
      <c r="G85" s="649">
        <v>2000</v>
      </c>
      <c r="H85" s="649" t="s">
        <v>2409</v>
      </c>
      <c r="I85" s="649" t="s">
        <v>2498</v>
      </c>
      <c r="J85" s="79" t="s">
        <v>2035</v>
      </c>
      <c r="K85" s="79" t="s">
        <v>58</v>
      </c>
      <c r="L85" s="647">
        <v>0.9</v>
      </c>
      <c r="M85" s="989"/>
      <c r="N85" s="990" t="s">
        <v>2501</v>
      </c>
      <c r="O85" s="79"/>
      <c r="P85" s="79">
        <v>2</v>
      </c>
      <c r="Q85" s="986">
        <v>0.2</v>
      </c>
      <c r="R85" s="79"/>
      <c r="S85" s="647">
        <f t="shared" si="2"/>
        <v>0</v>
      </c>
      <c r="T85" s="79">
        <f t="shared" si="3"/>
        <v>0</v>
      </c>
      <c r="U85" s="79" t="s">
        <v>83</v>
      </c>
      <c r="V85" s="79"/>
      <c r="W85" s="649"/>
    </row>
    <row r="86" spans="1:23" ht="20.55" customHeight="1" x14ac:dyDescent="0.4">
      <c r="A86" s="788">
        <v>85</v>
      </c>
      <c r="B86" s="649" t="s">
        <v>2399</v>
      </c>
      <c r="C86" s="649" t="s">
        <v>24</v>
      </c>
      <c r="D86" s="68">
        <v>5403</v>
      </c>
      <c r="E86" s="649" t="s">
        <v>2496</v>
      </c>
      <c r="F86" s="649" t="s">
        <v>2497</v>
      </c>
      <c r="G86" s="649">
        <v>2000</v>
      </c>
      <c r="H86" s="649" t="s">
        <v>2409</v>
      </c>
      <c r="I86" s="649" t="s">
        <v>2498</v>
      </c>
      <c r="J86" s="79" t="s">
        <v>2035</v>
      </c>
      <c r="K86" s="79" t="s">
        <v>58</v>
      </c>
      <c r="L86" s="647">
        <v>0.9</v>
      </c>
      <c r="M86" s="989"/>
      <c r="N86" s="990" t="s">
        <v>2502</v>
      </c>
      <c r="O86" s="79"/>
      <c r="P86" s="815">
        <v>0.95</v>
      </c>
      <c r="Q86" s="986">
        <v>0.15</v>
      </c>
      <c r="R86" s="815"/>
      <c r="S86" s="647">
        <f t="shared" si="2"/>
        <v>0</v>
      </c>
      <c r="T86" s="79">
        <f t="shared" si="3"/>
        <v>0</v>
      </c>
      <c r="U86" s="79" t="s">
        <v>34</v>
      </c>
      <c r="V86" s="79"/>
      <c r="W86" s="649"/>
    </row>
    <row r="87" spans="1:23" ht="20.55" customHeight="1" x14ac:dyDescent="0.4">
      <c r="A87" s="788">
        <v>86</v>
      </c>
      <c r="B87" s="649" t="s">
        <v>2399</v>
      </c>
      <c r="C87" s="649" t="s">
        <v>24</v>
      </c>
      <c r="D87" s="68">
        <v>5403</v>
      </c>
      <c r="E87" s="649" t="s">
        <v>2496</v>
      </c>
      <c r="F87" s="649" t="s">
        <v>2497</v>
      </c>
      <c r="G87" s="649">
        <v>2000</v>
      </c>
      <c r="H87" s="649" t="s">
        <v>2409</v>
      </c>
      <c r="I87" s="649" t="s">
        <v>2498</v>
      </c>
      <c r="J87" s="79" t="s">
        <v>2035</v>
      </c>
      <c r="K87" s="79" t="s">
        <v>58</v>
      </c>
      <c r="L87" s="647">
        <v>0.9</v>
      </c>
      <c r="M87" s="989"/>
      <c r="N87" s="990" t="s">
        <v>2503</v>
      </c>
      <c r="O87" s="79"/>
      <c r="P87" s="79">
        <v>0</v>
      </c>
      <c r="Q87" s="986">
        <v>0.15</v>
      </c>
      <c r="R87" s="79"/>
      <c r="S87" s="647">
        <f t="shared" si="2"/>
        <v>0</v>
      </c>
      <c r="T87" s="79">
        <f t="shared" si="3"/>
        <v>0</v>
      </c>
      <c r="U87" s="79" t="s">
        <v>34</v>
      </c>
      <c r="V87" s="79"/>
      <c r="W87" s="649"/>
    </row>
    <row r="88" spans="1:23" ht="20.55" customHeight="1" x14ac:dyDescent="0.4">
      <c r="A88" s="788">
        <v>87</v>
      </c>
      <c r="B88" s="649" t="s">
        <v>2399</v>
      </c>
      <c r="C88" s="649" t="s">
        <v>24</v>
      </c>
      <c r="D88" s="68">
        <v>5403</v>
      </c>
      <c r="E88" s="649" t="s">
        <v>2496</v>
      </c>
      <c r="F88" s="649" t="s">
        <v>2497</v>
      </c>
      <c r="G88" s="649">
        <v>2000</v>
      </c>
      <c r="H88" s="649" t="s">
        <v>2409</v>
      </c>
      <c r="I88" s="649" t="s">
        <v>2498</v>
      </c>
      <c r="J88" s="79" t="s">
        <v>2035</v>
      </c>
      <c r="K88" s="79" t="s">
        <v>58</v>
      </c>
      <c r="L88" s="647">
        <v>0.9</v>
      </c>
      <c r="M88" s="989"/>
      <c r="N88" s="990" t="s">
        <v>2504</v>
      </c>
      <c r="O88" s="79"/>
      <c r="P88" s="815">
        <v>0.5</v>
      </c>
      <c r="Q88" s="986">
        <v>0.15</v>
      </c>
      <c r="R88" s="815"/>
      <c r="S88" s="647">
        <f t="shared" si="2"/>
        <v>0</v>
      </c>
      <c r="T88" s="79">
        <f t="shared" si="3"/>
        <v>0</v>
      </c>
      <c r="U88" s="79" t="s">
        <v>34</v>
      </c>
      <c r="V88" s="79"/>
      <c r="W88" s="649"/>
    </row>
    <row r="89" spans="1:23" ht="20.55" customHeight="1" x14ac:dyDescent="0.4">
      <c r="A89" s="788">
        <v>88</v>
      </c>
      <c r="B89" s="649" t="s">
        <v>2399</v>
      </c>
      <c r="C89" s="649" t="s">
        <v>24</v>
      </c>
      <c r="D89" s="1002">
        <v>5403</v>
      </c>
      <c r="E89" s="1001" t="s">
        <v>2496</v>
      </c>
      <c r="F89" s="1001" t="s">
        <v>2497</v>
      </c>
      <c r="G89" s="1001">
        <v>2000</v>
      </c>
      <c r="H89" s="1001" t="s">
        <v>2409</v>
      </c>
      <c r="I89" s="1001" t="s">
        <v>2498</v>
      </c>
      <c r="J89" s="1001" t="s">
        <v>110</v>
      </c>
      <c r="K89" s="1001" t="s">
        <v>111</v>
      </c>
      <c r="L89" s="222">
        <v>0.1</v>
      </c>
      <c r="M89" s="1003"/>
      <c r="N89" s="1004" t="s">
        <v>2505</v>
      </c>
      <c r="O89" s="1001"/>
      <c r="P89" s="1005">
        <v>1</v>
      </c>
      <c r="Q89" s="985">
        <v>1</v>
      </c>
      <c r="R89" s="1005"/>
      <c r="S89" s="1007">
        <f t="shared" si="2"/>
        <v>0</v>
      </c>
      <c r="T89" s="1001">
        <f t="shared" si="3"/>
        <v>0</v>
      </c>
      <c r="U89" s="649" t="s">
        <v>34</v>
      </c>
      <c r="V89" s="1001"/>
      <c r="W89" s="1001"/>
    </row>
    <row r="90" spans="1:23" ht="20.55" customHeight="1" x14ac:dyDescent="0.4">
      <c r="A90" s="788">
        <v>89</v>
      </c>
      <c r="B90" s="653" t="s">
        <v>2399</v>
      </c>
      <c r="C90" s="653" t="s">
        <v>24</v>
      </c>
      <c r="D90" s="49">
        <v>5455</v>
      </c>
      <c r="E90" s="653" t="s">
        <v>2506</v>
      </c>
      <c r="F90" s="653" t="s">
        <v>755</v>
      </c>
      <c r="G90" s="653">
        <v>2467</v>
      </c>
      <c r="H90" s="653" t="s">
        <v>2507</v>
      </c>
      <c r="I90" s="653" t="s">
        <v>729</v>
      </c>
      <c r="J90" s="653" t="s">
        <v>2035</v>
      </c>
      <c r="K90" s="653" t="s">
        <v>58</v>
      </c>
      <c r="L90" s="644">
        <v>0.6</v>
      </c>
      <c r="M90" s="987"/>
      <c r="N90" s="749" t="s">
        <v>1309</v>
      </c>
      <c r="O90" s="749"/>
      <c r="P90" s="644">
        <v>1</v>
      </c>
      <c r="Q90" s="1015">
        <v>0.1</v>
      </c>
      <c r="R90" s="644"/>
      <c r="S90" s="644">
        <f t="shared" si="2"/>
        <v>0</v>
      </c>
      <c r="T90" s="653">
        <f t="shared" si="3"/>
        <v>0</v>
      </c>
      <c r="U90" s="653" t="s">
        <v>34</v>
      </c>
      <c r="V90" s="1949">
        <f>SUM(T90:T113)%</f>
        <v>0</v>
      </c>
      <c r="W90" s="1016" t="s">
        <v>2508</v>
      </c>
    </row>
    <row r="91" spans="1:23" ht="20.55" customHeight="1" x14ac:dyDescent="0.4">
      <c r="A91" s="788">
        <v>90</v>
      </c>
      <c r="B91" s="649" t="s">
        <v>2399</v>
      </c>
      <c r="C91" s="649" t="s">
        <v>24</v>
      </c>
      <c r="D91" s="68">
        <v>5455</v>
      </c>
      <c r="E91" s="649" t="s">
        <v>2506</v>
      </c>
      <c r="F91" s="649" t="s">
        <v>755</v>
      </c>
      <c r="G91" s="649">
        <v>2467</v>
      </c>
      <c r="H91" s="649" t="s">
        <v>2507</v>
      </c>
      <c r="I91" s="649" t="s">
        <v>729</v>
      </c>
      <c r="J91" s="79" t="s">
        <v>2035</v>
      </c>
      <c r="K91" s="79" t="s">
        <v>58</v>
      </c>
      <c r="L91" s="647">
        <v>0.6</v>
      </c>
      <c r="M91" s="989"/>
      <c r="N91" s="757" t="s">
        <v>1310</v>
      </c>
      <c r="O91" s="757"/>
      <c r="P91" s="647">
        <v>1</v>
      </c>
      <c r="Q91" s="363">
        <v>0.05</v>
      </c>
      <c r="R91" s="647"/>
      <c r="S91" s="647">
        <f t="shared" si="2"/>
        <v>0</v>
      </c>
      <c r="T91" s="79">
        <f t="shared" si="3"/>
        <v>0</v>
      </c>
      <c r="U91" s="79" t="s">
        <v>34</v>
      </c>
      <c r="V91" s="647"/>
      <c r="W91" s="649"/>
    </row>
    <row r="92" spans="1:23" ht="20.55" customHeight="1" x14ac:dyDescent="0.4">
      <c r="A92" s="788">
        <v>91</v>
      </c>
      <c r="B92" s="649" t="s">
        <v>2399</v>
      </c>
      <c r="C92" s="649" t="s">
        <v>24</v>
      </c>
      <c r="D92" s="68">
        <v>5455</v>
      </c>
      <c r="E92" s="649" t="s">
        <v>2506</v>
      </c>
      <c r="F92" s="649" t="s">
        <v>755</v>
      </c>
      <c r="G92" s="649">
        <v>2467</v>
      </c>
      <c r="H92" s="649" t="s">
        <v>2507</v>
      </c>
      <c r="I92" s="649" t="s">
        <v>729</v>
      </c>
      <c r="J92" s="79" t="s">
        <v>2035</v>
      </c>
      <c r="K92" s="79" t="s">
        <v>58</v>
      </c>
      <c r="L92" s="647">
        <v>0.6</v>
      </c>
      <c r="M92" s="989"/>
      <c r="N92" s="757" t="s">
        <v>2509</v>
      </c>
      <c r="O92" s="757"/>
      <c r="P92" s="647">
        <v>1</v>
      </c>
      <c r="Q92" s="363">
        <v>0.1</v>
      </c>
      <c r="R92" s="647"/>
      <c r="S92" s="647">
        <f t="shared" si="2"/>
        <v>0</v>
      </c>
      <c r="T92" s="79">
        <f t="shared" si="3"/>
        <v>0</v>
      </c>
      <c r="U92" s="79" t="s">
        <v>34</v>
      </c>
      <c r="V92" s="647"/>
      <c r="W92" s="649"/>
    </row>
    <row r="93" spans="1:23" ht="20.55" customHeight="1" x14ac:dyDescent="0.4">
      <c r="A93" s="788">
        <v>92</v>
      </c>
      <c r="B93" s="649" t="s">
        <v>2399</v>
      </c>
      <c r="C93" s="649" t="s">
        <v>24</v>
      </c>
      <c r="D93" s="68">
        <v>5455</v>
      </c>
      <c r="E93" s="649" t="s">
        <v>2506</v>
      </c>
      <c r="F93" s="649" t="s">
        <v>755</v>
      </c>
      <c r="G93" s="649">
        <v>2467</v>
      </c>
      <c r="H93" s="649" t="s">
        <v>2507</v>
      </c>
      <c r="I93" s="649" t="s">
        <v>729</v>
      </c>
      <c r="J93" s="79" t="s">
        <v>2035</v>
      </c>
      <c r="K93" s="79" t="s">
        <v>58</v>
      </c>
      <c r="L93" s="647">
        <v>0.6</v>
      </c>
      <c r="M93" s="989"/>
      <c r="N93" s="757" t="s">
        <v>2510</v>
      </c>
      <c r="O93" s="757"/>
      <c r="P93" s="647">
        <v>1</v>
      </c>
      <c r="Q93" s="363">
        <v>0.1</v>
      </c>
      <c r="R93" s="647"/>
      <c r="S93" s="647">
        <f t="shared" si="2"/>
        <v>0</v>
      </c>
      <c r="T93" s="79">
        <f t="shared" si="3"/>
        <v>0</v>
      </c>
      <c r="U93" s="79" t="s">
        <v>34</v>
      </c>
      <c r="V93" s="647"/>
      <c r="W93" s="649"/>
    </row>
    <row r="94" spans="1:23" ht="20.55" customHeight="1" x14ac:dyDescent="0.4">
      <c r="A94" s="788">
        <v>93</v>
      </c>
      <c r="B94" s="649" t="s">
        <v>2399</v>
      </c>
      <c r="C94" s="649" t="s">
        <v>24</v>
      </c>
      <c r="D94" s="68">
        <v>5455</v>
      </c>
      <c r="E94" s="649" t="s">
        <v>2506</v>
      </c>
      <c r="F94" s="649" t="s">
        <v>755</v>
      </c>
      <c r="G94" s="649">
        <v>2467</v>
      </c>
      <c r="H94" s="649" t="s">
        <v>2507</v>
      </c>
      <c r="I94" s="649" t="s">
        <v>729</v>
      </c>
      <c r="J94" s="79" t="s">
        <v>2035</v>
      </c>
      <c r="K94" s="79" t="s">
        <v>58</v>
      </c>
      <c r="L94" s="647">
        <v>0.6</v>
      </c>
      <c r="M94" s="989"/>
      <c r="N94" s="757" t="s">
        <v>1312</v>
      </c>
      <c r="O94" s="757"/>
      <c r="P94" s="647">
        <v>1</v>
      </c>
      <c r="Q94" s="363">
        <v>0.15</v>
      </c>
      <c r="R94" s="647"/>
      <c r="S94" s="647">
        <f t="shared" si="2"/>
        <v>0</v>
      </c>
      <c r="T94" s="79">
        <f t="shared" si="3"/>
        <v>0</v>
      </c>
      <c r="U94" s="79" t="s">
        <v>34</v>
      </c>
      <c r="V94" s="647"/>
      <c r="W94" s="649"/>
    </row>
    <row r="95" spans="1:23" ht="20.55" customHeight="1" x14ac:dyDescent="0.4">
      <c r="A95" s="788">
        <v>94</v>
      </c>
      <c r="B95" s="649" t="s">
        <v>2399</v>
      </c>
      <c r="C95" s="649" t="s">
        <v>24</v>
      </c>
      <c r="D95" s="68">
        <v>5455</v>
      </c>
      <c r="E95" s="649" t="s">
        <v>2506</v>
      </c>
      <c r="F95" s="649" t="s">
        <v>755</v>
      </c>
      <c r="G95" s="649">
        <v>2467</v>
      </c>
      <c r="H95" s="649" t="s">
        <v>2507</v>
      </c>
      <c r="I95" s="649" t="s">
        <v>729</v>
      </c>
      <c r="J95" s="79" t="s">
        <v>2035</v>
      </c>
      <c r="K95" s="79" t="s">
        <v>58</v>
      </c>
      <c r="L95" s="647">
        <v>0.6</v>
      </c>
      <c r="M95" s="989"/>
      <c r="N95" s="757" t="s">
        <v>2511</v>
      </c>
      <c r="O95" s="757"/>
      <c r="P95" s="647">
        <v>1</v>
      </c>
      <c r="Q95" s="363">
        <v>0.2</v>
      </c>
      <c r="R95" s="647"/>
      <c r="S95" s="647">
        <f t="shared" si="2"/>
        <v>0</v>
      </c>
      <c r="T95" s="79">
        <f t="shared" si="3"/>
        <v>0</v>
      </c>
      <c r="U95" s="79" t="s">
        <v>34</v>
      </c>
      <c r="V95" s="647"/>
      <c r="W95" s="649"/>
    </row>
    <row r="96" spans="1:23" ht="20.55" customHeight="1" x14ac:dyDescent="0.4">
      <c r="A96" s="788">
        <v>95</v>
      </c>
      <c r="B96" s="649" t="s">
        <v>2399</v>
      </c>
      <c r="C96" s="649" t="s">
        <v>24</v>
      </c>
      <c r="D96" s="68">
        <v>5455</v>
      </c>
      <c r="E96" s="649" t="s">
        <v>2506</v>
      </c>
      <c r="F96" s="649" t="s">
        <v>755</v>
      </c>
      <c r="G96" s="649">
        <v>2467</v>
      </c>
      <c r="H96" s="649" t="s">
        <v>2507</v>
      </c>
      <c r="I96" s="649" t="s">
        <v>729</v>
      </c>
      <c r="J96" s="79" t="s">
        <v>2035</v>
      </c>
      <c r="K96" s="79" t="s">
        <v>58</v>
      </c>
      <c r="L96" s="647">
        <v>0.6</v>
      </c>
      <c r="M96" s="989"/>
      <c r="N96" s="757" t="s">
        <v>2512</v>
      </c>
      <c r="O96" s="757"/>
      <c r="P96" s="647">
        <v>1</v>
      </c>
      <c r="Q96" s="363">
        <v>0.05</v>
      </c>
      <c r="R96" s="647"/>
      <c r="S96" s="647">
        <f t="shared" si="2"/>
        <v>0</v>
      </c>
      <c r="T96" s="79">
        <f t="shared" si="3"/>
        <v>0</v>
      </c>
      <c r="U96" s="79" t="s">
        <v>34</v>
      </c>
      <c r="V96" s="647"/>
      <c r="W96" s="649"/>
    </row>
    <row r="97" spans="1:23" ht="20.55" customHeight="1" x14ac:dyDescent="0.4">
      <c r="A97" s="788">
        <v>96</v>
      </c>
      <c r="B97" s="649" t="s">
        <v>2399</v>
      </c>
      <c r="C97" s="649" t="s">
        <v>24</v>
      </c>
      <c r="D97" s="68">
        <v>5455</v>
      </c>
      <c r="E97" s="649" t="s">
        <v>2506</v>
      </c>
      <c r="F97" s="649" t="s">
        <v>755</v>
      </c>
      <c r="G97" s="649">
        <v>2467</v>
      </c>
      <c r="H97" s="649" t="s">
        <v>2507</v>
      </c>
      <c r="I97" s="649" t="s">
        <v>729</v>
      </c>
      <c r="J97" s="79" t="s">
        <v>2035</v>
      </c>
      <c r="K97" s="79" t="s">
        <v>58</v>
      </c>
      <c r="L97" s="647">
        <v>0.6</v>
      </c>
      <c r="M97" s="989"/>
      <c r="N97" s="757" t="s">
        <v>2513</v>
      </c>
      <c r="O97" s="757"/>
      <c r="P97" s="647">
        <v>1</v>
      </c>
      <c r="Q97" s="363">
        <v>0.1</v>
      </c>
      <c r="R97" s="647"/>
      <c r="S97" s="647">
        <f t="shared" si="2"/>
        <v>0</v>
      </c>
      <c r="T97" s="79">
        <f t="shared" si="3"/>
        <v>0</v>
      </c>
      <c r="U97" s="79" t="s">
        <v>34</v>
      </c>
      <c r="V97" s="647"/>
      <c r="W97" s="649"/>
    </row>
    <row r="98" spans="1:23" ht="20.55" customHeight="1" x14ac:dyDescent="0.4">
      <c r="A98" s="788">
        <v>97</v>
      </c>
      <c r="B98" s="649" t="s">
        <v>2399</v>
      </c>
      <c r="C98" s="649" t="s">
        <v>24</v>
      </c>
      <c r="D98" s="68">
        <v>5455</v>
      </c>
      <c r="E98" s="649" t="s">
        <v>2506</v>
      </c>
      <c r="F98" s="649" t="s">
        <v>755</v>
      </c>
      <c r="G98" s="649">
        <v>2467</v>
      </c>
      <c r="H98" s="649" t="s">
        <v>2507</v>
      </c>
      <c r="I98" s="649" t="s">
        <v>729</v>
      </c>
      <c r="J98" s="79" t="s">
        <v>2035</v>
      </c>
      <c r="K98" s="79" t="s">
        <v>58</v>
      </c>
      <c r="L98" s="647">
        <v>0.6</v>
      </c>
      <c r="M98" s="989"/>
      <c r="N98" s="757" t="s">
        <v>2514</v>
      </c>
      <c r="O98" s="757"/>
      <c r="P98" s="647">
        <v>1</v>
      </c>
      <c r="Q98" s="363">
        <v>0.15</v>
      </c>
      <c r="R98" s="647"/>
      <c r="S98" s="647">
        <f t="shared" si="2"/>
        <v>0</v>
      </c>
      <c r="T98" s="79">
        <f t="shared" si="3"/>
        <v>0</v>
      </c>
      <c r="U98" s="79" t="s">
        <v>34</v>
      </c>
      <c r="V98" s="647"/>
      <c r="W98" s="649"/>
    </row>
    <row r="99" spans="1:23" ht="20.55" customHeight="1" x14ac:dyDescent="0.4">
      <c r="A99" s="788">
        <v>98</v>
      </c>
      <c r="B99" s="649" t="s">
        <v>2399</v>
      </c>
      <c r="C99" s="649" t="s">
        <v>24</v>
      </c>
      <c r="D99" s="68">
        <v>5455</v>
      </c>
      <c r="E99" s="649" t="s">
        <v>2506</v>
      </c>
      <c r="F99" s="649" t="s">
        <v>755</v>
      </c>
      <c r="G99" s="649">
        <v>2467</v>
      </c>
      <c r="H99" s="649" t="s">
        <v>2507</v>
      </c>
      <c r="I99" s="649" t="s">
        <v>729</v>
      </c>
      <c r="J99" s="649" t="s">
        <v>110</v>
      </c>
      <c r="K99" s="649" t="s">
        <v>111</v>
      </c>
      <c r="L99" s="222">
        <v>0.4</v>
      </c>
      <c r="M99" s="860"/>
      <c r="N99" s="879" t="s">
        <v>255</v>
      </c>
      <c r="O99" s="879"/>
      <c r="P99" s="874">
        <v>1</v>
      </c>
      <c r="Q99" s="1017">
        <v>0.05</v>
      </c>
      <c r="R99" s="874"/>
      <c r="S99" s="222">
        <f t="shared" si="2"/>
        <v>0</v>
      </c>
      <c r="T99" s="649">
        <f t="shared" si="3"/>
        <v>0</v>
      </c>
      <c r="U99" s="649" t="s">
        <v>34</v>
      </c>
      <c r="V99" s="222"/>
      <c r="W99" s="649"/>
    </row>
    <row r="100" spans="1:23" ht="20.55" customHeight="1" x14ac:dyDescent="0.4">
      <c r="A100" s="788">
        <v>99</v>
      </c>
      <c r="B100" s="649" t="s">
        <v>2399</v>
      </c>
      <c r="C100" s="649" t="s">
        <v>24</v>
      </c>
      <c r="D100" s="68">
        <v>5455</v>
      </c>
      <c r="E100" s="649" t="s">
        <v>2506</v>
      </c>
      <c r="F100" s="649" t="s">
        <v>755</v>
      </c>
      <c r="G100" s="649">
        <v>2467</v>
      </c>
      <c r="H100" s="649" t="s">
        <v>2507</v>
      </c>
      <c r="I100" s="649" t="s">
        <v>729</v>
      </c>
      <c r="J100" s="649" t="s">
        <v>110</v>
      </c>
      <c r="K100" s="649" t="s">
        <v>111</v>
      </c>
      <c r="L100" s="222">
        <v>0.4</v>
      </c>
      <c r="M100" s="860"/>
      <c r="N100" s="879" t="s">
        <v>768</v>
      </c>
      <c r="O100" s="879"/>
      <c r="P100" s="874">
        <v>1</v>
      </c>
      <c r="Q100" s="1017">
        <v>0.05</v>
      </c>
      <c r="R100" s="874"/>
      <c r="S100" s="222">
        <f t="shared" si="2"/>
        <v>0</v>
      </c>
      <c r="T100" s="649">
        <f t="shared" si="3"/>
        <v>0</v>
      </c>
      <c r="U100" s="649" t="s">
        <v>34</v>
      </c>
      <c r="V100" s="222"/>
      <c r="W100" s="649"/>
    </row>
    <row r="101" spans="1:23" ht="20.55" customHeight="1" x14ac:dyDescent="0.4">
      <c r="A101" s="788">
        <v>100</v>
      </c>
      <c r="B101" s="649" t="s">
        <v>2399</v>
      </c>
      <c r="C101" s="649" t="s">
        <v>24</v>
      </c>
      <c r="D101" s="68">
        <v>5455</v>
      </c>
      <c r="E101" s="649" t="s">
        <v>2506</v>
      </c>
      <c r="F101" s="649" t="s">
        <v>755</v>
      </c>
      <c r="G101" s="649">
        <v>2467</v>
      </c>
      <c r="H101" s="649" t="s">
        <v>2507</v>
      </c>
      <c r="I101" s="649" t="s">
        <v>729</v>
      </c>
      <c r="J101" s="649" t="s">
        <v>110</v>
      </c>
      <c r="K101" s="649" t="s">
        <v>111</v>
      </c>
      <c r="L101" s="222">
        <v>0.4</v>
      </c>
      <c r="M101" s="860"/>
      <c r="N101" s="879" t="s">
        <v>769</v>
      </c>
      <c r="O101" s="879"/>
      <c r="P101" s="874">
        <v>1</v>
      </c>
      <c r="Q101" s="1017">
        <v>0.05</v>
      </c>
      <c r="R101" s="874"/>
      <c r="S101" s="222">
        <f t="shared" si="2"/>
        <v>0</v>
      </c>
      <c r="T101" s="649">
        <f t="shared" si="3"/>
        <v>0</v>
      </c>
      <c r="U101" s="649" t="s">
        <v>34</v>
      </c>
      <c r="V101" s="222"/>
      <c r="W101" s="649"/>
    </row>
    <row r="102" spans="1:23" ht="20.55" customHeight="1" x14ac:dyDescent="0.4">
      <c r="A102" s="788">
        <v>101</v>
      </c>
      <c r="B102" s="649" t="s">
        <v>2399</v>
      </c>
      <c r="C102" s="649" t="s">
        <v>24</v>
      </c>
      <c r="D102" s="68">
        <v>5455</v>
      </c>
      <c r="E102" s="649" t="s">
        <v>2506</v>
      </c>
      <c r="F102" s="649" t="s">
        <v>755</v>
      </c>
      <c r="G102" s="649">
        <v>2467</v>
      </c>
      <c r="H102" s="649" t="s">
        <v>2507</v>
      </c>
      <c r="I102" s="649" t="s">
        <v>729</v>
      </c>
      <c r="J102" s="649" t="s">
        <v>110</v>
      </c>
      <c r="K102" s="649" t="s">
        <v>111</v>
      </c>
      <c r="L102" s="222">
        <v>0.4</v>
      </c>
      <c r="M102" s="860"/>
      <c r="N102" s="879" t="s">
        <v>770</v>
      </c>
      <c r="O102" s="879"/>
      <c r="P102" s="874">
        <v>1</v>
      </c>
      <c r="Q102" s="1017">
        <v>0.15</v>
      </c>
      <c r="R102" s="874"/>
      <c r="S102" s="222">
        <f t="shared" si="2"/>
        <v>0</v>
      </c>
      <c r="T102" s="649">
        <f t="shared" si="3"/>
        <v>0</v>
      </c>
      <c r="U102" s="649" t="s">
        <v>34</v>
      </c>
      <c r="V102" s="222"/>
      <c r="W102" s="649"/>
    </row>
    <row r="103" spans="1:23" ht="20.55" customHeight="1" x14ac:dyDescent="0.4">
      <c r="A103" s="788">
        <v>102</v>
      </c>
      <c r="B103" s="649" t="s">
        <v>2399</v>
      </c>
      <c r="C103" s="649" t="s">
        <v>24</v>
      </c>
      <c r="D103" s="68">
        <v>5455</v>
      </c>
      <c r="E103" s="649" t="s">
        <v>2506</v>
      </c>
      <c r="F103" s="649" t="s">
        <v>755</v>
      </c>
      <c r="G103" s="649">
        <v>2467</v>
      </c>
      <c r="H103" s="649" t="s">
        <v>2507</v>
      </c>
      <c r="I103" s="649" t="s">
        <v>729</v>
      </c>
      <c r="J103" s="649" t="s">
        <v>110</v>
      </c>
      <c r="K103" s="649" t="s">
        <v>111</v>
      </c>
      <c r="L103" s="222">
        <v>0.4</v>
      </c>
      <c r="M103" s="860"/>
      <c r="N103" s="879" t="s">
        <v>254</v>
      </c>
      <c r="O103" s="879"/>
      <c r="P103" s="874">
        <v>1</v>
      </c>
      <c r="Q103" s="1017">
        <v>0.1</v>
      </c>
      <c r="R103" s="874"/>
      <c r="S103" s="222">
        <f t="shared" si="2"/>
        <v>0</v>
      </c>
      <c r="T103" s="649">
        <f t="shared" si="3"/>
        <v>0</v>
      </c>
      <c r="U103" s="649" t="s">
        <v>34</v>
      </c>
      <c r="V103" s="222"/>
      <c r="W103" s="649"/>
    </row>
    <row r="104" spans="1:23" ht="20.55" customHeight="1" x14ac:dyDescent="0.4">
      <c r="A104" s="788">
        <v>103</v>
      </c>
      <c r="B104" s="649" t="s">
        <v>2399</v>
      </c>
      <c r="C104" s="649" t="s">
        <v>24</v>
      </c>
      <c r="D104" s="68">
        <v>5455</v>
      </c>
      <c r="E104" s="649" t="s">
        <v>2506</v>
      </c>
      <c r="F104" s="649" t="s">
        <v>755</v>
      </c>
      <c r="G104" s="649">
        <v>2467</v>
      </c>
      <c r="H104" s="649" t="s">
        <v>2507</v>
      </c>
      <c r="I104" s="649" t="s">
        <v>729</v>
      </c>
      <c r="J104" s="649" t="s">
        <v>110</v>
      </c>
      <c r="K104" s="649" t="s">
        <v>111</v>
      </c>
      <c r="L104" s="222">
        <v>0.4</v>
      </c>
      <c r="M104" s="860"/>
      <c r="N104" s="879" t="s">
        <v>771</v>
      </c>
      <c r="O104" s="879"/>
      <c r="P104" s="874">
        <v>1</v>
      </c>
      <c r="Q104" s="1017">
        <v>0.05</v>
      </c>
      <c r="R104" s="874"/>
      <c r="S104" s="222">
        <f t="shared" si="2"/>
        <v>0</v>
      </c>
      <c r="T104" s="649">
        <f t="shared" si="3"/>
        <v>0</v>
      </c>
      <c r="U104" s="649" t="s">
        <v>34</v>
      </c>
      <c r="V104" s="222"/>
      <c r="W104" s="649"/>
    </row>
    <row r="105" spans="1:23" ht="20.55" customHeight="1" x14ac:dyDescent="0.4">
      <c r="A105" s="788">
        <v>104</v>
      </c>
      <c r="B105" s="649" t="s">
        <v>2399</v>
      </c>
      <c r="C105" s="649" t="s">
        <v>24</v>
      </c>
      <c r="D105" s="68">
        <v>5455</v>
      </c>
      <c r="E105" s="649" t="s">
        <v>2506</v>
      </c>
      <c r="F105" s="649" t="s">
        <v>755</v>
      </c>
      <c r="G105" s="649">
        <v>2467</v>
      </c>
      <c r="H105" s="649" t="s">
        <v>2507</v>
      </c>
      <c r="I105" s="649" t="s">
        <v>729</v>
      </c>
      <c r="J105" s="649" t="s">
        <v>110</v>
      </c>
      <c r="K105" s="649" t="s">
        <v>111</v>
      </c>
      <c r="L105" s="222">
        <v>0.4</v>
      </c>
      <c r="M105" s="860"/>
      <c r="N105" s="879" t="s">
        <v>772</v>
      </c>
      <c r="O105" s="879"/>
      <c r="P105" s="874">
        <v>1</v>
      </c>
      <c r="Q105" s="1017">
        <v>0.1</v>
      </c>
      <c r="R105" s="874"/>
      <c r="S105" s="222">
        <f t="shared" si="2"/>
        <v>0</v>
      </c>
      <c r="T105" s="649">
        <f t="shared" si="3"/>
        <v>0</v>
      </c>
      <c r="U105" s="649" t="s">
        <v>34</v>
      </c>
      <c r="V105" s="222"/>
      <c r="W105" s="649"/>
    </row>
    <row r="106" spans="1:23" ht="20.55" customHeight="1" x14ac:dyDescent="0.4">
      <c r="A106" s="788">
        <v>105</v>
      </c>
      <c r="B106" s="649" t="s">
        <v>2399</v>
      </c>
      <c r="C106" s="649" t="s">
        <v>24</v>
      </c>
      <c r="D106" s="68">
        <v>5455</v>
      </c>
      <c r="E106" s="649" t="s">
        <v>2506</v>
      </c>
      <c r="F106" s="649" t="s">
        <v>755</v>
      </c>
      <c r="G106" s="649">
        <v>2467</v>
      </c>
      <c r="H106" s="649" t="s">
        <v>2507</v>
      </c>
      <c r="I106" s="649" t="s">
        <v>729</v>
      </c>
      <c r="J106" s="649" t="s">
        <v>110</v>
      </c>
      <c r="K106" s="649" t="s">
        <v>111</v>
      </c>
      <c r="L106" s="222">
        <v>0.4</v>
      </c>
      <c r="M106" s="860"/>
      <c r="N106" s="879" t="s">
        <v>773</v>
      </c>
      <c r="O106" s="879"/>
      <c r="P106" s="874">
        <v>1</v>
      </c>
      <c r="Q106" s="1017">
        <v>0.05</v>
      </c>
      <c r="R106" s="874"/>
      <c r="S106" s="222">
        <f t="shared" si="2"/>
        <v>0</v>
      </c>
      <c r="T106" s="649">
        <f t="shared" si="3"/>
        <v>0</v>
      </c>
      <c r="U106" s="649" t="s">
        <v>34</v>
      </c>
      <c r="V106" s="222"/>
      <c r="W106" s="649"/>
    </row>
    <row r="107" spans="1:23" ht="20.55" customHeight="1" x14ac:dyDescent="0.4">
      <c r="A107" s="788">
        <v>106</v>
      </c>
      <c r="B107" s="649" t="s">
        <v>2399</v>
      </c>
      <c r="C107" s="649" t="s">
        <v>24</v>
      </c>
      <c r="D107" s="68">
        <v>5455</v>
      </c>
      <c r="E107" s="649" t="s">
        <v>2506</v>
      </c>
      <c r="F107" s="649" t="s">
        <v>755</v>
      </c>
      <c r="G107" s="649">
        <v>2467</v>
      </c>
      <c r="H107" s="649" t="s">
        <v>2507</v>
      </c>
      <c r="I107" s="649" t="s">
        <v>729</v>
      </c>
      <c r="J107" s="649" t="s">
        <v>110</v>
      </c>
      <c r="K107" s="649" t="s">
        <v>111</v>
      </c>
      <c r="L107" s="222">
        <v>0.4</v>
      </c>
      <c r="M107" s="860"/>
      <c r="N107" s="879" t="s">
        <v>774</v>
      </c>
      <c r="O107" s="879"/>
      <c r="P107" s="874">
        <v>1</v>
      </c>
      <c r="Q107" s="1017">
        <v>0.05</v>
      </c>
      <c r="R107" s="874"/>
      <c r="S107" s="222">
        <f t="shared" si="2"/>
        <v>0</v>
      </c>
      <c r="T107" s="649">
        <f t="shared" si="3"/>
        <v>0</v>
      </c>
      <c r="U107" s="649" t="s">
        <v>34</v>
      </c>
      <c r="V107" s="222"/>
      <c r="W107" s="649"/>
    </row>
    <row r="108" spans="1:23" ht="20.55" customHeight="1" x14ac:dyDescent="0.4">
      <c r="A108" s="788">
        <v>107</v>
      </c>
      <c r="B108" s="649" t="s">
        <v>2399</v>
      </c>
      <c r="C108" s="649" t="s">
        <v>24</v>
      </c>
      <c r="D108" s="68">
        <v>5455</v>
      </c>
      <c r="E108" s="649" t="s">
        <v>2506</v>
      </c>
      <c r="F108" s="649" t="s">
        <v>755</v>
      </c>
      <c r="G108" s="649">
        <v>2467</v>
      </c>
      <c r="H108" s="649" t="s">
        <v>2507</v>
      </c>
      <c r="I108" s="649" t="s">
        <v>729</v>
      </c>
      <c r="J108" s="649" t="s">
        <v>110</v>
      </c>
      <c r="K108" s="649" t="s">
        <v>111</v>
      </c>
      <c r="L108" s="222">
        <v>0.4</v>
      </c>
      <c r="M108" s="860"/>
      <c r="N108" s="879" t="s">
        <v>775</v>
      </c>
      <c r="O108" s="879"/>
      <c r="P108" s="874">
        <v>1</v>
      </c>
      <c r="Q108" s="1017">
        <v>0.05</v>
      </c>
      <c r="R108" s="874"/>
      <c r="S108" s="222">
        <f t="shared" si="2"/>
        <v>0</v>
      </c>
      <c r="T108" s="649">
        <f t="shared" si="3"/>
        <v>0</v>
      </c>
      <c r="U108" s="649" t="s">
        <v>34</v>
      </c>
      <c r="V108" s="222"/>
      <c r="W108" s="649"/>
    </row>
    <row r="109" spans="1:23" ht="20.55" customHeight="1" x14ac:dyDescent="0.4">
      <c r="A109" s="788">
        <v>108</v>
      </c>
      <c r="B109" s="649" t="s">
        <v>2399</v>
      </c>
      <c r="C109" s="649" t="s">
        <v>24</v>
      </c>
      <c r="D109" s="68">
        <v>5455</v>
      </c>
      <c r="E109" s="649" t="s">
        <v>2506</v>
      </c>
      <c r="F109" s="649" t="s">
        <v>755</v>
      </c>
      <c r="G109" s="649">
        <v>2467</v>
      </c>
      <c r="H109" s="649" t="s">
        <v>2507</v>
      </c>
      <c r="I109" s="649" t="s">
        <v>729</v>
      </c>
      <c r="J109" s="649" t="s">
        <v>110</v>
      </c>
      <c r="K109" s="649" t="s">
        <v>111</v>
      </c>
      <c r="L109" s="222">
        <v>0.4</v>
      </c>
      <c r="M109" s="860"/>
      <c r="N109" s="879" t="s">
        <v>776</v>
      </c>
      <c r="O109" s="879"/>
      <c r="P109" s="874">
        <v>1</v>
      </c>
      <c r="Q109" s="1017">
        <v>0.1</v>
      </c>
      <c r="R109" s="874"/>
      <c r="S109" s="222">
        <f t="shared" si="2"/>
        <v>0</v>
      </c>
      <c r="T109" s="649">
        <f t="shared" si="3"/>
        <v>0</v>
      </c>
      <c r="U109" s="649" t="s">
        <v>34</v>
      </c>
      <c r="V109" s="222"/>
      <c r="W109" s="649"/>
    </row>
    <row r="110" spans="1:23" ht="20.55" customHeight="1" x14ac:dyDescent="0.4">
      <c r="A110" s="788">
        <v>109</v>
      </c>
      <c r="B110" s="649" t="s">
        <v>2399</v>
      </c>
      <c r="C110" s="649" t="s">
        <v>24</v>
      </c>
      <c r="D110" s="68">
        <v>5455</v>
      </c>
      <c r="E110" s="649" t="s">
        <v>2506</v>
      </c>
      <c r="F110" s="649" t="s">
        <v>755</v>
      </c>
      <c r="G110" s="649">
        <v>2467</v>
      </c>
      <c r="H110" s="649" t="s">
        <v>2507</v>
      </c>
      <c r="I110" s="649" t="s">
        <v>729</v>
      </c>
      <c r="J110" s="649" t="s">
        <v>110</v>
      </c>
      <c r="K110" s="649" t="s">
        <v>111</v>
      </c>
      <c r="L110" s="222">
        <v>0.4</v>
      </c>
      <c r="M110" s="860"/>
      <c r="N110" s="879" t="s">
        <v>251</v>
      </c>
      <c r="O110" s="879"/>
      <c r="P110" s="874">
        <v>1</v>
      </c>
      <c r="Q110" s="1017">
        <v>0.05</v>
      </c>
      <c r="R110" s="874"/>
      <c r="S110" s="222">
        <f t="shared" si="2"/>
        <v>0</v>
      </c>
      <c r="T110" s="649">
        <f t="shared" si="3"/>
        <v>0</v>
      </c>
      <c r="U110" s="649" t="s">
        <v>34</v>
      </c>
      <c r="V110" s="222"/>
      <c r="W110" s="649"/>
    </row>
    <row r="111" spans="1:23" ht="20.55" customHeight="1" x14ac:dyDescent="0.4">
      <c r="A111" s="788">
        <v>110</v>
      </c>
      <c r="B111" s="649" t="s">
        <v>2399</v>
      </c>
      <c r="C111" s="649" t="s">
        <v>24</v>
      </c>
      <c r="D111" s="68">
        <v>5455</v>
      </c>
      <c r="E111" s="649" t="s">
        <v>2506</v>
      </c>
      <c r="F111" s="649" t="s">
        <v>755</v>
      </c>
      <c r="G111" s="649">
        <v>2467</v>
      </c>
      <c r="H111" s="649" t="s">
        <v>2507</v>
      </c>
      <c r="I111" s="649" t="s">
        <v>729</v>
      </c>
      <c r="J111" s="649" t="s">
        <v>110</v>
      </c>
      <c r="K111" s="649" t="s">
        <v>111</v>
      </c>
      <c r="L111" s="222">
        <v>0.4</v>
      </c>
      <c r="M111" s="860"/>
      <c r="N111" s="879" t="s">
        <v>252</v>
      </c>
      <c r="O111" s="879"/>
      <c r="P111" s="874">
        <v>1</v>
      </c>
      <c r="Q111" s="1017">
        <v>0.05</v>
      </c>
      <c r="R111" s="874"/>
      <c r="S111" s="222">
        <f t="shared" si="2"/>
        <v>0</v>
      </c>
      <c r="T111" s="649">
        <f t="shared" si="3"/>
        <v>0</v>
      </c>
      <c r="U111" s="649" t="s">
        <v>34</v>
      </c>
      <c r="V111" s="222"/>
      <c r="W111" s="649"/>
    </row>
    <row r="112" spans="1:23" ht="20.55" customHeight="1" x14ac:dyDescent="0.4">
      <c r="A112" s="788">
        <v>111</v>
      </c>
      <c r="B112" s="649" t="s">
        <v>2399</v>
      </c>
      <c r="C112" s="649" t="s">
        <v>24</v>
      </c>
      <c r="D112" s="68">
        <v>5455</v>
      </c>
      <c r="E112" s="649" t="s">
        <v>2506</v>
      </c>
      <c r="F112" s="649" t="s">
        <v>755</v>
      </c>
      <c r="G112" s="649">
        <v>2467</v>
      </c>
      <c r="H112" s="649" t="s">
        <v>2507</v>
      </c>
      <c r="I112" s="649" t="s">
        <v>729</v>
      </c>
      <c r="J112" s="649" t="s">
        <v>110</v>
      </c>
      <c r="K112" s="649" t="s">
        <v>111</v>
      </c>
      <c r="L112" s="222">
        <v>0.4</v>
      </c>
      <c r="M112" s="860"/>
      <c r="N112" s="879" t="s">
        <v>777</v>
      </c>
      <c r="O112" s="879"/>
      <c r="P112" s="874">
        <v>1</v>
      </c>
      <c r="Q112" s="1017">
        <v>0.05</v>
      </c>
      <c r="R112" s="874"/>
      <c r="S112" s="222">
        <f t="shared" si="2"/>
        <v>0</v>
      </c>
      <c r="T112" s="649">
        <f t="shared" si="3"/>
        <v>0</v>
      </c>
      <c r="U112" s="649" t="s">
        <v>34</v>
      </c>
      <c r="V112" s="222"/>
      <c r="W112" s="649"/>
    </row>
    <row r="113" spans="1:23" ht="20.55" customHeight="1" x14ac:dyDescent="0.4">
      <c r="A113" s="788">
        <v>112</v>
      </c>
      <c r="B113" s="649" t="s">
        <v>2399</v>
      </c>
      <c r="C113" s="649" t="s">
        <v>24</v>
      </c>
      <c r="D113" s="68">
        <v>5455</v>
      </c>
      <c r="E113" s="649" t="s">
        <v>2506</v>
      </c>
      <c r="F113" s="649" t="s">
        <v>755</v>
      </c>
      <c r="G113" s="649">
        <v>2467</v>
      </c>
      <c r="H113" s="649" t="s">
        <v>2507</v>
      </c>
      <c r="I113" s="649" t="s">
        <v>729</v>
      </c>
      <c r="J113" s="649" t="s">
        <v>110</v>
      </c>
      <c r="K113" s="649" t="s">
        <v>111</v>
      </c>
      <c r="L113" s="222">
        <v>0.4</v>
      </c>
      <c r="M113" s="860"/>
      <c r="N113" s="879" t="s">
        <v>253</v>
      </c>
      <c r="O113" s="879"/>
      <c r="P113" s="874">
        <v>1</v>
      </c>
      <c r="Q113" s="1017">
        <v>0.05</v>
      </c>
      <c r="R113" s="874"/>
      <c r="S113" s="222">
        <f t="shared" si="2"/>
        <v>0</v>
      </c>
      <c r="T113" s="649">
        <f t="shared" si="3"/>
        <v>0</v>
      </c>
      <c r="U113" s="649" t="s">
        <v>34</v>
      </c>
      <c r="V113" s="222"/>
      <c r="W113" s="649"/>
    </row>
    <row r="114" spans="1:23" ht="20.55" customHeight="1" x14ac:dyDescent="0.4">
      <c r="A114" s="788">
        <v>113</v>
      </c>
      <c r="B114" s="653" t="s">
        <v>2399</v>
      </c>
      <c r="C114" s="653" t="s">
        <v>24</v>
      </c>
      <c r="D114" s="49">
        <v>2006</v>
      </c>
      <c r="E114" s="653" t="s">
        <v>2515</v>
      </c>
      <c r="F114" s="653" t="s">
        <v>2516</v>
      </c>
      <c r="G114" s="653">
        <v>2057</v>
      </c>
      <c r="H114" s="653" t="s">
        <v>2517</v>
      </c>
      <c r="I114" s="653" t="s">
        <v>175</v>
      </c>
      <c r="J114" s="653" t="s">
        <v>2035</v>
      </c>
      <c r="K114" s="653" t="s">
        <v>58</v>
      </c>
      <c r="L114" s="644">
        <v>1</v>
      </c>
      <c r="M114" s="987"/>
      <c r="N114" s="988" t="s">
        <v>2518</v>
      </c>
      <c r="O114" s="653" t="s">
        <v>2519</v>
      </c>
      <c r="P114" s="644">
        <v>1</v>
      </c>
      <c r="Q114" s="1015">
        <v>0.15</v>
      </c>
      <c r="R114" s="644"/>
      <c r="S114" s="644">
        <f t="shared" si="2"/>
        <v>0</v>
      </c>
      <c r="T114" s="653">
        <f t="shared" si="3"/>
        <v>0</v>
      </c>
      <c r="U114" s="653" t="s">
        <v>34</v>
      </c>
      <c r="V114" s="1949">
        <f>SUM(T114:T122)%</f>
        <v>0</v>
      </c>
      <c r="W114" s="653"/>
    </row>
    <row r="115" spans="1:23" ht="20.55" customHeight="1" x14ac:dyDescent="0.4">
      <c r="A115" s="788">
        <v>114</v>
      </c>
      <c r="B115" s="649" t="s">
        <v>2399</v>
      </c>
      <c r="C115" s="649" t="s">
        <v>24</v>
      </c>
      <c r="D115" s="68">
        <v>2006</v>
      </c>
      <c r="E115" s="649" t="s">
        <v>2515</v>
      </c>
      <c r="F115" s="649" t="s">
        <v>2516</v>
      </c>
      <c r="G115" s="649">
        <v>2057</v>
      </c>
      <c r="H115" s="649" t="s">
        <v>2517</v>
      </c>
      <c r="I115" s="649" t="s">
        <v>175</v>
      </c>
      <c r="J115" s="79" t="s">
        <v>2035</v>
      </c>
      <c r="K115" s="79" t="s">
        <v>58</v>
      </c>
      <c r="L115" s="647">
        <v>1</v>
      </c>
      <c r="M115" s="989"/>
      <c r="N115" s="990" t="s">
        <v>2520</v>
      </c>
      <c r="O115" s="79" t="s">
        <v>2521</v>
      </c>
      <c r="P115" s="647">
        <v>1</v>
      </c>
      <c r="Q115" s="363">
        <v>0.2</v>
      </c>
      <c r="R115" s="647"/>
      <c r="S115" s="647">
        <f t="shared" si="2"/>
        <v>0</v>
      </c>
      <c r="T115" s="79">
        <f t="shared" si="3"/>
        <v>0</v>
      </c>
      <c r="U115" s="79" t="s">
        <v>34</v>
      </c>
      <c r="V115" s="79"/>
      <c r="W115" s="649"/>
    </row>
    <row r="116" spans="1:23" ht="20.55" customHeight="1" x14ac:dyDescent="0.4">
      <c r="A116" s="788">
        <v>115</v>
      </c>
      <c r="B116" s="649" t="s">
        <v>2399</v>
      </c>
      <c r="C116" s="649" t="s">
        <v>24</v>
      </c>
      <c r="D116" s="68">
        <v>2006</v>
      </c>
      <c r="E116" s="649" t="s">
        <v>2515</v>
      </c>
      <c r="F116" s="649" t="s">
        <v>2516</v>
      </c>
      <c r="G116" s="649">
        <v>2057</v>
      </c>
      <c r="H116" s="649" t="s">
        <v>2517</v>
      </c>
      <c r="I116" s="649" t="s">
        <v>175</v>
      </c>
      <c r="J116" s="79" t="s">
        <v>2035</v>
      </c>
      <c r="K116" s="79" t="s">
        <v>58</v>
      </c>
      <c r="L116" s="647">
        <v>1</v>
      </c>
      <c r="M116" s="989"/>
      <c r="N116" s="990" t="s">
        <v>2522</v>
      </c>
      <c r="O116" s="79" t="s">
        <v>2523</v>
      </c>
      <c r="P116" s="647">
        <v>1</v>
      </c>
      <c r="Q116" s="363">
        <v>0.05</v>
      </c>
      <c r="R116" s="647"/>
      <c r="S116" s="647">
        <f t="shared" si="2"/>
        <v>0</v>
      </c>
      <c r="T116" s="79">
        <f t="shared" si="3"/>
        <v>0</v>
      </c>
      <c r="U116" s="79" t="s">
        <v>34</v>
      </c>
      <c r="V116" s="79"/>
      <c r="W116" s="649"/>
    </row>
    <row r="117" spans="1:23" ht="20.55" customHeight="1" x14ac:dyDescent="0.4">
      <c r="A117" s="788">
        <v>116</v>
      </c>
      <c r="B117" s="649" t="s">
        <v>2399</v>
      </c>
      <c r="C117" s="649" t="s">
        <v>24</v>
      </c>
      <c r="D117" s="68">
        <v>2006</v>
      </c>
      <c r="E117" s="649" t="s">
        <v>2515</v>
      </c>
      <c r="F117" s="649" t="s">
        <v>2516</v>
      </c>
      <c r="G117" s="649">
        <v>2057</v>
      </c>
      <c r="H117" s="649" t="s">
        <v>2517</v>
      </c>
      <c r="I117" s="649" t="s">
        <v>175</v>
      </c>
      <c r="J117" s="79" t="s">
        <v>2035</v>
      </c>
      <c r="K117" s="79" t="s">
        <v>58</v>
      </c>
      <c r="L117" s="647">
        <v>1</v>
      </c>
      <c r="M117" s="989"/>
      <c r="N117" s="990" t="s">
        <v>2396</v>
      </c>
      <c r="O117" s="79"/>
      <c r="P117" s="647">
        <v>1</v>
      </c>
      <c r="Q117" s="363">
        <v>0.1</v>
      </c>
      <c r="R117" s="647"/>
      <c r="S117" s="647">
        <f t="shared" si="2"/>
        <v>0</v>
      </c>
      <c r="T117" s="79">
        <f t="shared" si="3"/>
        <v>0</v>
      </c>
      <c r="U117" s="79" t="s">
        <v>34</v>
      </c>
      <c r="V117" s="79"/>
      <c r="W117" s="649"/>
    </row>
    <row r="118" spans="1:23" ht="20.55" customHeight="1" x14ac:dyDescent="0.4">
      <c r="A118" s="788">
        <v>117</v>
      </c>
      <c r="B118" s="649" t="s">
        <v>2399</v>
      </c>
      <c r="C118" s="649" t="s">
        <v>24</v>
      </c>
      <c r="D118" s="68">
        <v>2006</v>
      </c>
      <c r="E118" s="649" t="s">
        <v>2515</v>
      </c>
      <c r="F118" s="649" t="s">
        <v>2516</v>
      </c>
      <c r="G118" s="649">
        <v>2057</v>
      </c>
      <c r="H118" s="649" t="s">
        <v>2517</v>
      </c>
      <c r="I118" s="649" t="s">
        <v>175</v>
      </c>
      <c r="J118" s="79" t="s">
        <v>2035</v>
      </c>
      <c r="K118" s="79" t="s">
        <v>58</v>
      </c>
      <c r="L118" s="647">
        <v>1</v>
      </c>
      <c r="M118" s="989"/>
      <c r="N118" s="990" t="s">
        <v>1022</v>
      </c>
      <c r="O118" s="79"/>
      <c r="P118" s="647">
        <v>1</v>
      </c>
      <c r="Q118" s="363">
        <v>0.1</v>
      </c>
      <c r="R118" s="647"/>
      <c r="S118" s="647">
        <f t="shared" si="2"/>
        <v>0</v>
      </c>
      <c r="T118" s="79">
        <f t="shared" si="3"/>
        <v>0</v>
      </c>
      <c r="U118" s="79" t="s">
        <v>34</v>
      </c>
      <c r="V118" s="79"/>
      <c r="W118" s="649"/>
    </row>
    <row r="119" spans="1:23" ht="20.55" customHeight="1" x14ac:dyDescent="0.4">
      <c r="A119" s="788">
        <v>118</v>
      </c>
      <c r="B119" s="649" t="s">
        <v>2399</v>
      </c>
      <c r="C119" s="649" t="s">
        <v>24</v>
      </c>
      <c r="D119" s="68">
        <v>2006</v>
      </c>
      <c r="E119" s="649" t="s">
        <v>2515</v>
      </c>
      <c r="F119" s="649" t="s">
        <v>2516</v>
      </c>
      <c r="G119" s="649">
        <v>2057</v>
      </c>
      <c r="H119" s="649" t="s">
        <v>2517</v>
      </c>
      <c r="I119" s="649" t="s">
        <v>175</v>
      </c>
      <c r="J119" s="79" t="s">
        <v>2035</v>
      </c>
      <c r="K119" s="79" t="s">
        <v>58</v>
      </c>
      <c r="L119" s="647">
        <v>1</v>
      </c>
      <c r="M119" s="989"/>
      <c r="N119" s="990" t="s">
        <v>255</v>
      </c>
      <c r="O119" s="79"/>
      <c r="P119" s="647">
        <v>1</v>
      </c>
      <c r="Q119" s="363">
        <v>0.1</v>
      </c>
      <c r="R119" s="647"/>
      <c r="S119" s="647">
        <f t="shared" si="2"/>
        <v>0</v>
      </c>
      <c r="T119" s="79">
        <f t="shared" si="3"/>
        <v>0</v>
      </c>
      <c r="U119" s="79" t="s">
        <v>34</v>
      </c>
      <c r="V119" s="79"/>
      <c r="W119" s="649"/>
    </row>
    <row r="120" spans="1:23" ht="20.55" customHeight="1" x14ac:dyDescent="0.4">
      <c r="A120" s="788">
        <v>119</v>
      </c>
      <c r="B120" s="649" t="s">
        <v>2399</v>
      </c>
      <c r="C120" s="649" t="s">
        <v>24</v>
      </c>
      <c r="D120" s="68">
        <v>2006</v>
      </c>
      <c r="E120" s="649" t="s">
        <v>2515</v>
      </c>
      <c r="F120" s="649" t="s">
        <v>2516</v>
      </c>
      <c r="G120" s="649">
        <v>2057</v>
      </c>
      <c r="H120" s="649" t="s">
        <v>2517</v>
      </c>
      <c r="I120" s="649" t="s">
        <v>175</v>
      </c>
      <c r="J120" s="79" t="s">
        <v>2035</v>
      </c>
      <c r="K120" s="79" t="s">
        <v>58</v>
      </c>
      <c r="L120" s="647">
        <v>1</v>
      </c>
      <c r="M120" s="989"/>
      <c r="N120" s="990" t="s">
        <v>776</v>
      </c>
      <c r="O120" s="79"/>
      <c r="P120" s="647">
        <v>1</v>
      </c>
      <c r="Q120" s="363">
        <v>0.1</v>
      </c>
      <c r="R120" s="647"/>
      <c r="S120" s="647">
        <f t="shared" si="2"/>
        <v>0</v>
      </c>
      <c r="T120" s="79">
        <f t="shared" si="3"/>
        <v>0</v>
      </c>
      <c r="U120" s="79" t="s">
        <v>34</v>
      </c>
      <c r="V120" s="79"/>
      <c r="W120" s="649"/>
    </row>
    <row r="121" spans="1:23" ht="20.55" customHeight="1" x14ac:dyDescent="0.4">
      <c r="A121" s="788">
        <v>120</v>
      </c>
      <c r="B121" s="649" t="s">
        <v>2399</v>
      </c>
      <c r="C121" s="649" t="s">
        <v>24</v>
      </c>
      <c r="D121" s="68">
        <v>2006</v>
      </c>
      <c r="E121" s="649" t="s">
        <v>2515</v>
      </c>
      <c r="F121" s="649" t="s">
        <v>2516</v>
      </c>
      <c r="G121" s="649">
        <v>2057</v>
      </c>
      <c r="H121" s="649" t="s">
        <v>2517</v>
      </c>
      <c r="I121" s="649" t="s">
        <v>175</v>
      </c>
      <c r="J121" s="79" t="s">
        <v>2035</v>
      </c>
      <c r="K121" s="79" t="s">
        <v>58</v>
      </c>
      <c r="L121" s="647">
        <v>1</v>
      </c>
      <c r="M121" s="989"/>
      <c r="N121" s="990" t="s">
        <v>251</v>
      </c>
      <c r="O121" s="79"/>
      <c r="P121" s="647">
        <v>1</v>
      </c>
      <c r="Q121" s="363">
        <v>0.1</v>
      </c>
      <c r="R121" s="647"/>
      <c r="S121" s="647">
        <f t="shared" si="2"/>
        <v>0</v>
      </c>
      <c r="T121" s="79">
        <f t="shared" si="3"/>
        <v>0</v>
      </c>
      <c r="U121" s="79" t="s">
        <v>34</v>
      </c>
      <c r="V121" s="79"/>
      <c r="W121" s="649"/>
    </row>
    <row r="122" spans="1:23" ht="20.55" customHeight="1" x14ac:dyDescent="0.4">
      <c r="A122" s="788">
        <v>121</v>
      </c>
      <c r="B122" s="649" t="s">
        <v>2399</v>
      </c>
      <c r="C122" s="649" t="s">
        <v>24</v>
      </c>
      <c r="D122" s="68">
        <v>2006</v>
      </c>
      <c r="E122" s="649" t="s">
        <v>2515</v>
      </c>
      <c r="F122" s="649" t="s">
        <v>2516</v>
      </c>
      <c r="G122" s="649">
        <v>2057</v>
      </c>
      <c r="H122" s="649" t="s">
        <v>2517</v>
      </c>
      <c r="I122" s="649" t="s">
        <v>175</v>
      </c>
      <c r="J122" s="79" t="s">
        <v>2035</v>
      </c>
      <c r="K122" s="79" t="s">
        <v>58</v>
      </c>
      <c r="L122" s="647">
        <v>1</v>
      </c>
      <c r="M122" s="989"/>
      <c r="N122" s="990" t="s">
        <v>1029</v>
      </c>
      <c r="O122" s="79"/>
      <c r="P122" s="647">
        <v>1</v>
      </c>
      <c r="Q122" s="363">
        <v>0.1</v>
      </c>
      <c r="R122" s="647"/>
      <c r="S122" s="647">
        <f t="shared" si="2"/>
        <v>0</v>
      </c>
      <c r="T122" s="79">
        <f t="shared" si="3"/>
        <v>0</v>
      </c>
      <c r="U122" s="79" t="s">
        <v>34</v>
      </c>
      <c r="V122" s="79"/>
      <c r="W122" s="649"/>
    </row>
    <row r="123" spans="1:23" ht="20.55" customHeight="1" x14ac:dyDescent="0.4">
      <c r="A123" s="788">
        <v>122</v>
      </c>
      <c r="B123" s="653" t="s">
        <v>2399</v>
      </c>
      <c r="C123" s="653" t="s">
        <v>24</v>
      </c>
      <c r="D123" s="49">
        <v>2399</v>
      </c>
      <c r="E123" s="653" t="s">
        <v>2524</v>
      </c>
      <c r="F123" s="653" t="s">
        <v>1014</v>
      </c>
      <c r="G123" s="653">
        <v>2057</v>
      </c>
      <c r="H123" s="653" t="s">
        <v>2517</v>
      </c>
      <c r="I123" s="653" t="s">
        <v>175</v>
      </c>
      <c r="J123" s="653" t="s">
        <v>2035</v>
      </c>
      <c r="K123" s="653" t="s">
        <v>58</v>
      </c>
      <c r="L123" s="644">
        <v>1</v>
      </c>
      <c r="M123" s="987"/>
      <c r="N123" s="988" t="s">
        <v>2525</v>
      </c>
      <c r="O123" s="653" t="s">
        <v>2526</v>
      </c>
      <c r="P123" s="644">
        <v>1</v>
      </c>
      <c r="Q123" s="1015">
        <v>0.15</v>
      </c>
      <c r="R123" s="644"/>
      <c r="S123" s="644">
        <f t="shared" si="2"/>
        <v>0</v>
      </c>
      <c r="T123" s="653">
        <f t="shared" si="3"/>
        <v>0</v>
      </c>
      <c r="U123" s="653" t="s">
        <v>34</v>
      </c>
      <c r="V123" s="1949">
        <f>SUM(T123:T131)%</f>
        <v>0</v>
      </c>
      <c r="W123" s="653"/>
    </row>
    <row r="124" spans="1:23" ht="20.55" customHeight="1" x14ac:dyDescent="0.4">
      <c r="A124" s="788">
        <v>123</v>
      </c>
      <c r="B124" s="649" t="s">
        <v>2399</v>
      </c>
      <c r="C124" s="649" t="s">
        <v>24</v>
      </c>
      <c r="D124" s="68">
        <v>2399</v>
      </c>
      <c r="E124" s="649" t="s">
        <v>2524</v>
      </c>
      <c r="F124" s="649" t="s">
        <v>1014</v>
      </c>
      <c r="G124" s="649">
        <v>2057</v>
      </c>
      <c r="H124" s="649" t="s">
        <v>2517</v>
      </c>
      <c r="I124" s="649" t="s">
        <v>175</v>
      </c>
      <c r="J124" s="79" t="s">
        <v>2035</v>
      </c>
      <c r="K124" s="79" t="s">
        <v>58</v>
      </c>
      <c r="L124" s="647">
        <v>1</v>
      </c>
      <c r="M124" s="989"/>
      <c r="N124" s="990" t="s">
        <v>2518</v>
      </c>
      <c r="O124" s="79" t="s">
        <v>2519</v>
      </c>
      <c r="P124" s="647">
        <v>0.95</v>
      </c>
      <c r="Q124" s="363">
        <v>0.14000000000000001</v>
      </c>
      <c r="R124" s="647"/>
      <c r="S124" s="647">
        <f t="shared" si="2"/>
        <v>0</v>
      </c>
      <c r="T124" s="79">
        <f t="shared" si="3"/>
        <v>0</v>
      </c>
      <c r="U124" s="79" t="s">
        <v>34</v>
      </c>
      <c r="V124" s="1018"/>
      <c r="W124" s="649"/>
    </row>
    <row r="125" spans="1:23" ht="20.55" customHeight="1" x14ac:dyDescent="0.4">
      <c r="A125" s="788">
        <v>124</v>
      </c>
      <c r="B125" s="649" t="s">
        <v>2399</v>
      </c>
      <c r="C125" s="649" t="s">
        <v>24</v>
      </c>
      <c r="D125" s="68">
        <v>2399</v>
      </c>
      <c r="E125" s="649" t="s">
        <v>2524</v>
      </c>
      <c r="F125" s="649" t="s">
        <v>1014</v>
      </c>
      <c r="G125" s="649">
        <v>2057</v>
      </c>
      <c r="H125" s="649" t="s">
        <v>2517</v>
      </c>
      <c r="I125" s="649" t="s">
        <v>175</v>
      </c>
      <c r="J125" s="79" t="s">
        <v>2035</v>
      </c>
      <c r="K125" s="79" t="s">
        <v>58</v>
      </c>
      <c r="L125" s="647">
        <v>1</v>
      </c>
      <c r="M125" s="989"/>
      <c r="N125" s="990" t="s">
        <v>2210</v>
      </c>
      <c r="O125" s="79" t="s">
        <v>2527</v>
      </c>
      <c r="P125" s="647">
        <v>1</v>
      </c>
      <c r="Q125" s="363">
        <v>0.15</v>
      </c>
      <c r="R125" s="647"/>
      <c r="S125" s="647">
        <f t="shared" si="2"/>
        <v>0</v>
      </c>
      <c r="T125" s="79">
        <f t="shared" si="3"/>
        <v>0</v>
      </c>
      <c r="U125" s="79" t="s">
        <v>34</v>
      </c>
      <c r="V125" s="79"/>
      <c r="W125" s="649"/>
    </row>
    <row r="126" spans="1:23" ht="20.55" customHeight="1" x14ac:dyDescent="0.4">
      <c r="A126" s="788">
        <v>125</v>
      </c>
      <c r="B126" s="649" t="s">
        <v>2399</v>
      </c>
      <c r="C126" s="649" t="s">
        <v>24</v>
      </c>
      <c r="D126" s="68">
        <v>2399</v>
      </c>
      <c r="E126" s="649" t="s">
        <v>2524</v>
      </c>
      <c r="F126" s="649" t="s">
        <v>1014</v>
      </c>
      <c r="G126" s="649">
        <v>2057</v>
      </c>
      <c r="H126" s="649" t="s">
        <v>2517</v>
      </c>
      <c r="I126" s="649" t="s">
        <v>175</v>
      </c>
      <c r="J126" s="79" t="s">
        <v>2035</v>
      </c>
      <c r="K126" s="79" t="s">
        <v>58</v>
      </c>
      <c r="L126" s="647">
        <v>1</v>
      </c>
      <c r="M126" s="989"/>
      <c r="N126" s="990" t="s">
        <v>2212</v>
      </c>
      <c r="O126" s="79"/>
      <c r="P126" s="647">
        <v>1</v>
      </c>
      <c r="Q126" s="363">
        <v>0.1</v>
      </c>
      <c r="R126" s="647"/>
      <c r="S126" s="647">
        <f t="shared" si="2"/>
        <v>0</v>
      </c>
      <c r="T126" s="79">
        <f t="shared" si="3"/>
        <v>0</v>
      </c>
      <c r="U126" s="79" t="s">
        <v>34</v>
      </c>
      <c r="V126" s="79"/>
      <c r="W126" s="649"/>
    </row>
    <row r="127" spans="1:23" ht="20.55" customHeight="1" x14ac:dyDescent="0.4">
      <c r="A127" s="788">
        <v>126</v>
      </c>
      <c r="B127" s="649" t="s">
        <v>2399</v>
      </c>
      <c r="C127" s="649" t="s">
        <v>24</v>
      </c>
      <c r="D127" s="68">
        <v>2399</v>
      </c>
      <c r="E127" s="649" t="s">
        <v>2524</v>
      </c>
      <c r="F127" s="649" t="s">
        <v>1014</v>
      </c>
      <c r="G127" s="649">
        <v>2057</v>
      </c>
      <c r="H127" s="649" t="s">
        <v>2517</v>
      </c>
      <c r="I127" s="649" t="s">
        <v>175</v>
      </c>
      <c r="J127" s="79" t="s">
        <v>2035</v>
      </c>
      <c r="K127" s="79" t="s">
        <v>58</v>
      </c>
      <c r="L127" s="647">
        <v>1</v>
      </c>
      <c r="M127" s="989"/>
      <c r="N127" s="990" t="s">
        <v>1022</v>
      </c>
      <c r="O127" s="79" t="s">
        <v>2528</v>
      </c>
      <c r="P127" s="647">
        <v>1</v>
      </c>
      <c r="Q127" s="363">
        <v>0.1</v>
      </c>
      <c r="R127" s="647"/>
      <c r="S127" s="647">
        <f t="shared" si="2"/>
        <v>0</v>
      </c>
      <c r="T127" s="79">
        <f t="shared" si="3"/>
        <v>0</v>
      </c>
      <c r="U127" s="79" t="s">
        <v>34</v>
      </c>
      <c r="V127" s="79"/>
      <c r="W127" s="649"/>
    </row>
    <row r="128" spans="1:23" ht="20.55" customHeight="1" x14ac:dyDescent="0.4">
      <c r="A128" s="788">
        <v>127</v>
      </c>
      <c r="B128" s="649" t="s">
        <v>2399</v>
      </c>
      <c r="C128" s="649" t="s">
        <v>24</v>
      </c>
      <c r="D128" s="68">
        <v>2399</v>
      </c>
      <c r="E128" s="649" t="s">
        <v>2524</v>
      </c>
      <c r="F128" s="649" t="s">
        <v>1014</v>
      </c>
      <c r="G128" s="649">
        <v>2057</v>
      </c>
      <c r="H128" s="649" t="s">
        <v>2517</v>
      </c>
      <c r="I128" s="649" t="s">
        <v>175</v>
      </c>
      <c r="J128" s="79" t="s">
        <v>2035</v>
      </c>
      <c r="K128" s="79" t="s">
        <v>58</v>
      </c>
      <c r="L128" s="647">
        <v>1</v>
      </c>
      <c r="M128" s="989"/>
      <c r="N128" s="990" t="s">
        <v>255</v>
      </c>
      <c r="O128" s="79"/>
      <c r="P128" s="647">
        <v>1</v>
      </c>
      <c r="Q128" s="363">
        <v>0.08</v>
      </c>
      <c r="R128" s="647"/>
      <c r="S128" s="647">
        <f t="shared" si="2"/>
        <v>0</v>
      </c>
      <c r="T128" s="79">
        <f t="shared" si="3"/>
        <v>0</v>
      </c>
      <c r="U128" s="79" t="s">
        <v>34</v>
      </c>
      <c r="V128" s="79"/>
      <c r="W128" s="649"/>
    </row>
    <row r="129" spans="1:23" ht="20.55" customHeight="1" x14ac:dyDescent="0.4">
      <c r="A129" s="788">
        <v>128</v>
      </c>
      <c r="B129" s="649" t="s">
        <v>2399</v>
      </c>
      <c r="C129" s="649" t="s">
        <v>24</v>
      </c>
      <c r="D129" s="68">
        <v>2399</v>
      </c>
      <c r="E129" s="649" t="s">
        <v>2524</v>
      </c>
      <c r="F129" s="649" t="s">
        <v>1014</v>
      </c>
      <c r="G129" s="649">
        <v>2057</v>
      </c>
      <c r="H129" s="649" t="s">
        <v>2517</v>
      </c>
      <c r="I129" s="649" t="s">
        <v>175</v>
      </c>
      <c r="J129" s="79" t="s">
        <v>2035</v>
      </c>
      <c r="K129" s="79" t="s">
        <v>58</v>
      </c>
      <c r="L129" s="647">
        <v>1</v>
      </c>
      <c r="M129" s="989"/>
      <c r="N129" s="990" t="s">
        <v>776</v>
      </c>
      <c r="O129" s="79" t="s">
        <v>2529</v>
      </c>
      <c r="P129" s="647">
        <v>1</v>
      </c>
      <c r="Q129" s="363">
        <v>0.1</v>
      </c>
      <c r="R129" s="647"/>
      <c r="S129" s="647">
        <f t="shared" si="2"/>
        <v>0</v>
      </c>
      <c r="T129" s="79">
        <f t="shared" si="3"/>
        <v>0</v>
      </c>
      <c r="U129" s="79" t="s">
        <v>34</v>
      </c>
      <c r="V129" s="79"/>
      <c r="W129" s="649"/>
    </row>
    <row r="130" spans="1:23" ht="20.55" customHeight="1" x14ac:dyDescent="0.4">
      <c r="A130" s="788">
        <v>129</v>
      </c>
      <c r="B130" s="649" t="s">
        <v>2399</v>
      </c>
      <c r="C130" s="649" t="s">
        <v>24</v>
      </c>
      <c r="D130" s="68">
        <v>2399</v>
      </c>
      <c r="E130" s="649" t="s">
        <v>2524</v>
      </c>
      <c r="F130" s="649" t="s">
        <v>1014</v>
      </c>
      <c r="G130" s="649">
        <v>2057</v>
      </c>
      <c r="H130" s="649" t="s">
        <v>2517</v>
      </c>
      <c r="I130" s="649" t="s">
        <v>175</v>
      </c>
      <c r="J130" s="79" t="s">
        <v>2035</v>
      </c>
      <c r="K130" s="79" t="s">
        <v>58</v>
      </c>
      <c r="L130" s="647">
        <v>1</v>
      </c>
      <c r="M130" s="989"/>
      <c r="N130" s="990" t="s">
        <v>251</v>
      </c>
      <c r="O130" s="79" t="s">
        <v>2530</v>
      </c>
      <c r="P130" s="647">
        <v>1</v>
      </c>
      <c r="Q130" s="363">
        <v>0.1</v>
      </c>
      <c r="R130" s="647"/>
      <c r="S130" s="647">
        <f t="shared" ref="S130:S193" si="4">ROUND(IF(OR(P130="",R130=""),0,IF(AND(P130=0,R130=0),1,IF(U130="+",R130/P130,P130/R130))),2)</f>
        <v>0</v>
      </c>
      <c r="T130" s="79">
        <f t="shared" ref="T130:T193" si="5">IF(AND(S130&gt;=60%,S130&lt;100%),S130*((Q130*L130)),IF(S130=100%,((Q130*L130)*S130)*100%,IF(S130&gt;100%,((L130*Q130)*100%)*100%,0)))*100</f>
        <v>0</v>
      </c>
      <c r="U130" s="79" t="s">
        <v>34</v>
      </c>
      <c r="V130" s="79"/>
      <c r="W130" s="649"/>
    </row>
    <row r="131" spans="1:23" ht="20.55" customHeight="1" x14ac:dyDescent="0.4">
      <c r="A131" s="788">
        <v>130</v>
      </c>
      <c r="B131" s="649" t="s">
        <v>2399</v>
      </c>
      <c r="C131" s="649" t="s">
        <v>24</v>
      </c>
      <c r="D131" s="68">
        <v>2399</v>
      </c>
      <c r="E131" s="649" t="s">
        <v>2524</v>
      </c>
      <c r="F131" s="649" t="s">
        <v>1014</v>
      </c>
      <c r="G131" s="649">
        <v>2057</v>
      </c>
      <c r="H131" s="649" t="s">
        <v>2517</v>
      </c>
      <c r="I131" s="649" t="s">
        <v>175</v>
      </c>
      <c r="J131" s="79" t="s">
        <v>2035</v>
      </c>
      <c r="K131" s="79" t="s">
        <v>58</v>
      </c>
      <c r="L131" s="647">
        <v>1</v>
      </c>
      <c r="M131" s="989"/>
      <c r="N131" s="990" t="s">
        <v>1029</v>
      </c>
      <c r="O131" s="79"/>
      <c r="P131" s="647">
        <v>1</v>
      </c>
      <c r="Q131" s="363">
        <v>0.08</v>
      </c>
      <c r="R131" s="647"/>
      <c r="S131" s="647">
        <f t="shared" si="4"/>
        <v>0</v>
      </c>
      <c r="T131" s="79">
        <f t="shared" si="5"/>
        <v>0</v>
      </c>
      <c r="U131" s="79" t="s">
        <v>34</v>
      </c>
      <c r="V131" s="79"/>
      <c r="W131" s="649"/>
    </row>
    <row r="132" spans="1:23" ht="20.55" customHeight="1" x14ac:dyDescent="0.4">
      <c r="A132" s="788">
        <v>131</v>
      </c>
      <c r="B132" s="653" t="s">
        <v>2399</v>
      </c>
      <c r="C132" s="653" t="s">
        <v>24</v>
      </c>
      <c r="D132" s="49">
        <v>2057</v>
      </c>
      <c r="E132" s="653" t="s">
        <v>2517</v>
      </c>
      <c r="F132" s="653" t="s">
        <v>2217</v>
      </c>
      <c r="G132" s="653">
        <v>2000</v>
      </c>
      <c r="H132" s="653" t="s">
        <v>2531</v>
      </c>
      <c r="I132" s="653" t="s">
        <v>175</v>
      </c>
      <c r="J132" s="653" t="s">
        <v>2035</v>
      </c>
      <c r="K132" s="653" t="s">
        <v>58</v>
      </c>
      <c r="L132" s="644">
        <v>0.8</v>
      </c>
      <c r="M132" s="987" t="s">
        <v>176</v>
      </c>
      <c r="N132" s="988" t="s">
        <v>177</v>
      </c>
      <c r="O132" s="653"/>
      <c r="P132" s="644">
        <v>0.12</v>
      </c>
      <c r="Q132" s="1015">
        <v>0.15</v>
      </c>
      <c r="R132" s="644"/>
      <c r="S132" s="644">
        <f t="shared" si="4"/>
        <v>0</v>
      </c>
      <c r="T132" s="653">
        <f t="shared" si="5"/>
        <v>0</v>
      </c>
      <c r="U132" s="653" t="s">
        <v>83</v>
      </c>
      <c r="V132" s="1949">
        <f>SUM(T132:T144)%</f>
        <v>0</v>
      </c>
      <c r="W132" s="653"/>
    </row>
    <row r="133" spans="1:23" ht="20.55" customHeight="1" x14ac:dyDescent="0.4">
      <c r="A133" s="788">
        <v>132</v>
      </c>
      <c r="B133" s="649" t="s">
        <v>2399</v>
      </c>
      <c r="C133" s="649" t="s">
        <v>24</v>
      </c>
      <c r="D133" s="68">
        <v>2057</v>
      </c>
      <c r="E133" s="649" t="s">
        <v>2517</v>
      </c>
      <c r="F133" s="649" t="s">
        <v>2217</v>
      </c>
      <c r="G133" s="649">
        <v>2000</v>
      </c>
      <c r="H133" s="649" t="s">
        <v>2531</v>
      </c>
      <c r="I133" s="649" t="s">
        <v>175</v>
      </c>
      <c r="J133" s="79" t="s">
        <v>2035</v>
      </c>
      <c r="K133" s="79" t="s">
        <v>58</v>
      </c>
      <c r="L133" s="647">
        <v>0.8</v>
      </c>
      <c r="M133" s="989" t="s">
        <v>176</v>
      </c>
      <c r="N133" s="990" t="s">
        <v>178</v>
      </c>
      <c r="O133" s="79" t="s">
        <v>1477</v>
      </c>
      <c r="P133" s="647">
        <v>0.02</v>
      </c>
      <c r="Q133" s="363">
        <v>0.15</v>
      </c>
      <c r="R133" s="647"/>
      <c r="S133" s="647">
        <f t="shared" si="4"/>
        <v>0</v>
      </c>
      <c r="T133" s="79">
        <f t="shared" si="5"/>
        <v>0</v>
      </c>
      <c r="U133" s="79" t="s">
        <v>83</v>
      </c>
      <c r="V133" s="79"/>
      <c r="W133" s="649"/>
    </row>
    <row r="134" spans="1:23" ht="20.55" customHeight="1" x14ac:dyDescent="0.4">
      <c r="A134" s="788">
        <v>133</v>
      </c>
      <c r="B134" s="649" t="s">
        <v>2399</v>
      </c>
      <c r="C134" s="649" t="s">
        <v>24</v>
      </c>
      <c r="D134" s="68">
        <v>2057</v>
      </c>
      <c r="E134" s="649" t="s">
        <v>2517</v>
      </c>
      <c r="F134" s="649" t="s">
        <v>2217</v>
      </c>
      <c r="G134" s="649">
        <v>2000</v>
      </c>
      <c r="H134" s="649" t="s">
        <v>2531</v>
      </c>
      <c r="I134" s="649" t="s">
        <v>175</v>
      </c>
      <c r="J134" s="79" t="s">
        <v>2035</v>
      </c>
      <c r="K134" s="79" t="s">
        <v>58</v>
      </c>
      <c r="L134" s="647">
        <v>0.8</v>
      </c>
      <c r="M134" s="989" t="s">
        <v>180</v>
      </c>
      <c r="N134" s="990" t="s">
        <v>181</v>
      </c>
      <c r="O134" s="79"/>
      <c r="P134" s="647">
        <v>1</v>
      </c>
      <c r="Q134" s="363">
        <v>0.25</v>
      </c>
      <c r="R134" s="647"/>
      <c r="S134" s="647">
        <f t="shared" si="4"/>
        <v>0</v>
      </c>
      <c r="T134" s="79">
        <f t="shared" si="5"/>
        <v>0</v>
      </c>
      <c r="U134" s="79" t="s">
        <v>34</v>
      </c>
      <c r="V134" s="79"/>
      <c r="W134" s="649"/>
    </row>
    <row r="135" spans="1:23" ht="20.55" customHeight="1" x14ac:dyDescent="0.4">
      <c r="A135" s="788">
        <v>134</v>
      </c>
      <c r="B135" s="649" t="s">
        <v>2399</v>
      </c>
      <c r="C135" s="649" t="s">
        <v>24</v>
      </c>
      <c r="D135" s="68">
        <v>2057</v>
      </c>
      <c r="E135" s="649" t="s">
        <v>2517</v>
      </c>
      <c r="F135" s="649" t="s">
        <v>2217</v>
      </c>
      <c r="G135" s="649">
        <v>2000</v>
      </c>
      <c r="H135" s="649" t="s">
        <v>2531</v>
      </c>
      <c r="I135" s="649" t="s">
        <v>175</v>
      </c>
      <c r="J135" s="79" t="s">
        <v>2035</v>
      </c>
      <c r="K135" s="79" t="s">
        <v>58</v>
      </c>
      <c r="L135" s="647">
        <v>0.8</v>
      </c>
      <c r="M135" s="989" t="s">
        <v>182</v>
      </c>
      <c r="N135" s="990" t="s">
        <v>183</v>
      </c>
      <c r="O135" s="79"/>
      <c r="P135" s="647">
        <v>1</v>
      </c>
      <c r="Q135" s="363">
        <v>0</v>
      </c>
      <c r="R135" s="647"/>
      <c r="S135" s="647">
        <f t="shared" si="4"/>
        <v>0</v>
      </c>
      <c r="T135" s="79">
        <f t="shared" si="5"/>
        <v>0</v>
      </c>
      <c r="U135" s="79" t="s">
        <v>34</v>
      </c>
      <c r="V135" s="79"/>
      <c r="W135" s="649"/>
    </row>
    <row r="136" spans="1:23" ht="20.55" customHeight="1" x14ac:dyDescent="0.4">
      <c r="A136" s="788">
        <v>135</v>
      </c>
      <c r="B136" s="649" t="s">
        <v>2399</v>
      </c>
      <c r="C136" s="649" t="s">
        <v>24</v>
      </c>
      <c r="D136" s="68">
        <v>2057</v>
      </c>
      <c r="E136" s="649" t="s">
        <v>2517</v>
      </c>
      <c r="F136" s="649" t="s">
        <v>2217</v>
      </c>
      <c r="G136" s="649">
        <v>2000</v>
      </c>
      <c r="H136" s="649" t="s">
        <v>2531</v>
      </c>
      <c r="I136" s="649" t="s">
        <v>175</v>
      </c>
      <c r="J136" s="79" t="s">
        <v>2035</v>
      </c>
      <c r="K136" s="79" t="s">
        <v>58</v>
      </c>
      <c r="L136" s="647">
        <v>0.8</v>
      </c>
      <c r="M136" s="989" t="s">
        <v>185</v>
      </c>
      <c r="N136" s="990" t="s">
        <v>1449</v>
      </c>
      <c r="O136" s="79"/>
      <c r="P136" s="647">
        <v>0.01</v>
      </c>
      <c r="Q136" s="363">
        <v>0.1</v>
      </c>
      <c r="R136" s="647"/>
      <c r="S136" s="647">
        <f t="shared" si="4"/>
        <v>0</v>
      </c>
      <c r="T136" s="79">
        <f t="shared" si="5"/>
        <v>0</v>
      </c>
      <c r="U136" s="79" t="s">
        <v>83</v>
      </c>
      <c r="V136" s="79"/>
      <c r="W136" s="649"/>
    </row>
    <row r="137" spans="1:23" ht="20.55" customHeight="1" x14ac:dyDescent="0.4">
      <c r="A137" s="788">
        <v>136</v>
      </c>
      <c r="B137" s="649" t="s">
        <v>2399</v>
      </c>
      <c r="C137" s="649" t="s">
        <v>24</v>
      </c>
      <c r="D137" s="68">
        <v>2057</v>
      </c>
      <c r="E137" s="649" t="s">
        <v>2517</v>
      </c>
      <c r="F137" s="649" t="s">
        <v>2217</v>
      </c>
      <c r="G137" s="649">
        <v>2000</v>
      </c>
      <c r="H137" s="649" t="s">
        <v>2531</v>
      </c>
      <c r="I137" s="649" t="s">
        <v>175</v>
      </c>
      <c r="J137" s="79" t="s">
        <v>2035</v>
      </c>
      <c r="K137" s="79" t="s">
        <v>58</v>
      </c>
      <c r="L137" s="647">
        <v>0.8</v>
      </c>
      <c r="M137" s="989" t="s">
        <v>188</v>
      </c>
      <c r="N137" s="990" t="s">
        <v>189</v>
      </c>
      <c r="O137" s="79" t="s">
        <v>1451</v>
      </c>
      <c r="P137" s="647">
        <v>0.1</v>
      </c>
      <c r="Q137" s="363">
        <v>0.15</v>
      </c>
      <c r="R137" s="647"/>
      <c r="S137" s="647">
        <f t="shared" si="4"/>
        <v>0</v>
      </c>
      <c r="T137" s="79">
        <f t="shared" si="5"/>
        <v>0</v>
      </c>
      <c r="U137" s="79" t="s">
        <v>83</v>
      </c>
      <c r="V137" s="79"/>
      <c r="W137" s="649"/>
    </row>
    <row r="138" spans="1:23" ht="20.55" customHeight="1" x14ac:dyDescent="0.4">
      <c r="A138" s="788">
        <v>137</v>
      </c>
      <c r="B138" s="649" t="s">
        <v>2399</v>
      </c>
      <c r="C138" s="649" t="s">
        <v>24</v>
      </c>
      <c r="D138" s="68">
        <v>2057</v>
      </c>
      <c r="E138" s="649" t="s">
        <v>2517</v>
      </c>
      <c r="F138" s="649" t="s">
        <v>2217</v>
      </c>
      <c r="G138" s="649">
        <v>2000</v>
      </c>
      <c r="H138" s="649" t="s">
        <v>2531</v>
      </c>
      <c r="I138" s="649" t="s">
        <v>175</v>
      </c>
      <c r="J138" s="79" t="s">
        <v>2035</v>
      </c>
      <c r="K138" s="79" t="s">
        <v>58</v>
      </c>
      <c r="L138" s="647">
        <v>0.8</v>
      </c>
      <c r="M138" s="989" t="s">
        <v>191</v>
      </c>
      <c r="N138" s="990" t="s">
        <v>1452</v>
      </c>
      <c r="O138" s="79"/>
      <c r="P138" s="1018">
        <v>350</v>
      </c>
      <c r="Q138" s="363">
        <v>0.1</v>
      </c>
      <c r="R138" s="1018"/>
      <c r="S138" s="647">
        <f t="shared" si="4"/>
        <v>0</v>
      </c>
      <c r="T138" s="79">
        <f t="shared" si="5"/>
        <v>0</v>
      </c>
      <c r="U138" s="79" t="s">
        <v>34</v>
      </c>
      <c r="V138" s="79"/>
      <c r="W138" s="649"/>
    </row>
    <row r="139" spans="1:23" ht="20.55" customHeight="1" x14ac:dyDescent="0.4">
      <c r="A139" s="788">
        <v>138</v>
      </c>
      <c r="B139" s="649" t="s">
        <v>2399</v>
      </c>
      <c r="C139" s="649" t="s">
        <v>24</v>
      </c>
      <c r="D139" s="68">
        <v>2057</v>
      </c>
      <c r="E139" s="649" t="s">
        <v>2517</v>
      </c>
      <c r="F139" s="649" t="s">
        <v>2217</v>
      </c>
      <c r="G139" s="649">
        <v>2000</v>
      </c>
      <c r="H139" s="649" t="s">
        <v>2531</v>
      </c>
      <c r="I139" s="649" t="s">
        <v>175</v>
      </c>
      <c r="J139" s="79" t="s">
        <v>2035</v>
      </c>
      <c r="K139" s="79" t="s">
        <v>58</v>
      </c>
      <c r="L139" s="647">
        <v>0.8</v>
      </c>
      <c r="M139" s="989" t="s">
        <v>2219</v>
      </c>
      <c r="N139" s="990" t="s">
        <v>193</v>
      </c>
      <c r="O139" s="79"/>
      <c r="P139" s="1018">
        <v>50</v>
      </c>
      <c r="Q139" s="363">
        <v>0.1</v>
      </c>
      <c r="R139" s="1018"/>
      <c r="S139" s="647">
        <f t="shared" si="4"/>
        <v>0</v>
      </c>
      <c r="T139" s="79">
        <f t="shared" si="5"/>
        <v>0</v>
      </c>
      <c r="U139" s="79" t="s">
        <v>83</v>
      </c>
      <c r="V139" s="79"/>
      <c r="W139" s="649"/>
    </row>
    <row r="140" spans="1:23" ht="20.55" customHeight="1" x14ac:dyDescent="0.4">
      <c r="A140" s="788">
        <v>139</v>
      </c>
      <c r="B140" s="649" t="s">
        <v>2399</v>
      </c>
      <c r="C140" s="649" t="s">
        <v>24</v>
      </c>
      <c r="D140" s="68">
        <v>2057</v>
      </c>
      <c r="E140" s="649" t="s">
        <v>2517</v>
      </c>
      <c r="F140" s="649" t="s">
        <v>2217</v>
      </c>
      <c r="G140" s="649">
        <v>2000</v>
      </c>
      <c r="H140" s="649" t="s">
        <v>2531</v>
      </c>
      <c r="I140" s="649" t="s">
        <v>175</v>
      </c>
      <c r="J140" s="649" t="s">
        <v>110</v>
      </c>
      <c r="K140" s="649" t="s">
        <v>111</v>
      </c>
      <c r="L140" s="222">
        <v>0.2</v>
      </c>
      <c r="M140" s="860" t="s">
        <v>1457</v>
      </c>
      <c r="N140" s="1013" t="s">
        <v>203</v>
      </c>
      <c r="O140" s="649"/>
      <c r="P140" s="222">
        <v>0.8</v>
      </c>
      <c r="Q140" s="1019">
        <v>0.2</v>
      </c>
      <c r="R140" s="222"/>
      <c r="S140" s="222">
        <f t="shared" si="4"/>
        <v>0</v>
      </c>
      <c r="T140" s="649">
        <f t="shared" si="5"/>
        <v>0</v>
      </c>
      <c r="U140" s="649" t="s">
        <v>34</v>
      </c>
      <c r="V140" s="649"/>
      <c r="W140" s="649"/>
    </row>
    <row r="141" spans="1:23" ht="20.55" customHeight="1" x14ac:dyDescent="0.4">
      <c r="A141" s="788">
        <v>140</v>
      </c>
      <c r="B141" s="649" t="s">
        <v>2399</v>
      </c>
      <c r="C141" s="649" t="s">
        <v>24</v>
      </c>
      <c r="D141" s="68">
        <v>2057</v>
      </c>
      <c r="E141" s="649" t="s">
        <v>2517</v>
      </c>
      <c r="F141" s="649" t="s">
        <v>2217</v>
      </c>
      <c r="G141" s="649">
        <v>2000</v>
      </c>
      <c r="H141" s="649" t="s">
        <v>2531</v>
      </c>
      <c r="I141" s="649" t="s">
        <v>175</v>
      </c>
      <c r="J141" s="649" t="s">
        <v>110</v>
      </c>
      <c r="K141" s="649" t="s">
        <v>111</v>
      </c>
      <c r="L141" s="222">
        <v>0.2</v>
      </c>
      <c r="M141" s="860" t="s">
        <v>2532</v>
      </c>
      <c r="N141" s="1013" t="s">
        <v>2518</v>
      </c>
      <c r="O141" s="649"/>
      <c r="P141" s="222">
        <v>0.95</v>
      </c>
      <c r="Q141" s="1019">
        <v>0.2</v>
      </c>
      <c r="R141" s="222"/>
      <c r="S141" s="222">
        <f>ROUND(IF(OR(P141="",R141=""),0,IF(AND(P141=0,R141=0),1,IF(U141="+",R141/P141,P141/R141))),2)</f>
        <v>0</v>
      </c>
      <c r="T141" s="649">
        <f>IF(AND(S141&gt;=60%,S141&lt;100%),S141*((Q141*L141)),IF(S141=100%,((Q141*L141)*S141)*100%,IF(S141&gt;100%,((L141*Q141)*100%)*100%,0)))*100</f>
        <v>0</v>
      </c>
      <c r="U141" s="649" t="s">
        <v>34</v>
      </c>
      <c r="V141" s="649"/>
      <c r="W141" s="649"/>
    </row>
    <row r="142" spans="1:23" ht="20.55" customHeight="1" x14ac:dyDescent="0.4">
      <c r="A142" s="788">
        <v>141</v>
      </c>
      <c r="B142" s="649" t="s">
        <v>2399</v>
      </c>
      <c r="C142" s="649" t="s">
        <v>24</v>
      </c>
      <c r="D142" s="68">
        <v>2057</v>
      </c>
      <c r="E142" s="649" t="s">
        <v>2517</v>
      </c>
      <c r="F142" s="649" t="s">
        <v>2217</v>
      </c>
      <c r="G142" s="649">
        <v>2000</v>
      </c>
      <c r="H142" s="649" t="s">
        <v>2531</v>
      </c>
      <c r="I142" s="649" t="s">
        <v>175</v>
      </c>
      <c r="J142" s="649" t="s">
        <v>110</v>
      </c>
      <c r="K142" s="649" t="s">
        <v>111</v>
      </c>
      <c r="L142" s="222">
        <v>0.2</v>
      </c>
      <c r="M142" s="860" t="s">
        <v>1470</v>
      </c>
      <c r="N142" s="861" t="s">
        <v>212</v>
      </c>
      <c r="O142" s="649" t="s">
        <v>2221</v>
      </c>
      <c r="P142" s="765">
        <v>3</v>
      </c>
      <c r="Q142" s="1019">
        <v>0.2</v>
      </c>
      <c r="R142" s="765"/>
      <c r="S142" s="222">
        <f>ROUND(IF(OR(P142="",R142=""),0,IF(AND(P142=0,R142=0),1,IF(U142="+",R142/P142,P142/R142))),2)</f>
        <v>0</v>
      </c>
      <c r="T142" s="649">
        <f>IF(AND(S142&gt;=60%,S142&lt;100%),S142*((Q142*L142)),IF(S142=100%,((Q142*L142)*S142)*100%,IF(S142&gt;100%,((L142*Q142)*100%)*100%,0)))*100</f>
        <v>0</v>
      </c>
      <c r="U142" s="649" t="s">
        <v>34</v>
      </c>
      <c r="V142" s="649"/>
      <c r="W142" s="649"/>
    </row>
    <row r="143" spans="1:23" ht="20.55" customHeight="1" x14ac:dyDescent="0.4">
      <c r="A143" s="788">
        <v>142</v>
      </c>
      <c r="B143" s="649" t="s">
        <v>2399</v>
      </c>
      <c r="C143" s="649" t="s">
        <v>24</v>
      </c>
      <c r="D143" s="68">
        <v>2057</v>
      </c>
      <c r="E143" s="649" t="s">
        <v>2517</v>
      </c>
      <c r="F143" s="649" t="s">
        <v>2217</v>
      </c>
      <c r="G143" s="649">
        <v>2000</v>
      </c>
      <c r="H143" s="649" t="s">
        <v>2531</v>
      </c>
      <c r="I143" s="649" t="s">
        <v>175</v>
      </c>
      <c r="J143" s="649" t="s">
        <v>110</v>
      </c>
      <c r="K143" s="649" t="s">
        <v>111</v>
      </c>
      <c r="L143" s="222">
        <v>0.2</v>
      </c>
      <c r="M143" s="860" t="s">
        <v>200</v>
      </c>
      <c r="N143" s="1013" t="s">
        <v>1454</v>
      </c>
      <c r="O143" s="649"/>
      <c r="P143" s="1020">
        <v>31</v>
      </c>
      <c r="Q143" s="1019">
        <v>0.2</v>
      </c>
      <c r="R143" s="1020"/>
      <c r="S143" s="222">
        <f t="shared" si="4"/>
        <v>0</v>
      </c>
      <c r="T143" s="649">
        <f t="shared" si="5"/>
        <v>0</v>
      </c>
      <c r="U143" s="649" t="s">
        <v>34</v>
      </c>
      <c r="V143" s="649"/>
      <c r="W143" s="649"/>
    </row>
    <row r="144" spans="1:23" ht="20.55" customHeight="1" x14ac:dyDescent="0.4">
      <c r="A144" s="788">
        <v>143</v>
      </c>
      <c r="B144" s="649" t="s">
        <v>2399</v>
      </c>
      <c r="C144" s="649" t="s">
        <v>24</v>
      </c>
      <c r="D144" s="68">
        <v>2057</v>
      </c>
      <c r="E144" s="649" t="s">
        <v>2517</v>
      </c>
      <c r="F144" s="649" t="s">
        <v>2217</v>
      </c>
      <c r="G144" s="649">
        <v>2000</v>
      </c>
      <c r="H144" s="649" t="s">
        <v>2531</v>
      </c>
      <c r="I144" s="649" t="s">
        <v>175</v>
      </c>
      <c r="J144" s="649" t="s">
        <v>110</v>
      </c>
      <c r="K144" s="649" t="s">
        <v>111</v>
      </c>
      <c r="L144" s="222">
        <v>0.2</v>
      </c>
      <c r="M144" s="860" t="s">
        <v>197</v>
      </c>
      <c r="N144" s="1013" t="s">
        <v>1456</v>
      </c>
      <c r="O144" s="649"/>
      <c r="P144" s="1020">
        <v>31</v>
      </c>
      <c r="Q144" s="1019">
        <v>0.2</v>
      </c>
      <c r="R144" s="1020"/>
      <c r="S144" s="222">
        <f t="shared" si="4"/>
        <v>0</v>
      </c>
      <c r="T144" s="649">
        <f t="shared" si="5"/>
        <v>0</v>
      </c>
      <c r="U144" s="649" t="s">
        <v>34</v>
      </c>
      <c r="V144" s="649"/>
      <c r="W144" s="649"/>
    </row>
    <row r="145" spans="1:23" ht="20.55" customHeight="1" x14ac:dyDescent="0.4">
      <c r="A145" s="788">
        <v>144</v>
      </c>
      <c r="B145" s="653" t="s">
        <v>2399</v>
      </c>
      <c r="C145" s="653" t="s">
        <v>24</v>
      </c>
      <c r="D145" s="49">
        <v>2177</v>
      </c>
      <c r="E145" s="653" t="s">
        <v>2533</v>
      </c>
      <c r="F145" s="653" t="s">
        <v>346</v>
      </c>
      <c r="G145" s="653">
        <v>2000</v>
      </c>
      <c r="H145" s="653" t="s">
        <v>2531</v>
      </c>
      <c r="I145" s="653" t="s">
        <v>28</v>
      </c>
      <c r="J145" s="653" t="s">
        <v>2035</v>
      </c>
      <c r="K145" s="653" t="s">
        <v>58</v>
      </c>
      <c r="L145" s="644">
        <v>1</v>
      </c>
      <c r="M145" s="987"/>
      <c r="N145" s="988" t="s">
        <v>2534</v>
      </c>
      <c r="O145" s="653" t="s">
        <v>2535</v>
      </c>
      <c r="P145" s="644">
        <v>0.95</v>
      </c>
      <c r="Q145" s="1015">
        <v>0.1</v>
      </c>
      <c r="R145" s="644"/>
      <c r="S145" s="644">
        <f t="shared" si="4"/>
        <v>0</v>
      </c>
      <c r="T145" s="653">
        <f t="shared" si="5"/>
        <v>0</v>
      </c>
      <c r="U145" s="653" t="s">
        <v>34</v>
      </c>
      <c r="V145" s="1949">
        <f>SUM(T145:T154)%</f>
        <v>0</v>
      </c>
      <c r="W145" s="653"/>
    </row>
    <row r="146" spans="1:23" ht="20.55" customHeight="1" x14ac:dyDescent="0.4">
      <c r="A146" s="788">
        <v>145</v>
      </c>
      <c r="B146" s="649" t="s">
        <v>2399</v>
      </c>
      <c r="C146" s="649" t="s">
        <v>24</v>
      </c>
      <c r="D146" s="68">
        <v>2177</v>
      </c>
      <c r="E146" s="649" t="s">
        <v>2533</v>
      </c>
      <c r="F146" s="649" t="s">
        <v>346</v>
      </c>
      <c r="G146" s="649">
        <v>2000</v>
      </c>
      <c r="H146" s="649" t="s">
        <v>2531</v>
      </c>
      <c r="I146" s="649" t="s">
        <v>28</v>
      </c>
      <c r="J146" s="79" t="s">
        <v>2035</v>
      </c>
      <c r="K146" s="79" t="s">
        <v>58</v>
      </c>
      <c r="L146" s="647">
        <v>1</v>
      </c>
      <c r="M146" s="989"/>
      <c r="N146" s="990" t="s">
        <v>2536</v>
      </c>
      <c r="O146" s="79" t="s">
        <v>2537</v>
      </c>
      <c r="P146" s="647">
        <v>0.9</v>
      </c>
      <c r="Q146" s="363">
        <v>0.1</v>
      </c>
      <c r="R146" s="647"/>
      <c r="S146" s="647">
        <f t="shared" si="4"/>
        <v>0</v>
      </c>
      <c r="T146" s="79">
        <f t="shared" si="5"/>
        <v>0</v>
      </c>
      <c r="U146" s="79" t="s">
        <v>34</v>
      </c>
      <c r="V146" s="79"/>
      <c r="W146" s="649"/>
    </row>
    <row r="147" spans="1:23" ht="20.55" customHeight="1" x14ac:dyDescent="0.4">
      <c r="A147" s="788">
        <v>146</v>
      </c>
      <c r="B147" s="649" t="s">
        <v>2399</v>
      </c>
      <c r="C147" s="649" t="s">
        <v>24</v>
      </c>
      <c r="D147" s="68">
        <v>2177</v>
      </c>
      <c r="E147" s="649" t="s">
        <v>2533</v>
      </c>
      <c r="F147" s="649" t="s">
        <v>346</v>
      </c>
      <c r="G147" s="649">
        <v>2000</v>
      </c>
      <c r="H147" s="649" t="s">
        <v>2531</v>
      </c>
      <c r="I147" s="649" t="s">
        <v>28</v>
      </c>
      <c r="J147" s="79" t="s">
        <v>2035</v>
      </c>
      <c r="K147" s="79" t="s">
        <v>58</v>
      </c>
      <c r="L147" s="647">
        <v>1</v>
      </c>
      <c r="M147" s="989"/>
      <c r="N147" s="990" t="s">
        <v>2538</v>
      </c>
      <c r="O147" s="79" t="s">
        <v>2539</v>
      </c>
      <c r="P147" s="1018">
        <v>0</v>
      </c>
      <c r="Q147" s="363">
        <v>0.1</v>
      </c>
      <c r="R147" s="1018"/>
      <c r="S147" s="647">
        <f t="shared" si="4"/>
        <v>0</v>
      </c>
      <c r="T147" s="79">
        <f t="shared" si="5"/>
        <v>0</v>
      </c>
      <c r="U147" s="79" t="s">
        <v>83</v>
      </c>
      <c r="V147" s="79"/>
      <c r="W147" s="649"/>
    </row>
    <row r="148" spans="1:23" ht="20.55" customHeight="1" x14ac:dyDescent="0.4">
      <c r="A148" s="788">
        <v>147</v>
      </c>
      <c r="B148" s="649" t="s">
        <v>2399</v>
      </c>
      <c r="C148" s="649" t="s">
        <v>24</v>
      </c>
      <c r="D148" s="68">
        <v>2177</v>
      </c>
      <c r="E148" s="649" t="s">
        <v>2533</v>
      </c>
      <c r="F148" s="649" t="s">
        <v>346</v>
      </c>
      <c r="G148" s="649">
        <v>2000</v>
      </c>
      <c r="H148" s="649" t="s">
        <v>2531</v>
      </c>
      <c r="I148" s="649" t="s">
        <v>28</v>
      </c>
      <c r="J148" s="79" t="s">
        <v>2035</v>
      </c>
      <c r="K148" s="79" t="s">
        <v>58</v>
      </c>
      <c r="L148" s="647">
        <v>1</v>
      </c>
      <c r="M148" s="989"/>
      <c r="N148" s="990" t="s">
        <v>2540</v>
      </c>
      <c r="O148" s="79" t="s">
        <v>2541</v>
      </c>
      <c r="P148" s="647">
        <v>0.85</v>
      </c>
      <c r="Q148" s="363">
        <v>0.1</v>
      </c>
      <c r="R148" s="647"/>
      <c r="S148" s="647">
        <f t="shared" si="4"/>
        <v>0</v>
      </c>
      <c r="T148" s="79">
        <f t="shared" si="5"/>
        <v>0</v>
      </c>
      <c r="U148" s="79" t="s">
        <v>34</v>
      </c>
      <c r="V148" s="79"/>
      <c r="W148" s="649"/>
    </row>
    <row r="149" spans="1:23" ht="20.55" customHeight="1" x14ac:dyDescent="0.4">
      <c r="A149" s="788">
        <v>148</v>
      </c>
      <c r="B149" s="649" t="s">
        <v>2399</v>
      </c>
      <c r="C149" s="649" t="s">
        <v>24</v>
      </c>
      <c r="D149" s="68">
        <v>2177</v>
      </c>
      <c r="E149" s="649" t="s">
        <v>2533</v>
      </c>
      <c r="F149" s="649" t="s">
        <v>346</v>
      </c>
      <c r="G149" s="649">
        <v>2000</v>
      </c>
      <c r="H149" s="649" t="s">
        <v>2531</v>
      </c>
      <c r="I149" s="649" t="s">
        <v>28</v>
      </c>
      <c r="J149" s="79" t="s">
        <v>2035</v>
      </c>
      <c r="K149" s="79" t="s">
        <v>58</v>
      </c>
      <c r="L149" s="647">
        <v>1</v>
      </c>
      <c r="M149" s="989"/>
      <c r="N149" s="990" t="s">
        <v>2542</v>
      </c>
      <c r="O149" s="79" t="s">
        <v>2543</v>
      </c>
      <c r="P149" s="1018">
        <v>3</v>
      </c>
      <c r="Q149" s="363">
        <v>0.1</v>
      </c>
      <c r="R149" s="1018"/>
      <c r="S149" s="647">
        <f t="shared" si="4"/>
        <v>0</v>
      </c>
      <c r="T149" s="79">
        <f t="shared" si="5"/>
        <v>0</v>
      </c>
      <c r="U149" s="79" t="s">
        <v>34</v>
      </c>
      <c r="V149" s="79"/>
      <c r="W149" s="649"/>
    </row>
    <row r="150" spans="1:23" ht="20.55" customHeight="1" x14ac:dyDescent="0.4">
      <c r="A150" s="788">
        <v>149</v>
      </c>
      <c r="B150" s="649" t="s">
        <v>2399</v>
      </c>
      <c r="C150" s="649" t="s">
        <v>24</v>
      </c>
      <c r="D150" s="68">
        <v>2177</v>
      </c>
      <c r="E150" s="649" t="s">
        <v>2533</v>
      </c>
      <c r="F150" s="649" t="s">
        <v>346</v>
      </c>
      <c r="G150" s="649">
        <v>2000</v>
      </c>
      <c r="H150" s="649" t="s">
        <v>2531</v>
      </c>
      <c r="I150" s="649" t="s">
        <v>28</v>
      </c>
      <c r="J150" s="79" t="s">
        <v>2035</v>
      </c>
      <c r="K150" s="79" t="s">
        <v>58</v>
      </c>
      <c r="L150" s="647">
        <v>1</v>
      </c>
      <c r="M150" s="989"/>
      <c r="N150" s="990" t="s">
        <v>2544</v>
      </c>
      <c r="O150" s="79" t="s">
        <v>2545</v>
      </c>
      <c r="P150" s="647">
        <v>0.95</v>
      </c>
      <c r="Q150" s="363">
        <v>0.1</v>
      </c>
      <c r="R150" s="647"/>
      <c r="S150" s="647">
        <f t="shared" si="4"/>
        <v>0</v>
      </c>
      <c r="T150" s="79">
        <f t="shared" si="5"/>
        <v>0</v>
      </c>
      <c r="U150" s="79" t="s">
        <v>34</v>
      </c>
      <c r="V150" s="79"/>
      <c r="W150" s="649"/>
    </row>
    <row r="151" spans="1:23" ht="20.55" customHeight="1" x14ac:dyDescent="0.4">
      <c r="A151" s="788">
        <v>150</v>
      </c>
      <c r="B151" s="649" t="s">
        <v>2399</v>
      </c>
      <c r="C151" s="649" t="s">
        <v>24</v>
      </c>
      <c r="D151" s="68">
        <v>2177</v>
      </c>
      <c r="E151" s="649" t="s">
        <v>2533</v>
      </c>
      <c r="F151" s="649" t="s">
        <v>346</v>
      </c>
      <c r="G151" s="649">
        <v>2000</v>
      </c>
      <c r="H151" s="649" t="s">
        <v>2531</v>
      </c>
      <c r="I151" s="649" t="s">
        <v>28</v>
      </c>
      <c r="J151" s="79" t="s">
        <v>2035</v>
      </c>
      <c r="K151" s="79" t="s">
        <v>58</v>
      </c>
      <c r="L151" s="647">
        <v>1</v>
      </c>
      <c r="M151" s="989"/>
      <c r="N151" s="990" t="s">
        <v>2546</v>
      </c>
      <c r="O151" s="79" t="s">
        <v>2547</v>
      </c>
      <c r="P151" s="647">
        <v>0.9</v>
      </c>
      <c r="Q151" s="363">
        <v>0.1</v>
      </c>
      <c r="R151" s="647"/>
      <c r="S151" s="647">
        <f t="shared" si="4"/>
        <v>0</v>
      </c>
      <c r="T151" s="79">
        <f t="shared" si="5"/>
        <v>0</v>
      </c>
      <c r="U151" s="79" t="s">
        <v>34</v>
      </c>
      <c r="V151" s="79"/>
      <c r="W151" s="649"/>
    </row>
    <row r="152" spans="1:23" ht="20.55" customHeight="1" x14ac:dyDescent="0.4">
      <c r="A152" s="788">
        <v>151</v>
      </c>
      <c r="B152" s="649" t="s">
        <v>2399</v>
      </c>
      <c r="C152" s="649" t="s">
        <v>24</v>
      </c>
      <c r="D152" s="68">
        <v>2177</v>
      </c>
      <c r="E152" s="649" t="s">
        <v>2533</v>
      </c>
      <c r="F152" s="649" t="s">
        <v>346</v>
      </c>
      <c r="G152" s="649">
        <v>2000</v>
      </c>
      <c r="H152" s="649" t="s">
        <v>2531</v>
      </c>
      <c r="I152" s="649" t="s">
        <v>28</v>
      </c>
      <c r="J152" s="79" t="s">
        <v>2035</v>
      </c>
      <c r="K152" s="79" t="s">
        <v>58</v>
      </c>
      <c r="L152" s="647">
        <v>1</v>
      </c>
      <c r="M152" s="989"/>
      <c r="N152" s="990" t="s">
        <v>2548</v>
      </c>
      <c r="O152" s="79" t="s">
        <v>2549</v>
      </c>
      <c r="P152" s="647">
        <v>0.95</v>
      </c>
      <c r="Q152" s="363">
        <v>0.1</v>
      </c>
      <c r="R152" s="647"/>
      <c r="S152" s="647">
        <f t="shared" si="4"/>
        <v>0</v>
      </c>
      <c r="T152" s="79">
        <f t="shared" si="5"/>
        <v>0</v>
      </c>
      <c r="U152" s="79" t="s">
        <v>34</v>
      </c>
      <c r="V152" s="79"/>
      <c r="W152" s="649"/>
    </row>
    <row r="153" spans="1:23" ht="20.55" customHeight="1" x14ac:dyDescent="0.4">
      <c r="A153" s="788">
        <v>152</v>
      </c>
      <c r="B153" s="649" t="s">
        <v>2399</v>
      </c>
      <c r="C153" s="649" t="s">
        <v>24</v>
      </c>
      <c r="D153" s="68">
        <v>2177</v>
      </c>
      <c r="E153" s="649" t="s">
        <v>2533</v>
      </c>
      <c r="F153" s="649" t="s">
        <v>346</v>
      </c>
      <c r="G153" s="649">
        <v>2000</v>
      </c>
      <c r="H153" s="649" t="s">
        <v>2531</v>
      </c>
      <c r="I153" s="649" t="s">
        <v>28</v>
      </c>
      <c r="J153" s="79" t="s">
        <v>2035</v>
      </c>
      <c r="K153" s="79" t="s">
        <v>58</v>
      </c>
      <c r="L153" s="647">
        <v>1</v>
      </c>
      <c r="M153" s="989"/>
      <c r="N153" s="990" t="s">
        <v>2550</v>
      </c>
      <c r="O153" s="79" t="s">
        <v>2551</v>
      </c>
      <c r="P153" s="1018">
        <v>0.95</v>
      </c>
      <c r="Q153" s="363">
        <v>0.1</v>
      </c>
      <c r="R153" s="1018"/>
      <c r="S153" s="647">
        <f t="shared" si="4"/>
        <v>0</v>
      </c>
      <c r="T153" s="79">
        <f t="shared" si="5"/>
        <v>0</v>
      </c>
      <c r="U153" s="79" t="s">
        <v>34</v>
      </c>
      <c r="V153" s="79"/>
      <c r="W153" s="649"/>
    </row>
    <row r="154" spans="1:23" ht="20.55" customHeight="1" x14ac:dyDescent="0.4">
      <c r="A154" s="788">
        <v>153</v>
      </c>
      <c r="B154" s="649" t="s">
        <v>2399</v>
      </c>
      <c r="C154" s="649" t="s">
        <v>24</v>
      </c>
      <c r="D154" s="68">
        <v>2177</v>
      </c>
      <c r="E154" s="649" t="s">
        <v>2533</v>
      </c>
      <c r="F154" s="649" t="s">
        <v>346</v>
      </c>
      <c r="G154" s="649">
        <v>2000</v>
      </c>
      <c r="H154" s="649" t="s">
        <v>2531</v>
      </c>
      <c r="I154" s="649" t="s">
        <v>28</v>
      </c>
      <c r="J154" s="79" t="s">
        <v>2035</v>
      </c>
      <c r="K154" s="79" t="s">
        <v>58</v>
      </c>
      <c r="L154" s="647">
        <v>1</v>
      </c>
      <c r="M154" s="989"/>
      <c r="N154" s="990" t="s">
        <v>2552</v>
      </c>
      <c r="O154" s="79" t="s">
        <v>2553</v>
      </c>
      <c r="P154" s="647">
        <v>1</v>
      </c>
      <c r="Q154" s="363">
        <v>0.1</v>
      </c>
      <c r="R154" s="647"/>
      <c r="S154" s="647">
        <f t="shared" si="4"/>
        <v>0</v>
      </c>
      <c r="T154" s="79">
        <f t="shared" si="5"/>
        <v>0</v>
      </c>
      <c r="U154" s="79" t="s">
        <v>34</v>
      </c>
      <c r="V154" s="79"/>
      <c r="W154" s="649"/>
    </row>
    <row r="155" spans="1:23" ht="20.55" customHeight="1" x14ac:dyDescent="0.4">
      <c r="A155" s="788">
        <v>154</v>
      </c>
      <c r="B155" s="653" t="s">
        <v>2399</v>
      </c>
      <c r="C155" s="653" t="s">
        <v>24</v>
      </c>
      <c r="D155" s="49">
        <v>2003</v>
      </c>
      <c r="E155" s="653" t="s">
        <v>2554</v>
      </c>
      <c r="F155" s="653" t="s">
        <v>379</v>
      </c>
      <c r="G155" s="653">
        <v>2177</v>
      </c>
      <c r="H155" s="653" t="s">
        <v>2533</v>
      </c>
      <c r="I155" s="653" t="s">
        <v>28</v>
      </c>
      <c r="J155" s="653" t="s">
        <v>2035</v>
      </c>
      <c r="K155" s="653" t="s">
        <v>58</v>
      </c>
      <c r="L155" s="644">
        <v>1</v>
      </c>
      <c r="M155" s="987"/>
      <c r="N155" s="988" t="s">
        <v>1387</v>
      </c>
      <c r="O155" s="653"/>
      <c r="P155" s="644">
        <v>1</v>
      </c>
      <c r="Q155" s="1015">
        <v>0.05</v>
      </c>
      <c r="R155" s="644"/>
      <c r="S155" s="644">
        <f t="shared" si="4"/>
        <v>0</v>
      </c>
      <c r="T155" s="653">
        <f t="shared" si="5"/>
        <v>0</v>
      </c>
      <c r="U155" s="653" t="s">
        <v>34</v>
      </c>
      <c r="V155" s="1949">
        <f>SUM(T155:T165)%</f>
        <v>0</v>
      </c>
      <c r="W155" s="653"/>
    </row>
    <row r="156" spans="1:23" ht="20.55" customHeight="1" x14ac:dyDescent="0.4">
      <c r="A156" s="788">
        <v>155</v>
      </c>
      <c r="B156" s="649" t="s">
        <v>2399</v>
      </c>
      <c r="C156" s="649" t="s">
        <v>24</v>
      </c>
      <c r="D156" s="68">
        <v>2003</v>
      </c>
      <c r="E156" s="649" t="s">
        <v>2554</v>
      </c>
      <c r="F156" s="649" t="s">
        <v>379</v>
      </c>
      <c r="G156" s="649">
        <v>2177</v>
      </c>
      <c r="H156" s="649" t="s">
        <v>2533</v>
      </c>
      <c r="I156" s="649" t="s">
        <v>28</v>
      </c>
      <c r="J156" s="79" t="s">
        <v>2035</v>
      </c>
      <c r="K156" s="79" t="s">
        <v>58</v>
      </c>
      <c r="L156" s="647">
        <v>1</v>
      </c>
      <c r="M156" s="989"/>
      <c r="N156" s="990" t="s">
        <v>352</v>
      </c>
      <c r="O156" s="79"/>
      <c r="P156" s="647">
        <v>1</v>
      </c>
      <c r="Q156" s="363">
        <v>0.15</v>
      </c>
      <c r="R156" s="647"/>
      <c r="S156" s="647">
        <f t="shared" si="4"/>
        <v>0</v>
      </c>
      <c r="T156" s="79">
        <f t="shared" si="5"/>
        <v>0</v>
      </c>
      <c r="U156" s="79" t="s">
        <v>34</v>
      </c>
      <c r="V156" s="79"/>
      <c r="W156" s="649"/>
    </row>
    <row r="157" spans="1:23" ht="20.55" customHeight="1" x14ac:dyDescent="0.4">
      <c r="A157" s="788">
        <v>156</v>
      </c>
      <c r="B157" s="649" t="s">
        <v>2399</v>
      </c>
      <c r="C157" s="649" t="s">
        <v>24</v>
      </c>
      <c r="D157" s="68">
        <v>2003</v>
      </c>
      <c r="E157" s="649" t="s">
        <v>2554</v>
      </c>
      <c r="F157" s="649" t="s">
        <v>379</v>
      </c>
      <c r="G157" s="649">
        <v>2177</v>
      </c>
      <c r="H157" s="649" t="s">
        <v>2533</v>
      </c>
      <c r="I157" s="649" t="s">
        <v>28</v>
      </c>
      <c r="J157" s="79" t="s">
        <v>2035</v>
      </c>
      <c r="K157" s="79" t="s">
        <v>58</v>
      </c>
      <c r="L157" s="647">
        <v>1</v>
      </c>
      <c r="M157" s="989"/>
      <c r="N157" s="990" t="s">
        <v>2555</v>
      </c>
      <c r="O157" s="79"/>
      <c r="P157" s="647">
        <v>1</v>
      </c>
      <c r="Q157" s="363">
        <v>0.1</v>
      </c>
      <c r="R157" s="647"/>
      <c r="S157" s="647">
        <f t="shared" si="4"/>
        <v>0</v>
      </c>
      <c r="T157" s="79">
        <f t="shared" si="5"/>
        <v>0</v>
      </c>
      <c r="U157" s="79" t="s">
        <v>34</v>
      </c>
      <c r="V157" s="79"/>
      <c r="W157" s="649"/>
    </row>
    <row r="158" spans="1:23" ht="20.55" customHeight="1" x14ac:dyDescent="0.4">
      <c r="A158" s="788">
        <v>157</v>
      </c>
      <c r="B158" s="649" t="s">
        <v>2399</v>
      </c>
      <c r="C158" s="649" t="s">
        <v>24</v>
      </c>
      <c r="D158" s="68">
        <v>2003</v>
      </c>
      <c r="E158" s="649" t="s">
        <v>2554</v>
      </c>
      <c r="F158" s="649" t="s">
        <v>379</v>
      </c>
      <c r="G158" s="649">
        <v>2177</v>
      </c>
      <c r="H158" s="649" t="s">
        <v>2533</v>
      </c>
      <c r="I158" s="649" t="s">
        <v>28</v>
      </c>
      <c r="J158" s="79" t="s">
        <v>2035</v>
      </c>
      <c r="K158" s="79" t="s">
        <v>58</v>
      </c>
      <c r="L158" s="647">
        <v>1</v>
      </c>
      <c r="M158" s="989"/>
      <c r="N158" s="990" t="s">
        <v>2556</v>
      </c>
      <c r="O158" s="79"/>
      <c r="P158" s="647">
        <v>1</v>
      </c>
      <c r="Q158" s="363">
        <v>0.05</v>
      </c>
      <c r="R158" s="647"/>
      <c r="S158" s="647">
        <f t="shared" si="4"/>
        <v>0</v>
      </c>
      <c r="T158" s="79">
        <f t="shared" si="5"/>
        <v>0</v>
      </c>
      <c r="U158" s="79" t="s">
        <v>34</v>
      </c>
      <c r="V158" s="79"/>
      <c r="W158" s="649"/>
    </row>
    <row r="159" spans="1:23" ht="20.55" customHeight="1" x14ac:dyDescent="0.4">
      <c r="A159" s="788">
        <v>158</v>
      </c>
      <c r="B159" s="649" t="s">
        <v>2399</v>
      </c>
      <c r="C159" s="649" t="s">
        <v>24</v>
      </c>
      <c r="D159" s="68">
        <v>2003</v>
      </c>
      <c r="E159" s="649" t="s">
        <v>2554</v>
      </c>
      <c r="F159" s="649" t="s">
        <v>379</v>
      </c>
      <c r="G159" s="649">
        <v>2177</v>
      </c>
      <c r="H159" s="649" t="s">
        <v>2533</v>
      </c>
      <c r="I159" s="649" t="s">
        <v>28</v>
      </c>
      <c r="J159" s="79" t="s">
        <v>2035</v>
      </c>
      <c r="K159" s="79" t="s">
        <v>58</v>
      </c>
      <c r="L159" s="647">
        <v>1</v>
      </c>
      <c r="M159" s="989"/>
      <c r="N159" s="990" t="s">
        <v>386</v>
      </c>
      <c r="O159" s="79"/>
      <c r="P159" s="647">
        <v>1</v>
      </c>
      <c r="Q159" s="363">
        <v>0.05</v>
      </c>
      <c r="R159" s="647"/>
      <c r="S159" s="647">
        <f t="shared" si="4"/>
        <v>0</v>
      </c>
      <c r="T159" s="79">
        <f t="shared" si="5"/>
        <v>0</v>
      </c>
      <c r="U159" s="79" t="s">
        <v>34</v>
      </c>
      <c r="V159" s="79"/>
      <c r="W159" s="649"/>
    </row>
    <row r="160" spans="1:23" ht="20.55" customHeight="1" x14ac:dyDescent="0.4">
      <c r="A160" s="788">
        <v>159</v>
      </c>
      <c r="B160" s="649" t="s">
        <v>2399</v>
      </c>
      <c r="C160" s="649" t="s">
        <v>24</v>
      </c>
      <c r="D160" s="68">
        <v>2003</v>
      </c>
      <c r="E160" s="649" t="s">
        <v>2554</v>
      </c>
      <c r="F160" s="649" t="s">
        <v>379</v>
      </c>
      <c r="G160" s="649">
        <v>2177</v>
      </c>
      <c r="H160" s="649" t="s">
        <v>2533</v>
      </c>
      <c r="I160" s="649" t="s">
        <v>28</v>
      </c>
      <c r="J160" s="79" t="s">
        <v>2035</v>
      </c>
      <c r="K160" s="79" t="s">
        <v>58</v>
      </c>
      <c r="L160" s="647">
        <v>1</v>
      </c>
      <c r="M160" s="989"/>
      <c r="N160" s="990" t="s">
        <v>348</v>
      </c>
      <c r="O160" s="79"/>
      <c r="P160" s="647">
        <v>1</v>
      </c>
      <c r="Q160" s="363">
        <v>0.1</v>
      </c>
      <c r="R160" s="647"/>
      <c r="S160" s="647">
        <f t="shared" si="4"/>
        <v>0</v>
      </c>
      <c r="T160" s="79">
        <f t="shared" si="5"/>
        <v>0</v>
      </c>
      <c r="U160" s="79" t="s">
        <v>34</v>
      </c>
      <c r="V160" s="79"/>
      <c r="W160" s="649"/>
    </row>
    <row r="161" spans="1:23" ht="20.55" customHeight="1" x14ac:dyDescent="0.4">
      <c r="A161" s="788">
        <v>160</v>
      </c>
      <c r="B161" s="649" t="s">
        <v>2399</v>
      </c>
      <c r="C161" s="649" t="s">
        <v>24</v>
      </c>
      <c r="D161" s="68">
        <v>2003</v>
      </c>
      <c r="E161" s="649" t="s">
        <v>2554</v>
      </c>
      <c r="F161" s="649" t="s">
        <v>379</v>
      </c>
      <c r="G161" s="649">
        <v>2177</v>
      </c>
      <c r="H161" s="649" t="s">
        <v>2533</v>
      </c>
      <c r="I161" s="649" t="s">
        <v>28</v>
      </c>
      <c r="J161" s="79" t="s">
        <v>2035</v>
      </c>
      <c r="K161" s="79" t="s">
        <v>58</v>
      </c>
      <c r="L161" s="647">
        <v>1</v>
      </c>
      <c r="M161" s="989"/>
      <c r="N161" s="990" t="s">
        <v>388</v>
      </c>
      <c r="O161" s="79"/>
      <c r="P161" s="647">
        <v>1</v>
      </c>
      <c r="Q161" s="363">
        <v>0.2</v>
      </c>
      <c r="R161" s="647"/>
      <c r="S161" s="647">
        <f t="shared" si="4"/>
        <v>0</v>
      </c>
      <c r="T161" s="79">
        <f t="shared" si="5"/>
        <v>0</v>
      </c>
      <c r="U161" s="79" t="s">
        <v>34</v>
      </c>
      <c r="V161" s="79"/>
      <c r="W161" s="649"/>
    </row>
    <row r="162" spans="1:23" ht="20.55" customHeight="1" x14ac:dyDescent="0.4">
      <c r="A162" s="788">
        <v>161</v>
      </c>
      <c r="B162" s="649" t="s">
        <v>2399</v>
      </c>
      <c r="C162" s="649" t="s">
        <v>24</v>
      </c>
      <c r="D162" s="68">
        <v>2003</v>
      </c>
      <c r="E162" s="649" t="s">
        <v>2554</v>
      </c>
      <c r="F162" s="649" t="s">
        <v>379</v>
      </c>
      <c r="G162" s="649">
        <v>2177</v>
      </c>
      <c r="H162" s="649" t="s">
        <v>2533</v>
      </c>
      <c r="I162" s="649" t="s">
        <v>28</v>
      </c>
      <c r="J162" s="79" t="s">
        <v>2035</v>
      </c>
      <c r="K162" s="79" t="s">
        <v>58</v>
      </c>
      <c r="L162" s="647">
        <v>1</v>
      </c>
      <c r="M162" s="989"/>
      <c r="N162" s="990" t="s">
        <v>393</v>
      </c>
      <c r="O162" s="79"/>
      <c r="P162" s="647">
        <v>1</v>
      </c>
      <c r="Q162" s="363">
        <v>0.05</v>
      </c>
      <c r="R162" s="647"/>
      <c r="S162" s="647">
        <f t="shared" si="4"/>
        <v>0</v>
      </c>
      <c r="T162" s="79">
        <f t="shared" si="5"/>
        <v>0</v>
      </c>
      <c r="U162" s="79" t="s">
        <v>34</v>
      </c>
      <c r="V162" s="79"/>
      <c r="W162" s="649"/>
    </row>
    <row r="163" spans="1:23" ht="20.55" customHeight="1" x14ac:dyDescent="0.4">
      <c r="A163" s="788">
        <v>162</v>
      </c>
      <c r="B163" s="649" t="s">
        <v>2399</v>
      </c>
      <c r="C163" s="649" t="s">
        <v>24</v>
      </c>
      <c r="D163" s="68">
        <v>2003</v>
      </c>
      <c r="E163" s="649" t="s">
        <v>2554</v>
      </c>
      <c r="F163" s="649" t="s">
        <v>379</v>
      </c>
      <c r="G163" s="649">
        <v>2177</v>
      </c>
      <c r="H163" s="649" t="s">
        <v>2533</v>
      </c>
      <c r="I163" s="649" t="s">
        <v>28</v>
      </c>
      <c r="J163" s="79" t="s">
        <v>2035</v>
      </c>
      <c r="K163" s="79" t="s">
        <v>58</v>
      </c>
      <c r="L163" s="647">
        <v>1</v>
      </c>
      <c r="M163" s="989"/>
      <c r="N163" s="990" t="s">
        <v>374</v>
      </c>
      <c r="O163" s="79"/>
      <c r="P163" s="647">
        <v>1</v>
      </c>
      <c r="Q163" s="363">
        <v>0.1</v>
      </c>
      <c r="R163" s="647"/>
      <c r="S163" s="647">
        <f t="shared" si="4"/>
        <v>0</v>
      </c>
      <c r="T163" s="79">
        <f t="shared" si="5"/>
        <v>0</v>
      </c>
      <c r="U163" s="79" t="s">
        <v>34</v>
      </c>
      <c r="V163" s="79"/>
      <c r="W163" s="649"/>
    </row>
    <row r="164" spans="1:23" ht="20.55" customHeight="1" x14ac:dyDescent="0.4">
      <c r="A164" s="788">
        <v>163</v>
      </c>
      <c r="B164" s="649" t="s">
        <v>2399</v>
      </c>
      <c r="C164" s="649" t="s">
        <v>24</v>
      </c>
      <c r="D164" s="68">
        <v>2003</v>
      </c>
      <c r="E164" s="649" t="s">
        <v>2554</v>
      </c>
      <c r="F164" s="649" t="s">
        <v>379</v>
      </c>
      <c r="G164" s="649">
        <v>2177</v>
      </c>
      <c r="H164" s="649" t="s">
        <v>2533</v>
      </c>
      <c r="I164" s="649" t="s">
        <v>28</v>
      </c>
      <c r="J164" s="79" t="s">
        <v>2035</v>
      </c>
      <c r="K164" s="79" t="s">
        <v>58</v>
      </c>
      <c r="L164" s="647">
        <v>1</v>
      </c>
      <c r="M164" s="989"/>
      <c r="N164" s="990" t="s">
        <v>2557</v>
      </c>
      <c r="O164" s="79"/>
      <c r="P164" s="647">
        <v>1</v>
      </c>
      <c r="Q164" s="363">
        <v>0.05</v>
      </c>
      <c r="R164" s="647"/>
      <c r="S164" s="647">
        <f t="shared" si="4"/>
        <v>0</v>
      </c>
      <c r="T164" s="79">
        <f t="shared" si="5"/>
        <v>0</v>
      </c>
      <c r="U164" s="79" t="s">
        <v>34</v>
      </c>
      <c r="V164" s="79"/>
      <c r="W164" s="649"/>
    </row>
    <row r="165" spans="1:23" ht="20.55" customHeight="1" x14ac:dyDescent="0.4">
      <c r="A165" s="788">
        <v>164</v>
      </c>
      <c r="B165" s="1001" t="s">
        <v>2399</v>
      </c>
      <c r="C165" s="1001" t="s">
        <v>24</v>
      </c>
      <c r="D165" s="68">
        <v>2003</v>
      </c>
      <c r="E165" s="649" t="s">
        <v>2554</v>
      </c>
      <c r="F165" s="649" t="s">
        <v>379</v>
      </c>
      <c r="G165" s="649">
        <v>2177</v>
      </c>
      <c r="H165" s="649" t="s">
        <v>2533</v>
      </c>
      <c r="I165" s="1001" t="s">
        <v>28</v>
      </c>
      <c r="J165" s="79" t="s">
        <v>2035</v>
      </c>
      <c r="K165" s="79" t="s">
        <v>58</v>
      </c>
      <c r="L165" s="647">
        <v>1</v>
      </c>
      <c r="M165" s="1021"/>
      <c r="N165" s="1022" t="s">
        <v>2558</v>
      </c>
      <c r="O165" s="1014"/>
      <c r="P165" s="1023">
        <v>1</v>
      </c>
      <c r="Q165" s="1024">
        <v>0.1</v>
      </c>
      <c r="R165" s="1023"/>
      <c r="S165" s="1023">
        <f t="shared" si="4"/>
        <v>0</v>
      </c>
      <c r="T165" s="1014">
        <f t="shared" si="5"/>
        <v>0</v>
      </c>
      <c r="U165" s="1014" t="s">
        <v>34</v>
      </c>
      <c r="V165" s="1014"/>
      <c r="W165" s="649"/>
    </row>
    <row r="166" spans="1:23" ht="20.55" customHeight="1" x14ac:dyDescent="0.4">
      <c r="A166" s="788">
        <v>165</v>
      </c>
      <c r="B166" s="653" t="s">
        <v>2399</v>
      </c>
      <c r="C166" s="653" t="s">
        <v>24</v>
      </c>
      <c r="D166" s="49">
        <v>2147</v>
      </c>
      <c r="E166" s="653" t="s">
        <v>2559</v>
      </c>
      <c r="F166" s="653" t="s">
        <v>379</v>
      </c>
      <c r="G166" s="653">
        <v>2177</v>
      </c>
      <c r="H166" s="653" t="s">
        <v>2533</v>
      </c>
      <c r="I166" s="653" t="s">
        <v>28</v>
      </c>
      <c r="J166" s="653" t="s">
        <v>2035</v>
      </c>
      <c r="K166" s="653" t="s">
        <v>58</v>
      </c>
      <c r="L166" s="644">
        <v>0.5</v>
      </c>
      <c r="M166" s="987"/>
      <c r="N166" s="988" t="s">
        <v>1387</v>
      </c>
      <c r="O166" s="653"/>
      <c r="P166" s="644">
        <v>1</v>
      </c>
      <c r="Q166" s="1015">
        <v>0.05</v>
      </c>
      <c r="R166" s="644"/>
      <c r="S166" s="644">
        <f t="shared" si="4"/>
        <v>0</v>
      </c>
      <c r="T166" s="653">
        <f t="shared" si="5"/>
        <v>0</v>
      </c>
      <c r="U166" s="653" t="s">
        <v>34</v>
      </c>
      <c r="V166" s="1949">
        <f>SUM(T166:T176)%</f>
        <v>0</v>
      </c>
      <c r="W166" s="653"/>
    </row>
    <row r="167" spans="1:23" ht="20.55" customHeight="1" x14ac:dyDescent="0.4">
      <c r="A167" s="788">
        <v>166</v>
      </c>
      <c r="B167" s="649" t="s">
        <v>2399</v>
      </c>
      <c r="C167" s="649" t="s">
        <v>24</v>
      </c>
      <c r="D167" s="68">
        <v>2147</v>
      </c>
      <c r="E167" s="649" t="s">
        <v>2559</v>
      </c>
      <c r="F167" s="649" t="s">
        <v>379</v>
      </c>
      <c r="G167" s="649">
        <v>2177</v>
      </c>
      <c r="H167" s="649" t="s">
        <v>2533</v>
      </c>
      <c r="I167" s="649" t="s">
        <v>28</v>
      </c>
      <c r="J167" s="79" t="s">
        <v>2035</v>
      </c>
      <c r="K167" s="79" t="s">
        <v>58</v>
      </c>
      <c r="L167" s="647">
        <v>0.5</v>
      </c>
      <c r="M167" s="989"/>
      <c r="N167" s="990" t="s">
        <v>352</v>
      </c>
      <c r="O167" s="79"/>
      <c r="P167" s="647">
        <v>1</v>
      </c>
      <c r="Q167" s="363">
        <v>0.15</v>
      </c>
      <c r="R167" s="647"/>
      <c r="S167" s="647">
        <f t="shared" si="4"/>
        <v>0</v>
      </c>
      <c r="T167" s="79">
        <f t="shared" si="5"/>
        <v>0</v>
      </c>
      <c r="U167" s="79" t="s">
        <v>34</v>
      </c>
      <c r="V167" s="79"/>
      <c r="W167" s="649"/>
    </row>
    <row r="168" spans="1:23" ht="20.55" customHeight="1" x14ac:dyDescent="0.4">
      <c r="A168" s="788">
        <v>167</v>
      </c>
      <c r="B168" s="649" t="s">
        <v>2399</v>
      </c>
      <c r="C168" s="649" t="s">
        <v>24</v>
      </c>
      <c r="D168" s="68">
        <v>2147</v>
      </c>
      <c r="E168" s="649" t="s">
        <v>2559</v>
      </c>
      <c r="F168" s="649" t="s">
        <v>379</v>
      </c>
      <c r="G168" s="649">
        <v>2177</v>
      </c>
      <c r="H168" s="649" t="s">
        <v>2533</v>
      </c>
      <c r="I168" s="649" t="s">
        <v>28</v>
      </c>
      <c r="J168" s="79" t="s">
        <v>2035</v>
      </c>
      <c r="K168" s="79" t="s">
        <v>58</v>
      </c>
      <c r="L168" s="647">
        <v>0.5</v>
      </c>
      <c r="M168" s="989"/>
      <c r="N168" s="990" t="s">
        <v>2555</v>
      </c>
      <c r="O168" s="79"/>
      <c r="P168" s="647">
        <v>1</v>
      </c>
      <c r="Q168" s="363">
        <v>0.15</v>
      </c>
      <c r="R168" s="647"/>
      <c r="S168" s="647">
        <f t="shared" si="4"/>
        <v>0</v>
      </c>
      <c r="T168" s="79">
        <f t="shared" si="5"/>
        <v>0</v>
      </c>
      <c r="U168" s="79" t="s">
        <v>34</v>
      </c>
      <c r="V168" s="79"/>
      <c r="W168" s="649"/>
    </row>
    <row r="169" spans="1:23" ht="20.55" customHeight="1" x14ac:dyDescent="0.4">
      <c r="A169" s="788">
        <v>168</v>
      </c>
      <c r="B169" s="649" t="s">
        <v>2399</v>
      </c>
      <c r="C169" s="649" t="s">
        <v>24</v>
      </c>
      <c r="D169" s="68">
        <v>2147</v>
      </c>
      <c r="E169" s="649" t="s">
        <v>2559</v>
      </c>
      <c r="F169" s="649" t="s">
        <v>379</v>
      </c>
      <c r="G169" s="649">
        <v>2177</v>
      </c>
      <c r="H169" s="649" t="s">
        <v>2533</v>
      </c>
      <c r="I169" s="649" t="s">
        <v>28</v>
      </c>
      <c r="J169" s="79" t="s">
        <v>2035</v>
      </c>
      <c r="K169" s="79" t="s">
        <v>58</v>
      </c>
      <c r="L169" s="647">
        <v>0.5</v>
      </c>
      <c r="M169" s="989"/>
      <c r="N169" s="990" t="s">
        <v>2556</v>
      </c>
      <c r="O169" s="79"/>
      <c r="P169" s="647">
        <v>1</v>
      </c>
      <c r="Q169" s="363">
        <v>0.1</v>
      </c>
      <c r="R169" s="647"/>
      <c r="S169" s="647">
        <f t="shared" si="4"/>
        <v>0</v>
      </c>
      <c r="T169" s="79">
        <f t="shared" si="5"/>
        <v>0</v>
      </c>
      <c r="U169" s="79" t="s">
        <v>34</v>
      </c>
      <c r="V169" s="79"/>
      <c r="W169" s="649"/>
    </row>
    <row r="170" spans="1:23" ht="20.55" customHeight="1" x14ac:dyDescent="0.4">
      <c r="A170" s="788">
        <v>169</v>
      </c>
      <c r="B170" s="649" t="s">
        <v>2399</v>
      </c>
      <c r="C170" s="649" t="s">
        <v>24</v>
      </c>
      <c r="D170" s="68">
        <v>2147</v>
      </c>
      <c r="E170" s="649" t="s">
        <v>2559</v>
      </c>
      <c r="F170" s="649" t="s">
        <v>379</v>
      </c>
      <c r="G170" s="649">
        <v>2177</v>
      </c>
      <c r="H170" s="649" t="s">
        <v>2533</v>
      </c>
      <c r="I170" s="649" t="s">
        <v>28</v>
      </c>
      <c r="J170" s="79" t="s">
        <v>2035</v>
      </c>
      <c r="K170" s="79" t="s">
        <v>58</v>
      </c>
      <c r="L170" s="647">
        <v>0.5</v>
      </c>
      <c r="M170" s="989"/>
      <c r="N170" s="990" t="s">
        <v>386</v>
      </c>
      <c r="O170" s="79"/>
      <c r="P170" s="647">
        <v>1</v>
      </c>
      <c r="Q170" s="363">
        <v>0.1</v>
      </c>
      <c r="R170" s="647"/>
      <c r="S170" s="647">
        <f t="shared" si="4"/>
        <v>0</v>
      </c>
      <c r="T170" s="79">
        <f t="shared" si="5"/>
        <v>0</v>
      </c>
      <c r="U170" s="79" t="s">
        <v>34</v>
      </c>
      <c r="V170" s="79"/>
      <c r="W170" s="649"/>
    </row>
    <row r="171" spans="1:23" ht="20.55" customHeight="1" x14ac:dyDescent="0.4">
      <c r="A171" s="788">
        <v>170</v>
      </c>
      <c r="B171" s="649" t="s">
        <v>2399</v>
      </c>
      <c r="C171" s="649" t="s">
        <v>24</v>
      </c>
      <c r="D171" s="68">
        <v>2147</v>
      </c>
      <c r="E171" s="649" t="s">
        <v>2559</v>
      </c>
      <c r="F171" s="649" t="s">
        <v>379</v>
      </c>
      <c r="G171" s="649">
        <v>2177</v>
      </c>
      <c r="H171" s="649" t="s">
        <v>2533</v>
      </c>
      <c r="I171" s="649" t="s">
        <v>28</v>
      </c>
      <c r="J171" s="79" t="s">
        <v>2035</v>
      </c>
      <c r="K171" s="79" t="s">
        <v>58</v>
      </c>
      <c r="L171" s="647">
        <v>0.5</v>
      </c>
      <c r="M171" s="989"/>
      <c r="N171" s="990" t="s">
        <v>348</v>
      </c>
      <c r="O171" s="79"/>
      <c r="P171" s="647">
        <v>1</v>
      </c>
      <c r="Q171" s="363">
        <v>0.1</v>
      </c>
      <c r="R171" s="647"/>
      <c r="S171" s="647">
        <f t="shared" si="4"/>
        <v>0</v>
      </c>
      <c r="T171" s="79">
        <f t="shared" si="5"/>
        <v>0</v>
      </c>
      <c r="U171" s="79" t="s">
        <v>34</v>
      </c>
      <c r="V171" s="79"/>
      <c r="W171" s="649"/>
    </row>
    <row r="172" spans="1:23" ht="20.55" customHeight="1" x14ac:dyDescent="0.4">
      <c r="A172" s="788">
        <v>171</v>
      </c>
      <c r="B172" s="649" t="s">
        <v>2399</v>
      </c>
      <c r="C172" s="649" t="s">
        <v>24</v>
      </c>
      <c r="D172" s="68">
        <v>2147</v>
      </c>
      <c r="E172" s="649" t="s">
        <v>2559</v>
      </c>
      <c r="F172" s="649" t="s">
        <v>379</v>
      </c>
      <c r="G172" s="649">
        <v>2177</v>
      </c>
      <c r="H172" s="649" t="s">
        <v>2533</v>
      </c>
      <c r="I172" s="649" t="s">
        <v>28</v>
      </c>
      <c r="J172" s="79" t="s">
        <v>2035</v>
      </c>
      <c r="K172" s="79" t="s">
        <v>58</v>
      </c>
      <c r="L172" s="647">
        <v>0.5</v>
      </c>
      <c r="M172" s="989"/>
      <c r="N172" s="990" t="s">
        <v>388</v>
      </c>
      <c r="O172" s="79"/>
      <c r="P172" s="647">
        <v>1</v>
      </c>
      <c r="Q172" s="363">
        <v>0.2</v>
      </c>
      <c r="R172" s="647"/>
      <c r="S172" s="647">
        <f t="shared" si="4"/>
        <v>0</v>
      </c>
      <c r="T172" s="79">
        <f t="shared" si="5"/>
        <v>0</v>
      </c>
      <c r="U172" s="79" t="s">
        <v>34</v>
      </c>
      <c r="V172" s="79"/>
      <c r="W172" s="649"/>
    </row>
    <row r="173" spans="1:23" ht="20.55" customHeight="1" x14ac:dyDescent="0.4">
      <c r="A173" s="788">
        <v>172</v>
      </c>
      <c r="B173" s="649" t="s">
        <v>2399</v>
      </c>
      <c r="C173" s="649" t="s">
        <v>24</v>
      </c>
      <c r="D173" s="68">
        <v>2147</v>
      </c>
      <c r="E173" s="649" t="s">
        <v>2559</v>
      </c>
      <c r="F173" s="649" t="s">
        <v>379</v>
      </c>
      <c r="G173" s="649">
        <v>2177</v>
      </c>
      <c r="H173" s="649" t="s">
        <v>2533</v>
      </c>
      <c r="I173" s="649" t="s">
        <v>28</v>
      </c>
      <c r="J173" s="79" t="s">
        <v>2035</v>
      </c>
      <c r="K173" s="79" t="s">
        <v>58</v>
      </c>
      <c r="L173" s="647">
        <v>0.5</v>
      </c>
      <c r="M173" s="989"/>
      <c r="N173" s="990" t="s">
        <v>393</v>
      </c>
      <c r="O173" s="79"/>
      <c r="P173" s="647">
        <v>1</v>
      </c>
      <c r="Q173" s="363">
        <v>0.15</v>
      </c>
      <c r="R173" s="647"/>
      <c r="S173" s="647">
        <f t="shared" si="4"/>
        <v>0</v>
      </c>
      <c r="T173" s="79">
        <f t="shared" si="5"/>
        <v>0</v>
      </c>
      <c r="U173" s="79" t="s">
        <v>34</v>
      </c>
      <c r="V173" s="79"/>
      <c r="W173" s="649"/>
    </row>
    <row r="174" spans="1:23" ht="20.55" customHeight="1" x14ac:dyDescent="0.4">
      <c r="A174" s="788">
        <v>173</v>
      </c>
      <c r="B174" s="649" t="s">
        <v>2399</v>
      </c>
      <c r="C174" s="649" t="s">
        <v>24</v>
      </c>
      <c r="D174" s="68">
        <v>2147</v>
      </c>
      <c r="E174" s="649" t="s">
        <v>2559</v>
      </c>
      <c r="F174" s="649" t="s">
        <v>379</v>
      </c>
      <c r="G174" s="649">
        <v>2177</v>
      </c>
      <c r="H174" s="649" t="s">
        <v>2533</v>
      </c>
      <c r="I174" s="649" t="s">
        <v>28</v>
      </c>
      <c r="J174" s="649" t="s">
        <v>110</v>
      </c>
      <c r="K174" s="649" t="s">
        <v>58</v>
      </c>
      <c r="L174" s="222">
        <v>0.5</v>
      </c>
      <c r="M174" s="860"/>
      <c r="N174" s="1013" t="s">
        <v>374</v>
      </c>
      <c r="O174" s="649"/>
      <c r="P174" s="222">
        <v>1</v>
      </c>
      <c r="Q174" s="1019">
        <v>0.35</v>
      </c>
      <c r="R174" s="222"/>
      <c r="S174" s="222">
        <f t="shared" si="4"/>
        <v>0</v>
      </c>
      <c r="T174" s="649">
        <f t="shared" si="5"/>
        <v>0</v>
      </c>
      <c r="U174" s="649" t="s">
        <v>34</v>
      </c>
      <c r="V174" s="649"/>
      <c r="W174" s="649"/>
    </row>
    <row r="175" spans="1:23" ht="20.55" customHeight="1" x14ac:dyDescent="0.4">
      <c r="A175" s="788">
        <v>174</v>
      </c>
      <c r="B175" s="649" t="s">
        <v>2399</v>
      </c>
      <c r="C175" s="649" t="s">
        <v>24</v>
      </c>
      <c r="D175" s="68">
        <v>2147</v>
      </c>
      <c r="E175" s="649" t="s">
        <v>2559</v>
      </c>
      <c r="F175" s="649" t="s">
        <v>379</v>
      </c>
      <c r="G175" s="649">
        <v>2177</v>
      </c>
      <c r="H175" s="649" t="s">
        <v>2533</v>
      </c>
      <c r="I175" s="649" t="s">
        <v>28</v>
      </c>
      <c r="J175" s="649" t="s">
        <v>110</v>
      </c>
      <c r="K175" s="649" t="s">
        <v>58</v>
      </c>
      <c r="L175" s="222">
        <v>0.5</v>
      </c>
      <c r="M175" s="860"/>
      <c r="N175" s="1013" t="s">
        <v>2557</v>
      </c>
      <c r="O175" s="649"/>
      <c r="P175" s="222">
        <v>1</v>
      </c>
      <c r="Q175" s="1019">
        <v>0.35</v>
      </c>
      <c r="R175" s="222"/>
      <c r="S175" s="222">
        <f t="shared" si="4"/>
        <v>0</v>
      </c>
      <c r="T175" s="649">
        <f t="shared" si="5"/>
        <v>0</v>
      </c>
      <c r="U175" s="649" t="s">
        <v>34</v>
      </c>
      <c r="V175" s="649"/>
      <c r="W175" s="649"/>
    </row>
    <row r="176" spans="1:23" ht="20.55" customHeight="1" x14ac:dyDescent="0.4">
      <c r="A176" s="788">
        <v>175</v>
      </c>
      <c r="B176" s="1001" t="s">
        <v>2399</v>
      </c>
      <c r="C176" s="1001" t="s">
        <v>24</v>
      </c>
      <c r="D176" s="68">
        <v>2147</v>
      </c>
      <c r="E176" s="649" t="s">
        <v>2559</v>
      </c>
      <c r="F176" s="649" t="s">
        <v>379</v>
      </c>
      <c r="G176" s="649">
        <v>2177</v>
      </c>
      <c r="H176" s="649" t="s">
        <v>2533</v>
      </c>
      <c r="I176" s="1001" t="s">
        <v>28</v>
      </c>
      <c r="J176" s="1001" t="s">
        <v>110</v>
      </c>
      <c r="K176" s="1001" t="s">
        <v>58</v>
      </c>
      <c r="L176" s="222">
        <v>0.5</v>
      </c>
      <c r="M176" s="1003"/>
      <c r="N176" s="1004" t="s">
        <v>2558</v>
      </c>
      <c r="O176" s="1001"/>
      <c r="P176" s="1007">
        <v>1</v>
      </c>
      <c r="Q176" s="1025">
        <v>0.3</v>
      </c>
      <c r="R176" s="1007"/>
      <c r="S176" s="1007">
        <f t="shared" si="4"/>
        <v>0</v>
      </c>
      <c r="T176" s="1001">
        <f t="shared" si="5"/>
        <v>0</v>
      </c>
      <c r="U176" s="1001" t="s">
        <v>34</v>
      </c>
      <c r="V176" s="1001"/>
      <c r="W176" s="649"/>
    </row>
    <row r="177" spans="1:23" ht="20.55" customHeight="1" x14ac:dyDescent="0.4">
      <c r="A177" s="788">
        <v>176</v>
      </c>
      <c r="B177" s="653" t="s">
        <v>2399</v>
      </c>
      <c r="C177" s="653" t="s">
        <v>24</v>
      </c>
      <c r="D177" s="49">
        <v>2115</v>
      </c>
      <c r="E177" s="653" t="s">
        <v>2560</v>
      </c>
      <c r="F177" s="653" t="s">
        <v>379</v>
      </c>
      <c r="G177" s="653">
        <v>2177</v>
      </c>
      <c r="H177" s="653" t="s">
        <v>2533</v>
      </c>
      <c r="I177" s="653" t="s">
        <v>28</v>
      </c>
      <c r="J177" s="653" t="s">
        <v>2035</v>
      </c>
      <c r="K177" s="653" t="s">
        <v>58</v>
      </c>
      <c r="L177" s="644">
        <v>1</v>
      </c>
      <c r="M177" s="987"/>
      <c r="N177" s="988" t="s">
        <v>1387</v>
      </c>
      <c r="O177" s="653"/>
      <c r="P177" s="644">
        <v>1</v>
      </c>
      <c r="Q177" s="1015">
        <v>0.05</v>
      </c>
      <c r="R177" s="644"/>
      <c r="S177" s="644">
        <f t="shared" si="4"/>
        <v>0</v>
      </c>
      <c r="T177" s="653">
        <f t="shared" si="5"/>
        <v>0</v>
      </c>
      <c r="U177" s="653" t="s">
        <v>34</v>
      </c>
      <c r="V177" s="1949">
        <f>SUM(T177:T187)%</f>
        <v>0</v>
      </c>
      <c r="W177" s="653"/>
    </row>
    <row r="178" spans="1:23" ht="20.55" customHeight="1" x14ac:dyDescent="0.4">
      <c r="A178" s="788">
        <v>177</v>
      </c>
      <c r="B178" s="649" t="s">
        <v>2399</v>
      </c>
      <c r="C178" s="649" t="s">
        <v>24</v>
      </c>
      <c r="D178" s="68">
        <v>2115</v>
      </c>
      <c r="E178" s="649" t="s">
        <v>2560</v>
      </c>
      <c r="F178" s="649" t="s">
        <v>379</v>
      </c>
      <c r="G178" s="649">
        <v>2177</v>
      </c>
      <c r="H178" s="649" t="s">
        <v>2533</v>
      </c>
      <c r="I178" s="649" t="s">
        <v>28</v>
      </c>
      <c r="J178" s="79" t="s">
        <v>2035</v>
      </c>
      <c r="K178" s="79" t="s">
        <v>58</v>
      </c>
      <c r="L178" s="647">
        <v>1</v>
      </c>
      <c r="M178" s="989"/>
      <c r="N178" s="990" t="s">
        <v>352</v>
      </c>
      <c r="O178" s="79"/>
      <c r="P178" s="647">
        <v>1</v>
      </c>
      <c r="Q178" s="363">
        <v>0.15</v>
      </c>
      <c r="R178" s="647"/>
      <c r="S178" s="647">
        <f t="shared" si="4"/>
        <v>0</v>
      </c>
      <c r="T178" s="79">
        <f t="shared" si="5"/>
        <v>0</v>
      </c>
      <c r="U178" s="79" t="s">
        <v>34</v>
      </c>
      <c r="V178" s="79"/>
      <c r="W178" s="649"/>
    </row>
    <row r="179" spans="1:23" ht="20.55" customHeight="1" x14ac:dyDescent="0.4">
      <c r="A179" s="788">
        <v>178</v>
      </c>
      <c r="B179" s="649" t="s">
        <v>2399</v>
      </c>
      <c r="C179" s="649" t="s">
        <v>24</v>
      </c>
      <c r="D179" s="68">
        <v>2115</v>
      </c>
      <c r="E179" s="649" t="s">
        <v>2560</v>
      </c>
      <c r="F179" s="649" t="s">
        <v>379</v>
      </c>
      <c r="G179" s="649">
        <v>2177</v>
      </c>
      <c r="H179" s="649" t="s">
        <v>2533</v>
      </c>
      <c r="I179" s="649" t="s">
        <v>28</v>
      </c>
      <c r="J179" s="79" t="s">
        <v>2035</v>
      </c>
      <c r="K179" s="79" t="s">
        <v>58</v>
      </c>
      <c r="L179" s="647">
        <v>1</v>
      </c>
      <c r="M179" s="989"/>
      <c r="N179" s="990" t="s">
        <v>2555</v>
      </c>
      <c r="O179" s="79"/>
      <c r="P179" s="647">
        <v>1</v>
      </c>
      <c r="Q179" s="363">
        <v>0.1</v>
      </c>
      <c r="R179" s="647"/>
      <c r="S179" s="647">
        <f t="shared" si="4"/>
        <v>0</v>
      </c>
      <c r="T179" s="79">
        <f t="shared" si="5"/>
        <v>0</v>
      </c>
      <c r="U179" s="79" t="s">
        <v>34</v>
      </c>
      <c r="V179" s="79"/>
      <c r="W179" s="649"/>
    </row>
    <row r="180" spans="1:23" ht="20.55" customHeight="1" x14ac:dyDescent="0.4">
      <c r="A180" s="788">
        <v>179</v>
      </c>
      <c r="B180" s="649" t="s">
        <v>2399</v>
      </c>
      <c r="C180" s="649" t="s">
        <v>24</v>
      </c>
      <c r="D180" s="68">
        <v>2115</v>
      </c>
      <c r="E180" s="649" t="s">
        <v>2560</v>
      </c>
      <c r="F180" s="649" t="s">
        <v>379</v>
      </c>
      <c r="G180" s="649">
        <v>2177</v>
      </c>
      <c r="H180" s="649" t="s">
        <v>2533</v>
      </c>
      <c r="I180" s="649" t="s">
        <v>28</v>
      </c>
      <c r="J180" s="79" t="s">
        <v>2035</v>
      </c>
      <c r="K180" s="79" t="s">
        <v>58</v>
      </c>
      <c r="L180" s="647">
        <v>1</v>
      </c>
      <c r="M180" s="989"/>
      <c r="N180" s="990" t="s">
        <v>2556</v>
      </c>
      <c r="O180" s="79"/>
      <c r="P180" s="647">
        <v>1</v>
      </c>
      <c r="Q180" s="363">
        <v>0.05</v>
      </c>
      <c r="R180" s="647"/>
      <c r="S180" s="647">
        <f t="shared" si="4"/>
        <v>0</v>
      </c>
      <c r="T180" s="79">
        <f t="shared" si="5"/>
        <v>0</v>
      </c>
      <c r="U180" s="79" t="s">
        <v>34</v>
      </c>
      <c r="V180" s="79"/>
      <c r="W180" s="649"/>
    </row>
    <row r="181" spans="1:23" ht="20.55" customHeight="1" x14ac:dyDescent="0.4">
      <c r="A181" s="788">
        <v>180</v>
      </c>
      <c r="B181" s="649" t="s">
        <v>2399</v>
      </c>
      <c r="C181" s="649" t="s">
        <v>24</v>
      </c>
      <c r="D181" s="68">
        <v>2115</v>
      </c>
      <c r="E181" s="649" t="s">
        <v>2560</v>
      </c>
      <c r="F181" s="649" t="s">
        <v>379</v>
      </c>
      <c r="G181" s="649">
        <v>2177</v>
      </c>
      <c r="H181" s="649" t="s">
        <v>2533</v>
      </c>
      <c r="I181" s="649" t="s">
        <v>28</v>
      </c>
      <c r="J181" s="79" t="s">
        <v>2035</v>
      </c>
      <c r="K181" s="79" t="s">
        <v>58</v>
      </c>
      <c r="L181" s="647">
        <v>1</v>
      </c>
      <c r="M181" s="989"/>
      <c r="N181" s="990" t="s">
        <v>386</v>
      </c>
      <c r="O181" s="79"/>
      <c r="P181" s="647">
        <v>1</v>
      </c>
      <c r="Q181" s="363">
        <v>0.05</v>
      </c>
      <c r="R181" s="647"/>
      <c r="S181" s="647">
        <f t="shared" si="4"/>
        <v>0</v>
      </c>
      <c r="T181" s="79">
        <f t="shared" si="5"/>
        <v>0</v>
      </c>
      <c r="U181" s="79" t="s">
        <v>34</v>
      </c>
      <c r="V181" s="79"/>
      <c r="W181" s="649"/>
    </row>
    <row r="182" spans="1:23" ht="20.55" customHeight="1" x14ac:dyDescent="0.4">
      <c r="A182" s="788">
        <v>181</v>
      </c>
      <c r="B182" s="649" t="s">
        <v>2399</v>
      </c>
      <c r="C182" s="649" t="s">
        <v>24</v>
      </c>
      <c r="D182" s="68">
        <v>2115</v>
      </c>
      <c r="E182" s="649" t="s">
        <v>2560</v>
      </c>
      <c r="F182" s="649" t="s">
        <v>379</v>
      </c>
      <c r="G182" s="649">
        <v>2177</v>
      </c>
      <c r="H182" s="649" t="s">
        <v>2533</v>
      </c>
      <c r="I182" s="649" t="s">
        <v>28</v>
      </c>
      <c r="J182" s="79" t="s">
        <v>2035</v>
      </c>
      <c r="K182" s="79" t="s">
        <v>58</v>
      </c>
      <c r="L182" s="647">
        <v>1</v>
      </c>
      <c r="M182" s="989"/>
      <c r="N182" s="990" t="s">
        <v>348</v>
      </c>
      <c r="O182" s="79"/>
      <c r="P182" s="647">
        <v>1</v>
      </c>
      <c r="Q182" s="363">
        <v>0.1</v>
      </c>
      <c r="R182" s="647"/>
      <c r="S182" s="647">
        <f t="shared" si="4"/>
        <v>0</v>
      </c>
      <c r="T182" s="79">
        <f t="shared" si="5"/>
        <v>0</v>
      </c>
      <c r="U182" s="79" t="s">
        <v>34</v>
      </c>
      <c r="V182" s="79"/>
      <c r="W182" s="649"/>
    </row>
    <row r="183" spans="1:23" ht="20.55" customHeight="1" x14ac:dyDescent="0.4">
      <c r="A183" s="788">
        <v>182</v>
      </c>
      <c r="B183" s="649" t="s">
        <v>2399</v>
      </c>
      <c r="C183" s="649" t="s">
        <v>24</v>
      </c>
      <c r="D183" s="68">
        <v>2115</v>
      </c>
      <c r="E183" s="649" t="s">
        <v>2560</v>
      </c>
      <c r="F183" s="649" t="s">
        <v>379</v>
      </c>
      <c r="G183" s="649">
        <v>2177</v>
      </c>
      <c r="H183" s="649" t="s">
        <v>2533</v>
      </c>
      <c r="I183" s="649" t="s">
        <v>28</v>
      </c>
      <c r="J183" s="79" t="s">
        <v>2035</v>
      </c>
      <c r="K183" s="79" t="s">
        <v>58</v>
      </c>
      <c r="L183" s="647">
        <v>1</v>
      </c>
      <c r="M183" s="989"/>
      <c r="N183" s="990" t="s">
        <v>388</v>
      </c>
      <c r="O183" s="79"/>
      <c r="P183" s="647">
        <v>1</v>
      </c>
      <c r="Q183" s="363">
        <v>0.2</v>
      </c>
      <c r="R183" s="647"/>
      <c r="S183" s="647">
        <f t="shared" si="4"/>
        <v>0</v>
      </c>
      <c r="T183" s="79">
        <f t="shared" si="5"/>
        <v>0</v>
      </c>
      <c r="U183" s="79" t="s">
        <v>34</v>
      </c>
      <c r="V183" s="79"/>
      <c r="W183" s="649"/>
    </row>
    <row r="184" spans="1:23" ht="20.55" customHeight="1" x14ac:dyDescent="0.4">
      <c r="A184" s="788">
        <v>183</v>
      </c>
      <c r="B184" s="649" t="s">
        <v>2399</v>
      </c>
      <c r="C184" s="649" t="s">
        <v>24</v>
      </c>
      <c r="D184" s="68">
        <v>2115</v>
      </c>
      <c r="E184" s="649" t="s">
        <v>2560</v>
      </c>
      <c r="F184" s="649" t="s">
        <v>379</v>
      </c>
      <c r="G184" s="649">
        <v>2177</v>
      </c>
      <c r="H184" s="649" t="s">
        <v>2533</v>
      </c>
      <c r="I184" s="649" t="s">
        <v>28</v>
      </c>
      <c r="J184" s="79" t="s">
        <v>2035</v>
      </c>
      <c r="K184" s="79" t="s">
        <v>58</v>
      </c>
      <c r="L184" s="647">
        <v>1</v>
      </c>
      <c r="M184" s="989"/>
      <c r="N184" s="990" t="s">
        <v>393</v>
      </c>
      <c r="O184" s="79"/>
      <c r="P184" s="647">
        <v>1</v>
      </c>
      <c r="Q184" s="363">
        <v>0.05</v>
      </c>
      <c r="R184" s="647"/>
      <c r="S184" s="647">
        <f t="shared" si="4"/>
        <v>0</v>
      </c>
      <c r="T184" s="79">
        <f t="shared" si="5"/>
        <v>0</v>
      </c>
      <c r="U184" s="79" t="s">
        <v>34</v>
      </c>
      <c r="V184" s="79"/>
      <c r="W184" s="649"/>
    </row>
    <row r="185" spans="1:23" ht="20.55" customHeight="1" x14ac:dyDescent="0.4">
      <c r="A185" s="788">
        <v>184</v>
      </c>
      <c r="B185" s="649" t="s">
        <v>2399</v>
      </c>
      <c r="C185" s="649" t="s">
        <v>24</v>
      </c>
      <c r="D185" s="68">
        <v>2115</v>
      </c>
      <c r="E185" s="649" t="s">
        <v>2560</v>
      </c>
      <c r="F185" s="649" t="s">
        <v>379</v>
      </c>
      <c r="G185" s="649">
        <v>2177</v>
      </c>
      <c r="H185" s="649" t="s">
        <v>2533</v>
      </c>
      <c r="I185" s="649" t="s">
        <v>28</v>
      </c>
      <c r="J185" s="79" t="s">
        <v>2035</v>
      </c>
      <c r="K185" s="79" t="s">
        <v>58</v>
      </c>
      <c r="L185" s="647">
        <v>1</v>
      </c>
      <c r="M185" s="989"/>
      <c r="N185" s="990" t="s">
        <v>374</v>
      </c>
      <c r="O185" s="79"/>
      <c r="P185" s="647">
        <v>1</v>
      </c>
      <c r="Q185" s="363">
        <v>0.1</v>
      </c>
      <c r="R185" s="647"/>
      <c r="S185" s="647">
        <f t="shared" si="4"/>
        <v>0</v>
      </c>
      <c r="T185" s="79">
        <f t="shared" si="5"/>
        <v>0</v>
      </c>
      <c r="U185" s="79" t="s">
        <v>34</v>
      </c>
      <c r="V185" s="79"/>
      <c r="W185" s="649"/>
    </row>
    <row r="186" spans="1:23" ht="20.55" customHeight="1" x14ac:dyDescent="0.4">
      <c r="A186" s="788">
        <v>185</v>
      </c>
      <c r="B186" s="649" t="s">
        <v>2399</v>
      </c>
      <c r="C186" s="649" t="s">
        <v>24</v>
      </c>
      <c r="D186" s="68">
        <v>2115</v>
      </c>
      <c r="E186" s="649" t="s">
        <v>2560</v>
      </c>
      <c r="F186" s="649" t="s">
        <v>379</v>
      </c>
      <c r="G186" s="649">
        <v>2177</v>
      </c>
      <c r="H186" s="649" t="s">
        <v>2533</v>
      </c>
      <c r="I186" s="649" t="s">
        <v>28</v>
      </c>
      <c r="J186" s="79" t="s">
        <v>2035</v>
      </c>
      <c r="K186" s="79" t="s">
        <v>58</v>
      </c>
      <c r="L186" s="647">
        <v>1</v>
      </c>
      <c r="M186" s="989"/>
      <c r="N186" s="990" t="s">
        <v>2557</v>
      </c>
      <c r="O186" s="79"/>
      <c r="P186" s="647">
        <v>1</v>
      </c>
      <c r="Q186" s="363">
        <v>0.05</v>
      </c>
      <c r="R186" s="647"/>
      <c r="S186" s="647">
        <f t="shared" si="4"/>
        <v>0</v>
      </c>
      <c r="T186" s="79">
        <f t="shared" si="5"/>
        <v>0</v>
      </c>
      <c r="U186" s="79" t="s">
        <v>34</v>
      </c>
      <c r="V186" s="79"/>
      <c r="W186" s="649"/>
    </row>
    <row r="187" spans="1:23" ht="20.55" customHeight="1" x14ac:dyDescent="0.4">
      <c r="A187" s="788">
        <v>186</v>
      </c>
      <c r="B187" s="1001" t="s">
        <v>2399</v>
      </c>
      <c r="C187" s="1001" t="s">
        <v>24</v>
      </c>
      <c r="D187" s="68">
        <v>2115</v>
      </c>
      <c r="E187" s="649" t="s">
        <v>2560</v>
      </c>
      <c r="F187" s="649" t="s">
        <v>379</v>
      </c>
      <c r="G187" s="649">
        <v>2177</v>
      </c>
      <c r="H187" s="649" t="s">
        <v>2533</v>
      </c>
      <c r="I187" s="1001" t="s">
        <v>28</v>
      </c>
      <c r="J187" s="1014" t="s">
        <v>2035</v>
      </c>
      <c r="K187" s="1014" t="s">
        <v>58</v>
      </c>
      <c r="L187" s="647">
        <v>1</v>
      </c>
      <c r="M187" s="1021"/>
      <c r="N187" s="1022" t="s">
        <v>2558</v>
      </c>
      <c r="O187" s="1014"/>
      <c r="P187" s="1023">
        <v>1</v>
      </c>
      <c r="Q187" s="1024">
        <v>0.1</v>
      </c>
      <c r="R187" s="1023"/>
      <c r="S187" s="1023">
        <f t="shared" si="4"/>
        <v>0</v>
      </c>
      <c r="T187" s="1014">
        <f t="shared" si="5"/>
        <v>0</v>
      </c>
      <c r="U187" s="1014" t="s">
        <v>34</v>
      </c>
      <c r="V187" s="1014"/>
      <c r="W187" s="649"/>
    </row>
    <row r="188" spans="1:23" ht="20.55" customHeight="1" x14ac:dyDescent="0.4">
      <c r="A188" s="788">
        <v>187</v>
      </c>
      <c r="B188" s="653" t="s">
        <v>2399</v>
      </c>
      <c r="C188" s="653" t="s">
        <v>24</v>
      </c>
      <c r="D188" s="49">
        <v>2347</v>
      </c>
      <c r="E188" s="653" t="s">
        <v>2561</v>
      </c>
      <c r="F188" s="653" t="s">
        <v>2562</v>
      </c>
      <c r="G188" s="653">
        <v>2000</v>
      </c>
      <c r="H188" s="653" t="s">
        <v>2531</v>
      </c>
      <c r="I188" s="653" t="s">
        <v>2563</v>
      </c>
      <c r="J188" s="653" t="s">
        <v>2035</v>
      </c>
      <c r="K188" s="653" t="s">
        <v>58</v>
      </c>
      <c r="L188" s="644">
        <v>0.8</v>
      </c>
      <c r="M188" s="987" t="s">
        <v>458</v>
      </c>
      <c r="N188" s="988" t="s">
        <v>2564</v>
      </c>
      <c r="O188" s="653"/>
      <c r="P188" s="644">
        <v>0.95</v>
      </c>
      <c r="Q188" s="1015">
        <v>0.35</v>
      </c>
      <c r="R188" s="644"/>
      <c r="S188" s="644">
        <f t="shared" si="4"/>
        <v>0</v>
      </c>
      <c r="T188" s="653">
        <f t="shared" si="5"/>
        <v>0</v>
      </c>
      <c r="U188" s="653" t="s">
        <v>34</v>
      </c>
      <c r="V188" s="1949">
        <f>SUM(T188:T192)%</f>
        <v>0</v>
      </c>
      <c r="W188" s="653"/>
    </row>
    <row r="189" spans="1:23" ht="20.55" customHeight="1" x14ac:dyDescent="0.4">
      <c r="A189" s="788">
        <v>188</v>
      </c>
      <c r="B189" s="649" t="s">
        <v>2399</v>
      </c>
      <c r="C189" s="649" t="s">
        <v>24</v>
      </c>
      <c r="D189" s="68">
        <v>2347</v>
      </c>
      <c r="E189" s="649" t="s">
        <v>2561</v>
      </c>
      <c r="F189" s="649" t="s">
        <v>2562</v>
      </c>
      <c r="G189" s="649">
        <v>2000</v>
      </c>
      <c r="H189" s="649" t="s">
        <v>2531</v>
      </c>
      <c r="I189" s="649" t="s">
        <v>2563</v>
      </c>
      <c r="J189" s="79" t="s">
        <v>2035</v>
      </c>
      <c r="K189" s="79" t="s">
        <v>58</v>
      </c>
      <c r="L189" s="647">
        <v>0.8</v>
      </c>
      <c r="M189" s="989" t="s">
        <v>623</v>
      </c>
      <c r="N189" s="990" t="s">
        <v>2565</v>
      </c>
      <c r="O189" s="79" t="s">
        <v>2566</v>
      </c>
      <c r="P189" s="647">
        <v>1</v>
      </c>
      <c r="Q189" s="363">
        <v>0.35</v>
      </c>
      <c r="R189" s="647"/>
      <c r="S189" s="647">
        <f t="shared" si="4"/>
        <v>0</v>
      </c>
      <c r="T189" s="79">
        <f t="shared" si="5"/>
        <v>0</v>
      </c>
      <c r="U189" s="79" t="s">
        <v>34</v>
      </c>
      <c r="V189" s="79"/>
      <c r="W189" s="649"/>
    </row>
    <row r="190" spans="1:23" ht="20.55" customHeight="1" x14ac:dyDescent="0.4">
      <c r="A190" s="788">
        <v>189</v>
      </c>
      <c r="B190" s="649" t="s">
        <v>2399</v>
      </c>
      <c r="C190" s="649" t="s">
        <v>24</v>
      </c>
      <c r="D190" s="68">
        <v>2347</v>
      </c>
      <c r="E190" s="649" t="s">
        <v>2561</v>
      </c>
      <c r="F190" s="649" t="s">
        <v>2562</v>
      </c>
      <c r="G190" s="649">
        <v>2000</v>
      </c>
      <c r="H190" s="649" t="s">
        <v>2531</v>
      </c>
      <c r="I190" s="649" t="s">
        <v>2563</v>
      </c>
      <c r="J190" s="79" t="s">
        <v>2035</v>
      </c>
      <c r="K190" s="79" t="s">
        <v>58</v>
      </c>
      <c r="L190" s="647">
        <v>0.8</v>
      </c>
      <c r="M190" s="989" t="s">
        <v>2567</v>
      </c>
      <c r="N190" s="990" t="s">
        <v>2568</v>
      </c>
      <c r="O190" s="79"/>
      <c r="P190" s="647">
        <v>0.95</v>
      </c>
      <c r="Q190" s="363">
        <v>0.3</v>
      </c>
      <c r="R190" s="647"/>
      <c r="S190" s="647">
        <f t="shared" si="4"/>
        <v>0</v>
      </c>
      <c r="T190" s="79">
        <f t="shared" si="5"/>
        <v>0</v>
      </c>
      <c r="U190" s="79" t="s">
        <v>34</v>
      </c>
      <c r="V190" s="79"/>
      <c r="W190" s="649"/>
    </row>
    <row r="191" spans="1:23" ht="20.55" customHeight="1" x14ac:dyDescent="0.4">
      <c r="A191" s="788">
        <v>190</v>
      </c>
      <c r="B191" s="649" t="s">
        <v>2399</v>
      </c>
      <c r="C191" s="649" t="s">
        <v>24</v>
      </c>
      <c r="D191" s="68">
        <v>2347</v>
      </c>
      <c r="E191" s="649" t="s">
        <v>2561</v>
      </c>
      <c r="F191" s="649" t="s">
        <v>2562</v>
      </c>
      <c r="G191" s="649">
        <v>2000</v>
      </c>
      <c r="H191" s="649" t="s">
        <v>2531</v>
      </c>
      <c r="I191" s="649" t="s">
        <v>2563</v>
      </c>
      <c r="J191" s="649" t="s">
        <v>110</v>
      </c>
      <c r="K191" s="649" t="s">
        <v>111</v>
      </c>
      <c r="L191" s="222">
        <v>0.2</v>
      </c>
      <c r="M191" s="860" t="s">
        <v>2569</v>
      </c>
      <c r="N191" s="1013" t="s">
        <v>2570</v>
      </c>
      <c r="O191" s="649"/>
      <c r="P191" s="222">
        <v>1</v>
      </c>
      <c r="Q191" s="1019">
        <v>0.5</v>
      </c>
      <c r="R191" s="222"/>
      <c r="S191" s="222">
        <f t="shared" si="4"/>
        <v>0</v>
      </c>
      <c r="T191" s="649">
        <f t="shared" si="5"/>
        <v>0</v>
      </c>
      <c r="U191" s="649" t="s">
        <v>34</v>
      </c>
      <c r="V191" s="649"/>
      <c r="W191" s="649"/>
    </row>
    <row r="192" spans="1:23" ht="20.55" customHeight="1" x14ac:dyDescent="0.4">
      <c r="A192" s="788">
        <v>191</v>
      </c>
      <c r="B192" s="649" t="s">
        <v>2399</v>
      </c>
      <c r="C192" s="649" t="s">
        <v>24</v>
      </c>
      <c r="D192" s="1002">
        <v>2347</v>
      </c>
      <c r="E192" s="1001" t="s">
        <v>2561</v>
      </c>
      <c r="F192" s="1001" t="s">
        <v>2562</v>
      </c>
      <c r="G192" s="649">
        <v>2000</v>
      </c>
      <c r="H192" s="649" t="s">
        <v>2531</v>
      </c>
      <c r="I192" s="649" t="s">
        <v>2563</v>
      </c>
      <c r="J192" s="649" t="s">
        <v>110</v>
      </c>
      <c r="K192" s="649" t="s">
        <v>111</v>
      </c>
      <c r="L192" s="222">
        <v>0.2</v>
      </c>
      <c r="M192" s="1003" t="s">
        <v>2571</v>
      </c>
      <c r="N192" s="1004" t="s">
        <v>2572</v>
      </c>
      <c r="O192" s="1001"/>
      <c r="P192" s="222">
        <v>1</v>
      </c>
      <c r="Q192" s="1025">
        <v>0.5</v>
      </c>
      <c r="R192" s="222"/>
      <c r="S192" s="222">
        <f t="shared" si="4"/>
        <v>0</v>
      </c>
      <c r="T192" s="649">
        <f t="shared" si="5"/>
        <v>0</v>
      </c>
      <c r="U192" s="1001" t="s">
        <v>34</v>
      </c>
      <c r="V192" s="1001"/>
      <c r="W192" s="1001"/>
    </row>
    <row r="193" spans="1:23" ht="20.55" customHeight="1" x14ac:dyDescent="0.4">
      <c r="A193" s="788">
        <v>192</v>
      </c>
      <c r="B193" s="653" t="s">
        <v>2399</v>
      </c>
      <c r="C193" s="653" t="s">
        <v>24</v>
      </c>
      <c r="D193" s="49">
        <v>1007</v>
      </c>
      <c r="E193" s="653" t="s">
        <v>2573</v>
      </c>
      <c r="F193" s="653" t="s">
        <v>1939</v>
      </c>
      <c r="G193" s="653">
        <v>2000</v>
      </c>
      <c r="H193" s="653" t="s">
        <v>2531</v>
      </c>
      <c r="I193" s="653" t="s">
        <v>2194</v>
      </c>
      <c r="J193" s="653" t="s">
        <v>2035</v>
      </c>
      <c r="K193" s="653" t="s">
        <v>58</v>
      </c>
      <c r="L193" s="644">
        <v>0.8</v>
      </c>
      <c r="M193" s="1026" t="s">
        <v>2574</v>
      </c>
      <c r="N193" s="988"/>
      <c r="O193" s="1026"/>
      <c r="P193" s="197">
        <v>0.99</v>
      </c>
      <c r="Q193" s="1027">
        <v>0.25</v>
      </c>
      <c r="R193" s="197"/>
      <c r="S193" s="644">
        <f t="shared" si="4"/>
        <v>0</v>
      </c>
      <c r="T193" s="653">
        <f t="shared" si="5"/>
        <v>0</v>
      </c>
      <c r="U193" s="957" t="s">
        <v>34</v>
      </c>
      <c r="V193" s="1949">
        <f>SUM(T193:T203)%</f>
        <v>0</v>
      </c>
      <c r="W193" s="653"/>
    </row>
    <row r="194" spans="1:23" ht="20.55" customHeight="1" x14ac:dyDescent="0.4">
      <c r="A194" s="788">
        <v>193</v>
      </c>
      <c r="B194" s="649" t="s">
        <v>2399</v>
      </c>
      <c r="C194" s="649" t="s">
        <v>24</v>
      </c>
      <c r="D194" s="68">
        <v>1007</v>
      </c>
      <c r="E194" s="649" t="s">
        <v>2573</v>
      </c>
      <c r="F194" s="649" t="s">
        <v>1939</v>
      </c>
      <c r="G194" s="649">
        <v>2000</v>
      </c>
      <c r="H194" s="649" t="s">
        <v>2531</v>
      </c>
      <c r="I194" s="649" t="s">
        <v>2194</v>
      </c>
      <c r="J194" s="79" t="s">
        <v>2035</v>
      </c>
      <c r="K194" s="79" t="s">
        <v>58</v>
      </c>
      <c r="L194" s="647">
        <v>0.8</v>
      </c>
      <c r="M194" s="1028" t="s">
        <v>444</v>
      </c>
      <c r="N194" s="990"/>
      <c r="O194" s="1028"/>
      <c r="P194" s="208">
        <v>1</v>
      </c>
      <c r="Q194" s="1029">
        <v>0.125</v>
      </c>
      <c r="R194" s="208"/>
      <c r="S194" s="647">
        <f t="shared" ref="S194:S257" si="6">ROUND(IF(OR(P194="",R194=""),0,IF(AND(P194=0,R194=0),1,IF(U194="+",R194/P194,P194/R194))),2)</f>
        <v>0</v>
      </c>
      <c r="T194" s="79">
        <f t="shared" ref="T194:T257" si="7">IF(AND(S194&gt;=60%,S194&lt;100%),S194*((Q194*L194)),IF(S194=100%,((Q194*L194)*S194)*100%,IF(S194&gt;100%,((L194*Q194)*100%)*100%,0)))*100</f>
        <v>0</v>
      </c>
      <c r="U194" s="1030" t="s">
        <v>34</v>
      </c>
      <c r="V194" s="79"/>
      <c r="W194" s="649"/>
    </row>
    <row r="195" spans="1:23" ht="20.55" customHeight="1" x14ac:dyDescent="0.4">
      <c r="A195" s="788">
        <v>194</v>
      </c>
      <c r="B195" s="649" t="s">
        <v>2399</v>
      </c>
      <c r="C195" s="649" t="s">
        <v>24</v>
      </c>
      <c r="D195" s="68">
        <v>1007</v>
      </c>
      <c r="E195" s="649" t="s">
        <v>2573</v>
      </c>
      <c r="F195" s="649" t="s">
        <v>1939</v>
      </c>
      <c r="G195" s="649">
        <v>2000</v>
      </c>
      <c r="H195" s="649" t="s">
        <v>2531</v>
      </c>
      <c r="I195" s="649" t="s">
        <v>2194</v>
      </c>
      <c r="J195" s="79" t="s">
        <v>2035</v>
      </c>
      <c r="K195" s="79" t="s">
        <v>58</v>
      </c>
      <c r="L195" s="647">
        <v>0.8</v>
      </c>
      <c r="M195" s="1028" t="s">
        <v>2196</v>
      </c>
      <c r="N195" s="990"/>
      <c r="O195" s="1028"/>
      <c r="P195" s="208">
        <v>1</v>
      </c>
      <c r="Q195" s="1029">
        <v>0.125</v>
      </c>
      <c r="R195" s="208"/>
      <c r="S195" s="647">
        <f t="shared" si="6"/>
        <v>0</v>
      </c>
      <c r="T195" s="79">
        <f t="shared" si="7"/>
        <v>0</v>
      </c>
      <c r="U195" s="1030" t="s">
        <v>34</v>
      </c>
      <c r="V195" s="79"/>
      <c r="W195" s="649"/>
    </row>
    <row r="196" spans="1:23" ht="20.55" customHeight="1" x14ac:dyDescent="0.4">
      <c r="A196" s="788">
        <v>195</v>
      </c>
      <c r="B196" s="649" t="s">
        <v>2399</v>
      </c>
      <c r="C196" s="649" t="s">
        <v>24</v>
      </c>
      <c r="D196" s="68">
        <v>1007</v>
      </c>
      <c r="E196" s="649" t="s">
        <v>2573</v>
      </c>
      <c r="F196" s="649" t="s">
        <v>1939</v>
      </c>
      <c r="G196" s="649">
        <v>2000</v>
      </c>
      <c r="H196" s="649" t="s">
        <v>2531</v>
      </c>
      <c r="I196" s="649" t="s">
        <v>2194</v>
      </c>
      <c r="J196" s="79" t="s">
        <v>2035</v>
      </c>
      <c r="K196" s="79" t="s">
        <v>58</v>
      </c>
      <c r="L196" s="647">
        <v>0.8</v>
      </c>
      <c r="M196" s="1028" t="s">
        <v>1732</v>
      </c>
      <c r="N196" s="990"/>
      <c r="O196" s="1028"/>
      <c r="P196" s="208">
        <v>1</v>
      </c>
      <c r="Q196" s="1029">
        <v>0.125</v>
      </c>
      <c r="R196" s="208"/>
      <c r="S196" s="647">
        <f t="shared" si="6"/>
        <v>0</v>
      </c>
      <c r="T196" s="79">
        <f t="shared" si="7"/>
        <v>0</v>
      </c>
      <c r="U196" s="1030" t="s">
        <v>34</v>
      </c>
      <c r="V196" s="79"/>
      <c r="W196" s="649"/>
    </row>
    <row r="197" spans="1:23" ht="20.55" customHeight="1" x14ac:dyDescent="0.4">
      <c r="A197" s="788">
        <v>196</v>
      </c>
      <c r="B197" s="649" t="s">
        <v>2399</v>
      </c>
      <c r="C197" s="649" t="s">
        <v>24</v>
      </c>
      <c r="D197" s="68">
        <v>1007</v>
      </c>
      <c r="E197" s="649" t="s">
        <v>2573</v>
      </c>
      <c r="F197" s="649" t="s">
        <v>1939</v>
      </c>
      <c r="G197" s="649">
        <v>2000</v>
      </c>
      <c r="H197" s="649" t="s">
        <v>2531</v>
      </c>
      <c r="I197" s="649" t="s">
        <v>2194</v>
      </c>
      <c r="J197" s="79" t="s">
        <v>2035</v>
      </c>
      <c r="K197" s="79" t="s">
        <v>58</v>
      </c>
      <c r="L197" s="647">
        <v>0.8</v>
      </c>
      <c r="M197" s="1028" t="s">
        <v>2198</v>
      </c>
      <c r="N197" s="990"/>
      <c r="O197" s="1028"/>
      <c r="P197" s="208">
        <v>0.97</v>
      </c>
      <c r="Q197" s="1029">
        <v>0.125</v>
      </c>
      <c r="R197" s="208"/>
      <c r="S197" s="647">
        <f t="shared" si="6"/>
        <v>0</v>
      </c>
      <c r="T197" s="79">
        <f t="shared" si="7"/>
        <v>0</v>
      </c>
      <c r="U197" s="1030" t="s">
        <v>34</v>
      </c>
      <c r="V197" s="79"/>
      <c r="W197" s="649"/>
    </row>
    <row r="198" spans="1:23" ht="20.55" customHeight="1" x14ac:dyDescent="0.4">
      <c r="A198" s="788">
        <v>197</v>
      </c>
      <c r="B198" s="649" t="s">
        <v>2399</v>
      </c>
      <c r="C198" s="649" t="s">
        <v>24</v>
      </c>
      <c r="D198" s="68">
        <v>1007</v>
      </c>
      <c r="E198" s="649" t="s">
        <v>2573</v>
      </c>
      <c r="F198" s="649" t="s">
        <v>1939</v>
      </c>
      <c r="G198" s="649">
        <v>2000</v>
      </c>
      <c r="H198" s="649" t="s">
        <v>2531</v>
      </c>
      <c r="I198" s="649" t="s">
        <v>2194</v>
      </c>
      <c r="J198" s="79" t="s">
        <v>2035</v>
      </c>
      <c r="K198" s="79" t="s">
        <v>58</v>
      </c>
      <c r="L198" s="647">
        <v>0.8</v>
      </c>
      <c r="M198" s="1028" t="s">
        <v>2199</v>
      </c>
      <c r="N198" s="990"/>
      <c r="O198" s="1028"/>
      <c r="P198" s="208">
        <v>1</v>
      </c>
      <c r="Q198" s="1029">
        <v>0.125</v>
      </c>
      <c r="R198" s="208"/>
      <c r="S198" s="647">
        <f t="shared" si="6"/>
        <v>0</v>
      </c>
      <c r="T198" s="79">
        <f t="shared" si="7"/>
        <v>0</v>
      </c>
      <c r="U198" s="1030" t="s">
        <v>34</v>
      </c>
      <c r="V198" s="79"/>
      <c r="W198" s="649"/>
    </row>
    <row r="199" spans="1:23" ht="20.55" customHeight="1" x14ac:dyDescent="0.4">
      <c r="A199" s="788">
        <v>198</v>
      </c>
      <c r="B199" s="649" t="s">
        <v>2399</v>
      </c>
      <c r="C199" s="649" t="s">
        <v>24</v>
      </c>
      <c r="D199" s="68">
        <v>1007</v>
      </c>
      <c r="E199" s="649" t="s">
        <v>2573</v>
      </c>
      <c r="F199" s="649" t="s">
        <v>1939</v>
      </c>
      <c r="G199" s="649">
        <v>2000</v>
      </c>
      <c r="H199" s="649" t="s">
        <v>2531</v>
      </c>
      <c r="I199" s="649" t="s">
        <v>2194</v>
      </c>
      <c r="J199" s="79" t="s">
        <v>2035</v>
      </c>
      <c r="K199" s="79" t="s">
        <v>58</v>
      </c>
      <c r="L199" s="647">
        <v>0.8</v>
      </c>
      <c r="M199" s="1028" t="s">
        <v>497</v>
      </c>
      <c r="N199" s="990"/>
      <c r="O199" s="1028"/>
      <c r="P199" s="208">
        <v>1</v>
      </c>
      <c r="Q199" s="1029">
        <v>0.125</v>
      </c>
      <c r="R199" s="208"/>
      <c r="S199" s="647">
        <f t="shared" si="6"/>
        <v>0</v>
      </c>
      <c r="T199" s="79">
        <f t="shared" si="7"/>
        <v>0</v>
      </c>
      <c r="U199" s="1030" t="s">
        <v>34</v>
      </c>
      <c r="V199" s="79"/>
      <c r="W199" s="649"/>
    </row>
    <row r="200" spans="1:23" ht="20.55" customHeight="1" x14ac:dyDescent="0.4">
      <c r="A200" s="788">
        <v>199</v>
      </c>
      <c r="B200" s="649" t="s">
        <v>2399</v>
      </c>
      <c r="C200" s="649" t="s">
        <v>24</v>
      </c>
      <c r="D200" s="68">
        <v>1007</v>
      </c>
      <c r="E200" s="649" t="s">
        <v>2573</v>
      </c>
      <c r="F200" s="649" t="s">
        <v>1939</v>
      </c>
      <c r="G200" s="649">
        <v>2000</v>
      </c>
      <c r="H200" s="649" t="s">
        <v>2531</v>
      </c>
      <c r="I200" s="649" t="s">
        <v>2194</v>
      </c>
      <c r="J200" s="649" t="s">
        <v>110</v>
      </c>
      <c r="K200" s="649" t="s">
        <v>111</v>
      </c>
      <c r="L200" s="222">
        <v>0.2</v>
      </c>
      <c r="M200" s="1031" t="s">
        <v>2200</v>
      </c>
      <c r="N200" s="1032"/>
      <c r="O200" s="1031"/>
      <c r="P200" s="687">
        <v>1</v>
      </c>
      <c r="Q200" s="1033">
        <v>0.25</v>
      </c>
      <c r="R200" s="687"/>
      <c r="S200" s="222">
        <f t="shared" si="6"/>
        <v>0</v>
      </c>
      <c r="T200" s="649">
        <f t="shared" si="7"/>
        <v>0</v>
      </c>
      <c r="U200" s="1034" t="s">
        <v>34</v>
      </c>
      <c r="V200" s="649"/>
      <c r="W200" s="649"/>
    </row>
    <row r="201" spans="1:23" ht="20.55" customHeight="1" x14ac:dyDescent="0.4">
      <c r="A201" s="788">
        <v>200</v>
      </c>
      <c r="B201" s="649" t="s">
        <v>2399</v>
      </c>
      <c r="C201" s="649" t="s">
        <v>24</v>
      </c>
      <c r="D201" s="68">
        <v>1007</v>
      </c>
      <c r="E201" s="649" t="s">
        <v>2573</v>
      </c>
      <c r="F201" s="649" t="s">
        <v>1939</v>
      </c>
      <c r="G201" s="649">
        <v>2000</v>
      </c>
      <c r="H201" s="649" t="s">
        <v>2531</v>
      </c>
      <c r="I201" s="649" t="s">
        <v>2194</v>
      </c>
      <c r="J201" s="649" t="s">
        <v>110</v>
      </c>
      <c r="K201" s="649" t="s">
        <v>111</v>
      </c>
      <c r="L201" s="222">
        <v>0.2</v>
      </c>
      <c r="M201" s="1031" t="s">
        <v>419</v>
      </c>
      <c r="N201" s="1032"/>
      <c r="O201" s="1031"/>
      <c r="P201" s="687">
        <v>1</v>
      </c>
      <c r="Q201" s="1033">
        <v>0.25</v>
      </c>
      <c r="R201" s="687"/>
      <c r="S201" s="222">
        <f t="shared" si="6"/>
        <v>0</v>
      </c>
      <c r="T201" s="649">
        <f t="shared" si="7"/>
        <v>0</v>
      </c>
      <c r="U201" s="1034" t="s">
        <v>34</v>
      </c>
      <c r="V201" s="649"/>
      <c r="W201" s="649"/>
    </row>
    <row r="202" spans="1:23" ht="20.55" customHeight="1" x14ac:dyDescent="0.4">
      <c r="A202" s="788">
        <v>201</v>
      </c>
      <c r="B202" s="649" t="s">
        <v>2399</v>
      </c>
      <c r="C202" s="649" t="s">
        <v>24</v>
      </c>
      <c r="D202" s="68">
        <v>1007</v>
      </c>
      <c r="E202" s="649" t="s">
        <v>2573</v>
      </c>
      <c r="F202" s="649" t="s">
        <v>1939</v>
      </c>
      <c r="G202" s="649">
        <v>2000</v>
      </c>
      <c r="H202" s="649" t="s">
        <v>2531</v>
      </c>
      <c r="I202" s="649" t="s">
        <v>2194</v>
      </c>
      <c r="J202" s="649" t="s">
        <v>110</v>
      </c>
      <c r="K202" s="649" t="s">
        <v>111</v>
      </c>
      <c r="L202" s="222">
        <v>0.2</v>
      </c>
      <c r="M202" s="1035" t="s">
        <v>1974</v>
      </c>
      <c r="N202" s="1032"/>
      <c r="O202" s="1035"/>
      <c r="P202" s="864">
        <v>1</v>
      </c>
      <c r="Q202" s="1036">
        <v>0.25</v>
      </c>
      <c r="R202" s="864"/>
      <c r="S202" s="222">
        <f t="shared" si="6"/>
        <v>0</v>
      </c>
      <c r="T202" s="649">
        <f t="shared" si="7"/>
        <v>0</v>
      </c>
      <c r="U202" s="1037" t="s">
        <v>34</v>
      </c>
      <c r="V202" s="649"/>
      <c r="W202" s="649"/>
    </row>
    <row r="203" spans="1:23" ht="20.55" customHeight="1" x14ac:dyDescent="0.4">
      <c r="A203" s="788">
        <v>202</v>
      </c>
      <c r="B203" s="649" t="s">
        <v>2399</v>
      </c>
      <c r="C203" s="649" t="s">
        <v>24</v>
      </c>
      <c r="D203" s="68">
        <v>1007</v>
      </c>
      <c r="E203" s="649" t="s">
        <v>2573</v>
      </c>
      <c r="F203" s="649" t="s">
        <v>1939</v>
      </c>
      <c r="G203" s="649">
        <v>2000</v>
      </c>
      <c r="H203" s="649" t="s">
        <v>2531</v>
      </c>
      <c r="I203" s="649" t="s">
        <v>2194</v>
      </c>
      <c r="J203" s="649" t="s">
        <v>110</v>
      </c>
      <c r="K203" s="649" t="s">
        <v>111</v>
      </c>
      <c r="L203" s="222">
        <v>0.2</v>
      </c>
      <c r="M203" s="1035" t="s">
        <v>417</v>
      </c>
      <c r="N203" s="1032"/>
      <c r="O203" s="1035"/>
      <c r="P203" s="864">
        <v>1</v>
      </c>
      <c r="Q203" s="1036">
        <v>0.25</v>
      </c>
      <c r="R203" s="864"/>
      <c r="S203" s="222">
        <f t="shared" si="6"/>
        <v>0</v>
      </c>
      <c r="T203" s="649">
        <f t="shared" si="7"/>
        <v>0</v>
      </c>
      <c r="U203" s="1037" t="s">
        <v>34</v>
      </c>
      <c r="V203" s="649"/>
      <c r="W203" s="649"/>
    </row>
    <row r="204" spans="1:23" ht="20.55" customHeight="1" x14ac:dyDescent="0.4">
      <c r="A204" s="788">
        <v>203</v>
      </c>
      <c r="B204" s="653" t="s">
        <v>2399</v>
      </c>
      <c r="C204" s="653" t="s">
        <v>24</v>
      </c>
      <c r="D204" s="100">
        <v>2482</v>
      </c>
      <c r="E204" s="236" t="s">
        <v>2575</v>
      </c>
      <c r="F204" s="236" t="s">
        <v>755</v>
      </c>
      <c r="G204" s="236">
        <v>2467</v>
      </c>
      <c r="H204" s="236" t="s">
        <v>2507</v>
      </c>
      <c r="I204" s="236" t="s">
        <v>729</v>
      </c>
      <c r="J204" s="243" t="s">
        <v>2035</v>
      </c>
      <c r="K204" s="243" t="s">
        <v>58</v>
      </c>
      <c r="L204" s="855">
        <v>0.6</v>
      </c>
      <c r="M204" s="952"/>
      <c r="N204" s="952" t="s">
        <v>2576</v>
      </c>
      <c r="O204" s="952"/>
      <c r="P204" s="855">
        <v>1</v>
      </c>
      <c r="Q204" s="354">
        <v>0.1</v>
      </c>
      <c r="R204" s="855"/>
      <c r="S204" s="855">
        <f t="shared" si="6"/>
        <v>0</v>
      </c>
      <c r="T204" s="854">
        <f t="shared" si="7"/>
        <v>0</v>
      </c>
      <c r="U204" s="855" t="s">
        <v>34</v>
      </c>
      <c r="V204" s="1950">
        <f>SUM(T204:T227)%</f>
        <v>0</v>
      </c>
      <c r="W204" s="236"/>
    </row>
    <row r="205" spans="1:23" ht="20.55" customHeight="1" x14ac:dyDescent="0.4">
      <c r="A205" s="788">
        <v>204</v>
      </c>
      <c r="B205" s="649" t="s">
        <v>2399</v>
      </c>
      <c r="C205" s="649" t="s">
        <v>24</v>
      </c>
      <c r="D205" s="58">
        <v>2482</v>
      </c>
      <c r="E205" s="246" t="s">
        <v>2575</v>
      </c>
      <c r="F205" s="246" t="s">
        <v>755</v>
      </c>
      <c r="G205" s="246">
        <v>2467</v>
      </c>
      <c r="H205" s="246" t="s">
        <v>2507</v>
      </c>
      <c r="I205" s="246" t="s">
        <v>729</v>
      </c>
      <c r="J205" s="79" t="s">
        <v>2035</v>
      </c>
      <c r="K205" s="79" t="s">
        <v>58</v>
      </c>
      <c r="L205" s="647">
        <v>0.6</v>
      </c>
      <c r="M205" s="757"/>
      <c r="N205" s="757" t="s">
        <v>2577</v>
      </c>
      <c r="O205" s="757"/>
      <c r="P205" s="647">
        <v>1</v>
      </c>
      <c r="Q205" s="363">
        <v>0.1</v>
      </c>
      <c r="R205" s="647"/>
      <c r="S205" s="647">
        <f t="shared" si="6"/>
        <v>0</v>
      </c>
      <c r="T205" s="764">
        <f t="shared" si="7"/>
        <v>0</v>
      </c>
      <c r="U205" s="647" t="s">
        <v>34</v>
      </c>
      <c r="V205" s="840"/>
      <c r="W205" s="246"/>
    </row>
    <row r="206" spans="1:23" ht="20.55" customHeight="1" x14ac:dyDescent="0.4">
      <c r="A206" s="788">
        <v>205</v>
      </c>
      <c r="B206" s="649" t="s">
        <v>2399</v>
      </c>
      <c r="C206" s="649" t="s">
        <v>24</v>
      </c>
      <c r="D206" s="58">
        <v>2482</v>
      </c>
      <c r="E206" s="246" t="s">
        <v>2575</v>
      </c>
      <c r="F206" s="246" t="s">
        <v>755</v>
      </c>
      <c r="G206" s="246">
        <v>2467</v>
      </c>
      <c r="H206" s="246" t="s">
        <v>2507</v>
      </c>
      <c r="I206" s="246" t="s">
        <v>729</v>
      </c>
      <c r="J206" s="79" t="s">
        <v>2035</v>
      </c>
      <c r="K206" s="79" t="s">
        <v>58</v>
      </c>
      <c r="L206" s="647">
        <v>0.6</v>
      </c>
      <c r="M206" s="757"/>
      <c r="N206" s="757" t="s">
        <v>2578</v>
      </c>
      <c r="O206" s="757"/>
      <c r="P206" s="647">
        <v>1</v>
      </c>
      <c r="Q206" s="363">
        <v>0.1</v>
      </c>
      <c r="R206" s="647"/>
      <c r="S206" s="647">
        <f t="shared" si="6"/>
        <v>0</v>
      </c>
      <c r="T206" s="764">
        <f t="shared" si="7"/>
        <v>0</v>
      </c>
      <c r="U206" s="647" t="s">
        <v>34</v>
      </c>
      <c r="V206" s="840"/>
      <c r="W206" s="246"/>
    </row>
    <row r="207" spans="1:23" ht="20.55" customHeight="1" x14ac:dyDescent="0.4">
      <c r="A207" s="788">
        <v>206</v>
      </c>
      <c r="B207" s="649" t="s">
        <v>2399</v>
      </c>
      <c r="C207" s="649" t="s">
        <v>24</v>
      </c>
      <c r="D207" s="58">
        <v>2482</v>
      </c>
      <c r="E207" s="246" t="s">
        <v>2575</v>
      </c>
      <c r="F207" s="246" t="s">
        <v>755</v>
      </c>
      <c r="G207" s="246">
        <v>2467</v>
      </c>
      <c r="H207" s="246" t="s">
        <v>2507</v>
      </c>
      <c r="I207" s="246" t="s">
        <v>729</v>
      </c>
      <c r="J207" s="79" t="s">
        <v>2035</v>
      </c>
      <c r="K207" s="79" t="s">
        <v>58</v>
      </c>
      <c r="L207" s="647">
        <v>0.6</v>
      </c>
      <c r="M207" s="757"/>
      <c r="N207" s="757" t="s">
        <v>2579</v>
      </c>
      <c r="O207" s="757"/>
      <c r="P207" s="647">
        <v>1</v>
      </c>
      <c r="Q207" s="363">
        <v>0.1</v>
      </c>
      <c r="R207" s="647"/>
      <c r="S207" s="647">
        <f t="shared" si="6"/>
        <v>0</v>
      </c>
      <c r="T207" s="764">
        <f t="shared" si="7"/>
        <v>0</v>
      </c>
      <c r="U207" s="647" t="s">
        <v>34</v>
      </c>
      <c r="V207" s="840"/>
      <c r="W207" s="246"/>
    </row>
    <row r="208" spans="1:23" ht="20.55" customHeight="1" x14ac:dyDescent="0.4">
      <c r="A208" s="788">
        <v>207</v>
      </c>
      <c r="B208" s="649" t="s">
        <v>2399</v>
      </c>
      <c r="C208" s="649" t="s">
        <v>24</v>
      </c>
      <c r="D208" s="58">
        <v>2482</v>
      </c>
      <c r="E208" s="246" t="s">
        <v>2575</v>
      </c>
      <c r="F208" s="246" t="s">
        <v>755</v>
      </c>
      <c r="G208" s="246">
        <v>2467</v>
      </c>
      <c r="H208" s="246" t="s">
        <v>2507</v>
      </c>
      <c r="I208" s="246" t="s">
        <v>729</v>
      </c>
      <c r="J208" s="79" t="s">
        <v>2035</v>
      </c>
      <c r="K208" s="79" t="s">
        <v>58</v>
      </c>
      <c r="L208" s="647">
        <v>0.6</v>
      </c>
      <c r="M208" s="757"/>
      <c r="N208" s="757" t="s">
        <v>2580</v>
      </c>
      <c r="O208" s="757"/>
      <c r="P208" s="647">
        <v>1</v>
      </c>
      <c r="Q208" s="363">
        <v>0.15</v>
      </c>
      <c r="R208" s="647"/>
      <c r="S208" s="647">
        <f t="shared" si="6"/>
        <v>0</v>
      </c>
      <c r="T208" s="764">
        <f t="shared" si="7"/>
        <v>0</v>
      </c>
      <c r="U208" s="647" t="s">
        <v>34</v>
      </c>
      <c r="V208" s="840"/>
      <c r="W208" s="246"/>
    </row>
    <row r="209" spans="1:23" ht="20.55" customHeight="1" x14ac:dyDescent="0.4">
      <c r="A209" s="788">
        <v>208</v>
      </c>
      <c r="B209" s="649" t="s">
        <v>2399</v>
      </c>
      <c r="C209" s="649" t="s">
        <v>24</v>
      </c>
      <c r="D209" s="58">
        <v>2482</v>
      </c>
      <c r="E209" s="246" t="s">
        <v>2575</v>
      </c>
      <c r="F209" s="246" t="s">
        <v>755</v>
      </c>
      <c r="G209" s="246">
        <v>2467</v>
      </c>
      <c r="H209" s="246" t="s">
        <v>2507</v>
      </c>
      <c r="I209" s="246" t="s">
        <v>729</v>
      </c>
      <c r="J209" s="79" t="s">
        <v>2035</v>
      </c>
      <c r="K209" s="79" t="s">
        <v>58</v>
      </c>
      <c r="L209" s="647">
        <v>0.6</v>
      </c>
      <c r="M209" s="757"/>
      <c r="N209" s="757" t="s">
        <v>2581</v>
      </c>
      <c r="O209" s="757"/>
      <c r="P209" s="647">
        <v>1</v>
      </c>
      <c r="Q209" s="363">
        <v>0.15</v>
      </c>
      <c r="R209" s="647"/>
      <c r="S209" s="647">
        <f t="shared" si="6"/>
        <v>0</v>
      </c>
      <c r="T209" s="764">
        <f t="shared" si="7"/>
        <v>0</v>
      </c>
      <c r="U209" s="647" t="s">
        <v>34</v>
      </c>
      <c r="V209" s="840"/>
      <c r="W209" s="246"/>
    </row>
    <row r="210" spans="1:23" ht="20.55" customHeight="1" x14ac:dyDescent="0.4">
      <c r="A210" s="788">
        <v>209</v>
      </c>
      <c r="B210" s="649" t="s">
        <v>2399</v>
      </c>
      <c r="C210" s="649" t="s">
        <v>24</v>
      </c>
      <c r="D210" s="58">
        <v>2482</v>
      </c>
      <c r="E210" s="246" t="s">
        <v>2575</v>
      </c>
      <c r="F210" s="246" t="s">
        <v>755</v>
      </c>
      <c r="G210" s="246">
        <v>2467</v>
      </c>
      <c r="H210" s="246" t="s">
        <v>2507</v>
      </c>
      <c r="I210" s="246" t="s">
        <v>729</v>
      </c>
      <c r="J210" s="79" t="s">
        <v>2035</v>
      </c>
      <c r="K210" s="79" t="s">
        <v>58</v>
      </c>
      <c r="L210" s="647">
        <v>0.6</v>
      </c>
      <c r="M210" s="757"/>
      <c r="N210" s="757" t="s">
        <v>2376</v>
      </c>
      <c r="O210" s="757"/>
      <c r="P210" s="647">
        <v>1</v>
      </c>
      <c r="Q210" s="363">
        <v>0.1</v>
      </c>
      <c r="R210" s="647"/>
      <c r="S210" s="647">
        <f t="shared" si="6"/>
        <v>0</v>
      </c>
      <c r="T210" s="764">
        <f t="shared" si="7"/>
        <v>0</v>
      </c>
      <c r="U210" s="647" t="s">
        <v>34</v>
      </c>
      <c r="V210" s="840"/>
      <c r="W210" s="246"/>
    </row>
    <row r="211" spans="1:23" ht="20.55" customHeight="1" x14ac:dyDescent="0.4">
      <c r="A211" s="788">
        <v>210</v>
      </c>
      <c r="B211" s="649" t="s">
        <v>2399</v>
      </c>
      <c r="C211" s="649" t="s">
        <v>24</v>
      </c>
      <c r="D211" s="58">
        <v>2482</v>
      </c>
      <c r="E211" s="246" t="s">
        <v>2575</v>
      </c>
      <c r="F211" s="246" t="s">
        <v>755</v>
      </c>
      <c r="G211" s="246">
        <v>2467</v>
      </c>
      <c r="H211" s="246" t="s">
        <v>2507</v>
      </c>
      <c r="I211" s="246" t="s">
        <v>729</v>
      </c>
      <c r="J211" s="79" t="s">
        <v>2035</v>
      </c>
      <c r="K211" s="79" t="s">
        <v>58</v>
      </c>
      <c r="L211" s="647">
        <v>0.6</v>
      </c>
      <c r="M211" s="757"/>
      <c r="N211" s="757" t="s">
        <v>2582</v>
      </c>
      <c r="O211" s="757"/>
      <c r="P211" s="647">
        <v>1</v>
      </c>
      <c r="Q211" s="363">
        <v>0.1</v>
      </c>
      <c r="R211" s="647"/>
      <c r="S211" s="647">
        <f t="shared" si="6"/>
        <v>0</v>
      </c>
      <c r="T211" s="764">
        <f t="shared" si="7"/>
        <v>0</v>
      </c>
      <c r="U211" s="647" t="s">
        <v>34</v>
      </c>
      <c r="V211" s="840"/>
      <c r="W211" s="246"/>
    </row>
    <row r="212" spans="1:23" ht="20.55" customHeight="1" x14ac:dyDescent="0.4">
      <c r="A212" s="788">
        <v>211</v>
      </c>
      <c r="B212" s="649" t="s">
        <v>2399</v>
      </c>
      <c r="C212" s="649" t="s">
        <v>24</v>
      </c>
      <c r="D212" s="58">
        <v>2482</v>
      </c>
      <c r="E212" s="246" t="s">
        <v>2575</v>
      </c>
      <c r="F212" s="246" t="s">
        <v>755</v>
      </c>
      <c r="G212" s="246">
        <v>2467</v>
      </c>
      <c r="H212" s="246" t="s">
        <v>2507</v>
      </c>
      <c r="I212" s="246" t="s">
        <v>729</v>
      </c>
      <c r="J212" s="79" t="s">
        <v>2035</v>
      </c>
      <c r="K212" s="79" t="s">
        <v>58</v>
      </c>
      <c r="L212" s="647">
        <v>0.6</v>
      </c>
      <c r="M212" s="757"/>
      <c r="N212" s="757" t="s">
        <v>2583</v>
      </c>
      <c r="O212" s="757"/>
      <c r="P212" s="647">
        <v>1</v>
      </c>
      <c r="Q212" s="363">
        <v>0.1</v>
      </c>
      <c r="R212" s="647"/>
      <c r="S212" s="647">
        <f t="shared" si="6"/>
        <v>0</v>
      </c>
      <c r="T212" s="764">
        <f t="shared" si="7"/>
        <v>0</v>
      </c>
      <c r="U212" s="647" t="s">
        <v>34</v>
      </c>
      <c r="V212" s="840"/>
      <c r="W212" s="246"/>
    </row>
    <row r="213" spans="1:23" ht="20.55" customHeight="1" x14ac:dyDescent="0.4">
      <c r="A213" s="788">
        <v>212</v>
      </c>
      <c r="B213" s="649" t="s">
        <v>2399</v>
      </c>
      <c r="C213" s="649" t="s">
        <v>24</v>
      </c>
      <c r="D213" s="58">
        <v>2482</v>
      </c>
      <c r="E213" s="246" t="s">
        <v>2575</v>
      </c>
      <c r="F213" s="246" t="s">
        <v>755</v>
      </c>
      <c r="G213" s="246">
        <v>2467</v>
      </c>
      <c r="H213" s="246" t="s">
        <v>2507</v>
      </c>
      <c r="I213" s="246" t="s">
        <v>729</v>
      </c>
      <c r="J213" s="210" t="s">
        <v>110</v>
      </c>
      <c r="K213" s="253" t="s">
        <v>111</v>
      </c>
      <c r="L213" s="222">
        <v>0.4</v>
      </c>
      <c r="M213" s="767"/>
      <c r="N213" s="767" t="s">
        <v>255</v>
      </c>
      <c r="O213" s="767"/>
      <c r="P213" s="222">
        <v>1</v>
      </c>
      <c r="Q213" s="1017">
        <v>0.05</v>
      </c>
      <c r="R213" s="222"/>
      <c r="S213" s="222">
        <f t="shared" si="6"/>
        <v>0</v>
      </c>
      <c r="T213" s="765">
        <f t="shared" si="7"/>
        <v>0</v>
      </c>
      <c r="U213" s="222" t="s">
        <v>34</v>
      </c>
      <c r="V213" s="799"/>
      <c r="W213" s="246"/>
    </row>
    <row r="214" spans="1:23" ht="20.55" customHeight="1" x14ac:dyDescent="0.4">
      <c r="A214" s="788">
        <v>213</v>
      </c>
      <c r="B214" s="649" t="s">
        <v>2399</v>
      </c>
      <c r="C214" s="649" t="s">
        <v>24</v>
      </c>
      <c r="D214" s="58">
        <v>2482</v>
      </c>
      <c r="E214" s="246" t="s">
        <v>2575</v>
      </c>
      <c r="F214" s="246" t="s">
        <v>755</v>
      </c>
      <c r="G214" s="246">
        <v>2467</v>
      </c>
      <c r="H214" s="246" t="s">
        <v>2507</v>
      </c>
      <c r="I214" s="246" t="s">
        <v>729</v>
      </c>
      <c r="J214" s="253" t="s">
        <v>110</v>
      </c>
      <c r="K214" s="253" t="s">
        <v>111</v>
      </c>
      <c r="L214" s="874">
        <v>0.4</v>
      </c>
      <c r="M214" s="879"/>
      <c r="N214" s="879" t="s">
        <v>768</v>
      </c>
      <c r="O214" s="879"/>
      <c r="P214" s="874">
        <v>1</v>
      </c>
      <c r="Q214" s="1017">
        <v>0.05</v>
      </c>
      <c r="R214" s="874"/>
      <c r="S214" s="874">
        <f t="shared" si="6"/>
        <v>0</v>
      </c>
      <c r="T214" s="845">
        <f t="shared" si="7"/>
        <v>0</v>
      </c>
      <c r="U214" s="874" t="s">
        <v>34</v>
      </c>
      <c r="V214" s="799"/>
      <c r="W214" s="246"/>
    </row>
    <row r="215" spans="1:23" ht="20.55" customHeight="1" x14ac:dyDescent="0.4">
      <c r="A215" s="788">
        <v>214</v>
      </c>
      <c r="B215" s="649" t="s">
        <v>2399</v>
      </c>
      <c r="C215" s="649" t="s">
        <v>24</v>
      </c>
      <c r="D215" s="58">
        <v>2482</v>
      </c>
      <c r="E215" s="246" t="s">
        <v>2575</v>
      </c>
      <c r="F215" s="246" t="s">
        <v>755</v>
      </c>
      <c r="G215" s="246">
        <v>2467</v>
      </c>
      <c r="H215" s="246" t="s">
        <v>2507</v>
      </c>
      <c r="I215" s="246" t="s">
        <v>729</v>
      </c>
      <c r="J215" s="253" t="s">
        <v>110</v>
      </c>
      <c r="K215" s="253" t="s">
        <v>111</v>
      </c>
      <c r="L215" s="874">
        <v>0.4</v>
      </c>
      <c r="M215" s="879"/>
      <c r="N215" s="879" t="s">
        <v>769</v>
      </c>
      <c r="O215" s="879"/>
      <c r="P215" s="874">
        <v>1</v>
      </c>
      <c r="Q215" s="1017">
        <v>0.05</v>
      </c>
      <c r="R215" s="874"/>
      <c r="S215" s="874">
        <f t="shared" si="6"/>
        <v>0</v>
      </c>
      <c r="T215" s="845">
        <f t="shared" si="7"/>
        <v>0</v>
      </c>
      <c r="U215" s="874" t="s">
        <v>34</v>
      </c>
      <c r="V215" s="799"/>
      <c r="W215" s="246"/>
    </row>
    <row r="216" spans="1:23" ht="20.55" customHeight="1" x14ac:dyDescent="0.4">
      <c r="A216" s="788">
        <v>215</v>
      </c>
      <c r="B216" s="649" t="s">
        <v>2399</v>
      </c>
      <c r="C216" s="649" t="s">
        <v>24</v>
      </c>
      <c r="D216" s="58">
        <v>2482</v>
      </c>
      <c r="E216" s="246" t="s">
        <v>2575</v>
      </c>
      <c r="F216" s="246" t="s">
        <v>755</v>
      </c>
      <c r="G216" s="246">
        <v>2467</v>
      </c>
      <c r="H216" s="246" t="s">
        <v>2507</v>
      </c>
      <c r="I216" s="246" t="s">
        <v>729</v>
      </c>
      <c r="J216" s="253" t="s">
        <v>110</v>
      </c>
      <c r="K216" s="253" t="s">
        <v>111</v>
      </c>
      <c r="L216" s="874">
        <v>0.4</v>
      </c>
      <c r="M216" s="879"/>
      <c r="N216" s="879" t="s">
        <v>770</v>
      </c>
      <c r="O216" s="879"/>
      <c r="P216" s="874">
        <v>1</v>
      </c>
      <c r="Q216" s="1017">
        <v>0.15</v>
      </c>
      <c r="R216" s="874"/>
      <c r="S216" s="874">
        <f t="shared" si="6"/>
        <v>0</v>
      </c>
      <c r="T216" s="845">
        <f t="shared" si="7"/>
        <v>0</v>
      </c>
      <c r="U216" s="874" t="s">
        <v>34</v>
      </c>
      <c r="V216" s="799"/>
      <c r="W216" s="246"/>
    </row>
    <row r="217" spans="1:23" ht="20.55" customHeight="1" x14ac:dyDescent="0.4">
      <c r="A217" s="788">
        <v>216</v>
      </c>
      <c r="B217" s="649" t="s">
        <v>2399</v>
      </c>
      <c r="C217" s="649" t="s">
        <v>24</v>
      </c>
      <c r="D217" s="58">
        <v>2482</v>
      </c>
      <c r="E217" s="246" t="s">
        <v>2575</v>
      </c>
      <c r="F217" s="246" t="s">
        <v>755</v>
      </c>
      <c r="G217" s="246">
        <v>2467</v>
      </c>
      <c r="H217" s="246" t="s">
        <v>2507</v>
      </c>
      <c r="I217" s="246" t="s">
        <v>729</v>
      </c>
      <c r="J217" s="253" t="s">
        <v>110</v>
      </c>
      <c r="K217" s="253" t="s">
        <v>111</v>
      </c>
      <c r="L217" s="874">
        <v>0.4</v>
      </c>
      <c r="M217" s="879"/>
      <c r="N217" s="879" t="s">
        <v>254</v>
      </c>
      <c r="O217" s="879"/>
      <c r="P217" s="874">
        <v>1</v>
      </c>
      <c r="Q217" s="1017">
        <v>0.1</v>
      </c>
      <c r="R217" s="874"/>
      <c r="S217" s="874">
        <f t="shared" si="6"/>
        <v>0</v>
      </c>
      <c r="T217" s="845">
        <f t="shared" si="7"/>
        <v>0</v>
      </c>
      <c r="U217" s="874" t="s">
        <v>34</v>
      </c>
      <c r="V217" s="799"/>
      <c r="W217" s="246"/>
    </row>
    <row r="218" spans="1:23" ht="20.55" customHeight="1" x14ac:dyDescent="0.4">
      <c r="A218" s="788">
        <v>217</v>
      </c>
      <c r="B218" s="649" t="s">
        <v>2399</v>
      </c>
      <c r="C218" s="649" t="s">
        <v>24</v>
      </c>
      <c r="D218" s="58">
        <v>2482</v>
      </c>
      <c r="E218" s="246" t="s">
        <v>2575</v>
      </c>
      <c r="F218" s="246" t="s">
        <v>755</v>
      </c>
      <c r="G218" s="246">
        <v>2467</v>
      </c>
      <c r="H218" s="246" t="s">
        <v>2507</v>
      </c>
      <c r="I218" s="246" t="s">
        <v>729</v>
      </c>
      <c r="J218" s="253" t="s">
        <v>110</v>
      </c>
      <c r="K218" s="253" t="s">
        <v>111</v>
      </c>
      <c r="L218" s="874">
        <v>0.4</v>
      </c>
      <c r="M218" s="879"/>
      <c r="N218" s="879" t="s">
        <v>771</v>
      </c>
      <c r="O218" s="879"/>
      <c r="P218" s="874">
        <v>1</v>
      </c>
      <c r="Q218" s="1017">
        <v>0.05</v>
      </c>
      <c r="R218" s="874"/>
      <c r="S218" s="874">
        <f t="shared" si="6"/>
        <v>0</v>
      </c>
      <c r="T218" s="845">
        <f t="shared" si="7"/>
        <v>0</v>
      </c>
      <c r="U218" s="874" t="s">
        <v>34</v>
      </c>
      <c r="V218" s="799"/>
      <c r="W218" s="246"/>
    </row>
    <row r="219" spans="1:23" ht="20.55" customHeight="1" x14ac:dyDescent="0.4">
      <c r="A219" s="788">
        <v>218</v>
      </c>
      <c r="B219" s="649" t="s">
        <v>2399</v>
      </c>
      <c r="C219" s="649" t="s">
        <v>24</v>
      </c>
      <c r="D219" s="58">
        <v>2482</v>
      </c>
      <c r="E219" s="246" t="s">
        <v>2575</v>
      </c>
      <c r="F219" s="246" t="s">
        <v>755</v>
      </c>
      <c r="G219" s="246">
        <v>2467</v>
      </c>
      <c r="H219" s="246" t="s">
        <v>2507</v>
      </c>
      <c r="I219" s="246" t="s">
        <v>729</v>
      </c>
      <c r="J219" s="253" t="s">
        <v>110</v>
      </c>
      <c r="K219" s="253" t="s">
        <v>111</v>
      </c>
      <c r="L219" s="874">
        <v>0.4</v>
      </c>
      <c r="M219" s="879"/>
      <c r="N219" s="879" t="s">
        <v>772</v>
      </c>
      <c r="O219" s="879"/>
      <c r="P219" s="874">
        <v>1</v>
      </c>
      <c r="Q219" s="1017">
        <v>0.1</v>
      </c>
      <c r="R219" s="874"/>
      <c r="S219" s="874">
        <f t="shared" si="6"/>
        <v>0</v>
      </c>
      <c r="T219" s="845">
        <f t="shared" si="7"/>
        <v>0</v>
      </c>
      <c r="U219" s="874" t="s">
        <v>34</v>
      </c>
      <c r="V219" s="799"/>
      <c r="W219" s="246"/>
    </row>
    <row r="220" spans="1:23" ht="20.55" customHeight="1" x14ac:dyDescent="0.4">
      <c r="A220" s="788">
        <v>219</v>
      </c>
      <c r="B220" s="649" t="s">
        <v>2399</v>
      </c>
      <c r="C220" s="649" t="s">
        <v>24</v>
      </c>
      <c r="D220" s="58">
        <v>2482</v>
      </c>
      <c r="E220" s="246" t="s">
        <v>2575</v>
      </c>
      <c r="F220" s="246" t="s">
        <v>755</v>
      </c>
      <c r="G220" s="246">
        <v>2467</v>
      </c>
      <c r="H220" s="246" t="s">
        <v>2507</v>
      </c>
      <c r="I220" s="246" t="s">
        <v>729</v>
      </c>
      <c r="J220" s="253" t="s">
        <v>110</v>
      </c>
      <c r="K220" s="253" t="s">
        <v>111</v>
      </c>
      <c r="L220" s="874">
        <v>0.4</v>
      </c>
      <c r="M220" s="879"/>
      <c r="N220" s="879" t="s">
        <v>773</v>
      </c>
      <c r="O220" s="879"/>
      <c r="P220" s="874">
        <v>1</v>
      </c>
      <c r="Q220" s="1017">
        <v>0.05</v>
      </c>
      <c r="R220" s="874"/>
      <c r="S220" s="874">
        <f t="shared" si="6"/>
        <v>0</v>
      </c>
      <c r="T220" s="845">
        <f t="shared" si="7"/>
        <v>0</v>
      </c>
      <c r="U220" s="874" t="s">
        <v>34</v>
      </c>
      <c r="V220" s="799"/>
      <c r="W220" s="246"/>
    </row>
    <row r="221" spans="1:23" ht="20.55" customHeight="1" x14ac:dyDescent="0.4">
      <c r="A221" s="788">
        <v>220</v>
      </c>
      <c r="B221" s="649" t="s">
        <v>2399</v>
      </c>
      <c r="C221" s="649" t="s">
        <v>24</v>
      </c>
      <c r="D221" s="58">
        <v>2482</v>
      </c>
      <c r="E221" s="246" t="s">
        <v>2575</v>
      </c>
      <c r="F221" s="246" t="s">
        <v>755</v>
      </c>
      <c r="G221" s="246">
        <v>2467</v>
      </c>
      <c r="H221" s="246" t="s">
        <v>2507</v>
      </c>
      <c r="I221" s="246" t="s">
        <v>729</v>
      </c>
      <c r="J221" s="253" t="s">
        <v>110</v>
      </c>
      <c r="K221" s="253" t="s">
        <v>111</v>
      </c>
      <c r="L221" s="874">
        <v>0.4</v>
      </c>
      <c r="M221" s="879"/>
      <c r="N221" s="879" t="s">
        <v>774</v>
      </c>
      <c r="O221" s="879"/>
      <c r="P221" s="874">
        <v>1</v>
      </c>
      <c r="Q221" s="1017">
        <v>0.05</v>
      </c>
      <c r="R221" s="874"/>
      <c r="S221" s="874">
        <f t="shared" si="6"/>
        <v>0</v>
      </c>
      <c r="T221" s="845">
        <f t="shared" si="7"/>
        <v>0</v>
      </c>
      <c r="U221" s="874" t="s">
        <v>34</v>
      </c>
      <c r="V221" s="799"/>
      <c r="W221" s="246"/>
    </row>
    <row r="222" spans="1:23" ht="20.55" customHeight="1" x14ac:dyDescent="0.4">
      <c r="A222" s="788">
        <v>221</v>
      </c>
      <c r="B222" s="649" t="s">
        <v>2399</v>
      </c>
      <c r="C222" s="649" t="s">
        <v>24</v>
      </c>
      <c r="D222" s="58">
        <v>2482</v>
      </c>
      <c r="E222" s="246" t="s">
        <v>2575</v>
      </c>
      <c r="F222" s="246" t="s">
        <v>755</v>
      </c>
      <c r="G222" s="246">
        <v>2467</v>
      </c>
      <c r="H222" s="246" t="s">
        <v>2507</v>
      </c>
      <c r="I222" s="246" t="s">
        <v>729</v>
      </c>
      <c r="J222" s="253" t="s">
        <v>110</v>
      </c>
      <c r="K222" s="253" t="s">
        <v>111</v>
      </c>
      <c r="L222" s="874">
        <v>0.4</v>
      </c>
      <c r="M222" s="879"/>
      <c r="N222" s="879" t="s">
        <v>775</v>
      </c>
      <c r="O222" s="879"/>
      <c r="P222" s="874">
        <v>1</v>
      </c>
      <c r="Q222" s="1017">
        <v>0.05</v>
      </c>
      <c r="R222" s="874"/>
      <c r="S222" s="874">
        <f t="shared" si="6"/>
        <v>0</v>
      </c>
      <c r="T222" s="845">
        <f t="shared" si="7"/>
        <v>0</v>
      </c>
      <c r="U222" s="874" t="s">
        <v>34</v>
      </c>
      <c r="V222" s="799"/>
      <c r="W222" s="246"/>
    </row>
    <row r="223" spans="1:23" ht="20.55" customHeight="1" x14ac:dyDescent="0.4">
      <c r="A223" s="788">
        <v>222</v>
      </c>
      <c r="B223" s="649" t="s">
        <v>2399</v>
      </c>
      <c r="C223" s="649" t="s">
        <v>24</v>
      </c>
      <c r="D223" s="58">
        <v>2482</v>
      </c>
      <c r="E223" s="246" t="s">
        <v>2575</v>
      </c>
      <c r="F223" s="246" t="s">
        <v>755</v>
      </c>
      <c r="G223" s="246">
        <v>2467</v>
      </c>
      <c r="H223" s="246" t="s">
        <v>2507</v>
      </c>
      <c r="I223" s="246" t="s">
        <v>729</v>
      </c>
      <c r="J223" s="253" t="s">
        <v>110</v>
      </c>
      <c r="K223" s="253" t="s">
        <v>111</v>
      </c>
      <c r="L223" s="874">
        <v>0.4</v>
      </c>
      <c r="M223" s="879"/>
      <c r="N223" s="879" t="s">
        <v>776</v>
      </c>
      <c r="O223" s="879"/>
      <c r="P223" s="874">
        <v>1</v>
      </c>
      <c r="Q223" s="1017">
        <v>0.1</v>
      </c>
      <c r="R223" s="874"/>
      <c r="S223" s="874">
        <f t="shared" si="6"/>
        <v>0</v>
      </c>
      <c r="T223" s="845">
        <f t="shared" si="7"/>
        <v>0</v>
      </c>
      <c r="U223" s="874" t="s">
        <v>34</v>
      </c>
      <c r="V223" s="799"/>
      <c r="W223" s="246"/>
    </row>
    <row r="224" spans="1:23" ht="20.55" customHeight="1" x14ac:dyDescent="0.4">
      <c r="A224" s="788">
        <v>223</v>
      </c>
      <c r="B224" s="649" t="s">
        <v>2399</v>
      </c>
      <c r="C224" s="649" t="s">
        <v>24</v>
      </c>
      <c r="D224" s="58">
        <v>2482</v>
      </c>
      <c r="E224" s="246" t="s">
        <v>2575</v>
      </c>
      <c r="F224" s="246" t="s">
        <v>755</v>
      </c>
      <c r="G224" s="246">
        <v>2467</v>
      </c>
      <c r="H224" s="246" t="s">
        <v>2507</v>
      </c>
      <c r="I224" s="246" t="s">
        <v>729</v>
      </c>
      <c r="J224" s="253" t="s">
        <v>110</v>
      </c>
      <c r="K224" s="253" t="s">
        <v>111</v>
      </c>
      <c r="L224" s="874">
        <v>0.4</v>
      </c>
      <c r="M224" s="879"/>
      <c r="N224" s="879" t="s">
        <v>251</v>
      </c>
      <c r="O224" s="879"/>
      <c r="P224" s="874">
        <v>1</v>
      </c>
      <c r="Q224" s="1017">
        <v>0.05</v>
      </c>
      <c r="R224" s="874"/>
      <c r="S224" s="874">
        <f t="shared" si="6"/>
        <v>0</v>
      </c>
      <c r="T224" s="845">
        <f t="shared" si="7"/>
        <v>0</v>
      </c>
      <c r="U224" s="874" t="s">
        <v>34</v>
      </c>
      <c r="V224" s="799"/>
      <c r="W224" s="246"/>
    </row>
    <row r="225" spans="1:23" ht="20.55" customHeight="1" x14ac:dyDescent="0.4">
      <c r="A225" s="788">
        <v>224</v>
      </c>
      <c r="B225" s="649" t="s">
        <v>2399</v>
      </c>
      <c r="C225" s="649" t="s">
        <v>24</v>
      </c>
      <c r="D225" s="58">
        <v>2482</v>
      </c>
      <c r="E225" s="246" t="s">
        <v>2575</v>
      </c>
      <c r="F225" s="246" t="s">
        <v>755</v>
      </c>
      <c r="G225" s="246">
        <v>2467</v>
      </c>
      <c r="H225" s="246" t="s">
        <v>2507</v>
      </c>
      <c r="I225" s="246" t="s">
        <v>729</v>
      </c>
      <c r="J225" s="253" t="s">
        <v>110</v>
      </c>
      <c r="K225" s="253" t="s">
        <v>111</v>
      </c>
      <c r="L225" s="874">
        <v>0.4</v>
      </c>
      <c r="M225" s="879"/>
      <c r="N225" s="879" t="s">
        <v>252</v>
      </c>
      <c r="O225" s="879"/>
      <c r="P225" s="874">
        <v>1</v>
      </c>
      <c r="Q225" s="1017">
        <v>0.05</v>
      </c>
      <c r="R225" s="874"/>
      <c r="S225" s="874">
        <f t="shared" si="6"/>
        <v>0</v>
      </c>
      <c r="T225" s="845">
        <f t="shared" si="7"/>
        <v>0</v>
      </c>
      <c r="U225" s="874" t="s">
        <v>34</v>
      </c>
      <c r="V225" s="799"/>
      <c r="W225" s="246"/>
    </row>
    <row r="226" spans="1:23" ht="20.55" customHeight="1" x14ac:dyDescent="0.4">
      <c r="A226" s="788">
        <v>225</v>
      </c>
      <c r="B226" s="649" t="s">
        <v>2399</v>
      </c>
      <c r="C226" s="649" t="s">
        <v>24</v>
      </c>
      <c r="D226" s="58">
        <v>2482</v>
      </c>
      <c r="E226" s="246" t="s">
        <v>2575</v>
      </c>
      <c r="F226" s="246" t="s">
        <v>755</v>
      </c>
      <c r="G226" s="246">
        <v>2467</v>
      </c>
      <c r="H226" s="246" t="s">
        <v>2507</v>
      </c>
      <c r="I226" s="246" t="s">
        <v>729</v>
      </c>
      <c r="J226" s="253" t="s">
        <v>110</v>
      </c>
      <c r="K226" s="253" t="s">
        <v>111</v>
      </c>
      <c r="L226" s="874">
        <v>0.4</v>
      </c>
      <c r="M226" s="879"/>
      <c r="N226" s="879" t="s">
        <v>777</v>
      </c>
      <c r="O226" s="879"/>
      <c r="P226" s="874">
        <v>1</v>
      </c>
      <c r="Q226" s="1017">
        <v>0.05</v>
      </c>
      <c r="R226" s="874"/>
      <c r="S226" s="874">
        <f t="shared" si="6"/>
        <v>0</v>
      </c>
      <c r="T226" s="845">
        <f t="shared" si="7"/>
        <v>0</v>
      </c>
      <c r="U226" s="874" t="s">
        <v>34</v>
      </c>
      <c r="V226" s="799"/>
      <c r="W226" s="246"/>
    </row>
    <row r="227" spans="1:23" ht="20.55" customHeight="1" x14ac:dyDescent="0.4">
      <c r="A227" s="788">
        <v>226</v>
      </c>
      <c r="B227" s="649" t="s">
        <v>2399</v>
      </c>
      <c r="C227" s="649" t="s">
        <v>24</v>
      </c>
      <c r="D227" s="58">
        <v>2482</v>
      </c>
      <c r="E227" s="246" t="s">
        <v>2575</v>
      </c>
      <c r="F227" s="246" t="s">
        <v>755</v>
      </c>
      <c r="G227" s="246">
        <v>2467</v>
      </c>
      <c r="H227" s="246" t="s">
        <v>2507</v>
      </c>
      <c r="I227" s="246" t="s">
        <v>729</v>
      </c>
      <c r="J227" s="253" t="s">
        <v>110</v>
      </c>
      <c r="K227" s="253" t="s">
        <v>111</v>
      </c>
      <c r="L227" s="874">
        <v>0.4</v>
      </c>
      <c r="M227" s="879"/>
      <c r="N227" s="879" t="s">
        <v>253</v>
      </c>
      <c r="O227" s="879"/>
      <c r="P227" s="874">
        <v>1</v>
      </c>
      <c r="Q227" s="1017">
        <v>0.05</v>
      </c>
      <c r="R227" s="874"/>
      <c r="S227" s="874">
        <f t="shared" si="6"/>
        <v>0</v>
      </c>
      <c r="T227" s="845">
        <f t="shared" si="7"/>
        <v>0</v>
      </c>
      <c r="U227" s="874" t="s">
        <v>34</v>
      </c>
      <c r="V227" s="799"/>
      <c r="W227" s="246"/>
    </row>
    <row r="228" spans="1:23" ht="20.55" customHeight="1" x14ac:dyDescent="0.4">
      <c r="A228" s="788">
        <v>227</v>
      </c>
      <c r="B228" s="236" t="s">
        <v>2399</v>
      </c>
      <c r="C228" s="236" t="s">
        <v>24</v>
      </c>
      <c r="D228" s="100">
        <v>2361</v>
      </c>
      <c r="E228" s="236" t="s">
        <v>2584</v>
      </c>
      <c r="F228" s="236" t="s">
        <v>755</v>
      </c>
      <c r="G228" s="236">
        <v>2467</v>
      </c>
      <c r="H228" s="236" t="s">
        <v>2507</v>
      </c>
      <c r="I228" s="236" t="s">
        <v>729</v>
      </c>
      <c r="J228" s="243" t="s">
        <v>2035</v>
      </c>
      <c r="K228" s="243" t="s">
        <v>58</v>
      </c>
      <c r="L228" s="855">
        <v>0.6</v>
      </c>
      <c r="M228" s="952"/>
      <c r="N228" s="952" t="s">
        <v>2585</v>
      </c>
      <c r="O228" s="952"/>
      <c r="P228" s="855">
        <v>1</v>
      </c>
      <c r="Q228" s="354">
        <v>0.1</v>
      </c>
      <c r="R228" s="855"/>
      <c r="S228" s="855">
        <f t="shared" si="6"/>
        <v>0</v>
      </c>
      <c r="T228" s="854">
        <f t="shared" si="7"/>
        <v>0</v>
      </c>
      <c r="U228" s="855" t="s">
        <v>34</v>
      </c>
      <c r="V228" s="1950">
        <f>SUM(T228:T254)%</f>
        <v>0</v>
      </c>
      <c r="W228" s="236"/>
    </row>
    <row r="229" spans="1:23" ht="20.55" customHeight="1" x14ac:dyDescent="0.4">
      <c r="A229" s="788">
        <v>228</v>
      </c>
      <c r="B229" s="199" t="s">
        <v>2399</v>
      </c>
      <c r="C229" s="199" t="s">
        <v>24</v>
      </c>
      <c r="D229" s="68">
        <v>2361</v>
      </c>
      <c r="E229" s="199" t="s">
        <v>2584</v>
      </c>
      <c r="F229" s="199" t="s">
        <v>755</v>
      </c>
      <c r="G229" s="199">
        <v>2467</v>
      </c>
      <c r="H229" s="199" t="s">
        <v>2507</v>
      </c>
      <c r="I229" s="199" t="s">
        <v>729</v>
      </c>
      <c r="J229" s="79" t="s">
        <v>2035</v>
      </c>
      <c r="K229" s="79" t="s">
        <v>58</v>
      </c>
      <c r="L229" s="647">
        <v>0.6</v>
      </c>
      <c r="M229" s="757"/>
      <c r="N229" s="757" t="s">
        <v>1285</v>
      </c>
      <c r="O229" s="757"/>
      <c r="P229" s="647">
        <v>1</v>
      </c>
      <c r="Q229" s="363">
        <v>0.05</v>
      </c>
      <c r="R229" s="647"/>
      <c r="S229" s="647">
        <f t="shared" si="6"/>
        <v>0</v>
      </c>
      <c r="T229" s="764">
        <f t="shared" si="7"/>
        <v>0</v>
      </c>
      <c r="U229" s="647" t="s">
        <v>34</v>
      </c>
      <c r="V229" s="799"/>
      <c r="W229" s="199"/>
    </row>
    <row r="230" spans="1:23" ht="20.55" customHeight="1" x14ac:dyDescent="0.4">
      <c r="A230" s="788">
        <v>229</v>
      </c>
      <c r="B230" s="199" t="s">
        <v>2399</v>
      </c>
      <c r="C230" s="199" t="s">
        <v>24</v>
      </c>
      <c r="D230" s="68">
        <v>2361</v>
      </c>
      <c r="E230" s="199" t="s">
        <v>2584</v>
      </c>
      <c r="F230" s="199" t="s">
        <v>755</v>
      </c>
      <c r="G230" s="199">
        <v>2467</v>
      </c>
      <c r="H230" s="199" t="s">
        <v>2507</v>
      </c>
      <c r="I230" s="199" t="s">
        <v>729</v>
      </c>
      <c r="J230" s="79" t="s">
        <v>2035</v>
      </c>
      <c r="K230" s="79" t="s">
        <v>58</v>
      </c>
      <c r="L230" s="647">
        <v>0.6</v>
      </c>
      <c r="M230" s="757"/>
      <c r="N230" s="757" t="s">
        <v>2586</v>
      </c>
      <c r="O230" s="757"/>
      <c r="P230" s="647">
        <v>1</v>
      </c>
      <c r="Q230" s="363">
        <v>0.1</v>
      </c>
      <c r="R230" s="647"/>
      <c r="S230" s="647">
        <f t="shared" si="6"/>
        <v>0</v>
      </c>
      <c r="T230" s="764">
        <f t="shared" si="7"/>
        <v>0</v>
      </c>
      <c r="U230" s="647" t="s">
        <v>34</v>
      </c>
      <c r="V230" s="799"/>
      <c r="W230" s="199"/>
    </row>
    <row r="231" spans="1:23" ht="20.55" customHeight="1" x14ac:dyDescent="0.4">
      <c r="A231" s="788">
        <v>230</v>
      </c>
      <c r="B231" s="199" t="s">
        <v>2399</v>
      </c>
      <c r="C231" s="199" t="s">
        <v>24</v>
      </c>
      <c r="D231" s="68">
        <v>2361</v>
      </c>
      <c r="E231" s="199" t="s">
        <v>2584</v>
      </c>
      <c r="F231" s="199" t="s">
        <v>755</v>
      </c>
      <c r="G231" s="199">
        <v>2467</v>
      </c>
      <c r="H231" s="199" t="s">
        <v>2507</v>
      </c>
      <c r="I231" s="199" t="s">
        <v>729</v>
      </c>
      <c r="J231" s="79" t="s">
        <v>2035</v>
      </c>
      <c r="K231" s="79" t="s">
        <v>58</v>
      </c>
      <c r="L231" s="647">
        <v>0.6</v>
      </c>
      <c r="M231" s="757"/>
      <c r="N231" s="757" t="s">
        <v>732</v>
      </c>
      <c r="O231" s="757"/>
      <c r="P231" s="647">
        <v>1</v>
      </c>
      <c r="Q231" s="363">
        <v>0.05</v>
      </c>
      <c r="R231" s="647"/>
      <c r="S231" s="647">
        <f t="shared" si="6"/>
        <v>0</v>
      </c>
      <c r="T231" s="764">
        <f t="shared" si="7"/>
        <v>0</v>
      </c>
      <c r="U231" s="647" t="s">
        <v>34</v>
      </c>
      <c r="V231" s="799"/>
      <c r="W231" s="199"/>
    </row>
    <row r="232" spans="1:23" ht="20.55" customHeight="1" x14ac:dyDescent="0.4">
      <c r="A232" s="788">
        <v>231</v>
      </c>
      <c r="B232" s="199" t="s">
        <v>2399</v>
      </c>
      <c r="C232" s="199" t="s">
        <v>24</v>
      </c>
      <c r="D232" s="68">
        <v>2361</v>
      </c>
      <c r="E232" s="199" t="s">
        <v>2584</v>
      </c>
      <c r="F232" s="199" t="s">
        <v>755</v>
      </c>
      <c r="G232" s="199">
        <v>2467</v>
      </c>
      <c r="H232" s="199" t="s">
        <v>2507</v>
      </c>
      <c r="I232" s="199" t="s">
        <v>729</v>
      </c>
      <c r="J232" s="79" t="s">
        <v>2035</v>
      </c>
      <c r="K232" s="79" t="s">
        <v>58</v>
      </c>
      <c r="L232" s="647">
        <v>0.6</v>
      </c>
      <c r="M232" s="757"/>
      <c r="N232" s="757" t="s">
        <v>733</v>
      </c>
      <c r="O232" s="757"/>
      <c r="P232" s="647">
        <v>1</v>
      </c>
      <c r="Q232" s="363">
        <v>0.1</v>
      </c>
      <c r="R232" s="647"/>
      <c r="S232" s="647">
        <f t="shared" si="6"/>
        <v>0</v>
      </c>
      <c r="T232" s="764">
        <f t="shared" si="7"/>
        <v>0</v>
      </c>
      <c r="U232" s="647" t="s">
        <v>34</v>
      </c>
      <c r="V232" s="799"/>
      <c r="W232" s="199"/>
    </row>
    <row r="233" spans="1:23" ht="20.55" customHeight="1" x14ac:dyDescent="0.4">
      <c r="A233" s="788">
        <v>232</v>
      </c>
      <c r="B233" s="199" t="s">
        <v>2399</v>
      </c>
      <c r="C233" s="199" t="s">
        <v>24</v>
      </c>
      <c r="D233" s="68">
        <v>2361</v>
      </c>
      <c r="E233" s="199" t="s">
        <v>2584</v>
      </c>
      <c r="F233" s="199" t="s">
        <v>755</v>
      </c>
      <c r="G233" s="199">
        <v>2467</v>
      </c>
      <c r="H233" s="199" t="s">
        <v>2507</v>
      </c>
      <c r="I233" s="199" t="s">
        <v>729</v>
      </c>
      <c r="J233" s="79" t="s">
        <v>2035</v>
      </c>
      <c r="K233" s="79" t="s">
        <v>58</v>
      </c>
      <c r="L233" s="647">
        <v>0.6</v>
      </c>
      <c r="M233" s="757"/>
      <c r="N233" s="757" t="s">
        <v>734</v>
      </c>
      <c r="O233" s="757"/>
      <c r="P233" s="647">
        <v>1</v>
      </c>
      <c r="Q233" s="363">
        <v>0.1</v>
      </c>
      <c r="R233" s="647"/>
      <c r="S233" s="647">
        <f t="shared" si="6"/>
        <v>0</v>
      </c>
      <c r="T233" s="764">
        <f t="shared" si="7"/>
        <v>0</v>
      </c>
      <c r="U233" s="647" t="s">
        <v>34</v>
      </c>
      <c r="V233" s="799"/>
      <c r="W233" s="199"/>
    </row>
    <row r="234" spans="1:23" ht="20.55" customHeight="1" x14ac:dyDescent="0.4">
      <c r="A234" s="788">
        <v>233</v>
      </c>
      <c r="B234" s="199" t="s">
        <v>2399</v>
      </c>
      <c r="C234" s="199" t="s">
        <v>24</v>
      </c>
      <c r="D234" s="68">
        <v>2361</v>
      </c>
      <c r="E234" s="199" t="s">
        <v>2584</v>
      </c>
      <c r="F234" s="199" t="s">
        <v>755</v>
      </c>
      <c r="G234" s="199">
        <v>2467</v>
      </c>
      <c r="H234" s="199" t="s">
        <v>2507</v>
      </c>
      <c r="I234" s="199" t="s">
        <v>729</v>
      </c>
      <c r="J234" s="79" t="s">
        <v>2035</v>
      </c>
      <c r="K234" s="79" t="s">
        <v>58</v>
      </c>
      <c r="L234" s="647">
        <v>0.6</v>
      </c>
      <c r="M234" s="757"/>
      <c r="N234" s="757" t="s">
        <v>2587</v>
      </c>
      <c r="O234" s="757"/>
      <c r="P234" s="647">
        <v>1</v>
      </c>
      <c r="Q234" s="363">
        <v>0.05</v>
      </c>
      <c r="R234" s="647"/>
      <c r="S234" s="647">
        <f t="shared" si="6"/>
        <v>0</v>
      </c>
      <c r="T234" s="764">
        <f t="shared" si="7"/>
        <v>0</v>
      </c>
      <c r="U234" s="647" t="s">
        <v>34</v>
      </c>
      <c r="V234" s="799"/>
      <c r="W234" s="199"/>
    </row>
    <row r="235" spans="1:23" ht="20.55" customHeight="1" x14ac:dyDescent="0.4">
      <c r="A235" s="788">
        <v>234</v>
      </c>
      <c r="B235" s="199" t="s">
        <v>2399</v>
      </c>
      <c r="C235" s="199" t="s">
        <v>24</v>
      </c>
      <c r="D235" s="68">
        <v>2361</v>
      </c>
      <c r="E235" s="199" t="s">
        <v>2584</v>
      </c>
      <c r="F235" s="199" t="s">
        <v>755</v>
      </c>
      <c r="G235" s="199">
        <v>2467</v>
      </c>
      <c r="H235" s="199" t="s">
        <v>2507</v>
      </c>
      <c r="I235" s="199" t="s">
        <v>729</v>
      </c>
      <c r="J235" s="79" t="s">
        <v>2035</v>
      </c>
      <c r="K235" s="79" t="s">
        <v>58</v>
      </c>
      <c r="L235" s="647">
        <v>0.6</v>
      </c>
      <c r="M235" s="757"/>
      <c r="N235" s="757" t="s">
        <v>1351</v>
      </c>
      <c r="O235" s="757"/>
      <c r="P235" s="647">
        <v>1</v>
      </c>
      <c r="Q235" s="363">
        <v>0.1</v>
      </c>
      <c r="R235" s="647"/>
      <c r="S235" s="647">
        <f t="shared" si="6"/>
        <v>0</v>
      </c>
      <c r="T235" s="764">
        <f t="shared" si="7"/>
        <v>0</v>
      </c>
      <c r="U235" s="647" t="s">
        <v>34</v>
      </c>
      <c r="V235" s="799"/>
      <c r="W235" s="199"/>
    </row>
    <row r="236" spans="1:23" ht="20.55" customHeight="1" x14ac:dyDescent="0.4">
      <c r="A236" s="788">
        <v>235</v>
      </c>
      <c r="B236" s="199" t="s">
        <v>2399</v>
      </c>
      <c r="C236" s="199" t="s">
        <v>24</v>
      </c>
      <c r="D236" s="68">
        <v>2361</v>
      </c>
      <c r="E236" s="199" t="s">
        <v>2584</v>
      </c>
      <c r="F236" s="199" t="s">
        <v>755</v>
      </c>
      <c r="G236" s="199">
        <v>2467</v>
      </c>
      <c r="H236" s="199" t="s">
        <v>2507</v>
      </c>
      <c r="I236" s="199" t="s">
        <v>729</v>
      </c>
      <c r="J236" s="79" t="s">
        <v>2035</v>
      </c>
      <c r="K236" s="79" t="s">
        <v>58</v>
      </c>
      <c r="L236" s="647">
        <v>0.6</v>
      </c>
      <c r="M236" s="757"/>
      <c r="N236" s="757" t="s">
        <v>2588</v>
      </c>
      <c r="O236" s="757"/>
      <c r="P236" s="647">
        <v>1</v>
      </c>
      <c r="Q236" s="363">
        <v>0.1</v>
      </c>
      <c r="R236" s="647"/>
      <c r="S236" s="647">
        <f t="shared" si="6"/>
        <v>0</v>
      </c>
      <c r="T236" s="764">
        <f t="shared" si="7"/>
        <v>0</v>
      </c>
      <c r="U236" s="647" t="s">
        <v>34</v>
      </c>
      <c r="V236" s="799"/>
      <c r="W236" s="199"/>
    </row>
    <row r="237" spans="1:23" ht="20.55" customHeight="1" x14ac:dyDescent="0.4">
      <c r="A237" s="788">
        <v>236</v>
      </c>
      <c r="B237" s="199" t="s">
        <v>2399</v>
      </c>
      <c r="C237" s="199" t="s">
        <v>24</v>
      </c>
      <c r="D237" s="68">
        <v>2361</v>
      </c>
      <c r="E237" s="199" t="s">
        <v>2584</v>
      </c>
      <c r="F237" s="199" t="s">
        <v>755</v>
      </c>
      <c r="G237" s="199">
        <v>2467</v>
      </c>
      <c r="H237" s="199" t="s">
        <v>2507</v>
      </c>
      <c r="I237" s="199" t="s">
        <v>729</v>
      </c>
      <c r="J237" s="79" t="s">
        <v>2035</v>
      </c>
      <c r="K237" s="79" t="s">
        <v>58</v>
      </c>
      <c r="L237" s="647">
        <v>0.6</v>
      </c>
      <c r="M237" s="757"/>
      <c r="N237" s="757" t="s">
        <v>2589</v>
      </c>
      <c r="O237" s="757"/>
      <c r="P237" s="647">
        <v>1</v>
      </c>
      <c r="Q237" s="363">
        <v>0.05</v>
      </c>
      <c r="R237" s="647"/>
      <c r="S237" s="647">
        <f t="shared" si="6"/>
        <v>0</v>
      </c>
      <c r="T237" s="764">
        <f t="shared" si="7"/>
        <v>0</v>
      </c>
      <c r="U237" s="647" t="s">
        <v>34</v>
      </c>
      <c r="V237" s="799"/>
      <c r="W237" s="199"/>
    </row>
    <row r="238" spans="1:23" ht="20.55" customHeight="1" x14ac:dyDescent="0.4">
      <c r="A238" s="788">
        <v>237</v>
      </c>
      <c r="B238" s="199" t="s">
        <v>2399</v>
      </c>
      <c r="C238" s="199" t="s">
        <v>24</v>
      </c>
      <c r="D238" s="68">
        <v>2361</v>
      </c>
      <c r="E238" s="199" t="s">
        <v>2584</v>
      </c>
      <c r="F238" s="199" t="s">
        <v>755</v>
      </c>
      <c r="G238" s="199">
        <v>2467</v>
      </c>
      <c r="H238" s="199" t="s">
        <v>2507</v>
      </c>
      <c r="I238" s="199" t="s">
        <v>729</v>
      </c>
      <c r="J238" s="79" t="s">
        <v>2035</v>
      </c>
      <c r="K238" s="79" t="s">
        <v>58</v>
      </c>
      <c r="L238" s="647">
        <v>0.6</v>
      </c>
      <c r="M238" s="757"/>
      <c r="N238" s="757" t="s">
        <v>2590</v>
      </c>
      <c r="O238" s="757"/>
      <c r="P238" s="647">
        <v>1</v>
      </c>
      <c r="Q238" s="363">
        <v>0.1</v>
      </c>
      <c r="R238" s="647"/>
      <c r="S238" s="647">
        <f t="shared" si="6"/>
        <v>0</v>
      </c>
      <c r="T238" s="764">
        <f t="shared" si="7"/>
        <v>0</v>
      </c>
      <c r="U238" s="647" t="s">
        <v>34</v>
      </c>
      <c r="V238" s="799"/>
      <c r="W238" s="199"/>
    </row>
    <row r="239" spans="1:23" ht="20.55" customHeight="1" x14ac:dyDescent="0.4">
      <c r="A239" s="788">
        <v>238</v>
      </c>
      <c r="B239" s="199" t="s">
        <v>2399</v>
      </c>
      <c r="C239" s="199" t="s">
        <v>24</v>
      </c>
      <c r="D239" s="68">
        <v>2361</v>
      </c>
      <c r="E239" s="199" t="s">
        <v>2584</v>
      </c>
      <c r="F239" s="199" t="s">
        <v>755</v>
      </c>
      <c r="G239" s="199">
        <v>2467</v>
      </c>
      <c r="H239" s="199" t="s">
        <v>2507</v>
      </c>
      <c r="I239" s="199" t="s">
        <v>729</v>
      </c>
      <c r="J239" s="79" t="s">
        <v>2035</v>
      </c>
      <c r="K239" s="79" t="s">
        <v>58</v>
      </c>
      <c r="L239" s="647">
        <v>0.6</v>
      </c>
      <c r="M239" s="757"/>
      <c r="N239" s="757" t="s">
        <v>2591</v>
      </c>
      <c r="O239" s="757"/>
      <c r="P239" s="647">
        <v>1</v>
      </c>
      <c r="Q239" s="363">
        <v>0.1</v>
      </c>
      <c r="R239" s="647"/>
      <c r="S239" s="647">
        <f t="shared" si="6"/>
        <v>0</v>
      </c>
      <c r="T239" s="764">
        <f t="shared" si="7"/>
        <v>0</v>
      </c>
      <c r="U239" s="647" t="s">
        <v>34</v>
      </c>
      <c r="V239" s="799"/>
      <c r="W239" s="199"/>
    </row>
    <row r="240" spans="1:23" ht="20.55" customHeight="1" x14ac:dyDescent="0.4">
      <c r="A240" s="788">
        <v>239</v>
      </c>
      <c r="B240" s="199" t="s">
        <v>2399</v>
      </c>
      <c r="C240" s="199" t="s">
        <v>24</v>
      </c>
      <c r="D240" s="68">
        <v>2361</v>
      </c>
      <c r="E240" s="199" t="s">
        <v>2584</v>
      </c>
      <c r="F240" s="199" t="s">
        <v>755</v>
      </c>
      <c r="G240" s="199">
        <v>2467</v>
      </c>
      <c r="H240" s="199" t="s">
        <v>2507</v>
      </c>
      <c r="I240" s="199" t="s">
        <v>729</v>
      </c>
      <c r="J240" s="210" t="s">
        <v>110</v>
      </c>
      <c r="K240" s="253" t="s">
        <v>111</v>
      </c>
      <c r="L240" s="222">
        <v>0.4</v>
      </c>
      <c r="M240" s="767"/>
      <c r="N240" s="767" t="s">
        <v>255</v>
      </c>
      <c r="O240" s="767"/>
      <c r="P240" s="222">
        <v>1</v>
      </c>
      <c r="Q240" s="1017">
        <v>0.05</v>
      </c>
      <c r="R240" s="222"/>
      <c r="S240" s="222">
        <f t="shared" si="6"/>
        <v>0</v>
      </c>
      <c r="T240" s="765">
        <f t="shared" si="7"/>
        <v>0</v>
      </c>
      <c r="U240" s="222" t="s">
        <v>34</v>
      </c>
      <c r="V240" s="799"/>
      <c r="W240" s="199"/>
    </row>
    <row r="241" spans="1:23" ht="20.55" customHeight="1" x14ac:dyDescent="0.4">
      <c r="A241" s="788">
        <v>240</v>
      </c>
      <c r="B241" s="199" t="s">
        <v>2399</v>
      </c>
      <c r="C241" s="199" t="s">
        <v>24</v>
      </c>
      <c r="D241" s="68">
        <v>2361</v>
      </c>
      <c r="E241" s="199" t="s">
        <v>2584</v>
      </c>
      <c r="F241" s="199" t="s">
        <v>755</v>
      </c>
      <c r="G241" s="199">
        <v>2467</v>
      </c>
      <c r="H241" s="199" t="s">
        <v>2507</v>
      </c>
      <c r="I241" s="199" t="s">
        <v>729</v>
      </c>
      <c r="J241" s="253" t="s">
        <v>110</v>
      </c>
      <c r="K241" s="253" t="s">
        <v>111</v>
      </c>
      <c r="L241" s="874">
        <v>0.4</v>
      </c>
      <c r="M241" s="879"/>
      <c r="N241" s="879" t="s">
        <v>768</v>
      </c>
      <c r="O241" s="879"/>
      <c r="P241" s="874">
        <v>1</v>
      </c>
      <c r="Q241" s="1017">
        <v>0.05</v>
      </c>
      <c r="R241" s="874"/>
      <c r="S241" s="222">
        <f t="shared" si="6"/>
        <v>0</v>
      </c>
      <c r="T241" s="765">
        <f t="shared" si="7"/>
        <v>0</v>
      </c>
      <c r="U241" s="222" t="s">
        <v>34</v>
      </c>
      <c r="V241" s="799"/>
      <c r="W241" s="199"/>
    </row>
    <row r="242" spans="1:23" ht="20.55" customHeight="1" x14ac:dyDescent="0.4">
      <c r="A242" s="788">
        <v>241</v>
      </c>
      <c r="B242" s="246" t="s">
        <v>2399</v>
      </c>
      <c r="C242" s="246" t="s">
        <v>24</v>
      </c>
      <c r="D242" s="58">
        <v>2361</v>
      </c>
      <c r="E242" s="246" t="s">
        <v>2584</v>
      </c>
      <c r="F242" s="246" t="s">
        <v>755</v>
      </c>
      <c r="G242" s="246">
        <v>2467</v>
      </c>
      <c r="H242" s="246" t="s">
        <v>2507</v>
      </c>
      <c r="I242" s="246" t="s">
        <v>729</v>
      </c>
      <c r="J242" s="253" t="s">
        <v>110</v>
      </c>
      <c r="K242" s="253" t="s">
        <v>111</v>
      </c>
      <c r="L242" s="874">
        <v>0.4</v>
      </c>
      <c r="M242" s="879"/>
      <c r="N242" s="879" t="s">
        <v>769</v>
      </c>
      <c r="O242" s="879"/>
      <c r="P242" s="874">
        <v>1</v>
      </c>
      <c r="Q242" s="1017">
        <v>0.05</v>
      </c>
      <c r="R242" s="874"/>
      <c r="S242" s="874">
        <f t="shared" si="6"/>
        <v>0</v>
      </c>
      <c r="T242" s="845">
        <f t="shared" si="7"/>
        <v>0</v>
      </c>
      <c r="U242" s="874" t="s">
        <v>34</v>
      </c>
      <c r="V242" s="799"/>
      <c r="W242" s="246"/>
    </row>
    <row r="243" spans="1:23" ht="20.55" customHeight="1" x14ac:dyDescent="0.4">
      <c r="A243" s="788">
        <v>242</v>
      </c>
      <c r="B243" s="246" t="s">
        <v>2399</v>
      </c>
      <c r="C243" s="246" t="s">
        <v>24</v>
      </c>
      <c r="D243" s="58">
        <v>2361</v>
      </c>
      <c r="E243" s="246" t="s">
        <v>2584</v>
      </c>
      <c r="F243" s="246" t="s">
        <v>755</v>
      </c>
      <c r="G243" s="246">
        <v>2467</v>
      </c>
      <c r="H243" s="246" t="s">
        <v>2507</v>
      </c>
      <c r="I243" s="246" t="s">
        <v>729</v>
      </c>
      <c r="J243" s="253" t="s">
        <v>110</v>
      </c>
      <c r="K243" s="253" t="s">
        <v>111</v>
      </c>
      <c r="L243" s="874">
        <v>0.4</v>
      </c>
      <c r="M243" s="879"/>
      <c r="N243" s="879" t="s">
        <v>770</v>
      </c>
      <c r="O243" s="879"/>
      <c r="P243" s="874">
        <v>1</v>
      </c>
      <c r="Q243" s="1017">
        <v>0.15</v>
      </c>
      <c r="R243" s="874"/>
      <c r="S243" s="874">
        <f t="shared" si="6"/>
        <v>0</v>
      </c>
      <c r="T243" s="845">
        <f t="shared" si="7"/>
        <v>0</v>
      </c>
      <c r="U243" s="874" t="s">
        <v>34</v>
      </c>
      <c r="V243" s="799"/>
      <c r="W243" s="246"/>
    </row>
    <row r="244" spans="1:23" ht="20.55" customHeight="1" x14ac:dyDescent="0.4">
      <c r="A244" s="788">
        <v>243</v>
      </c>
      <c r="B244" s="246" t="s">
        <v>2399</v>
      </c>
      <c r="C244" s="246" t="s">
        <v>24</v>
      </c>
      <c r="D244" s="58">
        <v>2361</v>
      </c>
      <c r="E244" s="246" t="s">
        <v>2584</v>
      </c>
      <c r="F244" s="246" t="s">
        <v>755</v>
      </c>
      <c r="G244" s="246">
        <v>2467</v>
      </c>
      <c r="H244" s="246" t="s">
        <v>2507</v>
      </c>
      <c r="I244" s="246" t="s">
        <v>729</v>
      </c>
      <c r="J244" s="253" t="s">
        <v>110</v>
      </c>
      <c r="K244" s="253" t="s">
        <v>111</v>
      </c>
      <c r="L244" s="874">
        <v>0.4</v>
      </c>
      <c r="M244" s="879"/>
      <c r="N244" s="879" t="s">
        <v>254</v>
      </c>
      <c r="O244" s="879"/>
      <c r="P244" s="874">
        <v>1</v>
      </c>
      <c r="Q244" s="1017">
        <v>0.1</v>
      </c>
      <c r="R244" s="874"/>
      <c r="S244" s="874">
        <f t="shared" si="6"/>
        <v>0</v>
      </c>
      <c r="T244" s="845">
        <f t="shared" si="7"/>
        <v>0</v>
      </c>
      <c r="U244" s="874" t="s">
        <v>34</v>
      </c>
      <c r="V244" s="799"/>
      <c r="W244" s="246"/>
    </row>
    <row r="245" spans="1:23" ht="20.55" customHeight="1" x14ac:dyDescent="0.4">
      <c r="A245" s="788">
        <v>244</v>
      </c>
      <c r="B245" s="246" t="s">
        <v>2399</v>
      </c>
      <c r="C245" s="246" t="s">
        <v>24</v>
      </c>
      <c r="D245" s="58">
        <v>2361</v>
      </c>
      <c r="E245" s="246" t="s">
        <v>2584</v>
      </c>
      <c r="F245" s="246" t="s">
        <v>755</v>
      </c>
      <c r="G245" s="246">
        <v>2467</v>
      </c>
      <c r="H245" s="246" t="s">
        <v>2507</v>
      </c>
      <c r="I245" s="246" t="s">
        <v>729</v>
      </c>
      <c r="J245" s="253" t="s">
        <v>110</v>
      </c>
      <c r="K245" s="253" t="s">
        <v>111</v>
      </c>
      <c r="L245" s="874">
        <v>0.4</v>
      </c>
      <c r="M245" s="879"/>
      <c r="N245" s="879" t="s">
        <v>771</v>
      </c>
      <c r="O245" s="879"/>
      <c r="P245" s="874">
        <v>1</v>
      </c>
      <c r="Q245" s="1017">
        <v>0.05</v>
      </c>
      <c r="R245" s="874"/>
      <c r="S245" s="874">
        <f t="shared" si="6"/>
        <v>0</v>
      </c>
      <c r="T245" s="845">
        <f t="shared" si="7"/>
        <v>0</v>
      </c>
      <c r="U245" s="874" t="s">
        <v>34</v>
      </c>
      <c r="V245" s="799"/>
      <c r="W245" s="246"/>
    </row>
    <row r="246" spans="1:23" ht="20.55" customHeight="1" x14ac:dyDescent="0.4">
      <c r="A246" s="788">
        <v>245</v>
      </c>
      <c r="B246" s="246" t="s">
        <v>2399</v>
      </c>
      <c r="C246" s="246" t="s">
        <v>24</v>
      </c>
      <c r="D246" s="58">
        <v>2361</v>
      </c>
      <c r="E246" s="246" t="s">
        <v>2584</v>
      </c>
      <c r="F246" s="246" t="s">
        <v>755</v>
      </c>
      <c r="G246" s="246">
        <v>2467</v>
      </c>
      <c r="H246" s="246" t="s">
        <v>2507</v>
      </c>
      <c r="I246" s="246" t="s">
        <v>729</v>
      </c>
      <c r="J246" s="253" t="s">
        <v>110</v>
      </c>
      <c r="K246" s="253" t="s">
        <v>111</v>
      </c>
      <c r="L246" s="874">
        <v>0.4</v>
      </c>
      <c r="M246" s="879"/>
      <c r="N246" s="879" t="s">
        <v>772</v>
      </c>
      <c r="O246" s="879"/>
      <c r="P246" s="874">
        <v>1</v>
      </c>
      <c r="Q246" s="1017">
        <v>0.1</v>
      </c>
      <c r="R246" s="874"/>
      <c r="S246" s="874">
        <f t="shared" si="6"/>
        <v>0</v>
      </c>
      <c r="T246" s="845">
        <f t="shared" si="7"/>
        <v>0</v>
      </c>
      <c r="U246" s="874" t="s">
        <v>34</v>
      </c>
      <c r="V246" s="799"/>
      <c r="W246" s="246"/>
    </row>
    <row r="247" spans="1:23" ht="20.55" customHeight="1" x14ac:dyDescent="0.4">
      <c r="A247" s="788">
        <v>246</v>
      </c>
      <c r="B247" s="246" t="s">
        <v>2399</v>
      </c>
      <c r="C247" s="246" t="s">
        <v>24</v>
      </c>
      <c r="D247" s="58">
        <v>2361</v>
      </c>
      <c r="E247" s="246" t="s">
        <v>2584</v>
      </c>
      <c r="F247" s="246" t="s">
        <v>755</v>
      </c>
      <c r="G247" s="246">
        <v>2467</v>
      </c>
      <c r="H247" s="246" t="s">
        <v>2507</v>
      </c>
      <c r="I247" s="246" t="s">
        <v>729</v>
      </c>
      <c r="J247" s="253" t="s">
        <v>110</v>
      </c>
      <c r="K247" s="253" t="s">
        <v>111</v>
      </c>
      <c r="L247" s="874">
        <v>0.4</v>
      </c>
      <c r="M247" s="879"/>
      <c r="N247" s="879" t="s">
        <v>773</v>
      </c>
      <c r="O247" s="879"/>
      <c r="P247" s="874">
        <v>1</v>
      </c>
      <c r="Q247" s="1017">
        <v>0.05</v>
      </c>
      <c r="R247" s="874"/>
      <c r="S247" s="874">
        <f t="shared" si="6"/>
        <v>0</v>
      </c>
      <c r="T247" s="845">
        <f t="shared" si="7"/>
        <v>0</v>
      </c>
      <c r="U247" s="874" t="s">
        <v>34</v>
      </c>
      <c r="V247" s="799"/>
      <c r="W247" s="246"/>
    </row>
    <row r="248" spans="1:23" ht="20.55" customHeight="1" x14ac:dyDescent="0.4">
      <c r="A248" s="788">
        <v>247</v>
      </c>
      <c r="B248" s="246" t="s">
        <v>2399</v>
      </c>
      <c r="C248" s="246" t="s">
        <v>24</v>
      </c>
      <c r="D248" s="58">
        <v>2361</v>
      </c>
      <c r="E248" s="246" t="s">
        <v>2584</v>
      </c>
      <c r="F248" s="246" t="s">
        <v>755</v>
      </c>
      <c r="G248" s="246">
        <v>2467</v>
      </c>
      <c r="H248" s="246" t="s">
        <v>2507</v>
      </c>
      <c r="I248" s="246" t="s">
        <v>729</v>
      </c>
      <c r="J248" s="253" t="s">
        <v>110</v>
      </c>
      <c r="K248" s="253" t="s">
        <v>111</v>
      </c>
      <c r="L248" s="874">
        <v>0.4</v>
      </c>
      <c r="M248" s="879"/>
      <c r="N248" s="879" t="s">
        <v>774</v>
      </c>
      <c r="O248" s="879"/>
      <c r="P248" s="874">
        <v>1</v>
      </c>
      <c r="Q248" s="1017">
        <v>0.05</v>
      </c>
      <c r="R248" s="874"/>
      <c r="S248" s="874">
        <f t="shared" si="6"/>
        <v>0</v>
      </c>
      <c r="T248" s="845">
        <f t="shared" si="7"/>
        <v>0</v>
      </c>
      <c r="U248" s="874" t="s">
        <v>34</v>
      </c>
      <c r="V248" s="799"/>
      <c r="W248" s="246"/>
    </row>
    <row r="249" spans="1:23" ht="20.55" customHeight="1" x14ac:dyDescent="0.4">
      <c r="A249" s="788">
        <v>248</v>
      </c>
      <c r="B249" s="246" t="s">
        <v>2399</v>
      </c>
      <c r="C249" s="246" t="s">
        <v>24</v>
      </c>
      <c r="D249" s="58">
        <v>2361</v>
      </c>
      <c r="E249" s="246" t="s">
        <v>2584</v>
      </c>
      <c r="F249" s="246" t="s">
        <v>755</v>
      </c>
      <c r="G249" s="246">
        <v>2467</v>
      </c>
      <c r="H249" s="246" t="s">
        <v>2507</v>
      </c>
      <c r="I249" s="246" t="s">
        <v>729</v>
      </c>
      <c r="J249" s="253" t="s">
        <v>110</v>
      </c>
      <c r="K249" s="253" t="s">
        <v>111</v>
      </c>
      <c r="L249" s="874">
        <v>0.4</v>
      </c>
      <c r="M249" s="879"/>
      <c r="N249" s="879" t="s">
        <v>775</v>
      </c>
      <c r="O249" s="879"/>
      <c r="P249" s="874">
        <v>1</v>
      </c>
      <c r="Q249" s="1017">
        <v>0.05</v>
      </c>
      <c r="R249" s="874"/>
      <c r="S249" s="874">
        <f t="shared" si="6"/>
        <v>0</v>
      </c>
      <c r="T249" s="845">
        <f t="shared" si="7"/>
        <v>0</v>
      </c>
      <c r="U249" s="874" t="s">
        <v>34</v>
      </c>
      <c r="V249" s="799"/>
      <c r="W249" s="246"/>
    </row>
    <row r="250" spans="1:23" ht="20.55" customHeight="1" x14ac:dyDescent="0.4">
      <c r="A250" s="788">
        <v>249</v>
      </c>
      <c r="B250" s="246" t="s">
        <v>2399</v>
      </c>
      <c r="C250" s="246" t="s">
        <v>24</v>
      </c>
      <c r="D250" s="58">
        <v>2361</v>
      </c>
      <c r="E250" s="246" t="s">
        <v>2584</v>
      </c>
      <c r="F250" s="246" t="s">
        <v>755</v>
      </c>
      <c r="G250" s="246">
        <v>2467</v>
      </c>
      <c r="H250" s="246" t="s">
        <v>2507</v>
      </c>
      <c r="I250" s="246" t="s">
        <v>729</v>
      </c>
      <c r="J250" s="253" t="s">
        <v>110</v>
      </c>
      <c r="K250" s="253" t="s">
        <v>111</v>
      </c>
      <c r="L250" s="874">
        <v>0.4</v>
      </c>
      <c r="M250" s="879"/>
      <c r="N250" s="879" t="s">
        <v>776</v>
      </c>
      <c r="O250" s="879"/>
      <c r="P250" s="874">
        <v>1</v>
      </c>
      <c r="Q250" s="1017">
        <v>0.1</v>
      </c>
      <c r="R250" s="874"/>
      <c r="S250" s="874">
        <f t="shared" si="6"/>
        <v>0</v>
      </c>
      <c r="T250" s="845">
        <f t="shared" si="7"/>
        <v>0</v>
      </c>
      <c r="U250" s="874" t="s">
        <v>34</v>
      </c>
      <c r="V250" s="799"/>
      <c r="W250" s="246"/>
    </row>
    <row r="251" spans="1:23" ht="20.55" customHeight="1" x14ac:dyDescent="0.4">
      <c r="A251" s="788">
        <v>250</v>
      </c>
      <c r="B251" s="246" t="s">
        <v>2399</v>
      </c>
      <c r="C251" s="246" t="s">
        <v>24</v>
      </c>
      <c r="D251" s="58">
        <v>2361</v>
      </c>
      <c r="E251" s="246" t="s">
        <v>2584</v>
      </c>
      <c r="F251" s="246" t="s">
        <v>755</v>
      </c>
      <c r="G251" s="246">
        <v>2467</v>
      </c>
      <c r="H251" s="246" t="s">
        <v>2507</v>
      </c>
      <c r="I251" s="246" t="s">
        <v>729</v>
      </c>
      <c r="J251" s="253" t="s">
        <v>110</v>
      </c>
      <c r="K251" s="253" t="s">
        <v>111</v>
      </c>
      <c r="L251" s="874">
        <v>0.4</v>
      </c>
      <c r="M251" s="879"/>
      <c r="N251" s="879" t="s">
        <v>251</v>
      </c>
      <c r="O251" s="879"/>
      <c r="P251" s="874">
        <v>1</v>
      </c>
      <c r="Q251" s="1017">
        <v>0.05</v>
      </c>
      <c r="R251" s="874"/>
      <c r="S251" s="874">
        <f t="shared" si="6"/>
        <v>0</v>
      </c>
      <c r="T251" s="845">
        <f t="shared" si="7"/>
        <v>0</v>
      </c>
      <c r="U251" s="874" t="s">
        <v>34</v>
      </c>
      <c r="V251" s="799"/>
      <c r="W251" s="246"/>
    </row>
    <row r="252" spans="1:23" ht="20.55" customHeight="1" x14ac:dyDescent="0.4">
      <c r="A252" s="788">
        <v>251</v>
      </c>
      <c r="B252" s="246" t="s">
        <v>2399</v>
      </c>
      <c r="C252" s="246" t="s">
        <v>24</v>
      </c>
      <c r="D252" s="58">
        <v>2361</v>
      </c>
      <c r="E252" s="246" t="s">
        <v>2584</v>
      </c>
      <c r="F252" s="246" t="s">
        <v>755</v>
      </c>
      <c r="G252" s="246">
        <v>2467</v>
      </c>
      <c r="H252" s="246" t="s">
        <v>2507</v>
      </c>
      <c r="I252" s="246" t="s">
        <v>729</v>
      </c>
      <c r="J252" s="253" t="s">
        <v>110</v>
      </c>
      <c r="K252" s="253" t="s">
        <v>111</v>
      </c>
      <c r="L252" s="874">
        <v>0.4</v>
      </c>
      <c r="M252" s="879"/>
      <c r="N252" s="879" t="s">
        <v>252</v>
      </c>
      <c r="O252" s="879"/>
      <c r="P252" s="874">
        <v>1</v>
      </c>
      <c r="Q252" s="1017">
        <v>0.05</v>
      </c>
      <c r="R252" s="874"/>
      <c r="S252" s="874">
        <f t="shared" si="6"/>
        <v>0</v>
      </c>
      <c r="T252" s="845">
        <f t="shared" si="7"/>
        <v>0</v>
      </c>
      <c r="U252" s="874" t="s">
        <v>34</v>
      </c>
      <c r="V252" s="799"/>
      <c r="W252" s="246"/>
    </row>
    <row r="253" spans="1:23" ht="20.55" customHeight="1" x14ac:dyDescent="0.4">
      <c r="A253" s="788">
        <v>252</v>
      </c>
      <c r="B253" s="246" t="s">
        <v>2399</v>
      </c>
      <c r="C253" s="246" t="s">
        <v>24</v>
      </c>
      <c r="D253" s="58">
        <v>2361</v>
      </c>
      <c r="E253" s="246" t="s">
        <v>2584</v>
      </c>
      <c r="F253" s="246" t="s">
        <v>755</v>
      </c>
      <c r="G253" s="246">
        <v>2467</v>
      </c>
      <c r="H253" s="246" t="s">
        <v>2507</v>
      </c>
      <c r="I253" s="246" t="s">
        <v>729</v>
      </c>
      <c r="J253" s="253" t="s">
        <v>110</v>
      </c>
      <c r="K253" s="253" t="s">
        <v>111</v>
      </c>
      <c r="L253" s="874">
        <v>0.4</v>
      </c>
      <c r="M253" s="879"/>
      <c r="N253" s="879" t="s">
        <v>777</v>
      </c>
      <c r="O253" s="879"/>
      <c r="P253" s="874">
        <v>1</v>
      </c>
      <c r="Q253" s="1017">
        <v>0.05</v>
      </c>
      <c r="R253" s="874"/>
      <c r="S253" s="874">
        <f t="shared" si="6"/>
        <v>0</v>
      </c>
      <c r="T253" s="845">
        <f t="shared" si="7"/>
        <v>0</v>
      </c>
      <c r="U253" s="874" t="s">
        <v>34</v>
      </c>
      <c r="V253" s="799"/>
      <c r="W253" s="246"/>
    </row>
    <row r="254" spans="1:23" ht="20.55" customHeight="1" x14ac:dyDescent="0.4">
      <c r="A254" s="788">
        <v>253</v>
      </c>
      <c r="B254" s="246" t="s">
        <v>2399</v>
      </c>
      <c r="C254" s="246" t="s">
        <v>24</v>
      </c>
      <c r="D254" s="58">
        <v>2361</v>
      </c>
      <c r="E254" s="246" t="s">
        <v>2584</v>
      </c>
      <c r="F254" s="246" t="s">
        <v>755</v>
      </c>
      <c r="G254" s="246">
        <v>2467</v>
      </c>
      <c r="H254" s="246" t="s">
        <v>2507</v>
      </c>
      <c r="I254" s="246" t="s">
        <v>729</v>
      </c>
      <c r="J254" s="253" t="s">
        <v>110</v>
      </c>
      <c r="K254" s="253" t="s">
        <v>111</v>
      </c>
      <c r="L254" s="874">
        <v>0.4</v>
      </c>
      <c r="M254" s="879"/>
      <c r="N254" s="879" t="s">
        <v>253</v>
      </c>
      <c r="O254" s="879"/>
      <c r="P254" s="874">
        <v>1</v>
      </c>
      <c r="Q254" s="1017">
        <v>0.05</v>
      </c>
      <c r="R254" s="874"/>
      <c r="S254" s="874">
        <f t="shared" si="6"/>
        <v>0</v>
      </c>
      <c r="T254" s="845">
        <f t="shared" si="7"/>
        <v>0</v>
      </c>
      <c r="U254" s="874" t="s">
        <v>34</v>
      </c>
      <c r="V254" s="799"/>
      <c r="W254" s="246"/>
    </row>
    <row r="255" spans="1:23" ht="20.55" customHeight="1" x14ac:dyDescent="0.4">
      <c r="A255" s="788">
        <v>254</v>
      </c>
      <c r="B255" s="236" t="s">
        <v>2399</v>
      </c>
      <c r="C255" s="236" t="s">
        <v>24</v>
      </c>
      <c r="D255" s="100">
        <v>2197</v>
      </c>
      <c r="E255" s="236" t="s">
        <v>2592</v>
      </c>
      <c r="F255" s="236" t="s">
        <v>755</v>
      </c>
      <c r="G255" s="236">
        <v>2467</v>
      </c>
      <c r="H255" s="236" t="s">
        <v>2507</v>
      </c>
      <c r="I255" s="236" t="s">
        <v>729</v>
      </c>
      <c r="J255" s="243" t="s">
        <v>2035</v>
      </c>
      <c r="K255" s="243" t="s">
        <v>58</v>
      </c>
      <c r="L255" s="855">
        <v>0.6</v>
      </c>
      <c r="M255" s="952"/>
      <c r="N255" s="952" t="s">
        <v>1275</v>
      </c>
      <c r="O255" s="952"/>
      <c r="P255" s="953">
        <v>1</v>
      </c>
      <c r="Q255" s="354">
        <v>0.05</v>
      </c>
      <c r="R255" s="953"/>
      <c r="S255" s="855">
        <f t="shared" si="6"/>
        <v>0</v>
      </c>
      <c r="T255" s="854">
        <f t="shared" si="7"/>
        <v>0</v>
      </c>
      <c r="U255" s="855" t="s">
        <v>34</v>
      </c>
      <c r="V255" s="1950">
        <f>SUM(T255:T285)%</f>
        <v>0</v>
      </c>
      <c r="W255" s="236"/>
    </row>
    <row r="256" spans="1:23" ht="20.55" customHeight="1" x14ac:dyDescent="0.4">
      <c r="A256" s="788">
        <v>255</v>
      </c>
      <c r="B256" s="199" t="s">
        <v>2399</v>
      </c>
      <c r="C256" s="199" t="s">
        <v>24</v>
      </c>
      <c r="D256" s="68">
        <v>2197</v>
      </c>
      <c r="E256" s="199" t="s">
        <v>2592</v>
      </c>
      <c r="F256" s="199" t="s">
        <v>755</v>
      </c>
      <c r="G256" s="199">
        <v>2467</v>
      </c>
      <c r="H256" s="199" t="s">
        <v>2507</v>
      </c>
      <c r="I256" s="199" t="s">
        <v>729</v>
      </c>
      <c r="J256" s="79" t="s">
        <v>2035</v>
      </c>
      <c r="K256" s="79" t="s">
        <v>58</v>
      </c>
      <c r="L256" s="647">
        <v>0.6</v>
      </c>
      <c r="M256" s="757"/>
      <c r="N256" s="757" t="s">
        <v>2593</v>
      </c>
      <c r="O256" s="757"/>
      <c r="P256" s="208">
        <v>1</v>
      </c>
      <c r="Q256" s="1038">
        <v>0.05</v>
      </c>
      <c r="R256" s="208"/>
      <c r="S256" s="206">
        <f t="shared" si="6"/>
        <v>0</v>
      </c>
      <c r="T256" s="207">
        <f t="shared" si="7"/>
        <v>0</v>
      </c>
      <c r="U256" s="206" t="s">
        <v>34</v>
      </c>
      <c r="V256" s="799"/>
      <c r="W256" s="199"/>
    </row>
    <row r="257" spans="1:23" ht="20.55" customHeight="1" x14ac:dyDescent="0.4">
      <c r="A257" s="788">
        <v>256</v>
      </c>
      <c r="B257" s="199" t="s">
        <v>2399</v>
      </c>
      <c r="C257" s="199" t="s">
        <v>24</v>
      </c>
      <c r="D257" s="68">
        <v>2197</v>
      </c>
      <c r="E257" s="199" t="s">
        <v>2592</v>
      </c>
      <c r="F257" s="199" t="s">
        <v>755</v>
      </c>
      <c r="G257" s="199">
        <v>2467</v>
      </c>
      <c r="H257" s="199" t="s">
        <v>2507</v>
      </c>
      <c r="I257" s="199" t="s">
        <v>729</v>
      </c>
      <c r="J257" s="79" t="s">
        <v>2035</v>
      </c>
      <c r="K257" s="79" t="s">
        <v>58</v>
      </c>
      <c r="L257" s="647">
        <v>0.6</v>
      </c>
      <c r="M257" s="757"/>
      <c r="N257" s="757" t="s">
        <v>1277</v>
      </c>
      <c r="O257" s="757"/>
      <c r="P257" s="208">
        <v>1</v>
      </c>
      <c r="Q257" s="1038">
        <v>0.05</v>
      </c>
      <c r="R257" s="208"/>
      <c r="S257" s="206">
        <f t="shared" si="6"/>
        <v>0</v>
      </c>
      <c r="T257" s="207">
        <f t="shared" si="7"/>
        <v>0</v>
      </c>
      <c r="U257" s="206" t="s">
        <v>34</v>
      </c>
      <c r="V257" s="799"/>
      <c r="W257" s="199"/>
    </row>
    <row r="258" spans="1:23" ht="20.55" customHeight="1" x14ac:dyDescent="0.4">
      <c r="A258" s="788">
        <v>257</v>
      </c>
      <c r="B258" s="199" t="s">
        <v>2399</v>
      </c>
      <c r="C258" s="199" t="s">
        <v>24</v>
      </c>
      <c r="D258" s="68">
        <v>2197</v>
      </c>
      <c r="E258" s="199" t="s">
        <v>2592</v>
      </c>
      <c r="F258" s="199" t="s">
        <v>755</v>
      </c>
      <c r="G258" s="199">
        <v>2467</v>
      </c>
      <c r="H258" s="199" t="s">
        <v>2507</v>
      </c>
      <c r="I258" s="199" t="s">
        <v>729</v>
      </c>
      <c r="J258" s="79" t="s">
        <v>2035</v>
      </c>
      <c r="K258" s="79" t="s">
        <v>58</v>
      </c>
      <c r="L258" s="647">
        <v>0.6</v>
      </c>
      <c r="M258" s="757"/>
      <c r="N258" s="757" t="s">
        <v>1278</v>
      </c>
      <c r="O258" s="757"/>
      <c r="P258" s="208">
        <v>1</v>
      </c>
      <c r="Q258" s="1038">
        <v>0.1</v>
      </c>
      <c r="R258" s="208"/>
      <c r="S258" s="206">
        <f t="shared" ref="S258:S285" si="8">ROUND(IF(OR(P258="",R258=""),0,IF(AND(P258=0,R258=0),1,IF(U258="+",R258/P258,P258/R258))),2)</f>
        <v>0</v>
      </c>
      <c r="T258" s="207">
        <f t="shared" ref="T258:T321" si="9">IF(AND(S258&gt;=60%,S258&lt;100%),S258*((Q258*L258)),IF(S258=100%,((Q258*L258)*S258)*100%,IF(S258&gt;100%,((L258*Q258)*100%)*100%,0)))*100</f>
        <v>0</v>
      </c>
      <c r="U258" s="206" t="s">
        <v>34</v>
      </c>
      <c r="V258" s="799"/>
      <c r="W258" s="199"/>
    </row>
    <row r="259" spans="1:23" ht="20.55" customHeight="1" x14ac:dyDescent="0.4">
      <c r="A259" s="788">
        <v>258</v>
      </c>
      <c r="B259" s="199" t="s">
        <v>2399</v>
      </c>
      <c r="C259" s="199" t="s">
        <v>24</v>
      </c>
      <c r="D259" s="68">
        <v>2197</v>
      </c>
      <c r="E259" s="199" t="s">
        <v>2592</v>
      </c>
      <c r="F259" s="199" t="s">
        <v>755</v>
      </c>
      <c r="G259" s="199">
        <v>2467</v>
      </c>
      <c r="H259" s="199" t="s">
        <v>2507</v>
      </c>
      <c r="I259" s="199" t="s">
        <v>729</v>
      </c>
      <c r="J259" s="79" t="s">
        <v>2035</v>
      </c>
      <c r="K259" s="79" t="s">
        <v>58</v>
      </c>
      <c r="L259" s="647">
        <v>0.6</v>
      </c>
      <c r="M259" s="757"/>
      <c r="N259" s="757" t="s">
        <v>2594</v>
      </c>
      <c r="O259" s="757"/>
      <c r="P259" s="208">
        <v>1</v>
      </c>
      <c r="Q259" s="1038">
        <v>0.1</v>
      </c>
      <c r="R259" s="208"/>
      <c r="S259" s="206">
        <f t="shared" si="8"/>
        <v>0</v>
      </c>
      <c r="T259" s="207">
        <f t="shared" si="9"/>
        <v>0</v>
      </c>
      <c r="U259" s="206" t="s">
        <v>34</v>
      </c>
      <c r="V259" s="799"/>
      <c r="W259" s="199"/>
    </row>
    <row r="260" spans="1:23" ht="20.55" customHeight="1" x14ac:dyDescent="0.4">
      <c r="A260" s="788">
        <v>259</v>
      </c>
      <c r="B260" s="199" t="s">
        <v>2399</v>
      </c>
      <c r="C260" s="199" t="s">
        <v>24</v>
      </c>
      <c r="D260" s="68">
        <v>2197</v>
      </c>
      <c r="E260" s="199" t="s">
        <v>2592</v>
      </c>
      <c r="F260" s="199" t="s">
        <v>755</v>
      </c>
      <c r="G260" s="199">
        <v>2467</v>
      </c>
      <c r="H260" s="199" t="s">
        <v>2507</v>
      </c>
      <c r="I260" s="199" t="s">
        <v>729</v>
      </c>
      <c r="J260" s="79" t="s">
        <v>2035</v>
      </c>
      <c r="K260" s="79" t="s">
        <v>58</v>
      </c>
      <c r="L260" s="647">
        <v>0.6</v>
      </c>
      <c r="M260" s="757"/>
      <c r="N260" s="757" t="s">
        <v>2595</v>
      </c>
      <c r="O260" s="757"/>
      <c r="P260" s="208">
        <v>1</v>
      </c>
      <c r="Q260" s="1038">
        <v>0.05</v>
      </c>
      <c r="R260" s="208"/>
      <c r="S260" s="206">
        <f t="shared" si="8"/>
        <v>0</v>
      </c>
      <c r="T260" s="207">
        <f t="shared" si="9"/>
        <v>0</v>
      </c>
      <c r="U260" s="206" t="s">
        <v>34</v>
      </c>
      <c r="V260" s="799"/>
      <c r="W260" s="199"/>
    </row>
    <row r="261" spans="1:23" ht="20.55" customHeight="1" x14ac:dyDescent="0.4">
      <c r="A261" s="788">
        <v>260</v>
      </c>
      <c r="B261" s="246" t="s">
        <v>2399</v>
      </c>
      <c r="C261" s="246" t="s">
        <v>24</v>
      </c>
      <c r="D261" s="68">
        <v>2197</v>
      </c>
      <c r="E261" s="199" t="s">
        <v>2592</v>
      </c>
      <c r="F261" s="199" t="s">
        <v>755</v>
      </c>
      <c r="G261" s="246">
        <v>2467</v>
      </c>
      <c r="H261" s="246" t="s">
        <v>2507</v>
      </c>
      <c r="I261" s="246" t="s">
        <v>729</v>
      </c>
      <c r="J261" s="79" t="s">
        <v>2035</v>
      </c>
      <c r="K261" s="79" t="s">
        <v>58</v>
      </c>
      <c r="L261" s="647">
        <v>0.6</v>
      </c>
      <c r="M261" s="757"/>
      <c r="N261" s="757" t="s">
        <v>2376</v>
      </c>
      <c r="O261" s="757"/>
      <c r="P261" s="647">
        <v>1</v>
      </c>
      <c r="Q261" s="363">
        <v>0.1</v>
      </c>
      <c r="R261" s="647"/>
      <c r="S261" s="647">
        <f t="shared" si="8"/>
        <v>0</v>
      </c>
      <c r="T261" s="764">
        <f t="shared" si="9"/>
        <v>0</v>
      </c>
      <c r="U261" s="647" t="s">
        <v>34</v>
      </c>
      <c r="V261" s="799"/>
      <c r="W261" s="199"/>
    </row>
    <row r="262" spans="1:23" ht="20.55" customHeight="1" x14ac:dyDescent="0.4">
      <c r="A262" s="788">
        <v>261</v>
      </c>
      <c r="B262" s="199" t="s">
        <v>2399</v>
      </c>
      <c r="C262" s="199" t="s">
        <v>24</v>
      </c>
      <c r="D262" s="68">
        <v>2197</v>
      </c>
      <c r="E262" s="199" t="s">
        <v>2592</v>
      </c>
      <c r="F262" s="199" t="s">
        <v>755</v>
      </c>
      <c r="G262" s="199">
        <v>2467</v>
      </c>
      <c r="H262" s="199" t="s">
        <v>2507</v>
      </c>
      <c r="I262" s="199" t="s">
        <v>729</v>
      </c>
      <c r="J262" s="79" t="s">
        <v>2035</v>
      </c>
      <c r="K262" s="79" t="s">
        <v>58</v>
      </c>
      <c r="L262" s="647">
        <v>0.6</v>
      </c>
      <c r="M262" s="757"/>
      <c r="N262" s="757" t="s">
        <v>1280</v>
      </c>
      <c r="O262" s="757"/>
      <c r="P262" s="208">
        <v>1</v>
      </c>
      <c r="Q262" s="1038">
        <v>0.05</v>
      </c>
      <c r="R262" s="208"/>
      <c r="S262" s="206">
        <f t="shared" si="8"/>
        <v>0</v>
      </c>
      <c r="T262" s="207">
        <f t="shared" si="9"/>
        <v>0</v>
      </c>
      <c r="U262" s="206" t="s">
        <v>34</v>
      </c>
      <c r="V262" s="799"/>
      <c r="W262" s="199"/>
    </row>
    <row r="263" spans="1:23" ht="20.55" customHeight="1" x14ac:dyDescent="0.4">
      <c r="A263" s="788">
        <v>262</v>
      </c>
      <c r="B263" s="199" t="s">
        <v>2399</v>
      </c>
      <c r="C263" s="199" t="s">
        <v>24</v>
      </c>
      <c r="D263" s="68">
        <v>2197</v>
      </c>
      <c r="E263" s="199" t="s">
        <v>2592</v>
      </c>
      <c r="F263" s="199" t="s">
        <v>755</v>
      </c>
      <c r="G263" s="199">
        <v>2467</v>
      </c>
      <c r="H263" s="199" t="s">
        <v>2507</v>
      </c>
      <c r="I263" s="199" t="s">
        <v>729</v>
      </c>
      <c r="J263" s="79" t="s">
        <v>2035</v>
      </c>
      <c r="K263" s="79" t="s">
        <v>58</v>
      </c>
      <c r="L263" s="647">
        <v>0.6</v>
      </c>
      <c r="M263" s="757"/>
      <c r="N263" s="757" t="s">
        <v>1281</v>
      </c>
      <c r="O263" s="757"/>
      <c r="P263" s="208">
        <v>1</v>
      </c>
      <c r="Q263" s="1038">
        <v>0.05</v>
      </c>
      <c r="R263" s="208"/>
      <c r="S263" s="206">
        <f t="shared" si="8"/>
        <v>0</v>
      </c>
      <c r="T263" s="207">
        <f t="shared" si="9"/>
        <v>0</v>
      </c>
      <c r="U263" s="206" t="s">
        <v>34</v>
      </c>
      <c r="V263" s="799"/>
      <c r="W263" s="199"/>
    </row>
    <row r="264" spans="1:23" ht="20.55" customHeight="1" x14ac:dyDescent="0.4">
      <c r="A264" s="788">
        <v>263</v>
      </c>
      <c r="B264" s="199" t="s">
        <v>2399</v>
      </c>
      <c r="C264" s="199" t="s">
        <v>24</v>
      </c>
      <c r="D264" s="68">
        <v>2197</v>
      </c>
      <c r="E264" s="199" t="s">
        <v>2592</v>
      </c>
      <c r="F264" s="199" t="s">
        <v>755</v>
      </c>
      <c r="G264" s="199">
        <v>2467</v>
      </c>
      <c r="H264" s="199" t="s">
        <v>2507</v>
      </c>
      <c r="I264" s="199" t="s">
        <v>729</v>
      </c>
      <c r="J264" s="79" t="s">
        <v>2035</v>
      </c>
      <c r="K264" s="79" t="s">
        <v>58</v>
      </c>
      <c r="L264" s="647">
        <v>0.6</v>
      </c>
      <c r="M264" s="757"/>
      <c r="N264" s="757" t="s">
        <v>2596</v>
      </c>
      <c r="O264" s="757"/>
      <c r="P264" s="208">
        <v>1</v>
      </c>
      <c r="Q264" s="1038">
        <v>0.05</v>
      </c>
      <c r="R264" s="208"/>
      <c r="S264" s="206">
        <f t="shared" si="8"/>
        <v>0</v>
      </c>
      <c r="T264" s="207">
        <f t="shared" si="9"/>
        <v>0</v>
      </c>
      <c r="U264" s="206" t="s">
        <v>34</v>
      </c>
      <c r="V264" s="799"/>
      <c r="W264" s="199"/>
    </row>
    <row r="265" spans="1:23" ht="20.55" customHeight="1" x14ac:dyDescent="0.4">
      <c r="A265" s="788">
        <v>264</v>
      </c>
      <c r="B265" s="199" t="s">
        <v>2399</v>
      </c>
      <c r="C265" s="199" t="s">
        <v>24</v>
      </c>
      <c r="D265" s="68">
        <v>2197</v>
      </c>
      <c r="E265" s="199" t="s">
        <v>2592</v>
      </c>
      <c r="F265" s="199" t="s">
        <v>755</v>
      </c>
      <c r="G265" s="199">
        <v>2467</v>
      </c>
      <c r="H265" s="199" t="s">
        <v>2507</v>
      </c>
      <c r="I265" s="199" t="s">
        <v>729</v>
      </c>
      <c r="J265" s="79" t="s">
        <v>2035</v>
      </c>
      <c r="K265" s="79" t="s">
        <v>58</v>
      </c>
      <c r="L265" s="647">
        <v>0.6</v>
      </c>
      <c r="M265" s="757"/>
      <c r="N265" s="757" t="s">
        <v>2597</v>
      </c>
      <c r="O265" s="757"/>
      <c r="P265" s="208">
        <v>1</v>
      </c>
      <c r="Q265" s="1038">
        <v>0.05</v>
      </c>
      <c r="R265" s="208"/>
      <c r="S265" s="206">
        <f t="shared" si="8"/>
        <v>0</v>
      </c>
      <c r="T265" s="207">
        <f t="shared" si="9"/>
        <v>0</v>
      </c>
      <c r="U265" s="206" t="s">
        <v>34</v>
      </c>
      <c r="V265" s="799"/>
      <c r="W265" s="199"/>
    </row>
    <row r="266" spans="1:23" ht="20.55" customHeight="1" x14ac:dyDescent="0.4">
      <c r="A266" s="788">
        <v>265</v>
      </c>
      <c r="B266" s="199" t="s">
        <v>2399</v>
      </c>
      <c r="C266" s="199" t="s">
        <v>24</v>
      </c>
      <c r="D266" s="68">
        <v>2197</v>
      </c>
      <c r="E266" s="199" t="s">
        <v>2592</v>
      </c>
      <c r="F266" s="199" t="s">
        <v>755</v>
      </c>
      <c r="G266" s="199">
        <v>2467</v>
      </c>
      <c r="H266" s="199" t="s">
        <v>2507</v>
      </c>
      <c r="I266" s="199" t="s">
        <v>729</v>
      </c>
      <c r="J266" s="79" t="s">
        <v>2035</v>
      </c>
      <c r="K266" s="79" t="s">
        <v>58</v>
      </c>
      <c r="L266" s="647">
        <v>0.6</v>
      </c>
      <c r="M266" s="757"/>
      <c r="N266" s="757" t="s">
        <v>2598</v>
      </c>
      <c r="O266" s="757"/>
      <c r="P266" s="208">
        <v>1</v>
      </c>
      <c r="Q266" s="1038">
        <v>0.05</v>
      </c>
      <c r="R266" s="208"/>
      <c r="S266" s="206">
        <f t="shared" si="8"/>
        <v>0</v>
      </c>
      <c r="T266" s="207">
        <f t="shared" si="9"/>
        <v>0</v>
      </c>
      <c r="U266" s="206" t="s">
        <v>34</v>
      </c>
      <c r="V266" s="799"/>
      <c r="W266" s="199"/>
    </row>
    <row r="267" spans="1:23" ht="20.55" customHeight="1" x14ac:dyDescent="0.4">
      <c r="A267" s="788">
        <v>266</v>
      </c>
      <c r="B267" s="199" t="s">
        <v>2399</v>
      </c>
      <c r="C267" s="199" t="s">
        <v>24</v>
      </c>
      <c r="D267" s="68">
        <v>2197</v>
      </c>
      <c r="E267" s="199" t="s">
        <v>2592</v>
      </c>
      <c r="F267" s="199" t="s">
        <v>755</v>
      </c>
      <c r="G267" s="199">
        <v>2467</v>
      </c>
      <c r="H267" s="199" t="s">
        <v>2507</v>
      </c>
      <c r="I267" s="199" t="s">
        <v>729</v>
      </c>
      <c r="J267" s="79" t="s">
        <v>2035</v>
      </c>
      <c r="K267" s="79" t="s">
        <v>58</v>
      </c>
      <c r="L267" s="647">
        <v>0.6</v>
      </c>
      <c r="M267" s="757"/>
      <c r="N267" s="757" t="s">
        <v>2599</v>
      </c>
      <c r="O267" s="757"/>
      <c r="P267" s="208">
        <v>1</v>
      </c>
      <c r="Q267" s="1038">
        <v>0.1</v>
      </c>
      <c r="R267" s="208"/>
      <c r="S267" s="206">
        <f t="shared" si="8"/>
        <v>0</v>
      </c>
      <c r="T267" s="207">
        <f t="shared" si="9"/>
        <v>0</v>
      </c>
      <c r="U267" s="206" t="s">
        <v>34</v>
      </c>
      <c r="V267" s="799"/>
      <c r="W267" s="199"/>
    </row>
    <row r="268" spans="1:23" ht="20.55" customHeight="1" x14ac:dyDescent="0.4">
      <c r="A268" s="788">
        <v>267</v>
      </c>
      <c r="B268" s="199" t="s">
        <v>2399</v>
      </c>
      <c r="C268" s="199" t="s">
        <v>24</v>
      </c>
      <c r="D268" s="68">
        <v>2197</v>
      </c>
      <c r="E268" s="199" t="s">
        <v>2592</v>
      </c>
      <c r="F268" s="199" t="s">
        <v>755</v>
      </c>
      <c r="G268" s="199">
        <v>2467</v>
      </c>
      <c r="H268" s="199" t="s">
        <v>2507</v>
      </c>
      <c r="I268" s="199" t="s">
        <v>729</v>
      </c>
      <c r="J268" s="79" t="s">
        <v>2035</v>
      </c>
      <c r="K268" s="79" t="s">
        <v>58</v>
      </c>
      <c r="L268" s="647">
        <v>0.6</v>
      </c>
      <c r="M268" s="757"/>
      <c r="N268" s="757" t="s">
        <v>2600</v>
      </c>
      <c r="O268" s="757"/>
      <c r="P268" s="208">
        <v>1</v>
      </c>
      <c r="Q268" s="1038">
        <v>0.05</v>
      </c>
      <c r="R268" s="208"/>
      <c r="S268" s="206">
        <f t="shared" si="8"/>
        <v>0</v>
      </c>
      <c r="T268" s="207">
        <f t="shared" si="9"/>
        <v>0</v>
      </c>
      <c r="U268" s="206" t="s">
        <v>34</v>
      </c>
      <c r="V268" s="799"/>
      <c r="W268" s="199"/>
    </row>
    <row r="269" spans="1:23" ht="20.55" customHeight="1" x14ac:dyDescent="0.4">
      <c r="A269" s="788">
        <v>268</v>
      </c>
      <c r="B269" s="199" t="s">
        <v>2399</v>
      </c>
      <c r="C269" s="199" t="s">
        <v>24</v>
      </c>
      <c r="D269" s="68">
        <v>2197</v>
      </c>
      <c r="E269" s="199" t="s">
        <v>2592</v>
      </c>
      <c r="F269" s="199" t="s">
        <v>755</v>
      </c>
      <c r="G269" s="199">
        <v>2467</v>
      </c>
      <c r="H269" s="199" t="s">
        <v>2507</v>
      </c>
      <c r="I269" s="199" t="s">
        <v>729</v>
      </c>
      <c r="J269" s="79" t="s">
        <v>2035</v>
      </c>
      <c r="K269" s="79" t="s">
        <v>58</v>
      </c>
      <c r="L269" s="647">
        <v>0.6</v>
      </c>
      <c r="M269" s="757"/>
      <c r="N269" s="757" t="s">
        <v>2601</v>
      </c>
      <c r="O269" s="757"/>
      <c r="P269" s="208">
        <v>1</v>
      </c>
      <c r="Q269" s="1038">
        <v>0.05</v>
      </c>
      <c r="R269" s="208"/>
      <c r="S269" s="206">
        <f t="shared" si="8"/>
        <v>0</v>
      </c>
      <c r="T269" s="207">
        <f t="shared" si="9"/>
        <v>0</v>
      </c>
      <c r="U269" s="206" t="s">
        <v>34</v>
      </c>
      <c r="V269" s="799"/>
      <c r="W269" s="199"/>
    </row>
    <row r="270" spans="1:23" ht="20.55" customHeight="1" x14ac:dyDescent="0.4">
      <c r="A270" s="788">
        <v>269</v>
      </c>
      <c r="B270" s="199" t="s">
        <v>2399</v>
      </c>
      <c r="C270" s="199" t="s">
        <v>24</v>
      </c>
      <c r="D270" s="68">
        <v>2197</v>
      </c>
      <c r="E270" s="199" t="s">
        <v>2592</v>
      </c>
      <c r="F270" s="199" t="s">
        <v>755</v>
      </c>
      <c r="G270" s="199">
        <v>2467</v>
      </c>
      <c r="H270" s="199" t="s">
        <v>2507</v>
      </c>
      <c r="I270" s="199" t="s">
        <v>729</v>
      </c>
      <c r="J270" s="79" t="s">
        <v>2035</v>
      </c>
      <c r="K270" s="79" t="s">
        <v>58</v>
      </c>
      <c r="L270" s="647">
        <v>0.6</v>
      </c>
      <c r="M270" s="757"/>
      <c r="N270" s="757" t="s">
        <v>2602</v>
      </c>
      <c r="O270" s="757"/>
      <c r="P270" s="208">
        <v>1</v>
      </c>
      <c r="Q270" s="1038">
        <v>0.05</v>
      </c>
      <c r="R270" s="208"/>
      <c r="S270" s="206">
        <f t="shared" si="8"/>
        <v>0</v>
      </c>
      <c r="T270" s="207">
        <f t="shared" si="9"/>
        <v>0</v>
      </c>
      <c r="U270" s="206" t="s">
        <v>34</v>
      </c>
      <c r="V270" s="799"/>
      <c r="W270" s="199"/>
    </row>
    <row r="271" spans="1:23" ht="20.55" customHeight="1" x14ac:dyDescent="0.4">
      <c r="A271" s="788">
        <v>270</v>
      </c>
      <c r="B271" s="199" t="s">
        <v>2399</v>
      </c>
      <c r="C271" s="199" t="s">
        <v>24</v>
      </c>
      <c r="D271" s="68">
        <v>2197</v>
      </c>
      <c r="E271" s="199" t="s">
        <v>2592</v>
      </c>
      <c r="F271" s="199" t="s">
        <v>755</v>
      </c>
      <c r="G271" s="199">
        <v>2467</v>
      </c>
      <c r="H271" s="199" t="s">
        <v>2507</v>
      </c>
      <c r="I271" s="199" t="s">
        <v>729</v>
      </c>
      <c r="J271" s="210" t="s">
        <v>110</v>
      </c>
      <c r="K271" s="210" t="s">
        <v>111</v>
      </c>
      <c r="L271" s="222">
        <v>0.4</v>
      </c>
      <c r="M271" s="767"/>
      <c r="N271" s="767" t="s">
        <v>255</v>
      </c>
      <c r="O271" s="767"/>
      <c r="P271" s="222">
        <v>1</v>
      </c>
      <c r="Q271" s="1017">
        <v>0.1</v>
      </c>
      <c r="R271" s="222"/>
      <c r="S271" s="216">
        <f t="shared" si="8"/>
        <v>0</v>
      </c>
      <c r="T271" s="217">
        <f t="shared" si="9"/>
        <v>0</v>
      </c>
      <c r="U271" s="216" t="s">
        <v>34</v>
      </c>
      <c r="V271" s="799"/>
      <c r="W271" s="199"/>
    </row>
    <row r="272" spans="1:23" ht="20.55" customHeight="1" x14ac:dyDescent="0.4">
      <c r="A272" s="788">
        <v>271</v>
      </c>
      <c r="B272" s="199" t="s">
        <v>2399</v>
      </c>
      <c r="C272" s="199" t="s">
        <v>24</v>
      </c>
      <c r="D272" s="68">
        <v>2197</v>
      </c>
      <c r="E272" s="199" t="s">
        <v>2592</v>
      </c>
      <c r="F272" s="199" t="s">
        <v>755</v>
      </c>
      <c r="G272" s="199">
        <v>2467</v>
      </c>
      <c r="H272" s="199" t="s">
        <v>2507</v>
      </c>
      <c r="I272" s="199" t="s">
        <v>729</v>
      </c>
      <c r="J272" s="210" t="s">
        <v>110</v>
      </c>
      <c r="K272" s="210" t="s">
        <v>111</v>
      </c>
      <c r="L272" s="222">
        <v>0.4</v>
      </c>
      <c r="M272" s="879"/>
      <c r="N272" s="879" t="s">
        <v>768</v>
      </c>
      <c r="O272" s="879"/>
      <c r="P272" s="874">
        <v>1</v>
      </c>
      <c r="Q272" s="1017">
        <v>0.1</v>
      </c>
      <c r="R272" s="874"/>
      <c r="S272" s="216">
        <f t="shared" si="8"/>
        <v>0</v>
      </c>
      <c r="T272" s="217">
        <f t="shared" si="9"/>
        <v>0</v>
      </c>
      <c r="U272" s="216" t="s">
        <v>34</v>
      </c>
      <c r="V272" s="799"/>
      <c r="W272" s="199"/>
    </row>
    <row r="273" spans="1:23" ht="20.55" customHeight="1" x14ac:dyDescent="0.4">
      <c r="A273" s="788">
        <v>272</v>
      </c>
      <c r="B273" s="199" t="s">
        <v>2399</v>
      </c>
      <c r="C273" s="199" t="s">
        <v>24</v>
      </c>
      <c r="D273" s="68">
        <v>2197</v>
      </c>
      <c r="E273" s="199" t="s">
        <v>2592</v>
      </c>
      <c r="F273" s="199" t="s">
        <v>755</v>
      </c>
      <c r="G273" s="199">
        <v>2467</v>
      </c>
      <c r="H273" s="199" t="s">
        <v>2507</v>
      </c>
      <c r="I273" s="199" t="s">
        <v>729</v>
      </c>
      <c r="J273" s="210" t="s">
        <v>110</v>
      </c>
      <c r="K273" s="210" t="s">
        <v>111</v>
      </c>
      <c r="L273" s="222">
        <v>0.4</v>
      </c>
      <c r="M273" s="879"/>
      <c r="N273" s="879" t="s">
        <v>769</v>
      </c>
      <c r="O273" s="879"/>
      <c r="P273" s="874">
        <v>1</v>
      </c>
      <c r="Q273" s="1017">
        <v>0.05</v>
      </c>
      <c r="R273" s="874"/>
      <c r="S273" s="216">
        <f t="shared" si="8"/>
        <v>0</v>
      </c>
      <c r="T273" s="217">
        <f t="shared" si="9"/>
        <v>0</v>
      </c>
      <c r="U273" s="216" t="s">
        <v>34</v>
      </c>
      <c r="V273" s="799"/>
      <c r="W273" s="199"/>
    </row>
    <row r="274" spans="1:23" ht="20.55" customHeight="1" x14ac:dyDescent="0.4">
      <c r="A274" s="788">
        <v>273</v>
      </c>
      <c r="B274" s="199" t="s">
        <v>2399</v>
      </c>
      <c r="C274" s="199" t="s">
        <v>24</v>
      </c>
      <c r="D274" s="68">
        <v>2197</v>
      </c>
      <c r="E274" s="199" t="s">
        <v>2592</v>
      </c>
      <c r="F274" s="199" t="s">
        <v>755</v>
      </c>
      <c r="G274" s="199">
        <v>2467</v>
      </c>
      <c r="H274" s="199" t="s">
        <v>2507</v>
      </c>
      <c r="I274" s="199" t="s">
        <v>729</v>
      </c>
      <c r="J274" s="210" t="s">
        <v>110</v>
      </c>
      <c r="K274" s="210" t="s">
        <v>111</v>
      </c>
      <c r="L274" s="222">
        <v>0.4</v>
      </c>
      <c r="M274" s="879"/>
      <c r="N274" s="879" t="s">
        <v>770</v>
      </c>
      <c r="O274" s="879"/>
      <c r="P274" s="874">
        <v>1</v>
      </c>
      <c r="Q274" s="1017">
        <v>0.05</v>
      </c>
      <c r="R274" s="874"/>
      <c r="S274" s="216">
        <f t="shared" si="8"/>
        <v>0</v>
      </c>
      <c r="T274" s="217">
        <f t="shared" si="9"/>
        <v>0</v>
      </c>
      <c r="U274" s="216" t="s">
        <v>34</v>
      </c>
      <c r="V274" s="799"/>
      <c r="W274" s="199"/>
    </row>
    <row r="275" spans="1:23" ht="20.55" customHeight="1" x14ac:dyDescent="0.4">
      <c r="A275" s="788">
        <v>274</v>
      </c>
      <c r="B275" s="199" t="s">
        <v>2399</v>
      </c>
      <c r="C275" s="199" t="s">
        <v>24</v>
      </c>
      <c r="D275" s="68">
        <v>2197</v>
      </c>
      <c r="E275" s="199" t="s">
        <v>2592</v>
      </c>
      <c r="F275" s="199" t="s">
        <v>755</v>
      </c>
      <c r="G275" s="199">
        <v>2467</v>
      </c>
      <c r="H275" s="199" t="s">
        <v>2507</v>
      </c>
      <c r="I275" s="199" t="s">
        <v>729</v>
      </c>
      <c r="J275" s="210" t="s">
        <v>110</v>
      </c>
      <c r="K275" s="210" t="s">
        <v>111</v>
      </c>
      <c r="L275" s="222">
        <v>0.4</v>
      </c>
      <c r="M275" s="879"/>
      <c r="N275" s="879" t="s">
        <v>254</v>
      </c>
      <c r="O275" s="879"/>
      <c r="P275" s="874">
        <v>1</v>
      </c>
      <c r="Q275" s="1017">
        <v>0.05</v>
      </c>
      <c r="R275" s="874"/>
      <c r="S275" s="216">
        <f t="shared" si="8"/>
        <v>0</v>
      </c>
      <c r="T275" s="217">
        <f t="shared" si="9"/>
        <v>0</v>
      </c>
      <c r="U275" s="216" t="s">
        <v>34</v>
      </c>
      <c r="V275" s="799"/>
      <c r="W275" s="199"/>
    </row>
    <row r="276" spans="1:23" ht="20.55" customHeight="1" x14ac:dyDescent="0.4">
      <c r="A276" s="788">
        <v>275</v>
      </c>
      <c r="B276" s="246" t="s">
        <v>2399</v>
      </c>
      <c r="C276" s="246" t="s">
        <v>24</v>
      </c>
      <c r="D276" s="58">
        <v>2197</v>
      </c>
      <c r="E276" s="246" t="s">
        <v>2592</v>
      </c>
      <c r="F276" s="246" t="s">
        <v>755</v>
      </c>
      <c r="G276" s="246">
        <v>2467</v>
      </c>
      <c r="H276" s="246" t="s">
        <v>2507</v>
      </c>
      <c r="I276" s="246" t="s">
        <v>729</v>
      </c>
      <c r="J276" s="253" t="s">
        <v>110</v>
      </c>
      <c r="K276" s="253" t="s">
        <v>111</v>
      </c>
      <c r="L276" s="874">
        <v>0.4</v>
      </c>
      <c r="M276" s="879"/>
      <c r="N276" s="879" t="s">
        <v>771</v>
      </c>
      <c r="O276" s="879"/>
      <c r="P276" s="874">
        <v>1</v>
      </c>
      <c r="Q276" s="1017">
        <v>0.05</v>
      </c>
      <c r="R276" s="874"/>
      <c r="S276" s="216">
        <f t="shared" si="8"/>
        <v>0</v>
      </c>
      <c r="T276" s="263">
        <f t="shared" si="9"/>
        <v>0</v>
      </c>
      <c r="U276" s="262" t="s">
        <v>34</v>
      </c>
      <c r="V276" s="799"/>
      <c r="W276" s="246"/>
    </row>
    <row r="277" spans="1:23" ht="20.55" customHeight="1" x14ac:dyDescent="0.4">
      <c r="A277" s="788">
        <v>276</v>
      </c>
      <c r="B277" s="246" t="s">
        <v>2399</v>
      </c>
      <c r="C277" s="246" t="s">
        <v>24</v>
      </c>
      <c r="D277" s="58">
        <v>2197</v>
      </c>
      <c r="E277" s="246" t="s">
        <v>2592</v>
      </c>
      <c r="F277" s="246" t="s">
        <v>755</v>
      </c>
      <c r="G277" s="246">
        <v>2467</v>
      </c>
      <c r="H277" s="246" t="s">
        <v>2507</v>
      </c>
      <c r="I277" s="246" t="s">
        <v>729</v>
      </c>
      <c r="J277" s="253" t="s">
        <v>110</v>
      </c>
      <c r="K277" s="253" t="s">
        <v>111</v>
      </c>
      <c r="L277" s="874">
        <v>0.4</v>
      </c>
      <c r="M277" s="879"/>
      <c r="N277" s="879" t="s">
        <v>772</v>
      </c>
      <c r="O277" s="879"/>
      <c r="P277" s="874">
        <v>1</v>
      </c>
      <c r="Q277" s="1017">
        <v>0.1</v>
      </c>
      <c r="R277" s="874"/>
      <c r="S277" s="262">
        <f t="shared" si="8"/>
        <v>0</v>
      </c>
      <c r="T277" s="263">
        <f t="shared" si="9"/>
        <v>0</v>
      </c>
      <c r="U277" s="262" t="s">
        <v>34</v>
      </c>
      <c r="V277" s="799"/>
      <c r="W277" s="246"/>
    </row>
    <row r="278" spans="1:23" ht="20.55" customHeight="1" x14ac:dyDescent="0.4">
      <c r="A278" s="788">
        <v>277</v>
      </c>
      <c r="B278" s="246" t="s">
        <v>2399</v>
      </c>
      <c r="C278" s="246" t="s">
        <v>24</v>
      </c>
      <c r="D278" s="58">
        <v>2197</v>
      </c>
      <c r="E278" s="246" t="s">
        <v>2592</v>
      </c>
      <c r="F278" s="246" t="s">
        <v>755</v>
      </c>
      <c r="G278" s="246">
        <v>2467</v>
      </c>
      <c r="H278" s="246" t="s">
        <v>2507</v>
      </c>
      <c r="I278" s="246" t="s">
        <v>729</v>
      </c>
      <c r="J278" s="253" t="s">
        <v>110</v>
      </c>
      <c r="K278" s="253" t="s">
        <v>111</v>
      </c>
      <c r="L278" s="874">
        <v>0.4</v>
      </c>
      <c r="M278" s="879"/>
      <c r="N278" s="879" t="s">
        <v>773</v>
      </c>
      <c r="O278" s="879"/>
      <c r="P278" s="874">
        <v>1</v>
      </c>
      <c r="Q278" s="1017">
        <v>0.05</v>
      </c>
      <c r="R278" s="874"/>
      <c r="S278" s="262">
        <f t="shared" si="8"/>
        <v>0</v>
      </c>
      <c r="T278" s="263">
        <f t="shared" si="9"/>
        <v>0</v>
      </c>
      <c r="U278" s="262" t="s">
        <v>34</v>
      </c>
      <c r="V278" s="799"/>
      <c r="W278" s="246"/>
    </row>
    <row r="279" spans="1:23" ht="20.55" customHeight="1" x14ac:dyDescent="0.4">
      <c r="A279" s="788">
        <v>278</v>
      </c>
      <c r="B279" s="246" t="s">
        <v>2399</v>
      </c>
      <c r="C279" s="246" t="s">
        <v>24</v>
      </c>
      <c r="D279" s="58">
        <v>2197</v>
      </c>
      <c r="E279" s="246" t="s">
        <v>2592</v>
      </c>
      <c r="F279" s="246" t="s">
        <v>755</v>
      </c>
      <c r="G279" s="246">
        <v>2467</v>
      </c>
      <c r="H279" s="246" t="s">
        <v>2507</v>
      </c>
      <c r="I279" s="246" t="s">
        <v>729</v>
      </c>
      <c r="J279" s="253" t="s">
        <v>110</v>
      </c>
      <c r="K279" s="253" t="s">
        <v>111</v>
      </c>
      <c r="L279" s="874">
        <v>0.4</v>
      </c>
      <c r="M279" s="879"/>
      <c r="N279" s="879" t="s">
        <v>774</v>
      </c>
      <c r="O279" s="879"/>
      <c r="P279" s="874">
        <v>1</v>
      </c>
      <c r="Q279" s="1017">
        <v>0.05</v>
      </c>
      <c r="R279" s="874"/>
      <c r="S279" s="262">
        <f t="shared" si="8"/>
        <v>0</v>
      </c>
      <c r="T279" s="263">
        <f t="shared" si="9"/>
        <v>0</v>
      </c>
      <c r="U279" s="262" t="s">
        <v>34</v>
      </c>
      <c r="V279" s="799"/>
      <c r="W279" s="246"/>
    </row>
    <row r="280" spans="1:23" ht="20.55" customHeight="1" x14ac:dyDescent="0.4">
      <c r="A280" s="788">
        <v>279</v>
      </c>
      <c r="B280" s="246" t="s">
        <v>2399</v>
      </c>
      <c r="C280" s="246" t="s">
        <v>24</v>
      </c>
      <c r="D280" s="58">
        <v>2197</v>
      </c>
      <c r="E280" s="246" t="s">
        <v>2592</v>
      </c>
      <c r="F280" s="246" t="s">
        <v>755</v>
      </c>
      <c r="G280" s="246">
        <v>2467</v>
      </c>
      <c r="H280" s="246" t="s">
        <v>2507</v>
      </c>
      <c r="I280" s="246" t="s">
        <v>729</v>
      </c>
      <c r="J280" s="253" t="s">
        <v>110</v>
      </c>
      <c r="K280" s="253" t="s">
        <v>111</v>
      </c>
      <c r="L280" s="874">
        <v>0.4</v>
      </c>
      <c r="M280" s="879"/>
      <c r="N280" s="879" t="s">
        <v>775</v>
      </c>
      <c r="O280" s="879"/>
      <c r="P280" s="874">
        <v>1</v>
      </c>
      <c r="Q280" s="1017">
        <v>0.05</v>
      </c>
      <c r="R280" s="874"/>
      <c r="S280" s="262">
        <f t="shared" si="8"/>
        <v>0</v>
      </c>
      <c r="T280" s="263">
        <f t="shared" si="9"/>
        <v>0</v>
      </c>
      <c r="U280" s="262" t="s">
        <v>34</v>
      </c>
      <c r="V280" s="799"/>
      <c r="W280" s="246"/>
    </row>
    <row r="281" spans="1:23" ht="20.55" customHeight="1" x14ac:dyDescent="0.4">
      <c r="A281" s="788">
        <v>280</v>
      </c>
      <c r="B281" s="246" t="s">
        <v>2399</v>
      </c>
      <c r="C281" s="246" t="s">
        <v>24</v>
      </c>
      <c r="D281" s="58">
        <v>2197</v>
      </c>
      <c r="E281" s="246" t="s">
        <v>2592</v>
      </c>
      <c r="F281" s="246" t="s">
        <v>755</v>
      </c>
      <c r="G281" s="246">
        <v>2467</v>
      </c>
      <c r="H281" s="246" t="s">
        <v>2507</v>
      </c>
      <c r="I281" s="246" t="s">
        <v>729</v>
      </c>
      <c r="J281" s="253" t="s">
        <v>110</v>
      </c>
      <c r="K281" s="253" t="s">
        <v>111</v>
      </c>
      <c r="L281" s="874">
        <v>0.4</v>
      </c>
      <c r="M281" s="879"/>
      <c r="N281" s="879" t="s">
        <v>776</v>
      </c>
      <c r="O281" s="879"/>
      <c r="P281" s="874">
        <v>1</v>
      </c>
      <c r="Q281" s="1017">
        <v>0.15</v>
      </c>
      <c r="R281" s="874"/>
      <c r="S281" s="262">
        <f t="shared" si="8"/>
        <v>0</v>
      </c>
      <c r="T281" s="263">
        <f t="shared" si="9"/>
        <v>0</v>
      </c>
      <c r="U281" s="262" t="s">
        <v>34</v>
      </c>
      <c r="V281" s="799"/>
      <c r="W281" s="246"/>
    </row>
    <row r="282" spans="1:23" ht="20.55" customHeight="1" x14ac:dyDescent="0.4">
      <c r="A282" s="788">
        <v>281</v>
      </c>
      <c r="B282" s="246" t="s">
        <v>2399</v>
      </c>
      <c r="C282" s="246" t="s">
        <v>24</v>
      </c>
      <c r="D282" s="58">
        <v>2197</v>
      </c>
      <c r="E282" s="246" t="s">
        <v>2592</v>
      </c>
      <c r="F282" s="246" t="s">
        <v>755</v>
      </c>
      <c r="G282" s="246">
        <v>2467</v>
      </c>
      <c r="H282" s="246" t="s">
        <v>2507</v>
      </c>
      <c r="I282" s="246" t="s">
        <v>729</v>
      </c>
      <c r="J282" s="253" t="s">
        <v>110</v>
      </c>
      <c r="K282" s="253" t="s">
        <v>111</v>
      </c>
      <c r="L282" s="874">
        <v>0.4</v>
      </c>
      <c r="M282" s="879"/>
      <c r="N282" s="879" t="s">
        <v>251</v>
      </c>
      <c r="O282" s="879"/>
      <c r="P282" s="874">
        <v>1</v>
      </c>
      <c r="Q282" s="1017">
        <v>0.05</v>
      </c>
      <c r="R282" s="874"/>
      <c r="S282" s="262">
        <f t="shared" si="8"/>
        <v>0</v>
      </c>
      <c r="T282" s="263">
        <f t="shared" si="9"/>
        <v>0</v>
      </c>
      <c r="U282" s="262" t="s">
        <v>34</v>
      </c>
      <c r="V282" s="799"/>
      <c r="W282" s="246"/>
    </row>
    <row r="283" spans="1:23" ht="20.55" customHeight="1" x14ac:dyDescent="0.4">
      <c r="A283" s="788">
        <v>282</v>
      </c>
      <c r="B283" s="246" t="s">
        <v>2399</v>
      </c>
      <c r="C283" s="246" t="s">
        <v>24</v>
      </c>
      <c r="D283" s="58">
        <v>2197</v>
      </c>
      <c r="E283" s="246" t="s">
        <v>2592</v>
      </c>
      <c r="F283" s="246" t="s">
        <v>755</v>
      </c>
      <c r="G283" s="246">
        <v>2467</v>
      </c>
      <c r="H283" s="246" t="s">
        <v>2507</v>
      </c>
      <c r="I283" s="246" t="s">
        <v>729</v>
      </c>
      <c r="J283" s="253" t="s">
        <v>110</v>
      </c>
      <c r="K283" s="253" t="s">
        <v>111</v>
      </c>
      <c r="L283" s="874">
        <v>0.4</v>
      </c>
      <c r="M283" s="879"/>
      <c r="N283" s="879" t="s">
        <v>252</v>
      </c>
      <c r="O283" s="879"/>
      <c r="P283" s="874">
        <v>1</v>
      </c>
      <c r="Q283" s="1017">
        <v>0.05</v>
      </c>
      <c r="R283" s="874"/>
      <c r="S283" s="262">
        <f t="shared" si="8"/>
        <v>0</v>
      </c>
      <c r="T283" s="263">
        <f t="shared" si="9"/>
        <v>0</v>
      </c>
      <c r="U283" s="262" t="s">
        <v>34</v>
      </c>
      <c r="V283" s="799"/>
      <c r="W283" s="246"/>
    </row>
    <row r="284" spans="1:23" ht="20.55" customHeight="1" x14ac:dyDescent="0.4">
      <c r="A284" s="788">
        <v>283</v>
      </c>
      <c r="B284" s="246" t="s">
        <v>2399</v>
      </c>
      <c r="C284" s="246" t="s">
        <v>24</v>
      </c>
      <c r="D284" s="58">
        <v>2197</v>
      </c>
      <c r="E284" s="246" t="s">
        <v>2592</v>
      </c>
      <c r="F284" s="246" t="s">
        <v>755</v>
      </c>
      <c r="G284" s="246">
        <v>2467</v>
      </c>
      <c r="H284" s="246" t="s">
        <v>2507</v>
      </c>
      <c r="I284" s="246" t="s">
        <v>729</v>
      </c>
      <c r="J284" s="253" t="s">
        <v>110</v>
      </c>
      <c r="K284" s="253" t="s">
        <v>111</v>
      </c>
      <c r="L284" s="874">
        <v>0.4</v>
      </c>
      <c r="M284" s="879"/>
      <c r="N284" s="879" t="s">
        <v>777</v>
      </c>
      <c r="O284" s="879"/>
      <c r="P284" s="874">
        <v>1</v>
      </c>
      <c r="Q284" s="1017">
        <v>0.05</v>
      </c>
      <c r="R284" s="874"/>
      <c r="S284" s="262">
        <f t="shared" si="8"/>
        <v>0</v>
      </c>
      <c r="T284" s="263">
        <f t="shared" si="9"/>
        <v>0</v>
      </c>
      <c r="U284" s="262" t="s">
        <v>34</v>
      </c>
      <c r="V284" s="799"/>
      <c r="W284" s="246"/>
    </row>
    <row r="285" spans="1:23" ht="20.55" customHeight="1" x14ac:dyDescent="0.4">
      <c r="A285" s="788">
        <v>284</v>
      </c>
      <c r="B285" s="246" t="s">
        <v>2399</v>
      </c>
      <c r="C285" s="246" t="s">
        <v>24</v>
      </c>
      <c r="D285" s="58">
        <v>2197</v>
      </c>
      <c r="E285" s="246" t="s">
        <v>2592</v>
      </c>
      <c r="F285" s="246" t="s">
        <v>755</v>
      </c>
      <c r="G285" s="246">
        <v>2467</v>
      </c>
      <c r="H285" s="246" t="s">
        <v>2507</v>
      </c>
      <c r="I285" s="246" t="s">
        <v>729</v>
      </c>
      <c r="J285" s="253" t="s">
        <v>110</v>
      </c>
      <c r="K285" s="253" t="s">
        <v>111</v>
      </c>
      <c r="L285" s="874">
        <v>0.4</v>
      </c>
      <c r="M285" s="879"/>
      <c r="N285" s="879" t="s">
        <v>253</v>
      </c>
      <c r="O285" s="879"/>
      <c r="P285" s="874">
        <v>1</v>
      </c>
      <c r="Q285" s="1017">
        <v>0.05</v>
      </c>
      <c r="R285" s="874"/>
      <c r="S285" s="262">
        <f t="shared" si="8"/>
        <v>0</v>
      </c>
      <c r="T285" s="263">
        <f t="shared" si="9"/>
        <v>0</v>
      </c>
      <c r="U285" s="262" t="s">
        <v>34</v>
      </c>
      <c r="V285" s="799"/>
      <c r="W285" s="246"/>
    </row>
    <row r="286" spans="1:23" ht="20.55" customHeight="1" x14ac:dyDescent="0.4">
      <c r="A286" s="788">
        <v>285</v>
      </c>
      <c r="B286" s="236" t="s">
        <v>2399</v>
      </c>
      <c r="C286" s="236" t="s">
        <v>24</v>
      </c>
      <c r="D286" s="100">
        <v>2033</v>
      </c>
      <c r="E286" s="236" t="s">
        <v>2603</v>
      </c>
      <c r="F286" s="236" t="s">
        <v>755</v>
      </c>
      <c r="G286" s="236">
        <v>2467</v>
      </c>
      <c r="H286" s="236" t="s">
        <v>2507</v>
      </c>
      <c r="I286" s="236" t="s">
        <v>729</v>
      </c>
      <c r="J286" s="243" t="s">
        <v>2035</v>
      </c>
      <c r="K286" s="243" t="s">
        <v>58</v>
      </c>
      <c r="L286" s="855">
        <v>0.6</v>
      </c>
      <c r="M286" s="952"/>
      <c r="N286" s="952" t="s">
        <v>1353</v>
      </c>
      <c r="O286" s="952"/>
      <c r="P286" s="953">
        <v>1</v>
      </c>
      <c r="Q286" s="354">
        <v>0.1</v>
      </c>
      <c r="R286" s="953"/>
      <c r="S286" s="855">
        <f>ROUND(IF(OR(P286="",R286=""),0,IF(AND(P286=0,R286=0),1,IF(U286="+",R286/P286,P286/R286))),2)</f>
        <v>0</v>
      </c>
      <c r="T286" s="854">
        <f t="shared" si="9"/>
        <v>0</v>
      </c>
      <c r="U286" s="855" t="s">
        <v>34</v>
      </c>
      <c r="V286" s="1950">
        <f>SUM(T286:T313)%</f>
        <v>0</v>
      </c>
      <c r="W286" s="236"/>
    </row>
    <row r="287" spans="1:23" ht="20.55" customHeight="1" x14ac:dyDescent="0.4">
      <c r="A287" s="788">
        <v>286</v>
      </c>
      <c r="B287" s="199" t="s">
        <v>2399</v>
      </c>
      <c r="C287" s="199" t="s">
        <v>24</v>
      </c>
      <c r="D287" s="68">
        <v>2033</v>
      </c>
      <c r="E287" s="199" t="s">
        <v>2603</v>
      </c>
      <c r="F287" s="199" t="s">
        <v>755</v>
      </c>
      <c r="G287" s="199">
        <v>2467</v>
      </c>
      <c r="H287" s="199" t="s">
        <v>2507</v>
      </c>
      <c r="I287" s="199" t="s">
        <v>729</v>
      </c>
      <c r="J287" s="79" t="s">
        <v>2035</v>
      </c>
      <c r="K287" s="79" t="s">
        <v>58</v>
      </c>
      <c r="L287" s="647">
        <v>0.6</v>
      </c>
      <c r="M287" s="757"/>
      <c r="N287" s="757" t="s">
        <v>2604</v>
      </c>
      <c r="O287" s="757"/>
      <c r="P287" s="208">
        <v>1</v>
      </c>
      <c r="Q287" s="1038">
        <v>0.05</v>
      </c>
      <c r="R287" s="208"/>
      <c r="S287" s="206">
        <f t="shared" ref="S287:S343" si="10">ROUND(IF(OR(P287="",R287=""),0,IF(AND(P287=0,R287=0),1,IF(U287="+",R287/P287,P287/R287))),2)</f>
        <v>0</v>
      </c>
      <c r="T287" s="207">
        <f t="shared" si="9"/>
        <v>0</v>
      </c>
      <c r="U287" s="206" t="s">
        <v>34</v>
      </c>
      <c r="V287" s="799"/>
      <c r="W287" s="199"/>
    </row>
    <row r="288" spans="1:23" ht="20.55" customHeight="1" x14ac:dyDescent="0.4">
      <c r="A288" s="788">
        <v>287</v>
      </c>
      <c r="B288" s="199" t="s">
        <v>2399</v>
      </c>
      <c r="C288" s="199" t="s">
        <v>24</v>
      </c>
      <c r="D288" s="68">
        <v>2033</v>
      </c>
      <c r="E288" s="199" t="s">
        <v>2603</v>
      </c>
      <c r="F288" s="199" t="s">
        <v>755</v>
      </c>
      <c r="G288" s="199">
        <v>2467</v>
      </c>
      <c r="H288" s="199" t="s">
        <v>2507</v>
      </c>
      <c r="I288" s="199" t="s">
        <v>729</v>
      </c>
      <c r="J288" s="79" t="s">
        <v>2035</v>
      </c>
      <c r="K288" s="79" t="s">
        <v>58</v>
      </c>
      <c r="L288" s="647">
        <v>0.6</v>
      </c>
      <c r="M288" s="757"/>
      <c r="N288" s="757" t="s">
        <v>2605</v>
      </c>
      <c r="O288" s="757"/>
      <c r="P288" s="208">
        <v>1</v>
      </c>
      <c r="Q288" s="1038">
        <v>0.05</v>
      </c>
      <c r="R288" s="208"/>
      <c r="S288" s="206">
        <f t="shared" si="10"/>
        <v>0</v>
      </c>
      <c r="T288" s="207">
        <f t="shared" si="9"/>
        <v>0</v>
      </c>
      <c r="U288" s="206" t="s">
        <v>34</v>
      </c>
      <c r="V288" s="799"/>
      <c r="W288" s="199"/>
    </row>
    <row r="289" spans="1:23" ht="20.55" customHeight="1" x14ac:dyDescent="0.4">
      <c r="A289" s="788">
        <v>288</v>
      </c>
      <c r="B289" s="199" t="s">
        <v>2399</v>
      </c>
      <c r="C289" s="199" t="s">
        <v>24</v>
      </c>
      <c r="D289" s="68">
        <v>2033</v>
      </c>
      <c r="E289" s="199" t="s">
        <v>2603</v>
      </c>
      <c r="F289" s="199" t="s">
        <v>755</v>
      </c>
      <c r="G289" s="199">
        <v>2467</v>
      </c>
      <c r="H289" s="199" t="s">
        <v>2507</v>
      </c>
      <c r="I289" s="199" t="s">
        <v>729</v>
      </c>
      <c r="J289" s="79" t="s">
        <v>2035</v>
      </c>
      <c r="K289" s="79" t="s">
        <v>58</v>
      </c>
      <c r="L289" s="647">
        <v>0.6</v>
      </c>
      <c r="M289" s="757"/>
      <c r="N289" s="757" t="s">
        <v>2606</v>
      </c>
      <c r="O289" s="757"/>
      <c r="P289" s="208">
        <v>1</v>
      </c>
      <c r="Q289" s="1038">
        <v>0.05</v>
      </c>
      <c r="R289" s="208"/>
      <c r="S289" s="206">
        <f t="shared" si="10"/>
        <v>0</v>
      </c>
      <c r="T289" s="207">
        <f t="shared" si="9"/>
        <v>0</v>
      </c>
      <c r="U289" s="206" t="s">
        <v>34</v>
      </c>
      <c r="V289" s="799"/>
      <c r="W289" s="199"/>
    </row>
    <row r="290" spans="1:23" ht="20.55" customHeight="1" x14ac:dyDescent="0.4">
      <c r="A290" s="788">
        <v>289</v>
      </c>
      <c r="B290" s="199" t="s">
        <v>2399</v>
      </c>
      <c r="C290" s="199" t="s">
        <v>24</v>
      </c>
      <c r="D290" s="68">
        <v>2033</v>
      </c>
      <c r="E290" s="199" t="s">
        <v>2603</v>
      </c>
      <c r="F290" s="199" t="s">
        <v>755</v>
      </c>
      <c r="G290" s="199">
        <v>2467</v>
      </c>
      <c r="H290" s="199" t="s">
        <v>2507</v>
      </c>
      <c r="I290" s="199" t="s">
        <v>729</v>
      </c>
      <c r="J290" s="79" t="s">
        <v>2035</v>
      </c>
      <c r="K290" s="79" t="s">
        <v>58</v>
      </c>
      <c r="L290" s="647">
        <v>0.6</v>
      </c>
      <c r="M290" s="757"/>
      <c r="N290" s="757" t="s">
        <v>2607</v>
      </c>
      <c r="O290" s="757"/>
      <c r="P290" s="208">
        <v>1</v>
      </c>
      <c r="Q290" s="1038">
        <v>0.05</v>
      </c>
      <c r="R290" s="208"/>
      <c r="S290" s="206">
        <f>ROUND(IF(OR(P290="",R290=""),0,IF(AND(P290=0,R290=0),1,IF(U290="+",R290/P290,P290/R290))),2)</f>
        <v>0</v>
      </c>
      <c r="T290" s="207">
        <f t="shared" si="9"/>
        <v>0</v>
      </c>
      <c r="U290" s="206" t="s">
        <v>34</v>
      </c>
      <c r="V290" s="799"/>
      <c r="W290" s="199"/>
    </row>
    <row r="291" spans="1:23" ht="20.55" customHeight="1" x14ac:dyDescent="0.4">
      <c r="A291" s="788">
        <v>290</v>
      </c>
      <c r="B291" s="199" t="s">
        <v>2399</v>
      </c>
      <c r="C291" s="199" t="s">
        <v>24</v>
      </c>
      <c r="D291" s="68">
        <v>2033</v>
      </c>
      <c r="E291" s="199" t="s">
        <v>2603</v>
      </c>
      <c r="F291" s="199" t="s">
        <v>755</v>
      </c>
      <c r="G291" s="199">
        <v>2467</v>
      </c>
      <c r="H291" s="199" t="s">
        <v>2507</v>
      </c>
      <c r="I291" s="199" t="s">
        <v>729</v>
      </c>
      <c r="J291" s="79" t="s">
        <v>2035</v>
      </c>
      <c r="K291" s="79" t="s">
        <v>58</v>
      </c>
      <c r="L291" s="647">
        <v>0.6</v>
      </c>
      <c r="M291" s="757"/>
      <c r="N291" s="757" t="s">
        <v>2608</v>
      </c>
      <c r="O291" s="757"/>
      <c r="P291" s="208">
        <v>1</v>
      </c>
      <c r="Q291" s="1038">
        <v>0.1</v>
      </c>
      <c r="R291" s="208"/>
      <c r="S291" s="206">
        <f>ROUND(IF(OR(P291="",R291=""),0,IF(AND(P291=0,R291=0),1,IF(U291="+",R291/P291,P291/R291))),2)</f>
        <v>0</v>
      </c>
      <c r="T291" s="207">
        <f t="shared" si="9"/>
        <v>0</v>
      </c>
      <c r="U291" s="206" t="s">
        <v>34</v>
      </c>
      <c r="V291" s="799"/>
      <c r="W291" s="199"/>
    </row>
    <row r="292" spans="1:23" ht="20.55" customHeight="1" x14ac:dyDescent="0.4">
      <c r="A292" s="788">
        <v>291</v>
      </c>
      <c r="B292" s="199" t="s">
        <v>2399</v>
      </c>
      <c r="C292" s="199" t="s">
        <v>24</v>
      </c>
      <c r="D292" s="68">
        <v>2033</v>
      </c>
      <c r="E292" s="199" t="s">
        <v>2603</v>
      </c>
      <c r="F292" s="199" t="s">
        <v>755</v>
      </c>
      <c r="G292" s="199">
        <v>2467</v>
      </c>
      <c r="H292" s="199" t="s">
        <v>2507</v>
      </c>
      <c r="I292" s="199" t="s">
        <v>729</v>
      </c>
      <c r="J292" s="79" t="s">
        <v>2035</v>
      </c>
      <c r="K292" s="79" t="s">
        <v>58</v>
      </c>
      <c r="L292" s="647">
        <v>0.6</v>
      </c>
      <c r="M292" s="757"/>
      <c r="N292" s="757" t="s">
        <v>2609</v>
      </c>
      <c r="O292" s="757"/>
      <c r="P292" s="208">
        <v>1</v>
      </c>
      <c r="Q292" s="1038">
        <v>0.05</v>
      </c>
      <c r="R292" s="208"/>
      <c r="S292" s="206">
        <f>ROUND(IF(OR(P292="",R292=""),0,IF(AND(P292=0,R292=0),1,IF(U292="+",R292/P292,P292/R292))),2)</f>
        <v>0</v>
      </c>
      <c r="T292" s="207">
        <f t="shared" si="9"/>
        <v>0</v>
      </c>
      <c r="U292" s="206" t="s">
        <v>34</v>
      </c>
      <c r="V292" s="799"/>
      <c r="W292" s="199"/>
    </row>
    <row r="293" spans="1:23" ht="20.55" customHeight="1" x14ac:dyDescent="0.4">
      <c r="A293" s="788">
        <v>292</v>
      </c>
      <c r="B293" s="199" t="s">
        <v>2399</v>
      </c>
      <c r="C293" s="199" t="s">
        <v>24</v>
      </c>
      <c r="D293" s="68">
        <v>2033</v>
      </c>
      <c r="E293" s="199" t="s">
        <v>2603</v>
      </c>
      <c r="F293" s="199" t="s">
        <v>755</v>
      </c>
      <c r="G293" s="199">
        <v>2467</v>
      </c>
      <c r="H293" s="199" t="s">
        <v>2507</v>
      </c>
      <c r="I293" s="199" t="s">
        <v>729</v>
      </c>
      <c r="J293" s="79" t="s">
        <v>2035</v>
      </c>
      <c r="K293" s="79" t="s">
        <v>58</v>
      </c>
      <c r="L293" s="647">
        <v>0.6</v>
      </c>
      <c r="M293" s="757"/>
      <c r="N293" s="757" t="s">
        <v>2610</v>
      </c>
      <c r="O293" s="757"/>
      <c r="P293" s="208">
        <v>1</v>
      </c>
      <c r="Q293" s="1038">
        <v>0.05</v>
      </c>
      <c r="R293" s="208"/>
      <c r="S293" s="206">
        <f>ROUND(IF(OR(P293="",R293=""),0,IF(AND(P293=0,R293=0),1,IF(U293="+",R293/P293,P293/R293))),2)</f>
        <v>0</v>
      </c>
      <c r="T293" s="207">
        <f t="shared" si="9"/>
        <v>0</v>
      </c>
      <c r="U293" s="206" t="s">
        <v>34</v>
      </c>
      <c r="V293" s="799"/>
      <c r="W293" s="199"/>
    </row>
    <row r="294" spans="1:23" ht="20.55" customHeight="1" x14ac:dyDescent="0.4">
      <c r="A294" s="788">
        <v>293</v>
      </c>
      <c r="B294" s="199" t="s">
        <v>2399</v>
      </c>
      <c r="C294" s="199" t="s">
        <v>24</v>
      </c>
      <c r="D294" s="68">
        <v>2033</v>
      </c>
      <c r="E294" s="199" t="s">
        <v>2603</v>
      </c>
      <c r="F294" s="199" t="s">
        <v>755</v>
      </c>
      <c r="G294" s="199">
        <v>2467</v>
      </c>
      <c r="H294" s="199" t="s">
        <v>2507</v>
      </c>
      <c r="I294" s="199" t="s">
        <v>729</v>
      </c>
      <c r="J294" s="79" t="s">
        <v>2035</v>
      </c>
      <c r="K294" s="79" t="s">
        <v>58</v>
      </c>
      <c r="L294" s="647">
        <v>0.6</v>
      </c>
      <c r="M294" s="757"/>
      <c r="N294" s="757" t="s">
        <v>2611</v>
      </c>
      <c r="O294" s="757"/>
      <c r="P294" s="208">
        <v>1</v>
      </c>
      <c r="Q294" s="1038">
        <v>0.05</v>
      </c>
      <c r="R294" s="208"/>
      <c r="S294" s="206">
        <f>ROUND(IF(OR(P294="",R294=""),0,IF(AND(P294=0,R294=0),1,IF(U294="+",R294/P294,P294/R294))),2)</f>
        <v>0</v>
      </c>
      <c r="T294" s="207">
        <f t="shared" si="9"/>
        <v>0</v>
      </c>
      <c r="U294" s="206" t="s">
        <v>34</v>
      </c>
      <c r="V294" s="799"/>
      <c r="W294" s="199"/>
    </row>
    <row r="295" spans="1:23" ht="20.55" customHeight="1" x14ac:dyDescent="0.4">
      <c r="A295" s="788">
        <v>294</v>
      </c>
      <c r="B295" s="199" t="s">
        <v>2399</v>
      </c>
      <c r="C295" s="199" t="s">
        <v>24</v>
      </c>
      <c r="D295" s="68">
        <v>2033</v>
      </c>
      <c r="E295" s="199" t="s">
        <v>2603</v>
      </c>
      <c r="F295" s="199" t="s">
        <v>755</v>
      </c>
      <c r="G295" s="199">
        <v>2467</v>
      </c>
      <c r="H295" s="199" t="s">
        <v>2507</v>
      </c>
      <c r="I295" s="199" t="s">
        <v>729</v>
      </c>
      <c r="J295" s="79" t="s">
        <v>2035</v>
      </c>
      <c r="K295" s="79" t="s">
        <v>58</v>
      </c>
      <c r="L295" s="647">
        <v>0.6</v>
      </c>
      <c r="M295" s="757"/>
      <c r="N295" s="757" t="s">
        <v>2612</v>
      </c>
      <c r="O295" s="757"/>
      <c r="P295" s="208">
        <v>1</v>
      </c>
      <c r="Q295" s="1038">
        <v>0.1</v>
      </c>
      <c r="R295" s="208"/>
      <c r="S295" s="206">
        <f t="shared" si="10"/>
        <v>0</v>
      </c>
      <c r="T295" s="207">
        <f t="shared" si="9"/>
        <v>0</v>
      </c>
      <c r="U295" s="206" t="s">
        <v>34</v>
      </c>
      <c r="V295" s="799"/>
      <c r="W295" s="199"/>
    </row>
    <row r="296" spans="1:23" ht="20.55" customHeight="1" x14ac:dyDescent="0.4">
      <c r="A296" s="788">
        <v>295</v>
      </c>
      <c r="B296" s="199" t="s">
        <v>2399</v>
      </c>
      <c r="C296" s="199" t="s">
        <v>24</v>
      </c>
      <c r="D296" s="68">
        <v>2033</v>
      </c>
      <c r="E296" s="199" t="s">
        <v>2603</v>
      </c>
      <c r="F296" s="199" t="s">
        <v>755</v>
      </c>
      <c r="G296" s="199">
        <v>2467</v>
      </c>
      <c r="H296" s="199" t="s">
        <v>2507</v>
      </c>
      <c r="I296" s="199" t="s">
        <v>729</v>
      </c>
      <c r="J296" s="79" t="s">
        <v>2035</v>
      </c>
      <c r="K296" s="79" t="s">
        <v>58</v>
      </c>
      <c r="L296" s="647">
        <v>0.6</v>
      </c>
      <c r="M296" s="757"/>
      <c r="N296" s="757" t="s">
        <v>2613</v>
      </c>
      <c r="O296" s="757"/>
      <c r="P296" s="208">
        <v>1</v>
      </c>
      <c r="Q296" s="1038">
        <v>0.2</v>
      </c>
      <c r="R296" s="208"/>
      <c r="S296" s="206">
        <f t="shared" si="10"/>
        <v>0</v>
      </c>
      <c r="T296" s="207">
        <f t="shared" si="9"/>
        <v>0</v>
      </c>
      <c r="U296" s="206" t="s">
        <v>34</v>
      </c>
      <c r="V296" s="799"/>
      <c r="W296" s="199"/>
    </row>
    <row r="297" spans="1:23" ht="20.55" customHeight="1" x14ac:dyDescent="0.4">
      <c r="A297" s="788">
        <v>296</v>
      </c>
      <c r="B297" s="199" t="s">
        <v>2399</v>
      </c>
      <c r="C297" s="199" t="s">
        <v>24</v>
      </c>
      <c r="D297" s="68">
        <v>2033</v>
      </c>
      <c r="E297" s="199" t="s">
        <v>2603</v>
      </c>
      <c r="F297" s="199" t="s">
        <v>755</v>
      </c>
      <c r="G297" s="199">
        <v>2467</v>
      </c>
      <c r="H297" s="199" t="s">
        <v>2507</v>
      </c>
      <c r="I297" s="199" t="s">
        <v>729</v>
      </c>
      <c r="J297" s="79" t="s">
        <v>2035</v>
      </c>
      <c r="K297" s="79" t="s">
        <v>58</v>
      </c>
      <c r="L297" s="647">
        <v>0.6</v>
      </c>
      <c r="M297" s="757"/>
      <c r="N297" s="757" t="s">
        <v>2580</v>
      </c>
      <c r="O297" s="757"/>
      <c r="P297" s="208">
        <v>1</v>
      </c>
      <c r="Q297" s="1038">
        <v>0.05</v>
      </c>
      <c r="R297" s="208"/>
      <c r="S297" s="206">
        <f t="shared" si="10"/>
        <v>0</v>
      </c>
      <c r="T297" s="207">
        <f t="shared" si="9"/>
        <v>0</v>
      </c>
      <c r="U297" s="206" t="s">
        <v>34</v>
      </c>
      <c r="V297" s="799"/>
      <c r="W297" s="199"/>
    </row>
    <row r="298" spans="1:23" ht="20.55" customHeight="1" x14ac:dyDescent="0.4">
      <c r="A298" s="788">
        <v>297</v>
      </c>
      <c r="B298" s="199" t="s">
        <v>2399</v>
      </c>
      <c r="C298" s="199" t="s">
        <v>24</v>
      </c>
      <c r="D298" s="68">
        <v>2033</v>
      </c>
      <c r="E298" s="199" t="s">
        <v>2603</v>
      </c>
      <c r="F298" s="199" t="s">
        <v>755</v>
      </c>
      <c r="G298" s="199">
        <v>2467</v>
      </c>
      <c r="H298" s="199" t="s">
        <v>2507</v>
      </c>
      <c r="I298" s="199" t="s">
        <v>729</v>
      </c>
      <c r="J298" s="79" t="s">
        <v>2035</v>
      </c>
      <c r="K298" s="79" t="s">
        <v>58</v>
      </c>
      <c r="L298" s="647">
        <v>0.6</v>
      </c>
      <c r="M298" s="757"/>
      <c r="N298" s="757" t="s">
        <v>2602</v>
      </c>
      <c r="O298" s="757"/>
      <c r="P298" s="208">
        <v>1</v>
      </c>
      <c r="Q298" s="1038">
        <v>0.1</v>
      </c>
      <c r="R298" s="208"/>
      <c r="S298" s="206">
        <f t="shared" si="10"/>
        <v>0</v>
      </c>
      <c r="T298" s="207">
        <f t="shared" si="9"/>
        <v>0</v>
      </c>
      <c r="U298" s="206" t="s">
        <v>34</v>
      </c>
      <c r="V298" s="799"/>
      <c r="W298" s="199"/>
    </row>
    <row r="299" spans="1:23" ht="20.55" customHeight="1" x14ac:dyDescent="0.4">
      <c r="A299" s="788">
        <v>298</v>
      </c>
      <c r="B299" s="199" t="s">
        <v>2399</v>
      </c>
      <c r="C299" s="199" t="s">
        <v>24</v>
      </c>
      <c r="D299" s="68">
        <v>2033</v>
      </c>
      <c r="E299" s="199" t="s">
        <v>2603</v>
      </c>
      <c r="F299" s="199" t="s">
        <v>755</v>
      </c>
      <c r="G299" s="199">
        <v>2467</v>
      </c>
      <c r="H299" s="199" t="s">
        <v>2507</v>
      </c>
      <c r="I299" s="199" t="s">
        <v>729</v>
      </c>
      <c r="J299" s="649" t="s">
        <v>110</v>
      </c>
      <c r="K299" s="649" t="s">
        <v>111</v>
      </c>
      <c r="L299" s="222">
        <v>0.4</v>
      </c>
      <c r="M299" s="827"/>
      <c r="N299" s="827" t="s">
        <v>255</v>
      </c>
      <c r="O299" s="827"/>
      <c r="P299" s="218">
        <v>1</v>
      </c>
      <c r="Q299" s="1039">
        <v>0.05</v>
      </c>
      <c r="R299" s="218"/>
      <c r="S299" s="216">
        <f t="shared" si="10"/>
        <v>0</v>
      </c>
      <c r="T299" s="217">
        <f t="shared" si="9"/>
        <v>0</v>
      </c>
      <c r="U299" s="216" t="s">
        <v>34</v>
      </c>
      <c r="V299" s="799"/>
      <c r="W299" s="199"/>
    </row>
    <row r="300" spans="1:23" ht="20.55" customHeight="1" x14ac:dyDescent="0.4">
      <c r="A300" s="788">
        <v>299</v>
      </c>
      <c r="B300" s="199" t="s">
        <v>2399</v>
      </c>
      <c r="C300" s="199" t="s">
        <v>24</v>
      </c>
      <c r="D300" s="68">
        <v>2033</v>
      </c>
      <c r="E300" s="199" t="s">
        <v>2603</v>
      </c>
      <c r="F300" s="199" t="s">
        <v>755</v>
      </c>
      <c r="G300" s="199">
        <v>2467</v>
      </c>
      <c r="H300" s="199" t="s">
        <v>2507</v>
      </c>
      <c r="I300" s="199" t="s">
        <v>729</v>
      </c>
      <c r="J300" s="649" t="s">
        <v>110</v>
      </c>
      <c r="K300" s="649" t="s">
        <v>111</v>
      </c>
      <c r="L300" s="222">
        <v>0.4</v>
      </c>
      <c r="M300" s="827"/>
      <c r="N300" s="827" t="s">
        <v>768</v>
      </c>
      <c r="O300" s="827"/>
      <c r="P300" s="218">
        <v>1</v>
      </c>
      <c r="Q300" s="1039">
        <v>0.05</v>
      </c>
      <c r="R300" s="218"/>
      <c r="S300" s="216">
        <f t="shared" si="10"/>
        <v>0</v>
      </c>
      <c r="T300" s="217">
        <f t="shared" si="9"/>
        <v>0</v>
      </c>
      <c r="U300" s="216" t="s">
        <v>34</v>
      </c>
      <c r="V300" s="799"/>
      <c r="W300" s="199"/>
    </row>
    <row r="301" spans="1:23" ht="20.55" customHeight="1" x14ac:dyDescent="0.4">
      <c r="A301" s="788">
        <v>300</v>
      </c>
      <c r="B301" s="199" t="s">
        <v>2399</v>
      </c>
      <c r="C301" s="199" t="s">
        <v>24</v>
      </c>
      <c r="D301" s="68">
        <v>2033</v>
      </c>
      <c r="E301" s="199" t="s">
        <v>2603</v>
      </c>
      <c r="F301" s="199" t="s">
        <v>755</v>
      </c>
      <c r="G301" s="199">
        <v>2467</v>
      </c>
      <c r="H301" s="199" t="s">
        <v>2507</v>
      </c>
      <c r="I301" s="199" t="s">
        <v>729</v>
      </c>
      <c r="J301" s="649" t="s">
        <v>110</v>
      </c>
      <c r="K301" s="649" t="s">
        <v>111</v>
      </c>
      <c r="L301" s="222">
        <v>0.4</v>
      </c>
      <c r="M301" s="827"/>
      <c r="N301" s="827" t="s">
        <v>769</v>
      </c>
      <c r="O301" s="827"/>
      <c r="P301" s="218">
        <v>1</v>
      </c>
      <c r="Q301" s="1039">
        <v>0.05</v>
      </c>
      <c r="R301" s="218"/>
      <c r="S301" s="216">
        <f t="shared" si="10"/>
        <v>0</v>
      </c>
      <c r="T301" s="217">
        <f t="shared" si="9"/>
        <v>0</v>
      </c>
      <c r="U301" s="216" t="s">
        <v>34</v>
      </c>
      <c r="V301" s="799"/>
      <c r="W301" s="199"/>
    </row>
    <row r="302" spans="1:23" ht="20.55" customHeight="1" x14ac:dyDescent="0.4">
      <c r="A302" s="788">
        <v>301</v>
      </c>
      <c r="B302" s="199" t="s">
        <v>2399</v>
      </c>
      <c r="C302" s="199" t="s">
        <v>24</v>
      </c>
      <c r="D302" s="68">
        <v>2033</v>
      </c>
      <c r="E302" s="199" t="s">
        <v>2603</v>
      </c>
      <c r="F302" s="199" t="s">
        <v>755</v>
      </c>
      <c r="G302" s="199">
        <v>2467</v>
      </c>
      <c r="H302" s="199" t="s">
        <v>2507</v>
      </c>
      <c r="I302" s="199" t="s">
        <v>729</v>
      </c>
      <c r="J302" s="649" t="s">
        <v>110</v>
      </c>
      <c r="K302" s="649" t="s">
        <v>111</v>
      </c>
      <c r="L302" s="222">
        <v>0.4</v>
      </c>
      <c r="M302" s="827"/>
      <c r="N302" s="827" t="s">
        <v>770</v>
      </c>
      <c r="O302" s="827"/>
      <c r="P302" s="218">
        <v>1</v>
      </c>
      <c r="Q302" s="1039">
        <v>0.15</v>
      </c>
      <c r="R302" s="218"/>
      <c r="S302" s="216">
        <f t="shared" si="10"/>
        <v>0</v>
      </c>
      <c r="T302" s="217">
        <f t="shared" si="9"/>
        <v>0</v>
      </c>
      <c r="U302" s="216" t="s">
        <v>34</v>
      </c>
      <c r="V302" s="799"/>
      <c r="W302" s="199"/>
    </row>
    <row r="303" spans="1:23" ht="20.55" customHeight="1" x14ac:dyDescent="0.4">
      <c r="A303" s="788">
        <v>302</v>
      </c>
      <c r="B303" s="199" t="s">
        <v>2399</v>
      </c>
      <c r="C303" s="199" t="s">
        <v>24</v>
      </c>
      <c r="D303" s="68">
        <v>2033</v>
      </c>
      <c r="E303" s="199" t="s">
        <v>2603</v>
      </c>
      <c r="F303" s="199" t="s">
        <v>755</v>
      </c>
      <c r="G303" s="199">
        <v>2467</v>
      </c>
      <c r="H303" s="199" t="s">
        <v>2507</v>
      </c>
      <c r="I303" s="199" t="s">
        <v>729</v>
      </c>
      <c r="J303" s="649" t="s">
        <v>110</v>
      </c>
      <c r="K303" s="649" t="s">
        <v>111</v>
      </c>
      <c r="L303" s="222">
        <v>0.4</v>
      </c>
      <c r="M303" s="827"/>
      <c r="N303" s="827" t="s">
        <v>254</v>
      </c>
      <c r="O303" s="827"/>
      <c r="P303" s="218">
        <v>1</v>
      </c>
      <c r="Q303" s="1039">
        <v>0.1</v>
      </c>
      <c r="R303" s="218"/>
      <c r="S303" s="216">
        <f t="shared" si="10"/>
        <v>0</v>
      </c>
      <c r="T303" s="217">
        <f t="shared" si="9"/>
        <v>0</v>
      </c>
      <c r="U303" s="216" t="s">
        <v>34</v>
      </c>
      <c r="V303" s="799"/>
      <c r="W303" s="199"/>
    </row>
    <row r="304" spans="1:23" ht="20.55" customHeight="1" x14ac:dyDescent="0.4">
      <c r="A304" s="788">
        <v>303</v>
      </c>
      <c r="B304" s="199" t="s">
        <v>2399</v>
      </c>
      <c r="C304" s="199" t="s">
        <v>24</v>
      </c>
      <c r="D304" s="68">
        <v>2033</v>
      </c>
      <c r="E304" s="199" t="s">
        <v>2603</v>
      </c>
      <c r="F304" s="199" t="s">
        <v>755</v>
      </c>
      <c r="G304" s="199">
        <v>2467</v>
      </c>
      <c r="H304" s="199" t="s">
        <v>2507</v>
      </c>
      <c r="I304" s="199" t="s">
        <v>729</v>
      </c>
      <c r="J304" s="649" t="s">
        <v>110</v>
      </c>
      <c r="K304" s="649" t="s">
        <v>111</v>
      </c>
      <c r="L304" s="222">
        <v>0.4</v>
      </c>
      <c r="M304" s="827"/>
      <c r="N304" s="827" t="s">
        <v>771</v>
      </c>
      <c r="O304" s="827"/>
      <c r="P304" s="218">
        <v>1</v>
      </c>
      <c r="Q304" s="1039">
        <v>0.05</v>
      </c>
      <c r="R304" s="218"/>
      <c r="S304" s="216">
        <f t="shared" si="10"/>
        <v>0</v>
      </c>
      <c r="T304" s="217">
        <f t="shared" si="9"/>
        <v>0</v>
      </c>
      <c r="U304" s="216" t="s">
        <v>34</v>
      </c>
      <c r="V304" s="799"/>
      <c r="W304" s="199"/>
    </row>
    <row r="305" spans="1:23" ht="20.55" customHeight="1" x14ac:dyDescent="0.4">
      <c r="A305" s="788">
        <v>304</v>
      </c>
      <c r="B305" s="199" t="s">
        <v>2399</v>
      </c>
      <c r="C305" s="199" t="s">
        <v>24</v>
      </c>
      <c r="D305" s="68">
        <v>2033</v>
      </c>
      <c r="E305" s="199" t="s">
        <v>2603</v>
      </c>
      <c r="F305" s="199" t="s">
        <v>755</v>
      </c>
      <c r="G305" s="199">
        <v>2467</v>
      </c>
      <c r="H305" s="199" t="s">
        <v>2507</v>
      </c>
      <c r="I305" s="199" t="s">
        <v>729</v>
      </c>
      <c r="J305" s="649" t="s">
        <v>110</v>
      </c>
      <c r="K305" s="649" t="s">
        <v>111</v>
      </c>
      <c r="L305" s="222">
        <v>0.4</v>
      </c>
      <c r="M305" s="827"/>
      <c r="N305" s="827" t="s">
        <v>772</v>
      </c>
      <c r="O305" s="827"/>
      <c r="P305" s="218">
        <v>1</v>
      </c>
      <c r="Q305" s="1039">
        <v>0.1</v>
      </c>
      <c r="R305" s="218"/>
      <c r="S305" s="216">
        <f t="shared" si="10"/>
        <v>0</v>
      </c>
      <c r="T305" s="217">
        <f t="shared" si="9"/>
        <v>0</v>
      </c>
      <c r="U305" s="216" t="s">
        <v>34</v>
      </c>
      <c r="V305" s="799"/>
      <c r="W305" s="199"/>
    </row>
    <row r="306" spans="1:23" ht="20.55" customHeight="1" x14ac:dyDescent="0.4">
      <c r="A306" s="788">
        <v>305</v>
      </c>
      <c r="B306" s="199" t="s">
        <v>2399</v>
      </c>
      <c r="C306" s="199" t="s">
        <v>24</v>
      </c>
      <c r="D306" s="68">
        <v>2033</v>
      </c>
      <c r="E306" s="199" t="s">
        <v>2603</v>
      </c>
      <c r="F306" s="199" t="s">
        <v>755</v>
      </c>
      <c r="G306" s="199">
        <v>2467</v>
      </c>
      <c r="H306" s="199" t="s">
        <v>2507</v>
      </c>
      <c r="I306" s="199" t="s">
        <v>729</v>
      </c>
      <c r="J306" s="649" t="s">
        <v>110</v>
      </c>
      <c r="K306" s="649" t="s">
        <v>111</v>
      </c>
      <c r="L306" s="222">
        <v>0.4</v>
      </c>
      <c r="M306" s="827"/>
      <c r="N306" s="827" t="s">
        <v>773</v>
      </c>
      <c r="O306" s="827"/>
      <c r="P306" s="218">
        <v>1</v>
      </c>
      <c r="Q306" s="1039">
        <v>0.05</v>
      </c>
      <c r="R306" s="218"/>
      <c r="S306" s="216">
        <f t="shared" si="10"/>
        <v>0</v>
      </c>
      <c r="T306" s="217">
        <f t="shared" si="9"/>
        <v>0</v>
      </c>
      <c r="U306" s="216" t="s">
        <v>34</v>
      </c>
      <c r="V306" s="799"/>
      <c r="W306" s="199"/>
    </row>
    <row r="307" spans="1:23" ht="20.55" customHeight="1" x14ac:dyDescent="0.4">
      <c r="A307" s="788">
        <v>306</v>
      </c>
      <c r="B307" s="199" t="s">
        <v>2399</v>
      </c>
      <c r="C307" s="199" t="s">
        <v>24</v>
      </c>
      <c r="D307" s="68">
        <v>2033</v>
      </c>
      <c r="E307" s="199" t="s">
        <v>2603</v>
      </c>
      <c r="F307" s="199" t="s">
        <v>755</v>
      </c>
      <c r="G307" s="199">
        <v>2467</v>
      </c>
      <c r="H307" s="199" t="s">
        <v>2507</v>
      </c>
      <c r="I307" s="199" t="s">
        <v>729</v>
      </c>
      <c r="J307" s="649" t="s">
        <v>110</v>
      </c>
      <c r="K307" s="649" t="s">
        <v>111</v>
      </c>
      <c r="L307" s="222">
        <v>0.4</v>
      </c>
      <c r="M307" s="827"/>
      <c r="N307" s="827" t="s">
        <v>774</v>
      </c>
      <c r="O307" s="827"/>
      <c r="P307" s="218">
        <v>1</v>
      </c>
      <c r="Q307" s="1039">
        <v>0.05</v>
      </c>
      <c r="R307" s="218"/>
      <c r="S307" s="216">
        <f t="shared" si="10"/>
        <v>0</v>
      </c>
      <c r="T307" s="217">
        <f t="shared" si="9"/>
        <v>0</v>
      </c>
      <c r="U307" s="216" t="s">
        <v>34</v>
      </c>
      <c r="V307" s="799"/>
      <c r="W307" s="199"/>
    </row>
    <row r="308" spans="1:23" ht="20.55" customHeight="1" x14ac:dyDescent="0.4">
      <c r="A308" s="788">
        <v>307</v>
      </c>
      <c r="B308" s="199" t="s">
        <v>2399</v>
      </c>
      <c r="C308" s="199" t="s">
        <v>24</v>
      </c>
      <c r="D308" s="68">
        <v>2033</v>
      </c>
      <c r="E308" s="199" t="s">
        <v>2603</v>
      </c>
      <c r="F308" s="199" t="s">
        <v>755</v>
      </c>
      <c r="G308" s="199">
        <v>2467</v>
      </c>
      <c r="H308" s="199" t="s">
        <v>2507</v>
      </c>
      <c r="I308" s="199" t="s">
        <v>729</v>
      </c>
      <c r="J308" s="649" t="s">
        <v>110</v>
      </c>
      <c r="K308" s="649" t="s">
        <v>111</v>
      </c>
      <c r="L308" s="222">
        <v>0.4</v>
      </c>
      <c r="M308" s="827"/>
      <c r="N308" s="827" t="s">
        <v>775</v>
      </c>
      <c r="O308" s="827"/>
      <c r="P308" s="218">
        <v>1</v>
      </c>
      <c r="Q308" s="1039">
        <v>0.05</v>
      </c>
      <c r="R308" s="218"/>
      <c r="S308" s="216">
        <f t="shared" si="10"/>
        <v>0</v>
      </c>
      <c r="T308" s="217">
        <f t="shared" si="9"/>
        <v>0</v>
      </c>
      <c r="U308" s="216" t="s">
        <v>34</v>
      </c>
      <c r="V308" s="799"/>
      <c r="W308" s="199"/>
    </row>
    <row r="309" spans="1:23" ht="20.55" customHeight="1" x14ac:dyDescent="0.4">
      <c r="A309" s="788">
        <v>308</v>
      </c>
      <c r="B309" s="199" t="s">
        <v>2399</v>
      </c>
      <c r="C309" s="199" t="s">
        <v>24</v>
      </c>
      <c r="D309" s="68">
        <v>2033</v>
      </c>
      <c r="E309" s="199" t="s">
        <v>2603</v>
      </c>
      <c r="F309" s="199" t="s">
        <v>755</v>
      </c>
      <c r="G309" s="199">
        <v>2467</v>
      </c>
      <c r="H309" s="199" t="s">
        <v>2507</v>
      </c>
      <c r="I309" s="199" t="s">
        <v>729</v>
      </c>
      <c r="J309" s="649" t="s">
        <v>110</v>
      </c>
      <c r="K309" s="649" t="s">
        <v>111</v>
      </c>
      <c r="L309" s="222">
        <v>0.4</v>
      </c>
      <c r="M309" s="827"/>
      <c r="N309" s="827" t="s">
        <v>776</v>
      </c>
      <c r="O309" s="827"/>
      <c r="P309" s="218">
        <v>1</v>
      </c>
      <c r="Q309" s="1039">
        <v>0.1</v>
      </c>
      <c r="R309" s="218"/>
      <c r="S309" s="216">
        <f t="shared" si="10"/>
        <v>0</v>
      </c>
      <c r="T309" s="217">
        <f t="shared" si="9"/>
        <v>0</v>
      </c>
      <c r="U309" s="216" t="s">
        <v>34</v>
      </c>
      <c r="V309" s="799"/>
      <c r="W309" s="199"/>
    </row>
    <row r="310" spans="1:23" ht="20.55" customHeight="1" x14ac:dyDescent="0.4">
      <c r="A310" s="788">
        <v>309</v>
      </c>
      <c r="B310" s="199" t="s">
        <v>2399</v>
      </c>
      <c r="C310" s="199" t="s">
        <v>24</v>
      </c>
      <c r="D310" s="68">
        <v>2033</v>
      </c>
      <c r="E310" s="199" t="s">
        <v>2603</v>
      </c>
      <c r="F310" s="199" t="s">
        <v>755</v>
      </c>
      <c r="G310" s="199">
        <v>2467</v>
      </c>
      <c r="H310" s="199" t="s">
        <v>2507</v>
      </c>
      <c r="I310" s="199" t="s">
        <v>729</v>
      </c>
      <c r="J310" s="649" t="s">
        <v>110</v>
      </c>
      <c r="K310" s="649" t="s">
        <v>111</v>
      </c>
      <c r="L310" s="222">
        <v>0.4</v>
      </c>
      <c r="M310" s="827"/>
      <c r="N310" s="827" t="s">
        <v>251</v>
      </c>
      <c r="O310" s="827"/>
      <c r="P310" s="218">
        <v>1</v>
      </c>
      <c r="Q310" s="1039">
        <v>0.05</v>
      </c>
      <c r="R310" s="218"/>
      <c r="S310" s="216">
        <f t="shared" si="10"/>
        <v>0</v>
      </c>
      <c r="T310" s="217">
        <f t="shared" si="9"/>
        <v>0</v>
      </c>
      <c r="U310" s="216" t="s">
        <v>34</v>
      </c>
      <c r="V310" s="799"/>
      <c r="W310" s="199"/>
    </row>
    <row r="311" spans="1:23" ht="20.55" customHeight="1" x14ac:dyDescent="0.4">
      <c r="A311" s="788">
        <v>310</v>
      </c>
      <c r="B311" s="199" t="s">
        <v>2399</v>
      </c>
      <c r="C311" s="199" t="s">
        <v>24</v>
      </c>
      <c r="D311" s="68">
        <v>2033</v>
      </c>
      <c r="E311" s="199" t="s">
        <v>2603</v>
      </c>
      <c r="F311" s="199" t="s">
        <v>755</v>
      </c>
      <c r="G311" s="199">
        <v>2467</v>
      </c>
      <c r="H311" s="199" t="s">
        <v>2507</v>
      </c>
      <c r="I311" s="199" t="s">
        <v>729</v>
      </c>
      <c r="J311" s="649" t="s">
        <v>110</v>
      </c>
      <c r="K311" s="649" t="s">
        <v>111</v>
      </c>
      <c r="L311" s="222">
        <v>0.4</v>
      </c>
      <c r="M311" s="827"/>
      <c r="N311" s="827" t="s">
        <v>252</v>
      </c>
      <c r="O311" s="827"/>
      <c r="P311" s="218">
        <v>1</v>
      </c>
      <c r="Q311" s="1039">
        <v>0.05</v>
      </c>
      <c r="R311" s="218"/>
      <c r="S311" s="216">
        <f t="shared" si="10"/>
        <v>0</v>
      </c>
      <c r="T311" s="217">
        <f t="shared" si="9"/>
        <v>0</v>
      </c>
      <c r="U311" s="216" t="s">
        <v>34</v>
      </c>
      <c r="V311" s="799"/>
      <c r="W311" s="199"/>
    </row>
    <row r="312" spans="1:23" ht="20.55" customHeight="1" x14ac:dyDescent="0.4">
      <c r="A312" s="788">
        <v>311</v>
      </c>
      <c r="B312" s="199" t="s">
        <v>2399</v>
      </c>
      <c r="C312" s="199" t="s">
        <v>24</v>
      </c>
      <c r="D312" s="68">
        <v>2033</v>
      </c>
      <c r="E312" s="199" t="s">
        <v>2603</v>
      </c>
      <c r="F312" s="199" t="s">
        <v>755</v>
      </c>
      <c r="G312" s="199">
        <v>2467</v>
      </c>
      <c r="H312" s="199" t="s">
        <v>2507</v>
      </c>
      <c r="I312" s="199" t="s">
        <v>729</v>
      </c>
      <c r="J312" s="649" t="s">
        <v>110</v>
      </c>
      <c r="K312" s="649" t="s">
        <v>111</v>
      </c>
      <c r="L312" s="222">
        <v>0.4</v>
      </c>
      <c r="M312" s="827"/>
      <c r="N312" s="827" t="s">
        <v>777</v>
      </c>
      <c r="O312" s="827"/>
      <c r="P312" s="218">
        <v>1</v>
      </c>
      <c r="Q312" s="1039">
        <v>0.05</v>
      </c>
      <c r="R312" s="218"/>
      <c r="S312" s="216">
        <f t="shared" si="10"/>
        <v>0</v>
      </c>
      <c r="T312" s="217">
        <f t="shared" si="9"/>
        <v>0</v>
      </c>
      <c r="U312" s="216" t="s">
        <v>34</v>
      </c>
      <c r="V312" s="799"/>
      <c r="W312" s="199"/>
    </row>
    <row r="313" spans="1:23" ht="20.55" customHeight="1" x14ac:dyDescent="0.4">
      <c r="A313" s="788">
        <v>312</v>
      </c>
      <c r="B313" s="199" t="s">
        <v>2399</v>
      </c>
      <c r="C313" s="199" t="s">
        <v>24</v>
      </c>
      <c r="D313" s="68">
        <v>2033</v>
      </c>
      <c r="E313" s="199" t="s">
        <v>2603</v>
      </c>
      <c r="F313" s="199" t="s">
        <v>755</v>
      </c>
      <c r="G313" s="199">
        <v>2467</v>
      </c>
      <c r="H313" s="199" t="s">
        <v>2507</v>
      </c>
      <c r="I313" s="199" t="s">
        <v>729</v>
      </c>
      <c r="J313" s="649" t="s">
        <v>110</v>
      </c>
      <c r="K313" s="649" t="s">
        <v>111</v>
      </c>
      <c r="L313" s="222">
        <v>0.4</v>
      </c>
      <c r="M313" s="827"/>
      <c r="N313" s="827" t="s">
        <v>253</v>
      </c>
      <c r="O313" s="827"/>
      <c r="P313" s="218">
        <v>1</v>
      </c>
      <c r="Q313" s="1039">
        <v>0.05</v>
      </c>
      <c r="R313" s="218"/>
      <c r="S313" s="216">
        <f t="shared" si="10"/>
        <v>0</v>
      </c>
      <c r="T313" s="217">
        <f t="shared" si="9"/>
        <v>0</v>
      </c>
      <c r="U313" s="216" t="s">
        <v>34</v>
      </c>
      <c r="V313" s="799"/>
      <c r="W313" s="199"/>
    </row>
    <row r="314" spans="1:23" ht="20.55" customHeight="1" x14ac:dyDescent="0.4">
      <c r="A314" s="788">
        <v>313</v>
      </c>
      <c r="B314" s="236" t="s">
        <v>2399</v>
      </c>
      <c r="C314" s="236" t="s">
        <v>24</v>
      </c>
      <c r="D314" s="100">
        <v>2467</v>
      </c>
      <c r="E314" s="236" t="s">
        <v>2507</v>
      </c>
      <c r="F314" s="236" t="s">
        <v>2614</v>
      </c>
      <c r="G314" s="243">
        <v>2000</v>
      </c>
      <c r="H314" s="236" t="s">
        <v>2615</v>
      </c>
      <c r="I314" s="236" t="s">
        <v>729</v>
      </c>
      <c r="J314" s="243" t="s">
        <v>2035</v>
      </c>
      <c r="K314" s="243" t="s">
        <v>58</v>
      </c>
      <c r="L314" s="855">
        <v>0.4</v>
      </c>
      <c r="M314" s="952"/>
      <c r="N314" s="952" t="s">
        <v>2383</v>
      </c>
      <c r="O314" s="952"/>
      <c r="P314" s="966">
        <v>1</v>
      </c>
      <c r="Q314" s="354">
        <v>0.15</v>
      </c>
      <c r="R314" s="966"/>
      <c r="S314" s="855">
        <f t="shared" si="10"/>
        <v>0</v>
      </c>
      <c r="T314" s="854">
        <f t="shared" si="9"/>
        <v>0</v>
      </c>
      <c r="U314" s="855" t="s">
        <v>34</v>
      </c>
      <c r="V314" s="1951">
        <f>SUM(T314:T343)%</f>
        <v>0</v>
      </c>
      <c r="W314" s="236"/>
    </row>
    <row r="315" spans="1:23" ht="20.55" customHeight="1" x14ac:dyDescent="0.4">
      <c r="A315" s="788">
        <v>314</v>
      </c>
      <c r="B315" s="199" t="s">
        <v>2399</v>
      </c>
      <c r="C315" s="199" t="s">
        <v>24</v>
      </c>
      <c r="D315" s="68">
        <v>2467</v>
      </c>
      <c r="E315" s="199" t="s">
        <v>2507</v>
      </c>
      <c r="F315" s="199" t="s">
        <v>2614</v>
      </c>
      <c r="G315" s="649">
        <v>2000</v>
      </c>
      <c r="H315" s="199" t="s">
        <v>2615</v>
      </c>
      <c r="I315" s="199" t="s">
        <v>729</v>
      </c>
      <c r="J315" s="79" t="s">
        <v>2035</v>
      </c>
      <c r="K315" s="79" t="s">
        <v>58</v>
      </c>
      <c r="L315" s="206">
        <v>0.4</v>
      </c>
      <c r="M315" s="757"/>
      <c r="N315" s="757" t="s">
        <v>840</v>
      </c>
      <c r="O315" s="757"/>
      <c r="P315" s="935">
        <v>1</v>
      </c>
      <c r="Q315" s="1038">
        <v>0.05</v>
      </c>
      <c r="R315" s="935"/>
      <c r="S315" s="206">
        <f t="shared" si="10"/>
        <v>0</v>
      </c>
      <c r="T315" s="207">
        <f t="shared" si="9"/>
        <v>0</v>
      </c>
      <c r="U315" s="206" t="s">
        <v>34</v>
      </c>
      <c r="V315" s="799"/>
      <c r="W315" s="199"/>
    </row>
    <row r="316" spans="1:23" ht="20.55" customHeight="1" x14ac:dyDescent="0.4">
      <c r="A316" s="788">
        <v>315</v>
      </c>
      <c r="B316" s="199" t="s">
        <v>2399</v>
      </c>
      <c r="C316" s="199" t="s">
        <v>24</v>
      </c>
      <c r="D316" s="68">
        <v>2467</v>
      </c>
      <c r="E316" s="199" t="s">
        <v>2507</v>
      </c>
      <c r="F316" s="199" t="s">
        <v>2614</v>
      </c>
      <c r="G316" s="199">
        <v>2000</v>
      </c>
      <c r="H316" s="199" t="s">
        <v>2615</v>
      </c>
      <c r="I316" s="199" t="s">
        <v>729</v>
      </c>
      <c r="J316" s="79" t="s">
        <v>2035</v>
      </c>
      <c r="K316" s="79" t="s">
        <v>58</v>
      </c>
      <c r="L316" s="206">
        <v>0.4</v>
      </c>
      <c r="M316" s="757"/>
      <c r="N316" s="757" t="s">
        <v>841</v>
      </c>
      <c r="O316" s="757"/>
      <c r="P316" s="935">
        <v>1</v>
      </c>
      <c r="Q316" s="1038">
        <v>0.05</v>
      </c>
      <c r="R316" s="935"/>
      <c r="S316" s="206">
        <f t="shared" si="10"/>
        <v>0</v>
      </c>
      <c r="T316" s="207">
        <f t="shared" si="9"/>
        <v>0</v>
      </c>
      <c r="U316" s="206" t="s">
        <v>34</v>
      </c>
      <c r="V316" s="799"/>
      <c r="W316" s="199"/>
    </row>
    <row r="317" spans="1:23" ht="20.55" customHeight="1" x14ac:dyDescent="0.4">
      <c r="A317" s="788">
        <v>316</v>
      </c>
      <c r="B317" s="199" t="s">
        <v>2399</v>
      </c>
      <c r="C317" s="199" t="s">
        <v>24</v>
      </c>
      <c r="D317" s="68">
        <v>2467</v>
      </c>
      <c r="E317" s="199" t="s">
        <v>2507</v>
      </c>
      <c r="F317" s="199" t="s">
        <v>2614</v>
      </c>
      <c r="G317" s="199">
        <v>2000</v>
      </c>
      <c r="H317" s="199" t="s">
        <v>2615</v>
      </c>
      <c r="I317" s="199" t="s">
        <v>729</v>
      </c>
      <c r="J317" s="79" t="s">
        <v>2035</v>
      </c>
      <c r="K317" s="79" t="s">
        <v>58</v>
      </c>
      <c r="L317" s="206">
        <v>0.4</v>
      </c>
      <c r="M317" s="757"/>
      <c r="N317" s="757" t="s">
        <v>842</v>
      </c>
      <c r="O317" s="757"/>
      <c r="P317" s="935">
        <v>1</v>
      </c>
      <c r="Q317" s="1038">
        <v>0.05</v>
      </c>
      <c r="R317" s="935"/>
      <c r="S317" s="206">
        <f t="shared" si="10"/>
        <v>0</v>
      </c>
      <c r="T317" s="207">
        <f t="shared" si="9"/>
        <v>0</v>
      </c>
      <c r="U317" s="206" t="s">
        <v>34</v>
      </c>
      <c r="V317" s="799"/>
      <c r="W317" s="199"/>
    </row>
    <row r="318" spans="1:23" ht="20.55" customHeight="1" x14ac:dyDescent="0.4">
      <c r="A318" s="788">
        <v>317</v>
      </c>
      <c r="B318" s="199" t="s">
        <v>2399</v>
      </c>
      <c r="C318" s="199" t="s">
        <v>24</v>
      </c>
      <c r="D318" s="68">
        <v>2467</v>
      </c>
      <c r="E318" s="199" t="s">
        <v>2507</v>
      </c>
      <c r="F318" s="199" t="s">
        <v>2614</v>
      </c>
      <c r="G318" s="199">
        <v>2000</v>
      </c>
      <c r="H318" s="199" t="s">
        <v>2615</v>
      </c>
      <c r="I318" s="199" t="s">
        <v>729</v>
      </c>
      <c r="J318" s="79" t="s">
        <v>2035</v>
      </c>
      <c r="K318" s="79" t="s">
        <v>58</v>
      </c>
      <c r="L318" s="206">
        <v>0.4</v>
      </c>
      <c r="M318" s="757"/>
      <c r="N318" s="757" t="s">
        <v>1324</v>
      </c>
      <c r="O318" s="757"/>
      <c r="P318" s="935">
        <v>1</v>
      </c>
      <c r="Q318" s="1038">
        <v>0.1</v>
      </c>
      <c r="R318" s="935"/>
      <c r="S318" s="206">
        <f t="shared" si="10"/>
        <v>0</v>
      </c>
      <c r="T318" s="207">
        <f t="shared" si="9"/>
        <v>0</v>
      </c>
      <c r="U318" s="206" t="s">
        <v>34</v>
      </c>
      <c r="V318" s="799"/>
      <c r="W318" s="199"/>
    </row>
    <row r="319" spans="1:23" ht="20.55" customHeight="1" x14ac:dyDescent="0.4">
      <c r="A319" s="788">
        <v>318</v>
      </c>
      <c r="B319" s="199" t="s">
        <v>2399</v>
      </c>
      <c r="C319" s="199" t="s">
        <v>24</v>
      </c>
      <c r="D319" s="68">
        <v>2467</v>
      </c>
      <c r="E319" s="199" t="s">
        <v>2507</v>
      </c>
      <c r="F319" s="199" t="s">
        <v>2614</v>
      </c>
      <c r="G319" s="199">
        <v>2000</v>
      </c>
      <c r="H319" s="199" t="s">
        <v>2615</v>
      </c>
      <c r="I319" s="199" t="s">
        <v>729</v>
      </c>
      <c r="J319" s="79" t="s">
        <v>2035</v>
      </c>
      <c r="K319" s="79" t="s">
        <v>58</v>
      </c>
      <c r="L319" s="206">
        <v>0.4</v>
      </c>
      <c r="M319" s="757"/>
      <c r="N319" s="757" t="s">
        <v>844</v>
      </c>
      <c r="O319" s="757"/>
      <c r="P319" s="935">
        <v>1</v>
      </c>
      <c r="Q319" s="1038">
        <v>0.05</v>
      </c>
      <c r="R319" s="935"/>
      <c r="S319" s="206">
        <f t="shared" si="10"/>
        <v>0</v>
      </c>
      <c r="T319" s="207">
        <f t="shared" si="9"/>
        <v>0</v>
      </c>
      <c r="U319" s="206" t="s">
        <v>34</v>
      </c>
      <c r="V319" s="799"/>
      <c r="W319" s="199"/>
    </row>
    <row r="320" spans="1:23" ht="20.55" customHeight="1" x14ac:dyDescent="0.4">
      <c r="A320" s="788">
        <v>319</v>
      </c>
      <c r="B320" s="199" t="s">
        <v>2399</v>
      </c>
      <c r="C320" s="199" t="s">
        <v>24</v>
      </c>
      <c r="D320" s="68">
        <v>2467</v>
      </c>
      <c r="E320" s="199" t="s">
        <v>2507</v>
      </c>
      <c r="F320" s="199" t="s">
        <v>2614</v>
      </c>
      <c r="G320" s="199">
        <v>2000</v>
      </c>
      <c r="H320" s="199" t="s">
        <v>2615</v>
      </c>
      <c r="I320" s="199" t="s">
        <v>729</v>
      </c>
      <c r="J320" s="79" t="s">
        <v>2035</v>
      </c>
      <c r="K320" s="79" t="s">
        <v>58</v>
      </c>
      <c r="L320" s="206">
        <v>0.4</v>
      </c>
      <c r="M320" s="757"/>
      <c r="N320" s="757" t="s">
        <v>2384</v>
      </c>
      <c r="O320" s="757"/>
      <c r="P320" s="935">
        <v>1</v>
      </c>
      <c r="Q320" s="1038">
        <v>0.05</v>
      </c>
      <c r="R320" s="935"/>
      <c r="S320" s="206">
        <f t="shared" si="10"/>
        <v>0</v>
      </c>
      <c r="T320" s="207">
        <f t="shared" si="9"/>
        <v>0</v>
      </c>
      <c r="U320" s="206" t="s">
        <v>34</v>
      </c>
      <c r="V320" s="799"/>
      <c r="W320" s="199"/>
    </row>
    <row r="321" spans="1:23" ht="20.55" customHeight="1" x14ac:dyDescent="0.4">
      <c r="A321" s="788">
        <v>320</v>
      </c>
      <c r="B321" s="199" t="s">
        <v>2399</v>
      </c>
      <c r="C321" s="199" t="s">
        <v>24</v>
      </c>
      <c r="D321" s="68">
        <v>2467</v>
      </c>
      <c r="E321" s="199" t="s">
        <v>2507</v>
      </c>
      <c r="F321" s="199" t="s">
        <v>2614</v>
      </c>
      <c r="G321" s="199">
        <v>2000</v>
      </c>
      <c r="H321" s="199" t="s">
        <v>2615</v>
      </c>
      <c r="I321" s="199" t="s">
        <v>729</v>
      </c>
      <c r="J321" s="79" t="s">
        <v>2035</v>
      </c>
      <c r="K321" s="79" t="s">
        <v>58</v>
      </c>
      <c r="L321" s="206">
        <v>0.4</v>
      </c>
      <c r="M321" s="757"/>
      <c r="N321" s="757" t="s">
        <v>2385</v>
      </c>
      <c r="O321" s="757"/>
      <c r="P321" s="935">
        <v>1</v>
      </c>
      <c r="Q321" s="1038">
        <v>0.1</v>
      </c>
      <c r="R321" s="935"/>
      <c r="S321" s="206">
        <f t="shared" si="10"/>
        <v>0</v>
      </c>
      <c r="T321" s="207">
        <f t="shared" si="9"/>
        <v>0</v>
      </c>
      <c r="U321" s="206" t="s">
        <v>34</v>
      </c>
      <c r="V321" s="799"/>
      <c r="W321" s="199"/>
    </row>
    <row r="322" spans="1:23" ht="20.55" customHeight="1" x14ac:dyDescent="0.4">
      <c r="A322" s="788">
        <v>321</v>
      </c>
      <c r="B322" s="199" t="s">
        <v>2399</v>
      </c>
      <c r="C322" s="199" t="s">
        <v>24</v>
      </c>
      <c r="D322" s="68">
        <v>2467</v>
      </c>
      <c r="E322" s="199" t="s">
        <v>2507</v>
      </c>
      <c r="F322" s="199" t="s">
        <v>2614</v>
      </c>
      <c r="G322" s="199">
        <v>2000</v>
      </c>
      <c r="H322" s="199" t="s">
        <v>2615</v>
      </c>
      <c r="I322" s="199" t="s">
        <v>729</v>
      </c>
      <c r="J322" s="79" t="s">
        <v>2035</v>
      </c>
      <c r="K322" s="79" t="s">
        <v>58</v>
      </c>
      <c r="L322" s="206">
        <v>0.4</v>
      </c>
      <c r="M322" s="757"/>
      <c r="N322" s="757" t="s">
        <v>2386</v>
      </c>
      <c r="O322" s="757"/>
      <c r="P322" s="935">
        <v>1</v>
      </c>
      <c r="Q322" s="1038">
        <v>0.05</v>
      </c>
      <c r="R322" s="935"/>
      <c r="S322" s="206">
        <f t="shared" si="10"/>
        <v>0</v>
      </c>
      <c r="T322" s="207">
        <f t="shared" ref="T322:T343" si="11">IF(AND(S322&gt;=60%,S322&lt;100%),S322*((Q322*L322)),IF(S322=100%,((Q322*L322)*S322)*100%,IF(S322&gt;100%,((L322*Q322)*100%)*100%,0)))*100</f>
        <v>0</v>
      </c>
      <c r="U322" s="206" t="s">
        <v>34</v>
      </c>
      <c r="V322" s="799"/>
      <c r="W322" s="199"/>
    </row>
    <row r="323" spans="1:23" ht="20.55" customHeight="1" x14ac:dyDescent="0.4">
      <c r="A323" s="788">
        <v>322</v>
      </c>
      <c r="B323" s="199" t="s">
        <v>2399</v>
      </c>
      <c r="C323" s="199" t="s">
        <v>24</v>
      </c>
      <c r="D323" s="68">
        <v>2467</v>
      </c>
      <c r="E323" s="199" t="s">
        <v>2507</v>
      </c>
      <c r="F323" s="199" t="s">
        <v>2614</v>
      </c>
      <c r="G323" s="199">
        <v>2000</v>
      </c>
      <c r="H323" s="199" t="s">
        <v>2615</v>
      </c>
      <c r="I323" s="199" t="s">
        <v>729</v>
      </c>
      <c r="J323" s="79" t="s">
        <v>2035</v>
      </c>
      <c r="K323" s="79" t="s">
        <v>58</v>
      </c>
      <c r="L323" s="206">
        <v>0.4</v>
      </c>
      <c r="M323" s="757"/>
      <c r="N323" s="757" t="s">
        <v>1328</v>
      </c>
      <c r="O323" s="757"/>
      <c r="P323" s="935">
        <v>1</v>
      </c>
      <c r="Q323" s="1038">
        <v>0.1</v>
      </c>
      <c r="R323" s="935"/>
      <c r="S323" s="206">
        <f t="shared" si="10"/>
        <v>0</v>
      </c>
      <c r="T323" s="207">
        <f t="shared" si="11"/>
        <v>0</v>
      </c>
      <c r="U323" s="206" t="s">
        <v>34</v>
      </c>
      <c r="V323" s="799"/>
      <c r="W323" s="199"/>
    </row>
    <row r="324" spans="1:23" ht="20.55" customHeight="1" x14ac:dyDescent="0.4">
      <c r="A324" s="788">
        <v>323</v>
      </c>
      <c r="B324" s="199" t="s">
        <v>2399</v>
      </c>
      <c r="C324" s="199" t="s">
        <v>24</v>
      </c>
      <c r="D324" s="68">
        <v>2467</v>
      </c>
      <c r="E324" s="199" t="s">
        <v>2507</v>
      </c>
      <c r="F324" s="199" t="s">
        <v>2614</v>
      </c>
      <c r="G324" s="199">
        <v>2000</v>
      </c>
      <c r="H324" s="199" t="s">
        <v>2615</v>
      </c>
      <c r="I324" s="199" t="s">
        <v>729</v>
      </c>
      <c r="J324" s="79" t="s">
        <v>2035</v>
      </c>
      <c r="K324" s="79" t="s">
        <v>58</v>
      </c>
      <c r="L324" s="206">
        <v>0.4</v>
      </c>
      <c r="M324" s="757"/>
      <c r="N324" s="757" t="s">
        <v>2387</v>
      </c>
      <c r="O324" s="757"/>
      <c r="P324" s="935">
        <v>1</v>
      </c>
      <c r="Q324" s="1038">
        <v>0.05</v>
      </c>
      <c r="R324" s="935"/>
      <c r="S324" s="206">
        <f t="shared" si="10"/>
        <v>0</v>
      </c>
      <c r="T324" s="207">
        <f t="shared" si="11"/>
        <v>0</v>
      </c>
      <c r="U324" s="206" t="s">
        <v>34</v>
      </c>
      <c r="V324" s="799"/>
      <c r="W324" s="199"/>
    </row>
    <row r="325" spans="1:23" ht="20.55" customHeight="1" x14ac:dyDescent="0.4">
      <c r="A325" s="788">
        <v>324</v>
      </c>
      <c r="B325" s="199" t="s">
        <v>2399</v>
      </c>
      <c r="C325" s="199" t="s">
        <v>24</v>
      </c>
      <c r="D325" s="68">
        <v>2467</v>
      </c>
      <c r="E325" s="199" t="s">
        <v>2507</v>
      </c>
      <c r="F325" s="199" t="s">
        <v>2614</v>
      </c>
      <c r="G325" s="199">
        <v>2000</v>
      </c>
      <c r="H325" s="199" t="s">
        <v>2615</v>
      </c>
      <c r="I325" s="199" t="s">
        <v>729</v>
      </c>
      <c r="J325" s="79" t="s">
        <v>2035</v>
      </c>
      <c r="K325" s="79" t="s">
        <v>58</v>
      </c>
      <c r="L325" s="206">
        <v>0.4</v>
      </c>
      <c r="M325" s="757"/>
      <c r="N325" s="757" t="s">
        <v>1326</v>
      </c>
      <c r="O325" s="757"/>
      <c r="P325" s="935">
        <v>1</v>
      </c>
      <c r="Q325" s="1038">
        <v>0.05</v>
      </c>
      <c r="R325" s="935"/>
      <c r="S325" s="206">
        <f t="shared" si="10"/>
        <v>0</v>
      </c>
      <c r="T325" s="207">
        <f t="shared" si="11"/>
        <v>0</v>
      </c>
      <c r="U325" s="206" t="s">
        <v>34</v>
      </c>
      <c r="V325" s="799"/>
      <c r="W325" s="199"/>
    </row>
    <row r="326" spans="1:23" ht="20.55" customHeight="1" x14ac:dyDescent="0.4">
      <c r="A326" s="788">
        <v>325</v>
      </c>
      <c r="B326" s="199" t="s">
        <v>2399</v>
      </c>
      <c r="C326" s="199" t="s">
        <v>24</v>
      </c>
      <c r="D326" s="68">
        <v>2467</v>
      </c>
      <c r="E326" s="199" t="s">
        <v>2507</v>
      </c>
      <c r="F326" s="199" t="s">
        <v>2614</v>
      </c>
      <c r="G326" s="199">
        <v>2000</v>
      </c>
      <c r="H326" s="199" t="s">
        <v>2615</v>
      </c>
      <c r="I326" s="199" t="s">
        <v>729</v>
      </c>
      <c r="J326" s="79" t="s">
        <v>2035</v>
      </c>
      <c r="K326" s="79" t="s">
        <v>58</v>
      </c>
      <c r="L326" s="206">
        <v>0.4</v>
      </c>
      <c r="M326" s="757"/>
      <c r="N326" s="757" t="s">
        <v>2388</v>
      </c>
      <c r="O326" s="757"/>
      <c r="P326" s="935">
        <v>1</v>
      </c>
      <c r="Q326" s="1038">
        <v>0.05</v>
      </c>
      <c r="R326" s="935"/>
      <c r="S326" s="206">
        <f t="shared" si="10"/>
        <v>0</v>
      </c>
      <c r="T326" s="207">
        <f t="shared" si="11"/>
        <v>0</v>
      </c>
      <c r="U326" s="206" t="s">
        <v>34</v>
      </c>
      <c r="V326" s="799"/>
      <c r="W326" s="199"/>
    </row>
    <row r="327" spans="1:23" ht="20.55" customHeight="1" x14ac:dyDescent="0.4">
      <c r="A327" s="788">
        <v>326</v>
      </c>
      <c r="B327" s="199" t="s">
        <v>2399</v>
      </c>
      <c r="C327" s="199" t="s">
        <v>24</v>
      </c>
      <c r="D327" s="68">
        <v>2467</v>
      </c>
      <c r="E327" s="199" t="s">
        <v>2507</v>
      </c>
      <c r="F327" s="199" t="s">
        <v>2614</v>
      </c>
      <c r="G327" s="199">
        <v>2000</v>
      </c>
      <c r="H327" s="199" t="s">
        <v>2615</v>
      </c>
      <c r="I327" s="199" t="s">
        <v>729</v>
      </c>
      <c r="J327" s="79" t="s">
        <v>2035</v>
      </c>
      <c r="K327" s="79" t="s">
        <v>58</v>
      </c>
      <c r="L327" s="206">
        <v>0.4</v>
      </c>
      <c r="M327" s="757"/>
      <c r="N327" s="757" t="s">
        <v>2389</v>
      </c>
      <c r="O327" s="757"/>
      <c r="P327" s="935">
        <v>1</v>
      </c>
      <c r="Q327" s="1038">
        <v>0.05</v>
      </c>
      <c r="R327" s="935"/>
      <c r="S327" s="206">
        <f t="shared" si="10"/>
        <v>0</v>
      </c>
      <c r="T327" s="207">
        <f t="shared" si="11"/>
        <v>0</v>
      </c>
      <c r="U327" s="206" t="s">
        <v>34</v>
      </c>
      <c r="V327" s="799"/>
      <c r="W327" s="199"/>
    </row>
    <row r="328" spans="1:23" ht="20.55" customHeight="1" x14ac:dyDescent="0.4">
      <c r="A328" s="788">
        <v>327</v>
      </c>
      <c r="B328" s="199" t="s">
        <v>2399</v>
      </c>
      <c r="C328" s="199" t="s">
        <v>24</v>
      </c>
      <c r="D328" s="68">
        <v>2467</v>
      </c>
      <c r="E328" s="199" t="s">
        <v>2507</v>
      </c>
      <c r="F328" s="199" t="s">
        <v>2614</v>
      </c>
      <c r="G328" s="199">
        <v>2000</v>
      </c>
      <c r="H328" s="199" t="s">
        <v>2615</v>
      </c>
      <c r="I328" s="199" t="s">
        <v>729</v>
      </c>
      <c r="J328" s="79" t="s">
        <v>2035</v>
      </c>
      <c r="K328" s="79" t="s">
        <v>58</v>
      </c>
      <c r="L328" s="206">
        <v>0.4</v>
      </c>
      <c r="M328" s="757"/>
      <c r="N328" s="757" t="s">
        <v>1325</v>
      </c>
      <c r="O328" s="757"/>
      <c r="P328" s="935">
        <v>1</v>
      </c>
      <c r="Q328" s="1038">
        <v>0.05</v>
      </c>
      <c r="R328" s="935"/>
      <c r="S328" s="206">
        <f t="shared" si="10"/>
        <v>0</v>
      </c>
      <c r="T328" s="207">
        <f t="shared" si="11"/>
        <v>0</v>
      </c>
      <c r="U328" s="206" t="s">
        <v>34</v>
      </c>
      <c r="V328" s="799"/>
      <c r="W328" s="199"/>
    </row>
    <row r="329" spans="1:23" ht="20.55" customHeight="1" x14ac:dyDescent="0.4">
      <c r="A329" s="788">
        <v>328</v>
      </c>
      <c r="B329" s="199" t="s">
        <v>2399</v>
      </c>
      <c r="C329" s="199" t="s">
        <v>24</v>
      </c>
      <c r="D329" s="68">
        <v>2467</v>
      </c>
      <c r="E329" s="199" t="s">
        <v>2507</v>
      </c>
      <c r="F329" s="199" t="s">
        <v>2614</v>
      </c>
      <c r="G329" s="199">
        <v>2000</v>
      </c>
      <c r="H329" s="199" t="s">
        <v>2615</v>
      </c>
      <c r="I329" s="199" t="s">
        <v>729</v>
      </c>
      <c r="J329" s="210" t="s">
        <v>110</v>
      </c>
      <c r="K329" s="210" t="s">
        <v>111</v>
      </c>
      <c r="L329" s="650">
        <v>0.6</v>
      </c>
      <c r="M329" s="767"/>
      <c r="N329" s="767" t="s">
        <v>851</v>
      </c>
      <c r="O329" s="767"/>
      <c r="P329" s="967">
        <v>1</v>
      </c>
      <c r="Q329" s="1040">
        <v>0.1</v>
      </c>
      <c r="R329" s="967"/>
      <c r="S329" s="650">
        <f t="shared" si="10"/>
        <v>0</v>
      </c>
      <c r="T329" s="701">
        <f t="shared" si="11"/>
        <v>0</v>
      </c>
      <c r="U329" s="650" t="s">
        <v>34</v>
      </c>
      <c r="V329" s="799"/>
      <c r="W329" s="199"/>
    </row>
    <row r="330" spans="1:23" ht="20.55" customHeight="1" x14ac:dyDescent="0.4">
      <c r="A330" s="788">
        <v>329</v>
      </c>
      <c r="B330" s="199" t="s">
        <v>2399</v>
      </c>
      <c r="C330" s="199" t="s">
        <v>24</v>
      </c>
      <c r="D330" s="68">
        <v>2467</v>
      </c>
      <c r="E330" s="199" t="s">
        <v>2507</v>
      </c>
      <c r="F330" s="199" t="s">
        <v>2614</v>
      </c>
      <c r="G330" s="199">
        <v>2000</v>
      </c>
      <c r="H330" s="199" t="s">
        <v>2615</v>
      </c>
      <c r="I330" s="199" t="s">
        <v>729</v>
      </c>
      <c r="J330" s="210" t="s">
        <v>110</v>
      </c>
      <c r="K330" s="210" t="s">
        <v>111</v>
      </c>
      <c r="L330" s="650">
        <v>0.6</v>
      </c>
      <c r="M330" s="767"/>
      <c r="N330" s="767" t="s">
        <v>1331</v>
      </c>
      <c r="O330" s="767"/>
      <c r="P330" s="967">
        <v>1</v>
      </c>
      <c r="Q330" s="1040">
        <v>0.05</v>
      </c>
      <c r="R330" s="967"/>
      <c r="S330" s="650">
        <f t="shared" si="10"/>
        <v>0</v>
      </c>
      <c r="T330" s="701">
        <f t="shared" si="11"/>
        <v>0</v>
      </c>
      <c r="U330" s="650" t="s">
        <v>34</v>
      </c>
      <c r="V330" s="799"/>
      <c r="W330" s="199"/>
    </row>
    <row r="331" spans="1:23" ht="20.55" customHeight="1" x14ac:dyDescent="0.4">
      <c r="A331" s="788">
        <v>330</v>
      </c>
      <c r="B331" s="199" t="s">
        <v>2399</v>
      </c>
      <c r="C331" s="199" t="s">
        <v>24</v>
      </c>
      <c r="D331" s="68">
        <v>2467</v>
      </c>
      <c r="E331" s="199" t="s">
        <v>2507</v>
      </c>
      <c r="F331" s="199" t="s">
        <v>2614</v>
      </c>
      <c r="G331" s="199">
        <v>2000</v>
      </c>
      <c r="H331" s="199" t="s">
        <v>2615</v>
      </c>
      <c r="I331" s="199" t="s">
        <v>729</v>
      </c>
      <c r="J331" s="210" t="s">
        <v>110</v>
      </c>
      <c r="K331" s="210" t="s">
        <v>111</v>
      </c>
      <c r="L331" s="650">
        <v>0.6</v>
      </c>
      <c r="M331" s="879"/>
      <c r="N331" s="879" t="s">
        <v>855</v>
      </c>
      <c r="O331" s="879"/>
      <c r="P331" s="967">
        <v>1</v>
      </c>
      <c r="Q331" s="1040">
        <v>0.05</v>
      </c>
      <c r="R331" s="967"/>
      <c r="S331" s="650">
        <f t="shared" si="10"/>
        <v>0</v>
      </c>
      <c r="T331" s="701">
        <f t="shared" si="11"/>
        <v>0</v>
      </c>
      <c r="U331" s="650" t="s">
        <v>34</v>
      </c>
      <c r="V331" s="799"/>
      <c r="W331" s="199"/>
    </row>
    <row r="332" spans="1:23" ht="20.55" customHeight="1" x14ac:dyDescent="0.4">
      <c r="A332" s="788">
        <v>331</v>
      </c>
      <c r="B332" s="199" t="s">
        <v>2399</v>
      </c>
      <c r="C332" s="199" t="s">
        <v>24</v>
      </c>
      <c r="D332" s="68">
        <v>2467</v>
      </c>
      <c r="E332" s="199" t="s">
        <v>2507</v>
      </c>
      <c r="F332" s="199" t="s">
        <v>2614</v>
      </c>
      <c r="G332" s="199">
        <v>2000</v>
      </c>
      <c r="H332" s="199" t="s">
        <v>2615</v>
      </c>
      <c r="I332" s="199" t="s">
        <v>729</v>
      </c>
      <c r="J332" s="210" t="s">
        <v>110</v>
      </c>
      <c r="K332" s="210" t="s">
        <v>111</v>
      </c>
      <c r="L332" s="650">
        <v>0.6</v>
      </c>
      <c r="M332" s="767"/>
      <c r="N332" s="767" t="s">
        <v>856</v>
      </c>
      <c r="O332" s="767"/>
      <c r="P332" s="967">
        <v>1</v>
      </c>
      <c r="Q332" s="1040">
        <v>0.05</v>
      </c>
      <c r="R332" s="967"/>
      <c r="S332" s="650">
        <f t="shared" si="10"/>
        <v>0</v>
      </c>
      <c r="T332" s="701">
        <f t="shared" si="11"/>
        <v>0</v>
      </c>
      <c r="U332" s="650" t="s">
        <v>34</v>
      </c>
      <c r="V332" s="799"/>
      <c r="W332" s="199"/>
    </row>
    <row r="333" spans="1:23" ht="20.55" customHeight="1" x14ac:dyDescent="0.4">
      <c r="A333" s="788">
        <v>332</v>
      </c>
      <c r="B333" s="199" t="s">
        <v>2399</v>
      </c>
      <c r="C333" s="199" t="s">
        <v>24</v>
      </c>
      <c r="D333" s="68">
        <v>2467</v>
      </c>
      <c r="E333" s="199" t="s">
        <v>2507</v>
      </c>
      <c r="F333" s="199" t="s">
        <v>2614</v>
      </c>
      <c r="G333" s="199">
        <v>2000</v>
      </c>
      <c r="H333" s="199" t="s">
        <v>2615</v>
      </c>
      <c r="I333" s="199" t="s">
        <v>729</v>
      </c>
      <c r="J333" s="210" t="s">
        <v>110</v>
      </c>
      <c r="K333" s="210" t="s">
        <v>111</v>
      </c>
      <c r="L333" s="650">
        <v>0.6</v>
      </c>
      <c r="M333" s="767"/>
      <c r="N333" s="767" t="s">
        <v>1332</v>
      </c>
      <c r="O333" s="767"/>
      <c r="P333" s="967">
        <v>1</v>
      </c>
      <c r="Q333" s="1040">
        <v>0.05</v>
      </c>
      <c r="R333" s="967"/>
      <c r="S333" s="650">
        <f t="shared" si="10"/>
        <v>0</v>
      </c>
      <c r="T333" s="701">
        <f t="shared" si="11"/>
        <v>0</v>
      </c>
      <c r="U333" s="650" t="s">
        <v>34</v>
      </c>
      <c r="V333" s="799"/>
      <c r="W333" s="199"/>
    </row>
    <row r="334" spans="1:23" ht="20.55" customHeight="1" x14ac:dyDescent="0.4">
      <c r="A334" s="788">
        <v>333</v>
      </c>
      <c r="B334" s="199" t="s">
        <v>2399</v>
      </c>
      <c r="C334" s="199" t="s">
        <v>24</v>
      </c>
      <c r="D334" s="68">
        <v>2467</v>
      </c>
      <c r="E334" s="199" t="s">
        <v>2507</v>
      </c>
      <c r="F334" s="199" t="s">
        <v>2614</v>
      </c>
      <c r="G334" s="199">
        <v>2000</v>
      </c>
      <c r="H334" s="199" t="s">
        <v>2615</v>
      </c>
      <c r="I334" s="199" t="s">
        <v>729</v>
      </c>
      <c r="J334" s="210" t="s">
        <v>110</v>
      </c>
      <c r="K334" s="210" t="s">
        <v>111</v>
      </c>
      <c r="L334" s="650">
        <v>0.6</v>
      </c>
      <c r="M334" s="767"/>
      <c r="N334" s="767" t="s">
        <v>853</v>
      </c>
      <c r="O334" s="767"/>
      <c r="P334" s="967">
        <v>1</v>
      </c>
      <c r="Q334" s="1040">
        <v>0.25</v>
      </c>
      <c r="R334" s="967"/>
      <c r="S334" s="650">
        <f t="shared" si="10"/>
        <v>0</v>
      </c>
      <c r="T334" s="701">
        <f t="shared" si="11"/>
        <v>0</v>
      </c>
      <c r="U334" s="650" t="s">
        <v>34</v>
      </c>
      <c r="V334" s="799"/>
      <c r="W334" s="199"/>
    </row>
    <row r="335" spans="1:23" ht="20.55" customHeight="1" x14ac:dyDescent="0.4">
      <c r="A335" s="788">
        <v>334</v>
      </c>
      <c r="B335" s="199" t="s">
        <v>2399</v>
      </c>
      <c r="C335" s="199" t="s">
        <v>24</v>
      </c>
      <c r="D335" s="68">
        <v>2467</v>
      </c>
      <c r="E335" s="199" t="s">
        <v>2507</v>
      </c>
      <c r="F335" s="199" t="s">
        <v>2614</v>
      </c>
      <c r="G335" s="199">
        <v>2000</v>
      </c>
      <c r="H335" s="199" t="s">
        <v>2615</v>
      </c>
      <c r="I335" s="199" t="s">
        <v>729</v>
      </c>
      <c r="J335" s="210" t="s">
        <v>110</v>
      </c>
      <c r="K335" s="210" t="s">
        <v>111</v>
      </c>
      <c r="L335" s="650">
        <v>0.6</v>
      </c>
      <c r="M335" s="767"/>
      <c r="N335" s="767" t="s">
        <v>1333</v>
      </c>
      <c r="O335" s="767"/>
      <c r="P335" s="967">
        <v>1</v>
      </c>
      <c r="Q335" s="1040">
        <v>0.05</v>
      </c>
      <c r="R335" s="967"/>
      <c r="S335" s="650">
        <f t="shared" si="10"/>
        <v>0</v>
      </c>
      <c r="T335" s="701">
        <f t="shared" si="11"/>
        <v>0</v>
      </c>
      <c r="U335" s="650" t="s">
        <v>34</v>
      </c>
      <c r="V335" s="799"/>
      <c r="W335" s="199"/>
    </row>
    <row r="336" spans="1:23" ht="20.55" customHeight="1" x14ac:dyDescent="0.4">
      <c r="A336" s="788">
        <v>335</v>
      </c>
      <c r="B336" s="199" t="s">
        <v>2399</v>
      </c>
      <c r="C336" s="199" t="s">
        <v>24</v>
      </c>
      <c r="D336" s="68">
        <v>2467</v>
      </c>
      <c r="E336" s="199" t="s">
        <v>2507</v>
      </c>
      <c r="F336" s="199" t="s">
        <v>2614</v>
      </c>
      <c r="G336" s="199">
        <v>2000</v>
      </c>
      <c r="H336" s="199" t="s">
        <v>2615</v>
      </c>
      <c r="I336" s="199" t="s">
        <v>729</v>
      </c>
      <c r="J336" s="210" t="s">
        <v>110</v>
      </c>
      <c r="K336" s="210" t="s">
        <v>111</v>
      </c>
      <c r="L336" s="650">
        <v>0.6</v>
      </c>
      <c r="M336" s="767"/>
      <c r="N336" s="767" t="s">
        <v>744</v>
      </c>
      <c r="O336" s="767"/>
      <c r="P336" s="967">
        <v>1</v>
      </c>
      <c r="Q336" s="1040">
        <v>0.05</v>
      </c>
      <c r="R336" s="967"/>
      <c r="S336" s="650">
        <f t="shared" si="10"/>
        <v>0</v>
      </c>
      <c r="T336" s="701">
        <f t="shared" si="11"/>
        <v>0</v>
      </c>
      <c r="U336" s="650" t="s">
        <v>34</v>
      </c>
      <c r="V336" s="799"/>
      <c r="W336" s="199"/>
    </row>
    <row r="337" spans="1:23" ht="20.55" customHeight="1" x14ac:dyDescent="0.4">
      <c r="A337" s="788">
        <v>336</v>
      </c>
      <c r="B337" s="199" t="s">
        <v>2399</v>
      </c>
      <c r="C337" s="199" t="s">
        <v>24</v>
      </c>
      <c r="D337" s="68">
        <v>2467</v>
      </c>
      <c r="E337" s="199" t="s">
        <v>2507</v>
      </c>
      <c r="F337" s="199" t="s">
        <v>2614</v>
      </c>
      <c r="G337" s="199">
        <v>2000</v>
      </c>
      <c r="H337" s="199" t="s">
        <v>2615</v>
      </c>
      <c r="I337" s="199" t="s">
        <v>729</v>
      </c>
      <c r="J337" s="210" t="s">
        <v>110</v>
      </c>
      <c r="K337" s="210" t="s">
        <v>111</v>
      </c>
      <c r="L337" s="650">
        <v>0.6</v>
      </c>
      <c r="M337" s="767"/>
      <c r="N337" s="767" t="s">
        <v>854</v>
      </c>
      <c r="O337" s="767"/>
      <c r="P337" s="967">
        <v>1</v>
      </c>
      <c r="Q337" s="1040">
        <v>0.05</v>
      </c>
      <c r="R337" s="967"/>
      <c r="S337" s="650">
        <f t="shared" si="10"/>
        <v>0</v>
      </c>
      <c r="T337" s="701">
        <f t="shared" si="11"/>
        <v>0</v>
      </c>
      <c r="U337" s="650" t="s">
        <v>34</v>
      </c>
      <c r="V337" s="799"/>
      <c r="W337" s="199"/>
    </row>
    <row r="338" spans="1:23" ht="20.55" customHeight="1" x14ac:dyDescent="0.4">
      <c r="A338" s="788">
        <v>337</v>
      </c>
      <c r="B338" s="199" t="s">
        <v>2399</v>
      </c>
      <c r="C338" s="199" t="s">
        <v>24</v>
      </c>
      <c r="D338" s="68">
        <v>2467</v>
      </c>
      <c r="E338" s="199" t="s">
        <v>2507</v>
      </c>
      <c r="F338" s="199" t="s">
        <v>2614</v>
      </c>
      <c r="G338" s="199">
        <v>2000</v>
      </c>
      <c r="H338" s="199" t="s">
        <v>2615</v>
      </c>
      <c r="I338" s="199" t="s">
        <v>729</v>
      </c>
      <c r="J338" s="210" t="s">
        <v>110</v>
      </c>
      <c r="K338" s="210" t="s">
        <v>111</v>
      </c>
      <c r="L338" s="650">
        <v>0.6</v>
      </c>
      <c r="M338" s="767"/>
      <c r="N338" s="767" t="s">
        <v>852</v>
      </c>
      <c r="O338" s="767"/>
      <c r="P338" s="967">
        <v>1</v>
      </c>
      <c r="Q338" s="1040">
        <v>0.05</v>
      </c>
      <c r="R338" s="967"/>
      <c r="S338" s="650">
        <f t="shared" si="10"/>
        <v>0</v>
      </c>
      <c r="T338" s="701">
        <f t="shared" si="11"/>
        <v>0</v>
      </c>
      <c r="U338" s="650" t="s">
        <v>34</v>
      </c>
      <c r="V338" s="799"/>
      <c r="W338" s="199"/>
    </row>
    <row r="339" spans="1:23" ht="20.55" customHeight="1" x14ac:dyDescent="0.4">
      <c r="A339" s="788">
        <v>338</v>
      </c>
      <c r="B339" s="199" t="s">
        <v>2399</v>
      </c>
      <c r="C339" s="199" t="s">
        <v>24</v>
      </c>
      <c r="D339" s="68">
        <v>2467</v>
      </c>
      <c r="E339" s="199" t="s">
        <v>2507</v>
      </c>
      <c r="F339" s="199" t="s">
        <v>2614</v>
      </c>
      <c r="G339" s="199">
        <v>2000</v>
      </c>
      <c r="H339" s="199" t="s">
        <v>2615</v>
      </c>
      <c r="I339" s="199" t="s">
        <v>729</v>
      </c>
      <c r="J339" s="210" t="s">
        <v>110</v>
      </c>
      <c r="K339" s="210" t="s">
        <v>111</v>
      </c>
      <c r="L339" s="650">
        <v>0.6</v>
      </c>
      <c r="M339" s="767"/>
      <c r="N339" s="767" t="s">
        <v>746</v>
      </c>
      <c r="O339" s="767"/>
      <c r="P339" s="967">
        <v>1</v>
      </c>
      <c r="Q339" s="1040">
        <v>0.05</v>
      </c>
      <c r="R339" s="967"/>
      <c r="S339" s="650">
        <f t="shared" si="10"/>
        <v>0</v>
      </c>
      <c r="T339" s="701">
        <f t="shared" si="11"/>
        <v>0</v>
      </c>
      <c r="U339" s="650" t="s">
        <v>34</v>
      </c>
      <c r="V339" s="799"/>
      <c r="W339" s="199"/>
    </row>
    <row r="340" spans="1:23" ht="20.55" customHeight="1" x14ac:dyDescent="0.4">
      <c r="A340" s="788">
        <v>339</v>
      </c>
      <c r="B340" s="199" t="s">
        <v>2399</v>
      </c>
      <c r="C340" s="199" t="s">
        <v>24</v>
      </c>
      <c r="D340" s="68">
        <v>2467</v>
      </c>
      <c r="E340" s="199" t="s">
        <v>2507</v>
      </c>
      <c r="F340" s="199" t="s">
        <v>2614</v>
      </c>
      <c r="G340" s="199">
        <v>2000</v>
      </c>
      <c r="H340" s="199" t="s">
        <v>2615</v>
      </c>
      <c r="I340" s="199" t="s">
        <v>729</v>
      </c>
      <c r="J340" s="210" t="s">
        <v>110</v>
      </c>
      <c r="K340" s="210" t="s">
        <v>111</v>
      </c>
      <c r="L340" s="650">
        <v>0.6</v>
      </c>
      <c r="M340" s="767"/>
      <c r="N340" s="767" t="s">
        <v>2390</v>
      </c>
      <c r="O340" s="767"/>
      <c r="P340" s="967">
        <v>1</v>
      </c>
      <c r="Q340" s="1040">
        <v>0.05</v>
      </c>
      <c r="R340" s="967"/>
      <c r="S340" s="650">
        <f t="shared" si="10"/>
        <v>0</v>
      </c>
      <c r="T340" s="701">
        <f t="shared" si="11"/>
        <v>0</v>
      </c>
      <c r="U340" s="650" t="s">
        <v>34</v>
      </c>
      <c r="V340" s="799"/>
      <c r="W340" s="199"/>
    </row>
    <row r="341" spans="1:23" ht="20.55" customHeight="1" x14ac:dyDescent="0.4">
      <c r="A341" s="788">
        <v>340</v>
      </c>
      <c r="B341" s="199" t="s">
        <v>2399</v>
      </c>
      <c r="C341" s="199" t="s">
        <v>24</v>
      </c>
      <c r="D341" s="68">
        <v>2467</v>
      </c>
      <c r="E341" s="199" t="s">
        <v>2507</v>
      </c>
      <c r="F341" s="199" t="s">
        <v>2614</v>
      </c>
      <c r="G341" s="199">
        <v>2000</v>
      </c>
      <c r="H341" s="199" t="s">
        <v>2615</v>
      </c>
      <c r="I341" s="199" t="s">
        <v>729</v>
      </c>
      <c r="J341" s="210" t="s">
        <v>110</v>
      </c>
      <c r="K341" s="210" t="s">
        <v>111</v>
      </c>
      <c r="L341" s="650">
        <v>0.6</v>
      </c>
      <c r="M341" s="767"/>
      <c r="N341" s="767" t="s">
        <v>1301</v>
      </c>
      <c r="O341" s="767"/>
      <c r="P341" s="967">
        <v>1</v>
      </c>
      <c r="Q341" s="1040">
        <v>0.05</v>
      </c>
      <c r="R341" s="967"/>
      <c r="S341" s="650">
        <f t="shared" si="10"/>
        <v>0</v>
      </c>
      <c r="T341" s="701">
        <f t="shared" si="11"/>
        <v>0</v>
      </c>
      <c r="U341" s="650" t="s">
        <v>34</v>
      </c>
      <c r="V341" s="799"/>
      <c r="W341" s="199"/>
    </row>
    <row r="342" spans="1:23" ht="20.55" customHeight="1" x14ac:dyDescent="0.4">
      <c r="A342" s="788">
        <v>341</v>
      </c>
      <c r="B342" s="199" t="s">
        <v>2399</v>
      </c>
      <c r="C342" s="199" t="s">
        <v>24</v>
      </c>
      <c r="D342" s="68">
        <v>2467</v>
      </c>
      <c r="E342" s="199" t="s">
        <v>2507</v>
      </c>
      <c r="F342" s="199" t="s">
        <v>2614</v>
      </c>
      <c r="G342" s="199">
        <v>2000</v>
      </c>
      <c r="H342" s="199" t="s">
        <v>2615</v>
      </c>
      <c r="I342" s="199" t="s">
        <v>729</v>
      </c>
      <c r="J342" s="210" t="s">
        <v>110</v>
      </c>
      <c r="K342" s="210" t="s">
        <v>111</v>
      </c>
      <c r="L342" s="650">
        <v>0.6</v>
      </c>
      <c r="M342" s="767"/>
      <c r="N342" s="767" t="s">
        <v>1336</v>
      </c>
      <c r="O342" s="767"/>
      <c r="P342" s="967">
        <v>1</v>
      </c>
      <c r="Q342" s="1040">
        <v>0.05</v>
      </c>
      <c r="R342" s="967"/>
      <c r="S342" s="650">
        <f t="shared" si="10"/>
        <v>0</v>
      </c>
      <c r="T342" s="701">
        <f t="shared" si="11"/>
        <v>0</v>
      </c>
      <c r="U342" s="650" t="s">
        <v>34</v>
      </c>
      <c r="V342" s="799"/>
      <c r="W342" s="199"/>
    </row>
    <row r="343" spans="1:23" ht="20.55" customHeight="1" x14ac:dyDescent="0.4">
      <c r="A343" s="788">
        <v>342</v>
      </c>
      <c r="B343" s="199" t="s">
        <v>2399</v>
      </c>
      <c r="C343" s="199" t="s">
        <v>24</v>
      </c>
      <c r="D343" s="68">
        <v>2467</v>
      </c>
      <c r="E343" s="199" t="s">
        <v>2507</v>
      </c>
      <c r="F343" s="199" t="s">
        <v>2614</v>
      </c>
      <c r="G343" s="199">
        <v>2000</v>
      </c>
      <c r="H343" s="199" t="s">
        <v>2615</v>
      </c>
      <c r="I343" s="199" t="s">
        <v>729</v>
      </c>
      <c r="J343" s="210" t="s">
        <v>110</v>
      </c>
      <c r="K343" s="210" t="s">
        <v>111</v>
      </c>
      <c r="L343" s="650">
        <v>0.6</v>
      </c>
      <c r="M343" s="767"/>
      <c r="N343" s="767" t="s">
        <v>753</v>
      </c>
      <c r="O343" s="767"/>
      <c r="P343" s="967">
        <v>1</v>
      </c>
      <c r="Q343" s="1040">
        <v>0.05</v>
      </c>
      <c r="R343" s="967"/>
      <c r="S343" s="650">
        <f t="shared" si="10"/>
        <v>0</v>
      </c>
      <c r="T343" s="701">
        <f t="shared" si="11"/>
        <v>0</v>
      </c>
      <c r="U343" s="650" t="s">
        <v>34</v>
      </c>
      <c r="V343" s="799"/>
      <c r="W343" s="199"/>
    </row>
  </sheetData>
  <autoFilter ref="A1:W343" xr:uid="{00000000-0001-0000-0000-000000000000}"/>
  <conditionalFormatting sqref="A2:A343">
    <cfRule type="dataBar" priority="16">
      <dataBar>
        <cfvo type="min"/>
        <cfvo type="max"/>
        <color rgb="FF638EC6"/>
      </dataBar>
      <extLst>
        <ext xmlns:x14="http://schemas.microsoft.com/office/spreadsheetml/2009/9/main" uri="{B025F937-C7B1-47D3-B67F-A62EFF666E3E}">
          <x14:id>{557BE5D4-D838-4CBA-A28A-14A196983E0F}</x14:id>
        </ext>
      </extLst>
    </cfRule>
  </conditionalFormatting>
  <conditionalFormatting sqref="J1">
    <cfRule type="containsText" dxfId="41" priority="14" operator="containsText" text="maintasks">
      <formula>NOT(ISERROR(SEARCH("maintasks",J1)))</formula>
    </cfRule>
  </conditionalFormatting>
  <conditionalFormatting sqref="J62:J65">
    <cfRule type="containsText" dxfId="40" priority="1" operator="containsText" text="MainTasks">
      <formula>NOT(ISERROR(SEARCH("MainTasks",J62)))</formula>
    </cfRule>
  </conditionalFormatting>
  <conditionalFormatting sqref="J66:J1048576 J1:J2 J4:J56 I31:I65">
    <cfRule type="containsText" dxfId="39" priority="13" operator="containsText" text="MainTasks">
      <formula>NOT(ISERROR(SEARCH("MainTasks",I1)))</formula>
    </cfRule>
  </conditionalFormatting>
  <conditionalFormatting sqref="J7:K30 K1 M1:O1 N7:O22 M23:O23 M29:O30">
    <cfRule type="cellIs" dxfId="38" priority="15" operator="equal">
      <formula>"maintasks"</formula>
    </cfRule>
  </conditionalFormatting>
  <conditionalFormatting sqref="K2:K6 N2:O6">
    <cfRule type="cellIs" dxfId="37" priority="4" operator="equal">
      <formula>"maintasks"</formula>
    </cfRule>
  </conditionalFormatting>
  <conditionalFormatting sqref="K204:K212 J213:K227 J240:K254">
    <cfRule type="cellIs" dxfId="36" priority="12" operator="equal">
      <formula>"maintasks"</formula>
    </cfRule>
  </conditionalFormatting>
  <conditionalFormatting sqref="K255:K313">
    <cfRule type="cellIs" dxfId="35" priority="8" operator="equal">
      <formula>"maintasks"</formula>
    </cfRule>
  </conditionalFormatting>
  <conditionalFormatting sqref="M2:M22 N24:O24 M24:M28 O25:O27 N28:O28">
    <cfRule type="cellIs" dxfId="34" priority="3" operator="equal">
      <formula>"maintasks"</formula>
    </cfRule>
  </conditionalFormatting>
  <conditionalFormatting sqref="M204:O227">
    <cfRule type="cellIs" dxfId="33" priority="6" operator="equal">
      <formula>"maintasks"</formula>
    </cfRule>
  </conditionalFormatting>
  <conditionalFormatting sqref="M240:O285">
    <cfRule type="cellIs" dxfId="32" priority="5" operator="equal">
      <formula>"maintasks"</formula>
    </cfRule>
  </conditionalFormatting>
  <conditionalFormatting sqref="N25">
    <cfRule type="cellIs" dxfId="31" priority="2" operator="equal">
      <formula>"maintasks"</formula>
    </cfRule>
  </conditionalFormatting>
  <conditionalFormatting sqref="V204">
    <cfRule type="cellIs" dxfId="30" priority="11" operator="equal">
      <formula>"maintasks"</formula>
    </cfRule>
  </conditionalFormatting>
  <conditionalFormatting sqref="V228">
    <cfRule type="cellIs" dxfId="29" priority="10" operator="equal">
      <formula>"maintasks"</formula>
    </cfRule>
  </conditionalFormatting>
  <conditionalFormatting sqref="V255">
    <cfRule type="cellIs" dxfId="28" priority="9" operator="equal">
      <formula>"maintasks"</formula>
    </cfRule>
  </conditionalFormatting>
  <conditionalFormatting sqref="V286">
    <cfRule type="cellIs" dxfId="27" priority="7" operator="equal">
      <formula>"maintasks"</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557BE5D4-D838-4CBA-A28A-14A196983E0F}">
            <x14:dataBar minLength="0" maxLength="100" border="1" negativeBarBorderColorSameAsPositive="0">
              <x14:cfvo type="autoMin"/>
              <x14:cfvo type="autoMax"/>
              <x14:borderColor rgb="FF638EC6"/>
              <x14:negativeFillColor rgb="FFFF0000"/>
              <x14:negativeBorderColor rgb="FFFF0000"/>
              <x14:axisColor rgb="FF000000"/>
            </x14:dataBar>
          </x14:cfRule>
          <xm:sqref>A2:A343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7942-FF3F-4FA2-8A43-C98780EDF4F4}">
  <sheetPr>
    <tabColor theme="7" tint="0.79998168889431442"/>
  </sheetPr>
  <dimension ref="A1:W2162"/>
  <sheetViews>
    <sheetView zoomScale="47" zoomScaleNormal="47" workbookViewId="0">
      <pane ySplit="1" topLeftCell="A2" activePane="bottomLeft" state="frozen"/>
      <selection pane="bottomLeft"/>
    </sheetView>
  </sheetViews>
  <sheetFormatPr defaultColWidth="8.77734375" defaultRowHeight="22.95" customHeight="1" x14ac:dyDescent="0.4"/>
  <cols>
    <col min="1" max="1" width="8.77734375" style="787"/>
    <col min="2" max="2" width="22.77734375" style="787" customWidth="1"/>
    <col min="3" max="3" width="8.77734375" style="787"/>
    <col min="4" max="4" width="13" style="1515" customWidth="1"/>
    <col min="5" max="5" width="21.6640625" style="787" customWidth="1"/>
    <col min="6" max="6" width="41.109375" style="1940" customWidth="1"/>
    <col min="7" max="7" width="8.77734375" style="1941"/>
    <col min="8" max="8" width="20.88671875" style="787" customWidth="1"/>
    <col min="9" max="9" width="12.21875" style="1942" customWidth="1"/>
    <col min="10" max="10" width="8.77734375" style="1940"/>
    <col min="11" max="11" width="13.77734375" style="1940" customWidth="1"/>
    <col min="12" max="12" width="8.77734375" style="1515"/>
    <col min="13" max="13" width="23.21875" style="787" customWidth="1"/>
    <col min="14" max="14" width="22.5546875" style="787" customWidth="1"/>
    <col min="15" max="15" width="18.109375" style="787" customWidth="1"/>
    <col min="16" max="16" width="16.109375" style="787" customWidth="1"/>
    <col min="17" max="17" width="15.21875" style="1515" customWidth="1"/>
    <col min="18" max="18" width="11.88671875" style="787" customWidth="1"/>
    <col min="19" max="21" width="8.77734375" style="787"/>
    <col min="22" max="22" width="8.77734375" style="1515"/>
    <col min="23" max="16384" width="8.77734375" style="787"/>
  </cols>
  <sheetData>
    <row r="1" spans="1:23" ht="22.95" customHeight="1" x14ac:dyDescent="0.4">
      <c r="A1" s="977" t="s">
        <v>0</v>
      </c>
      <c r="B1" s="977" t="s">
        <v>1</v>
      </c>
      <c r="C1" s="977" t="s">
        <v>2</v>
      </c>
      <c r="D1" s="1943" t="s">
        <v>3</v>
      </c>
      <c r="E1" s="977" t="s">
        <v>4</v>
      </c>
      <c r="F1" s="977" t="s">
        <v>5</v>
      </c>
      <c r="G1" s="1944" t="s">
        <v>917</v>
      </c>
      <c r="H1" s="977" t="s">
        <v>7</v>
      </c>
      <c r="I1" s="977" t="s">
        <v>8</v>
      </c>
      <c r="J1" s="977" t="s">
        <v>10</v>
      </c>
      <c r="K1" s="977" t="s">
        <v>9</v>
      </c>
      <c r="L1" s="1945" t="s">
        <v>918</v>
      </c>
      <c r="M1" s="976" t="s">
        <v>12</v>
      </c>
      <c r="N1" s="976" t="s">
        <v>13</v>
      </c>
      <c r="O1" s="976" t="s">
        <v>14</v>
      </c>
      <c r="P1" s="977" t="s">
        <v>919</v>
      </c>
      <c r="Q1" s="1945" t="s">
        <v>920</v>
      </c>
      <c r="R1" s="1946" t="s">
        <v>17</v>
      </c>
      <c r="S1" s="978" t="s">
        <v>18</v>
      </c>
      <c r="T1" s="1947" t="s">
        <v>19</v>
      </c>
      <c r="U1" s="977" t="s">
        <v>921</v>
      </c>
      <c r="V1" s="1948" t="s">
        <v>922</v>
      </c>
      <c r="W1" s="977" t="s">
        <v>923</v>
      </c>
    </row>
    <row r="2" spans="1:23" ht="22.95" customHeight="1" x14ac:dyDescent="0.4">
      <c r="A2" s="788">
        <v>1</v>
      </c>
      <c r="B2" s="187" t="s">
        <v>2616</v>
      </c>
      <c r="C2" s="187" t="s">
        <v>24</v>
      </c>
      <c r="D2" s="1048">
        <v>6014</v>
      </c>
      <c r="E2" s="1049" t="s">
        <v>2617</v>
      </c>
      <c r="F2" s="1050" t="s">
        <v>2618</v>
      </c>
      <c r="G2" s="1051">
        <v>3192</v>
      </c>
      <c r="H2" s="1049" t="s">
        <v>2619</v>
      </c>
      <c r="I2" s="1049" t="s">
        <v>175</v>
      </c>
      <c r="J2" s="1049" t="s">
        <v>30</v>
      </c>
      <c r="K2" s="653" t="s">
        <v>29</v>
      </c>
      <c r="L2" s="1052">
        <v>0.6</v>
      </c>
      <c r="M2" s="748" t="s">
        <v>2620</v>
      </c>
      <c r="N2" s="749" t="s">
        <v>2621</v>
      </c>
      <c r="O2" s="1053"/>
      <c r="P2" s="1053">
        <v>1856910.8756204764</v>
      </c>
      <c r="Q2" s="1054">
        <v>0.15</v>
      </c>
      <c r="R2" s="1053"/>
      <c r="S2" s="855">
        <f t="shared" ref="S2:S65" si="0">ROUND(IF(OR(P2="",R2=""),0,IF(AND(P2=0,R2=0),1,IF(U2="+",R2/P2,P2/R2))),2)</f>
        <v>0</v>
      </c>
      <c r="T2" s="854">
        <f t="shared" ref="T2:T65" si="1">IF(AND(S2&gt;=60%,S2&lt;100%),S2*((Q2*L2)),IF(S2=100%,((Q2*L2)*S2)*100%,IF(S2&gt;100%,((L2*Q2)*100%)*100%,0)))*100</f>
        <v>0</v>
      </c>
      <c r="U2" s="966" t="s">
        <v>34</v>
      </c>
      <c r="V2" s="1055">
        <f>SUM(T2:T34)%</f>
        <v>0</v>
      </c>
      <c r="W2" s="1049"/>
    </row>
    <row r="3" spans="1:23" ht="22.95" customHeight="1" x14ac:dyDescent="0.4">
      <c r="A3" s="788">
        <v>2</v>
      </c>
      <c r="B3" s="246" t="s">
        <v>2616</v>
      </c>
      <c r="C3" s="246" t="s">
        <v>24</v>
      </c>
      <c r="D3" s="1056">
        <v>6014</v>
      </c>
      <c r="E3" s="1057" t="s">
        <v>2617</v>
      </c>
      <c r="F3" s="1057" t="s">
        <v>2618</v>
      </c>
      <c r="G3" s="1058">
        <v>3192</v>
      </c>
      <c r="H3" s="1057" t="s">
        <v>2619</v>
      </c>
      <c r="I3" s="1057" t="s">
        <v>175</v>
      </c>
      <c r="J3" s="1057" t="s">
        <v>30</v>
      </c>
      <c r="K3" s="648" t="s">
        <v>29</v>
      </c>
      <c r="L3" s="1059">
        <v>0.6</v>
      </c>
      <c r="M3" s="1060" t="s">
        <v>2622</v>
      </c>
      <c r="N3" s="1061" t="s">
        <v>2623</v>
      </c>
      <c r="O3" s="1062"/>
      <c r="P3" s="1062">
        <v>621419.69473720191</v>
      </c>
      <c r="Q3" s="1063">
        <v>0.1</v>
      </c>
      <c r="R3" s="1062"/>
      <c r="S3" s="215">
        <f t="shared" si="0"/>
        <v>0</v>
      </c>
      <c r="T3" s="223">
        <f t="shared" si="1"/>
        <v>0</v>
      </c>
      <c r="U3" s="708" t="s">
        <v>34</v>
      </c>
      <c r="V3" s="1064"/>
      <c r="W3" s="1057"/>
    </row>
    <row r="4" spans="1:23" ht="22.95" customHeight="1" x14ac:dyDescent="0.4">
      <c r="A4" s="788">
        <v>3</v>
      </c>
      <c r="B4" s="246" t="s">
        <v>2616</v>
      </c>
      <c r="C4" s="246" t="s">
        <v>24</v>
      </c>
      <c r="D4" s="1056">
        <v>6014</v>
      </c>
      <c r="E4" s="1057" t="s">
        <v>2617</v>
      </c>
      <c r="F4" s="1057" t="s">
        <v>2618</v>
      </c>
      <c r="G4" s="1058">
        <v>3192</v>
      </c>
      <c r="H4" s="1057" t="s">
        <v>2619</v>
      </c>
      <c r="I4" s="1057" t="s">
        <v>175</v>
      </c>
      <c r="J4" s="1057" t="s">
        <v>30</v>
      </c>
      <c r="K4" s="648" t="s">
        <v>29</v>
      </c>
      <c r="L4" s="1059">
        <v>0.6</v>
      </c>
      <c r="M4" s="1060" t="s">
        <v>2624</v>
      </c>
      <c r="N4" s="1061" t="s">
        <v>2625</v>
      </c>
      <c r="O4" s="1062"/>
      <c r="P4" s="1062">
        <v>789737.85000000009</v>
      </c>
      <c r="Q4" s="1063">
        <v>0.1</v>
      </c>
      <c r="R4" s="1062"/>
      <c r="S4" s="215">
        <f t="shared" si="0"/>
        <v>0</v>
      </c>
      <c r="T4" s="223">
        <f t="shared" si="1"/>
        <v>0</v>
      </c>
      <c r="U4" s="708" t="s">
        <v>34</v>
      </c>
      <c r="V4" s="1064"/>
      <c r="W4" s="1057"/>
    </row>
    <row r="5" spans="1:23" ht="22.95" customHeight="1" x14ac:dyDescent="0.4">
      <c r="A5" s="788">
        <v>4</v>
      </c>
      <c r="B5" s="246" t="s">
        <v>2616</v>
      </c>
      <c r="C5" s="246" t="s">
        <v>24</v>
      </c>
      <c r="D5" s="1056">
        <v>6014</v>
      </c>
      <c r="E5" s="1057" t="s">
        <v>2617</v>
      </c>
      <c r="F5" s="1057" t="s">
        <v>2618</v>
      </c>
      <c r="G5" s="1058">
        <v>3192</v>
      </c>
      <c r="H5" s="1057" t="s">
        <v>2619</v>
      </c>
      <c r="I5" s="1057" t="s">
        <v>175</v>
      </c>
      <c r="J5" s="1057" t="s">
        <v>30</v>
      </c>
      <c r="K5" s="648" t="s">
        <v>29</v>
      </c>
      <c r="L5" s="1059">
        <v>0.6</v>
      </c>
      <c r="M5" s="1060" t="s">
        <v>2626</v>
      </c>
      <c r="N5" s="1061" t="s">
        <v>2627</v>
      </c>
      <c r="O5" s="1062"/>
      <c r="P5" s="1062">
        <v>1406879.4938896229</v>
      </c>
      <c r="Q5" s="1063">
        <v>0.05</v>
      </c>
      <c r="R5" s="1062"/>
      <c r="S5" s="215">
        <f t="shared" si="0"/>
        <v>0</v>
      </c>
      <c r="T5" s="223">
        <f t="shared" si="1"/>
        <v>0</v>
      </c>
      <c r="U5" s="708" t="s">
        <v>34</v>
      </c>
      <c r="V5" s="1064"/>
      <c r="W5" s="1057"/>
    </row>
    <row r="6" spans="1:23" ht="22.95" customHeight="1" x14ac:dyDescent="0.4">
      <c r="A6" s="788">
        <v>5</v>
      </c>
      <c r="B6" s="246" t="s">
        <v>2616</v>
      </c>
      <c r="C6" s="246" t="s">
        <v>24</v>
      </c>
      <c r="D6" s="1056">
        <v>6014</v>
      </c>
      <c r="E6" s="1057" t="s">
        <v>2617</v>
      </c>
      <c r="F6" s="1057" t="s">
        <v>2618</v>
      </c>
      <c r="G6" s="1058">
        <v>3192</v>
      </c>
      <c r="H6" s="1057" t="s">
        <v>2619</v>
      </c>
      <c r="I6" s="1057" t="s">
        <v>175</v>
      </c>
      <c r="J6" s="1057" t="s">
        <v>30</v>
      </c>
      <c r="K6" s="648" t="s">
        <v>29</v>
      </c>
      <c r="L6" s="1059">
        <v>0.6</v>
      </c>
      <c r="M6" s="1060" t="s">
        <v>2628</v>
      </c>
      <c r="N6" s="1061" t="s">
        <v>2629</v>
      </c>
      <c r="O6" s="1062"/>
      <c r="P6" s="1062">
        <v>48608.249727263406</v>
      </c>
      <c r="Q6" s="1063">
        <v>0.01</v>
      </c>
      <c r="R6" s="1062"/>
      <c r="S6" s="215">
        <f t="shared" si="0"/>
        <v>0</v>
      </c>
      <c r="T6" s="223">
        <f t="shared" si="1"/>
        <v>0</v>
      </c>
      <c r="U6" s="708" t="s">
        <v>34</v>
      </c>
      <c r="V6" s="1064"/>
      <c r="W6" s="1057"/>
    </row>
    <row r="7" spans="1:23" ht="22.95" customHeight="1" x14ac:dyDescent="0.4">
      <c r="A7" s="788">
        <v>6</v>
      </c>
      <c r="B7" s="246" t="s">
        <v>2616</v>
      </c>
      <c r="C7" s="246" t="s">
        <v>24</v>
      </c>
      <c r="D7" s="1056">
        <v>6014</v>
      </c>
      <c r="E7" s="1057" t="s">
        <v>2617</v>
      </c>
      <c r="F7" s="1057" t="s">
        <v>2618</v>
      </c>
      <c r="G7" s="1058">
        <v>3192</v>
      </c>
      <c r="H7" s="1057" t="s">
        <v>2619</v>
      </c>
      <c r="I7" s="1057" t="s">
        <v>175</v>
      </c>
      <c r="J7" s="1057" t="s">
        <v>30</v>
      </c>
      <c r="K7" s="648" t="s">
        <v>29</v>
      </c>
      <c r="L7" s="1059">
        <v>0.6</v>
      </c>
      <c r="M7" s="1060" t="s">
        <v>2630</v>
      </c>
      <c r="N7" s="1061" t="s">
        <v>2631</v>
      </c>
      <c r="O7" s="1062"/>
      <c r="P7" s="1062">
        <v>48600000</v>
      </c>
      <c r="Q7" s="1063">
        <v>0.03</v>
      </c>
      <c r="R7" s="1062"/>
      <c r="S7" s="215">
        <f t="shared" si="0"/>
        <v>0</v>
      </c>
      <c r="T7" s="223">
        <f t="shared" si="1"/>
        <v>0</v>
      </c>
      <c r="U7" s="708" t="s">
        <v>34</v>
      </c>
      <c r="V7" s="1064"/>
      <c r="W7" s="1057"/>
    </row>
    <row r="8" spans="1:23" ht="22.95" customHeight="1" x14ac:dyDescent="0.4">
      <c r="A8" s="788">
        <v>7</v>
      </c>
      <c r="B8" s="246" t="s">
        <v>2616</v>
      </c>
      <c r="C8" s="246" t="s">
        <v>24</v>
      </c>
      <c r="D8" s="1056">
        <v>6014</v>
      </c>
      <c r="E8" s="1057" t="s">
        <v>2617</v>
      </c>
      <c r="F8" s="1057" t="s">
        <v>2618</v>
      </c>
      <c r="G8" s="1058">
        <v>3192</v>
      </c>
      <c r="H8" s="1057" t="s">
        <v>2619</v>
      </c>
      <c r="I8" s="1057" t="s">
        <v>175</v>
      </c>
      <c r="J8" s="1057" t="s">
        <v>30</v>
      </c>
      <c r="K8" s="648" t="s">
        <v>29</v>
      </c>
      <c r="L8" s="1059">
        <v>0.6</v>
      </c>
      <c r="M8" s="1060" t="s">
        <v>41</v>
      </c>
      <c r="N8" s="1061" t="s">
        <v>2632</v>
      </c>
      <c r="O8" s="1062"/>
      <c r="P8" s="1062">
        <v>98000</v>
      </c>
      <c r="Q8" s="1063">
        <v>0.01</v>
      </c>
      <c r="R8" s="1062"/>
      <c r="S8" s="215">
        <f t="shared" si="0"/>
        <v>0</v>
      </c>
      <c r="T8" s="223">
        <f t="shared" si="1"/>
        <v>0</v>
      </c>
      <c r="U8" s="708" t="s">
        <v>34</v>
      </c>
      <c r="V8" s="1064"/>
      <c r="W8" s="1057"/>
    </row>
    <row r="9" spans="1:23" ht="22.95" customHeight="1" x14ac:dyDescent="0.4">
      <c r="A9" s="788">
        <v>8</v>
      </c>
      <c r="B9" s="246" t="s">
        <v>2616</v>
      </c>
      <c r="C9" s="246" t="s">
        <v>24</v>
      </c>
      <c r="D9" s="1056">
        <v>6014</v>
      </c>
      <c r="E9" s="1057" t="s">
        <v>2617</v>
      </c>
      <c r="F9" s="1057" t="s">
        <v>2618</v>
      </c>
      <c r="G9" s="1058">
        <v>3192</v>
      </c>
      <c r="H9" s="1057" t="s">
        <v>2619</v>
      </c>
      <c r="I9" s="1057" t="s">
        <v>175</v>
      </c>
      <c r="J9" s="1057" t="s">
        <v>30</v>
      </c>
      <c r="K9" s="648" t="s">
        <v>29</v>
      </c>
      <c r="L9" s="1059">
        <v>0.6</v>
      </c>
      <c r="M9" s="1060" t="s">
        <v>2633</v>
      </c>
      <c r="N9" s="1061" t="s">
        <v>2634</v>
      </c>
      <c r="O9" s="1062"/>
      <c r="P9" s="1062">
        <v>42860.330649873424</v>
      </c>
      <c r="Q9" s="1063">
        <v>0.02</v>
      </c>
      <c r="R9" s="1062"/>
      <c r="S9" s="215">
        <f t="shared" si="0"/>
        <v>0</v>
      </c>
      <c r="T9" s="223">
        <f t="shared" si="1"/>
        <v>0</v>
      </c>
      <c r="U9" s="708" t="s">
        <v>34</v>
      </c>
      <c r="V9" s="1064"/>
      <c r="W9" s="1057"/>
    </row>
    <row r="10" spans="1:23" ht="22.95" customHeight="1" x14ac:dyDescent="0.4">
      <c r="A10" s="788">
        <v>9</v>
      </c>
      <c r="B10" s="246" t="s">
        <v>2616</v>
      </c>
      <c r="C10" s="246" t="s">
        <v>24</v>
      </c>
      <c r="D10" s="1056">
        <v>6014</v>
      </c>
      <c r="E10" s="1057" t="s">
        <v>2617</v>
      </c>
      <c r="F10" s="1057" t="s">
        <v>2618</v>
      </c>
      <c r="G10" s="1058">
        <v>3192</v>
      </c>
      <c r="H10" s="1057" t="s">
        <v>2619</v>
      </c>
      <c r="I10" s="1057" t="s">
        <v>175</v>
      </c>
      <c r="J10" s="1057" t="s">
        <v>30</v>
      </c>
      <c r="K10" s="648" t="s">
        <v>29</v>
      </c>
      <c r="L10" s="1059">
        <v>0.6</v>
      </c>
      <c r="M10" s="1060" t="s">
        <v>2635</v>
      </c>
      <c r="N10" s="1061" t="s">
        <v>2636</v>
      </c>
      <c r="O10" s="1062"/>
      <c r="P10" s="1062">
        <v>1822851.8475738494</v>
      </c>
      <c r="Q10" s="1063">
        <v>0.15</v>
      </c>
      <c r="R10" s="1062"/>
      <c r="S10" s="215">
        <f t="shared" si="0"/>
        <v>0</v>
      </c>
      <c r="T10" s="223">
        <f t="shared" si="1"/>
        <v>0</v>
      </c>
      <c r="U10" s="708" t="s">
        <v>34</v>
      </c>
      <c r="V10" s="1064"/>
      <c r="W10" s="1057"/>
    </row>
    <row r="11" spans="1:23" ht="22.95" customHeight="1" x14ac:dyDescent="0.4">
      <c r="A11" s="788">
        <v>10</v>
      </c>
      <c r="B11" s="246" t="s">
        <v>2616</v>
      </c>
      <c r="C11" s="246" t="s">
        <v>24</v>
      </c>
      <c r="D11" s="1056">
        <v>6014</v>
      </c>
      <c r="E11" s="1057" t="s">
        <v>2617</v>
      </c>
      <c r="F11" s="1057" t="s">
        <v>2618</v>
      </c>
      <c r="G11" s="1058">
        <v>3192</v>
      </c>
      <c r="H11" s="1057" t="s">
        <v>2619</v>
      </c>
      <c r="I11" s="1057" t="s">
        <v>175</v>
      </c>
      <c r="J11" s="1057" t="s">
        <v>30</v>
      </c>
      <c r="K11" s="648" t="s">
        <v>29</v>
      </c>
      <c r="L11" s="1059">
        <v>0.6</v>
      </c>
      <c r="M11" s="1060" t="s">
        <v>2637</v>
      </c>
      <c r="N11" s="1061" t="s">
        <v>2638</v>
      </c>
      <c r="O11" s="1062"/>
      <c r="P11" s="1062">
        <v>632149.86058619968</v>
      </c>
      <c r="Q11" s="1063">
        <v>0.1</v>
      </c>
      <c r="R11" s="1062"/>
      <c r="S11" s="215">
        <f t="shared" si="0"/>
        <v>0</v>
      </c>
      <c r="T11" s="223">
        <f t="shared" si="1"/>
        <v>0</v>
      </c>
      <c r="U11" s="708" t="s">
        <v>34</v>
      </c>
      <c r="V11" s="1064"/>
      <c r="W11" s="1057"/>
    </row>
    <row r="12" spans="1:23" ht="22.95" customHeight="1" x14ac:dyDescent="0.4">
      <c r="A12" s="788">
        <v>11</v>
      </c>
      <c r="B12" s="246" t="s">
        <v>2616</v>
      </c>
      <c r="C12" s="246" t="s">
        <v>24</v>
      </c>
      <c r="D12" s="1056">
        <v>6014</v>
      </c>
      <c r="E12" s="1057" t="s">
        <v>2617</v>
      </c>
      <c r="F12" s="1057" t="s">
        <v>2618</v>
      </c>
      <c r="G12" s="1058">
        <v>3192</v>
      </c>
      <c r="H12" s="1057" t="s">
        <v>2619</v>
      </c>
      <c r="I12" s="1057" t="s">
        <v>175</v>
      </c>
      <c r="J12" s="1057" t="s">
        <v>30</v>
      </c>
      <c r="K12" s="648" t="s">
        <v>29</v>
      </c>
      <c r="L12" s="1059">
        <v>0.6</v>
      </c>
      <c r="M12" s="1060" t="s">
        <v>2639</v>
      </c>
      <c r="N12" s="1061" t="s">
        <v>2640</v>
      </c>
      <c r="O12" s="1062"/>
      <c r="P12" s="1062">
        <v>1582673.167066941</v>
      </c>
      <c r="Q12" s="1063">
        <v>0.05</v>
      </c>
      <c r="R12" s="1062"/>
      <c r="S12" s="215">
        <f t="shared" si="0"/>
        <v>0</v>
      </c>
      <c r="T12" s="223">
        <f t="shared" si="1"/>
        <v>0</v>
      </c>
      <c r="U12" s="708" t="s">
        <v>34</v>
      </c>
      <c r="V12" s="1064"/>
      <c r="W12" s="1057"/>
    </row>
    <row r="13" spans="1:23" ht="22.95" customHeight="1" x14ac:dyDescent="0.4">
      <c r="A13" s="788">
        <v>12</v>
      </c>
      <c r="B13" s="246" t="s">
        <v>2616</v>
      </c>
      <c r="C13" s="246" t="s">
        <v>24</v>
      </c>
      <c r="D13" s="1056">
        <v>6014</v>
      </c>
      <c r="E13" s="1057" t="s">
        <v>2617</v>
      </c>
      <c r="F13" s="1057" t="s">
        <v>2618</v>
      </c>
      <c r="G13" s="1058">
        <v>3192</v>
      </c>
      <c r="H13" s="1057" t="s">
        <v>2619</v>
      </c>
      <c r="I13" s="1057" t="s">
        <v>175</v>
      </c>
      <c r="J13" s="1057" t="s">
        <v>30</v>
      </c>
      <c r="K13" s="648" t="s">
        <v>29</v>
      </c>
      <c r="L13" s="1059">
        <v>0.6</v>
      </c>
      <c r="M13" s="1060" t="s">
        <v>2641</v>
      </c>
      <c r="N13" s="1061" t="s">
        <v>2642</v>
      </c>
      <c r="O13" s="1062"/>
      <c r="P13" s="1062">
        <v>52500</v>
      </c>
      <c r="Q13" s="1063">
        <v>0.01</v>
      </c>
      <c r="R13" s="1062"/>
      <c r="S13" s="215">
        <f t="shared" si="0"/>
        <v>0</v>
      </c>
      <c r="T13" s="223">
        <f t="shared" si="1"/>
        <v>0</v>
      </c>
      <c r="U13" s="708" t="s">
        <v>34</v>
      </c>
      <c r="V13" s="1064"/>
      <c r="W13" s="1057"/>
    </row>
    <row r="14" spans="1:23" ht="22.95" customHeight="1" x14ac:dyDescent="0.4">
      <c r="A14" s="788">
        <v>13</v>
      </c>
      <c r="B14" s="246" t="s">
        <v>2616</v>
      </c>
      <c r="C14" s="246" t="s">
        <v>24</v>
      </c>
      <c r="D14" s="1056">
        <v>6014</v>
      </c>
      <c r="E14" s="1057" t="s">
        <v>2617</v>
      </c>
      <c r="F14" s="1057" t="s">
        <v>2618</v>
      </c>
      <c r="G14" s="1058">
        <v>3192</v>
      </c>
      <c r="H14" s="1057" t="s">
        <v>2619</v>
      </c>
      <c r="I14" s="1057" t="s">
        <v>175</v>
      </c>
      <c r="J14" s="1057" t="s">
        <v>30</v>
      </c>
      <c r="K14" s="648" t="s">
        <v>29</v>
      </c>
      <c r="L14" s="1059">
        <v>0.6</v>
      </c>
      <c r="M14" s="1060" t="s">
        <v>2643</v>
      </c>
      <c r="N14" s="1061" t="s">
        <v>2644</v>
      </c>
      <c r="O14" s="1062"/>
      <c r="P14" s="1062">
        <v>28325616.5089917</v>
      </c>
      <c r="Q14" s="1063">
        <v>0.03</v>
      </c>
      <c r="R14" s="1062"/>
      <c r="S14" s="215">
        <f t="shared" si="0"/>
        <v>0</v>
      </c>
      <c r="T14" s="223">
        <f t="shared" si="1"/>
        <v>0</v>
      </c>
      <c r="U14" s="708" t="s">
        <v>34</v>
      </c>
      <c r="V14" s="1064"/>
      <c r="W14" s="1057"/>
    </row>
    <row r="15" spans="1:23" ht="22.95" customHeight="1" x14ac:dyDescent="0.4">
      <c r="A15" s="788">
        <v>14</v>
      </c>
      <c r="B15" s="246" t="s">
        <v>2616</v>
      </c>
      <c r="C15" s="246" t="s">
        <v>24</v>
      </c>
      <c r="D15" s="1056">
        <v>6014</v>
      </c>
      <c r="E15" s="1057" t="s">
        <v>2617</v>
      </c>
      <c r="F15" s="1057" t="s">
        <v>2618</v>
      </c>
      <c r="G15" s="1058">
        <v>3192</v>
      </c>
      <c r="H15" s="1057" t="s">
        <v>2619</v>
      </c>
      <c r="I15" s="1057" t="s">
        <v>175</v>
      </c>
      <c r="J15" s="1057" t="s">
        <v>30</v>
      </c>
      <c r="K15" s="648" t="s">
        <v>29</v>
      </c>
      <c r="L15" s="1059">
        <v>0.6</v>
      </c>
      <c r="M15" s="1060" t="s">
        <v>51</v>
      </c>
      <c r="N15" s="1061" t="s">
        <v>2645</v>
      </c>
      <c r="O15" s="1062"/>
      <c r="P15" s="1062">
        <v>350000</v>
      </c>
      <c r="Q15" s="1063">
        <v>0.01</v>
      </c>
      <c r="R15" s="1062"/>
      <c r="S15" s="215">
        <f t="shared" si="0"/>
        <v>0</v>
      </c>
      <c r="T15" s="223">
        <f t="shared" si="1"/>
        <v>0</v>
      </c>
      <c r="U15" s="708" t="s">
        <v>34</v>
      </c>
      <c r="V15" s="1064"/>
      <c r="W15" s="1057"/>
    </row>
    <row r="16" spans="1:23" ht="22.95" customHeight="1" x14ac:dyDescent="0.4">
      <c r="A16" s="788">
        <v>15</v>
      </c>
      <c r="B16" s="246" t="s">
        <v>2616</v>
      </c>
      <c r="C16" s="246" t="s">
        <v>24</v>
      </c>
      <c r="D16" s="1056">
        <v>6014</v>
      </c>
      <c r="E16" s="1057" t="s">
        <v>2617</v>
      </c>
      <c r="F16" s="1057" t="s">
        <v>2618</v>
      </c>
      <c r="G16" s="1058">
        <v>3192</v>
      </c>
      <c r="H16" s="1057" t="s">
        <v>2619</v>
      </c>
      <c r="I16" s="1057" t="s">
        <v>175</v>
      </c>
      <c r="J16" s="1057" t="s">
        <v>30</v>
      </c>
      <c r="K16" s="648" t="s">
        <v>29</v>
      </c>
      <c r="L16" s="1059">
        <v>0.6</v>
      </c>
      <c r="M16" s="1060" t="s">
        <v>2646</v>
      </c>
      <c r="N16" s="1061" t="s">
        <v>2647</v>
      </c>
      <c r="O16" s="1062"/>
      <c r="P16" s="1062">
        <v>12008.568758934001</v>
      </c>
      <c r="Q16" s="1063">
        <v>0.01</v>
      </c>
      <c r="R16" s="1062"/>
      <c r="S16" s="215">
        <f t="shared" si="0"/>
        <v>0</v>
      </c>
      <c r="T16" s="223">
        <f t="shared" si="1"/>
        <v>0</v>
      </c>
      <c r="U16" s="708" t="s">
        <v>34</v>
      </c>
      <c r="V16" s="1064"/>
      <c r="W16" s="1057"/>
    </row>
    <row r="17" spans="1:23" ht="22.95" customHeight="1" x14ac:dyDescent="0.4">
      <c r="A17" s="788">
        <v>16</v>
      </c>
      <c r="B17" s="246" t="s">
        <v>2616</v>
      </c>
      <c r="C17" s="246" t="s">
        <v>24</v>
      </c>
      <c r="D17" s="1056">
        <v>6014</v>
      </c>
      <c r="E17" s="1057" t="s">
        <v>2617</v>
      </c>
      <c r="F17" s="1057" t="s">
        <v>2618</v>
      </c>
      <c r="G17" s="1058">
        <v>3192</v>
      </c>
      <c r="H17" s="1057" t="s">
        <v>2619</v>
      </c>
      <c r="I17" s="1057" t="s">
        <v>175</v>
      </c>
      <c r="J17" s="1057" t="s">
        <v>30</v>
      </c>
      <c r="K17" s="648" t="s">
        <v>29</v>
      </c>
      <c r="L17" s="1059">
        <v>0.6</v>
      </c>
      <c r="M17" s="1060" t="s">
        <v>2648</v>
      </c>
      <c r="N17" s="1061" t="s">
        <v>2649</v>
      </c>
      <c r="O17" s="799"/>
      <c r="P17" s="1065">
        <v>0.25021096971668699</v>
      </c>
      <c r="Q17" s="1063">
        <v>0.1</v>
      </c>
      <c r="R17" s="1065"/>
      <c r="S17" s="215">
        <f t="shared" si="0"/>
        <v>0</v>
      </c>
      <c r="T17" s="223">
        <f t="shared" si="1"/>
        <v>0</v>
      </c>
      <c r="U17" s="708" t="s">
        <v>34</v>
      </c>
      <c r="V17" s="1064"/>
      <c r="W17" s="1057"/>
    </row>
    <row r="18" spans="1:23" ht="22.95" customHeight="1" x14ac:dyDescent="0.4">
      <c r="A18" s="788">
        <v>17</v>
      </c>
      <c r="B18" s="246" t="s">
        <v>2616</v>
      </c>
      <c r="C18" s="246" t="s">
        <v>24</v>
      </c>
      <c r="D18" s="1056">
        <v>6014</v>
      </c>
      <c r="E18" s="1057" t="s">
        <v>2617</v>
      </c>
      <c r="F18" s="1057" t="s">
        <v>2618</v>
      </c>
      <c r="G18" s="1058">
        <v>3192</v>
      </c>
      <c r="H18" s="1057" t="s">
        <v>2619</v>
      </c>
      <c r="I18" s="1057" t="s">
        <v>175</v>
      </c>
      <c r="J18" s="1057" t="s">
        <v>30</v>
      </c>
      <c r="K18" s="648" t="s">
        <v>29</v>
      </c>
      <c r="L18" s="1059">
        <v>0.6</v>
      </c>
      <c r="M18" s="1060" t="s">
        <v>2650</v>
      </c>
      <c r="N18" s="1061" t="s">
        <v>2651</v>
      </c>
      <c r="O18" s="799"/>
      <c r="P18" s="1065">
        <v>0.12657225245499898</v>
      </c>
      <c r="Q18" s="1063">
        <v>7.0000000000000007E-2</v>
      </c>
      <c r="R18" s="1065"/>
      <c r="S18" s="215">
        <f t="shared" si="0"/>
        <v>0</v>
      </c>
      <c r="T18" s="223">
        <f t="shared" si="1"/>
        <v>0</v>
      </c>
      <c r="U18" s="708" t="s">
        <v>34</v>
      </c>
      <c r="V18" s="1064"/>
      <c r="W18" s="1057"/>
    </row>
    <row r="19" spans="1:23" ht="22.95" customHeight="1" x14ac:dyDescent="0.4">
      <c r="A19" s="788">
        <v>18</v>
      </c>
      <c r="B19" s="246" t="s">
        <v>2616</v>
      </c>
      <c r="C19" s="246" t="s">
        <v>24</v>
      </c>
      <c r="D19" s="1056">
        <v>6014</v>
      </c>
      <c r="E19" s="1057" t="s">
        <v>2617</v>
      </c>
      <c r="F19" s="1057" t="s">
        <v>2618</v>
      </c>
      <c r="G19" s="1058">
        <v>3192</v>
      </c>
      <c r="H19" s="1057" t="s">
        <v>2619</v>
      </c>
      <c r="I19" s="1057" t="s">
        <v>175</v>
      </c>
      <c r="J19" s="1066" t="s">
        <v>58</v>
      </c>
      <c r="K19" s="653" t="s">
        <v>57</v>
      </c>
      <c r="L19" s="1067">
        <v>0.15</v>
      </c>
      <c r="M19" s="756" t="s">
        <v>2652</v>
      </c>
      <c r="N19" s="858" t="s">
        <v>2653</v>
      </c>
      <c r="O19" s="757" t="s">
        <v>2654</v>
      </c>
      <c r="P19" s="681">
        <v>30000000000</v>
      </c>
      <c r="Q19" s="1067">
        <v>0.05</v>
      </c>
      <c r="R19" s="681"/>
      <c r="S19" s="204">
        <f t="shared" si="0"/>
        <v>0</v>
      </c>
      <c r="T19" s="960">
        <f t="shared" si="1"/>
        <v>0</v>
      </c>
      <c r="U19" s="1068" t="s">
        <v>34</v>
      </c>
      <c r="V19" s="1069"/>
      <c r="W19" s="1057"/>
    </row>
    <row r="20" spans="1:23" ht="22.95" customHeight="1" x14ac:dyDescent="0.4">
      <c r="A20" s="788">
        <v>19</v>
      </c>
      <c r="B20" s="246" t="s">
        <v>2616</v>
      </c>
      <c r="C20" s="246" t="s">
        <v>24</v>
      </c>
      <c r="D20" s="1056">
        <v>6014</v>
      </c>
      <c r="E20" s="1057" t="s">
        <v>2617</v>
      </c>
      <c r="F20" s="1057" t="s">
        <v>2618</v>
      </c>
      <c r="G20" s="1058">
        <v>3192</v>
      </c>
      <c r="H20" s="1057" t="s">
        <v>2619</v>
      </c>
      <c r="I20" s="1057" t="s">
        <v>175</v>
      </c>
      <c r="J20" s="1066" t="s">
        <v>58</v>
      </c>
      <c r="K20" s="79" t="s">
        <v>57</v>
      </c>
      <c r="L20" s="1067">
        <v>0.15</v>
      </c>
      <c r="M20" s="756" t="s">
        <v>2655</v>
      </c>
      <c r="N20" s="858" t="s">
        <v>2656</v>
      </c>
      <c r="O20" s="757" t="s">
        <v>2657</v>
      </c>
      <c r="P20" s="1070">
        <v>4.4999999999999998E-2</v>
      </c>
      <c r="Q20" s="1067">
        <v>0.05</v>
      </c>
      <c r="R20" s="1070"/>
      <c r="S20" s="204">
        <f t="shared" si="0"/>
        <v>0</v>
      </c>
      <c r="T20" s="960">
        <f t="shared" si="1"/>
        <v>0</v>
      </c>
      <c r="U20" s="1068" t="s">
        <v>83</v>
      </c>
      <c r="V20" s="1069"/>
      <c r="W20" s="1057"/>
    </row>
    <row r="21" spans="1:23" ht="22.95" customHeight="1" x14ac:dyDescent="0.4">
      <c r="A21" s="788">
        <v>20</v>
      </c>
      <c r="B21" s="246" t="s">
        <v>2616</v>
      </c>
      <c r="C21" s="246" t="s">
        <v>24</v>
      </c>
      <c r="D21" s="1056">
        <v>6014</v>
      </c>
      <c r="E21" s="1057" t="s">
        <v>2617</v>
      </c>
      <c r="F21" s="1057" t="s">
        <v>2618</v>
      </c>
      <c r="G21" s="1058">
        <v>3192</v>
      </c>
      <c r="H21" s="1057" t="s">
        <v>2619</v>
      </c>
      <c r="I21" s="1057" t="s">
        <v>175</v>
      </c>
      <c r="J21" s="1066" t="s">
        <v>58</v>
      </c>
      <c r="K21" s="653" t="s">
        <v>57</v>
      </c>
      <c r="L21" s="1067">
        <v>0.15</v>
      </c>
      <c r="M21" s="1071" t="s">
        <v>2658</v>
      </c>
      <c r="N21" s="858" t="s">
        <v>2659</v>
      </c>
      <c r="O21" s="757" t="s">
        <v>2660</v>
      </c>
      <c r="P21" s="1070">
        <v>3.5000000000000003E-2</v>
      </c>
      <c r="Q21" s="1067">
        <v>0.05</v>
      </c>
      <c r="R21" s="1070"/>
      <c r="S21" s="204">
        <f t="shared" si="0"/>
        <v>0</v>
      </c>
      <c r="T21" s="960">
        <f t="shared" si="1"/>
        <v>0</v>
      </c>
      <c r="U21" s="1068" t="s">
        <v>83</v>
      </c>
      <c r="V21" s="1069"/>
      <c r="W21" s="1057"/>
    </row>
    <row r="22" spans="1:23" ht="22.95" customHeight="1" x14ac:dyDescent="0.4">
      <c r="A22" s="788">
        <v>21</v>
      </c>
      <c r="B22" s="246" t="s">
        <v>2616</v>
      </c>
      <c r="C22" s="246" t="s">
        <v>24</v>
      </c>
      <c r="D22" s="1056">
        <v>6014</v>
      </c>
      <c r="E22" s="1057" t="s">
        <v>2617</v>
      </c>
      <c r="F22" s="1057" t="s">
        <v>2618</v>
      </c>
      <c r="G22" s="1058">
        <v>3192</v>
      </c>
      <c r="H22" s="1057" t="s">
        <v>2619</v>
      </c>
      <c r="I22" s="1057" t="s">
        <v>175</v>
      </c>
      <c r="J22" s="1066" t="s">
        <v>58</v>
      </c>
      <c r="K22" s="79" t="s">
        <v>57</v>
      </c>
      <c r="L22" s="1067">
        <v>0.15</v>
      </c>
      <c r="M22" s="756" t="s">
        <v>2661</v>
      </c>
      <c r="N22" s="858" t="s">
        <v>2662</v>
      </c>
      <c r="O22" s="757" t="s">
        <v>2663</v>
      </c>
      <c r="P22" s="1070">
        <v>2.5000000000000001E-2</v>
      </c>
      <c r="Q22" s="1067">
        <v>0.05</v>
      </c>
      <c r="R22" s="1070"/>
      <c r="S22" s="204">
        <f t="shared" si="0"/>
        <v>0</v>
      </c>
      <c r="T22" s="960">
        <f t="shared" si="1"/>
        <v>0</v>
      </c>
      <c r="U22" s="1068" t="s">
        <v>83</v>
      </c>
      <c r="V22" s="1069"/>
      <c r="W22" s="1057"/>
    </row>
    <row r="23" spans="1:23" ht="22.95" customHeight="1" x14ac:dyDescent="0.4">
      <c r="A23" s="788">
        <v>22</v>
      </c>
      <c r="B23" s="246" t="s">
        <v>2616</v>
      </c>
      <c r="C23" s="246" t="s">
        <v>24</v>
      </c>
      <c r="D23" s="1056">
        <v>6014</v>
      </c>
      <c r="E23" s="1057" t="s">
        <v>2617</v>
      </c>
      <c r="F23" s="1057" t="s">
        <v>2618</v>
      </c>
      <c r="G23" s="1058">
        <v>3192</v>
      </c>
      <c r="H23" s="1057" t="s">
        <v>2619</v>
      </c>
      <c r="I23" s="1057" t="s">
        <v>175</v>
      </c>
      <c r="J23" s="1066" t="s">
        <v>58</v>
      </c>
      <c r="K23" s="653" t="s">
        <v>57</v>
      </c>
      <c r="L23" s="1067">
        <v>0.15</v>
      </c>
      <c r="M23" s="756" t="s">
        <v>2664</v>
      </c>
      <c r="N23" s="858" t="s">
        <v>177</v>
      </c>
      <c r="O23" s="757"/>
      <c r="P23" s="657">
        <v>0.12</v>
      </c>
      <c r="Q23" s="1067">
        <v>0.1</v>
      </c>
      <c r="R23" s="657"/>
      <c r="S23" s="204">
        <f t="shared" si="0"/>
        <v>0</v>
      </c>
      <c r="T23" s="960">
        <f t="shared" si="1"/>
        <v>0</v>
      </c>
      <c r="U23" s="1068" t="s">
        <v>83</v>
      </c>
      <c r="V23" s="1069"/>
      <c r="W23" s="1057"/>
    </row>
    <row r="24" spans="1:23" ht="22.95" customHeight="1" x14ac:dyDescent="0.4">
      <c r="A24" s="788">
        <v>23</v>
      </c>
      <c r="B24" s="246" t="s">
        <v>2616</v>
      </c>
      <c r="C24" s="246" t="s">
        <v>24</v>
      </c>
      <c r="D24" s="1056">
        <v>6014</v>
      </c>
      <c r="E24" s="1057" t="s">
        <v>2617</v>
      </c>
      <c r="F24" s="1057" t="s">
        <v>2618</v>
      </c>
      <c r="G24" s="1058">
        <v>3192</v>
      </c>
      <c r="H24" s="1057" t="s">
        <v>2619</v>
      </c>
      <c r="I24" s="1057" t="s">
        <v>175</v>
      </c>
      <c r="J24" s="1066" t="s">
        <v>58</v>
      </c>
      <c r="K24" s="79" t="s">
        <v>57</v>
      </c>
      <c r="L24" s="1067">
        <v>0.15</v>
      </c>
      <c r="M24" s="756" t="s">
        <v>2665</v>
      </c>
      <c r="N24" s="858" t="s">
        <v>178</v>
      </c>
      <c r="O24" s="757"/>
      <c r="P24" s="657">
        <v>0.02</v>
      </c>
      <c r="Q24" s="1067">
        <v>0.1</v>
      </c>
      <c r="R24" s="657"/>
      <c r="S24" s="204">
        <f t="shared" si="0"/>
        <v>0</v>
      </c>
      <c r="T24" s="960">
        <f t="shared" si="1"/>
        <v>0</v>
      </c>
      <c r="U24" s="1068" t="s">
        <v>83</v>
      </c>
      <c r="V24" s="1069"/>
      <c r="W24" s="1057"/>
    </row>
    <row r="25" spans="1:23" ht="22.95" customHeight="1" x14ac:dyDescent="0.4">
      <c r="A25" s="788">
        <v>24</v>
      </c>
      <c r="B25" s="246" t="s">
        <v>2616</v>
      </c>
      <c r="C25" s="246" t="s">
        <v>24</v>
      </c>
      <c r="D25" s="1056">
        <v>6014</v>
      </c>
      <c r="E25" s="1057" t="s">
        <v>2617</v>
      </c>
      <c r="F25" s="1057" t="s">
        <v>2618</v>
      </c>
      <c r="G25" s="1058">
        <v>3192</v>
      </c>
      <c r="H25" s="1057" t="s">
        <v>2619</v>
      </c>
      <c r="I25" s="1057" t="s">
        <v>175</v>
      </c>
      <c r="J25" s="1066" t="s">
        <v>58</v>
      </c>
      <c r="K25" s="653" t="s">
        <v>57</v>
      </c>
      <c r="L25" s="1067">
        <v>0.15</v>
      </c>
      <c r="M25" s="756" t="s">
        <v>2666</v>
      </c>
      <c r="N25" s="858" t="s">
        <v>2667</v>
      </c>
      <c r="O25" s="757" t="s">
        <v>2668</v>
      </c>
      <c r="P25" s="1072">
        <v>12</v>
      </c>
      <c r="Q25" s="1067">
        <v>0.2</v>
      </c>
      <c r="R25" s="1072"/>
      <c r="S25" s="204">
        <f t="shared" si="0"/>
        <v>0</v>
      </c>
      <c r="T25" s="960">
        <f t="shared" si="1"/>
        <v>0</v>
      </c>
      <c r="U25" s="1068" t="s">
        <v>34</v>
      </c>
      <c r="V25" s="1069"/>
      <c r="W25" s="1057"/>
    </row>
    <row r="26" spans="1:23" ht="22.95" customHeight="1" x14ac:dyDescent="0.4">
      <c r="A26" s="788">
        <v>25</v>
      </c>
      <c r="B26" s="246" t="s">
        <v>2616</v>
      </c>
      <c r="C26" s="246" t="s">
        <v>24</v>
      </c>
      <c r="D26" s="1056">
        <v>6014</v>
      </c>
      <c r="E26" s="1057" t="s">
        <v>2617</v>
      </c>
      <c r="F26" s="1057" t="s">
        <v>2618</v>
      </c>
      <c r="G26" s="1058">
        <v>3192</v>
      </c>
      <c r="H26" s="1057" t="s">
        <v>2619</v>
      </c>
      <c r="I26" s="1057" t="s">
        <v>175</v>
      </c>
      <c r="J26" s="1066" t="s">
        <v>58</v>
      </c>
      <c r="K26" s="79" t="s">
        <v>57</v>
      </c>
      <c r="L26" s="1067">
        <v>0.15</v>
      </c>
      <c r="M26" s="756" t="s">
        <v>180</v>
      </c>
      <c r="N26" s="858" t="s">
        <v>181</v>
      </c>
      <c r="O26" s="757" t="s">
        <v>2669</v>
      </c>
      <c r="P26" s="1072">
        <v>9</v>
      </c>
      <c r="Q26" s="1067">
        <v>0.05</v>
      </c>
      <c r="R26" s="1072"/>
      <c r="S26" s="204">
        <f t="shared" si="0"/>
        <v>0</v>
      </c>
      <c r="T26" s="960">
        <f t="shared" si="1"/>
        <v>0</v>
      </c>
      <c r="U26" s="1068" t="s">
        <v>34</v>
      </c>
      <c r="V26" s="1069"/>
      <c r="W26" s="1057"/>
    </row>
    <row r="27" spans="1:23" ht="22.95" customHeight="1" x14ac:dyDescent="0.4">
      <c r="A27" s="788">
        <v>26</v>
      </c>
      <c r="B27" s="246" t="s">
        <v>2616</v>
      </c>
      <c r="C27" s="246" t="s">
        <v>24</v>
      </c>
      <c r="D27" s="1056">
        <v>6014</v>
      </c>
      <c r="E27" s="1057" t="s">
        <v>2617</v>
      </c>
      <c r="F27" s="1057" t="s">
        <v>2618</v>
      </c>
      <c r="G27" s="1058">
        <v>3192</v>
      </c>
      <c r="H27" s="1057" t="s">
        <v>2619</v>
      </c>
      <c r="I27" s="1057" t="s">
        <v>175</v>
      </c>
      <c r="J27" s="1066" t="s">
        <v>58</v>
      </c>
      <c r="K27" s="653" t="s">
        <v>57</v>
      </c>
      <c r="L27" s="1067">
        <v>0.15</v>
      </c>
      <c r="M27" s="756" t="s">
        <v>182</v>
      </c>
      <c r="N27" s="858" t="s">
        <v>183</v>
      </c>
      <c r="O27" s="757"/>
      <c r="P27" s="959"/>
      <c r="Q27" s="1067">
        <v>0.05</v>
      </c>
      <c r="R27" s="959"/>
      <c r="S27" s="204">
        <f t="shared" si="0"/>
        <v>0</v>
      </c>
      <c r="T27" s="960">
        <f t="shared" si="1"/>
        <v>0</v>
      </c>
      <c r="U27" s="1068" t="s">
        <v>34</v>
      </c>
      <c r="V27" s="1069"/>
      <c r="W27" s="1057"/>
    </row>
    <row r="28" spans="1:23" ht="22.95" customHeight="1" x14ac:dyDescent="0.4">
      <c r="A28" s="788">
        <v>27</v>
      </c>
      <c r="B28" s="246" t="s">
        <v>2616</v>
      </c>
      <c r="C28" s="246" t="s">
        <v>24</v>
      </c>
      <c r="D28" s="1056">
        <v>6014</v>
      </c>
      <c r="E28" s="1057" t="s">
        <v>2617</v>
      </c>
      <c r="F28" s="1057" t="s">
        <v>2618</v>
      </c>
      <c r="G28" s="1058">
        <v>3192</v>
      </c>
      <c r="H28" s="1057" t="s">
        <v>2619</v>
      </c>
      <c r="I28" s="1057" t="s">
        <v>175</v>
      </c>
      <c r="J28" s="1066" t="s">
        <v>58</v>
      </c>
      <c r="K28" s="79" t="s">
        <v>57</v>
      </c>
      <c r="L28" s="1067">
        <v>0.15</v>
      </c>
      <c r="M28" s="756" t="s">
        <v>185</v>
      </c>
      <c r="N28" s="858" t="s">
        <v>1449</v>
      </c>
      <c r="O28" s="757"/>
      <c r="P28" s="872">
        <v>15</v>
      </c>
      <c r="Q28" s="1067">
        <v>0.1</v>
      </c>
      <c r="R28" s="872"/>
      <c r="S28" s="204">
        <f t="shared" si="0"/>
        <v>0</v>
      </c>
      <c r="T28" s="960">
        <f t="shared" si="1"/>
        <v>0</v>
      </c>
      <c r="U28" s="1068" t="s">
        <v>83</v>
      </c>
      <c r="V28" s="1069"/>
      <c r="W28" s="1057"/>
    </row>
    <row r="29" spans="1:23" ht="22.95" customHeight="1" x14ac:dyDescent="0.4">
      <c r="A29" s="788">
        <v>28</v>
      </c>
      <c r="B29" s="246" t="s">
        <v>2616</v>
      </c>
      <c r="C29" s="246" t="s">
        <v>24</v>
      </c>
      <c r="D29" s="1056">
        <v>6014</v>
      </c>
      <c r="E29" s="1057" t="s">
        <v>2617</v>
      </c>
      <c r="F29" s="1057" t="s">
        <v>2618</v>
      </c>
      <c r="G29" s="1058">
        <v>3192</v>
      </c>
      <c r="H29" s="1057" t="s">
        <v>2619</v>
      </c>
      <c r="I29" s="1057" t="s">
        <v>175</v>
      </c>
      <c r="J29" s="1066" t="s">
        <v>58</v>
      </c>
      <c r="K29" s="653" t="s">
        <v>57</v>
      </c>
      <c r="L29" s="1067">
        <v>0.15</v>
      </c>
      <c r="M29" s="756" t="s">
        <v>188</v>
      </c>
      <c r="N29" s="858" t="s">
        <v>189</v>
      </c>
      <c r="O29" s="757" t="s">
        <v>1451</v>
      </c>
      <c r="P29" s="1068">
        <v>0.1</v>
      </c>
      <c r="Q29" s="1067">
        <v>9.7087378640776711E-2</v>
      </c>
      <c r="R29" s="1068"/>
      <c r="S29" s="204">
        <f t="shared" si="0"/>
        <v>0</v>
      </c>
      <c r="T29" s="960">
        <f t="shared" si="1"/>
        <v>0</v>
      </c>
      <c r="U29" s="1068" t="s">
        <v>83</v>
      </c>
      <c r="V29" s="1069"/>
      <c r="W29" s="1057"/>
    </row>
    <row r="30" spans="1:23" ht="22.95" customHeight="1" x14ac:dyDescent="0.4">
      <c r="A30" s="788">
        <v>29</v>
      </c>
      <c r="B30" s="246" t="s">
        <v>2616</v>
      </c>
      <c r="C30" s="246" t="s">
        <v>24</v>
      </c>
      <c r="D30" s="1056">
        <v>6014</v>
      </c>
      <c r="E30" s="1057" t="s">
        <v>2617</v>
      </c>
      <c r="F30" s="1057" t="s">
        <v>2618</v>
      </c>
      <c r="G30" s="1058">
        <v>3192</v>
      </c>
      <c r="H30" s="1057" t="s">
        <v>2619</v>
      </c>
      <c r="I30" s="1057" t="s">
        <v>175</v>
      </c>
      <c r="J30" s="1066" t="s">
        <v>58</v>
      </c>
      <c r="K30" s="79" t="s">
        <v>57</v>
      </c>
      <c r="L30" s="1067">
        <v>0.15</v>
      </c>
      <c r="M30" s="756" t="s">
        <v>191</v>
      </c>
      <c r="N30" s="858" t="s">
        <v>1452</v>
      </c>
      <c r="O30" s="757"/>
      <c r="P30" s="79">
        <v>3500</v>
      </c>
      <c r="Q30" s="1067">
        <v>0.1</v>
      </c>
      <c r="R30" s="79"/>
      <c r="S30" s="204">
        <f t="shared" si="0"/>
        <v>0</v>
      </c>
      <c r="T30" s="960">
        <f t="shared" si="1"/>
        <v>0</v>
      </c>
      <c r="U30" s="1068" t="s">
        <v>34</v>
      </c>
      <c r="V30" s="1069"/>
      <c r="W30" s="1057"/>
    </row>
    <row r="31" spans="1:23" ht="22.95" customHeight="1" x14ac:dyDescent="0.4">
      <c r="A31" s="788">
        <v>30</v>
      </c>
      <c r="B31" s="246" t="s">
        <v>2616</v>
      </c>
      <c r="C31" s="246" t="s">
        <v>24</v>
      </c>
      <c r="D31" s="1056">
        <v>6014</v>
      </c>
      <c r="E31" s="1057" t="s">
        <v>2617</v>
      </c>
      <c r="F31" s="1057" t="s">
        <v>2618</v>
      </c>
      <c r="G31" s="1058">
        <v>3192</v>
      </c>
      <c r="H31" s="1057" t="s">
        <v>2619</v>
      </c>
      <c r="I31" s="1057" t="s">
        <v>175</v>
      </c>
      <c r="J31" s="1057" t="s">
        <v>111</v>
      </c>
      <c r="K31" s="1073" t="s">
        <v>110</v>
      </c>
      <c r="L31" s="1074">
        <v>0.25</v>
      </c>
      <c r="M31" s="1075" t="s">
        <v>200</v>
      </c>
      <c r="N31" s="1076" t="s">
        <v>1454</v>
      </c>
      <c r="O31" s="799"/>
      <c r="P31" s="1077">
        <v>796</v>
      </c>
      <c r="Q31" s="1078">
        <v>0.5</v>
      </c>
      <c r="R31" s="1077"/>
      <c r="S31" s="1079">
        <f t="shared" si="0"/>
        <v>0</v>
      </c>
      <c r="T31" s="1080">
        <f t="shared" si="1"/>
        <v>0</v>
      </c>
      <c r="U31" s="1081" t="s">
        <v>34</v>
      </c>
      <c r="V31" s="1082"/>
      <c r="W31" s="1057"/>
    </row>
    <row r="32" spans="1:23" ht="22.95" customHeight="1" x14ac:dyDescent="0.4">
      <c r="A32" s="788">
        <v>31</v>
      </c>
      <c r="B32" s="246" t="s">
        <v>2616</v>
      </c>
      <c r="C32" s="246" t="s">
        <v>24</v>
      </c>
      <c r="D32" s="1056">
        <v>6014</v>
      </c>
      <c r="E32" s="1057" t="s">
        <v>2617</v>
      </c>
      <c r="F32" s="1057" t="s">
        <v>2618</v>
      </c>
      <c r="G32" s="1058">
        <v>3192</v>
      </c>
      <c r="H32" s="1057" t="s">
        <v>2619</v>
      </c>
      <c r="I32" s="1057" t="s">
        <v>175</v>
      </c>
      <c r="J32" s="1057" t="s">
        <v>111</v>
      </c>
      <c r="K32" s="1073" t="s">
        <v>110</v>
      </c>
      <c r="L32" s="1074">
        <v>0.25</v>
      </c>
      <c r="M32" s="1075" t="s">
        <v>1455</v>
      </c>
      <c r="N32" s="1076" t="s">
        <v>1456</v>
      </c>
      <c r="O32" s="799"/>
      <c r="P32" s="1077">
        <v>1100</v>
      </c>
      <c r="Q32" s="1078">
        <v>0.2</v>
      </c>
      <c r="R32" s="1077"/>
      <c r="S32" s="1079">
        <f t="shared" si="0"/>
        <v>0</v>
      </c>
      <c r="T32" s="1080">
        <f t="shared" si="1"/>
        <v>0</v>
      </c>
      <c r="U32" s="1081" t="s">
        <v>34</v>
      </c>
      <c r="V32" s="1082"/>
      <c r="W32" s="1057"/>
    </row>
    <row r="33" spans="1:23" ht="22.95" customHeight="1" x14ac:dyDescent="0.4">
      <c r="A33" s="788">
        <v>32</v>
      </c>
      <c r="B33" s="246" t="s">
        <v>2616</v>
      </c>
      <c r="C33" s="246" t="s">
        <v>24</v>
      </c>
      <c r="D33" s="1056">
        <v>6014</v>
      </c>
      <c r="E33" s="1057" t="s">
        <v>2617</v>
      </c>
      <c r="F33" s="1057" t="s">
        <v>2618</v>
      </c>
      <c r="G33" s="1058">
        <v>3192</v>
      </c>
      <c r="H33" s="1057" t="s">
        <v>2619</v>
      </c>
      <c r="I33" s="1057" t="s">
        <v>175</v>
      </c>
      <c r="J33" s="1057" t="s">
        <v>111</v>
      </c>
      <c r="K33" s="1073" t="s">
        <v>110</v>
      </c>
      <c r="L33" s="1074">
        <v>0.25</v>
      </c>
      <c r="M33" s="1075" t="s">
        <v>204</v>
      </c>
      <c r="N33" s="1076" t="s">
        <v>2670</v>
      </c>
      <c r="O33" s="1083" t="s">
        <v>2671</v>
      </c>
      <c r="P33" s="1073">
        <v>2</v>
      </c>
      <c r="Q33" s="1084">
        <v>0.2</v>
      </c>
      <c r="R33" s="1073"/>
      <c r="S33" s="1079">
        <f t="shared" si="0"/>
        <v>0</v>
      </c>
      <c r="T33" s="1080">
        <f t="shared" si="1"/>
        <v>0</v>
      </c>
      <c r="U33" s="1081" t="s">
        <v>34</v>
      </c>
      <c r="V33" s="1082"/>
      <c r="W33" s="1057"/>
    </row>
    <row r="34" spans="1:23" ht="22.95" customHeight="1" x14ac:dyDescent="0.4">
      <c r="A34" s="788">
        <v>33</v>
      </c>
      <c r="B34" s="246" t="s">
        <v>2616</v>
      </c>
      <c r="C34" s="246" t="s">
        <v>24</v>
      </c>
      <c r="D34" s="1056">
        <v>6014</v>
      </c>
      <c r="E34" s="1057" t="s">
        <v>2617</v>
      </c>
      <c r="F34" s="1057" t="s">
        <v>2618</v>
      </c>
      <c r="G34" s="1058">
        <v>3192</v>
      </c>
      <c r="H34" s="1057" t="s">
        <v>2619</v>
      </c>
      <c r="I34" s="1057" t="s">
        <v>175</v>
      </c>
      <c r="J34" s="1057" t="s">
        <v>111</v>
      </c>
      <c r="K34" s="1073" t="s">
        <v>110</v>
      </c>
      <c r="L34" s="1074">
        <v>0.25</v>
      </c>
      <c r="M34" s="1075" t="s">
        <v>208</v>
      </c>
      <c r="N34" s="1076" t="s">
        <v>2224</v>
      </c>
      <c r="O34" s="1083" t="s">
        <v>2672</v>
      </c>
      <c r="P34" s="1073">
        <v>2</v>
      </c>
      <c r="Q34" s="1078">
        <v>0.1</v>
      </c>
      <c r="R34" s="1073"/>
      <c r="S34" s="1079">
        <f t="shared" si="0"/>
        <v>0</v>
      </c>
      <c r="T34" s="1080">
        <f t="shared" si="1"/>
        <v>0</v>
      </c>
      <c r="U34" s="1081" t="s">
        <v>34</v>
      </c>
      <c r="V34" s="1082"/>
      <c r="W34" s="1057"/>
    </row>
    <row r="35" spans="1:23" ht="22.95" customHeight="1" x14ac:dyDescent="0.4">
      <c r="A35" s="788">
        <v>34</v>
      </c>
      <c r="B35" s="236" t="s">
        <v>2616</v>
      </c>
      <c r="C35" s="1085" t="s">
        <v>24</v>
      </c>
      <c r="D35" s="1086">
        <v>6313</v>
      </c>
      <c r="E35" s="1087" t="s">
        <v>2673</v>
      </c>
      <c r="F35" s="1087" t="s">
        <v>2674</v>
      </c>
      <c r="G35" s="1088">
        <v>6014</v>
      </c>
      <c r="H35" s="1087" t="s">
        <v>2617</v>
      </c>
      <c r="I35" s="1087" t="s">
        <v>175</v>
      </c>
      <c r="J35" s="1087" t="s">
        <v>58</v>
      </c>
      <c r="K35" s="653" t="s">
        <v>57</v>
      </c>
      <c r="L35" s="1089">
        <v>0.6</v>
      </c>
      <c r="M35" s="1090" t="s">
        <v>200</v>
      </c>
      <c r="N35" s="1091" t="s">
        <v>1454</v>
      </c>
      <c r="O35" s="1087"/>
      <c r="P35" s="1092">
        <v>796</v>
      </c>
      <c r="Q35" s="1089">
        <v>0.4</v>
      </c>
      <c r="R35" s="1092"/>
      <c r="S35" s="1093">
        <f t="shared" si="0"/>
        <v>0</v>
      </c>
      <c r="T35" s="1087">
        <f t="shared" si="1"/>
        <v>0</v>
      </c>
      <c r="U35" s="1087" t="s">
        <v>34</v>
      </c>
      <c r="V35" s="1055">
        <f>SUM(T35:T42)%</f>
        <v>0</v>
      </c>
      <c r="W35" s="1092"/>
    </row>
    <row r="36" spans="1:23" ht="22.95" customHeight="1" x14ac:dyDescent="0.4">
      <c r="A36" s="788">
        <v>35</v>
      </c>
      <c r="B36" s="198" t="s">
        <v>2616</v>
      </c>
      <c r="C36" s="1094" t="s">
        <v>24</v>
      </c>
      <c r="D36" s="1095">
        <v>6313</v>
      </c>
      <c r="E36" s="1096" t="s">
        <v>2673</v>
      </c>
      <c r="F36" s="1096" t="s">
        <v>2674</v>
      </c>
      <c r="G36" s="1097">
        <v>6014</v>
      </c>
      <c r="H36" s="1096" t="s">
        <v>2617</v>
      </c>
      <c r="I36" s="1096" t="s">
        <v>175</v>
      </c>
      <c r="J36" s="1098" t="s">
        <v>58</v>
      </c>
      <c r="K36" s="79" t="s">
        <v>57</v>
      </c>
      <c r="L36" s="1099">
        <v>0.6</v>
      </c>
      <c r="M36" s="1100" t="s">
        <v>2675</v>
      </c>
      <c r="N36" s="1101" t="s">
        <v>1456</v>
      </c>
      <c r="O36" s="1098"/>
      <c r="P36" s="1102">
        <v>1100</v>
      </c>
      <c r="Q36" s="1099">
        <v>0.6</v>
      </c>
      <c r="R36" s="1102"/>
      <c r="S36" s="1103">
        <f t="shared" si="0"/>
        <v>0</v>
      </c>
      <c r="T36" s="1098">
        <f t="shared" si="1"/>
        <v>0</v>
      </c>
      <c r="U36" s="1098" t="s">
        <v>34</v>
      </c>
      <c r="V36" s="1104"/>
      <c r="W36" s="1105"/>
    </row>
    <row r="37" spans="1:23" ht="22.95" customHeight="1" x14ac:dyDescent="0.4">
      <c r="A37" s="788">
        <v>36</v>
      </c>
      <c r="B37" s="198" t="s">
        <v>2616</v>
      </c>
      <c r="C37" s="1094" t="s">
        <v>24</v>
      </c>
      <c r="D37" s="1095">
        <v>6313</v>
      </c>
      <c r="E37" s="1096" t="s">
        <v>2673</v>
      </c>
      <c r="F37" s="1096" t="s">
        <v>2674</v>
      </c>
      <c r="G37" s="1097">
        <v>6014</v>
      </c>
      <c r="H37" s="1096" t="s">
        <v>2617</v>
      </c>
      <c r="I37" s="1096" t="s">
        <v>175</v>
      </c>
      <c r="J37" s="220" t="s">
        <v>111</v>
      </c>
      <c r="K37" s="649" t="s">
        <v>110</v>
      </c>
      <c r="L37" s="1106">
        <v>0.4</v>
      </c>
      <c r="M37" s="1107" t="s">
        <v>204</v>
      </c>
      <c r="N37" s="1108" t="s">
        <v>2670</v>
      </c>
      <c r="O37" s="850" t="s">
        <v>2676</v>
      </c>
      <c r="P37" s="1109">
        <v>3</v>
      </c>
      <c r="Q37" s="1110">
        <v>0.1</v>
      </c>
      <c r="R37" s="1109"/>
      <c r="S37" s="1111">
        <f t="shared" si="0"/>
        <v>0</v>
      </c>
      <c r="T37" s="1112">
        <f t="shared" si="1"/>
        <v>0</v>
      </c>
      <c r="U37" s="1111" t="s">
        <v>34</v>
      </c>
      <c r="V37" s="1113"/>
      <c r="W37" s="1105"/>
    </row>
    <row r="38" spans="1:23" ht="22.95" customHeight="1" x14ac:dyDescent="0.4">
      <c r="A38" s="788">
        <v>37</v>
      </c>
      <c r="B38" s="198" t="s">
        <v>2616</v>
      </c>
      <c r="C38" s="1094" t="s">
        <v>24</v>
      </c>
      <c r="D38" s="1095">
        <v>6313</v>
      </c>
      <c r="E38" s="1096" t="s">
        <v>2673</v>
      </c>
      <c r="F38" s="1096" t="s">
        <v>2674</v>
      </c>
      <c r="G38" s="1097">
        <v>6014</v>
      </c>
      <c r="H38" s="1096" t="s">
        <v>2617</v>
      </c>
      <c r="I38" s="1096" t="s">
        <v>175</v>
      </c>
      <c r="J38" s="220" t="s">
        <v>111</v>
      </c>
      <c r="K38" s="649" t="s">
        <v>110</v>
      </c>
      <c r="L38" s="1106">
        <v>0.4</v>
      </c>
      <c r="M38" s="1107" t="s">
        <v>2677</v>
      </c>
      <c r="N38" s="1108" t="s">
        <v>2678</v>
      </c>
      <c r="O38" s="220" t="s">
        <v>2679</v>
      </c>
      <c r="P38" s="1109">
        <v>30</v>
      </c>
      <c r="Q38" s="1110">
        <v>0.15</v>
      </c>
      <c r="R38" s="1109"/>
      <c r="S38" s="1111">
        <f t="shared" si="0"/>
        <v>0</v>
      </c>
      <c r="T38" s="1112">
        <f t="shared" si="1"/>
        <v>0</v>
      </c>
      <c r="U38" s="1111" t="s">
        <v>34</v>
      </c>
      <c r="V38" s="1113"/>
      <c r="W38" s="1105"/>
    </row>
    <row r="39" spans="1:23" ht="22.95" customHeight="1" x14ac:dyDescent="0.4">
      <c r="A39" s="788">
        <v>38</v>
      </c>
      <c r="B39" s="198" t="s">
        <v>2616</v>
      </c>
      <c r="C39" s="1094" t="s">
        <v>24</v>
      </c>
      <c r="D39" s="1095">
        <v>6313</v>
      </c>
      <c r="E39" s="1096" t="s">
        <v>2673</v>
      </c>
      <c r="F39" s="1096" t="s">
        <v>2674</v>
      </c>
      <c r="G39" s="1097">
        <v>6014</v>
      </c>
      <c r="H39" s="1096" t="s">
        <v>2617</v>
      </c>
      <c r="I39" s="1096" t="s">
        <v>175</v>
      </c>
      <c r="J39" s="220" t="s">
        <v>111</v>
      </c>
      <c r="K39" s="649" t="s">
        <v>110</v>
      </c>
      <c r="L39" s="1106">
        <v>0.4</v>
      </c>
      <c r="M39" s="1107"/>
      <c r="N39" s="1108" t="s">
        <v>2680</v>
      </c>
      <c r="O39" s="220"/>
      <c r="P39" s="673">
        <v>1</v>
      </c>
      <c r="Q39" s="1110">
        <v>0.15</v>
      </c>
      <c r="R39" s="673"/>
      <c r="S39" s="1111">
        <f t="shared" si="0"/>
        <v>0</v>
      </c>
      <c r="T39" s="1112">
        <f t="shared" si="1"/>
        <v>0</v>
      </c>
      <c r="U39" s="1111" t="s">
        <v>34</v>
      </c>
      <c r="V39" s="1113"/>
      <c r="W39" s="1105"/>
    </row>
    <row r="40" spans="1:23" ht="22.95" customHeight="1" x14ac:dyDescent="0.4">
      <c r="A40" s="788">
        <v>39</v>
      </c>
      <c r="B40" s="198" t="s">
        <v>2616</v>
      </c>
      <c r="C40" s="1094" t="s">
        <v>24</v>
      </c>
      <c r="D40" s="1095">
        <v>6313</v>
      </c>
      <c r="E40" s="1096" t="s">
        <v>2673</v>
      </c>
      <c r="F40" s="1096" t="s">
        <v>2674</v>
      </c>
      <c r="G40" s="1097">
        <v>6014</v>
      </c>
      <c r="H40" s="1096" t="s">
        <v>2617</v>
      </c>
      <c r="I40" s="1096" t="s">
        <v>175</v>
      </c>
      <c r="J40" s="220" t="s">
        <v>111</v>
      </c>
      <c r="K40" s="649" t="s">
        <v>110</v>
      </c>
      <c r="L40" s="1106">
        <v>0.4</v>
      </c>
      <c r="M40" s="1107" t="s">
        <v>2681</v>
      </c>
      <c r="N40" s="1108" t="s">
        <v>2682</v>
      </c>
      <c r="O40" s="220"/>
      <c r="P40" s="770">
        <v>1</v>
      </c>
      <c r="Q40" s="1110">
        <v>0.2</v>
      </c>
      <c r="R40" s="770"/>
      <c r="S40" s="1111">
        <f t="shared" si="0"/>
        <v>0</v>
      </c>
      <c r="T40" s="1112">
        <f t="shared" si="1"/>
        <v>0</v>
      </c>
      <c r="U40" s="1111" t="s">
        <v>34</v>
      </c>
      <c r="V40" s="1113"/>
      <c r="W40" s="1105"/>
    </row>
    <row r="41" spans="1:23" ht="22.95" customHeight="1" x14ac:dyDescent="0.4">
      <c r="A41" s="788">
        <v>40</v>
      </c>
      <c r="B41" s="198" t="s">
        <v>2616</v>
      </c>
      <c r="C41" s="1094" t="s">
        <v>24</v>
      </c>
      <c r="D41" s="1095">
        <v>6313</v>
      </c>
      <c r="E41" s="1096" t="s">
        <v>2673</v>
      </c>
      <c r="F41" s="1096" t="s">
        <v>2674</v>
      </c>
      <c r="G41" s="1097">
        <v>6014</v>
      </c>
      <c r="H41" s="1096" t="s">
        <v>2617</v>
      </c>
      <c r="I41" s="1096" t="s">
        <v>175</v>
      </c>
      <c r="J41" s="220" t="s">
        <v>111</v>
      </c>
      <c r="K41" s="649" t="s">
        <v>110</v>
      </c>
      <c r="L41" s="1106">
        <v>0.4</v>
      </c>
      <c r="M41" s="1107" t="s">
        <v>2683</v>
      </c>
      <c r="N41" s="1108" t="s">
        <v>2684</v>
      </c>
      <c r="O41" s="220"/>
      <c r="P41" s="770">
        <v>1</v>
      </c>
      <c r="Q41" s="1110">
        <v>0.15</v>
      </c>
      <c r="R41" s="770"/>
      <c r="S41" s="1111">
        <f t="shared" si="0"/>
        <v>0</v>
      </c>
      <c r="T41" s="1112">
        <f t="shared" si="1"/>
        <v>0</v>
      </c>
      <c r="U41" s="1111" t="s">
        <v>34</v>
      </c>
      <c r="V41" s="1113"/>
      <c r="W41" s="1105"/>
    </row>
    <row r="42" spans="1:23" ht="22.95" customHeight="1" x14ac:dyDescent="0.4">
      <c r="A42" s="788">
        <v>41</v>
      </c>
      <c r="B42" s="198" t="s">
        <v>2616</v>
      </c>
      <c r="C42" s="1094" t="s">
        <v>24</v>
      </c>
      <c r="D42" s="1095">
        <v>6313</v>
      </c>
      <c r="E42" s="1096" t="s">
        <v>2673</v>
      </c>
      <c r="F42" s="1096" t="s">
        <v>2674</v>
      </c>
      <c r="G42" s="1097">
        <v>6014</v>
      </c>
      <c r="H42" s="1096" t="s">
        <v>2617</v>
      </c>
      <c r="I42" s="1096" t="s">
        <v>175</v>
      </c>
      <c r="J42" s="220" t="s">
        <v>111</v>
      </c>
      <c r="K42" s="649" t="s">
        <v>110</v>
      </c>
      <c r="L42" s="1106">
        <v>0.4</v>
      </c>
      <c r="M42" s="1107" t="s">
        <v>2685</v>
      </c>
      <c r="N42" s="1108" t="s">
        <v>2686</v>
      </c>
      <c r="O42" s="220"/>
      <c r="P42" s="770">
        <v>1</v>
      </c>
      <c r="Q42" s="1114">
        <v>0.25</v>
      </c>
      <c r="R42" s="770"/>
      <c r="S42" s="1111">
        <f t="shared" si="0"/>
        <v>0</v>
      </c>
      <c r="T42" s="1112">
        <f t="shared" si="1"/>
        <v>0</v>
      </c>
      <c r="U42" s="1111" t="s">
        <v>34</v>
      </c>
      <c r="V42" s="1113"/>
      <c r="W42" s="1105"/>
    </row>
    <row r="43" spans="1:23" ht="22.95" customHeight="1" x14ac:dyDescent="0.4">
      <c r="A43" s="788">
        <v>42</v>
      </c>
      <c r="B43" s="236" t="s">
        <v>2616</v>
      </c>
      <c r="C43" s="1085" t="s">
        <v>24</v>
      </c>
      <c r="D43" s="1086">
        <v>6451</v>
      </c>
      <c r="E43" s="1087" t="s">
        <v>2687</v>
      </c>
      <c r="F43" s="1087" t="s">
        <v>2688</v>
      </c>
      <c r="G43" s="1088">
        <v>6313</v>
      </c>
      <c r="H43" s="1087" t="s">
        <v>2673</v>
      </c>
      <c r="I43" s="1087" t="s">
        <v>175</v>
      </c>
      <c r="J43" s="1087" t="s">
        <v>58</v>
      </c>
      <c r="K43" s="653" t="s">
        <v>57</v>
      </c>
      <c r="L43" s="1089">
        <v>0.95</v>
      </c>
      <c r="M43" s="1090" t="s">
        <v>200</v>
      </c>
      <c r="N43" s="1091" t="s">
        <v>1454</v>
      </c>
      <c r="O43" s="1087"/>
      <c r="P43" s="1092">
        <v>796</v>
      </c>
      <c r="Q43" s="1089">
        <v>0.4</v>
      </c>
      <c r="R43" s="1092"/>
      <c r="S43" s="1093">
        <f t="shared" si="0"/>
        <v>0</v>
      </c>
      <c r="T43" s="1087">
        <f t="shared" si="1"/>
        <v>0</v>
      </c>
      <c r="U43" s="1087" t="s">
        <v>34</v>
      </c>
      <c r="V43" s="1055">
        <f>SUM(T43:T45)%</f>
        <v>0</v>
      </c>
      <c r="W43" s="1092"/>
    </row>
    <row r="44" spans="1:23" ht="22.95" customHeight="1" x14ac:dyDescent="0.4">
      <c r="A44" s="788">
        <v>43</v>
      </c>
      <c r="B44" s="198" t="s">
        <v>2616</v>
      </c>
      <c r="C44" s="1094" t="s">
        <v>24</v>
      </c>
      <c r="D44" s="1095">
        <v>6451</v>
      </c>
      <c r="E44" s="1096" t="s">
        <v>2687</v>
      </c>
      <c r="F44" s="1096" t="s">
        <v>2688</v>
      </c>
      <c r="G44" s="1097">
        <v>6313</v>
      </c>
      <c r="H44" s="1096" t="s">
        <v>2673</v>
      </c>
      <c r="I44" s="1096" t="s">
        <v>175</v>
      </c>
      <c r="J44" s="1098" t="s">
        <v>58</v>
      </c>
      <c r="K44" s="79" t="s">
        <v>57</v>
      </c>
      <c r="L44" s="1099">
        <v>0.95</v>
      </c>
      <c r="M44" s="1100" t="s">
        <v>2675</v>
      </c>
      <c r="N44" s="1101" t="s">
        <v>1456</v>
      </c>
      <c r="O44" s="1098"/>
      <c r="P44" s="1102">
        <v>1100</v>
      </c>
      <c r="Q44" s="1099">
        <v>0.6</v>
      </c>
      <c r="R44" s="1102"/>
      <c r="S44" s="1103">
        <f t="shared" si="0"/>
        <v>0</v>
      </c>
      <c r="T44" s="1098">
        <f t="shared" si="1"/>
        <v>0</v>
      </c>
      <c r="U44" s="1098" t="s">
        <v>34</v>
      </c>
      <c r="V44" s="1104"/>
      <c r="W44" s="1105"/>
    </row>
    <row r="45" spans="1:23" ht="22.95" customHeight="1" x14ac:dyDescent="0.4">
      <c r="A45" s="788">
        <v>44</v>
      </c>
      <c r="B45" s="198" t="s">
        <v>2616</v>
      </c>
      <c r="C45" s="1094" t="s">
        <v>24</v>
      </c>
      <c r="D45" s="1095">
        <v>6451</v>
      </c>
      <c r="E45" s="1096" t="s">
        <v>2687</v>
      </c>
      <c r="F45" s="1096" t="s">
        <v>2688</v>
      </c>
      <c r="G45" s="1097">
        <v>6313</v>
      </c>
      <c r="H45" s="1096" t="s">
        <v>2673</v>
      </c>
      <c r="I45" s="1096" t="s">
        <v>175</v>
      </c>
      <c r="J45" s="220" t="s">
        <v>111</v>
      </c>
      <c r="K45" s="649" t="s">
        <v>110</v>
      </c>
      <c r="L45" s="1110">
        <v>0.05</v>
      </c>
      <c r="M45" s="1107"/>
      <c r="N45" s="1108" t="s">
        <v>2680</v>
      </c>
      <c r="O45" s="220"/>
      <c r="P45" s="673">
        <v>1</v>
      </c>
      <c r="Q45" s="1110">
        <v>1</v>
      </c>
      <c r="R45" s="673"/>
      <c r="S45" s="1111">
        <f t="shared" si="0"/>
        <v>0</v>
      </c>
      <c r="T45" s="1112">
        <f t="shared" si="1"/>
        <v>0</v>
      </c>
      <c r="U45" s="1111" t="s">
        <v>34</v>
      </c>
      <c r="V45" s="1113"/>
      <c r="W45" s="1105"/>
    </row>
    <row r="46" spans="1:23" ht="22.95" customHeight="1" x14ac:dyDescent="0.4">
      <c r="A46" s="788">
        <v>45</v>
      </c>
      <c r="B46" s="236" t="s">
        <v>2616</v>
      </c>
      <c r="C46" s="1085" t="s">
        <v>24</v>
      </c>
      <c r="D46" s="1086">
        <v>6519</v>
      </c>
      <c r="E46" s="1087" t="s">
        <v>2689</v>
      </c>
      <c r="F46" s="1087" t="s">
        <v>2690</v>
      </c>
      <c r="G46" s="1115">
        <v>6313</v>
      </c>
      <c r="H46" s="1087" t="s">
        <v>2673</v>
      </c>
      <c r="I46" s="1087" t="s">
        <v>175</v>
      </c>
      <c r="J46" s="1087" t="s">
        <v>58</v>
      </c>
      <c r="K46" s="653" t="s">
        <v>57</v>
      </c>
      <c r="L46" s="1089">
        <v>0.9</v>
      </c>
      <c r="M46" s="1090" t="s">
        <v>2677</v>
      </c>
      <c r="N46" s="1091" t="s">
        <v>2678</v>
      </c>
      <c r="O46" s="1087" t="s">
        <v>2691</v>
      </c>
      <c r="P46" s="1116">
        <v>20</v>
      </c>
      <c r="Q46" s="1089">
        <v>1</v>
      </c>
      <c r="R46" s="1116"/>
      <c r="S46" s="1093">
        <f t="shared" si="0"/>
        <v>0</v>
      </c>
      <c r="T46" s="1087">
        <f t="shared" si="1"/>
        <v>0</v>
      </c>
      <c r="U46" s="1087" t="s">
        <v>34</v>
      </c>
      <c r="V46" s="1055">
        <f>SUM(T46:T48)%</f>
        <v>0</v>
      </c>
      <c r="W46" s="1117"/>
    </row>
    <row r="47" spans="1:23" ht="22.95" customHeight="1" x14ac:dyDescent="0.4">
      <c r="A47" s="788">
        <v>46</v>
      </c>
      <c r="B47" s="198" t="s">
        <v>2616</v>
      </c>
      <c r="C47" s="1094" t="s">
        <v>24</v>
      </c>
      <c r="D47" s="1095">
        <v>6519</v>
      </c>
      <c r="E47" s="1096" t="s">
        <v>2689</v>
      </c>
      <c r="F47" s="1096" t="s">
        <v>2690</v>
      </c>
      <c r="G47" s="1118">
        <v>6313</v>
      </c>
      <c r="H47" s="1096" t="s">
        <v>2673</v>
      </c>
      <c r="I47" s="1096" t="s">
        <v>175</v>
      </c>
      <c r="J47" s="220" t="s">
        <v>111</v>
      </c>
      <c r="K47" s="649" t="s">
        <v>110</v>
      </c>
      <c r="L47" s="1110">
        <v>0.1</v>
      </c>
      <c r="M47" s="1119" t="s">
        <v>2692</v>
      </c>
      <c r="N47" s="1120" t="s">
        <v>2693</v>
      </c>
      <c r="O47" s="1096" t="s">
        <v>2694</v>
      </c>
      <c r="P47" s="1121">
        <v>1</v>
      </c>
      <c r="Q47" s="1110">
        <v>0.7</v>
      </c>
      <c r="R47" s="1121"/>
      <c r="S47" s="1111">
        <f t="shared" si="0"/>
        <v>0</v>
      </c>
      <c r="T47" s="1096">
        <f t="shared" si="1"/>
        <v>0</v>
      </c>
      <c r="U47" s="1096" t="s">
        <v>34</v>
      </c>
      <c r="V47" s="1113"/>
      <c r="W47" s="1122"/>
    </row>
    <row r="48" spans="1:23" ht="22.95" customHeight="1" x14ac:dyDescent="0.4">
      <c r="A48" s="788">
        <v>47</v>
      </c>
      <c r="B48" s="198" t="s">
        <v>2616</v>
      </c>
      <c r="C48" s="1094" t="s">
        <v>24</v>
      </c>
      <c r="D48" s="1095">
        <v>6519</v>
      </c>
      <c r="E48" s="1096" t="s">
        <v>2689</v>
      </c>
      <c r="F48" s="1096" t="s">
        <v>2690</v>
      </c>
      <c r="G48" s="1118">
        <v>6313</v>
      </c>
      <c r="H48" s="1096" t="s">
        <v>2673</v>
      </c>
      <c r="I48" s="1096" t="s">
        <v>175</v>
      </c>
      <c r="J48" s="220" t="s">
        <v>111</v>
      </c>
      <c r="K48" s="649" t="s">
        <v>110</v>
      </c>
      <c r="L48" s="1110">
        <v>0.1</v>
      </c>
      <c r="M48" s="1119"/>
      <c r="N48" s="1108" t="s">
        <v>2680</v>
      </c>
      <c r="O48" s="1096"/>
      <c r="P48" s="1121">
        <v>1</v>
      </c>
      <c r="Q48" s="1110">
        <v>0.3</v>
      </c>
      <c r="R48" s="1121"/>
      <c r="S48" s="1111">
        <f t="shared" si="0"/>
        <v>0</v>
      </c>
      <c r="T48" s="1096">
        <f t="shared" si="1"/>
        <v>0</v>
      </c>
      <c r="U48" s="1096"/>
      <c r="V48" s="1113"/>
      <c r="W48" s="1122"/>
    </row>
    <row r="49" spans="1:23" ht="22.95" customHeight="1" x14ac:dyDescent="0.4">
      <c r="A49" s="788">
        <v>48</v>
      </c>
      <c r="B49" s="236" t="s">
        <v>2616</v>
      </c>
      <c r="C49" s="1085" t="s">
        <v>24</v>
      </c>
      <c r="D49" s="1086">
        <v>4007</v>
      </c>
      <c r="E49" s="1087" t="s">
        <v>2695</v>
      </c>
      <c r="F49" s="1087" t="s">
        <v>2690</v>
      </c>
      <c r="G49" s="1088">
        <v>6313</v>
      </c>
      <c r="H49" s="1087" t="s">
        <v>2673</v>
      </c>
      <c r="I49" s="1087" t="s">
        <v>175</v>
      </c>
      <c r="J49" s="1087" t="s">
        <v>58</v>
      </c>
      <c r="K49" s="653" t="s">
        <v>57</v>
      </c>
      <c r="L49" s="1089">
        <v>0.6</v>
      </c>
      <c r="M49" s="1090" t="s">
        <v>2681</v>
      </c>
      <c r="N49" s="1091" t="s">
        <v>2682</v>
      </c>
      <c r="O49" s="1087"/>
      <c r="P49" s="1123">
        <v>1</v>
      </c>
      <c r="Q49" s="1089">
        <v>0.4</v>
      </c>
      <c r="R49" s="1123"/>
      <c r="S49" s="1093">
        <f t="shared" si="0"/>
        <v>0</v>
      </c>
      <c r="T49" s="1087">
        <f t="shared" si="1"/>
        <v>0</v>
      </c>
      <c r="U49" s="1087" t="s">
        <v>34</v>
      </c>
      <c r="V49" s="1055">
        <f>SUM(T49:T52)%</f>
        <v>0</v>
      </c>
      <c r="W49" s="1092"/>
    </row>
    <row r="50" spans="1:23" ht="22.95" customHeight="1" x14ac:dyDescent="0.4">
      <c r="A50" s="788">
        <v>49</v>
      </c>
      <c r="B50" s="198" t="s">
        <v>2616</v>
      </c>
      <c r="C50" s="1094" t="s">
        <v>24</v>
      </c>
      <c r="D50" s="1095">
        <v>4007</v>
      </c>
      <c r="E50" s="1096" t="s">
        <v>2695</v>
      </c>
      <c r="F50" s="1096" t="s">
        <v>2690</v>
      </c>
      <c r="G50" s="1097">
        <v>6313</v>
      </c>
      <c r="H50" s="1096" t="s">
        <v>2673</v>
      </c>
      <c r="I50" s="1096" t="s">
        <v>175</v>
      </c>
      <c r="J50" s="1098" t="s">
        <v>58</v>
      </c>
      <c r="K50" s="79" t="s">
        <v>57</v>
      </c>
      <c r="L50" s="1099">
        <v>0.6</v>
      </c>
      <c r="M50" s="1100" t="s">
        <v>2696</v>
      </c>
      <c r="N50" s="1101" t="s">
        <v>2697</v>
      </c>
      <c r="O50" s="1098" t="s">
        <v>2698</v>
      </c>
      <c r="P50" s="1124">
        <v>1</v>
      </c>
      <c r="Q50" s="1099">
        <v>0.4</v>
      </c>
      <c r="R50" s="1124"/>
      <c r="S50" s="1103">
        <f t="shared" si="0"/>
        <v>0</v>
      </c>
      <c r="T50" s="1098">
        <f t="shared" si="1"/>
        <v>0</v>
      </c>
      <c r="U50" s="1098" t="s">
        <v>34</v>
      </c>
      <c r="V50" s="1104"/>
      <c r="W50" s="1105"/>
    </row>
    <row r="51" spans="1:23" ht="22.95" customHeight="1" x14ac:dyDescent="0.4">
      <c r="A51" s="788">
        <v>50</v>
      </c>
      <c r="B51" s="198" t="s">
        <v>2616</v>
      </c>
      <c r="C51" s="1094" t="s">
        <v>24</v>
      </c>
      <c r="D51" s="1095">
        <v>4007</v>
      </c>
      <c r="E51" s="1096" t="s">
        <v>2695</v>
      </c>
      <c r="F51" s="1096" t="s">
        <v>2690</v>
      </c>
      <c r="G51" s="1097">
        <v>6313</v>
      </c>
      <c r="H51" s="1096" t="s">
        <v>2673</v>
      </c>
      <c r="I51" s="1096" t="s">
        <v>175</v>
      </c>
      <c r="J51" s="1098" t="s">
        <v>58</v>
      </c>
      <c r="K51" s="79" t="s">
        <v>57</v>
      </c>
      <c r="L51" s="1099">
        <v>0.6</v>
      </c>
      <c r="M51" s="1100" t="s">
        <v>2699</v>
      </c>
      <c r="N51" s="1101" t="s">
        <v>2700</v>
      </c>
      <c r="O51" s="1098"/>
      <c r="P51" s="1124">
        <v>1</v>
      </c>
      <c r="Q51" s="1099">
        <v>0.2</v>
      </c>
      <c r="R51" s="1124"/>
      <c r="S51" s="1103">
        <f t="shared" si="0"/>
        <v>0</v>
      </c>
      <c r="T51" s="1098">
        <f t="shared" si="1"/>
        <v>0</v>
      </c>
      <c r="U51" s="1098" t="s">
        <v>34</v>
      </c>
      <c r="V51" s="1104"/>
      <c r="W51" s="1105"/>
    </row>
    <row r="52" spans="1:23" ht="22.95" customHeight="1" x14ac:dyDescent="0.4">
      <c r="A52" s="788">
        <v>51</v>
      </c>
      <c r="B52" s="198" t="s">
        <v>2616</v>
      </c>
      <c r="C52" s="1094" t="s">
        <v>24</v>
      </c>
      <c r="D52" s="1095">
        <v>4007</v>
      </c>
      <c r="E52" s="1096" t="s">
        <v>2695</v>
      </c>
      <c r="F52" s="1096" t="s">
        <v>2690</v>
      </c>
      <c r="G52" s="1097">
        <v>6313</v>
      </c>
      <c r="H52" s="1096" t="s">
        <v>2673</v>
      </c>
      <c r="I52" s="1096" t="s">
        <v>175</v>
      </c>
      <c r="J52" s="220" t="s">
        <v>111</v>
      </c>
      <c r="K52" s="649" t="s">
        <v>110</v>
      </c>
      <c r="L52" s="1106">
        <v>0.4</v>
      </c>
      <c r="M52" s="1107" t="s">
        <v>2685</v>
      </c>
      <c r="N52" s="1108" t="s">
        <v>2686</v>
      </c>
      <c r="O52" s="1125"/>
      <c r="P52" s="1126">
        <v>1</v>
      </c>
      <c r="Q52" s="1127">
        <v>1</v>
      </c>
      <c r="R52" s="1126"/>
      <c r="S52" s="1128">
        <f t="shared" si="0"/>
        <v>0</v>
      </c>
      <c r="T52" s="1129">
        <f t="shared" si="1"/>
        <v>0</v>
      </c>
      <c r="U52" s="1128" t="s">
        <v>34</v>
      </c>
      <c r="V52" s="1113"/>
      <c r="W52" s="1105"/>
    </row>
    <row r="53" spans="1:23" ht="22.95" customHeight="1" x14ac:dyDescent="0.4">
      <c r="A53" s="788">
        <v>52</v>
      </c>
      <c r="B53" s="187" t="s">
        <v>2616</v>
      </c>
      <c r="C53" s="187" t="s">
        <v>24</v>
      </c>
      <c r="D53" s="1130">
        <v>3225</v>
      </c>
      <c r="E53" s="187" t="s">
        <v>2701</v>
      </c>
      <c r="F53" s="187" t="s">
        <v>2702</v>
      </c>
      <c r="G53" s="674">
        <v>6014</v>
      </c>
      <c r="H53" s="187" t="s">
        <v>2617</v>
      </c>
      <c r="I53" s="187" t="s">
        <v>175</v>
      </c>
      <c r="J53" s="653" t="s">
        <v>58</v>
      </c>
      <c r="K53" s="79" t="s">
        <v>57</v>
      </c>
      <c r="L53" s="1052">
        <v>0.7</v>
      </c>
      <c r="M53" s="748" t="s">
        <v>188</v>
      </c>
      <c r="N53" s="1131" t="s">
        <v>2703</v>
      </c>
      <c r="O53" s="1131" t="s">
        <v>2704</v>
      </c>
      <c r="P53" s="654">
        <v>0.1</v>
      </c>
      <c r="Q53" s="1132">
        <v>4.3749999999999997E-2</v>
      </c>
      <c r="R53" s="654"/>
      <c r="S53" s="195">
        <f t="shared" si="0"/>
        <v>0</v>
      </c>
      <c r="T53" s="196">
        <f t="shared" si="1"/>
        <v>0</v>
      </c>
      <c r="U53" s="654" t="s">
        <v>83</v>
      </c>
      <c r="V53" s="1133">
        <f>SUM(T53:T66)%</f>
        <v>0</v>
      </c>
      <c r="W53" s="653"/>
    </row>
    <row r="54" spans="1:23" ht="22.95" customHeight="1" x14ac:dyDescent="0.4">
      <c r="A54" s="788">
        <v>53</v>
      </c>
      <c r="B54" s="246" t="s">
        <v>2616</v>
      </c>
      <c r="C54" s="246" t="s">
        <v>24</v>
      </c>
      <c r="D54" s="1134">
        <v>3225</v>
      </c>
      <c r="E54" s="246" t="s">
        <v>2701</v>
      </c>
      <c r="F54" s="246" t="s">
        <v>2702</v>
      </c>
      <c r="G54" s="679">
        <v>6014</v>
      </c>
      <c r="H54" s="246" t="s">
        <v>2617</v>
      </c>
      <c r="I54" s="246" t="s">
        <v>175</v>
      </c>
      <c r="J54" s="79" t="s">
        <v>58</v>
      </c>
      <c r="K54" s="79" t="s">
        <v>57</v>
      </c>
      <c r="L54" s="1067">
        <v>0.7</v>
      </c>
      <c r="M54" s="756"/>
      <c r="N54" s="858" t="s">
        <v>2653</v>
      </c>
      <c r="O54" s="858" t="s">
        <v>2654</v>
      </c>
      <c r="P54" s="1135">
        <v>13000000000</v>
      </c>
      <c r="Q54" s="1136">
        <v>4.3749999999999997E-2</v>
      </c>
      <c r="R54" s="1135"/>
      <c r="S54" s="206">
        <f t="shared" si="0"/>
        <v>0</v>
      </c>
      <c r="T54" s="207">
        <f t="shared" si="1"/>
        <v>0</v>
      </c>
      <c r="U54" s="1068" t="s">
        <v>34</v>
      </c>
      <c r="V54" s="1069"/>
      <c r="W54" s="649"/>
    </row>
    <row r="55" spans="1:23" ht="22.95" customHeight="1" x14ac:dyDescent="0.4">
      <c r="A55" s="788">
        <v>54</v>
      </c>
      <c r="B55" s="246" t="s">
        <v>2616</v>
      </c>
      <c r="C55" s="246" t="s">
        <v>24</v>
      </c>
      <c r="D55" s="1134">
        <v>3225</v>
      </c>
      <c r="E55" s="246" t="s">
        <v>2701</v>
      </c>
      <c r="F55" s="246" t="s">
        <v>2702</v>
      </c>
      <c r="G55" s="679">
        <v>6014</v>
      </c>
      <c r="H55" s="246" t="s">
        <v>2617</v>
      </c>
      <c r="I55" s="246" t="s">
        <v>175</v>
      </c>
      <c r="J55" s="79" t="s">
        <v>58</v>
      </c>
      <c r="K55" s="79" t="s">
        <v>57</v>
      </c>
      <c r="L55" s="1067">
        <v>0.7</v>
      </c>
      <c r="M55" s="756" t="s">
        <v>2655</v>
      </c>
      <c r="N55" s="858" t="s">
        <v>2705</v>
      </c>
      <c r="O55" s="858" t="s">
        <v>2657</v>
      </c>
      <c r="P55" s="1137">
        <v>0.05</v>
      </c>
      <c r="Q55" s="1138">
        <v>8.7499999999999994E-2</v>
      </c>
      <c r="R55" s="1137"/>
      <c r="S55" s="206">
        <f t="shared" si="0"/>
        <v>0</v>
      </c>
      <c r="T55" s="207">
        <f t="shared" si="1"/>
        <v>0</v>
      </c>
      <c r="U55" s="1068" t="s">
        <v>83</v>
      </c>
      <c r="V55" s="1069"/>
      <c r="W55" s="649"/>
    </row>
    <row r="56" spans="1:23" ht="22.95" customHeight="1" x14ac:dyDescent="0.4">
      <c r="A56" s="788">
        <v>55</v>
      </c>
      <c r="B56" s="246" t="s">
        <v>2616</v>
      </c>
      <c r="C56" s="246" t="s">
        <v>24</v>
      </c>
      <c r="D56" s="1134">
        <v>3225</v>
      </c>
      <c r="E56" s="246" t="s">
        <v>2701</v>
      </c>
      <c r="F56" s="246" t="s">
        <v>2702</v>
      </c>
      <c r="G56" s="679">
        <v>6014</v>
      </c>
      <c r="H56" s="246" t="s">
        <v>2617</v>
      </c>
      <c r="I56" s="246" t="s">
        <v>175</v>
      </c>
      <c r="J56" s="79" t="s">
        <v>58</v>
      </c>
      <c r="K56" s="79" t="s">
        <v>57</v>
      </c>
      <c r="L56" s="1067">
        <v>0.7</v>
      </c>
      <c r="M56" s="756"/>
      <c r="N56" s="858" t="s">
        <v>2659</v>
      </c>
      <c r="O56" s="858" t="s">
        <v>2660</v>
      </c>
      <c r="P56" s="1137">
        <v>0.04</v>
      </c>
      <c r="Q56" s="1138">
        <v>8.7499999999999994E-2</v>
      </c>
      <c r="R56" s="1137"/>
      <c r="S56" s="206">
        <f t="shared" si="0"/>
        <v>0</v>
      </c>
      <c r="T56" s="207">
        <f t="shared" si="1"/>
        <v>0</v>
      </c>
      <c r="U56" s="1068" t="s">
        <v>83</v>
      </c>
      <c r="V56" s="1069"/>
      <c r="W56" s="649"/>
    </row>
    <row r="57" spans="1:23" ht="22.95" customHeight="1" x14ac:dyDescent="0.4">
      <c r="A57" s="788">
        <v>56</v>
      </c>
      <c r="B57" s="246" t="s">
        <v>2616</v>
      </c>
      <c r="C57" s="246" t="s">
        <v>24</v>
      </c>
      <c r="D57" s="1134">
        <v>3225</v>
      </c>
      <c r="E57" s="246" t="s">
        <v>2701</v>
      </c>
      <c r="F57" s="246" t="s">
        <v>2702</v>
      </c>
      <c r="G57" s="679">
        <v>6014</v>
      </c>
      <c r="H57" s="246" t="s">
        <v>2617</v>
      </c>
      <c r="I57" s="246" t="s">
        <v>175</v>
      </c>
      <c r="J57" s="79" t="s">
        <v>58</v>
      </c>
      <c r="K57" s="79" t="s">
        <v>57</v>
      </c>
      <c r="L57" s="1067">
        <v>0.7</v>
      </c>
      <c r="M57" s="756" t="s">
        <v>2661</v>
      </c>
      <c r="N57" s="858" t="s">
        <v>2662</v>
      </c>
      <c r="O57" s="858" t="s">
        <v>2706</v>
      </c>
      <c r="P57" s="1137">
        <v>0.03</v>
      </c>
      <c r="Q57" s="1138">
        <v>8.7499999999999994E-2</v>
      </c>
      <c r="R57" s="1137"/>
      <c r="S57" s="206">
        <f t="shared" si="0"/>
        <v>0</v>
      </c>
      <c r="T57" s="207">
        <f t="shared" si="1"/>
        <v>0</v>
      </c>
      <c r="U57" s="1068" t="s">
        <v>83</v>
      </c>
      <c r="V57" s="1069"/>
      <c r="W57" s="649"/>
    </row>
    <row r="58" spans="1:23" ht="22.95" customHeight="1" x14ac:dyDescent="0.4">
      <c r="A58" s="788">
        <v>57</v>
      </c>
      <c r="B58" s="246" t="s">
        <v>2616</v>
      </c>
      <c r="C58" s="246" t="s">
        <v>24</v>
      </c>
      <c r="D58" s="1134">
        <v>3225</v>
      </c>
      <c r="E58" s="246" t="s">
        <v>2701</v>
      </c>
      <c r="F58" s="246" t="s">
        <v>2702</v>
      </c>
      <c r="G58" s="679">
        <v>6014</v>
      </c>
      <c r="H58" s="246" t="s">
        <v>2617</v>
      </c>
      <c r="I58" s="246" t="s">
        <v>175</v>
      </c>
      <c r="J58" s="79" t="s">
        <v>58</v>
      </c>
      <c r="K58" s="79" t="s">
        <v>57</v>
      </c>
      <c r="L58" s="1067">
        <v>0.7</v>
      </c>
      <c r="M58" s="1139" t="s">
        <v>176</v>
      </c>
      <c r="N58" s="1140" t="s">
        <v>177</v>
      </c>
      <c r="O58" s="1140"/>
      <c r="P58" s="1141">
        <v>0.12</v>
      </c>
      <c r="Q58" s="1142">
        <v>0.15</v>
      </c>
      <c r="R58" s="1141"/>
      <c r="S58" s="206">
        <f t="shared" si="0"/>
        <v>0</v>
      </c>
      <c r="T58" s="207">
        <f t="shared" si="1"/>
        <v>0</v>
      </c>
      <c r="U58" s="1068" t="s">
        <v>83</v>
      </c>
      <c r="V58" s="1069"/>
      <c r="W58" s="649"/>
    </row>
    <row r="59" spans="1:23" ht="22.95" customHeight="1" x14ac:dyDescent="0.4">
      <c r="A59" s="788">
        <v>58</v>
      </c>
      <c r="B59" s="246" t="s">
        <v>2616</v>
      </c>
      <c r="C59" s="246" t="s">
        <v>24</v>
      </c>
      <c r="D59" s="1134">
        <v>3225</v>
      </c>
      <c r="E59" s="246" t="s">
        <v>2701</v>
      </c>
      <c r="F59" s="246" t="s">
        <v>2702</v>
      </c>
      <c r="G59" s="679">
        <v>6014</v>
      </c>
      <c r="H59" s="246" t="s">
        <v>2617</v>
      </c>
      <c r="I59" s="246" t="s">
        <v>175</v>
      </c>
      <c r="J59" s="79" t="s">
        <v>58</v>
      </c>
      <c r="K59" s="79" t="s">
        <v>57</v>
      </c>
      <c r="L59" s="1067">
        <v>0.7</v>
      </c>
      <c r="M59" s="1139" t="s">
        <v>1448</v>
      </c>
      <c r="N59" s="1140" t="s">
        <v>178</v>
      </c>
      <c r="O59" s="1140" t="s">
        <v>1477</v>
      </c>
      <c r="P59" s="1143">
        <v>0.03</v>
      </c>
      <c r="Q59" s="1142">
        <v>0.15</v>
      </c>
      <c r="R59" s="1143"/>
      <c r="S59" s="206">
        <f t="shared" si="0"/>
        <v>0</v>
      </c>
      <c r="T59" s="207">
        <f t="shared" si="1"/>
        <v>0</v>
      </c>
      <c r="U59" s="1068" t="s">
        <v>83</v>
      </c>
      <c r="V59" s="1069"/>
      <c r="W59" s="649"/>
    </row>
    <row r="60" spans="1:23" ht="22.95" customHeight="1" x14ac:dyDescent="0.4">
      <c r="A60" s="788">
        <v>59</v>
      </c>
      <c r="B60" s="246" t="s">
        <v>2616</v>
      </c>
      <c r="C60" s="246" t="s">
        <v>24</v>
      </c>
      <c r="D60" s="1134">
        <v>3225</v>
      </c>
      <c r="E60" s="246" t="s">
        <v>2701</v>
      </c>
      <c r="F60" s="246" t="s">
        <v>2702</v>
      </c>
      <c r="G60" s="679">
        <v>6014</v>
      </c>
      <c r="H60" s="246" t="s">
        <v>2617</v>
      </c>
      <c r="I60" s="246" t="s">
        <v>175</v>
      </c>
      <c r="J60" s="79" t="s">
        <v>58</v>
      </c>
      <c r="K60" s="79" t="s">
        <v>57</v>
      </c>
      <c r="L60" s="1067">
        <v>0.7</v>
      </c>
      <c r="M60" s="756" t="s">
        <v>2707</v>
      </c>
      <c r="N60" s="858" t="s">
        <v>2708</v>
      </c>
      <c r="O60" s="858"/>
      <c r="P60" s="658">
        <v>0.1</v>
      </c>
      <c r="Q60" s="1069">
        <v>4.3749999999999997E-2</v>
      </c>
      <c r="R60" s="658"/>
      <c r="S60" s="206">
        <f t="shared" si="0"/>
        <v>0</v>
      </c>
      <c r="T60" s="207">
        <f t="shared" si="1"/>
        <v>0</v>
      </c>
      <c r="U60" s="657" t="s">
        <v>83</v>
      </c>
      <c r="V60" s="1069"/>
      <c r="W60" s="649"/>
    </row>
    <row r="61" spans="1:23" ht="22.95" customHeight="1" x14ac:dyDescent="0.4">
      <c r="A61" s="788">
        <v>60</v>
      </c>
      <c r="B61" s="246" t="s">
        <v>2616</v>
      </c>
      <c r="C61" s="246" t="s">
        <v>24</v>
      </c>
      <c r="D61" s="1134">
        <v>3225</v>
      </c>
      <c r="E61" s="246" t="s">
        <v>2701</v>
      </c>
      <c r="F61" s="246" t="s">
        <v>2702</v>
      </c>
      <c r="G61" s="679">
        <v>6014</v>
      </c>
      <c r="H61" s="246" t="s">
        <v>2617</v>
      </c>
      <c r="I61" s="246" t="s">
        <v>175</v>
      </c>
      <c r="J61" s="79" t="s">
        <v>58</v>
      </c>
      <c r="K61" s="79" t="s">
        <v>57</v>
      </c>
      <c r="L61" s="1067">
        <v>0.7</v>
      </c>
      <c r="M61" s="756" t="s">
        <v>2709</v>
      </c>
      <c r="N61" s="858" t="s">
        <v>2710</v>
      </c>
      <c r="O61" s="858"/>
      <c r="P61" s="658">
        <v>1</v>
      </c>
      <c r="Q61" s="1136">
        <v>0.21875</v>
      </c>
      <c r="R61" s="658"/>
      <c r="S61" s="206">
        <f t="shared" si="0"/>
        <v>0</v>
      </c>
      <c r="T61" s="207">
        <f t="shared" si="1"/>
        <v>0</v>
      </c>
      <c r="U61" s="657" t="s">
        <v>34</v>
      </c>
      <c r="V61" s="1069"/>
      <c r="W61" s="649"/>
    </row>
    <row r="62" spans="1:23" ht="22.95" customHeight="1" x14ac:dyDescent="0.4">
      <c r="A62" s="788">
        <v>61</v>
      </c>
      <c r="B62" s="246" t="s">
        <v>2616</v>
      </c>
      <c r="C62" s="246" t="s">
        <v>24</v>
      </c>
      <c r="D62" s="1134">
        <v>3225</v>
      </c>
      <c r="E62" s="246" t="s">
        <v>2701</v>
      </c>
      <c r="F62" s="246" t="s">
        <v>2702</v>
      </c>
      <c r="G62" s="679">
        <v>6014</v>
      </c>
      <c r="H62" s="246" t="s">
        <v>2617</v>
      </c>
      <c r="I62" s="246" t="s">
        <v>175</v>
      </c>
      <c r="J62" s="79" t="s">
        <v>58</v>
      </c>
      <c r="K62" s="79" t="s">
        <v>57</v>
      </c>
      <c r="L62" s="1067">
        <v>0.7</v>
      </c>
      <c r="M62" s="756" t="s">
        <v>2711</v>
      </c>
      <c r="N62" s="858" t="s">
        <v>2712</v>
      </c>
      <c r="O62" s="858" t="s">
        <v>2713</v>
      </c>
      <c r="P62" s="658">
        <v>1</v>
      </c>
      <c r="Q62" s="1136">
        <v>4.3749999999999997E-2</v>
      </c>
      <c r="R62" s="658"/>
      <c r="S62" s="206">
        <f t="shared" si="0"/>
        <v>0</v>
      </c>
      <c r="T62" s="207">
        <f t="shared" si="1"/>
        <v>0</v>
      </c>
      <c r="U62" s="657" t="s">
        <v>34</v>
      </c>
      <c r="V62" s="1069"/>
      <c r="W62" s="649"/>
    </row>
    <row r="63" spans="1:23" ht="22.95" customHeight="1" x14ac:dyDescent="0.4">
      <c r="A63" s="788">
        <v>62</v>
      </c>
      <c r="B63" s="246" t="s">
        <v>2616</v>
      </c>
      <c r="C63" s="246" t="s">
        <v>24</v>
      </c>
      <c r="D63" s="1134">
        <v>3225</v>
      </c>
      <c r="E63" s="246" t="s">
        <v>2701</v>
      </c>
      <c r="F63" s="246" t="s">
        <v>2702</v>
      </c>
      <c r="G63" s="679">
        <v>6014</v>
      </c>
      <c r="H63" s="246" t="s">
        <v>2617</v>
      </c>
      <c r="I63" s="246" t="s">
        <v>175</v>
      </c>
      <c r="J63" s="79" t="s">
        <v>58</v>
      </c>
      <c r="K63" s="79" t="s">
        <v>57</v>
      </c>
      <c r="L63" s="1067">
        <v>0.7</v>
      </c>
      <c r="M63" s="756" t="s">
        <v>2714</v>
      </c>
      <c r="N63" s="858" t="s">
        <v>2715</v>
      </c>
      <c r="O63" s="858"/>
      <c r="P63" s="1144">
        <v>15</v>
      </c>
      <c r="Q63" s="1136">
        <v>4.3749999999999997E-2</v>
      </c>
      <c r="R63" s="1144"/>
      <c r="S63" s="206">
        <f t="shared" si="0"/>
        <v>0</v>
      </c>
      <c r="T63" s="207">
        <f t="shared" si="1"/>
        <v>0</v>
      </c>
      <c r="U63" s="657" t="s">
        <v>34</v>
      </c>
      <c r="V63" s="1069"/>
      <c r="W63" s="649"/>
    </row>
    <row r="64" spans="1:23" ht="22.95" customHeight="1" x14ac:dyDescent="0.4">
      <c r="A64" s="788">
        <v>63</v>
      </c>
      <c r="B64" s="246" t="s">
        <v>2616</v>
      </c>
      <c r="C64" s="246" t="s">
        <v>24</v>
      </c>
      <c r="D64" s="1134">
        <v>3225</v>
      </c>
      <c r="E64" s="246" t="s">
        <v>2701</v>
      </c>
      <c r="F64" s="246" t="s">
        <v>2702</v>
      </c>
      <c r="G64" s="679">
        <v>6014</v>
      </c>
      <c r="H64" s="246" t="s">
        <v>2617</v>
      </c>
      <c r="I64" s="246" t="s">
        <v>175</v>
      </c>
      <c r="J64" s="648" t="s">
        <v>111</v>
      </c>
      <c r="K64" s="210" t="s">
        <v>110</v>
      </c>
      <c r="L64" s="1145">
        <v>0.3</v>
      </c>
      <c r="M64" s="829" t="s">
        <v>2716</v>
      </c>
      <c r="N64" s="1061" t="s">
        <v>2717</v>
      </c>
      <c r="O64" s="1061"/>
      <c r="P64" s="1146">
        <v>1</v>
      </c>
      <c r="Q64" s="1147">
        <v>0.4</v>
      </c>
      <c r="R64" s="1146"/>
      <c r="S64" s="216">
        <f t="shared" si="0"/>
        <v>0</v>
      </c>
      <c r="T64" s="217">
        <f t="shared" si="1"/>
        <v>0</v>
      </c>
      <c r="U64" s="233" t="s">
        <v>34</v>
      </c>
      <c r="V64" s="1148"/>
      <c r="W64" s="649"/>
    </row>
    <row r="65" spans="1:23" ht="22.95" customHeight="1" x14ac:dyDescent="0.4">
      <c r="A65" s="788">
        <v>64</v>
      </c>
      <c r="B65" s="246" t="s">
        <v>2616</v>
      </c>
      <c r="C65" s="246" t="s">
        <v>24</v>
      </c>
      <c r="D65" s="1134">
        <v>3225</v>
      </c>
      <c r="E65" s="246" t="s">
        <v>2701</v>
      </c>
      <c r="F65" s="246" t="s">
        <v>2702</v>
      </c>
      <c r="G65" s="679">
        <v>6014</v>
      </c>
      <c r="H65" s="246" t="s">
        <v>2617</v>
      </c>
      <c r="I65" s="246" t="s">
        <v>175</v>
      </c>
      <c r="J65" s="648" t="s">
        <v>111</v>
      </c>
      <c r="K65" s="210" t="s">
        <v>110</v>
      </c>
      <c r="L65" s="1145">
        <v>0.3</v>
      </c>
      <c r="M65" s="829" t="s">
        <v>2718</v>
      </c>
      <c r="N65" s="1061" t="s">
        <v>2719</v>
      </c>
      <c r="O65" s="1061" t="s">
        <v>2720</v>
      </c>
      <c r="P65" s="1149">
        <v>3</v>
      </c>
      <c r="Q65" s="1147">
        <v>0.4</v>
      </c>
      <c r="R65" s="1149"/>
      <c r="S65" s="216">
        <f t="shared" si="0"/>
        <v>0</v>
      </c>
      <c r="T65" s="217">
        <f t="shared" si="1"/>
        <v>0</v>
      </c>
      <c r="U65" s="233" t="s">
        <v>34</v>
      </c>
      <c r="V65" s="1148"/>
      <c r="W65" s="649"/>
    </row>
    <row r="66" spans="1:23" ht="22.95" customHeight="1" x14ac:dyDescent="0.4">
      <c r="A66" s="788">
        <v>65</v>
      </c>
      <c r="B66" s="1150" t="s">
        <v>2616</v>
      </c>
      <c r="C66" s="1150" t="s">
        <v>24</v>
      </c>
      <c r="D66" s="1151">
        <v>3225</v>
      </c>
      <c r="E66" s="1150" t="s">
        <v>2701</v>
      </c>
      <c r="F66" s="1150" t="s">
        <v>2702</v>
      </c>
      <c r="G66" s="1152">
        <v>6014</v>
      </c>
      <c r="H66" s="1150" t="s">
        <v>2617</v>
      </c>
      <c r="I66" s="1150" t="s">
        <v>175</v>
      </c>
      <c r="J66" s="1153" t="s">
        <v>111</v>
      </c>
      <c r="K66" s="1154" t="s">
        <v>110</v>
      </c>
      <c r="L66" s="1155">
        <v>0.3</v>
      </c>
      <c r="M66" s="1156"/>
      <c r="N66" s="1157" t="s">
        <v>2721</v>
      </c>
      <c r="O66" s="1157" t="s">
        <v>2722</v>
      </c>
      <c r="P66" s="1158">
        <v>2</v>
      </c>
      <c r="Q66" s="1159">
        <v>0.2</v>
      </c>
      <c r="R66" s="1158"/>
      <c r="S66" s="1160">
        <f t="shared" ref="S66:S129" si="2">ROUND(IF(OR(P66="",R66=""),0,IF(AND(P66=0,R66=0),1,IF(U66="+",R66/P66,P66/R66))),2)</f>
        <v>0</v>
      </c>
      <c r="T66" s="1161">
        <f t="shared" ref="T66:T129" si="3">IF(AND(S66&gt;=60%,S66&lt;100%),S66*((Q66*L66)),IF(S66=100%,((Q66*L66)*S66)*100%,IF(S66&gt;100%,((L66*Q66)*100%)*100%,0)))*100</f>
        <v>0</v>
      </c>
      <c r="U66" s="1162" t="s">
        <v>34</v>
      </c>
      <c r="V66" s="1163"/>
      <c r="W66" s="1001"/>
    </row>
    <row r="67" spans="1:23" ht="22.95" customHeight="1" x14ac:dyDescent="0.4">
      <c r="A67" s="788">
        <v>66</v>
      </c>
      <c r="B67" s="187" t="s">
        <v>2616</v>
      </c>
      <c r="C67" s="187" t="s">
        <v>24</v>
      </c>
      <c r="D67" s="1164">
        <v>3372</v>
      </c>
      <c r="E67" s="236" t="s">
        <v>2723</v>
      </c>
      <c r="F67" s="236" t="s">
        <v>2724</v>
      </c>
      <c r="G67" s="1165">
        <v>3225</v>
      </c>
      <c r="H67" s="236" t="s">
        <v>2701</v>
      </c>
      <c r="I67" s="236" t="s">
        <v>175</v>
      </c>
      <c r="J67" s="193" t="s">
        <v>58</v>
      </c>
      <c r="K67" s="79" t="s">
        <v>57</v>
      </c>
      <c r="L67" s="1052">
        <v>0.7</v>
      </c>
      <c r="M67" s="1166" t="s">
        <v>2725</v>
      </c>
      <c r="N67" s="1167" t="s">
        <v>2726</v>
      </c>
      <c r="O67" s="1168" t="s">
        <v>2727</v>
      </c>
      <c r="P67" s="834">
        <v>15</v>
      </c>
      <c r="Q67" s="1052">
        <v>0.65</v>
      </c>
      <c r="R67" s="834"/>
      <c r="S67" s="855">
        <f t="shared" si="2"/>
        <v>0</v>
      </c>
      <c r="T67" s="854">
        <f t="shared" si="3"/>
        <v>0</v>
      </c>
      <c r="U67" s="855" t="s">
        <v>34</v>
      </c>
      <c r="V67" s="1055">
        <f>SUM(T67:T74)%</f>
        <v>0</v>
      </c>
      <c r="W67" s="653"/>
    </row>
    <row r="68" spans="1:23" ht="22.95" customHeight="1" x14ac:dyDescent="0.4">
      <c r="A68" s="788">
        <v>67</v>
      </c>
      <c r="B68" s="246" t="s">
        <v>2616</v>
      </c>
      <c r="C68" s="246" t="s">
        <v>24</v>
      </c>
      <c r="D68" s="1169">
        <v>3372</v>
      </c>
      <c r="E68" s="198" t="s">
        <v>2723</v>
      </c>
      <c r="F68" s="198" t="s">
        <v>2724</v>
      </c>
      <c r="G68" s="1170">
        <v>3225</v>
      </c>
      <c r="H68" s="198" t="s">
        <v>2701</v>
      </c>
      <c r="I68" s="198" t="s">
        <v>175</v>
      </c>
      <c r="J68" s="79" t="s">
        <v>58</v>
      </c>
      <c r="K68" s="79" t="s">
        <v>57</v>
      </c>
      <c r="L68" s="1067">
        <v>0.7</v>
      </c>
      <c r="M68" s="1171" t="s">
        <v>2728</v>
      </c>
      <c r="N68" s="1172" t="s">
        <v>2729</v>
      </c>
      <c r="O68" s="1173" t="s">
        <v>2730</v>
      </c>
      <c r="P68" s="79">
        <v>3</v>
      </c>
      <c r="Q68" s="1067">
        <v>0.05</v>
      </c>
      <c r="R68" s="79"/>
      <c r="S68" s="204">
        <f t="shared" si="2"/>
        <v>0</v>
      </c>
      <c r="T68" s="960">
        <f t="shared" si="3"/>
        <v>0</v>
      </c>
      <c r="U68" s="204" t="s">
        <v>34</v>
      </c>
      <c r="V68" s="1067"/>
      <c r="W68" s="649"/>
    </row>
    <row r="69" spans="1:23" ht="22.95" customHeight="1" x14ac:dyDescent="0.4">
      <c r="A69" s="788">
        <v>68</v>
      </c>
      <c r="B69" s="246" t="s">
        <v>2616</v>
      </c>
      <c r="C69" s="246" t="s">
        <v>24</v>
      </c>
      <c r="D69" s="1169">
        <v>3372</v>
      </c>
      <c r="E69" s="198" t="s">
        <v>2723</v>
      </c>
      <c r="F69" s="198" t="s">
        <v>2724</v>
      </c>
      <c r="G69" s="1170">
        <v>3225</v>
      </c>
      <c r="H69" s="198" t="s">
        <v>2701</v>
      </c>
      <c r="I69" s="198" t="s">
        <v>175</v>
      </c>
      <c r="J69" s="79" t="s">
        <v>58</v>
      </c>
      <c r="K69" s="79" t="s">
        <v>57</v>
      </c>
      <c r="L69" s="1067">
        <v>0.7</v>
      </c>
      <c r="M69" s="1171" t="s">
        <v>2731</v>
      </c>
      <c r="N69" s="1172" t="s">
        <v>2732</v>
      </c>
      <c r="O69" s="1173" t="s">
        <v>2733</v>
      </c>
      <c r="P69" s="814">
        <v>50</v>
      </c>
      <c r="Q69" s="1067">
        <v>0.1</v>
      </c>
      <c r="R69" s="814"/>
      <c r="S69" s="204">
        <f t="shared" si="2"/>
        <v>0</v>
      </c>
      <c r="T69" s="960">
        <f t="shared" si="3"/>
        <v>0</v>
      </c>
      <c r="U69" s="204" t="s">
        <v>34</v>
      </c>
      <c r="V69" s="1067"/>
      <c r="W69" s="649"/>
    </row>
    <row r="70" spans="1:23" ht="22.95" customHeight="1" x14ac:dyDescent="0.4">
      <c r="A70" s="788">
        <v>69</v>
      </c>
      <c r="B70" s="246" t="s">
        <v>2616</v>
      </c>
      <c r="C70" s="246" t="s">
        <v>24</v>
      </c>
      <c r="D70" s="1169">
        <v>3372</v>
      </c>
      <c r="E70" s="198" t="s">
        <v>2723</v>
      </c>
      <c r="F70" s="198" t="s">
        <v>2724</v>
      </c>
      <c r="G70" s="1170">
        <v>3225</v>
      </c>
      <c r="H70" s="198" t="s">
        <v>2701</v>
      </c>
      <c r="I70" s="198" t="s">
        <v>175</v>
      </c>
      <c r="J70" s="79" t="s">
        <v>58</v>
      </c>
      <c r="K70" s="79" t="s">
        <v>57</v>
      </c>
      <c r="L70" s="1067">
        <v>0.7</v>
      </c>
      <c r="M70" s="1171" t="s">
        <v>2734</v>
      </c>
      <c r="N70" s="1172" t="s">
        <v>2735</v>
      </c>
      <c r="O70" s="1173" t="s">
        <v>2736</v>
      </c>
      <c r="P70" s="647">
        <v>1</v>
      </c>
      <c r="Q70" s="1067">
        <v>0.05</v>
      </c>
      <c r="R70" s="647"/>
      <c r="S70" s="204">
        <f t="shared" si="2"/>
        <v>0</v>
      </c>
      <c r="T70" s="960">
        <f t="shared" si="3"/>
        <v>0</v>
      </c>
      <c r="U70" s="204" t="s">
        <v>34</v>
      </c>
      <c r="V70" s="1067"/>
      <c r="W70" s="649"/>
    </row>
    <row r="71" spans="1:23" ht="22.95" customHeight="1" x14ac:dyDescent="0.4">
      <c r="A71" s="788">
        <v>70</v>
      </c>
      <c r="B71" s="246" t="s">
        <v>2616</v>
      </c>
      <c r="C71" s="246" t="s">
        <v>24</v>
      </c>
      <c r="D71" s="1169">
        <v>3372</v>
      </c>
      <c r="E71" s="198" t="s">
        <v>2723</v>
      </c>
      <c r="F71" s="198" t="s">
        <v>2724</v>
      </c>
      <c r="G71" s="1170">
        <v>3225</v>
      </c>
      <c r="H71" s="198" t="s">
        <v>2701</v>
      </c>
      <c r="I71" s="198" t="s">
        <v>175</v>
      </c>
      <c r="J71" s="79" t="s">
        <v>58</v>
      </c>
      <c r="K71" s="79" t="s">
        <v>57</v>
      </c>
      <c r="L71" s="1067">
        <v>0.7</v>
      </c>
      <c r="M71" s="1171" t="s">
        <v>2737</v>
      </c>
      <c r="N71" s="1172" t="s">
        <v>2738</v>
      </c>
      <c r="O71" s="1173" t="s">
        <v>2739</v>
      </c>
      <c r="P71" s="815">
        <v>1</v>
      </c>
      <c r="Q71" s="1067">
        <v>0.05</v>
      </c>
      <c r="R71" s="815"/>
      <c r="S71" s="204">
        <f t="shared" si="2"/>
        <v>0</v>
      </c>
      <c r="T71" s="960">
        <f t="shared" si="3"/>
        <v>0</v>
      </c>
      <c r="U71" s="204" t="s">
        <v>34</v>
      </c>
      <c r="V71" s="1067"/>
      <c r="W71" s="649"/>
    </row>
    <row r="72" spans="1:23" ht="22.95" customHeight="1" x14ac:dyDescent="0.4">
      <c r="A72" s="788">
        <v>71</v>
      </c>
      <c r="B72" s="246" t="s">
        <v>2616</v>
      </c>
      <c r="C72" s="246" t="s">
        <v>24</v>
      </c>
      <c r="D72" s="1169">
        <v>3372</v>
      </c>
      <c r="E72" s="198" t="s">
        <v>2723</v>
      </c>
      <c r="F72" s="198" t="s">
        <v>2724</v>
      </c>
      <c r="G72" s="1170">
        <v>3225</v>
      </c>
      <c r="H72" s="198" t="s">
        <v>2701</v>
      </c>
      <c r="I72" s="198" t="s">
        <v>175</v>
      </c>
      <c r="J72" s="79" t="s">
        <v>58</v>
      </c>
      <c r="K72" s="79" t="s">
        <v>57</v>
      </c>
      <c r="L72" s="1067">
        <v>0.7</v>
      </c>
      <c r="M72" s="1171" t="s">
        <v>2740</v>
      </c>
      <c r="N72" s="1172" t="s">
        <v>2741</v>
      </c>
      <c r="O72" s="1173" t="s">
        <v>2742</v>
      </c>
      <c r="P72" s="647">
        <v>1</v>
      </c>
      <c r="Q72" s="1067">
        <v>0.1</v>
      </c>
      <c r="R72" s="647"/>
      <c r="S72" s="204">
        <f t="shared" si="2"/>
        <v>0</v>
      </c>
      <c r="T72" s="960">
        <f t="shared" si="3"/>
        <v>0</v>
      </c>
      <c r="U72" s="204" t="s">
        <v>34</v>
      </c>
      <c r="V72" s="1067"/>
      <c r="W72" s="649"/>
    </row>
    <row r="73" spans="1:23" ht="22.95" customHeight="1" x14ac:dyDescent="0.4">
      <c r="A73" s="788">
        <v>72</v>
      </c>
      <c r="B73" s="246" t="s">
        <v>2616</v>
      </c>
      <c r="C73" s="246" t="s">
        <v>24</v>
      </c>
      <c r="D73" s="1169">
        <v>3372</v>
      </c>
      <c r="E73" s="198" t="s">
        <v>2723</v>
      </c>
      <c r="F73" s="198" t="s">
        <v>2724</v>
      </c>
      <c r="G73" s="1170">
        <v>3225</v>
      </c>
      <c r="H73" s="198" t="s">
        <v>2701</v>
      </c>
      <c r="I73" s="198" t="s">
        <v>175</v>
      </c>
      <c r="J73" s="220" t="s">
        <v>111</v>
      </c>
      <c r="K73" s="220" t="s">
        <v>2743</v>
      </c>
      <c r="L73" s="1174">
        <v>0.3</v>
      </c>
      <c r="M73" s="1107" t="s">
        <v>1470</v>
      </c>
      <c r="N73" s="1108" t="s">
        <v>212</v>
      </c>
      <c r="O73" s="1175" t="s">
        <v>2744</v>
      </c>
      <c r="P73" s="802">
        <v>9</v>
      </c>
      <c r="Q73" s="1174">
        <v>0.9</v>
      </c>
      <c r="R73" s="802"/>
      <c r="S73" s="215">
        <f t="shared" si="2"/>
        <v>0</v>
      </c>
      <c r="T73" s="223">
        <f t="shared" si="3"/>
        <v>0</v>
      </c>
      <c r="U73" s="215" t="s">
        <v>34</v>
      </c>
      <c r="V73" s="1174"/>
      <c r="W73" s="649"/>
    </row>
    <row r="74" spans="1:23" ht="22.95" customHeight="1" x14ac:dyDescent="0.4">
      <c r="A74" s="788">
        <v>73</v>
      </c>
      <c r="B74" s="1150" t="s">
        <v>2616</v>
      </c>
      <c r="C74" s="1150" t="s">
        <v>24</v>
      </c>
      <c r="D74" s="1176">
        <v>3372</v>
      </c>
      <c r="E74" s="1177" t="s">
        <v>2723</v>
      </c>
      <c r="F74" s="1177" t="s">
        <v>2724</v>
      </c>
      <c r="G74" s="1178">
        <v>3225</v>
      </c>
      <c r="H74" s="1177" t="s">
        <v>2701</v>
      </c>
      <c r="I74" s="1177" t="s">
        <v>175</v>
      </c>
      <c r="J74" s="1125" t="s">
        <v>111</v>
      </c>
      <c r="K74" s="1125" t="s">
        <v>2743</v>
      </c>
      <c r="L74" s="1179">
        <v>0.3</v>
      </c>
      <c r="M74" s="1180" t="s">
        <v>2745</v>
      </c>
      <c r="N74" s="1181" t="s">
        <v>2746</v>
      </c>
      <c r="O74" s="1182"/>
      <c r="P74" s="1126">
        <v>1</v>
      </c>
      <c r="Q74" s="1179">
        <v>0.1</v>
      </c>
      <c r="R74" s="1126"/>
      <c r="S74" s="215">
        <f t="shared" si="2"/>
        <v>0</v>
      </c>
      <c r="T74" s="223">
        <f t="shared" si="3"/>
        <v>0</v>
      </c>
      <c r="U74" s="1183" t="s">
        <v>34</v>
      </c>
      <c r="V74" s="1179"/>
      <c r="W74" s="649"/>
    </row>
    <row r="75" spans="1:23" ht="22.95" customHeight="1" x14ac:dyDescent="0.4">
      <c r="A75" s="788">
        <v>74</v>
      </c>
      <c r="B75" s="187" t="s">
        <v>2616</v>
      </c>
      <c r="C75" s="187" t="s">
        <v>24</v>
      </c>
      <c r="D75" s="1164">
        <v>3865</v>
      </c>
      <c r="E75" s="243" t="s">
        <v>2747</v>
      </c>
      <c r="F75" s="236" t="s">
        <v>2724</v>
      </c>
      <c r="G75" s="1165">
        <v>3225</v>
      </c>
      <c r="H75" s="243" t="s">
        <v>2701</v>
      </c>
      <c r="I75" s="243" t="s">
        <v>175</v>
      </c>
      <c r="J75" s="653" t="s">
        <v>58</v>
      </c>
      <c r="K75" s="653" t="s">
        <v>57</v>
      </c>
      <c r="L75" s="1052">
        <v>0.75</v>
      </c>
      <c r="M75" s="1166" t="s">
        <v>2731</v>
      </c>
      <c r="N75" s="1167" t="s">
        <v>2748</v>
      </c>
      <c r="O75" s="1184" t="s">
        <v>2749</v>
      </c>
      <c r="P75" s="953">
        <v>1</v>
      </c>
      <c r="Q75" s="1052">
        <v>0.4</v>
      </c>
      <c r="R75" s="953"/>
      <c r="S75" s="855">
        <f t="shared" si="2"/>
        <v>0</v>
      </c>
      <c r="T75" s="854">
        <f t="shared" si="3"/>
        <v>0</v>
      </c>
      <c r="U75" s="855" t="s">
        <v>34</v>
      </c>
      <c r="V75" s="1055">
        <f>SUM(T75:T79)%</f>
        <v>0</v>
      </c>
      <c r="W75" s="981" t="s">
        <v>2750</v>
      </c>
    </row>
    <row r="76" spans="1:23" ht="22.95" customHeight="1" x14ac:dyDescent="0.4">
      <c r="A76" s="788">
        <v>75</v>
      </c>
      <c r="B76" s="246" t="s">
        <v>2616</v>
      </c>
      <c r="C76" s="246" t="s">
        <v>24</v>
      </c>
      <c r="D76" s="1169">
        <v>3865</v>
      </c>
      <c r="E76" s="210" t="s">
        <v>2747</v>
      </c>
      <c r="F76" s="198" t="s">
        <v>2724</v>
      </c>
      <c r="G76" s="1170">
        <v>3225</v>
      </c>
      <c r="H76" s="210" t="s">
        <v>2701</v>
      </c>
      <c r="I76" s="210" t="s">
        <v>175</v>
      </c>
      <c r="J76" s="79" t="s">
        <v>58</v>
      </c>
      <c r="K76" s="79" t="s">
        <v>57</v>
      </c>
      <c r="L76" s="1067">
        <v>0.75</v>
      </c>
      <c r="M76" s="1171" t="s">
        <v>2734</v>
      </c>
      <c r="N76" s="1172" t="s">
        <v>2735</v>
      </c>
      <c r="O76" s="1185" t="s">
        <v>2751</v>
      </c>
      <c r="P76" s="669">
        <v>1</v>
      </c>
      <c r="Q76" s="1067">
        <v>0.25</v>
      </c>
      <c r="R76" s="669"/>
      <c r="S76" s="204">
        <f t="shared" si="2"/>
        <v>0</v>
      </c>
      <c r="T76" s="960">
        <f t="shared" si="3"/>
        <v>0</v>
      </c>
      <c r="U76" s="204" t="s">
        <v>34</v>
      </c>
      <c r="V76" s="1067"/>
      <c r="W76" s="649"/>
    </row>
    <row r="77" spans="1:23" ht="22.95" customHeight="1" x14ac:dyDescent="0.4">
      <c r="A77" s="788">
        <v>76</v>
      </c>
      <c r="B77" s="1150" t="s">
        <v>2616</v>
      </c>
      <c r="C77" s="1150" t="s">
        <v>24</v>
      </c>
      <c r="D77" s="1169">
        <v>3865</v>
      </c>
      <c r="E77" s="210" t="s">
        <v>2747</v>
      </c>
      <c r="F77" s="198" t="s">
        <v>2724</v>
      </c>
      <c r="G77" s="1170">
        <v>3225</v>
      </c>
      <c r="H77" s="210" t="s">
        <v>2701</v>
      </c>
      <c r="I77" s="210" t="s">
        <v>175</v>
      </c>
      <c r="J77" s="79" t="s">
        <v>58</v>
      </c>
      <c r="K77" s="79" t="s">
        <v>57</v>
      </c>
      <c r="L77" s="1067">
        <v>0.75</v>
      </c>
      <c r="M77" s="1171" t="s">
        <v>2752</v>
      </c>
      <c r="N77" s="1172" t="s">
        <v>2753</v>
      </c>
      <c r="O77" s="1185" t="s">
        <v>2754</v>
      </c>
      <c r="P77" s="669">
        <v>1</v>
      </c>
      <c r="Q77" s="1067">
        <v>0.35</v>
      </c>
      <c r="R77" s="669"/>
      <c r="S77" s="204">
        <f t="shared" si="2"/>
        <v>0</v>
      </c>
      <c r="T77" s="960">
        <f t="shared" si="3"/>
        <v>0</v>
      </c>
      <c r="U77" s="204" t="s">
        <v>34</v>
      </c>
      <c r="V77" s="1067"/>
      <c r="W77" s="649"/>
    </row>
    <row r="78" spans="1:23" ht="22.95" customHeight="1" x14ac:dyDescent="0.4">
      <c r="A78" s="788">
        <v>77</v>
      </c>
      <c r="B78" s="246" t="s">
        <v>2616</v>
      </c>
      <c r="C78" s="246" t="s">
        <v>24</v>
      </c>
      <c r="D78" s="1169">
        <v>3865</v>
      </c>
      <c r="E78" s="210" t="s">
        <v>2747</v>
      </c>
      <c r="F78" s="198" t="s">
        <v>2724</v>
      </c>
      <c r="G78" s="1170">
        <v>3225</v>
      </c>
      <c r="H78" s="210" t="s">
        <v>2701</v>
      </c>
      <c r="I78" s="210" t="s">
        <v>175</v>
      </c>
      <c r="J78" s="220" t="s">
        <v>111</v>
      </c>
      <c r="K78" s="220" t="s">
        <v>2743</v>
      </c>
      <c r="L78" s="1174">
        <v>0.25</v>
      </c>
      <c r="M78" s="1107" t="s">
        <v>1470</v>
      </c>
      <c r="N78" s="1108" t="s">
        <v>2746</v>
      </c>
      <c r="O78" s="1186" t="s">
        <v>2755</v>
      </c>
      <c r="P78" s="1187">
        <v>1</v>
      </c>
      <c r="Q78" s="1174">
        <v>0.1</v>
      </c>
      <c r="R78" s="1187"/>
      <c r="S78" s="215">
        <f t="shared" si="2"/>
        <v>0</v>
      </c>
      <c r="T78" s="223">
        <f t="shared" si="3"/>
        <v>0</v>
      </c>
      <c r="U78" s="215" t="s">
        <v>34</v>
      </c>
      <c r="V78" s="1174"/>
      <c r="W78" s="649"/>
    </row>
    <row r="79" spans="1:23" ht="22.95" customHeight="1" x14ac:dyDescent="0.4">
      <c r="A79" s="788">
        <v>78</v>
      </c>
      <c r="B79" s="246" t="s">
        <v>2616</v>
      </c>
      <c r="C79" s="246" t="s">
        <v>24</v>
      </c>
      <c r="D79" s="1169">
        <v>3865</v>
      </c>
      <c r="E79" s="210" t="s">
        <v>2747</v>
      </c>
      <c r="F79" s="198" t="s">
        <v>2724</v>
      </c>
      <c r="G79" s="1170">
        <v>3225</v>
      </c>
      <c r="H79" s="210" t="s">
        <v>2701</v>
      </c>
      <c r="I79" s="210" t="s">
        <v>175</v>
      </c>
      <c r="J79" s="220" t="s">
        <v>111</v>
      </c>
      <c r="K79" s="220" t="s">
        <v>2743</v>
      </c>
      <c r="L79" s="1174">
        <v>0.25</v>
      </c>
      <c r="M79" s="1107" t="s">
        <v>2745</v>
      </c>
      <c r="N79" s="1108" t="s">
        <v>212</v>
      </c>
      <c r="O79" s="1186" t="s">
        <v>2756</v>
      </c>
      <c r="P79" s="1188">
        <v>13</v>
      </c>
      <c r="Q79" s="1174">
        <v>0.9</v>
      </c>
      <c r="R79" s="1188"/>
      <c r="S79" s="215">
        <f t="shared" si="2"/>
        <v>0</v>
      </c>
      <c r="T79" s="223">
        <f t="shared" si="3"/>
        <v>0</v>
      </c>
      <c r="U79" s="215" t="s">
        <v>34</v>
      </c>
      <c r="V79" s="1174"/>
      <c r="W79" s="649"/>
    </row>
    <row r="80" spans="1:23" ht="22.95" customHeight="1" x14ac:dyDescent="0.4">
      <c r="A80" s="788">
        <v>79</v>
      </c>
      <c r="B80" s="1189" t="s">
        <v>2616</v>
      </c>
      <c r="C80" s="1189" t="s">
        <v>24</v>
      </c>
      <c r="D80" s="1164">
        <v>3615</v>
      </c>
      <c r="E80" s="243" t="s">
        <v>2757</v>
      </c>
      <c r="F80" s="236" t="s">
        <v>2724</v>
      </c>
      <c r="G80" s="1165">
        <v>3225</v>
      </c>
      <c r="H80" s="243" t="s">
        <v>2701</v>
      </c>
      <c r="I80" s="243" t="s">
        <v>175</v>
      </c>
      <c r="J80" s="193" t="s">
        <v>58</v>
      </c>
      <c r="K80" s="79" t="s">
        <v>57</v>
      </c>
      <c r="L80" s="1052">
        <v>0.5</v>
      </c>
      <c r="M80" s="1166" t="s">
        <v>2731</v>
      </c>
      <c r="N80" s="1167" t="s">
        <v>2732</v>
      </c>
      <c r="O80" s="1168" t="s">
        <v>2758</v>
      </c>
      <c r="P80" s="870">
        <v>50</v>
      </c>
      <c r="Q80" s="1052">
        <v>0.15</v>
      </c>
      <c r="R80" s="870"/>
      <c r="S80" s="855">
        <f t="shared" si="2"/>
        <v>0</v>
      </c>
      <c r="T80" s="854">
        <f t="shared" si="3"/>
        <v>0</v>
      </c>
      <c r="U80" s="855" t="s">
        <v>34</v>
      </c>
      <c r="V80" s="1055">
        <f>SUM(T80:T86)%</f>
        <v>0</v>
      </c>
      <c r="W80" s="653"/>
    </row>
    <row r="81" spans="1:23" ht="22.95" customHeight="1" x14ac:dyDescent="0.4">
      <c r="A81" s="788">
        <v>80</v>
      </c>
      <c r="B81" s="246" t="s">
        <v>2616</v>
      </c>
      <c r="C81" s="246" t="s">
        <v>24</v>
      </c>
      <c r="D81" s="1169">
        <v>3615</v>
      </c>
      <c r="E81" s="210" t="s">
        <v>2757</v>
      </c>
      <c r="F81" s="198" t="s">
        <v>2724</v>
      </c>
      <c r="G81" s="1170">
        <v>3225</v>
      </c>
      <c r="H81" s="210" t="s">
        <v>2701</v>
      </c>
      <c r="I81" s="210" t="s">
        <v>175</v>
      </c>
      <c r="J81" s="79" t="s">
        <v>58</v>
      </c>
      <c r="K81" s="79" t="s">
        <v>57</v>
      </c>
      <c r="L81" s="1067">
        <v>0.5</v>
      </c>
      <c r="M81" s="1171" t="s">
        <v>2759</v>
      </c>
      <c r="N81" s="1172" t="s">
        <v>2760</v>
      </c>
      <c r="O81" s="1173" t="s">
        <v>2761</v>
      </c>
      <c r="P81" s="1068">
        <v>1</v>
      </c>
      <c r="Q81" s="1067">
        <v>0.2</v>
      </c>
      <c r="R81" s="1068"/>
      <c r="S81" s="204">
        <f t="shared" si="2"/>
        <v>0</v>
      </c>
      <c r="T81" s="960">
        <f t="shared" si="3"/>
        <v>0</v>
      </c>
      <c r="U81" s="204" t="s">
        <v>34</v>
      </c>
      <c r="V81" s="1067"/>
      <c r="W81" s="649"/>
    </row>
    <row r="82" spans="1:23" ht="22.95" customHeight="1" x14ac:dyDescent="0.4">
      <c r="A82" s="788">
        <v>81</v>
      </c>
      <c r="B82" s="246" t="s">
        <v>2616</v>
      </c>
      <c r="C82" s="246" t="s">
        <v>24</v>
      </c>
      <c r="D82" s="1169">
        <v>3615</v>
      </c>
      <c r="E82" s="210" t="s">
        <v>2757</v>
      </c>
      <c r="F82" s="198" t="s">
        <v>2724</v>
      </c>
      <c r="G82" s="1170">
        <v>3225</v>
      </c>
      <c r="H82" s="210" t="s">
        <v>2701</v>
      </c>
      <c r="I82" s="210" t="s">
        <v>175</v>
      </c>
      <c r="J82" s="79" t="s">
        <v>58</v>
      </c>
      <c r="K82" s="79" t="s">
        <v>57</v>
      </c>
      <c r="L82" s="1067">
        <v>0.5</v>
      </c>
      <c r="M82" s="1171" t="s">
        <v>2728</v>
      </c>
      <c r="N82" s="1172" t="s">
        <v>2729</v>
      </c>
      <c r="O82" s="1173" t="s">
        <v>2762</v>
      </c>
      <c r="P82" s="815">
        <v>1</v>
      </c>
      <c r="Q82" s="1067">
        <v>0.05</v>
      </c>
      <c r="R82" s="815"/>
      <c r="S82" s="204">
        <f t="shared" si="2"/>
        <v>0</v>
      </c>
      <c r="T82" s="960">
        <f t="shared" si="3"/>
        <v>0</v>
      </c>
      <c r="U82" s="204" t="s">
        <v>34</v>
      </c>
      <c r="V82" s="1067"/>
      <c r="W82" s="649"/>
    </row>
    <row r="83" spans="1:23" ht="22.95" customHeight="1" x14ac:dyDescent="0.4">
      <c r="A83" s="788">
        <v>82</v>
      </c>
      <c r="B83" s="246" t="s">
        <v>2616</v>
      </c>
      <c r="C83" s="246" t="s">
        <v>24</v>
      </c>
      <c r="D83" s="1169">
        <v>3615</v>
      </c>
      <c r="E83" s="210" t="s">
        <v>2757</v>
      </c>
      <c r="F83" s="198" t="s">
        <v>2724</v>
      </c>
      <c r="G83" s="1170">
        <v>3225</v>
      </c>
      <c r="H83" s="210" t="s">
        <v>2701</v>
      </c>
      <c r="I83" s="210" t="s">
        <v>175</v>
      </c>
      <c r="J83" s="79" t="s">
        <v>58</v>
      </c>
      <c r="K83" s="79" t="s">
        <v>57</v>
      </c>
      <c r="L83" s="1067">
        <v>0.5</v>
      </c>
      <c r="M83" s="1171" t="s">
        <v>2752</v>
      </c>
      <c r="N83" s="1172" t="s">
        <v>2753</v>
      </c>
      <c r="O83" s="1173" t="s">
        <v>2763</v>
      </c>
      <c r="P83" s="815">
        <v>1</v>
      </c>
      <c r="Q83" s="1067">
        <v>0.55000000000000004</v>
      </c>
      <c r="R83" s="815"/>
      <c r="S83" s="204">
        <f t="shared" si="2"/>
        <v>0</v>
      </c>
      <c r="T83" s="960">
        <f t="shared" si="3"/>
        <v>0</v>
      </c>
      <c r="U83" s="204" t="s">
        <v>34</v>
      </c>
      <c r="V83" s="1067"/>
      <c r="W83" s="649"/>
    </row>
    <row r="84" spans="1:23" ht="22.95" customHeight="1" x14ac:dyDescent="0.4">
      <c r="A84" s="788">
        <v>83</v>
      </c>
      <c r="B84" s="246" t="s">
        <v>2616</v>
      </c>
      <c r="C84" s="246" t="s">
        <v>24</v>
      </c>
      <c r="D84" s="1169">
        <v>3615</v>
      </c>
      <c r="E84" s="210" t="s">
        <v>2757</v>
      </c>
      <c r="F84" s="198" t="s">
        <v>2724</v>
      </c>
      <c r="G84" s="1170">
        <v>3225</v>
      </c>
      <c r="H84" s="210" t="s">
        <v>2701</v>
      </c>
      <c r="I84" s="210" t="s">
        <v>175</v>
      </c>
      <c r="J84" s="79" t="s">
        <v>58</v>
      </c>
      <c r="K84" s="79" t="s">
        <v>57</v>
      </c>
      <c r="L84" s="1067">
        <v>0.5</v>
      </c>
      <c r="M84" s="1171" t="s">
        <v>2734</v>
      </c>
      <c r="N84" s="1172" t="s">
        <v>2735</v>
      </c>
      <c r="O84" s="1173" t="s">
        <v>2764</v>
      </c>
      <c r="P84" s="815">
        <v>1</v>
      </c>
      <c r="Q84" s="1067">
        <v>0.05</v>
      </c>
      <c r="R84" s="815"/>
      <c r="S84" s="204">
        <f t="shared" si="2"/>
        <v>0</v>
      </c>
      <c r="T84" s="960">
        <f t="shared" si="3"/>
        <v>0</v>
      </c>
      <c r="U84" s="204" t="s">
        <v>34</v>
      </c>
      <c r="V84" s="1067"/>
      <c r="W84" s="649"/>
    </row>
    <row r="85" spans="1:23" ht="22.95" customHeight="1" x14ac:dyDescent="0.4">
      <c r="A85" s="788">
        <v>84</v>
      </c>
      <c r="B85" s="246" t="s">
        <v>2616</v>
      </c>
      <c r="C85" s="246" t="s">
        <v>24</v>
      </c>
      <c r="D85" s="1169">
        <v>3615</v>
      </c>
      <c r="E85" s="210" t="s">
        <v>2757</v>
      </c>
      <c r="F85" s="198" t="s">
        <v>2724</v>
      </c>
      <c r="G85" s="1170">
        <v>3225</v>
      </c>
      <c r="H85" s="210" t="s">
        <v>2701</v>
      </c>
      <c r="I85" s="210" t="s">
        <v>175</v>
      </c>
      <c r="J85" s="220" t="s">
        <v>111</v>
      </c>
      <c r="K85" s="220" t="s">
        <v>2743</v>
      </c>
      <c r="L85" s="1174">
        <v>0.5</v>
      </c>
      <c r="M85" s="1107" t="s">
        <v>1470</v>
      </c>
      <c r="N85" s="1108" t="s">
        <v>2746</v>
      </c>
      <c r="O85" s="1175" t="s">
        <v>2755</v>
      </c>
      <c r="P85" s="803">
        <v>1</v>
      </c>
      <c r="Q85" s="1145">
        <v>0.1</v>
      </c>
      <c r="R85" s="803"/>
      <c r="S85" s="215">
        <f t="shared" si="2"/>
        <v>0</v>
      </c>
      <c r="T85" s="223">
        <f t="shared" si="3"/>
        <v>0</v>
      </c>
      <c r="U85" s="215" t="s">
        <v>34</v>
      </c>
      <c r="V85" s="1174"/>
      <c r="W85" s="649"/>
    </row>
    <row r="86" spans="1:23" ht="22.95" customHeight="1" x14ac:dyDescent="0.4">
      <c r="A86" s="788">
        <v>85</v>
      </c>
      <c r="B86" s="246" t="s">
        <v>2616</v>
      </c>
      <c r="C86" s="246" t="s">
        <v>24</v>
      </c>
      <c r="D86" s="1169">
        <v>3615</v>
      </c>
      <c r="E86" s="210" t="s">
        <v>2757</v>
      </c>
      <c r="F86" s="198" t="s">
        <v>2724</v>
      </c>
      <c r="G86" s="1170">
        <v>3225</v>
      </c>
      <c r="H86" s="210" t="s">
        <v>2701</v>
      </c>
      <c r="I86" s="210" t="s">
        <v>175</v>
      </c>
      <c r="J86" s="220" t="s">
        <v>111</v>
      </c>
      <c r="K86" s="220" t="s">
        <v>2743</v>
      </c>
      <c r="L86" s="1174">
        <v>0.5</v>
      </c>
      <c r="M86" s="1107" t="s">
        <v>2745</v>
      </c>
      <c r="N86" s="1108" t="s">
        <v>212</v>
      </c>
      <c r="O86" s="1190" t="s">
        <v>2765</v>
      </c>
      <c r="P86" s="1149">
        <v>12</v>
      </c>
      <c r="Q86" s="1174">
        <v>0.9</v>
      </c>
      <c r="R86" s="1149"/>
      <c r="S86" s="215">
        <f t="shared" si="2"/>
        <v>0</v>
      </c>
      <c r="T86" s="223">
        <f t="shared" si="3"/>
        <v>0</v>
      </c>
      <c r="U86" s="215" t="s">
        <v>34</v>
      </c>
      <c r="V86" s="1174"/>
      <c r="W86" s="649"/>
    </row>
    <row r="87" spans="1:23" ht="22.95" customHeight="1" x14ac:dyDescent="0.4">
      <c r="A87" s="788">
        <v>86</v>
      </c>
      <c r="B87" s="187" t="s">
        <v>2616</v>
      </c>
      <c r="C87" s="187" t="s">
        <v>24</v>
      </c>
      <c r="D87" s="1164">
        <v>2389</v>
      </c>
      <c r="E87" s="236" t="s">
        <v>2766</v>
      </c>
      <c r="F87" s="236" t="s">
        <v>2767</v>
      </c>
      <c r="G87" s="238">
        <v>6014</v>
      </c>
      <c r="H87" s="236" t="s">
        <v>2617</v>
      </c>
      <c r="I87" s="236" t="s">
        <v>175</v>
      </c>
      <c r="J87" s="187" t="s">
        <v>58</v>
      </c>
      <c r="K87" s="187" t="s">
        <v>57</v>
      </c>
      <c r="L87" s="1191">
        <v>0.7</v>
      </c>
      <c r="M87" s="1192" t="s">
        <v>2768</v>
      </c>
      <c r="N87" s="790" t="s">
        <v>2769</v>
      </c>
      <c r="O87" s="239" t="s">
        <v>2770</v>
      </c>
      <c r="P87" s="752">
        <v>0.6</v>
      </c>
      <c r="Q87" s="1193">
        <v>0.1</v>
      </c>
      <c r="R87" s="752"/>
      <c r="S87" s="195">
        <f t="shared" si="2"/>
        <v>0</v>
      </c>
      <c r="T87" s="196">
        <f t="shared" si="3"/>
        <v>0</v>
      </c>
      <c r="U87" s="197" t="s">
        <v>34</v>
      </c>
      <c r="V87" s="1194">
        <f>SUM(T87:T94)%</f>
        <v>0</v>
      </c>
      <c r="W87" s="243"/>
    </row>
    <row r="88" spans="1:23" ht="22.95" customHeight="1" x14ac:dyDescent="0.4">
      <c r="A88" s="788">
        <v>87</v>
      </c>
      <c r="B88" s="245" t="s">
        <v>2616</v>
      </c>
      <c r="C88" s="246" t="s">
        <v>24</v>
      </c>
      <c r="D88" s="1169">
        <v>2389</v>
      </c>
      <c r="E88" s="198" t="s">
        <v>2766</v>
      </c>
      <c r="F88" s="198" t="s">
        <v>2767</v>
      </c>
      <c r="G88" s="200">
        <v>6014</v>
      </c>
      <c r="H88" s="198" t="s">
        <v>2617</v>
      </c>
      <c r="I88" s="198" t="s">
        <v>175</v>
      </c>
      <c r="J88" s="692" t="s">
        <v>58</v>
      </c>
      <c r="K88" s="692" t="s">
        <v>57</v>
      </c>
      <c r="L88" s="1069">
        <v>0.7</v>
      </c>
      <c r="M88" s="1195" t="s">
        <v>2771</v>
      </c>
      <c r="N88" s="928" t="s">
        <v>2772</v>
      </c>
      <c r="O88" s="211" t="s">
        <v>2773</v>
      </c>
      <c r="P88" s="937">
        <v>4500000</v>
      </c>
      <c r="Q88" s="1196">
        <v>0.05</v>
      </c>
      <c r="R88" s="937"/>
      <c r="S88" s="206">
        <f t="shared" si="2"/>
        <v>0</v>
      </c>
      <c r="T88" s="207">
        <f t="shared" si="3"/>
        <v>0</v>
      </c>
      <c r="U88" s="208" t="s">
        <v>83</v>
      </c>
      <c r="V88" s="1197"/>
      <c r="W88" s="210"/>
    </row>
    <row r="89" spans="1:23" ht="22.95" customHeight="1" x14ac:dyDescent="0.4">
      <c r="A89" s="788">
        <v>88</v>
      </c>
      <c r="B89" s="245" t="s">
        <v>2616</v>
      </c>
      <c r="C89" s="246" t="s">
        <v>24</v>
      </c>
      <c r="D89" s="1169">
        <v>2389</v>
      </c>
      <c r="E89" s="198" t="s">
        <v>2766</v>
      </c>
      <c r="F89" s="198" t="s">
        <v>2767</v>
      </c>
      <c r="G89" s="200">
        <v>6014</v>
      </c>
      <c r="H89" s="198" t="s">
        <v>2617</v>
      </c>
      <c r="I89" s="198" t="s">
        <v>175</v>
      </c>
      <c r="J89" s="692" t="s">
        <v>58</v>
      </c>
      <c r="K89" s="692" t="s">
        <v>57</v>
      </c>
      <c r="L89" s="1069">
        <v>0.7</v>
      </c>
      <c r="M89" s="928" t="s">
        <v>2774</v>
      </c>
      <c r="N89" s="928" t="s">
        <v>1544</v>
      </c>
      <c r="O89" s="211"/>
      <c r="P89" s="937">
        <v>3500</v>
      </c>
      <c r="Q89" s="1196">
        <v>0.45</v>
      </c>
      <c r="R89" s="937"/>
      <c r="S89" s="206">
        <f t="shared" si="2"/>
        <v>0</v>
      </c>
      <c r="T89" s="207">
        <f t="shared" si="3"/>
        <v>0</v>
      </c>
      <c r="U89" s="208" t="s">
        <v>34</v>
      </c>
      <c r="V89" s="1197"/>
      <c r="W89" s="210"/>
    </row>
    <row r="90" spans="1:23" ht="22.95" customHeight="1" x14ac:dyDescent="0.4">
      <c r="A90" s="788">
        <v>89</v>
      </c>
      <c r="B90" s="245" t="s">
        <v>2616</v>
      </c>
      <c r="C90" s="246" t="s">
        <v>24</v>
      </c>
      <c r="D90" s="1169">
        <v>2389</v>
      </c>
      <c r="E90" s="198" t="s">
        <v>2766</v>
      </c>
      <c r="F90" s="198" t="s">
        <v>2767</v>
      </c>
      <c r="G90" s="200">
        <v>6014</v>
      </c>
      <c r="H90" s="198" t="s">
        <v>2617</v>
      </c>
      <c r="I90" s="198" t="s">
        <v>175</v>
      </c>
      <c r="J90" s="692" t="s">
        <v>58</v>
      </c>
      <c r="K90" s="692" t="s">
        <v>57</v>
      </c>
      <c r="L90" s="1069">
        <v>0.7</v>
      </c>
      <c r="M90" s="1195" t="s">
        <v>2775</v>
      </c>
      <c r="N90" s="928" t="s">
        <v>2776</v>
      </c>
      <c r="O90" s="211" t="s">
        <v>2777</v>
      </c>
      <c r="P90" s="254">
        <v>0.7</v>
      </c>
      <c r="Q90" s="1196">
        <v>0.15</v>
      </c>
      <c r="R90" s="254"/>
      <c r="S90" s="206">
        <f t="shared" si="2"/>
        <v>0</v>
      </c>
      <c r="T90" s="207">
        <f t="shared" si="3"/>
        <v>0</v>
      </c>
      <c r="U90" s="208" t="s">
        <v>34</v>
      </c>
      <c r="V90" s="1197"/>
      <c r="W90" s="210"/>
    </row>
    <row r="91" spans="1:23" ht="22.95" customHeight="1" x14ac:dyDescent="0.4">
      <c r="A91" s="788">
        <v>90</v>
      </c>
      <c r="B91" s="245" t="s">
        <v>2616</v>
      </c>
      <c r="C91" s="246" t="s">
        <v>24</v>
      </c>
      <c r="D91" s="1169">
        <v>2389</v>
      </c>
      <c r="E91" s="198" t="s">
        <v>2766</v>
      </c>
      <c r="F91" s="198" t="s">
        <v>2767</v>
      </c>
      <c r="G91" s="200">
        <v>6014</v>
      </c>
      <c r="H91" s="198" t="s">
        <v>2617</v>
      </c>
      <c r="I91" s="198" t="s">
        <v>175</v>
      </c>
      <c r="J91" s="692" t="s">
        <v>58</v>
      </c>
      <c r="K91" s="692" t="s">
        <v>57</v>
      </c>
      <c r="L91" s="1069">
        <v>0.7</v>
      </c>
      <c r="M91" s="1195" t="s">
        <v>2778</v>
      </c>
      <c r="N91" s="928" t="s">
        <v>2779</v>
      </c>
      <c r="O91" s="211" t="s">
        <v>2780</v>
      </c>
      <c r="P91" s="254">
        <v>0.85</v>
      </c>
      <c r="Q91" s="1196">
        <v>0.1</v>
      </c>
      <c r="R91" s="254"/>
      <c r="S91" s="206">
        <f t="shared" si="2"/>
        <v>0</v>
      </c>
      <c r="T91" s="207">
        <f t="shared" si="3"/>
        <v>0</v>
      </c>
      <c r="U91" s="208" t="s">
        <v>34</v>
      </c>
      <c r="V91" s="1197"/>
      <c r="W91" s="210"/>
    </row>
    <row r="92" spans="1:23" ht="22.95" customHeight="1" x14ac:dyDescent="0.4">
      <c r="A92" s="788">
        <v>91</v>
      </c>
      <c r="B92" s="245" t="s">
        <v>2616</v>
      </c>
      <c r="C92" s="246" t="s">
        <v>24</v>
      </c>
      <c r="D92" s="1169">
        <v>2389</v>
      </c>
      <c r="E92" s="198" t="s">
        <v>2766</v>
      </c>
      <c r="F92" s="198" t="s">
        <v>2767</v>
      </c>
      <c r="G92" s="200">
        <v>6014</v>
      </c>
      <c r="H92" s="198" t="s">
        <v>2617</v>
      </c>
      <c r="I92" s="198" t="s">
        <v>175</v>
      </c>
      <c r="J92" s="692" t="s">
        <v>58</v>
      </c>
      <c r="K92" s="692" t="s">
        <v>57</v>
      </c>
      <c r="L92" s="1069">
        <v>0.7</v>
      </c>
      <c r="M92" s="1195" t="s">
        <v>2781</v>
      </c>
      <c r="N92" s="928" t="s">
        <v>2782</v>
      </c>
      <c r="O92" s="249" t="s">
        <v>2783</v>
      </c>
      <c r="P92" s="254">
        <v>0.02</v>
      </c>
      <c r="Q92" s="1196">
        <v>0</v>
      </c>
      <c r="R92" s="254"/>
      <c r="S92" s="206">
        <f t="shared" si="2"/>
        <v>0</v>
      </c>
      <c r="T92" s="207">
        <f t="shared" si="3"/>
        <v>0</v>
      </c>
      <c r="U92" s="208" t="s">
        <v>34</v>
      </c>
      <c r="V92" s="1197"/>
      <c r="W92" s="210"/>
    </row>
    <row r="93" spans="1:23" ht="22.95" customHeight="1" x14ac:dyDescent="0.4">
      <c r="A93" s="788">
        <v>92</v>
      </c>
      <c r="B93" s="245" t="s">
        <v>2616</v>
      </c>
      <c r="C93" s="246" t="s">
        <v>24</v>
      </c>
      <c r="D93" s="1169">
        <v>2389</v>
      </c>
      <c r="E93" s="198" t="s">
        <v>2766</v>
      </c>
      <c r="F93" s="198" t="s">
        <v>2767</v>
      </c>
      <c r="G93" s="200">
        <v>6014</v>
      </c>
      <c r="H93" s="198" t="s">
        <v>2617</v>
      </c>
      <c r="I93" s="198" t="s">
        <v>175</v>
      </c>
      <c r="J93" s="692" t="s">
        <v>58</v>
      </c>
      <c r="K93" s="692" t="s">
        <v>57</v>
      </c>
      <c r="L93" s="1069">
        <v>0.7</v>
      </c>
      <c r="M93" s="1195" t="s">
        <v>2784</v>
      </c>
      <c r="N93" s="928" t="s">
        <v>2785</v>
      </c>
      <c r="O93" s="211"/>
      <c r="P93" s="254">
        <v>0.9</v>
      </c>
      <c r="Q93" s="1196">
        <v>0.15</v>
      </c>
      <c r="R93" s="254"/>
      <c r="S93" s="206">
        <f t="shared" si="2"/>
        <v>0</v>
      </c>
      <c r="T93" s="207">
        <f t="shared" si="3"/>
        <v>0</v>
      </c>
      <c r="U93" s="208" t="s">
        <v>34</v>
      </c>
      <c r="V93" s="1197"/>
      <c r="W93" s="210"/>
    </row>
    <row r="94" spans="1:23" ht="22.95" customHeight="1" x14ac:dyDescent="0.4">
      <c r="A94" s="788">
        <v>93</v>
      </c>
      <c r="B94" s="245" t="s">
        <v>2616</v>
      </c>
      <c r="C94" s="246" t="s">
        <v>24</v>
      </c>
      <c r="D94" s="1169">
        <v>2389</v>
      </c>
      <c r="E94" s="198" t="s">
        <v>2766</v>
      </c>
      <c r="F94" s="198" t="s">
        <v>2767</v>
      </c>
      <c r="G94" s="200">
        <v>6014</v>
      </c>
      <c r="H94" s="198" t="s">
        <v>2617</v>
      </c>
      <c r="I94" s="198" t="s">
        <v>175</v>
      </c>
      <c r="J94" s="199" t="s">
        <v>111</v>
      </c>
      <c r="K94" s="199" t="s">
        <v>110</v>
      </c>
      <c r="L94" s="1148">
        <v>0.3</v>
      </c>
      <c r="M94" s="772" t="s">
        <v>2718</v>
      </c>
      <c r="N94" s="798" t="s">
        <v>2719</v>
      </c>
      <c r="O94" s="220" t="s">
        <v>2786</v>
      </c>
      <c r="P94" s="798">
        <v>3</v>
      </c>
      <c r="Q94" s="1147">
        <v>1</v>
      </c>
      <c r="R94" s="798"/>
      <c r="S94" s="216">
        <f t="shared" si="2"/>
        <v>0</v>
      </c>
      <c r="T94" s="217">
        <f t="shared" si="3"/>
        <v>0</v>
      </c>
      <c r="U94" s="218" t="s">
        <v>34</v>
      </c>
      <c r="V94" s="1198"/>
      <c r="W94" s="210"/>
    </row>
    <row r="95" spans="1:23" ht="22.95" customHeight="1" x14ac:dyDescent="0.4">
      <c r="A95" s="788">
        <v>94</v>
      </c>
      <c r="B95" s="236" t="s">
        <v>2616</v>
      </c>
      <c r="C95" s="187" t="s">
        <v>24</v>
      </c>
      <c r="D95" s="1164">
        <v>5900</v>
      </c>
      <c r="E95" s="236" t="s">
        <v>2787</v>
      </c>
      <c r="F95" s="236" t="s">
        <v>2788</v>
      </c>
      <c r="G95" s="238">
        <v>2389</v>
      </c>
      <c r="H95" s="236" t="s">
        <v>2789</v>
      </c>
      <c r="I95" s="236" t="s">
        <v>175</v>
      </c>
      <c r="J95" s="187" t="s">
        <v>58</v>
      </c>
      <c r="K95" s="187" t="s">
        <v>57</v>
      </c>
      <c r="L95" s="1191">
        <v>0.7</v>
      </c>
      <c r="M95" s="1192"/>
      <c r="N95" s="790" t="s">
        <v>2790</v>
      </c>
      <c r="O95" s="193"/>
      <c r="P95" s="790">
        <v>5</v>
      </c>
      <c r="Q95" s="1193">
        <v>0.4</v>
      </c>
      <c r="R95" s="790"/>
      <c r="S95" s="195">
        <f t="shared" si="2"/>
        <v>0</v>
      </c>
      <c r="T95" s="196">
        <f t="shared" si="3"/>
        <v>0</v>
      </c>
      <c r="U95" s="197" t="s">
        <v>34</v>
      </c>
      <c r="V95" s="1194">
        <f>SUM(T95:T98)%</f>
        <v>0</v>
      </c>
      <c r="W95" s="243"/>
    </row>
    <row r="96" spans="1:23" ht="22.95" customHeight="1" x14ac:dyDescent="0.4">
      <c r="A96" s="788">
        <v>95</v>
      </c>
      <c r="B96" s="245" t="s">
        <v>2616</v>
      </c>
      <c r="C96" s="246" t="s">
        <v>24</v>
      </c>
      <c r="D96" s="1169">
        <v>5900</v>
      </c>
      <c r="E96" s="198" t="s">
        <v>2787</v>
      </c>
      <c r="F96" s="198" t="s">
        <v>2788</v>
      </c>
      <c r="G96" s="200">
        <v>2389</v>
      </c>
      <c r="H96" s="198" t="s">
        <v>2789</v>
      </c>
      <c r="I96" s="198" t="s">
        <v>175</v>
      </c>
      <c r="J96" s="692" t="s">
        <v>58</v>
      </c>
      <c r="K96" s="692" t="s">
        <v>57</v>
      </c>
      <c r="L96" s="1069">
        <v>0.7</v>
      </c>
      <c r="M96" s="1195"/>
      <c r="N96" s="928" t="s">
        <v>2791</v>
      </c>
      <c r="O96" s="211"/>
      <c r="P96" s="928">
        <v>3</v>
      </c>
      <c r="Q96" s="1196">
        <v>0.3</v>
      </c>
      <c r="R96" s="928"/>
      <c r="S96" s="206">
        <f t="shared" si="2"/>
        <v>0</v>
      </c>
      <c r="T96" s="207">
        <f t="shared" si="3"/>
        <v>0</v>
      </c>
      <c r="U96" s="208" t="s">
        <v>34</v>
      </c>
      <c r="V96" s="1197"/>
      <c r="W96" s="210"/>
    </row>
    <row r="97" spans="1:23" ht="22.95" customHeight="1" x14ac:dyDescent="0.4">
      <c r="A97" s="788">
        <v>96</v>
      </c>
      <c r="B97" s="245" t="s">
        <v>2616</v>
      </c>
      <c r="C97" s="246" t="s">
        <v>24</v>
      </c>
      <c r="D97" s="1169">
        <v>5900</v>
      </c>
      <c r="E97" s="198" t="s">
        <v>2787</v>
      </c>
      <c r="F97" s="198" t="s">
        <v>2788</v>
      </c>
      <c r="G97" s="200">
        <v>2389</v>
      </c>
      <c r="H97" s="198" t="s">
        <v>2789</v>
      </c>
      <c r="I97" s="198" t="s">
        <v>175</v>
      </c>
      <c r="J97" s="692" t="s">
        <v>58</v>
      </c>
      <c r="K97" s="692" t="s">
        <v>57</v>
      </c>
      <c r="L97" s="1069">
        <v>0.7</v>
      </c>
      <c r="M97" s="1195"/>
      <c r="N97" s="928" t="s">
        <v>2792</v>
      </c>
      <c r="O97" s="211"/>
      <c r="P97" s="928">
        <v>100</v>
      </c>
      <c r="Q97" s="1196">
        <v>0.3</v>
      </c>
      <c r="R97" s="928"/>
      <c r="S97" s="206">
        <f t="shared" si="2"/>
        <v>0</v>
      </c>
      <c r="T97" s="207">
        <f t="shared" si="3"/>
        <v>0</v>
      </c>
      <c r="U97" s="208" t="s">
        <v>34</v>
      </c>
      <c r="V97" s="1197"/>
      <c r="W97" s="210"/>
    </row>
    <row r="98" spans="1:23" ht="22.95" customHeight="1" x14ac:dyDescent="0.4">
      <c r="A98" s="788">
        <v>97</v>
      </c>
      <c r="B98" s="245" t="s">
        <v>2616</v>
      </c>
      <c r="C98" s="246" t="s">
        <v>24</v>
      </c>
      <c r="D98" s="1169">
        <v>5900</v>
      </c>
      <c r="E98" s="198" t="s">
        <v>2787</v>
      </c>
      <c r="F98" s="198" t="s">
        <v>2788</v>
      </c>
      <c r="G98" s="200">
        <v>2389</v>
      </c>
      <c r="H98" s="198" t="s">
        <v>2789</v>
      </c>
      <c r="I98" s="198" t="s">
        <v>175</v>
      </c>
      <c r="J98" s="199" t="s">
        <v>111</v>
      </c>
      <c r="K98" s="199" t="s">
        <v>110</v>
      </c>
      <c r="L98" s="1148">
        <v>0.3</v>
      </c>
      <c r="M98" s="649" t="s">
        <v>2718</v>
      </c>
      <c r="N98" s="649" t="s">
        <v>2793</v>
      </c>
      <c r="O98" s="220"/>
      <c r="P98" s="798">
        <v>3</v>
      </c>
      <c r="Q98" s="1199">
        <v>1</v>
      </c>
      <c r="R98" s="798"/>
      <c r="S98" s="216">
        <f t="shared" si="2"/>
        <v>0</v>
      </c>
      <c r="T98" s="217">
        <f t="shared" si="3"/>
        <v>0</v>
      </c>
      <c r="U98" s="218" t="s">
        <v>34</v>
      </c>
      <c r="V98" s="1198"/>
      <c r="W98" s="210"/>
    </row>
    <row r="99" spans="1:23" ht="22.95" customHeight="1" x14ac:dyDescent="0.4">
      <c r="A99" s="788">
        <v>98</v>
      </c>
      <c r="B99" s="187" t="s">
        <v>2616</v>
      </c>
      <c r="C99" s="187" t="s">
        <v>24</v>
      </c>
      <c r="D99" s="1200">
        <v>3606</v>
      </c>
      <c r="E99" s="187" t="s">
        <v>1015</v>
      </c>
      <c r="F99" s="653" t="s">
        <v>2794</v>
      </c>
      <c r="G99" s="674">
        <v>6014</v>
      </c>
      <c r="H99" s="187" t="s">
        <v>2617</v>
      </c>
      <c r="I99" s="187" t="s">
        <v>175</v>
      </c>
      <c r="J99" s="653" t="s">
        <v>58</v>
      </c>
      <c r="K99" s="187" t="s">
        <v>57</v>
      </c>
      <c r="L99" s="1193">
        <v>0.7</v>
      </c>
      <c r="M99" s="748"/>
      <c r="N99" s="653" t="s">
        <v>2795</v>
      </c>
      <c r="O99" s="749" t="s">
        <v>2796</v>
      </c>
      <c r="P99" s="195">
        <v>1</v>
      </c>
      <c r="Q99" s="1193">
        <v>3.5000000000000003E-2</v>
      </c>
      <c r="R99" s="195"/>
      <c r="S99" s="195">
        <f t="shared" si="2"/>
        <v>0</v>
      </c>
      <c r="T99" s="196">
        <f t="shared" si="3"/>
        <v>0</v>
      </c>
      <c r="U99" s="752" t="s">
        <v>83</v>
      </c>
      <c r="V99" s="1133">
        <f>SUM(T99:T112)%</f>
        <v>0</v>
      </c>
      <c r="W99" s="653"/>
    </row>
    <row r="100" spans="1:23" ht="22.95" customHeight="1" x14ac:dyDescent="0.4">
      <c r="A100" s="788">
        <v>99</v>
      </c>
      <c r="B100" s="199" t="s">
        <v>2616</v>
      </c>
      <c r="C100" s="199" t="s">
        <v>24</v>
      </c>
      <c r="D100" s="1082">
        <v>3606</v>
      </c>
      <c r="E100" s="199" t="s">
        <v>1015</v>
      </c>
      <c r="F100" s="199" t="s">
        <v>2794</v>
      </c>
      <c r="G100" s="679">
        <v>6014</v>
      </c>
      <c r="H100" s="199" t="s">
        <v>2617</v>
      </c>
      <c r="I100" s="199" t="s">
        <v>175</v>
      </c>
      <c r="J100" s="79" t="s">
        <v>58</v>
      </c>
      <c r="K100" s="692" t="s">
        <v>57</v>
      </c>
      <c r="L100" s="1067">
        <v>0.7</v>
      </c>
      <c r="M100" s="756"/>
      <c r="N100" s="79" t="s">
        <v>2797</v>
      </c>
      <c r="O100" s="858" t="s">
        <v>2798</v>
      </c>
      <c r="P100" s="206">
        <v>1</v>
      </c>
      <c r="Q100" s="1201">
        <v>7.0000000000000007E-2</v>
      </c>
      <c r="R100" s="206"/>
      <c r="S100" s="206">
        <f t="shared" si="2"/>
        <v>0</v>
      </c>
      <c r="T100" s="207">
        <f t="shared" si="3"/>
        <v>0</v>
      </c>
      <c r="U100" s="1202" t="s">
        <v>34</v>
      </c>
      <c r="V100" s="1203"/>
      <c r="W100" s="649"/>
    </row>
    <row r="101" spans="1:23" ht="22.95" customHeight="1" x14ac:dyDescent="0.4">
      <c r="A101" s="788">
        <v>100</v>
      </c>
      <c r="B101" s="199" t="s">
        <v>2616</v>
      </c>
      <c r="C101" s="199" t="s">
        <v>24</v>
      </c>
      <c r="D101" s="1082">
        <v>3606</v>
      </c>
      <c r="E101" s="199" t="s">
        <v>1015</v>
      </c>
      <c r="F101" s="199" t="s">
        <v>2794</v>
      </c>
      <c r="G101" s="679">
        <v>6014</v>
      </c>
      <c r="H101" s="199" t="s">
        <v>2617</v>
      </c>
      <c r="I101" s="199" t="s">
        <v>175</v>
      </c>
      <c r="J101" s="79" t="s">
        <v>58</v>
      </c>
      <c r="K101" s="692" t="s">
        <v>57</v>
      </c>
      <c r="L101" s="1067">
        <v>0.7</v>
      </c>
      <c r="M101" s="756"/>
      <c r="N101" s="1009" t="s">
        <v>2799</v>
      </c>
      <c r="O101" s="858" t="s">
        <v>2800</v>
      </c>
      <c r="P101" s="207">
        <v>11</v>
      </c>
      <c r="Q101" s="1201">
        <v>0.21</v>
      </c>
      <c r="R101" s="207"/>
      <c r="S101" s="206">
        <f t="shared" si="2"/>
        <v>0</v>
      </c>
      <c r="T101" s="207">
        <f t="shared" si="3"/>
        <v>0</v>
      </c>
      <c r="U101" s="1202" t="s">
        <v>34</v>
      </c>
      <c r="V101" s="1203"/>
      <c r="W101" s="649"/>
    </row>
    <row r="102" spans="1:23" ht="22.95" customHeight="1" x14ac:dyDescent="0.4">
      <c r="A102" s="788">
        <v>101</v>
      </c>
      <c r="B102" s="199" t="s">
        <v>2616</v>
      </c>
      <c r="C102" s="199" t="s">
        <v>24</v>
      </c>
      <c r="D102" s="1082">
        <v>3606</v>
      </c>
      <c r="E102" s="199" t="s">
        <v>1015</v>
      </c>
      <c r="F102" s="199" t="s">
        <v>2794</v>
      </c>
      <c r="G102" s="679">
        <v>6014</v>
      </c>
      <c r="H102" s="199" t="s">
        <v>2617</v>
      </c>
      <c r="I102" s="199" t="s">
        <v>175</v>
      </c>
      <c r="J102" s="79" t="s">
        <v>58</v>
      </c>
      <c r="K102" s="692" t="s">
        <v>57</v>
      </c>
      <c r="L102" s="1067">
        <v>0.7</v>
      </c>
      <c r="M102" s="821"/>
      <c r="N102" s="959" t="s">
        <v>2801</v>
      </c>
      <c r="O102" s="818" t="s">
        <v>2802</v>
      </c>
      <c r="P102" s="206">
        <v>1</v>
      </c>
      <c r="Q102" s="1201">
        <v>3.5000000000000003E-2</v>
      </c>
      <c r="R102" s="206"/>
      <c r="S102" s="206">
        <f t="shared" si="2"/>
        <v>0</v>
      </c>
      <c r="T102" s="207">
        <f t="shared" si="3"/>
        <v>0</v>
      </c>
      <c r="U102" s="1202" t="s">
        <v>34</v>
      </c>
      <c r="V102" s="1203"/>
      <c r="W102" s="649"/>
    </row>
    <row r="103" spans="1:23" ht="22.95" customHeight="1" x14ac:dyDescent="0.4">
      <c r="A103" s="788">
        <v>102</v>
      </c>
      <c r="B103" s="199" t="s">
        <v>2616</v>
      </c>
      <c r="C103" s="199" t="s">
        <v>24</v>
      </c>
      <c r="D103" s="1082">
        <v>3606</v>
      </c>
      <c r="E103" s="199" t="s">
        <v>1015</v>
      </c>
      <c r="F103" s="199" t="s">
        <v>2794</v>
      </c>
      <c r="G103" s="679">
        <v>6014</v>
      </c>
      <c r="H103" s="199" t="s">
        <v>2617</v>
      </c>
      <c r="I103" s="199" t="s">
        <v>175</v>
      </c>
      <c r="J103" s="79" t="s">
        <v>58</v>
      </c>
      <c r="K103" s="692" t="s">
        <v>57</v>
      </c>
      <c r="L103" s="1067">
        <v>0.7</v>
      </c>
      <c r="M103" s="821"/>
      <c r="N103" s="959" t="s">
        <v>2803</v>
      </c>
      <c r="O103" s="818" t="s">
        <v>2804</v>
      </c>
      <c r="P103" s="206">
        <v>1</v>
      </c>
      <c r="Q103" s="1201">
        <v>3.5000000000000003E-2</v>
      </c>
      <c r="R103" s="206"/>
      <c r="S103" s="206">
        <f t="shared" si="2"/>
        <v>0</v>
      </c>
      <c r="T103" s="207">
        <f t="shared" si="3"/>
        <v>0</v>
      </c>
      <c r="U103" s="1202" t="s">
        <v>83</v>
      </c>
      <c r="V103" s="1203"/>
      <c r="W103" s="649"/>
    </row>
    <row r="104" spans="1:23" ht="22.95" customHeight="1" x14ac:dyDescent="0.4">
      <c r="A104" s="788">
        <v>103</v>
      </c>
      <c r="B104" s="199" t="s">
        <v>2616</v>
      </c>
      <c r="C104" s="199" t="s">
        <v>24</v>
      </c>
      <c r="D104" s="1082">
        <v>3606</v>
      </c>
      <c r="E104" s="199" t="s">
        <v>1015</v>
      </c>
      <c r="F104" s="199" t="s">
        <v>2794</v>
      </c>
      <c r="G104" s="679">
        <v>6014</v>
      </c>
      <c r="H104" s="199" t="s">
        <v>2617</v>
      </c>
      <c r="I104" s="199" t="s">
        <v>175</v>
      </c>
      <c r="J104" s="79" t="s">
        <v>58</v>
      </c>
      <c r="K104" s="692" t="s">
        <v>57</v>
      </c>
      <c r="L104" s="1067">
        <v>0.7</v>
      </c>
      <c r="M104" s="821"/>
      <c r="N104" s="959" t="s">
        <v>2805</v>
      </c>
      <c r="O104" s="818" t="s">
        <v>2806</v>
      </c>
      <c r="P104" s="206">
        <v>1</v>
      </c>
      <c r="Q104" s="1201">
        <v>0.14000000000000001</v>
      </c>
      <c r="R104" s="206"/>
      <c r="S104" s="206">
        <f t="shared" si="2"/>
        <v>0</v>
      </c>
      <c r="T104" s="207">
        <f t="shared" si="3"/>
        <v>0</v>
      </c>
      <c r="U104" s="1202" t="s">
        <v>34</v>
      </c>
      <c r="V104" s="1203"/>
      <c r="W104" s="649"/>
    </row>
    <row r="105" spans="1:23" ht="22.95" customHeight="1" x14ac:dyDescent="0.4">
      <c r="A105" s="788">
        <v>104</v>
      </c>
      <c r="B105" s="199" t="s">
        <v>2616</v>
      </c>
      <c r="C105" s="199" t="s">
        <v>24</v>
      </c>
      <c r="D105" s="1082">
        <v>3606</v>
      </c>
      <c r="E105" s="199" t="s">
        <v>1015</v>
      </c>
      <c r="F105" s="199" t="s">
        <v>2794</v>
      </c>
      <c r="G105" s="679">
        <v>6014</v>
      </c>
      <c r="H105" s="199" t="s">
        <v>2617</v>
      </c>
      <c r="I105" s="199" t="s">
        <v>175</v>
      </c>
      <c r="J105" s="79" t="s">
        <v>58</v>
      </c>
      <c r="K105" s="692" t="s">
        <v>57</v>
      </c>
      <c r="L105" s="1067">
        <v>0.7</v>
      </c>
      <c r="M105" s="821"/>
      <c r="N105" s="959" t="s">
        <v>2807</v>
      </c>
      <c r="O105" s="818" t="s">
        <v>2808</v>
      </c>
      <c r="P105" s="206">
        <v>1</v>
      </c>
      <c r="Q105" s="1201">
        <v>7.0000000000000007E-2</v>
      </c>
      <c r="R105" s="206"/>
      <c r="S105" s="206">
        <f t="shared" si="2"/>
        <v>0</v>
      </c>
      <c r="T105" s="207">
        <f t="shared" si="3"/>
        <v>0</v>
      </c>
      <c r="U105" s="1202" t="s">
        <v>34</v>
      </c>
      <c r="V105" s="1203"/>
      <c r="W105" s="649"/>
    </row>
    <row r="106" spans="1:23" ht="22.95" customHeight="1" x14ac:dyDescent="0.4">
      <c r="A106" s="788">
        <v>105</v>
      </c>
      <c r="B106" s="199" t="s">
        <v>2616</v>
      </c>
      <c r="C106" s="199" t="s">
        <v>24</v>
      </c>
      <c r="D106" s="1082">
        <v>3606</v>
      </c>
      <c r="E106" s="199" t="s">
        <v>1015</v>
      </c>
      <c r="F106" s="199" t="s">
        <v>2794</v>
      </c>
      <c r="G106" s="679">
        <v>6014</v>
      </c>
      <c r="H106" s="199" t="s">
        <v>2617</v>
      </c>
      <c r="I106" s="199" t="s">
        <v>175</v>
      </c>
      <c r="J106" s="79" t="s">
        <v>58</v>
      </c>
      <c r="K106" s="692" t="s">
        <v>57</v>
      </c>
      <c r="L106" s="1067">
        <v>0.7</v>
      </c>
      <c r="M106" s="1204" t="s">
        <v>176</v>
      </c>
      <c r="N106" s="1205" t="s">
        <v>177</v>
      </c>
      <c r="O106" s="1206"/>
      <c r="P106" s="1141">
        <v>0.12</v>
      </c>
      <c r="Q106" s="1142">
        <v>0.15</v>
      </c>
      <c r="R106" s="1141"/>
      <c r="S106" s="647">
        <f t="shared" si="2"/>
        <v>0</v>
      </c>
      <c r="T106" s="764">
        <f t="shared" si="3"/>
        <v>0</v>
      </c>
      <c r="U106" s="1202" t="s">
        <v>83</v>
      </c>
      <c r="V106" s="1203"/>
      <c r="W106" s="649"/>
    </row>
    <row r="107" spans="1:23" ht="22.95" customHeight="1" x14ac:dyDescent="0.4">
      <c r="A107" s="788">
        <v>106</v>
      </c>
      <c r="B107" s="199" t="s">
        <v>2616</v>
      </c>
      <c r="C107" s="199" t="s">
        <v>24</v>
      </c>
      <c r="D107" s="1082">
        <v>3606</v>
      </c>
      <c r="E107" s="199" t="s">
        <v>1015</v>
      </c>
      <c r="F107" s="199" t="s">
        <v>2794</v>
      </c>
      <c r="G107" s="679">
        <v>6014</v>
      </c>
      <c r="H107" s="199" t="s">
        <v>2617</v>
      </c>
      <c r="I107" s="199" t="s">
        <v>175</v>
      </c>
      <c r="J107" s="79" t="s">
        <v>58</v>
      </c>
      <c r="K107" s="692" t="s">
        <v>57</v>
      </c>
      <c r="L107" s="1067">
        <v>0.7</v>
      </c>
      <c r="M107" s="1207" t="s">
        <v>1448</v>
      </c>
      <c r="N107" s="1208" t="s">
        <v>178</v>
      </c>
      <c r="O107" s="1206"/>
      <c r="P107" s="1143">
        <v>0.03</v>
      </c>
      <c r="Q107" s="1142">
        <v>0.15</v>
      </c>
      <c r="R107" s="1143"/>
      <c r="S107" s="647">
        <f t="shared" si="2"/>
        <v>0</v>
      </c>
      <c r="T107" s="764">
        <f t="shared" si="3"/>
        <v>0</v>
      </c>
      <c r="U107" s="1202" t="s">
        <v>83</v>
      </c>
      <c r="V107" s="1203"/>
      <c r="W107" s="649"/>
    </row>
    <row r="108" spans="1:23" ht="22.95" customHeight="1" x14ac:dyDescent="0.4">
      <c r="A108" s="788">
        <v>107</v>
      </c>
      <c r="B108" s="199" t="s">
        <v>2616</v>
      </c>
      <c r="C108" s="199" t="s">
        <v>24</v>
      </c>
      <c r="D108" s="1082">
        <v>3606</v>
      </c>
      <c r="E108" s="199" t="s">
        <v>1015</v>
      </c>
      <c r="F108" s="199" t="s">
        <v>2794</v>
      </c>
      <c r="G108" s="679">
        <v>6014</v>
      </c>
      <c r="H108" s="199" t="s">
        <v>2617</v>
      </c>
      <c r="I108" s="199" t="s">
        <v>175</v>
      </c>
      <c r="J108" s="79" t="s">
        <v>58</v>
      </c>
      <c r="K108" s="692" t="s">
        <v>57</v>
      </c>
      <c r="L108" s="1067">
        <v>0.7</v>
      </c>
      <c r="M108" s="821"/>
      <c r="N108" s="959" t="s">
        <v>2809</v>
      </c>
      <c r="O108" s="818" t="s">
        <v>2810</v>
      </c>
      <c r="P108" s="206">
        <v>1</v>
      </c>
      <c r="Q108" s="1201">
        <v>7.0000000000000007E-2</v>
      </c>
      <c r="R108" s="206"/>
      <c r="S108" s="206">
        <f t="shared" si="2"/>
        <v>0</v>
      </c>
      <c r="T108" s="207">
        <f t="shared" si="3"/>
        <v>0</v>
      </c>
      <c r="U108" s="1202" t="s">
        <v>83</v>
      </c>
      <c r="V108" s="1203"/>
      <c r="W108" s="649"/>
    </row>
    <row r="109" spans="1:23" ht="22.95" customHeight="1" x14ac:dyDescent="0.4">
      <c r="A109" s="788">
        <v>108</v>
      </c>
      <c r="B109" s="199" t="s">
        <v>2616</v>
      </c>
      <c r="C109" s="199" t="s">
        <v>24</v>
      </c>
      <c r="D109" s="1082">
        <v>3606</v>
      </c>
      <c r="E109" s="199" t="s">
        <v>1015</v>
      </c>
      <c r="F109" s="199" t="s">
        <v>2794</v>
      </c>
      <c r="G109" s="679">
        <v>6014</v>
      </c>
      <c r="H109" s="199" t="s">
        <v>2617</v>
      </c>
      <c r="I109" s="199" t="s">
        <v>175</v>
      </c>
      <c r="J109" s="79" t="s">
        <v>58</v>
      </c>
      <c r="K109" s="692" t="s">
        <v>57</v>
      </c>
      <c r="L109" s="1067">
        <v>0.7</v>
      </c>
      <c r="M109" s="821"/>
      <c r="N109" s="959" t="s">
        <v>2811</v>
      </c>
      <c r="O109" s="818"/>
      <c r="P109" s="206">
        <v>1</v>
      </c>
      <c r="Q109" s="1201">
        <v>3.5000000000000003E-2</v>
      </c>
      <c r="R109" s="206"/>
      <c r="S109" s="206">
        <f t="shared" si="2"/>
        <v>0</v>
      </c>
      <c r="T109" s="207">
        <f t="shared" si="3"/>
        <v>0</v>
      </c>
      <c r="U109" s="1202" t="s">
        <v>83</v>
      </c>
      <c r="V109" s="1203"/>
      <c r="W109" s="649"/>
    </row>
    <row r="110" spans="1:23" ht="22.95" customHeight="1" x14ac:dyDescent="0.4">
      <c r="A110" s="788">
        <v>109</v>
      </c>
      <c r="B110" s="199" t="s">
        <v>2616</v>
      </c>
      <c r="C110" s="199" t="s">
        <v>24</v>
      </c>
      <c r="D110" s="1082">
        <v>3606</v>
      </c>
      <c r="E110" s="199" t="s">
        <v>1015</v>
      </c>
      <c r="F110" s="199" t="s">
        <v>2794</v>
      </c>
      <c r="G110" s="679">
        <v>6014</v>
      </c>
      <c r="H110" s="199" t="s">
        <v>2617</v>
      </c>
      <c r="I110" s="199" t="s">
        <v>175</v>
      </c>
      <c r="J110" s="253" t="s">
        <v>111</v>
      </c>
      <c r="K110" s="246" t="s">
        <v>110</v>
      </c>
      <c r="L110" s="1209">
        <v>0.3</v>
      </c>
      <c r="M110" s="875"/>
      <c r="N110" s="253" t="s">
        <v>2812</v>
      </c>
      <c r="O110" s="876" t="s">
        <v>2813</v>
      </c>
      <c r="P110" s="263">
        <v>3</v>
      </c>
      <c r="Q110" s="1209">
        <v>0.2</v>
      </c>
      <c r="R110" s="263"/>
      <c r="S110" s="874">
        <f t="shared" si="2"/>
        <v>0</v>
      </c>
      <c r="T110" s="845">
        <f t="shared" si="3"/>
        <v>0</v>
      </c>
      <c r="U110" s="1210" t="s">
        <v>34</v>
      </c>
      <c r="V110" s="1211"/>
      <c r="W110" s="649"/>
    </row>
    <row r="111" spans="1:23" ht="22.95" customHeight="1" x14ac:dyDescent="0.4">
      <c r="A111" s="788">
        <v>110</v>
      </c>
      <c r="B111" s="199" t="s">
        <v>2616</v>
      </c>
      <c r="C111" s="199" t="s">
        <v>24</v>
      </c>
      <c r="D111" s="1082">
        <v>3606</v>
      </c>
      <c r="E111" s="199" t="s">
        <v>1015</v>
      </c>
      <c r="F111" s="199" t="s">
        <v>2794</v>
      </c>
      <c r="G111" s="679">
        <v>6014</v>
      </c>
      <c r="H111" s="199" t="s">
        <v>2617</v>
      </c>
      <c r="I111" s="199" t="s">
        <v>175</v>
      </c>
      <c r="J111" s="253" t="s">
        <v>111</v>
      </c>
      <c r="K111" s="246" t="s">
        <v>110</v>
      </c>
      <c r="L111" s="1209">
        <v>0.3</v>
      </c>
      <c r="M111" s="875"/>
      <c r="N111" s="253" t="s">
        <v>2814</v>
      </c>
      <c r="O111" s="876"/>
      <c r="P111" s="262">
        <v>1</v>
      </c>
      <c r="Q111" s="1209">
        <v>0.4</v>
      </c>
      <c r="R111" s="262"/>
      <c r="S111" s="874">
        <f t="shared" si="2"/>
        <v>0</v>
      </c>
      <c r="T111" s="845">
        <f t="shared" si="3"/>
        <v>0</v>
      </c>
      <c r="U111" s="1210" t="s">
        <v>34</v>
      </c>
      <c r="V111" s="1211"/>
      <c r="W111" s="649"/>
    </row>
    <row r="112" spans="1:23" ht="22.95" customHeight="1" x14ac:dyDescent="0.4">
      <c r="A112" s="788">
        <v>111</v>
      </c>
      <c r="B112" s="199" t="s">
        <v>2616</v>
      </c>
      <c r="C112" s="199" t="s">
        <v>24</v>
      </c>
      <c r="D112" s="1082">
        <v>3606</v>
      </c>
      <c r="E112" s="199" t="s">
        <v>1015</v>
      </c>
      <c r="F112" s="199" t="s">
        <v>2794</v>
      </c>
      <c r="G112" s="679">
        <v>6014</v>
      </c>
      <c r="H112" s="199" t="s">
        <v>2617</v>
      </c>
      <c r="I112" s="199" t="s">
        <v>175</v>
      </c>
      <c r="J112" s="253" t="s">
        <v>111</v>
      </c>
      <c r="K112" s="246" t="s">
        <v>110</v>
      </c>
      <c r="L112" s="1209">
        <v>0.3</v>
      </c>
      <c r="M112" s="875"/>
      <c r="N112" s="253" t="s">
        <v>2815</v>
      </c>
      <c r="O112" s="876"/>
      <c r="P112" s="263">
        <v>0.5</v>
      </c>
      <c r="Q112" s="1209">
        <v>0.4</v>
      </c>
      <c r="R112" s="263"/>
      <c r="S112" s="874">
        <f t="shared" si="2"/>
        <v>0</v>
      </c>
      <c r="T112" s="845">
        <f t="shared" si="3"/>
        <v>0</v>
      </c>
      <c r="U112" s="1210" t="s">
        <v>34</v>
      </c>
      <c r="V112" s="1211"/>
      <c r="W112" s="649"/>
    </row>
    <row r="113" spans="1:23" ht="22.95" customHeight="1" x14ac:dyDescent="0.4">
      <c r="A113" s="788">
        <v>112</v>
      </c>
      <c r="B113" s="243" t="s">
        <v>2616</v>
      </c>
      <c r="C113" s="187" t="s">
        <v>24</v>
      </c>
      <c r="D113" s="1200">
        <v>3517</v>
      </c>
      <c r="E113" s="243" t="s">
        <v>2816</v>
      </c>
      <c r="F113" s="243" t="s">
        <v>2817</v>
      </c>
      <c r="G113" s="243">
        <v>3606</v>
      </c>
      <c r="H113" s="243" t="s">
        <v>1015</v>
      </c>
      <c r="I113" s="243" t="s">
        <v>175</v>
      </c>
      <c r="J113" s="193" t="s">
        <v>58</v>
      </c>
      <c r="K113" s="692" t="s">
        <v>57</v>
      </c>
      <c r="L113" s="1212">
        <v>0.9</v>
      </c>
      <c r="M113" s="1213"/>
      <c r="N113" s="1213" t="s">
        <v>2818</v>
      </c>
      <c r="O113" s="1184" t="s">
        <v>2819</v>
      </c>
      <c r="P113" s="953">
        <v>1</v>
      </c>
      <c r="Q113" s="1052">
        <v>0.3</v>
      </c>
      <c r="R113" s="953"/>
      <c r="S113" s="855">
        <f t="shared" si="2"/>
        <v>0</v>
      </c>
      <c r="T113" s="854">
        <f t="shared" si="3"/>
        <v>0</v>
      </c>
      <c r="U113" s="855" t="s">
        <v>34</v>
      </c>
      <c r="V113" s="1214">
        <f>SUM(T113:T121)%</f>
        <v>0</v>
      </c>
      <c r="W113" s="791"/>
    </row>
    <row r="114" spans="1:23" ht="22.95" customHeight="1" x14ac:dyDescent="0.4">
      <c r="A114" s="788">
        <v>113</v>
      </c>
      <c r="B114" s="210" t="s">
        <v>2616</v>
      </c>
      <c r="C114" s="199" t="s">
        <v>24</v>
      </c>
      <c r="D114" s="1082">
        <v>3517</v>
      </c>
      <c r="E114" s="210" t="s">
        <v>2816</v>
      </c>
      <c r="F114" s="210" t="s">
        <v>2817</v>
      </c>
      <c r="G114" s="210">
        <v>3606</v>
      </c>
      <c r="H114" s="210" t="s">
        <v>1015</v>
      </c>
      <c r="I114" s="210" t="s">
        <v>175</v>
      </c>
      <c r="J114" s="211" t="s">
        <v>58</v>
      </c>
      <c r="K114" s="692" t="s">
        <v>57</v>
      </c>
      <c r="L114" s="1215">
        <v>0.9</v>
      </c>
      <c r="M114" s="1216"/>
      <c r="N114" s="1216" t="s">
        <v>2820</v>
      </c>
      <c r="O114" s="1185" t="s">
        <v>2821</v>
      </c>
      <c r="P114" s="669">
        <v>1</v>
      </c>
      <c r="Q114" s="1067">
        <v>0.2</v>
      </c>
      <c r="R114" s="669"/>
      <c r="S114" s="204">
        <f t="shared" si="2"/>
        <v>0</v>
      </c>
      <c r="T114" s="960">
        <f t="shared" si="3"/>
        <v>0</v>
      </c>
      <c r="U114" s="204" t="s">
        <v>34</v>
      </c>
      <c r="V114" s="1217"/>
      <c r="W114" s="799"/>
    </row>
    <row r="115" spans="1:23" ht="22.95" customHeight="1" x14ac:dyDescent="0.4">
      <c r="A115" s="788">
        <v>114</v>
      </c>
      <c r="B115" s="210" t="s">
        <v>2616</v>
      </c>
      <c r="C115" s="199" t="s">
        <v>24</v>
      </c>
      <c r="D115" s="1082">
        <v>3517</v>
      </c>
      <c r="E115" s="210" t="s">
        <v>2816</v>
      </c>
      <c r="F115" s="210" t="s">
        <v>2817</v>
      </c>
      <c r="G115" s="210">
        <v>3606</v>
      </c>
      <c r="H115" s="210" t="s">
        <v>1015</v>
      </c>
      <c r="I115" s="210" t="s">
        <v>175</v>
      </c>
      <c r="J115" s="211" t="s">
        <v>58</v>
      </c>
      <c r="K115" s="692" t="s">
        <v>57</v>
      </c>
      <c r="L115" s="1215">
        <v>0.9</v>
      </c>
      <c r="M115" s="1216"/>
      <c r="N115" s="1216" t="s">
        <v>2822</v>
      </c>
      <c r="O115" s="1185" t="s">
        <v>2823</v>
      </c>
      <c r="P115" s="669">
        <v>1</v>
      </c>
      <c r="Q115" s="1067">
        <v>0.2</v>
      </c>
      <c r="R115" s="669"/>
      <c r="S115" s="204">
        <f t="shared" si="2"/>
        <v>0</v>
      </c>
      <c r="T115" s="960">
        <f t="shared" si="3"/>
        <v>0</v>
      </c>
      <c r="U115" s="204" t="s">
        <v>34</v>
      </c>
      <c r="V115" s="1217"/>
      <c r="W115" s="799"/>
    </row>
    <row r="116" spans="1:23" ht="22.95" customHeight="1" x14ac:dyDescent="0.4">
      <c r="A116" s="788">
        <v>115</v>
      </c>
      <c r="B116" s="210" t="s">
        <v>2616</v>
      </c>
      <c r="C116" s="199" t="s">
        <v>24</v>
      </c>
      <c r="D116" s="1082">
        <v>3517</v>
      </c>
      <c r="E116" s="210" t="s">
        <v>2816</v>
      </c>
      <c r="F116" s="210" t="s">
        <v>2817</v>
      </c>
      <c r="G116" s="210">
        <v>3606</v>
      </c>
      <c r="H116" s="210" t="s">
        <v>1015</v>
      </c>
      <c r="I116" s="210" t="s">
        <v>175</v>
      </c>
      <c r="J116" s="211" t="s">
        <v>58</v>
      </c>
      <c r="K116" s="692" t="s">
        <v>57</v>
      </c>
      <c r="L116" s="1215">
        <v>0.9</v>
      </c>
      <c r="M116" s="1216"/>
      <c r="N116" s="1216" t="s">
        <v>1022</v>
      </c>
      <c r="O116" s="1216"/>
      <c r="P116" s="669">
        <v>1</v>
      </c>
      <c r="Q116" s="1067">
        <v>0.06</v>
      </c>
      <c r="R116" s="669"/>
      <c r="S116" s="204">
        <f t="shared" si="2"/>
        <v>0</v>
      </c>
      <c r="T116" s="960">
        <f t="shared" si="3"/>
        <v>0</v>
      </c>
      <c r="U116" s="204" t="s">
        <v>34</v>
      </c>
      <c r="V116" s="1217"/>
      <c r="W116" s="799"/>
    </row>
    <row r="117" spans="1:23" ht="22.95" customHeight="1" x14ac:dyDescent="0.4">
      <c r="A117" s="788">
        <v>116</v>
      </c>
      <c r="B117" s="210" t="s">
        <v>2616</v>
      </c>
      <c r="C117" s="199" t="s">
        <v>24</v>
      </c>
      <c r="D117" s="1082">
        <v>3517</v>
      </c>
      <c r="E117" s="210" t="s">
        <v>2816</v>
      </c>
      <c r="F117" s="210" t="s">
        <v>2817</v>
      </c>
      <c r="G117" s="210">
        <v>3606</v>
      </c>
      <c r="H117" s="210" t="s">
        <v>1015</v>
      </c>
      <c r="I117" s="210" t="s">
        <v>175</v>
      </c>
      <c r="J117" s="211" t="s">
        <v>58</v>
      </c>
      <c r="K117" s="692" t="s">
        <v>57</v>
      </c>
      <c r="L117" s="1215">
        <v>0.9</v>
      </c>
      <c r="M117" s="1216"/>
      <c r="N117" s="1216" t="s">
        <v>255</v>
      </c>
      <c r="O117" s="1216"/>
      <c r="P117" s="669">
        <v>1</v>
      </c>
      <c r="Q117" s="1067">
        <v>0.06</v>
      </c>
      <c r="R117" s="669"/>
      <c r="S117" s="204">
        <f t="shared" si="2"/>
        <v>0</v>
      </c>
      <c r="T117" s="960">
        <f t="shared" si="3"/>
        <v>0</v>
      </c>
      <c r="U117" s="204" t="s">
        <v>34</v>
      </c>
      <c r="V117" s="1217"/>
      <c r="W117" s="799"/>
    </row>
    <row r="118" spans="1:23" ht="22.95" customHeight="1" x14ac:dyDescent="0.4">
      <c r="A118" s="788">
        <v>117</v>
      </c>
      <c r="B118" s="210" t="s">
        <v>2616</v>
      </c>
      <c r="C118" s="199" t="s">
        <v>24</v>
      </c>
      <c r="D118" s="1082">
        <v>3517</v>
      </c>
      <c r="E118" s="210" t="s">
        <v>2816</v>
      </c>
      <c r="F118" s="210" t="s">
        <v>2817</v>
      </c>
      <c r="G118" s="210">
        <v>3606</v>
      </c>
      <c r="H118" s="210" t="s">
        <v>1015</v>
      </c>
      <c r="I118" s="210" t="s">
        <v>175</v>
      </c>
      <c r="J118" s="211" t="s">
        <v>58</v>
      </c>
      <c r="K118" s="692" t="s">
        <v>57</v>
      </c>
      <c r="L118" s="1215">
        <v>0.9</v>
      </c>
      <c r="M118" s="1216"/>
      <c r="N118" s="1216" t="s">
        <v>776</v>
      </c>
      <c r="O118" s="1216"/>
      <c r="P118" s="669">
        <v>1</v>
      </c>
      <c r="Q118" s="1067">
        <v>0.06</v>
      </c>
      <c r="R118" s="669"/>
      <c r="S118" s="204">
        <f t="shared" si="2"/>
        <v>0</v>
      </c>
      <c r="T118" s="960">
        <f t="shared" si="3"/>
        <v>0</v>
      </c>
      <c r="U118" s="204" t="s">
        <v>34</v>
      </c>
      <c r="V118" s="1217"/>
      <c r="W118" s="799"/>
    </row>
    <row r="119" spans="1:23" ht="22.95" customHeight="1" x14ac:dyDescent="0.4">
      <c r="A119" s="788">
        <v>118</v>
      </c>
      <c r="B119" s="210" t="s">
        <v>2616</v>
      </c>
      <c r="C119" s="199" t="s">
        <v>24</v>
      </c>
      <c r="D119" s="1082">
        <v>3517</v>
      </c>
      <c r="E119" s="210" t="s">
        <v>2816</v>
      </c>
      <c r="F119" s="210" t="s">
        <v>2817</v>
      </c>
      <c r="G119" s="210">
        <v>3606</v>
      </c>
      <c r="H119" s="210" t="s">
        <v>1015</v>
      </c>
      <c r="I119" s="210" t="s">
        <v>175</v>
      </c>
      <c r="J119" s="211" t="s">
        <v>58</v>
      </c>
      <c r="K119" s="692" t="s">
        <v>57</v>
      </c>
      <c r="L119" s="1215">
        <v>0.9</v>
      </c>
      <c r="M119" s="1216"/>
      <c r="N119" s="1216" t="s">
        <v>251</v>
      </c>
      <c r="O119" s="1216"/>
      <c r="P119" s="669">
        <v>1</v>
      </c>
      <c r="Q119" s="1067">
        <v>0.06</v>
      </c>
      <c r="R119" s="669"/>
      <c r="S119" s="204">
        <f t="shared" si="2"/>
        <v>0</v>
      </c>
      <c r="T119" s="960">
        <f t="shared" si="3"/>
        <v>0</v>
      </c>
      <c r="U119" s="204" t="s">
        <v>34</v>
      </c>
      <c r="V119" s="1217"/>
      <c r="W119" s="799"/>
    </row>
    <row r="120" spans="1:23" ht="22.95" customHeight="1" x14ac:dyDescent="0.4">
      <c r="A120" s="788">
        <v>119</v>
      </c>
      <c r="B120" s="210" t="s">
        <v>2616</v>
      </c>
      <c r="C120" s="199" t="s">
        <v>24</v>
      </c>
      <c r="D120" s="1082">
        <v>3517</v>
      </c>
      <c r="E120" s="210" t="s">
        <v>2816</v>
      </c>
      <c r="F120" s="210" t="s">
        <v>2817</v>
      </c>
      <c r="G120" s="210">
        <v>3606</v>
      </c>
      <c r="H120" s="210" t="s">
        <v>1015</v>
      </c>
      <c r="I120" s="210" t="s">
        <v>175</v>
      </c>
      <c r="J120" s="211" t="s">
        <v>58</v>
      </c>
      <c r="K120" s="692" t="s">
        <v>57</v>
      </c>
      <c r="L120" s="1215">
        <v>0.9</v>
      </c>
      <c r="M120" s="1216"/>
      <c r="N120" s="1216" t="s">
        <v>1029</v>
      </c>
      <c r="O120" s="1216"/>
      <c r="P120" s="669">
        <v>1</v>
      </c>
      <c r="Q120" s="1067">
        <v>0.06</v>
      </c>
      <c r="R120" s="669"/>
      <c r="S120" s="204">
        <f t="shared" si="2"/>
        <v>0</v>
      </c>
      <c r="T120" s="960">
        <f t="shared" si="3"/>
        <v>0</v>
      </c>
      <c r="U120" s="204" t="s">
        <v>34</v>
      </c>
      <c r="V120" s="1217"/>
      <c r="W120" s="799"/>
    </row>
    <row r="121" spans="1:23" ht="22.95" customHeight="1" x14ac:dyDescent="0.4">
      <c r="A121" s="788">
        <v>120</v>
      </c>
      <c r="B121" s="210" t="s">
        <v>2616</v>
      </c>
      <c r="C121" s="199" t="s">
        <v>24</v>
      </c>
      <c r="D121" s="1082">
        <v>3517</v>
      </c>
      <c r="E121" s="210" t="s">
        <v>2816</v>
      </c>
      <c r="F121" s="210" t="s">
        <v>2817</v>
      </c>
      <c r="G121" s="210">
        <v>3606</v>
      </c>
      <c r="H121" s="210" t="s">
        <v>1015</v>
      </c>
      <c r="I121" s="210" t="s">
        <v>175</v>
      </c>
      <c r="J121" s="253" t="s">
        <v>111</v>
      </c>
      <c r="K121" s="246" t="s">
        <v>110</v>
      </c>
      <c r="L121" s="1217">
        <v>0.1</v>
      </c>
      <c r="M121" s="1218"/>
      <c r="N121" s="1218" t="s">
        <v>2812</v>
      </c>
      <c r="O121" s="876" t="s">
        <v>2813</v>
      </c>
      <c r="P121" s="263">
        <v>3</v>
      </c>
      <c r="Q121" s="1059">
        <v>1</v>
      </c>
      <c r="R121" s="263"/>
      <c r="S121" s="964">
        <f t="shared" si="2"/>
        <v>0</v>
      </c>
      <c r="T121" s="962">
        <f t="shared" si="3"/>
        <v>0</v>
      </c>
      <c r="U121" s="964" t="s">
        <v>34</v>
      </c>
      <c r="V121" s="1217"/>
      <c r="W121" s="799"/>
    </row>
    <row r="122" spans="1:23" ht="22.95" customHeight="1" x14ac:dyDescent="0.4">
      <c r="A122" s="788">
        <v>121</v>
      </c>
      <c r="B122" s="187" t="s">
        <v>2616</v>
      </c>
      <c r="C122" s="236" t="s">
        <v>24</v>
      </c>
      <c r="D122" s="1219">
        <v>5489</v>
      </c>
      <c r="E122" s="236" t="s">
        <v>2824</v>
      </c>
      <c r="F122" s="236" t="s">
        <v>2825</v>
      </c>
      <c r="G122" s="238">
        <v>6014</v>
      </c>
      <c r="H122" s="236" t="s">
        <v>2617</v>
      </c>
      <c r="I122" s="236" t="s">
        <v>175</v>
      </c>
      <c r="J122" s="236" t="s">
        <v>58</v>
      </c>
      <c r="K122" s="236" t="s">
        <v>57</v>
      </c>
      <c r="L122" s="1052">
        <v>0.9</v>
      </c>
      <c r="M122" s="191"/>
      <c r="N122" s="239" t="s">
        <v>2826</v>
      </c>
      <c r="O122" s="1220" t="s">
        <v>2827</v>
      </c>
      <c r="P122" s="644">
        <v>1</v>
      </c>
      <c r="Q122" s="1052">
        <v>0.6</v>
      </c>
      <c r="R122" s="644"/>
      <c r="S122" s="195">
        <f t="shared" si="2"/>
        <v>0</v>
      </c>
      <c r="T122" s="196">
        <f t="shared" si="3"/>
        <v>0</v>
      </c>
      <c r="U122" s="197" t="s">
        <v>34</v>
      </c>
      <c r="V122" s="1221">
        <f>SUM(T122:T127)%</f>
        <v>0</v>
      </c>
      <c r="W122" s="243"/>
    </row>
    <row r="123" spans="1:23" ht="22.95" customHeight="1" x14ac:dyDescent="0.4">
      <c r="A123" s="788">
        <v>122</v>
      </c>
      <c r="B123" s="199" t="s">
        <v>2616</v>
      </c>
      <c r="C123" s="245" t="s">
        <v>24</v>
      </c>
      <c r="D123" s="1222">
        <v>5489</v>
      </c>
      <c r="E123" s="198" t="s">
        <v>2824</v>
      </c>
      <c r="F123" s="198" t="s">
        <v>2825</v>
      </c>
      <c r="G123" s="200">
        <v>6014</v>
      </c>
      <c r="H123" s="198" t="s">
        <v>2617</v>
      </c>
      <c r="I123" s="198" t="s">
        <v>175</v>
      </c>
      <c r="J123" s="692" t="s">
        <v>58</v>
      </c>
      <c r="K123" s="692" t="s">
        <v>57</v>
      </c>
      <c r="L123" s="1201">
        <v>0.9</v>
      </c>
      <c r="M123" s="692"/>
      <c r="N123" s="249" t="s">
        <v>2828</v>
      </c>
      <c r="O123" s="1223" t="s">
        <v>2829</v>
      </c>
      <c r="P123" s="647">
        <v>1</v>
      </c>
      <c r="Q123" s="1067">
        <v>0.2</v>
      </c>
      <c r="R123" s="647"/>
      <c r="S123" s="206">
        <f t="shared" si="2"/>
        <v>0</v>
      </c>
      <c r="T123" s="207">
        <f t="shared" si="3"/>
        <v>0</v>
      </c>
      <c r="U123" s="208" t="s">
        <v>34</v>
      </c>
      <c r="V123" s="1197"/>
      <c r="W123" s="210"/>
    </row>
    <row r="124" spans="1:23" ht="22.95" customHeight="1" x14ac:dyDescent="0.4">
      <c r="A124" s="788">
        <v>123</v>
      </c>
      <c r="B124" s="199" t="s">
        <v>2616</v>
      </c>
      <c r="C124" s="245" t="s">
        <v>24</v>
      </c>
      <c r="D124" s="1224">
        <v>5489</v>
      </c>
      <c r="E124" s="198" t="s">
        <v>2824</v>
      </c>
      <c r="F124" s="198" t="s">
        <v>2825</v>
      </c>
      <c r="G124" s="200">
        <v>6014</v>
      </c>
      <c r="H124" s="198" t="s">
        <v>2617</v>
      </c>
      <c r="I124" s="198" t="s">
        <v>175</v>
      </c>
      <c r="J124" s="692" t="s">
        <v>58</v>
      </c>
      <c r="K124" s="692" t="s">
        <v>57</v>
      </c>
      <c r="L124" s="1201">
        <v>0.9</v>
      </c>
      <c r="M124" s="692"/>
      <c r="N124" s="249" t="s">
        <v>2830</v>
      </c>
      <c r="O124" s="1223" t="s">
        <v>2831</v>
      </c>
      <c r="P124" s="647">
        <v>1</v>
      </c>
      <c r="Q124" s="1067">
        <v>0.1</v>
      </c>
      <c r="R124" s="647"/>
      <c r="S124" s="206">
        <f t="shared" si="2"/>
        <v>0</v>
      </c>
      <c r="T124" s="207">
        <f t="shared" si="3"/>
        <v>0</v>
      </c>
      <c r="U124" s="208" t="s">
        <v>34</v>
      </c>
      <c r="V124" s="1197"/>
      <c r="W124" s="210"/>
    </row>
    <row r="125" spans="1:23" ht="22.95" customHeight="1" x14ac:dyDescent="0.4">
      <c r="A125" s="788">
        <v>124</v>
      </c>
      <c r="B125" s="199" t="s">
        <v>2616</v>
      </c>
      <c r="C125" s="245" t="s">
        <v>24</v>
      </c>
      <c r="D125" s="1224">
        <v>5489</v>
      </c>
      <c r="E125" s="198" t="s">
        <v>2824</v>
      </c>
      <c r="F125" s="198" t="s">
        <v>2825</v>
      </c>
      <c r="G125" s="200">
        <v>6014</v>
      </c>
      <c r="H125" s="198" t="s">
        <v>2617</v>
      </c>
      <c r="I125" s="198" t="s">
        <v>175</v>
      </c>
      <c r="J125" s="692" t="s">
        <v>58</v>
      </c>
      <c r="K125" s="692" t="s">
        <v>57</v>
      </c>
      <c r="L125" s="1201">
        <v>0.9</v>
      </c>
      <c r="M125" s="692"/>
      <c r="N125" s="211" t="s">
        <v>2832</v>
      </c>
      <c r="O125" s="1223" t="s">
        <v>2833</v>
      </c>
      <c r="P125" s="647">
        <v>1</v>
      </c>
      <c r="Q125" s="1067">
        <v>0.1</v>
      </c>
      <c r="R125" s="647"/>
      <c r="S125" s="206">
        <f t="shared" si="2"/>
        <v>0</v>
      </c>
      <c r="T125" s="207">
        <f t="shared" si="3"/>
        <v>0</v>
      </c>
      <c r="U125" s="208" t="s">
        <v>34</v>
      </c>
      <c r="V125" s="1197"/>
      <c r="W125" s="210"/>
    </row>
    <row r="126" spans="1:23" ht="22.95" customHeight="1" x14ac:dyDescent="0.4">
      <c r="A126" s="788">
        <v>125</v>
      </c>
      <c r="B126" s="199" t="s">
        <v>2616</v>
      </c>
      <c r="C126" s="245" t="s">
        <v>24</v>
      </c>
      <c r="D126" s="1224">
        <v>5489</v>
      </c>
      <c r="E126" s="198" t="s">
        <v>2824</v>
      </c>
      <c r="F126" s="198" t="s">
        <v>2825</v>
      </c>
      <c r="G126" s="200">
        <v>6014</v>
      </c>
      <c r="H126" s="198" t="s">
        <v>2617</v>
      </c>
      <c r="I126" s="198" t="s">
        <v>175</v>
      </c>
      <c r="J126" s="198" t="s">
        <v>111</v>
      </c>
      <c r="K126" s="198" t="s">
        <v>110</v>
      </c>
      <c r="L126" s="1145">
        <v>0.1</v>
      </c>
      <c r="M126" s="213"/>
      <c r="N126" s="220" t="s">
        <v>2834</v>
      </c>
      <c r="O126" s="1225" t="s">
        <v>2835</v>
      </c>
      <c r="P126" s="222">
        <v>1</v>
      </c>
      <c r="Q126" s="1145">
        <v>0.1</v>
      </c>
      <c r="R126" s="222"/>
      <c r="S126" s="216">
        <f t="shared" si="2"/>
        <v>0</v>
      </c>
      <c r="T126" s="217">
        <f t="shared" si="3"/>
        <v>0</v>
      </c>
      <c r="U126" s="218" t="s">
        <v>34</v>
      </c>
      <c r="V126" s="1198"/>
      <c r="W126" s="210"/>
    </row>
    <row r="127" spans="1:23" ht="22.95" customHeight="1" x14ac:dyDescent="0.4">
      <c r="A127" s="788">
        <v>126</v>
      </c>
      <c r="B127" s="199" t="s">
        <v>2616</v>
      </c>
      <c r="C127" s="245" t="s">
        <v>24</v>
      </c>
      <c r="D127" s="1224">
        <v>5489</v>
      </c>
      <c r="E127" s="198" t="s">
        <v>2824</v>
      </c>
      <c r="F127" s="198" t="s">
        <v>2825</v>
      </c>
      <c r="G127" s="200">
        <v>6014</v>
      </c>
      <c r="H127" s="198" t="s">
        <v>2617</v>
      </c>
      <c r="I127" s="198" t="s">
        <v>175</v>
      </c>
      <c r="J127" s="198" t="s">
        <v>111</v>
      </c>
      <c r="K127" s="198" t="s">
        <v>110</v>
      </c>
      <c r="L127" s="1145">
        <v>0.1</v>
      </c>
      <c r="M127" s="213"/>
      <c r="N127" s="220" t="s">
        <v>212</v>
      </c>
      <c r="O127" s="1186" t="s">
        <v>2836</v>
      </c>
      <c r="P127" s="649">
        <v>2</v>
      </c>
      <c r="Q127" s="1145">
        <v>0.9</v>
      </c>
      <c r="R127" s="649"/>
      <c r="S127" s="216">
        <f t="shared" si="2"/>
        <v>0</v>
      </c>
      <c r="T127" s="217">
        <f t="shared" si="3"/>
        <v>0</v>
      </c>
      <c r="U127" s="218" t="s">
        <v>34</v>
      </c>
      <c r="V127" s="1198"/>
      <c r="W127" s="210"/>
    </row>
    <row r="128" spans="1:23" ht="22.95" customHeight="1" x14ac:dyDescent="0.4">
      <c r="A128" s="788">
        <v>127</v>
      </c>
      <c r="B128" s="187" t="s">
        <v>2616</v>
      </c>
      <c r="C128" s="236" t="s">
        <v>24</v>
      </c>
      <c r="D128" s="1226">
        <v>5498</v>
      </c>
      <c r="E128" s="236" t="s">
        <v>2837</v>
      </c>
      <c r="F128" s="236" t="s">
        <v>940</v>
      </c>
      <c r="G128" s="691">
        <v>5489</v>
      </c>
      <c r="H128" s="236" t="s">
        <v>2824</v>
      </c>
      <c r="I128" s="236" t="s">
        <v>175</v>
      </c>
      <c r="J128" s="236" t="s">
        <v>58</v>
      </c>
      <c r="K128" s="692" t="s">
        <v>57</v>
      </c>
      <c r="L128" s="1052">
        <v>0.9</v>
      </c>
      <c r="M128" s="191"/>
      <c r="N128" s="1167" t="s">
        <v>2838</v>
      </c>
      <c r="O128" s="1184" t="s">
        <v>2839</v>
      </c>
      <c r="P128" s="644">
        <v>1</v>
      </c>
      <c r="Q128" s="1052">
        <v>0.45</v>
      </c>
      <c r="R128" s="644"/>
      <c r="S128" s="195">
        <f t="shared" si="2"/>
        <v>0</v>
      </c>
      <c r="T128" s="196">
        <f t="shared" si="3"/>
        <v>0</v>
      </c>
      <c r="U128" s="197" t="s">
        <v>34</v>
      </c>
      <c r="V128" s="1221">
        <f>SUM(T128:T132)%</f>
        <v>0</v>
      </c>
      <c r="W128" s="236"/>
    </row>
    <row r="129" spans="1:23" ht="22.95" customHeight="1" x14ac:dyDescent="0.4">
      <c r="A129" s="788">
        <v>128</v>
      </c>
      <c r="B129" s="199" t="s">
        <v>2616</v>
      </c>
      <c r="C129" s="245" t="s">
        <v>24</v>
      </c>
      <c r="D129" s="1222">
        <v>5498</v>
      </c>
      <c r="E129" s="198" t="s">
        <v>2837</v>
      </c>
      <c r="F129" s="245" t="s">
        <v>940</v>
      </c>
      <c r="G129" s="745">
        <v>5489</v>
      </c>
      <c r="H129" s="198" t="s">
        <v>2824</v>
      </c>
      <c r="I129" s="198" t="s">
        <v>175</v>
      </c>
      <c r="J129" s="719" t="s">
        <v>58</v>
      </c>
      <c r="K129" s="692" t="s">
        <v>57</v>
      </c>
      <c r="L129" s="1067">
        <v>0.9</v>
      </c>
      <c r="M129" s="202"/>
      <c r="N129" s="1172" t="s">
        <v>2840</v>
      </c>
      <c r="O129" s="1185" t="s">
        <v>2841</v>
      </c>
      <c r="P129" s="647">
        <v>1</v>
      </c>
      <c r="Q129" s="1067">
        <v>0.3</v>
      </c>
      <c r="R129" s="647"/>
      <c r="S129" s="206">
        <f t="shared" si="2"/>
        <v>0</v>
      </c>
      <c r="T129" s="207">
        <f t="shared" si="3"/>
        <v>0</v>
      </c>
      <c r="U129" s="208" t="s">
        <v>34</v>
      </c>
      <c r="V129" s="1203"/>
      <c r="W129" s="198"/>
    </row>
    <row r="130" spans="1:23" ht="22.95" customHeight="1" x14ac:dyDescent="0.4">
      <c r="A130" s="788">
        <v>129</v>
      </c>
      <c r="B130" s="199" t="s">
        <v>2616</v>
      </c>
      <c r="C130" s="245" t="s">
        <v>24</v>
      </c>
      <c r="D130" s="1222">
        <v>5498</v>
      </c>
      <c r="E130" s="198" t="s">
        <v>2837</v>
      </c>
      <c r="F130" s="245" t="s">
        <v>940</v>
      </c>
      <c r="G130" s="200">
        <v>5489</v>
      </c>
      <c r="H130" s="198" t="s">
        <v>2824</v>
      </c>
      <c r="I130" s="198" t="s">
        <v>175</v>
      </c>
      <c r="J130" s="719" t="s">
        <v>58</v>
      </c>
      <c r="K130" s="692" t="s">
        <v>57</v>
      </c>
      <c r="L130" s="1067">
        <v>0.9</v>
      </c>
      <c r="M130" s="202"/>
      <c r="N130" s="1172" t="s">
        <v>2842</v>
      </c>
      <c r="O130" s="1185" t="s">
        <v>2843</v>
      </c>
      <c r="P130" s="647">
        <v>1</v>
      </c>
      <c r="Q130" s="1067">
        <v>0.2</v>
      </c>
      <c r="R130" s="647"/>
      <c r="S130" s="206">
        <f t="shared" ref="S130:S193" si="4">ROUND(IF(OR(P130="",R130=""),0,IF(AND(P130=0,R130=0),1,IF(U130="+",R130/P130,P130/R130))),2)</f>
        <v>0</v>
      </c>
      <c r="T130" s="207">
        <f t="shared" ref="T130:T193" si="5">IF(AND(S130&gt;=60%,S130&lt;100%),S130*((Q130*L130)),IF(S130=100%,((Q130*L130)*S130)*100%,IF(S130&gt;100%,((L130*Q130)*100%)*100%,0)))*100</f>
        <v>0</v>
      </c>
      <c r="U130" s="208" t="s">
        <v>34</v>
      </c>
      <c r="V130" s="1203"/>
      <c r="W130" s="210"/>
    </row>
    <row r="131" spans="1:23" ht="22.95" customHeight="1" x14ac:dyDescent="0.4">
      <c r="A131" s="788">
        <v>130</v>
      </c>
      <c r="B131" s="199" t="s">
        <v>2616</v>
      </c>
      <c r="C131" s="245" t="s">
        <v>24</v>
      </c>
      <c r="D131" s="1222">
        <v>5498</v>
      </c>
      <c r="E131" s="198" t="s">
        <v>2837</v>
      </c>
      <c r="F131" s="245" t="s">
        <v>940</v>
      </c>
      <c r="G131" s="745">
        <v>5489</v>
      </c>
      <c r="H131" s="198" t="s">
        <v>2824</v>
      </c>
      <c r="I131" s="198" t="s">
        <v>175</v>
      </c>
      <c r="J131" s="719" t="s">
        <v>58</v>
      </c>
      <c r="K131" s="692" t="s">
        <v>57</v>
      </c>
      <c r="L131" s="1067">
        <v>0.9</v>
      </c>
      <c r="M131" s="202"/>
      <c r="N131" s="1172" t="s">
        <v>2832</v>
      </c>
      <c r="O131" s="1216" t="s">
        <v>2844</v>
      </c>
      <c r="P131" s="647">
        <v>1</v>
      </c>
      <c r="Q131" s="1067">
        <v>0.05</v>
      </c>
      <c r="R131" s="647"/>
      <c r="S131" s="206">
        <f t="shared" si="4"/>
        <v>0</v>
      </c>
      <c r="T131" s="207">
        <f t="shared" si="5"/>
        <v>0</v>
      </c>
      <c r="U131" s="208" t="s">
        <v>34</v>
      </c>
      <c r="V131" s="1203"/>
      <c r="W131" s="198"/>
    </row>
    <row r="132" spans="1:23" ht="22.95" customHeight="1" x14ac:dyDescent="0.4">
      <c r="A132" s="788">
        <v>131</v>
      </c>
      <c r="B132" s="199" t="s">
        <v>2616</v>
      </c>
      <c r="C132" s="245" t="s">
        <v>24</v>
      </c>
      <c r="D132" s="1222">
        <v>5498</v>
      </c>
      <c r="E132" s="198" t="s">
        <v>2837</v>
      </c>
      <c r="F132" s="245" t="s">
        <v>940</v>
      </c>
      <c r="G132" s="745">
        <v>5489</v>
      </c>
      <c r="H132" s="198" t="s">
        <v>2824</v>
      </c>
      <c r="I132" s="198" t="s">
        <v>175</v>
      </c>
      <c r="J132" s="198" t="s">
        <v>111</v>
      </c>
      <c r="K132" s="649" t="s">
        <v>110</v>
      </c>
      <c r="L132" s="1145">
        <v>0.1</v>
      </c>
      <c r="M132" s="213"/>
      <c r="N132" s="1108" t="s">
        <v>212</v>
      </c>
      <c r="O132" s="1227" t="s">
        <v>2845</v>
      </c>
      <c r="P132" s="649">
        <v>2</v>
      </c>
      <c r="Q132" s="1145">
        <v>1</v>
      </c>
      <c r="R132" s="649"/>
      <c r="S132" s="216">
        <f t="shared" si="4"/>
        <v>0</v>
      </c>
      <c r="T132" s="217">
        <f t="shared" si="5"/>
        <v>0</v>
      </c>
      <c r="U132" s="218" t="s">
        <v>34</v>
      </c>
      <c r="V132" s="1228"/>
      <c r="W132" s="198"/>
    </row>
    <row r="133" spans="1:23" ht="22.95" customHeight="1" x14ac:dyDescent="0.4">
      <c r="A133" s="788">
        <v>132</v>
      </c>
      <c r="B133" s="236" t="s">
        <v>2616</v>
      </c>
      <c r="C133" s="187" t="s">
        <v>24</v>
      </c>
      <c r="D133" s="1164">
        <v>6568</v>
      </c>
      <c r="E133" s="1229" t="s">
        <v>2846</v>
      </c>
      <c r="F133" s="1229" t="s">
        <v>2847</v>
      </c>
      <c r="G133" s="238">
        <v>6014</v>
      </c>
      <c r="H133" s="1229" t="s">
        <v>2617</v>
      </c>
      <c r="I133" s="1229" t="s">
        <v>175</v>
      </c>
      <c r="J133" s="236" t="s">
        <v>58</v>
      </c>
      <c r="K133" s="187" t="s">
        <v>57</v>
      </c>
      <c r="L133" s="1089">
        <v>0.7</v>
      </c>
      <c r="M133" s="1230" t="s">
        <v>2848</v>
      </c>
      <c r="N133" s="917" t="s">
        <v>2849</v>
      </c>
      <c r="O133" s="239" t="s">
        <v>2850</v>
      </c>
      <c r="P133" s="773">
        <v>11</v>
      </c>
      <c r="Q133" s="1089">
        <v>0.35</v>
      </c>
      <c r="R133" s="773"/>
      <c r="S133" s="1093">
        <f t="shared" si="4"/>
        <v>0</v>
      </c>
      <c r="T133" s="1231">
        <f t="shared" si="5"/>
        <v>0</v>
      </c>
      <c r="U133" s="1093" t="s">
        <v>34</v>
      </c>
      <c r="V133" s="1194">
        <f>SUM(T133:T140)%</f>
        <v>0</v>
      </c>
      <c r="W133" s="243"/>
    </row>
    <row r="134" spans="1:23" ht="22.95" customHeight="1" x14ac:dyDescent="0.4">
      <c r="A134" s="788">
        <v>133</v>
      </c>
      <c r="B134" s="198" t="s">
        <v>2616</v>
      </c>
      <c r="C134" s="199" t="s">
        <v>24</v>
      </c>
      <c r="D134" s="1169">
        <v>6568</v>
      </c>
      <c r="E134" s="1232" t="s">
        <v>2846</v>
      </c>
      <c r="F134" s="1232" t="s">
        <v>2847</v>
      </c>
      <c r="G134" s="200">
        <v>6014</v>
      </c>
      <c r="H134" s="1232" t="s">
        <v>2617</v>
      </c>
      <c r="I134" s="1232" t="s">
        <v>175</v>
      </c>
      <c r="J134" s="719" t="s">
        <v>58</v>
      </c>
      <c r="K134" s="692" t="s">
        <v>57</v>
      </c>
      <c r="L134" s="1099">
        <v>0.7</v>
      </c>
      <c r="M134" s="1233" t="s">
        <v>2851</v>
      </c>
      <c r="N134" s="919" t="s">
        <v>2852</v>
      </c>
      <c r="O134" s="1223" t="s">
        <v>2853</v>
      </c>
      <c r="P134" s="250">
        <v>10</v>
      </c>
      <c r="Q134" s="1099">
        <v>0.05</v>
      </c>
      <c r="R134" s="250"/>
      <c r="S134" s="1103">
        <f t="shared" si="4"/>
        <v>0</v>
      </c>
      <c r="T134" s="1234">
        <f t="shared" si="5"/>
        <v>0</v>
      </c>
      <c r="U134" s="1103" t="s">
        <v>34</v>
      </c>
      <c r="V134" s="1197"/>
      <c r="W134" s="210"/>
    </row>
    <row r="135" spans="1:23" ht="22.95" customHeight="1" x14ac:dyDescent="0.4">
      <c r="A135" s="788">
        <v>134</v>
      </c>
      <c r="B135" s="198" t="s">
        <v>2616</v>
      </c>
      <c r="C135" s="199" t="s">
        <v>24</v>
      </c>
      <c r="D135" s="1169">
        <v>6568</v>
      </c>
      <c r="E135" s="1232" t="s">
        <v>2846</v>
      </c>
      <c r="F135" s="1232" t="s">
        <v>2847</v>
      </c>
      <c r="G135" s="200">
        <v>6014</v>
      </c>
      <c r="H135" s="1232" t="s">
        <v>2617</v>
      </c>
      <c r="I135" s="1232" t="s">
        <v>175</v>
      </c>
      <c r="J135" s="719" t="s">
        <v>58</v>
      </c>
      <c r="K135" s="692" t="s">
        <v>57</v>
      </c>
      <c r="L135" s="1099">
        <v>0.7</v>
      </c>
      <c r="M135" s="1233" t="s">
        <v>2854</v>
      </c>
      <c r="N135" s="919" t="s">
        <v>2855</v>
      </c>
      <c r="O135" s="1223"/>
      <c r="P135" s="250"/>
      <c r="Q135" s="1099">
        <v>0.4</v>
      </c>
      <c r="R135" s="250"/>
      <c r="S135" s="1103">
        <f t="shared" si="4"/>
        <v>0</v>
      </c>
      <c r="T135" s="1234">
        <f t="shared" si="5"/>
        <v>0</v>
      </c>
      <c r="U135" s="1103" t="s">
        <v>34</v>
      </c>
      <c r="V135" s="1197"/>
      <c r="W135" s="210"/>
    </row>
    <row r="136" spans="1:23" ht="22.95" customHeight="1" x14ac:dyDescent="0.4">
      <c r="A136" s="788">
        <v>135</v>
      </c>
      <c r="B136" s="198" t="s">
        <v>2616</v>
      </c>
      <c r="C136" s="199" t="s">
        <v>24</v>
      </c>
      <c r="D136" s="1169">
        <v>6568</v>
      </c>
      <c r="E136" s="1232" t="s">
        <v>2846</v>
      </c>
      <c r="F136" s="1232" t="s">
        <v>2847</v>
      </c>
      <c r="G136" s="200">
        <v>6014</v>
      </c>
      <c r="H136" s="1232" t="s">
        <v>2617</v>
      </c>
      <c r="I136" s="1232" t="s">
        <v>175</v>
      </c>
      <c r="J136" s="719" t="s">
        <v>58</v>
      </c>
      <c r="K136" s="692" t="s">
        <v>57</v>
      </c>
      <c r="L136" s="1099">
        <v>0.7</v>
      </c>
      <c r="M136" s="1233" t="s">
        <v>2856</v>
      </c>
      <c r="N136" s="919" t="s">
        <v>2857</v>
      </c>
      <c r="O136" s="1223"/>
      <c r="P136" s="250"/>
      <c r="Q136" s="1099">
        <v>0.2</v>
      </c>
      <c r="R136" s="250"/>
      <c r="S136" s="1103">
        <f t="shared" si="4"/>
        <v>0</v>
      </c>
      <c r="T136" s="1234">
        <f t="shared" si="5"/>
        <v>0</v>
      </c>
      <c r="U136" s="1103" t="s">
        <v>34</v>
      </c>
      <c r="V136" s="1197"/>
      <c r="W136" s="210"/>
    </row>
    <row r="137" spans="1:23" ht="22.95" customHeight="1" x14ac:dyDescent="0.4">
      <c r="A137" s="788">
        <v>136</v>
      </c>
      <c r="B137" s="198" t="s">
        <v>2616</v>
      </c>
      <c r="C137" s="199" t="s">
        <v>24</v>
      </c>
      <c r="D137" s="1169">
        <v>6568</v>
      </c>
      <c r="E137" s="1232" t="s">
        <v>2846</v>
      </c>
      <c r="F137" s="1232" t="s">
        <v>2847</v>
      </c>
      <c r="G137" s="200">
        <v>6014</v>
      </c>
      <c r="H137" s="1232" t="s">
        <v>2617</v>
      </c>
      <c r="I137" s="1232" t="s">
        <v>175</v>
      </c>
      <c r="J137" s="199" t="s">
        <v>111</v>
      </c>
      <c r="K137" s="1235" t="s">
        <v>110</v>
      </c>
      <c r="L137" s="1110">
        <v>0.3</v>
      </c>
      <c r="M137" s="1236" t="s">
        <v>2858</v>
      </c>
      <c r="N137" s="1236" t="s">
        <v>2859</v>
      </c>
      <c r="O137" s="1236" t="s">
        <v>2860</v>
      </c>
      <c r="P137" s="772">
        <v>1</v>
      </c>
      <c r="Q137" s="1110">
        <v>0.2</v>
      </c>
      <c r="R137" s="772"/>
      <c r="S137" s="1111">
        <f t="shared" si="4"/>
        <v>0</v>
      </c>
      <c r="T137" s="1112">
        <f t="shared" si="5"/>
        <v>0</v>
      </c>
      <c r="U137" s="1111" t="s">
        <v>34</v>
      </c>
      <c r="V137" s="1237"/>
      <c r="W137" s="210"/>
    </row>
    <row r="138" spans="1:23" ht="22.95" customHeight="1" x14ac:dyDescent="0.4">
      <c r="A138" s="788">
        <v>137</v>
      </c>
      <c r="B138" s="198" t="s">
        <v>2616</v>
      </c>
      <c r="C138" s="199" t="s">
        <v>24</v>
      </c>
      <c r="D138" s="1169">
        <v>6568</v>
      </c>
      <c r="E138" s="1232" t="s">
        <v>2846</v>
      </c>
      <c r="F138" s="1232" t="s">
        <v>2847</v>
      </c>
      <c r="G138" s="200">
        <v>6014</v>
      </c>
      <c r="H138" s="1232" t="s">
        <v>2617</v>
      </c>
      <c r="I138" s="1232" t="s">
        <v>175</v>
      </c>
      <c r="J138" s="199" t="s">
        <v>111</v>
      </c>
      <c r="K138" s="1235" t="s">
        <v>110</v>
      </c>
      <c r="L138" s="1110">
        <v>0.3</v>
      </c>
      <c r="M138" s="1236" t="s">
        <v>2861</v>
      </c>
      <c r="N138" s="1236" t="s">
        <v>2862</v>
      </c>
      <c r="O138" s="1236" t="s">
        <v>2862</v>
      </c>
      <c r="P138" s="1238">
        <v>1</v>
      </c>
      <c r="Q138" s="1110">
        <v>0.3</v>
      </c>
      <c r="R138" s="1238"/>
      <c r="S138" s="1111">
        <f t="shared" si="4"/>
        <v>0</v>
      </c>
      <c r="T138" s="1112">
        <f t="shared" si="5"/>
        <v>0</v>
      </c>
      <c r="U138" s="1111" t="s">
        <v>34</v>
      </c>
      <c r="V138" s="1237"/>
      <c r="W138" s="210"/>
    </row>
    <row r="139" spans="1:23" ht="22.95" customHeight="1" x14ac:dyDescent="0.4">
      <c r="A139" s="788">
        <v>138</v>
      </c>
      <c r="B139" s="198" t="s">
        <v>2616</v>
      </c>
      <c r="C139" s="199" t="s">
        <v>24</v>
      </c>
      <c r="D139" s="1169">
        <v>6568</v>
      </c>
      <c r="E139" s="1232" t="s">
        <v>2846</v>
      </c>
      <c r="F139" s="1232" t="s">
        <v>2847</v>
      </c>
      <c r="G139" s="200">
        <v>6014</v>
      </c>
      <c r="H139" s="1232" t="s">
        <v>2617</v>
      </c>
      <c r="I139" s="1232" t="s">
        <v>175</v>
      </c>
      <c r="J139" s="199" t="s">
        <v>111</v>
      </c>
      <c r="K139" s="1235" t="s">
        <v>110</v>
      </c>
      <c r="L139" s="1110">
        <v>0.3</v>
      </c>
      <c r="M139" s="1236" t="s">
        <v>2863</v>
      </c>
      <c r="N139" s="921" t="s">
        <v>2864</v>
      </c>
      <c r="O139" s="1225" t="s">
        <v>2865</v>
      </c>
      <c r="P139" s="1239">
        <v>1</v>
      </c>
      <c r="Q139" s="1110">
        <v>0.3</v>
      </c>
      <c r="R139" s="1239"/>
      <c r="S139" s="1111">
        <f t="shared" si="4"/>
        <v>0</v>
      </c>
      <c r="T139" s="1112">
        <f t="shared" si="5"/>
        <v>0</v>
      </c>
      <c r="U139" s="1111" t="s">
        <v>34</v>
      </c>
      <c r="V139" s="1237"/>
      <c r="W139" s="210"/>
    </row>
    <row r="140" spans="1:23" ht="22.95" customHeight="1" x14ac:dyDescent="0.4">
      <c r="A140" s="788">
        <v>139</v>
      </c>
      <c r="B140" s="198" t="s">
        <v>2616</v>
      </c>
      <c r="C140" s="199" t="s">
        <v>24</v>
      </c>
      <c r="D140" s="1169">
        <v>6568</v>
      </c>
      <c r="E140" s="1232" t="s">
        <v>2846</v>
      </c>
      <c r="F140" s="1232" t="s">
        <v>2847</v>
      </c>
      <c r="G140" s="200">
        <v>6014</v>
      </c>
      <c r="H140" s="1232" t="s">
        <v>2617</v>
      </c>
      <c r="I140" s="1232" t="s">
        <v>175</v>
      </c>
      <c r="J140" s="199" t="s">
        <v>111</v>
      </c>
      <c r="K140" s="1235" t="s">
        <v>110</v>
      </c>
      <c r="L140" s="1110">
        <v>0.1</v>
      </c>
      <c r="M140" s="1236" t="s">
        <v>2718</v>
      </c>
      <c r="N140" s="921" t="s">
        <v>2719</v>
      </c>
      <c r="O140" s="850" t="s">
        <v>2866</v>
      </c>
      <c r="P140" s="234">
        <v>1</v>
      </c>
      <c r="Q140" s="1110">
        <v>0.2</v>
      </c>
      <c r="R140" s="234"/>
      <c r="S140" s="1111">
        <f t="shared" si="4"/>
        <v>0</v>
      </c>
      <c r="T140" s="1112">
        <f t="shared" si="5"/>
        <v>0</v>
      </c>
      <c r="U140" s="1111" t="s">
        <v>34</v>
      </c>
      <c r="V140" s="1237"/>
      <c r="W140" s="210"/>
    </row>
    <row r="141" spans="1:23" ht="22.95" customHeight="1" x14ac:dyDescent="0.4">
      <c r="A141" s="788">
        <v>140</v>
      </c>
      <c r="B141" s="236" t="s">
        <v>2616</v>
      </c>
      <c r="C141" s="236" t="s">
        <v>24</v>
      </c>
      <c r="D141" s="1164">
        <v>5290</v>
      </c>
      <c r="E141" s="236" t="s">
        <v>2867</v>
      </c>
      <c r="F141" s="1229" t="s">
        <v>2868</v>
      </c>
      <c r="G141" s="238">
        <v>6568</v>
      </c>
      <c r="H141" s="1229" t="s">
        <v>2846</v>
      </c>
      <c r="I141" s="236" t="s">
        <v>175</v>
      </c>
      <c r="J141" s="236" t="s">
        <v>58</v>
      </c>
      <c r="K141" s="692" t="s">
        <v>57</v>
      </c>
      <c r="L141" s="1052">
        <v>0.7</v>
      </c>
      <c r="M141" s="917" t="s">
        <v>2869</v>
      </c>
      <c r="N141" s="193" t="s">
        <v>181</v>
      </c>
      <c r="O141" s="1168" t="s">
        <v>2870</v>
      </c>
      <c r="P141" s="773">
        <v>8</v>
      </c>
      <c r="Q141" s="1052">
        <v>0.4</v>
      </c>
      <c r="R141" s="773"/>
      <c r="S141" s="855">
        <f t="shared" si="4"/>
        <v>0</v>
      </c>
      <c r="T141" s="854">
        <f t="shared" si="5"/>
        <v>0</v>
      </c>
      <c r="U141" s="855" t="s">
        <v>34</v>
      </c>
      <c r="V141" s="1194">
        <f>SUM(T141:T147)%</f>
        <v>0</v>
      </c>
      <c r="W141" s="243"/>
    </row>
    <row r="142" spans="1:23" ht="22.95" customHeight="1" x14ac:dyDescent="0.4">
      <c r="A142" s="788">
        <v>141</v>
      </c>
      <c r="B142" s="198" t="s">
        <v>2616</v>
      </c>
      <c r="C142" s="198" t="s">
        <v>24</v>
      </c>
      <c r="D142" s="1169">
        <v>5290</v>
      </c>
      <c r="E142" s="198" t="s">
        <v>2867</v>
      </c>
      <c r="F142" s="1232" t="s">
        <v>2868</v>
      </c>
      <c r="G142" s="200">
        <v>6568</v>
      </c>
      <c r="H142" s="1232" t="s">
        <v>2846</v>
      </c>
      <c r="I142" s="198" t="s">
        <v>175</v>
      </c>
      <c r="J142" s="719" t="s">
        <v>58</v>
      </c>
      <c r="K142" s="692" t="s">
        <v>57</v>
      </c>
      <c r="L142" s="1067">
        <v>0.7</v>
      </c>
      <c r="M142" s="919" t="s">
        <v>182</v>
      </c>
      <c r="N142" s="211" t="s">
        <v>183</v>
      </c>
      <c r="O142" s="1173" t="s">
        <v>2871</v>
      </c>
      <c r="P142" s="206"/>
      <c r="Q142" s="1067">
        <v>0.1</v>
      </c>
      <c r="R142" s="206"/>
      <c r="S142" s="204">
        <f t="shared" si="4"/>
        <v>0</v>
      </c>
      <c r="T142" s="960">
        <f t="shared" si="5"/>
        <v>0</v>
      </c>
      <c r="U142" s="204" t="s">
        <v>34</v>
      </c>
      <c r="V142" s="1069"/>
      <c r="W142" s="210"/>
    </row>
    <row r="143" spans="1:23" ht="22.95" customHeight="1" x14ac:dyDescent="0.4">
      <c r="A143" s="788">
        <v>142</v>
      </c>
      <c r="B143" s="198" t="s">
        <v>2616</v>
      </c>
      <c r="C143" s="198" t="s">
        <v>24</v>
      </c>
      <c r="D143" s="1169">
        <v>5290</v>
      </c>
      <c r="E143" s="198" t="s">
        <v>2867</v>
      </c>
      <c r="F143" s="1232" t="s">
        <v>2868</v>
      </c>
      <c r="G143" s="200">
        <v>6568</v>
      </c>
      <c r="H143" s="1232" t="s">
        <v>2846</v>
      </c>
      <c r="I143" s="198" t="s">
        <v>175</v>
      </c>
      <c r="J143" s="719" t="s">
        <v>58</v>
      </c>
      <c r="K143" s="692" t="s">
        <v>57</v>
      </c>
      <c r="L143" s="1067">
        <v>0.7</v>
      </c>
      <c r="M143" s="919" t="s">
        <v>2872</v>
      </c>
      <c r="N143" s="211" t="s">
        <v>2873</v>
      </c>
      <c r="O143" s="1173" t="s">
        <v>2874</v>
      </c>
      <c r="P143" s="250">
        <v>1</v>
      </c>
      <c r="Q143" s="1067">
        <v>0.2</v>
      </c>
      <c r="R143" s="250"/>
      <c r="S143" s="204">
        <f t="shared" si="4"/>
        <v>0</v>
      </c>
      <c r="T143" s="960">
        <f t="shared" si="5"/>
        <v>0</v>
      </c>
      <c r="U143" s="204" t="s">
        <v>34</v>
      </c>
      <c r="V143" s="1069"/>
      <c r="W143" s="210"/>
    </row>
    <row r="144" spans="1:23" ht="22.95" customHeight="1" x14ac:dyDescent="0.4">
      <c r="A144" s="788">
        <v>143</v>
      </c>
      <c r="B144" s="198" t="s">
        <v>2616</v>
      </c>
      <c r="C144" s="198" t="s">
        <v>24</v>
      </c>
      <c r="D144" s="1169">
        <v>5290</v>
      </c>
      <c r="E144" s="198" t="s">
        <v>2867</v>
      </c>
      <c r="F144" s="1232" t="s">
        <v>2868</v>
      </c>
      <c r="G144" s="200">
        <v>6568</v>
      </c>
      <c r="H144" s="1232" t="s">
        <v>2846</v>
      </c>
      <c r="I144" s="198" t="s">
        <v>175</v>
      </c>
      <c r="J144" s="719" t="s">
        <v>58</v>
      </c>
      <c r="K144" s="692" t="s">
        <v>57</v>
      </c>
      <c r="L144" s="1067">
        <v>0.7</v>
      </c>
      <c r="M144" s="919" t="s">
        <v>2875</v>
      </c>
      <c r="N144" s="211" t="s">
        <v>2876</v>
      </c>
      <c r="O144" s="1185" t="s">
        <v>2877</v>
      </c>
      <c r="P144" s="250">
        <v>2</v>
      </c>
      <c r="Q144" s="1067">
        <v>0.2</v>
      </c>
      <c r="R144" s="250"/>
      <c r="S144" s="204">
        <f t="shared" si="4"/>
        <v>0</v>
      </c>
      <c r="T144" s="960">
        <f t="shared" si="5"/>
        <v>0</v>
      </c>
      <c r="U144" s="204" t="s">
        <v>34</v>
      </c>
      <c r="V144" s="1069"/>
      <c r="W144" s="210"/>
    </row>
    <row r="145" spans="1:23" ht="22.95" customHeight="1" x14ac:dyDescent="0.4">
      <c r="A145" s="788">
        <v>144</v>
      </c>
      <c r="B145" s="198" t="s">
        <v>2616</v>
      </c>
      <c r="C145" s="198" t="s">
        <v>24</v>
      </c>
      <c r="D145" s="1169">
        <v>5290</v>
      </c>
      <c r="E145" s="198" t="s">
        <v>2867</v>
      </c>
      <c r="F145" s="1232" t="s">
        <v>2868</v>
      </c>
      <c r="G145" s="200">
        <v>6568</v>
      </c>
      <c r="H145" s="1232" t="s">
        <v>2846</v>
      </c>
      <c r="I145" s="198" t="s">
        <v>175</v>
      </c>
      <c r="J145" s="719" t="s">
        <v>58</v>
      </c>
      <c r="K145" s="692" t="s">
        <v>57</v>
      </c>
      <c r="L145" s="1067">
        <v>0.7</v>
      </c>
      <c r="M145" s="919" t="s">
        <v>2878</v>
      </c>
      <c r="N145" s="211" t="s">
        <v>2879</v>
      </c>
      <c r="O145" s="1185" t="s">
        <v>2880</v>
      </c>
      <c r="P145" s="250">
        <v>0</v>
      </c>
      <c r="Q145" s="1067">
        <v>0.1</v>
      </c>
      <c r="R145" s="250"/>
      <c r="S145" s="204">
        <f t="shared" si="4"/>
        <v>0</v>
      </c>
      <c r="T145" s="960">
        <f t="shared" si="5"/>
        <v>0</v>
      </c>
      <c r="U145" s="204" t="s">
        <v>83</v>
      </c>
      <c r="V145" s="1069"/>
      <c r="W145" s="210"/>
    </row>
    <row r="146" spans="1:23" ht="22.95" customHeight="1" x14ac:dyDescent="0.4">
      <c r="A146" s="788">
        <v>145</v>
      </c>
      <c r="B146" s="198" t="s">
        <v>2616</v>
      </c>
      <c r="C146" s="198" t="s">
        <v>24</v>
      </c>
      <c r="D146" s="1169">
        <v>5290</v>
      </c>
      <c r="E146" s="198" t="s">
        <v>2867</v>
      </c>
      <c r="F146" s="1232" t="s">
        <v>2868</v>
      </c>
      <c r="G146" s="200">
        <v>6568</v>
      </c>
      <c r="H146" s="1232" t="s">
        <v>2846</v>
      </c>
      <c r="I146" s="198" t="s">
        <v>175</v>
      </c>
      <c r="J146" s="199" t="s">
        <v>111</v>
      </c>
      <c r="K146" s="199" t="s">
        <v>110</v>
      </c>
      <c r="L146" s="1145">
        <v>0.3</v>
      </c>
      <c r="M146" s="921"/>
      <c r="N146" s="220" t="s">
        <v>2881</v>
      </c>
      <c r="O146" s="1175" t="s">
        <v>2882</v>
      </c>
      <c r="P146" s="234">
        <v>1</v>
      </c>
      <c r="Q146" s="1059">
        <v>0.5</v>
      </c>
      <c r="R146" s="234"/>
      <c r="S146" s="650">
        <f t="shared" si="4"/>
        <v>0</v>
      </c>
      <c r="T146" s="701">
        <f t="shared" si="5"/>
        <v>0</v>
      </c>
      <c r="U146" s="650" t="s">
        <v>34</v>
      </c>
      <c r="V146" s="1240"/>
      <c r="W146" s="210"/>
    </row>
    <row r="147" spans="1:23" ht="22.95" customHeight="1" x14ac:dyDescent="0.4">
      <c r="A147" s="788">
        <v>146</v>
      </c>
      <c r="B147" s="198" t="s">
        <v>2616</v>
      </c>
      <c r="C147" s="198" t="s">
        <v>24</v>
      </c>
      <c r="D147" s="1169">
        <v>5290</v>
      </c>
      <c r="E147" s="198" t="s">
        <v>2867</v>
      </c>
      <c r="F147" s="1232" t="s">
        <v>2868</v>
      </c>
      <c r="G147" s="200">
        <v>6568</v>
      </c>
      <c r="H147" s="1232" t="s">
        <v>2846</v>
      </c>
      <c r="I147" s="198" t="s">
        <v>175</v>
      </c>
      <c r="J147" s="199" t="s">
        <v>111</v>
      </c>
      <c r="K147" s="199" t="s">
        <v>110</v>
      </c>
      <c r="L147" s="1145">
        <v>0.3</v>
      </c>
      <c r="M147" s="921"/>
      <c r="N147" s="220" t="s">
        <v>2883</v>
      </c>
      <c r="O147" s="1175" t="s">
        <v>2884</v>
      </c>
      <c r="P147" s="234">
        <v>1</v>
      </c>
      <c r="Q147" s="1059">
        <v>0.5</v>
      </c>
      <c r="R147" s="234"/>
      <c r="S147" s="650">
        <f t="shared" si="4"/>
        <v>0</v>
      </c>
      <c r="T147" s="701">
        <f t="shared" si="5"/>
        <v>0</v>
      </c>
      <c r="U147" s="650" t="s">
        <v>34</v>
      </c>
      <c r="V147" s="1240"/>
      <c r="W147" s="210"/>
    </row>
    <row r="148" spans="1:23" ht="22.95" customHeight="1" x14ac:dyDescent="0.4">
      <c r="A148" s="788">
        <v>147</v>
      </c>
      <c r="B148" s="236" t="s">
        <v>2616</v>
      </c>
      <c r="C148" s="236" t="s">
        <v>24</v>
      </c>
      <c r="D148" s="1164">
        <v>5486</v>
      </c>
      <c r="E148" s="236" t="s">
        <v>2885</v>
      </c>
      <c r="F148" s="1229" t="s">
        <v>2868</v>
      </c>
      <c r="G148" s="238">
        <v>6568</v>
      </c>
      <c r="H148" s="1229" t="s">
        <v>2846</v>
      </c>
      <c r="I148" s="236" t="s">
        <v>175</v>
      </c>
      <c r="J148" s="236" t="s">
        <v>58</v>
      </c>
      <c r="K148" s="692" t="s">
        <v>57</v>
      </c>
      <c r="L148" s="1052">
        <v>0.7</v>
      </c>
      <c r="M148" s="917" t="s">
        <v>2666</v>
      </c>
      <c r="N148" s="193" t="s">
        <v>2849</v>
      </c>
      <c r="O148" s="1220" t="s">
        <v>2886</v>
      </c>
      <c r="P148" s="773">
        <v>11</v>
      </c>
      <c r="Q148" s="1052">
        <v>0.4</v>
      </c>
      <c r="R148" s="773"/>
      <c r="S148" s="855">
        <f t="shared" si="4"/>
        <v>0</v>
      </c>
      <c r="T148" s="854">
        <f t="shared" si="5"/>
        <v>0</v>
      </c>
      <c r="U148" s="855" t="s">
        <v>34</v>
      </c>
      <c r="V148" s="1194">
        <f>SUM(T148:T152)%</f>
        <v>0</v>
      </c>
      <c r="W148" s="243"/>
    </row>
    <row r="149" spans="1:23" ht="22.95" customHeight="1" x14ac:dyDescent="0.4">
      <c r="A149" s="788">
        <v>148</v>
      </c>
      <c r="B149" s="198" t="s">
        <v>2616</v>
      </c>
      <c r="C149" s="198" t="s">
        <v>24</v>
      </c>
      <c r="D149" s="1169">
        <v>5486</v>
      </c>
      <c r="E149" s="198" t="s">
        <v>2885</v>
      </c>
      <c r="F149" s="1232" t="s">
        <v>2868</v>
      </c>
      <c r="G149" s="200">
        <v>6568</v>
      </c>
      <c r="H149" s="1232" t="s">
        <v>2846</v>
      </c>
      <c r="I149" s="198" t="s">
        <v>175</v>
      </c>
      <c r="J149" s="719" t="s">
        <v>58</v>
      </c>
      <c r="K149" s="692" t="s">
        <v>57</v>
      </c>
      <c r="L149" s="1067">
        <v>0.7</v>
      </c>
      <c r="M149" s="919" t="s">
        <v>182</v>
      </c>
      <c r="N149" s="211" t="s">
        <v>183</v>
      </c>
      <c r="O149" s="249"/>
      <c r="P149" s="250"/>
      <c r="Q149" s="1067">
        <v>0.15</v>
      </c>
      <c r="R149" s="250"/>
      <c r="S149" s="204">
        <f t="shared" si="4"/>
        <v>0</v>
      </c>
      <c r="T149" s="960">
        <f t="shared" si="5"/>
        <v>0</v>
      </c>
      <c r="U149" s="204" t="s">
        <v>34</v>
      </c>
      <c r="V149" s="1069"/>
      <c r="W149" s="210"/>
    </row>
    <row r="150" spans="1:23" ht="22.95" customHeight="1" x14ac:dyDescent="0.4">
      <c r="A150" s="788">
        <v>149</v>
      </c>
      <c r="B150" s="198" t="s">
        <v>2616</v>
      </c>
      <c r="C150" s="198" t="s">
        <v>24</v>
      </c>
      <c r="D150" s="1169">
        <v>5486</v>
      </c>
      <c r="E150" s="198" t="s">
        <v>2885</v>
      </c>
      <c r="F150" s="1232" t="s">
        <v>2868</v>
      </c>
      <c r="G150" s="200">
        <v>6568</v>
      </c>
      <c r="H150" s="1232" t="s">
        <v>2846</v>
      </c>
      <c r="I150" s="198" t="s">
        <v>175</v>
      </c>
      <c r="J150" s="719" t="s">
        <v>58</v>
      </c>
      <c r="K150" s="692" t="s">
        <v>57</v>
      </c>
      <c r="L150" s="1067">
        <v>0.7</v>
      </c>
      <c r="M150" s="919" t="s">
        <v>2875</v>
      </c>
      <c r="N150" s="211" t="s">
        <v>2876</v>
      </c>
      <c r="O150" s="1185" t="s">
        <v>2887</v>
      </c>
      <c r="P150" s="250">
        <v>2</v>
      </c>
      <c r="Q150" s="1067">
        <v>0.3</v>
      </c>
      <c r="R150" s="250"/>
      <c r="S150" s="204">
        <f t="shared" si="4"/>
        <v>0</v>
      </c>
      <c r="T150" s="960">
        <f t="shared" si="5"/>
        <v>0</v>
      </c>
      <c r="U150" s="204" t="s">
        <v>34</v>
      </c>
      <c r="V150" s="1069"/>
      <c r="W150" s="210"/>
    </row>
    <row r="151" spans="1:23" ht="22.95" customHeight="1" x14ac:dyDescent="0.4">
      <c r="A151" s="788">
        <v>150</v>
      </c>
      <c r="B151" s="198" t="s">
        <v>2616</v>
      </c>
      <c r="C151" s="198" t="s">
        <v>24</v>
      </c>
      <c r="D151" s="1169">
        <v>5486</v>
      </c>
      <c r="E151" s="198" t="s">
        <v>2885</v>
      </c>
      <c r="F151" s="1232" t="s">
        <v>2868</v>
      </c>
      <c r="G151" s="200">
        <v>6568</v>
      </c>
      <c r="H151" s="1232" t="s">
        <v>2846</v>
      </c>
      <c r="I151" s="198" t="s">
        <v>175</v>
      </c>
      <c r="J151" s="719" t="s">
        <v>58</v>
      </c>
      <c r="K151" s="692" t="s">
        <v>57</v>
      </c>
      <c r="L151" s="1067">
        <v>0.7</v>
      </c>
      <c r="M151" s="919" t="s">
        <v>2888</v>
      </c>
      <c r="N151" s="211" t="s">
        <v>2889</v>
      </c>
      <c r="O151" s="1185" t="s">
        <v>2890</v>
      </c>
      <c r="P151" s="250">
        <v>1</v>
      </c>
      <c r="Q151" s="1067">
        <v>0.15</v>
      </c>
      <c r="R151" s="250"/>
      <c r="S151" s="204">
        <f t="shared" si="4"/>
        <v>0</v>
      </c>
      <c r="T151" s="960">
        <f t="shared" si="5"/>
        <v>0</v>
      </c>
      <c r="U151" s="204" t="s">
        <v>34</v>
      </c>
      <c r="V151" s="1069"/>
      <c r="W151" s="210"/>
    </row>
    <row r="152" spans="1:23" ht="22.95" customHeight="1" x14ac:dyDescent="0.4">
      <c r="A152" s="788">
        <v>151</v>
      </c>
      <c r="B152" s="198" t="s">
        <v>2616</v>
      </c>
      <c r="C152" s="198" t="s">
        <v>24</v>
      </c>
      <c r="D152" s="1169">
        <v>5486</v>
      </c>
      <c r="E152" s="198" t="s">
        <v>2885</v>
      </c>
      <c r="F152" s="1232" t="s">
        <v>2868</v>
      </c>
      <c r="G152" s="200">
        <v>6568</v>
      </c>
      <c r="H152" s="1232" t="s">
        <v>2846</v>
      </c>
      <c r="I152" s="198" t="s">
        <v>175</v>
      </c>
      <c r="J152" s="199" t="s">
        <v>111</v>
      </c>
      <c r="K152" s="199" t="s">
        <v>110</v>
      </c>
      <c r="L152" s="1145">
        <v>0.3</v>
      </c>
      <c r="M152" s="921"/>
      <c r="N152" s="220" t="s">
        <v>2883</v>
      </c>
      <c r="O152" s="1175" t="s">
        <v>2891</v>
      </c>
      <c r="P152" s="673">
        <v>1</v>
      </c>
      <c r="Q152" s="1059">
        <v>1</v>
      </c>
      <c r="R152" s="673"/>
      <c r="S152" s="650">
        <f t="shared" si="4"/>
        <v>0</v>
      </c>
      <c r="T152" s="701">
        <f t="shared" si="5"/>
        <v>0</v>
      </c>
      <c r="U152" s="650" t="s">
        <v>83</v>
      </c>
      <c r="V152" s="1240"/>
      <c r="W152" s="210"/>
    </row>
    <row r="153" spans="1:23" ht="22.95" customHeight="1" x14ac:dyDescent="0.4">
      <c r="A153" s="788">
        <v>152</v>
      </c>
      <c r="B153" s="236" t="s">
        <v>2616</v>
      </c>
      <c r="C153" s="236" t="s">
        <v>24</v>
      </c>
      <c r="D153" s="1164">
        <v>2464</v>
      </c>
      <c r="E153" s="236" t="s">
        <v>2892</v>
      </c>
      <c r="F153" s="1229" t="s">
        <v>2893</v>
      </c>
      <c r="G153" s="238">
        <v>6568</v>
      </c>
      <c r="H153" s="1229" t="s">
        <v>2846</v>
      </c>
      <c r="I153" s="236" t="s">
        <v>175</v>
      </c>
      <c r="J153" s="236" t="s">
        <v>58</v>
      </c>
      <c r="K153" s="692" t="s">
        <v>57</v>
      </c>
      <c r="L153" s="1052">
        <v>0.7</v>
      </c>
      <c r="M153" s="1241" t="s">
        <v>2869</v>
      </c>
      <c r="N153" s="186" t="s">
        <v>181</v>
      </c>
      <c r="O153" s="239" t="s">
        <v>2894</v>
      </c>
      <c r="P153" s="773">
        <v>2</v>
      </c>
      <c r="Q153" s="1193">
        <v>0.3</v>
      </c>
      <c r="R153" s="773"/>
      <c r="S153" s="195">
        <f t="shared" si="4"/>
        <v>0</v>
      </c>
      <c r="T153" s="196">
        <f t="shared" si="5"/>
        <v>0</v>
      </c>
      <c r="U153" s="197" t="s">
        <v>34</v>
      </c>
      <c r="V153" s="1194">
        <f>SUM(T153:T158)%</f>
        <v>0</v>
      </c>
      <c r="W153" s="243"/>
    </row>
    <row r="154" spans="1:23" ht="22.95" customHeight="1" x14ac:dyDescent="0.4">
      <c r="A154" s="788">
        <v>153</v>
      </c>
      <c r="B154" s="198" t="s">
        <v>2616</v>
      </c>
      <c r="C154" s="198" t="s">
        <v>24</v>
      </c>
      <c r="D154" s="1169">
        <v>2464</v>
      </c>
      <c r="E154" s="198" t="s">
        <v>2892</v>
      </c>
      <c r="F154" s="1232" t="s">
        <v>2893</v>
      </c>
      <c r="G154" s="200">
        <v>6568</v>
      </c>
      <c r="H154" s="1232" t="s">
        <v>2846</v>
      </c>
      <c r="I154" s="198" t="s">
        <v>175</v>
      </c>
      <c r="J154" s="719" t="s">
        <v>58</v>
      </c>
      <c r="K154" s="692" t="s">
        <v>57</v>
      </c>
      <c r="L154" s="1067">
        <v>0.7</v>
      </c>
      <c r="M154" s="919" t="s">
        <v>182</v>
      </c>
      <c r="N154" s="211" t="s">
        <v>183</v>
      </c>
      <c r="O154" s="211"/>
      <c r="P154" s="206"/>
      <c r="Q154" s="1196">
        <v>0.2</v>
      </c>
      <c r="R154" s="206"/>
      <c r="S154" s="206">
        <f t="shared" si="4"/>
        <v>0</v>
      </c>
      <c r="T154" s="207">
        <f t="shared" si="5"/>
        <v>0</v>
      </c>
      <c r="U154" s="208" t="s">
        <v>34</v>
      </c>
      <c r="V154" s="1069"/>
      <c r="W154" s="210"/>
    </row>
    <row r="155" spans="1:23" ht="22.95" customHeight="1" x14ac:dyDescent="0.4">
      <c r="A155" s="788">
        <v>154</v>
      </c>
      <c r="B155" s="198" t="s">
        <v>2616</v>
      </c>
      <c r="C155" s="198" t="s">
        <v>24</v>
      </c>
      <c r="D155" s="1169">
        <v>2464</v>
      </c>
      <c r="E155" s="198" t="s">
        <v>2892</v>
      </c>
      <c r="F155" s="1232" t="s">
        <v>2893</v>
      </c>
      <c r="G155" s="200">
        <v>6568</v>
      </c>
      <c r="H155" s="1232" t="s">
        <v>2846</v>
      </c>
      <c r="I155" s="198" t="s">
        <v>175</v>
      </c>
      <c r="J155" s="719" t="s">
        <v>58</v>
      </c>
      <c r="K155" s="692" t="s">
        <v>57</v>
      </c>
      <c r="L155" s="1067">
        <v>0.7</v>
      </c>
      <c r="M155" s="919" t="s">
        <v>2875</v>
      </c>
      <c r="N155" s="211" t="s">
        <v>2876</v>
      </c>
      <c r="O155" s="249" t="s">
        <v>2895</v>
      </c>
      <c r="P155" s="207">
        <v>2</v>
      </c>
      <c r="Q155" s="1196">
        <v>0.3</v>
      </c>
      <c r="R155" s="207"/>
      <c r="S155" s="206">
        <f t="shared" si="4"/>
        <v>0</v>
      </c>
      <c r="T155" s="207">
        <f t="shared" si="5"/>
        <v>0</v>
      </c>
      <c r="U155" s="208" t="s">
        <v>34</v>
      </c>
      <c r="V155" s="1069"/>
      <c r="W155" s="210"/>
    </row>
    <row r="156" spans="1:23" ht="22.95" customHeight="1" x14ac:dyDescent="0.4">
      <c r="A156" s="788">
        <v>155</v>
      </c>
      <c r="B156" s="198" t="s">
        <v>2616</v>
      </c>
      <c r="C156" s="198" t="s">
        <v>24</v>
      </c>
      <c r="D156" s="1169">
        <v>2464</v>
      </c>
      <c r="E156" s="198" t="s">
        <v>2892</v>
      </c>
      <c r="F156" s="1232" t="s">
        <v>2893</v>
      </c>
      <c r="G156" s="200">
        <v>6568</v>
      </c>
      <c r="H156" s="1232" t="s">
        <v>2846</v>
      </c>
      <c r="I156" s="198" t="s">
        <v>175</v>
      </c>
      <c r="J156" s="719" t="s">
        <v>58</v>
      </c>
      <c r="K156" s="692" t="s">
        <v>57</v>
      </c>
      <c r="L156" s="1067">
        <v>0.7</v>
      </c>
      <c r="M156" s="1242" t="s">
        <v>2896</v>
      </c>
      <c r="N156" s="682" t="s">
        <v>2897</v>
      </c>
      <c r="O156" s="249" t="s">
        <v>2898</v>
      </c>
      <c r="P156" s="207">
        <v>2</v>
      </c>
      <c r="Q156" s="1196">
        <v>0.1</v>
      </c>
      <c r="R156" s="207"/>
      <c r="S156" s="206">
        <f t="shared" si="4"/>
        <v>0</v>
      </c>
      <c r="T156" s="207">
        <f t="shared" si="5"/>
        <v>0</v>
      </c>
      <c r="U156" s="208" t="s">
        <v>34</v>
      </c>
      <c r="V156" s="1069"/>
      <c r="W156" s="210"/>
    </row>
    <row r="157" spans="1:23" ht="22.95" customHeight="1" x14ac:dyDescent="0.4">
      <c r="A157" s="788">
        <v>156</v>
      </c>
      <c r="B157" s="198" t="s">
        <v>2616</v>
      </c>
      <c r="C157" s="198" t="s">
        <v>24</v>
      </c>
      <c r="D157" s="1169">
        <v>2464</v>
      </c>
      <c r="E157" s="198" t="s">
        <v>2892</v>
      </c>
      <c r="F157" s="1232" t="s">
        <v>2893</v>
      </c>
      <c r="G157" s="200">
        <v>6568</v>
      </c>
      <c r="H157" s="1232" t="s">
        <v>2846</v>
      </c>
      <c r="I157" s="198" t="s">
        <v>175</v>
      </c>
      <c r="J157" s="719" t="s">
        <v>58</v>
      </c>
      <c r="K157" s="692" t="s">
        <v>57</v>
      </c>
      <c r="L157" s="1067">
        <v>0.7</v>
      </c>
      <c r="M157" s="1242" t="s">
        <v>2899</v>
      </c>
      <c r="N157" s="682" t="s">
        <v>2900</v>
      </c>
      <c r="O157" s="249" t="s">
        <v>2901</v>
      </c>
      <c r="P157" s="207">
        <v>40</v>
      </c>
      <c r="Q157" s="1196">
        <v>0.1</v>
      </c>
      <c r="R157" s="207"/>
      <c r="S157" s="206">
        <f t="shared" si="4"/>
        <v>0</v>
      </c>
      <c r="T157" s="207">
        <f t="shared" si="5"/>
        <v>0</v>
      </c>
      <c r="U157" s="208" t="s">
        <v>34</v>
      </c>
      <c r="V157" s="1069"/>
      <c r="W157" s="210"/>
    </row>
    <row r="158" spans="1:23" ht="22.95" customHeight="1" x14ac:dyDescent="0.4">
      <c r="A158" s="788">
        <v>157</v>
      </c>
      <c r="B158" s="198" t="s">
        <v>2616</v>
      </c>
      <c r="C158" s="198" t="s">
        <v>24</v>
      </c>
      <c r="D158" s="1169">
        <v>2464</v>
      </c>
      <c r="E158" s="198" t="s">
        <v>2892</v>
      </c>
      <c r="F158" s="1232" t="s">
        <v>2893</v>
      </c>
      <c r="G158" s="200">
        <v>6568</v>
      </c>
      <c r="H158" s="1232" t="s">
        <v>2846</v>
      </c>
      <c r="I158" s="198" t="s">
        <v>175</v>
      </c>
      <c r="J158" s="698" t="s">
        <v>111</v>
      </c>
      <c r="K158" s="1243" t="s">
        <v>110</v>
      </c>
      <c r="L158" s="1145">
        <v>0.3</v>
      </c>
      <c r="M158" s="1244"/>
      <c r="N158" s="220" t="s">
        <v>2883</v>
      </c>
      <c r="O158" s="1175" t="s">
        <v>2884</v>
      </c>
      <c r="P158" s="218">
        <v>1</v>
      </c>
      <c r="Q158" s="1245">
        <v>1</v>
      </c>
      <c r="R158" s="218"/>
      <c r="S158" s="216">
        <f t="shared" si="4"/>
        <v>0</v>
      </c>
      <c r="T158" s="217">
        <f t="shared" si="5"/>
        <v>0</v>
      </c>
      <c r="U158" s="218" t="s">
        <v>83</v>
      </c>
      <c r="V158" s="1240"/>
      <c r="W158" s="210"/>
    </row>
    <row r="159" spans="1:23" ht="22.95" customHeight="1" x14ac:dyDescent="0.4">
      <c r="A159" s="788">
        <v>158</v>
      </c>
      <c r="B159" s="236" t="s">
        <v>2616</v>
      </c>
      <c r="C159" s="187" t="s">
        <v>24</v>
      </c>
      <c r="D159" s="1164">
        <v>5456</v>
      </c>
      <c r="E159" s="243" t="s">
        <v>2902</v>
      </c>
      <c r="F159" s="243" t="s">
        <v>2903</v>
      </c>
      <c r="G159" s="238">
        <v>6014</v>
      </c>
      <c r="H159" s="243" t="s">
        <v>2617</v>
      </c>
      <c r="I159" s="243" t="s">
        <v>175</v>
      </c>
      <c r="J159" s="187" t="s">
        <v>58</v>
      </c>
      <c r="K159" s="187" t="s">
        <v>57</v>
      </c>
      <c r="L159" s="1246">
        <v>0.7</v>
      </c>
      <c r="M159" s="1166" t="s">
        <v>2904</v>
      </c>
      <c r="N159" s="1167" t="s">
        <v>2905</v>
      </c>
      <c r="O159" s="1167" t="s">
        <v>2906</v>
      </c>
      <c r="P159" s="1247">
        <v>3</v>
      </c>
      <c r="Q159" s="1052">
        <v>0.5</v>
      </c>
      <c r="R159" s="1247"/>
      <c r="S159" s="855">
        <f t="shared" si="4"/>
        <v>0</v>
      </c>
      <c r="T159" s="854">
        <f t="shared" si="5"/>
        <v>0</v>
      </c>
      <c r="U159" s="855" t="s">
        <v>34</v>
      </c>
      <c r="V159" s="1248">
        <f>SUM(T159:T162)%</f>
        <v>0</v>
      </c>
      <c r="W159" s="644"/>
    </row>
    <row r="160" spans="1:23" ht="22.95" customHeight="1" x14ac:dyDescent="0.4">
      <c r="A160" s="788">
        <v>159</v>
      </c>
      <c r="B160" s="198" t="s">
        <v>2616</v>
      </c>
      <c r="C160" s="246" t="s">
        <v>24</v>
      </c>
      <c r="D160" s="1169">
        <v>5456</v>
      </c>
      <c r="E160" s="210" t="s">
        <v>2902</v>
      </c>
      <c r="F160" s="253" t="s">
        <v>2903</v>
      </c>
      <c r="G160" s="200">
        <v>6014</v>
      </c>
      <c r="H160" s="210" t="s">
        <v>2617</v>
      </c>
      <c r="I160" s="210" t="s">
        <v>175</v>
      </c>
      <c r="J160" s="692" t="s">
        <v>58</v>
      </c>
      <c r="K160" s="692" t="s">
        <v>57</v>
      </c>
      <c r="L160" s="1249">
        <v>0.7</v>
      </c>
      <c r="M160" s="1171" t="s">
        <v>2907</v>
      </c>
      <c r="N160" s="1172" t="s">
        <v>2908</v>
      </c>
      <c r="O160" s="1172"/>
      <c r="P160" s="79">
        <v>1</v>
      </c>
      <c r="Q160" s="1067">
        <v>0.5</v>
      </c>
      <c r="R160" s="79"/>
      <c r="S160" s="204">
        <f t="shared" si="4"/>
        <v>0</v>
      </c>
      <c r="T160" s="960">
        <f t="shared" si="5"/>
        <v>0</v>
      </c>
      <c r="U160" s="204" t="s">
        <v>34</v>
      </c>
      <c r="V160" s="1203"/>
      <c r="W160" s="799"/>
    </row>
    <row r="161" spans="1:23" ht="22.95" customHeight="1" x14ac:dyDescent="0.4">
      <c r="A161" s="788">
        <v>160</v>
      </c>
      <c r="B161" s="198" t="s">
        <v>2616</v>
      </c>
      <c r="C161" s="246" t="s">
        <v>24</v>
      </c>
      <c r="D161" s="1169">
        <v>5456</v>
      </c>
      <c r="E161" s="210" t="s">
        <v>2902</v>
      </c>
      <c r="F161" s="253" t="s">
        <v>2903</v>
      </c>
      <c r="G161" s="200">
        <v>6014</v>
      </c>
      <c r="H161" s="253" t="s">
        <v>2617</v>
      </c>
      <c r="I161" s="253" t="s">
        <v>175</v>
      </c>
      <c r="J161" s="220" t="s">
        <v>111</v>
      </c>
      <c r="K161" s="649" t="s">
        <v>110</v>
      </c>
      <c r="L161" s="1250">
        <v>0.3</v>
      </c>
      <c r="M161" s="1251" t="s">
        <v>2909</v>
      </c>
      <c r="N161" s="1252" t="s">
        <v>2910</v>
      </c>
      <c r="O161" s="1252"/>
      <c r="P161" s="1253">
        <v>3</v>
      </c>
      <c r="Q161" s="1059">
        <v>0.5</v>
      </c>
      <c r="R161" s="1253"/>
      <c r="S161" s="964">
        <f t="shared" si="4"/>
        <v>0</v>
      </c>
      <c r="T161" s="962">
        <f t="shared" si="5"/>
        <v>0</v>
      </c>
      <c r="U161" s="964" t="s">
        <v>34</v>
      </c>
      <c r="V161" s="1228"/>
      <c r="W161" s="799"/>
    </row>
    <row r="162" spans="1:23" ht="22.95" customHeight="1" x14ac:dyDescent="0.4">
      <c r="A162" s="788">
        <v>161</v>
      </c>
      <c r="B162" s="198" t="s">
        <v>2616</v>
      </c>
      <c r="C162" s="246" t="s">
        <v>24</v>
      </c>
      <c r="D162" s="1169">
        <v>5456</v>
      </c>
      <c r="E162" s="210" t="s">
        <v>2902</v>
      </c>
      <c r="F162" s="253" t="s">
        <v>2903</v>
      </c>
      <c r="G162" s="200">
        <v>6014</v>
      </c>
      <c r="H162" s="253" t="s">
        <v>2617</v>
      </c>
      <c r="I162" s="253" t="s">
        <v>175</v>
      </c>
      <c r="J162" s="220" t="s">
        <v>111</v>
      </c>
      <c r="K162" s="649" t="s">
        <v>110</v>
      </c>
      <c r="L162" s="1250">
        <v>0.3</v>
      </c>
      <c r="M162" s="1251" t="s">
        <v>2911</v>
      </c>
      <c r="N162" s="1252" t="s">
        <v>2912</v>
      </c>
      <c r="O162" s="1252"/>
      <c r="P162" s="1253">
        <v>3</v>
      </c>
      <c r="Q162" s="1059">
        <v>0.5</v>
      </c>
      <c r="R162" s="1253"/>
      <c r="S162" s="964">
        <f t="shared" si="4"/>
        <v>0</v>
      </c>
      <c r="T162" s="962">
        <f t="shared" si="5"/>
        <v>0</v>
      </c>
      <c r="U162" s="964" t="s">
        <v>34</v>
      </c>
      <c r="V162" s="1228"/>
      <c r="W162" s="799"/>
    </row>
    <row r="163" spans="1:23" ht="22.95" customHeight="1" x14ac:dyDescent="0.4">
      <c r="A163" s="788">
        <v>162</v>
      </c>
      <c r="B163" s="236" t="s">
        <v>2616</v>
      </c>
      <c r="C163" s="236" t="s">
        <v>24</v>
      </c>
      <c r="D163" s="1130">
        <v>6539</v>
      </c>
      <c r="E163" s="187" t="s">
        <v>2913</v>
      </c>
      <c r="F163" s="187" t="s">
        <v>2914</v>
      </c>
      <c r="G163" s="674">
        <v>6014</v>
      </c>
      <c r="H163" s="187" t="s">
        <v>2617</v>
      </c>
      <c r="I163" s="187" t="s">
        <v>175</v>
      </c>
      <c r="J163" s="653" t="s">
        <v>58</v>
      </c>
      <c r="K163" s="1254" t="s">
        <v>57</v>
      </c>
      <c r="L163" s="1054">
        <v>0.4</v>
      </c>
      <c r="M163" s="1255" t="s">
        <v>2915</v>
      </c>
      <c r="N163" s="1256" t="s">
        <v>2916</v>
      </c>
      <c r="O163" s="1257" t="s">
        <v>2917</v>
      </c>
      <c r="P163" s="652">
        <v>10</v>
      </c>
      <c r="Q163" s="1052">
        <v>0.2</v>
      </c>
      <c r="R163" s="652"/>
      <c r="S163" s="195">
        <f t="shared" si="4"/>
        <v>0</v>
      </c>
      <c r="T163" s="196">
        <f t="shared" si="5"/>
        <v>0</v>
      </c>
      <c r="U163" s="1258" t="s">
        <v>83</v>
      </c>
      <c r="V163" s="1248">
        <f>SUM(T163:T173)%</f>
        <v>0</v>
      </c>
      <c r="W163" s="295"/>
    </row>
    <row r="164" spans="1:23" ht="22.95" customHeight="1" x14ac:dyDescent="0.4">
      <c r="A164" s="788">
        <v>163</v>
      </c>
      <c r="B164" s="198" t="s">
        <v>2616</v>
      </c>
      <c r="C164" s="198" t="s">
        <v>24</v>
      </c>
      <c r="D164" s="1259">
        <v>6539</v>
      </c>
      <c r="E164" s="199" t="s">
        <v>2913</v>
      </c>
      <c r="F164" s="199" t="s">
        <v>2914</v>
      </c>
      <c r="G164" s="679">
        <v>6014</v>
      </c>
      <c r="H164" s="199" t="s">
        <v>2617</v>
      </c>
      <c r="I164" s="199" t="s">
        <v>175</v>
      </c>
      <c r="J164" s="79" t="s">
        <v>58</v>
      </c>
      <c r="K164" s="1254" t="s">
        <v>57</v>
      </c>
      <c r="L164" s="1201">
        <v>0.4</v>
      </c>
      <c r="M164" s="1260" t="s">
        <v>2918</v>
      </c>
      <c r="N164" s="1261" t="s">
        <v>2919</v>
      </c>
      <c r="O164" s="1262" t="s">
        <v>2920</v>
      </c>
      <c r="P164" s="814">
        <v>1</v>
      </c>
      <c r="Q164" s="1067">
        <v>0.2</v>
      </c>
      <c r="R164" s="814"/>
      <c r="S164" s="206">
        <f t="shared" si="4"/>
        <v>0</v>
      </c>
      <c r="T164" s="207">
        <f t="shared" si="5"/>
        <v>0</v>
      </c>
      <c r="U164" s="1068" t="s">
        <v>83</v>
      </c>
      <c r="V164" s="1201"/>
      <c r="W164" s="303"/>
    </row>
    <row r="165" spans="1:23" ht="22.95" customHeight="1" x14ac:dyDescent="0.4">
      <c r="A165" s="788">
        <v>164</v>
      </c>
      <c r="B165" s="198" t="s">
        <v>2616</v>
      </c>
      <c r="C165" s="198" t="s">
        <v>24</v>
      </c>
      <c r="D165" s="1259">
        <v>6539</v>
      </c>
      <c r="E165" s="199" t="s">
        <v>2913</v>
      </c>
      <c r="F165" s="199" t="s">
        <v>2914</v>
      </c>
      <c r="G165" s="679">
        <v>6014</v>
      </c>
      <c r="H165" s="199" t="s">
        <v>2617</v>
      </c>
      <c r="I165" s="199" t="s">
        <v>175</v>
      </c>
      <c r="J165" s="79" t="s">
        <v>58</v>
      </c>
      <c r="K165" s="653" t="s">
        <v>57</v>
      </c>
      <c r="L165" s="1201">
        <v>0.4</v>
      </c>
      <c r="M165" s="1260" t="s">
        <v>2921</v>
      </c>
      <c r="N165" s="1261" t="s">
        <v>2922</v>
      </c>
      <c r="O165" s="1262" t="s">
        <v>2923</v>
      </c>
      <c r="P165" s="392">
        <v>0.1</v>
      </c>
      <c r="Q165" s="1067">
        <v>0.2</v>
      </c>
      <c r="R165" s="392"/>
      <c r="S165" s="206">
        <f t="shared" si="4"/>
        <v>0</v>
      </c>
      <c r="T165" s="207">
        <f t="shared" si="5"/>
        <v>0</v>
      </c>
      <c r="U165" s="1068" t="s">
        <v>83</v>
      </c>
      <c r="V165" s="1201"/>
      <c r="W165" s="303"/>
    </row>
    <row r="166" spans="1:23" ht="22.95" customHeight="1" x14ac:dyDescent="0.4">
      <c r="A166" s="788">
        <v>165</v>
      </c>
      <c r="B166" s="198" t="s">
        <v>2616</v>
      </c>
      <c r="C166" s="198" t="s">
        <v>24</v>
      </c>
      <c r="D166" s="1259">
        <v>6539</v>
      </c>
      <c r="E166" s="199" t="s">
        <v>2913</v>
      </c>
      <c r="F166" s="199" t="s">
        <v>2914</v>
      </c>
      <c r="G166" s="679">
        <v>6014</v>
      </c>
      <c r="H166" s="199" t="s">
        <v>2617</v>
      </c>
      <c r="I166" s="199" t="s">
        <v>175</v>
      </c>
      <c r="J166" s="79" t="s">
        <v>58</v>
      </c>
      <c r="K166" s="79" t="s">
        <v>57</v>
      </c>
      <c r="L166" s="1201">
        <v>0.4</v>
      </c>
      <c r="M166" s="1260" t="s">
        <v>423</v>
      </c>
      <c r="N166" s="1261" t="s">
        <v>586</v>
      </c>
      <c r="O166" s="1262" t="s">
        <v>2924</v>
      </c>
      <c r="P166" s="647">
        <v>0.03</v>
      </c>
      <c r="Q166" s="1067">
        <v>0.2</v>
      </c>
      <c r="R166" s="647"/>
      <c r="S166" s="206">
        <f t="shared" si="4"/>
        <v>0</v>
      </c>
      <c r="T166" s="207">
        <f t="shared" si="5"/>
        <v>0</v>
      </c>
      <c r="U166" s="1068" t="s">
        <v>34</v>
      </c>
      <c r="V166" s="1201"/>
      <c r="W166" s="303"/>
    </row>
    <row r="167" spans="1:23" ht="22.95" customHeight="1" x14ac:dyDescent="0.4">
      <c r="A167" s="788">
        <v>166</v>
      </c>
      <c r="B167" s="198" t="s">
        <v>2616</v>
      </c>
      <c r="C167" s="198" t="s">
        <v>24</v>
      </c>
      <c r="D167" s="1259">
        <v>6539</v>
      </c>
      <c r="E167" s="199" t="s">
        <v>2913</v>
      </c>
      <c r="F167" s="199" t="s">
        <v>2914</v>
      </c>
      <c r="G167" s="679">
        <v>6014</v>
      </c>
      <c r="H167" s="199" t="s">
        <v>2617</v>
      </c>
      <c r="I167" s="199" t="s">
        <v>175</v>
      </c>
      <c r="J167" s="79" t="s">
        <v>58</v>
      </c>
      <c r="K167" s="653" t="s">
        <v>57</v>
      </c>
      <c r="L167" s="1201">
        <v>0.4</v>
      </c>
      <c r="M167" s="1260" t="s">
        <v>2925</v>
      </c>
      <c r="N167" s="1261" t="s">
        <v>2926</v>
      </c>
      <c r="O167" s="1262" t="s">
        <v>2927</v>
      </c>
      <c r="P167" s="647">
        <v>0.2</v>
      </c>
      <c r="Q167" s="1067">
        <v>0.2</v>
      </c>
      <c r="R167" s="647"/>
      <c r="S167" s="206">
        <f t="shared" si="4"/>
        <v>0</v>
      </c>
      <c r="T167" s="207">
        <f t="shared" si="5"/>
        <v>0</v>
      </c>
      <c r="U167" s="1068" t="s">
        <v>34</v>
      </c>
      <c r="V167" s="1201"/>
      <c r="W167" s="303"/>
    </row>
    <row r="168" spans="1:23" ht="22.95" customHeight="1" x14ac:dyDescent="0.4">
      <c r="A168" s="788">
        <v>167</v>
      </c>
      <c r="B168" s="198" t="s">
        <v>2616</v>
      </c>
      <c r="C168" s="198" t="s">
        <v>24</v>
      </c>
      <c r="D168" s="1259">
        <v>6539</v>
      </c>
      <c r="E168" s="199" t="s">
        <v>2913</v>
      </c>
      <c r="F168" s="199" t="s">
        <v>2914</v>
      </c>
      <c r="G168" s="679">
        <v>6014</v>
      </c>
      <c r="H168" s="199" t="s">
        <v>2617</v>
      </c>
      <c r="I168" s="199" t="s">
        <v>175</v>
      </c>
      <c r="J168" s="649" t="s">
        <v>111</v>
      </c>
      <c r="K168" s="649" t="s">
        <v>110</v>
      </c>
      <c r="L168" s="1063">
        <v>0.6</v>
      </c>
      <c r="M168" s="1263" t="s">
        <v>2928</v>
      </c>
      <c r="N168" s="1264" t="s">
        <v>2929</v>
      </c>
      <c r="O168" s="1265" t="s">
        <v>2930</v>
      </c>
      <c r="P168" s="802">
        <v>7</v>
      </c>
      <c r="Q168" s="1145">
        <v>0.5</v>
      </c>
      <c r="R168" s="802"/>
      <c r="S168" s="216">
        <f t="shared" si="4"/>
        <v>0</v>
      </c>
      <c r="T168" s="217">
        <f t="shared" si="5"/>
        <v>0</v>
      </c>
      <c r="U168" s="1266" t="s">
        <v>34</v>
      </c>
      <c r="V168" s="1228"/>
      <c r="W168" s="303"/>
    </row>
    <row r="169" spans="1:23" ht="22.95" customHeight="1" x14ac:dyDescent="0.4">
      <c r="A169" s="788">
        <v>168</v>
      </c>
      <c r="B169" s="198" t="s">
        <v>2616</v>
      </c>
      <c r="C169" s="198" t="s">
        <v>24</v>
      </c>
      <c r="D169" s="1259">
        <v>6539</v>
      </c>
      <c r="E169" s="199" t="s">
        <v>2913</v>
      </c>
      <c r="F169" s="199" t="s">
        <v>2914</v>
      </c>
      <c r="G169" s="679">
        <v>6014</v>
      </c>
      <c r="H169" s="199" t="s">
        <v>2617</v>
      </c>
      <c r="I169" s="199" t="s">
        <v>175</v>
      </c>
      <c r="J169" s="649" t="s">
        <v>111</v>
      </c>
      <c r="K169" s="649" t="s">
        <v>110</v>
      </c>
      <c r="L169" s="1063">
        <v>0.6</v>
      </c>
      <c r="M169" s="1263" t="s">
        <v>1048</v>
      </c>
      <c r="N169" s="1264" t="s">
        <v>2931</v>
      </c>
      <c r="O169" s="1267" t="s">
        <v>2932</v>
      </c>
      <c r="P169" s="1005">
        <v>0.4</v>
      </c>
      <c r="Q169" s="1155">
        <v>0.1</v>
      </c>
      <c r="R169" s="1005"/>
      <c r="S169" s="216">
        <f t="shared" si="4"/>
        <v>0</v>
      </c>
      <c r="T169" s="217">
        <f t="shared" si="5"/>
        <v>0</v>
      </c>
      <c r="U169" s="649" t="s">
        <v>34</v>
      </c>
      <c r="V169" s="1228"/>
      <c r="W169" s="303"/>
    </row>
    <row r="170" spans="1:23" ht="22.95" customHeight="1" x14ac:dyDescent="0.4">
      <c r="A170" s="788">
        <v>169</v>
      </c>
      <c r="B170" s="198" t="s">
        <v>2616</v>
      </c>
      <c r="C170" s="198" t="s">
        <v>24</v>
      </c>
      <c r="D170" s="1259">
        <v>6539</v>
      </c>
      <c r="E170" s="199" t="s">
        <v>2913</v>
      </c>
      <c r="F170" s="199" t="s">
        <v>2914</v>
      </c>
      <c r="G170" s="679">
        <v>6014</v>
      </c>
      <c r="H170" s="199" t="s">
        <v>2617</v>
      </c>
      <c r="I170" s="199" t="s">
        <v>175</v>
      </c>
      <c r="J170" s="649" t="s">
        <v>111</v>
      </c>
      <c r="K170" s="649" t="s">
        <v>110</v>
      </c>
      <c r="L170" s="1063">
        <v>0.6</v>
      </c>
      <c r="M170" s="1263" t="s">
        <v>1051</v>
      </c>
      <c r="N170" s="1264" t="s">
        <v>2933</v>
      </c>
      <c r="O170" s="1265" t="s">
        <v>2934</v>
      </c>
      <c r="P170" s="803">
        <v>0.7</v>
      </c>
      <c r="Q170" s="1145">
        <v>0.1</v>
      </c>
      <c r="R170" s="803"/>
      <c r="S170" s="216">
        <f t="shared" si="4"/>
        <v>0</v>
      </c>
      <c r="T170" s="217">
        <f t="shared" si="5"/>
        <v>0</v>
      </c>
      <c r="U170" s="649" t="s">
        <v>34</v>
      </c>
      <c r="V170" s="1228"/>
      <c r="W170" s="303"/>
    </row>
    <row r="171" spans="1:23" ht="22.95" customHeight="1" x14ac:dyDescent="0.4">
      <c r="A171" s="788">
        <v>170</v>
      </c>
      <c r="B171" s="198" t="s">
        <v>2616</v>
      </c>
      <c r="C171" s="198" t="s">
        <v>24</v>
      </c>
      <c r="D171" s="1259">
        <v>6539</v>
      </c>
      <c r="E171" s="199" t="s">
        <v>2913</v>
      </c>
      <c r="F171" s="199" t="s">
        <v>2914</v>
      </c>
      <c r="G171" s="679">
        <v>6014</v>
      </c>
      <c r="H171" s="199" t="s">
        <v>2617</v>
      </c>
      <c r="I171" s="199" t="s">
        <v>175</v>
      </c>
      <c r="J171" s="649" t="s">
        <v>111</v>
      </c>
      <c r="K171" s="649" t="s">
        <v>110</v>
      </c>
      <c r="L171" s="1063">
        <v>0.6</v>
      </c>
      <c r="M171" s="1263" t="s">
        <v>1053</v>
      </c>
      <c r="N171" s="1264" t="s">
        <v>2935</v>
      </c>
      <c r="O171" s="1268" t="s">
        <v>2936</v>
      </c>
      <c r="P171" s="803">
        <v>1</v>
      </c>
      <c r="Q171" s="1145">
        <v>0.1</v>
      </c>
      <c r="R171" s="803"/>
      <c r="S171" s="216">
        <f t="shared" si="4"/>
        <v>0</v>
      </c>
      <c r="T171" s="217">
        <f t="shared" si="5"/>
        <v>0</v>
      </c>
      <c r="U171" s="649" t="s">
        <v>34</v>
      </c>
      <c r="V171" s="1228"/>
      <c r="W171" s="303"/>
    </row>
    <row r="172" spans="1:23" ht="22.95" customHeight="1" x14ac:dyDescent="0.4">
      <c r="A172" s="788">
        <v>171</v>
      </c>
      <c r="B172" s="198" t="s">
        <v>2616</v>
      </c>
      <c r="C172" s="198" t="s">
        <v>24</v>
      </c>
      <c r="D172" s="1259">
        <v>6539</v>
      </c>
      <c r="E172" s="199" t="s">
        <v>2913</v>
      </c>
      <c r="F172" s="199" t="s">
        <v>2914</v>
      </c>
      <c r="G172" s="679">
        <v>6014</v>
      </c>
      <c r="H172" s="199" t="s">
        <v>2617</v>
      </c>
      <c r="I172" s="199" t="s">
        <v>175</v>
      </c>
      <c r="J172" s="649" t="s">
        <v>111</v>
      </c>
      <c r="K172" s="649" t="s">
        <v>110</v>
      </c>
      <c r="L172" s="1063">
        <v>0.6</v>
      </c>
      <c r="M172" s="1263" t="s">
        <v>2937</v>
      </c>
      <c r="N172" s="1264" t="s">
        <v>2938</v>
      </c>
      <c r="O172" s="1265" t="s">
        <v>2939</v>
      </c>
      <c r="P172" s="803">
        <v>0.6</v>
      </c>
      <c r="Q172" s="1145">
        <v>0.1</v>
      </c>
      <c r="R172" s="803"/>
      <c r="S172" s="216">
        <f t="shared" si="4"/>
        <v>0</v>
      </c>
      <c r="T172" s="217">
        <f t="shared" si="5"/>
        <v>0</v>
      </c>
      <c r="U172" s="649" t="s">
        <v>34</v>
      </c>
      <c r="V172" s="1228"/>
      <c r="W172" s="303"/>
    </row>
    <row r="173" spans="1:23" ht="22.95" customHeight="1" x14ac:dyDescent="0.4">
      <c r="A173" s="788">
        <v>172</v>
      </c>
      <c r="B173" s="198" t="s">
        <v>2616</v>
      </c>
      <c r="C173" s="198" t="s">
        <v>24</v>
      </c>
      <c r="D173" s="1259">
        <v>6539</v>
      </c>
      <c r="E173" s="199" t="s">
        <v>2913</v>
      </c>
      <c r="F173" s="199" t="s">
        <v>2914</v>
      </c>
      <c r="G173" s="679">
        <v>6014</v>
      </c>
      <c r="H173" s="199" t="s">
        <v>2617</v>
      </c>
      <c r="I173" s="199" t="s">
        <v>175</v>
      </c>
      <c r="J173" s="649" t="s">
        <v>111</v>
      </c>
      <c r="K173" s="649" t="s">
        <v>110</v>
      </c>
      <c r="L173" s="1063">
        <v>0.6</v>
      </c>
      <c r="M173" s="1263" t="s">
        <v>2940</v>
      </c>
      <c r="N173" s="1264" t="s">
        <v>2941</v>
      </c>
      <c r="O173" s="1268" t="s">
        <v>2942</v>
      </c>
      <c r="P173" s="803">
        <v>0.8</v>
      </c>
      <c r="Q173" s="1145">
        <v>0.1</v>
      </c>
      <c r="R173" s="803"/>
      <c r="S173" s="216">
        <f t="shared" si="4"/>
        <v>0</v>
      </c>
      <c r="T173" s="217">
        <f t="shared" si="5"/>
        <v>0</v>
      </c>
      <c r="U173" s="649" t="s">
        <v>34</v>
      </c>
      <c r="V173" s="1228"/>
      <c r="W173" s="303"/>
    </row>
    <row r="174" spans="1:23" ht="22.95" customHeight="1" x14ac:dyDescent="0.4">
      <c r="A174" s="788">
        <v>173</v>
      </c>
      <c r="B174" s="236" t="s">
        <v>2616</v>
      </c>
      <c r="C174" s="236" t="s">
        <v>24</v>
      </c>
      <c r="D174" s="1130">
        <v>5773</v>
      </c>
      <c r="E174" s="187" t="s">
        <v>2943</v>
      </c>
      <c r="F174" s="187" t="s">
        <v>2944</v>
      </c>
      <c r="G174" s="674">
        <v>6014</v>
      </c>
      <c r="H174" s="187" t="s">
        <v>2617</v>
      </c>
      <c r="I174" s="187" t="s">
        <v>175</v>
      </c>
      <c r="J174" s="653" t="s">
        <v>58</v>
      </c>
      <c r="K174" s="653" t="s">
        <v>57</v>
      </c>
      <c r="L174" s="1052">
        <v>0.7</v>
      </c>
      <c r="M174" s="748" t="s">
        <v>2945</v>
      </c>
      <c r="N174" s="749" t="s">
        <v>2946</v>
      </c>
      <c r="O174" s="1269" t="s">
        <v>2947</v>
      </c>
      <c r="P174" s="835">
        <v>1</v>
      </c>
      <c r="Q174" s="1052">
        <v>0.3</v>
      </c>
      <c r="R174" s="835"/>
      <c r="S174" s="855">
        <f t="shared" si="4"/>
        <v>0</v>
      </c>
      <c r="T174" s="854">
        <f t="shared" si="5"/>
        <v>0</v>
      </c>
      <c r="U174" s="1258" t="s">
        <v>34</v>
      </c>
      <c r="V174" s="1133">
        <f>SUM(T174:T181)%</f>
        <v>0</v>
      </c>
      <c r="W174" s="295"/>
    </row>
    <row r="175" spans="1:23" ht="22.95" customHeight="1" x14ac:dyDescent="0.4">
      <c r="A175" s="788">
        <v>174</v>
      </c>
      <c r="B175" s="198" t="s">
        <v>2616</v>
      </c>
      <c r="C175" s="198" t="s">
        <v>24</v>
      </c>
      <c r="D175" s="1259">
        <v>5773</v>
      </c>
      <c r="E175" s="199" t="s">
        <v>2943</v>
      </c>
      <c r="F175" s="199" t="s">
        <v>2944</v>
      </c>
      <c r="G175" s="679">
        <v>6014</v>
      </c>
      <c r="H175" s="246" t="s">
        <v>2617</v>
      </c>
      <c r="I175" s="246" t="s">
        <v>175</v>
      </c>
      <c r="J175" s="959" t="s">
        <v>58</v>
      </c>
      <c r="K175" s="79" t="s">
        <v>57</v>
      </c>
      <c r="L175" s="1067">
        <v>0.7</v>
      </c>
      <c r="M175" s="756" t="s">
        <v>2948</v>
      </c>
      <c r="N175" s="757" t="s">
        <v>2949</v>
      </c>
      <c r="O175" s="992" t="s">
        <v>2950</v>
      </c>
      <c r="P175" s="231">
        <v>1</v>
      </c>
      <c r="Q175" s="1067">
        <v>0.1</v>
      </c>
      <c r="R175" s="231"/>
      <c r="S175" s="204">
        <f t="shared" si="4"/>
        <v>0</v>
      </c>
      <c r="T175" s="960">
        <f t="shared" si="5"/>
        <v>0</v>
      </c>
      <c r="U175" s="1068" t="s">
        <v>34</v>
      </c>
      <c r="V175" s="1203"/>
      <c r="W175" s="303"/>
    </row>
    <row r="176" spans="1:23" ht="22.95" customHeight="1" x14ac:dyDescent="0.4">
      <c r="A176" s="788">
        <v>175</v>
      </c>
      <c r="B176" s="198" t="s">
        <v>2616</v>
      </c>
      <c r="C176" s="198" t="s">
        <v>24</v>
      </c>
      <c r="D176" s="1259">
        <v>5773</v>
      </c>
      <c r="E176" s="199" t="s">
        <v>2943</v>
      </c>
      <c r="F176" s="199" t="s">
        <v>2944</v>
      </c>
      <c r="G176" s="679">
        <v>6014</v>
      </c>
      <c r="H176" s="246" t="s">
        <v>2617</v>
      </c>
      <c r="I176" s="246" t="s">
        <v>175</v>
      </c>
      <c r="J176" s="959" t="s">
        <v>58</v>
      </c>
      <c r="K176" s="79" t="s">
        <v>57</v>
      </c>
      <c r="L176" s="1067">
        <v>0.7</v>
      </c>
      <c r="M176" s="756" t="s">
        <v>2951</v>
      </c>
      <c r="N176" s="757" t="s">
        <v>2952</v>
      </c>
      <c r="O176" s="992" t="s">
        <v>2953</v>
      </c>
      <c r="P176" s="231">
        <v>1</v>
      </c>
      <c r="Q176" s="1067">
        <v>0.1</v>
      </c>
      <c r="R176" s="231"/>
      <c r="S176" s="204">
        <f t="shared" si="4"/>
        <v>0</v>
      </c>
      <c r="T176" s="960">
        <f t="shared" si="5"/>
        <v>0</v>
      </c>
      <c r="U176" s="1068" t="s">
        <v>34</v>
      </c>
      <c r="V176" s="1203"/>
      <c r="W176" s="303"/>
    </row>
    <row r="177" spans="1:23" ht="22.95" customHeight="1" x14ac:dyDescent="0.4">
      <c r="A177" s="788">
        <v>176</v>
      </c>
      <c r="B177" s="198" t="s">
        <v>2616</v>
      </c>
      <c r="C177" s="198" t="s">
        <v>24</v>
      </c>
      <c r="D177" s="1259">
        <v>5773</v>
      </c>
      <c r="E177" s="199" t="s">
        <v>2943</v>
      </c>
      <c r="F177" s="199" t="s">
        <v>2944</v>
      </c>
      <c r="G177" s="679">
        <v>6014</v>
      </c>
      <c r="H177" s="246" t="s">
        <v>2617</v>
      </c>
      <c r="I177" s="246" t="s">
        <v>175</v>
      </c>
      <c r="J177" s="959" t="s">
        <v>58</v>
      </c>
      <c r="K177" s="79" t="s">
        <v>57</v>
      </c>
      <c r="L177" s="1067">
        <v>0.7</v>
      </c>
      <c r="M177" s="756" t="s">
        <v>2954</v>
      </c>
      <c r="N177" s="757" t="s">
        <v>2955</v>
      </c>
      <c r="O177" s="992" t="s">
        <v>2956</v>
      </c>
      <c r="P177" s="231">
        <v>1</v>
      </c>
      <c r="Q177" s="1067">
        <v>0.25</v>
      </c>
      <c r="R177" s="231"/>
      <c r="S177" s="204">
        <f t="shared" si="4"/>
        <v>0</v>
      </c>
      <c r="T177" s="960">
        <f t="shared" si="5"/>
        <v>0</v>
      </c>
      <c r="U177" s="1068" t="s">
        <v>34</v>
      </c>
      <c r="V177" s="1203"/>
      <c r="W177" s="303"/>
    </row>
    <row r="178" spans="1:23" ht="22.95" customHeight="1" x14ac:dyDescent="0.4">
      <c r="A178" s="788">
        <v>177</v>
      </c>
      <c r="B178" s="198" t="s">
        <v>2616</v>
      </c>
      <c r="C178" s="198" t="s">
        <v>24</v>
      </c>
      <c r="D178" s="1259">
        <v>5773</v>
      </c>
      <c r="E178" s="199" t="s">
        <v>2943</v>
      </c>
      <c r="F178" s="199" t="s">
        <v>2944</v>
      </c>
      <c r="G178" s="679">
        <v>6014</v>
      </c>
      <c r="H178" s="246" t="s">
        <v>2617</v>
      </c>
      <c r="I178" s="246" t="s">
        <v>175</v>
      </c>
      <c r="J178" s="959" t="s">
        <v>58</v>
      </c>
      <c r="K178" s="79" t="s">
        <v>57</v>
      </c>
      <c r="L178" s="1067">
        <v>0.7</v>
      </c>
      <c r="M178" s="756" t="s">
        <v>211</v>
      </c>
      <c r="N178" s="757" t="s">
        <v>212</v>
      </c>
      <c r="O178" s="992" t="s">
        <v>2957</v>
      </c>
      <c r="P178" s="1270">
        <v>6</v>
      </c>
      <c r="Q178" s="1067">
        <v>0.1</v>
      </c>
      <c r="R178" s="1270"/>
      <c r="S178" s="204">
        <f t="shared" si="4"/>
        <v>0</v>
      </c>
      <c r="T178" s="960">
        <f t="shared" si="5"/>
        <v>0</v>
      </c>
      <c r="U178" s="1068" t="s">
        <v>34</v>
      </c>
      <c r="V178" s="1203"/>
      <c r="W178" s="303"/>
    </row>
    <row r="179" spans="1:23" ht="22.95" customHeight="1" x14ac:dyDescent="0.4">
      <c r="A179" s="788">
        <v>178</v>
      </c>
      <c r="B179" s="198" t="s">
        <v>2616</v>
      </c>
      <c r="C179" s="198" t="s">
        <v>24</v>
      </c>
      <c r="D179" s="1259">
        <v>5773</v>
      </c>
      <c r="E179" s="199" t="s">
        <v>2943</v>
      </c>
      <c r="F179" s="199" t="s">
        <v>2944</v>
      </c>
      <c r="G179" s="679">
        <v>6014</v>
      </c>
      <c r="H179" s="246" t="s">
        <v>2617</v>
      </c>
      <c r="I179" s="246" t="s">
        <v>175</v>
      </c>
      <c r="J179" s="959" t="s">
        <v>58</v>
      </c>
      <c r="K179" s="79" t="s">
        <v>57</v>
      </c>
      <c r="L179" s="1067">
        <v>0.7</v>
      </c>
      <c r="M179" s="756" t="s">
        <v>2958</v>
      </c>
      <c r="N179" s="757" t="s">
        <v>2959</v>
      </c>
      <c r="O179" s="990" t="s">
        <v>2960</v>
      </c>
      <c r="P179" s="231">
        <v>1</v>
      </c>
      <c r="Q179" s="1067">
        <v>0.15</v>
      </c>
      <c r="R179" s="231"/>
      <c r="S179" s="204">
        <f t="shared" si="4"/>
        <v>0</v>
      </c>
      <c r="T179" s="960">
        <f t="shared" si="5"/>
        <v>0</v>
      </c>
      <c r="U179" s="1068" t="s">
        <v>34</v>
      </c>
      <c r="V179" s="1203"/>
      <c r="W179" s="303"/>
    </row>
    <row r="180" spans="1:23" ht="22.95" customHeight="1" x14ac:dyDescent="0.4">
      <c r="A180" s="788">
        <v>179</v>
      </c>
      <c r="B180" s="198" t="s">
        <v>2616</v>
      </c>
      <c r="C180" s="198" t="s">
        <v>24</v>
      </c>
      <c r="D180" s="1259">
        <v>5773</v>
      </c>
      <c r="E180" s="199" t="s">
        <v>2943</v>
      </c>
      <c r="F180" s="199" t="s">
        <v>2944</v>
      </c>
      <c r="G180" s="679">
        <v>6014</v>
      </c>
      <c r="H180" s="246" t="s">
        <v>2617</v>
      </c>
      <c r="I180" s="246" t="s">
        <v>175</v>
      </c>
      <c r="J180" s="210" t="s">
        <v>111</v>
      </c>
      <c r="K180" s="649" t="s">
        <v>110</v>
      </c>
      <c r="L180" s="1145">
        <v>0.3</v>
      </c>
      <c r="M180" s="766" t="s">
        <v>2961</v>
      </c>
      <c r="N180" s="767" t="s">
        <v>2962</v>
      </c>
      <c r="O180" s="1271" t="s">
        <v>2963</v>
      </c>
      <c r="P180" s="1272">
        <v>1</v>
      </c>
      <c r="Q180" s="1145">
        <v>0.5</v>
      </c>
      <c r="R180" s="1272"/>
      <c r="S180" s="650">
        <f t="shared" si="4"/>
        <v>0</v>
      </c>
      <c r="T180" s="701">
        <f t="shared" si="5"/>
        <v>0</v>
      </c>
      <c r="U180" s="1266" t="s">
        <v>34</v>
      </c>
      <c r="V180" s="1228"/>
      <c r="W180" s="303"/>
    </row>
    <row r="181" spans="1:23" ht="22.95" customHeight="1" x14ac:dyDescent="0.4">
      <c r="A181" s="788">
        <v>180</v>
      </c>
      <c r="B181" s="198" t="s">
        <v>2616</v>
      </c>
      <c r="C181" s="198" t="s">
        <v>24</v>
      </c>
      <c r="D181" s="1259">
        <v>5773</v>
      </c>
      <c r="E181" s="199" t="s">
        <v>2943</v>
      </c>
      <c r="F181" s="199" t="s">
        <v>2944</v>
      </c>
      <c r="G181" s="679">
        <v>6014</v>
      </c>
      <c r="H181" s="199" t="s">
        <v>2617</v>
      </c>
      <c r="I181" s="199" t="s">
        <v>175</v>
      </c>
      <c r="J181" s="210" t="s">
        <v>111</v>
      </c>
      <c r="K181" s="649" t="s">
        <v>110</v>
      </c>
      <c r="L181" s="1145">
        <v>0.3</v>
      </c>
      <c r="M181" s="766" t="s">
        <v>2964</v>
      </c>
      <c r="N181" s="767" t="s">
        <v>2965</v>
      </c>
      <c r="O181" s="1271" t="s">
        <v>2966</v>
      </c>
      <c r="P181" s="1272">
        <v>1</v>
      </c>
      <c r="Q181" s="1145">
        <v>0.5</v>
      </c>
      <c r="R181" s="1272"/>
      <c r="S181" s="650">
        <f t="shared" si="4"/>
        <v>0</v>
      </c>
      <c r="T181" s="701">
        <f t="shared" si="5"/>
        <v>0</v>
      </c>
      <c r="U181" s="1266" t="s">
        <v>34</v>
      </c>
      <c r="V181" s="1228"/>
      <c r="W181" s="303"/>
    </row>
    <row r="182" spans="1:23" ht="22.95" customHeight="1" x14ac:dyDescent="0.4">
      <c r="A182" s="788">
        <v>181</v>
      </c>
      <c r="B182" s="236" t="s">
        <v>2616</v>
      </c>
      <c r="C182" s="187" t="s">
        <v>24</v>
      </c>
      <c r="D182" s="1164">
        <v>2278</v>
      </c>
      <c r="E182" s="236" t="s">
        <v>2967</v>
      </c>
      <c r="F182" s="236" t="s">
        <v>2968</v>
      </c>
      <c r="G182" s="238">
        <v>6014</v>
      </c>
      <c r="H182" s="236" t="s">
        <v>2617</v>
      </c>
      <c r="I182" s="236" t="s">
        <v>175</v>
      </c>
      <c r="J182" s="236" t="s">
        <v>58</v>
      </c>
      <c r="K182" s="79" t="s">
        <v>57</v>
      </c>
      <c r="L182" s="1052">
        <v>0.5</v>
      </c>
      <c r="M182" s="1213"/>
      <c r="N182" s="1213" t="s">
        <v>2969</v>
      </c>
      <c r="O182" s="1213" t="s">
        <v>2970</v>
      </c>
      <c r="P182" s="953">
        <v>1</v>
      </c>
      <c r="Q182" s="1052">
        <v>0.15</v>
      </c>
      <c r="R182" s="953"/>
      <c r="S182" s="855">
        <f t="shared" si="4"/>
        <v>0</v>
      </c>
      <c r="T182" s="854">
        <f t="shared" si="5"/>
        <v>0</v>
      </c>
      <c r="U182" s="855" t="s">
        <v>34</v>
      </c>
      <c r="V182" s="1248">
        <f>SUM(T182:T189)%</f>
        <v>0</v>
      </c>
      <c r="W182" s="243"/>
    </row>
    <row r="183" spans="1:23" ht="22.95" customHeight="1" x14ac:dyDescent="0.4">
      <c r="A183" s="788">
        <v>182</v>
      </c>
      <c r="B183" s="198" t="s">
        <v>2616</v>
      </c>
      <c r="C183" s="199" t="s">
        <v>24</v>
      </c>
      <c r="D183" s="1169">
        <v>2278</v>
      </c>
      <c r="E183" s="198" t="s">
        <v>2967</v>
      </c>
      <c r="F183" s="198" t="s">
        <v>2968</v>
      </c>
      <c r="G183" s="200">
        <v>6014</v>
      </c>
      <c r="H183" s="198" t="s">
        <v>2617</v>
      </c>
      <c r="I183" s="198" t="s">
        <v>175</v>
      </c>
      <c r="J183" s="719" t="s">
        <v>58</v>
      </c>
      <c r="K183" s="79" t="s">
        <v>57</v>
      </c>
      <c r="L183" s="1067">
        <v>0.5</v>
      </c>
      <c r="M183" s="1216"/>
      <c r="N183" s="1216" t="s">
        <v>2971</v>
      </c>
      <c r="O183" s="1216"/>
      <c r="P183" s="669">
        <v>1</v>
      </c>
      <c r="Q183" s="1067">
        <v>0.15</v>
      </c>
      <c r="R183" s="669"/>
      <c r="S183" s="204">
        <f t="shared" si="4"/>
        <v>0</v>
      </c>
      <c r="T183" s="960">
        <f t="shared" si="5"/>
        <v>0</v>
      </c>
      <c r="U183" s="204" t="s">
        <v>34</v>
      </c>
      <c r="V183" s="1067"/>
      <c r="W183" s="210"/>
    </row>
    <row r="184" spans="1:23" ht="22.95" customHeight="1" x14ac:dyDescent="0.4">
      <c r="A184" s="788">
        <v>183</v>
      </c>
      <c r="B184" s="198" t="s">
        <v>2616</v>
      </c>
      <c r="C184" s="199" t="s">
        <v>24</v>
      </c>
      <c r="D184" s="1169">
        <v>2278</v>
      </c>
      <c r="E184" s="198" t="s">
        <v>2967</v>
      </c>
      <c r="F184" s="198" t="s">
        <v>2968</v>
      </c>
      <c r="G184" s="200">
        <v>6014</v>
      </c>
      <c r="H184" s="198" t="s">
        <v>2617</v>
      </c>
      <c r="I184" s="198" t="s">
        <v>175</v>
      </c>
      <c r="J184" s="719" t="s">
        <v>58</v>
      </c>
      <c r="K184" s="79" t="s">
        <v>57</v>
      </c>
      <c r="L184" s="1067">
        <v>0.5</v>
      </c>
      <c r="M184" s="1216"/>
      <c r="N184" s="1216" t="s">
        <v>2972</v>
      </c>
      <c r="O184" s="1216"/>
      <c r="P184" s="669">
        <v>1</v>
      </c>
      <c r="Q184" s="1067">
        <v>0.2</v>
      </c>
      <c r="R184" s="669"/>
      <c r="S184" s="204">
        <f t="shared" si="4"/>
        <v>0</v>
      </c>
      <c r="T184" s="960">
        <f t="shared" si="5"/>
        <v>0</v>
      </c>
      <c r="U184" s="204" t="s">
        <v>34</v>
      </c>
      <c r="V184" s="1067"/>
      <c r="W184" s="210"/>
    </row>
    <row r="185" spans="1:23" ht="22.95" customHeight="1" x14ac:dyDescent="0.4">
      <c r="A185" s="788">
        <v>184</v>
      </c>
      <c r="B185" s="198" t="s">
        <v>2616</v>
      </c>
      <c r="C185" s="199" t="s">
        <v>24</v>
      </c>
      <c r="D185" s="1169">
        <v>2278</v>
      </c>
      <c r="E185" s="198" t="s">
        <v>2967</v>
      </c>
      <c r="F185" s="198" t="s">
        <v>2968</v>
      </c>
      <c r="G185" s="200">
        <v>6014</v>
      </c>
      <c r="H185" s="198" t="s">
        <v>2617</v>
      </c>
      <c r="I185" s="198" t="s">
        <v>175</v>
      </c>
      <c r="J185" s="719" t="s">
        <v>58</v>
      </c>
      <c r="K185" s="719" t="s">
        <v>57</v>
      </c>
      <c r="L185" s="1067">
        <v>0.5</v>
      </c>
      <c r="M185" s="1216"/>
      <c r="N185" s="1216" t="s">
        <v>2973</v>
      </c>
      <c r="O185" s="1216"/>
      <c r="P185" s="669">
        <v>1</v>
      </c>
      <c r="Q185" s="1067">
        <v>0.2</v>
      </c>
      <c r="R185" s="669"/>
      <c r="S185" s="204">
        <f t="shared" si="4"/>
        <v>0</v>
      </c>
      <c r="T185" s="960">
        <f t="shared" si="5"/>
        <v>0</v>
      </c>
      <c r="U185" s="204" t="s">
        <v>34</v>
      </c>
      <c r="V185" s="1067"/>
      <c r="W185" s="210"/>
    </row>
    <row r="186" spans="1:23" ht="22.95" customHeight="1" x14ac:dyDescent="0.4">
      <c r="A186" s="788">
        <v>185</v>
      </c>
      <c r="B186" s="198" t="s">
        <v>2616</v>
      </c>
      <c r="C186" s="199" t="s">
        <v>24</v>
      </c>
      <c r="D186" s="1169">
        <v>2278</v>
      </c>
      <c r="E186" s="198" t="s">
        <v>2967</v>
      </c>
      <c r="F186" s="198" t="s">
        <v>2968</v>
      </c>
      <c r="G186" s="200">
        <v>6014</v>
      </c>
      <c r="H186" s="198" t="s">
        <v>2617</v>
      </c>
      <c r="I186" s="198" t="s">
        <v>175</v>
      </c>
      <c r="J186" s="719" t="s">
        <v>58</v>
      </c>
      <c r="K186" s="719" t="s">
        <v>57</v>
      </c>
      <c r="L186" s="1067">
        <v>0.5</v>
      </c>
      <c r="M186" s="1216"/>
      <c r="N186" s="1216" t="s">
        <v>2974</v>
      </c>
      <c r="O186" s="1216"/>
      <c r="P186" s="669">
        <v>1</v>
      </c>
      <c r="Q186" s="1067">
        <v>0.1</v>
      </c>
      <c r="R186" s="669"/>
      <c r="S186" s="204">
        <f t="shared" si="4"/>
        <v>0</v>
      </c>
      <c r="T186" s="960">
        <f t="shared" si="5"/>
        <v>0</v>
      </c>
      <c r="U186" s="204" t="s">
        <v>34</v>
      </c>
      <c r="V186" s="1067"/>
      <c r="W186" s="210"/>
    </row>
    <row r="187" spans="1:23" ht="22.95" customHeight="1" x14ac:dyDescent="0.4">
      <c r="A187" s="788">
        <v>186</v>
      </c>
      <c r="B187" s="198" t="s">
        <v>2616</v>
      </c>
      <c r="C187" s="199" t="s">
        <v>24</v>
      </c>
      <c r="D187" s="1169">
        <v>2278</v>
      </c>
      <c r="E187" s="198" t="s">
        <v>2967</v>
      </c>
      <c r="F187" s="198" t="s">
        <v>2968</v>
      </c>
      <c r="G187" s="200">
        <v>6014</v>
      </c>
      <c r="H187" s="198" t="s">
        <v>2617</v>
      </c>
      <c r="I187" s="198" t="s">
        <v>175</v>
      </c>
      <c r="J187" s="719" t="s">
        <v>58</v>
      </c>
      <c r="K187" s="719" t="s">
        <v>57</v>
      </c>
      <c r="L187" s="1067">
        <v>0.5</v>
      </c>
      <c r="M187" s="1216"/>
      <c r="N187" s="1216" t="s">
        <v>2975</v>
      </c>
      <c r="O187" s="1216"/>
      <c r="P187" s="669">
        <v>1</v>
      </c>
      <c r="Q187" s="1067">
        <v>0.2</v>
      </c>
      <c r="R187" s="669"/>
      <c r="S187" s="204">
        <f t="shared" si="4"/>
        <v>0</v>
      </c>
      <c r="T187" s="960">
        <f t="shared" si="5"/>
        <v>0</v>
      </c>
      <c r="U187" s="204" t="s">
        <v>34</v>
      </c>
      <c r="V187" s="1067"/>
      <c r="W187" s="210"/>
    </row>
    <row r="188" spans="1:23" ht="22.95" customHeight="1" x14ac:dyDescent="0.4">
      <c r="A188" s="788">
        <v>187</v>
      </c>
      <c r="B188" s="198" t="s">
        <v>2616</v>
      </c>
      <c r="C188" s="199" t="s">
        <v>24</v>
      </c>
      <c r="D188" s="1169">
        <v>2278</v>
      </c>
      <c r="E188" s="198" t="s">
        <v>2967</v>
      </c>
      <c r="F188" s="198" t="s">
        <v>2968</v>
      </c>
      <c r="G188" s="200">
        <v>6014</v>
      </c>
      <c r="H188" s="198" t="s">
        <v>2617</v>
      </c>
      <c r="I188" s="198" t="s">
        <v>175</v>
      </c>
      <c r="J188" s="649" t="s">
        <v>111</v>
      </c>
      <c r="K188" s="649" t="s">
        <v>110</v>
      </c>
      <c r="L188" s="1145">
        <v>0.5</v>
      </c>
      <c r="M188" s="1227"/>
      <c r="N188" s="1227" t="s">
        <v>2976</v>
      </c>
      <c r="O188" s="1227"/>
      <c r="P188" s="1272">
        <v>1</v>
      </c>
      <c r="Q188" s="1145">
        <v>0.2</v>
      </c>
      <c r="R188" s="1272"/>
      <c r="S188" s="650">
        <f t="shared" si="4"/>
        <v>0</v>
      </c>
      <c r="T188" s="701">
        <f t="shared" si="5"/>
        <v>0</v>
      </c>
      <c r="U188" s="650" t="s">
        <v>34</v>
      </c>
      <c r="V188" s="1145"/>
      <c r="W188" s="210"/>
    </row>
    <row r="189" spans="1:23" ht="22.95" customHeight="1" x14ac:dyDescent="0.4">
      <c r="A189" s="788">
        <v>188</v>
      </c>
      <c r="B189" s="198" t="s">
        <v>2616</v>
      </c>
      <c r="C189" s="199" t="s">
        <v>24</v>
      </c>
      <c r="D189" s="1169">
        <v>2278</v>
      </c>
      <c r="E189" s="198" t="s">
        <v>2967</v>
      </c>
      <c r="F189" s="198" t="s">
        <v>2968</v>
      </c>
      <c r="G189" s="200">
        <v>6014</v>
      </c>
      <c r="H189" s="198" t="s">
        <v>2617</v>
      </c>
      <c r="I189" s="198" t="s">
        <v>175</v>
      </c>
      <c r="J189" s="649" t="s">
        <v>111</v>
      </c>
      <c r="K189" s="649" t="s">
        <v>110</v>
      </c>
      <c r="L189" s="1145">
        <v>0.5</v>
      </c>
      <c r="M189" s="1227"/>
      <c r="N189" s="1227" t="s">
        <v>212</v>
      </c>
      <c r="O189" s="1186" t="s">
        <v>2977</v>
      </c>
      <c r="P189" s="1273">
        <v>12</v>
      </c>
      <c r="Q189" s="1145">
        <v>0.8</v>
      </c>
      <c r="R189" s="1273"/>
      <c r="S189" s="650">
        <f t="shared" si="4"/>
        <v>0</v>
      </c>
      <c r="T189" s="701">
        <f t="shared" si="5"/>
        <v>0</v>
      </c>
      <c r="U189" s="650" t="s">
        <v>34</v>
      </c>
      <c r="V189" s="1145"/>
      <c r="W189" s="210"/>
    </row>
    <row r="190" spans="1:23" ht="22.95" customHeight="1" x14ac:dyDescent="0.4">
      <c r="A190" s="788">
        <v>189</v>
      </c>
      <c r="B190" s="236" t="s">
        <v>2616</v>
      </c>
      <c r="C190" s="187" t="s">
        <v>24</v>
      </c>
      <c r="D190" s="1226">
        <v>2339</v>
      </c>
      <c r="E190" s="187" t="s">
        <v>2978</v>
      </c>
      <c r="F190" s="187" t="s">
        <v>2979</v>
      </c>
      <c r="G190" s="674">
        <v>2278</v>
      </c>
      <c r="H190" s="187" t="s">
        <v>2967</v>
      </c>
      <c r="I190" s="187" t="s">
        <v>175</v>
      </c>
      <c r="J190" s="295" t="s">
        <v>58</v>
      </c>
      <c r="K190" s="295" t="s">
        <v>57</v>
      </c>
      <c r="L190" s="1052">
        <v>1</v>
      </c>
      <c r="M190" s="191"/>
      <c r="N190" s="192" t="s">
        <v>2980</v>
      </c>
      <c r="O190" s="193"/>
      <c r="P190" s="1247">
        <v>1</v>
      </c>
      <c r="Q190" s="1054">
        <v>0.2</v>
      </c>
      <c r="R190" s="1247"/>
      <c r="S190" s="195">
        <f t="shared" si="4"/>
        <v>0</v>
      </c>
      <c r="T190" s="196">
        <f t="shared" si="5"/>
        <v>0</v>
      </c>
      <c r="U190" s="197" t="s">
        <v>34</v>
      </c>
      <c r="V190" s="1133">
        <f>SUM(T190:T195)%</f>
        <v>0</v>
      </c>
      <c r="W190" s="653"/>
    </row>
    <row r="191" spans="1:23" ht="22.95" customHeight="1" x14ac:dyDescent="0.4">
      <c r="A191" s="788">
        <v>190</v>
      </c>
      <c r="B191" s="210" t="s">
        <v>2616</v>
      </c>
      <c r="C191" s="199" t="s">
        <v>24</v>
      </c>
      <c r="D191" s="1169">
        <v>2339</v>
      </c>
      <c r="E191" s="210" t="s">
        <v>2978</v>
      </c>
      <c r="F191" s="210" t="s">
        <v>2979</v>
      </c>
      <c r="G191" s="200">
        <v>2278</v>
      </c>
      <c r="H191" s="210" t="s">
        <v>2967</v>
      </c>
      <c r="I191" s="210" t="s">
        <v>175</v>
      </c>
      <c r="J191" s="1274" t="s">
        <v>58</v>
      </c>
      <c r="K191" s="1274" t="s">
        <v>57</v>
      </c>
      <c r="L191" s="1067">
        <v>1</v>
      </c>
      <c r="M191" s="202"/>
      <c r="N191" s="203" t="s">
        <v>2981</v>
      </c>
      <c r="O191" s="211"/>
      <c r="P191" s="1270">
        <v>1</v>
      </c>
      <c r="Q191" s="1201">
        <v>0.1</v>
      </c>
      <c r="R191" s="1270"/>
      <c r="S191" s="206">
        <f t="shared" si="4"/>
        <v>0</v>
      </c>
      <c r="T191" s="207">
        <f t="shared" si="5"/>
        <v>0</v>
      </c>
      <c r="U191" s="208" t="s">
        <v>34</v>
      </c>
      <c r="V191" s="1197"/>
      <c r="W191" s="210"/>
    </row>
    <row r="192" spans="1:23" ht="22.95" customHeight="1" x14ac:dyDescent="0.4">
      <c r="A192" s="788">
        <v>191</v>
      </c>
      <c r="B192" s="210" t="s">
        <v>2616</v>
      </c>
      <c r="C192" s="199" t="s">
        <v>24</v>
      </c>
      <c r="D192" s="1169">
        <v>2339</v>
      </c>
      <c r="E192" s="210" t="s">
        <v>2978</v>
      </c>
      <c r="F192" s="210" t="s">
        <v>2979</v>
      </c>
      <c r="G192" s="200">
        <v>2278</v>
      </c>
      <c r="H192" s="210" t="s">
        <v>2967</v>
      </c>
      <c r="I192" s="210" t="s">
        <v>175</v>
      </c>
      <c r="J192" s="1274" t="s">
        <v>58</v>
      </c>
      <c r="K192" s="1274" t="s">
        <v>57</v>
      </c>
      <c r="L192" s="1067">
        <v>1</v>
      </c>
      <c r="M192" s="202"/>
      <c r="N192" s="203" t="s">
        <v>2982</v>
      </c>
      <c r="O192" s="211"/>
      <c r="P192" s="1270">
        <v>1</v>
      </c>
      <c r="Q192" s="1201">
        <v>0.25</v>
      </c>
      <c r="R192" s="1270"/>
      <c r="S192" s="206">
        <f t="shared" si="4"/>
        <v>0</v>
      </c>
      <c r="T192" s="207">
        <f t="shared" si="5"/>
        <v>0</v>
      </c>
      <c r="U192" s="208" t="s">
        <v>34</v>
      </c>
      <c r="V192" s="1197"/>
      <c r="W192" s="210"/>
    </row>
    <row r="193" spans="1:23" ht="22.95" customHeight="1" x14ac:dyDescent="0.4">
      <c r="A193" s="788">
        <v>192</v>
      </c>
      <c r="B193" s="210" t="s">
        <v>2616</v>
      </c>
      <c r="C193" s="199" t="s">
        <v>24</v>
      </c>
      <c r="D193" s="1169">
        <v>2339</v>
      </c>
      <c r="E193" s="210" t="s">
        <v>2978</v>
      </c>
      <c r="F193" s="210" t="s">
        <v>2979</v>
      </c>
      <c r="G193" s="200">
        <v>2278</v>
      </c>
      <c r="H193" s="210" t="s">
        <v>2967</v>
      </c>
      <c r="I193" s="210" t="s">
        <v>175</v>
      </c>
      <c r="J193" s="1274" t="s">
        <v>58</v>
      </c>
      <c r="K193" s="1274" t="s">
        <v>57</v>
      </c>
      <c r="L193" s="1067">
        <v>1</v>
      </c>
      <c r="M193" s="202"/>
      <c r="N193" s="203" t="s">
        <v>2983</v>
      </c>
      <c r="O193" s="211"/>
      <c r="P193" s="1270">
        <v>1</v>
      </c>
      <c r="Q193" s="1201">
        <v>0.1</v>
      </c>
      <c r="R193" s="1270"/>
      <c r="S193" s="206">
        <f t="shared" si="4"/>
        <v>0</v>
      </c>
      <c r="T193" s="207">
        <f t="shared" si="5"/>
        <v>0</v>
      </c>
      <c r="U193" s="208" t="s">
        <v>34</v>
      </c>
      <c r="V193" s="1197"/>
      <c r="W193" s="210"/>
    </row>
    <row r="194" spans="1:23" ht="22.95" customHeight="1" x14ac:dyDescent="0.4">
      <c r="A194" s="788">
        <v>193</v>
      </c>
      <c r="B194" s="210" t="s">
        <v>2616</v>
      </c>
      <c r="C194" s="199" t="s">
        <v>24</v>
      </c>
      <c r="D194" s="1169">
        <v>2339</v>
      </c>
      <c r="E194" s="210" t="s">
        <v>2978</v>
      </c>
      <c r="F194" s="210" t="s">
        <v>2979</v>
      </c>
      <c r="G194" s="200">
        <v>2278</v>
      </c>
      <c r="H194" s="210" t="s">
        <v>2967</v>
      </c>
      <c r="I194" s="210" t="s">
        <v>175</v>
      </c>
      <c r="J194" s="1274" t="s">
        <v>58</v>
      </c>
      <c r="K194" s="1274" t="s">
        <v>57</v>
      </c>
      <c r="L194" s="1067">
        <v>1</v>
      </c>
      <c r="M194" s="202"/>
      <c r="N194" s="203" t="s">
        <v>2984</v>
      </c>
      <c r="O194" s="211"/>
      <c r="P194" s="1270">
        <v>1</v>
      </c>
      <c r="Q194" s="1201">
        <v>0.25</v>
      </c>
      <c r="R194" s="1270"/>
      <c r="S194" s="206">
        <f t="shared" ref="S194:S257" si="6">ROUND(IF(OR(P194="",R194=""),0,IF(AND(P194=0,R194=0),1,IF(U194="+",R194/P194,P194/R194))),2)</f>
        <v>0</v>
      </c>
      <c r="T194" s="207">
        <f t="shared" ref="T194:T257" si="7">IF(AND(S194&gt;=60%,S194&lt;100%),S194*((Q194*L194)),IF(S194=100%,((Q194*L194)*S194)*100%,IF(S194&gt;100%,((L194*Q194)*100%)*100%,0)))*100</f>
        <v>0</v>
      </c>
      <c r="U194" s="208" t="s">
        <v>34</v>
      </c>
      <c r="V194" s="1197"/>
      <c r="W194" s="210"/>
    </row>
    <row r="195" spans="1:23" ht="22.95" customHeight="1" x14ac:dyDescent="0.4">
      <c r="A195" s="788">
        <v>194</v>
      </c>
      <c r="B195" s="210" t="s">
        <v>2616</v>
      </c>
      <c r="C195" s="199" t="s">
        <v>24</v>
      </c>
      <c r="D195" s="1169">
        <v>2339</v>
      </c>
      <c r="E195" s="210" t="s">
        <v>2978</v>
      </c>
      <c r="F195" s="210" t="s">
        <v>2979</v>
      </c>
      <c r="G195" s="200">
        <v>2278</v>
      </c>
      <c r="H195" s="210" t="s">
        <v>2967</v>
      </c>
      <c r="I195" s="210" t="s">
        <v>175</v>
      </c>
      <c r="J195" s="1274" t="s">
        <v>58</v>
      </c>
      <c r="K195" s="1274" t="s">
        <v>57</v>
      </c>
      <c r="L195" s="1067">
        <v>1</v>
      </c>
      <c r="M195" s="202"/>
      <c r="N195" s="203" t="s">
        <v>2985</v>
      </c>
      <c r="O195" s="211" t="s">
        <v>2986</v>
      </c>
      <c r="P195" s="1270">
        <v>3</v>
      </c>
      <c r="Q195" s="1201">
        <v>0.1</v>
      </c>
      <c r="R195" s="1270"/>
      <c r="S195" s="206">
        <f t="shared" si="6"/>
        <v>0</v>
      </c>
      <c r="T195" s="207">
        <f t="shared" si="7"/>
        <v>0</v>
      </c>
      <c r="U195" s="208" t="s">
        <v>34</v>
      </c>
      <c r="V195" s="1197"/>
      <c r="W195" s="210"/>
    </row>
    <row r="196" spans="1:23" ht="22.95" customHeight="1" x14ac:dyDescent="0.4">
      <c r="A196" s="788">
        <v>195</v>
      </c>
      <c r="B196" s="236" t="s">
        <v>2616</v>
      </c>
      <c r="C196" s="187" t="s">
        <v>24</v>
      </c>
      <c r="D196" s="1164">
        <v>5279</v>
      </c>
      <c r="E196" s="236" t="s">
        <v>2987</v>
      </c>
      <c r="F196" s="236" t="s">
        <v>2988</v>
      </c>
      <c r="G196" s="238">
        <v>3192</v>
      </c>
      <c r="H196" s="236" t="s">
        <v>2619</v>
      </c>
      <c r="I196" s="236" t="s">
        <v>28</v>
      </c>
      <c r="J196" s="187" t="s">
        <v>58</v>
      </c>
      <c r="K196" s="1274" t="s">
        <v>57</v>
      </c>
      <c r="L196" s="1191">
        <v>0.6</v>
      </c>
      <c r="M196" s="1275" t="s">
        <v>2989</v>
      </c>
      <c r="N196" s="1276" t="s">
        <v>2990</v>
      </c>
      <c r="O196" s="193" t="s">
        <v>2991</v>
      </c>
      <c r="P196" s="654">
        <v>1</v>
      </c>
      <c r="Q196" s="1193">
        <v>0.15</v>
      </c>
      <c r="R196" s="654"/>
      <c r="S196" s="195">
        <f t="shared" si="6"/>
        <v>0</v>
      </c>
      <c r="T196" s="196">
        <f t="shared" si="7"/>
        <v>0</v>
      </c>
      <c r="U196" s="197" t="s">
        <v>34</v>
      </c>
      <c r="V196" s="1194">
        <f>SUM(T196:T205)%</f>
        <v>0</v>
      </c>
      <c r="W196" s="835"/>
    </row>
    <row r="197" spans="1:23" ht="22.95" customHeight="1" x14ac:dyDescent="0.4">
      <c r="A197" s="788">
        <v>196</v>
      </c>
      <c r="B197" s="253" t="s">
        <v>2616</v>
      </c>
      <c r="C197" s="648" t="s">
        <v>24</v>
      </c>
      <c r="D197" s="1277">
        <v>5279</v>
      </c>
      <c r="E197" s="253" t="s">
        <v>2987</v>
      </c>
      <c r="F197" s="253" t="s">
        <v>2988</v>
      </c>
      <c r="G197" s="248">
        <v>3192</v>
      </c>
      <c r="H197" s="253" t="s">
        <v>2619</v>
      </c>
      <c r="I197" s="253" t="s">
        <v>28</v>
      </c>
      <c r="J197" s="1274" t="s">
        <v>58</v>
      </c>
      <c r="K197" s="1274" t="s">
        <v>57</v>
      </c>
      <c r="L197" s="1249">
        <v>0.6</v>
      </c>
      <c r="M197" s="1278" t="s">
        <v>2992</v>
      </c>
      <c r="N197" s="1279" t="s">
        <v>2993</v>
      </c>
      <c r="O197" s="211"/>
      <c r="P197" s="231">
        <v>1</v>
      </c>
      <c r="Q197" s="1067">
        <v>0.15</v>
      </c>
      <c r="R197" s="231"/>
      <c r="S197" s="204">
        <f t="shared" si="6"/>
        <v>0</v>
      </c>
      <c r="T197" s="960">
        <f t="shared" si="7"/>
        <v>0</v>
      </c>
      <c r="U197" s="204" t="s">
        <v>34</v>
      </c>
      <c r="V197" s="1228"/>
      <c r="W197" s="799"/>
    </row>
    <row r="198" spans="1:23" ht="22.95" customHeight="1" x14ac:dyDescent="0.4">
      <c r="A198" s="788">
        <v>197</v>
      </c>
      <c r="B198" s="253" t="s">
        <v>2616</v>
      </c>
      <c r="C198" s="648" t="s">
        <v>24</v>
      </c>
      <c r="D198" s="1277">
        <v>5279</v>
      </c>
      <c r="E198" s="253" t="s">
        <v>2987</v>
      </c>
      <c r="F198" s="253" t="s">
        <v>2988</v>
      </c>
      <c r="G198" s="248">
        <v>3192</v>
      </c>
      <c r="H198" s="253" t="s">
        <v>2619</v>
      </c>
      <c r="I198" s="253" t="s">
        <v>28</v>
      </c>
      <c r="J198" s="1274" t="s">
        <v>58</v>
      </c>
      <c r="K198" s="1274" t="s">
        <v>57</v>
      </c>
      <c r="L198" s="1249">
        <v>0.6</v>
      </c>
      <c r="M198" s="1278" t="s">
        <v>2994</v>
      </c>
      <c r="N198" s="1279" t="s">
        <v>2995</v>
      </c>
      <c r="O198" s="211" t="s">
        <v>2996</v>
      </c>
      <c r="P198" s="231">
        <v>1</v>
      </c>
      <c r="Q198" s="1067">
        <v>0.15</v>
      </c>
      <c r="R198" s="231"/>
      <c r="S198" s="204">
        <f t="shared" si="6"/>
        <v>0</v>
      </c>
      <c r="T198" s="960">
        <f t="shared" si="7"/>
        <v>0</v>
      </c>
      <c r="U198" s="204" t="s">
        <v>34</v>
      </c>
      <c r="V198" s="1228"/>
      <c r="W198" s="799"/>
    </row>
    <row r="199" spans="1:23" ht="22.95" customHeight="1" x14ac:dyDescent="0.4">
      <c r="A199" s="788">
        <v>198</v>
      </c>
      <c r="B199" s="253" t="s">
        <v>2616</v>
      </c>
      <c r="C199" s="648" t="s">
        <v>24</v>
      </c>
      <c r="D199" s="1277">
        <v>5279</v>
      </c>
      <c r="E199" s="253" t="s">
        <v>2987</v>
      </c>
      <c r="F199" s="253" t="s">
        <v>2988</v>
      </c>
      <c r="G199" s="248">
        <v>3192</v>
      </c>
      <c r="H199" s="253" t="s">
        <v>2619</v>
      </c>
      <c r="I199" s="253" t="s">
        <v>28</v>
      </c>
      <c r="J199" s="1274" t="s">
        <v>58</v>
      </c>
      <c r="K199" s="1274" t="s">
        <v>57</v>
      </c>
      <c r="L199" s="1249">
        <v>0.6</v>
      </c>
      <c r="M199" s="1278" t="s">
        <v>2997</v>
      </c>
      <c r="N199" s="1279" t="s">
        <v>2998</v>
      </c>
      <c r="O199" s="211" t="s">
        <v>2999</v>
      </c>
      <c r="P199" s="231">
        <v>1</v>
      </c>
      <c r="Q199" s="1067">
        <v>0.1</v>
      </c>
      <c r="R199" s="231"/>
      <c r="S199" s="204">
        <f t="shared" si="6"/>
        <v>0</v>
      </c>
      <c r="T199" s="960">
        <f t="shared" si="7"/>
        <v>0</v>
      </c>
      <c r="U199" s="204" t="s">
        <v>34</v>
      </c>
      <c r="V199" s="1228"/>
      <c r="W199" s="799"/>
    </row>
    <row r="200" spans="1:23" ht="22.95" customHeight="1" x14ac:dyDescent="0.4">
      <c r="A200" s="788">
        <v>199</v>
      </c>
      <c r="B200" s="253" t="s">
        <v>2616</v>
      </c>
      <c r="C200" s="648" t="s">
        <v>24</v>
      </c>
      <c r="D200" s="1277">
        <v>5279</v>
      </c>
      <c r="E200" s="253" t="s">
        <v>2987</v>
      </c>
      <c r="F200" s="253" t="s">
        <v>2988</v>
      </c>
      <c r="G200" s="248">
        <v>3192</v>
      </c>
      <c r="H200" s="253" t="s">
        <v>2619</v>
      </c>
      <c r="I200" s="253" t="s">
        <v>28</v>
      </c>
      <c r="J200" s="1274" t="s">
        <v>58</v>
      </c>
      <c r="K200" s="1274" t="s">
        <v>57</v>
      </c>
      <c r="L200" s="1249">
        <v>0.6</v>
      </c>
      <c r="M200" s="1278" t="s">
        <v>3000</v>
      </c>
      <c r="N200" s="1280" t="s">
        <v>3001</v>
      </c>
      <c r="O200" s="211"/>
      <c r="P200" s="231">
        <v>1</v>
      </c>
      <c r="Q200" s="1067">
        <v>0.1</v>
      </c>
      <c r="R200" s="231"/>
      <c r="S200" s="204">
        <f t="shared" si="6"/>
        <v>0</v>
      </c>
      <c r="T200" s="960">
        <f t="shared" si="7"/>
        <v>0</v>
      </c>
      <c r="U200" s="204" t="s">
        <v>34</v>
      </c>
      <c r="V200" s="1228"/>
      <c r="W200" s="799"/>
    </row>
    <row r="201" spans="1:23" ht="22.95" customHeight="1" x14ac:dyDescent="0.4">
      <c r="A201" s="788">
        <v>200</v>
      </c>
      <c r="B201" s="253" t="s">
        <v>2616</v>
      </c>
      <c r="C201" s="648" t="s">
        <v>24</v>
      </c>
      <c r="D201" s="1277">
        <v>5279</v>
      </c>
      <c r="E201" s="253" t="s">
        <v>2987</v>
      </c>
      <c r="F201" s="253" t="s">
        <v>2988</v>
      </c>
      <c r="G201" s="248">
        <v>3192</v>
      </c>
      <c r="H201" s="253" t="s">
        <v>2619</v>
      </c>
      <c r="I201" s="253" t="s">
        <v>28</v>
      </c>
      <c r="J201" s="1274" t="s">
        <v>58</v>
      </c>
      <c r="K201" s="1274" t="s">
        <v>57</v>
      </c>
      <c r="L201" s="1249">
        <v>0.6</v>
      </c>
      <c r="M201" s="1278" t="s">
        <v>3002</v>
      </c>
      <c r="N201" s="1280" t="s">
        <v>2820</v>
      </c>
      <c r="O201" s="211"/>
      <c r="P201" s="231">
        <v>1</v>
      </c>
      <c r="Q201" s="1067">
        <v>0.05</v>
      </c>
      <c r="R201" s="231"/>
      <c r="S201" s="204">
        <f t="shared" si="6"/>
        <v>0</v>
      </c>
      <c r="T201" s="960">
        <f t="shared" si="7"/>
        <v>0</v>
      </c>
      <c r="U201" s="204" t="s">
        <v>34</v>
      </c>
      <c r="V201" s="1228"/>
      <c r="W201" s="799"/>
    </row>
    <row r="202" spans="1:23" ht="22.95" customHeight="1" x14ac:dyDescent="0.4">
      <c r="A202" s="788">
        <v>201</v>
      </c>
      <c r="B202" s="253" t="s">
        <v>2616</v>
      </c>
      <c r="C202" s="648" t="s">
        <v>24</v>
      </c>
      <c r="D202" s="1277">
        <v>5279</v>
      </c>
      <c r="E202" s="253" t="s">
        <v>2987</v>
      </c>
      <c r="F202" s="253" t="s">
        <v>2988</v>
      </c>
      <c r="G202" s="248">
        <v>3192</v>
      </c>
      <c r="H202" s="253" t="s">
        <v>2619</v>
      </c>
      <c r="I202" s="253" t="s">
        <v>28</v>
      </c>
      <c r="J202" s="1274" t="s">
        <v>58</v>
      </c>
      <c r="K202" s="1274" t="s">
        <v>57</v>
      </c>
      <c r="L202" s="1249">
        <v>0.6</v>
      </c>
      <c r="M202" s="1278" t="s">
        <v>3003</v>
      </c>
      <c r="N202" s="1280" t="s">
        <v>3004</v>
      </c>
      <c r="O202" s="211" t="s">
        <v>3005</v>
      </c>
      <c r="P202" s="231">
        <v>1</v>
      </c>
      <c r="Q202" s="1067">
        <v>0.2</v>
      </c>
      <c r="R202" s="231"/>
      <c r="S202" s="204">
        <f t="shared" si="6"/>
        <v>0</v>
      </c>
      <c r="T202" s="960">
        <f t="shared" si="7"/>
        <v>0</v>
      </c>
      <c r="U202" s="204" t="s">
        <v>34</v>
      </c>
      <c r="V202" s="1228"/>
      <c r="W202" s="799"/>
    </row>
    <row r="203" spans="1:23" ht="22.95" customHeight="1" x14ac:dyDescent="0.4">
      <c r="A203" s="788">
        <v>202</v>
      </c>
      <c r="B203" s="253" t="s">
        <v>2616</v>
      </c>
      <c r="C203" s="648" t="s">
        <v>24</v>
      </c>
      <c r="D203" s="1277">
        <v>5279</v>
      </c>
      <c r="E203" s="253" t="s">
        <v>2987</v>
      </c>
      <c r="F203" s="253" t="s">
        <v>2988</v>
      </c>
      <c r="G203" s="248">
        <v>3192</v>
      </c>
      <c r="H203" s="253" t="s">
        <v>2619</v>
      </c>
      <c r="I203" s="253" t="s">
        <v>28</v>
      </c>
      <c r="J203" s="1274" t="s">
        <v>58</v>
      </c>
      <c r="K203" s="1274" t="s">
        <v>57</v>
      </c>
      <c r="L203" s="1249">
        <v>0.6</v>
      </c>
      <c r="M203" s="1278" t="s">
        <v>3006</v>
      </c>
      <c r="N203" s="1280" t="s">
        <v>3007</v>
      </c>
      <c r="O203" s="211" t="s">
        <v>3008</v>
      </c>
      <c r="P203" s="815">
        <v>1</v>
      </c>
      <c r="Q203" s="1067">
        <v>0.1</v>
      </c>
      <c r="R203" s="815"/>
      <c r="S203" s="204">
        <f t="shared" si="6"/>
        <v>0</v>
      </c>
      <c r="T203" s="960">
        <f t="shared" si="7"/>
        <v>0</v>
      </c>
      <c r="U203" s="204" t="s">
        <v>34</v>
      </c>
      <c r="V203" s="1228"/>
      <c r="W203" s="799"/>
    </row>
    <row r="204" spans="1:23" ht="22.95" customHeight="1" x14ac:dyDescent="0.4">
      <c r="A204" s="788">
        <v>203</v>
      </c>
      <c r="B204" s="253" t="s">
        <v>2616</v>
      </c>
      <c r="C204" s="648" t="s">
        <v>24</v>
      </c>
      <c r="D204" s="1277">
        <v>5279</v>
      </c>
      <c r="E204" s="253" t="s">
        <v>2987</v>
      </c>
      <c r="F204" s="253" t="s">
        <v>2988</v>
      </c>
      <c r="G204" s="248">
        <v>3192</v>
      </c>
      <c r="H204" s="253" t="s">
        <v>2619</v>
      </c>
      <c r="I204" s="253" t="s">
        <v>28</v>
      </c>
      <c r="J204" s="199" t="s">
        <v>111</v>
      </c>
      <c r="K204" s="649" t="s">
        <v>110</v>
      </c>
      <c r="L204" s="1281">
        <v>0.4</v>
      </c>
      <c r="M204" s="1282" t="s">
        <v>3009</v>
      </c>
      <c r="N204" s="767" t="s">
        <v>3010</v>
      </c>
      <c r="O204" s="220"/>
      <c r="P204" s="1272">
        <v>1</v>
      </c>
      <c r="Q204" s="1145">
        <v>0.5</v>
      </c>
      <c r="R204" s="1272"/>
      <c r="S204" s="650">
        <f t="shared" si="6"/>
        <v>0</v>
      </c>
      <c r="T204" s="701">
        <f t="shared" si="7"/>
        <v>0</v>
      </c>
      <c r="U204" s="650" t="s">
        <v>34</v>
      </c>
      <c r="V204" s="1228"/>
      <c r="W204" s="799"/>
    </row>
    <row r="205" spans="1:23" ht="22.95" customHeight="1" x14ac:dyDescent="0.4">
      <c r="A205" s="788">
        <v>204</v>
      </c>
      <c r="B205" s="253" t="s">
        <v>2616</v>
      </c>
      <c r="C205" s="648" t="s">
        <v>24</v>
      </c>
      <c r="D205" s="1277">
        <v>5279</v>
      </c>
      <c r="E205" s="253" t="s">
        <v>2987</v>
      </c>
      <c r="F205" s="253" t="s">
        <v>2988</v>
      </c>
      <c r="G205" s="248">
        <v>3192</v>
      </c>
      <c r="H205" s="253" t="s">
        <v>2619</v>
      </c>
      <c r="I205" s="253" t="s">
        <v>28</v>
      </c>
      <c r="J205" s="199" t="s">
        <v>111</v>
      </c>
      <c r="K205" s="649" t="s">
        <v>110</v>
      </c>
      <c r="L205" s="1281">
        <v>0.4</v>
      </c>
      <c r="M205" s="1282" t="s">
        <v>3011</v>
      </c>
      <c r="N205" s="767" t="s">
        <v>3012</v>
      </c>
      <c r="O205" s="220" t="s">
        <v>3013</v>
      </c>
      <c r="P205" s="1272">
        <v>1</v>
      </c>
      <c r="Q205" s="1145">
        <v>0.5</v>
      </c>
      <c r="R205" s="1272"/>
      <c r="S205" s="650">
        <f t="shared" si="6"/>
        <v>0</v>
      </c>
      <c r="T205" s="701">
        <f t="shared" si="7"/>
        <v>0</v>
      </c>
      <c r="U205" s="650" t="s">
        <v>34</v>
      </c>
      <c r="V205" s="1228"/>
      <c r="W205" s="799"/>
    </row>
    <row r="206" spans="1:23" ht="22.95" customHeight="1" x14ac:dyDescent="0.4">
      <c r="A206" s="788">
        <v>205</v>
      </c>
      <c r="B206" s="187" t="s">
        <v>2616</v>
      </c>
      <c r="C206" s="187" t="s">
        <v>24</v>
      </c>
      <c r="D206" s="1164">
        <v>6450</v>
      </c>
      <c r="E206" s="243" t="s">
        <v>3014</v>
      </c>
      <c r="F206" s="243" t="s">
        <v>3015</v>
      </c>
      <c r="G206" s="238">
        <v>5279</v>
      </c>
      <c r="H206" s="243" t="s">
        <v>2987</v>
      </c>
      <c r="I206" s="243" t="s">
        <v>28</v>
      </c>
      <c r="J206" s="243" t="s">
        <v>58</v>
      </c>
      <c r="K206" s="243" t="s">
        <v>57</v>
      </c>
      <c r="L206" s="1246">
        <v>1</v>
      </c>
      <c r="M206" s="1283" t="s">
        <v>2989</v>
      </c>
      <c r="N206" s="1276" t="s">
        <v>3016</v>
      </c>
      <c r="O206" s="239" t="s">
        <v>3017</v>
      </c>
      <c r="P206" s="835">
        <v>1</v>
      </c>
      <c r="Q206" s="1052">
        <v>0.2</v>
      </c>
      <c r="R206" s="835"/>
      <c r="S206" s="855">
        <f t="shared" si="6"/>
        <v>0</v>
      </c>
      <c r="T206" s="854">
        <f t="shared" si="7"/>
        <v>0</v>
      </c>
      <c r="U206" s="855" t="s">
        <v>34</v>
      </c>
      <c r="V206" s="1055">
        <f>SUM(T206:T211)%</f>
        <v>0</v>
      </c>
      <c r="W206" s="295"/>
    </row>
    <row r="207" spans="1:23" ht="22.95" customHeight="1" x14ac:dyDescent="0.4">
      <c r="A207" s="788">
        <v>206</v>
      </c>
      <c r="B207" s="246" t="s">
        <v>2616</v>
      </c>
      <c r="C207" s="246" t="s">
        <v>24</v>
      </c>
      <c r="D207" s="1169">
        <v>6450</v>
      </c>
      <c r="E207" s="210" t="s">
        <v>3014</v>
      </c>
      <c r="F207" s="210" t="s">
        <v>3015</v>
      </c>
      <c r="G207" s="200">
        <v>5279</v>
      </c>
      <c r="H207" s="210" t="s">
        <v>2987</v>
      </c>
      <c r="I207" s="210" t="s">
        <v>28</v>
      </c>
      <c r="J207" s="1274" t="s">
        <v>58</v>
      </c>
      <c r="K207" s="1274" t="s">
        <v>57</v>
      </c>
      <c r="L207" s="1249">
        <v>1</v>
      </c>
      <c r="M207" s="1278" t="s">
        <v>3018</v>
      </c>
      <c r="N207" s="1279" t="s">
        <v>2998</v>
      </c>
      <c r="O207" s="211" t="s">
        <v>3019</v>
      </c>
      <c r="P207" s="231">
        <v>1</v>
      </c>
      <c r="Q207" s="1067">
        <v>0.2</v>
      </c>
      <c r="R207" s="231"/>
      <c r="S207" s="204">
        <f t="shared" si="6"/>
        <v>0</v>
      </c>
      <c r="T207" s="960">
        <f t="shared" si="7"/>
        <v>0</v>
      </c>
      <c r="U207" s="204" t="s">
        <v>34</v>
      </c>
      <c r="V207" s="1145"/>
      <c r="W207" s="303"/>
    </row>
    <row r="208" spans="1:23" ht="22.95" customHeight="1" x14ac:dyDescent="0.4">
      <c r="A208" s="788">
        <v>207</v>
      </c>
      <c r="B208" s="246" t="s">
        <v>2616</v>
      </c>
      <c r="C208" s="246" t="s">
        <v>24</v>
      </c>
      <c r="D208" s="1169">
        <v>6450</v>
      </c>
      <c r="E208" s="210" t="s">
        <v>3014</v>
      </c>
      <c r="F208" s="210" t="s">
        <v>3015</v>
      </c>
      <c r="G208" s="200">
        <v>5279</v>
      </c>
      <c r="H208" s="210" t="s">
        <v>2987</v>
      </c>
      <c r="I208" s="210" t="s">
        <v>28</v>
      </c>
      <c r="J208" s="1274" t="s">
        <v>58</v>
      </c>
      <c r="K208" s="1274" t="s">
        <v>57</v>
      </c>
      <c r="L208" s="1249">
        <v>1</v>
      </c>
      <c r="M208" s="1284" t="s">
        <v>3000</v>
      </c>
      <c r="N208" s="1279" t="s">
        <v>3001</v>
      </c>
      <c r="O208" s="211"/>
      <c r="P208" s="231">
        <v>1</v>
      </c>
      <c r="Q208" s="1067">
        <v>0.1</v>
      </c>
      <c r="R208" s="231"/>
      <c r="S208" s="204">
        <f t="shared" si="6"/>
        <v>0</v>
      </c>
      <c r="T208" s="960">
        <f t="shared" si="7"/>
        <v>0</v>
      </c>
      <c r="U208" s="204" t="s">
        <v>34</v>
      </c>
      <c r="V208" s="1145"/>
      <c r="W208" s="303"/>
    </row>
    <row r="209" spans="1:23" ht="22.95" customHeight="1" x14ac:dyDescent="0.4">
      <c r="A209" s="788">
        <v>208</v>
      </c>
      <c r="B209" s="246" t="s">
        <v>2616</v>
      </c>
      <c r="C209" s="246" t="s">
        <v>24</v>
      </c>
      <c r="D209" s="1169">
        <v>6450</v>
      </c>
      <c r="E209" s="210" t="s">
        <v>3014</v>
      </c>
      <c r="F209" s="210" t="s">
        <v>3015</v>
      </c>
      <c r="G209" s="200">
        <v>5279</v>
      </c>
      <c r="H209" s="210" t="s">
        <v>2987</v>
      </c>
      <c r="I209" s="210" t="s">
        <v>28</v>
      </c>
      <c r="J209" s="1274" t="s">
        <v>58</v>
      </c>
      <c r="K209" s="1274" t="s">
        <v>57</v>
      </c>
      <c r="L209" s="1249">
        <v>1</v>
      </c>
      <c r="M209" s="1278" t="s">
        <v>3002</v>
      </c>
      <c r="N209" s="1280" t="s">
        <v>2820</v>
      </c>
      <c r="O209" s="211"/>
      <c r="P209" s="231">
        <v>1</v>
      </c>
      <c r="Q209" s="1067">
        <v>0.1</v>
      </c>
      <c r="R209" s="231"/>
      <c r="S209" s="204">
        <f t="shared" si="6"/>
        <v>0</v>
      </c>
      <c r="T209" s="960">
        <f t="shared" si="7"/>
        <v>0</v>
      </c>
      <c r="U209" s="204" t="s">
        <v>34</v>
      </c>
      <c r="V209" s="1145"/>
      <c r="W209" s="303"/>
    </row>
    <row r="210" spans="1:23" ht="22.95" customHeight="1" x14ac:dyDescent="0.4">
      <c r="A210" s="788">
        <v>209</v>
      </c>
      <c r="B210" s="246" t="s">
        <v>2616</v>
      </c>
      <c r="C210" s="246" t="s">
        <v>24</v>
      </c>
      <c r="D210" s="1169">
        <v>6450</v>
      </c>
      <c r="E210" s="210" t="s">
        <v>3014</v>
      </c>
      <c r="F210" s="210" t="s">
        <v>3015</v>
      </c>
      <c r="G210" s="200">
        <v>5279</v>
      </c>
      <c r="H210" s="210" t="s">
        <v>2987</v>
      </c>
      <c r="I210" s="210" t="s">
        <v>28</v>
      </c>
      <c r="J210" s="1274" t="s">
        <v>58</v>
      </c>
      <c r="K210" s="1274" t="s">
        <v>57</v>
      </c>
      <c r="L210" s="1249">
        <v>1</v>
      </c>
      <c r="M210" s="1278" t="s">
        <v>3003</v>
      </c>
      <c r="N210" s="1280" t="s">
        <v>3020</v>
      </c>
      <c r="O210" s="211" t="s">
        <v>3021</v>
      </c>
      <c r="P210" s="231">
        <v>1</v>
      </c>
      <c r="Q210" s="1067">
        <v>0.3</v>
      </c>
      <c r="R210" s="231"/>
      <c r="S210" s="204">
        <f t="shared" si="6"/>
        <v>0</v>
      </c>
      <c r="T210" s="960">
        <f t="shared" si="7"/>
        <v>0</v>
      </c>
      <c r="U210" s="204" t="s">
        <v>34</v>
      </c>
      <c r="V210" s="1145"/>
      <c r="W210" s="303"/>
    </row>
    <row r="211" spans="1:23" ht="22.95" customHeight="1" x14ac:dyDescent="0.4">
      <c r="A211" s="788">
        <v>210</v>
      </c>
      <c r="B211" s="246" t="s">
        <v>2616</v>
      </c>
      <c r="C211" s="246" t="s">
        <v>24</v>
      </c>
      <c r="D211" s="1169">
        <v>6450</v>
      </c>
      <c r="E211" s="210" t="s">
        <v>3014</v>
      </c>
      <c r="F211" s="210" t="s">
        <v>3015</v>
      </c>
      <c r="G211" s="200">
        <v>5279</v>
      </c>
      <c r="H211" s="210" t="s">
        <v>2987</v>
      </c>
      <c r="I211" s="210" t="s">
        <v>28</v>
      </c>
      <c r="J211" s="1274" t="s">
        <v>58</v>
      </c>
      <c r="K211" s="1274" t="s">
        <v>57</v>
      </c>
      <c r="L211" s="1249">
        <v>1</v>
      </c>
      <c r="M211" s="1278" t="s">
        <v>3006</v>
      </c>
      <c r="N211" s="1280" t="s">
        <v>3022</v>
      </c>
      <c r="O211" s="211" t="s">
        <v>3008</v>
      </c>
      <c r="P211" s="815">
        <v>1</v>
      </c>
      <c r="Q211" s="1067">
        <v>0.1</v>
      </c>
      <c r="R211" s="815"/>
      <c r="S211" s="204">
        <f t="shared" si="6"/>
        <v>0</v>
      </c>
      <c r="T211" s="960">
        <f t="shared" si="7"/>
        <v>0</v>
      </c>
      <c r="U211" s="204" t="s">
        <v>34</v>
      </c>
      <c r="V211" s="1145"/>
      <c r="W211" s="303"/>
    </row>
    <row r="212" spans="1:23" ht="22.95" customHeight="1" x14ac:dyDescent="0.4">
      <c r="A212" s="788">
        <v>211</v>
      </c>
      <c r="B212" s="187" t="s">
        <v>2616</v>
      </c>
      <c r="C212" s="187" t="s">
        <v>24</v>
      </c>
      <c r="D212" s="1130">
        <v>5088</v>
      </c>
      <c r="E212" s="187" t="s">
        <v>3023</v>
      </c>
      <c r="F212" s="187" t="s">
        <v>3024</v>
      </c>
      <c r="G212" s="674">
        <v>3192</v>
      </c>
      <c r="H212" s="187" t="s">
        <v>2619</v>
      </c>
      <c r="I212" s="187" t="s">
        <v>28</v>
      </c>
      <c r="J212" s="653" t="s">
        <v>58</v>
      </c>
      <c r="K212" s="653" t="s">
        <v>57</v>
      </c>
      <c r="L212" s="1052">
        <v>0.9</v>
      </c>
      <c r="M212" s="748" t="s">
        <v>3025</v>
      </c>
      <c r="N212" s="749" t="s">
        <v>3026</v>
      </c>
      <c r="O212" s="749" t="s">
        <v>3027</v>
      </c>
      <c r="P212" s="1285">
        <v>1</v>
      </c>
      <c r="Q212" s="1286">
        <v>0.2</v>
      </c>
      <c r="R212" s="1285"/>
      <c r="S212" s="195">
        <f t="shared" si="6"/>
        <v>0</v>
      </c>
      <c r="T212" s="196">
        <f t="shared" si="7"/>
        <v>0</v>
      </c>
      <c r="U212" s="1287" t="s">
        <v>34</v>
      </c>
      <c r="V212" s="1288">
        <f>SUM(T212:T222)%</f>
        <v>0</v>
      </c>
      <c r="W212" s="1287"/>
    </row>
    <row r="213" spans="1:23" ht="22.95" customHeight="1" x14ac:dyDescent="0.4">
      <c r="A213" s="788">
        <v>212</v>
      </c>
      <c r="B213" s="246" t="s">
        <v>2616</v>
      </c>
      <c r="C213" s="246" t="s">
        <v>24</v>
      </c>
      <c r="D213" s="1134">
        <v>5088</v>
      </c>
      <c r="E213" s="246" t="s">
        <v>3023</v>
      </c>
      <c r="F213" s="246" t="s">
        <v>3024</v>
      </c>
      <c r="G213" s="679">
        <v>3192</v>
      </c>
      <c r="H213" s="246" t="s">
        <v>2619</v>
      </c>
      <c r="I213" s="246" t="s">
        <v>28</v>
      </c>
      <c r="J213" s="79" t="s">
        <v>58</v>
      </c>
      <c r="K213" s="79" t="s">
        <v>57</v>
      </c>
      <c r="L213" s="1067">
        <v>0.9</v>
      </c>
      <c r="M213" s="756" t="s">
        <v>3028</v>
      </c>
      <c r="N213" s="757" t="s">
        <v>3029</v>
      </c>
      <c r="O213" s="757"/>
      <c r="P213" s="1289">
        <v>1</v>
      </c>
      <c r="Q213" s="1290">
        <v>0.2</v>
      </c>
      <c r="R213" s="1289"/>
      <c r="S213" s="206">
        <f t="shared" si="6"/>
        <v>0</v>
      </c>
      <c r="T213" s="207">
        <f t="shared" si="7"/>
        <v>0</v>
      </c>
      <c r="U213" s="1291" t="s">
        <v>34</v>
      </c>
      <c r="V213" s="1290"/>
      <c r="W213" s="1292"/>
    </row>
    <row r="214" spans="1:23" ht="22.95" customHeight="1" x14ac:dyDescent="0.4">
      <c r="A214" s="788">
        <v>213</v>
      </c>
      <c r="B214" s="246" t="s">
        <v>2616</v>
      </c>
      <c r="C214" s="246" t="s">
        <v>24</v>
      </c>
      <c r="D214" s="1134">
        <v>5088</v>
      </c>
      <c r="E214" s="246" t="s">
        <v>3023</v>
      </c>
      <c r="F214" s="246" t="s">
        <v>3024</v>
      </c>
      <c r="G214" s="679">
        <v>3192</v>
      </c>
      <c r="H214" s="246" t="s">
        <v>2619</v>
      </c>
      <c r="I214" s="246" t="s">
        <v>28</v>
      </c>
      <c r="J214" s="79" t="s">
        <v>58</v>
      </c>
      <c r="K214" s="79" t="s">
        <v>57</v>
      </c>
      <c r="L214" s="1067">
        <v>0.9</v>
      </c>
      <c r="M214" s="756" t="s">
        <v>3030</v>
      </c>
      <c r="N214" s="757" t="s">
        <v>3031</v>
      </c>
      <c r="O214" s="757"/>
      <c r="P214" s="1289">
        <v>1</v>
      </c>
      <c r="Q214" s="1290">
        <v>0.1</v>
      </c>
      <c r="R214" s="1289"/>
      <c r="S214" s="206">
        <f t="shared" si="6"/>
        <v>0</v>
      </c>
      <c r="T214" s="207">
        <f t="shared" si="7"/>
        <v>0</v>
      </c>
      <c r="U214" s="1291" t="s">
        <v>34</v>
      </c>
      <c r="V214" s="1290"/>
      <c r="W214" s="1292"/>
    </row>
    <row r="215" spans="1:23" ht="22.95" customHeight="1" x14ac:dyDescent="0.4">
      <c r="A215" s="788">
        <v>214</v>
      </c>
      <c r="B215" s="246" t="s">
        <v>2616</v>
      </c>
      <c r="C215" s="246" t="s">
        <v>24</v>
      </c>
      <c r="D215" s="1134">
        <v>5088</v>
      </c>
      <c r="E215" s="246" t="s">
        <v>3023</v>
      </c>
      <c r="F215" s="246" t="s">
        <v>3024</v>
      </c>
      <c r="G215" s="679">
        <v>3192</v>
      </c>
      <c r="H215" s="246" t="s">
        <v>2619</v>
      </c>
      <c r="I215" s="246" t="s">
        <v>28</v>
      </c>
      <c r="J215" s="79" t="s">
        <v>58</v>
      </c>
      <c r="K215" s="79" t="s">
        <v>57</v>
      </c>
      <c r="L215" s="1067">
        <v>0.9</v>
      </c>
      <c r="M215" s="756" t="s">
        <v>3032</v>
      </c>
      <c r="N215" s="757" t="s">
        <v>3033</v>
      </c>
      <c r="O215" s="757" t="s">
        <v>3034</v>
      </c>
      <c r="P215" s="1289">
        <v>1</v>
      </c>
      <c r="Q215" s="1290">
        <v>0.1</v>
      </c>
      <c r="R215" s="1289"/>
      <c r="S215" s="206">
        <f t="shared" si="6"/>
        <v>0</v>
      </c>
      <c r="T215" s="207">
        <f t="shared" si="7"/>
        <v>0</v>
      </c>
      <c r="U215" s="1291" t="s">
        <v>34</v>
      </c>
      <c r="V215" s="1290"/>
      <c r="W215" s="1292"/>
    </row>
    <row r="216" spans="1:23" ht="22.95" customHeight="1" x14ac:dyDescent="0.4">
      <c r="A216" s="788">
        <v>215</v>
      </c>
      <c r="B216" s="246" t="s">
        <v>2616</v>
      </c>
      <c r="C216" s="246" t="s">
        <v>24</v>
      </c>
      <c r="D216" s="1134">
        <v>5088</v>
      </c>
      <c r="E216" s="246" t="s">
        <v>3023</v>
      </c>
      <c r="F216" s="246" t="s">
        <v>3024</v>
      </c>
      <c r="G216" s="679">
        <v>3192</v>
      </c>
      <c r="H216" s="246" t="s">
        <v>2619</v>
      </c>
      <c r="I216" s="246" t="s">
        <v>28</v>
      </c>
      <c r="J216" s="79" t="s">
        <v>58</v>
      </c>
      <c r="K216" s="79" t="s">
        <v>57</v>
      </c>
      <c r="L216" s="1067">
        <v>0.9</v>
      </c>
      <c r="M216" s="756" t="s">
        <v>3035</v>
      </c>
      <c r="N216" s="757" t="s">
        <v>3036</v>
      </c>
      <c r="O216" s="757"/>
      <c r="P216" s="1289">
        <v>1</v>
      </c>
      <c r="Q216" s="1290">
        <v>0.1</v>
      </c>
      <c r="R216" s="1289"/>
      <c r="S216" s="206">
        <f t="shared" si="6"/>
        <v>0</v>
      </c>
      <c r="T216" s="207">
        <f t="shared" si="7"/>
        <v>0</v>
      </c>
      <c r="U216" s="1291" t="s">
        <v>34</v>
      </c>
      <c r="V216" s="1290"/>
      <c r="W216" s="1292"/>
    </row>
    <row r="217" spans="1:23" ht="22.95" customHeight="1" x14ac:dyDescent="0.4">
      <c r="A217" s="788">
        <v>216</v>
      </c>
      <c r="B217" s="246" t="s">
        <v>2616</v>
      </c>
      <c r="C217" s="246" t="s">
        <v>24</v>
      </c>
      <c r="D217" s="1134">
        <v>5088</v>
      </c>
      <c r="E217" s="246" t="s">
        <v>3023</v>
      </c>
      <c r="F217" s="246" t="s">
        <v>3024</v>
      </c>
      <c r="G217" s="679">
        <v>3192</v>
      </c>
      <c r="H217" s="246" t="s">
        <v>2619</v>
      </c>
      <c r="I217" s="246" t="s">
        <v>28</v>
      </c>
      <c r="J217" s="79" t="s">
        <v>58</v>
      </c>
      <c r="K217" s="79" t="s">
        <v>57</v>
      </c>
      <c r="L217" s="1067">
        <v>0.9</v>
      </c>
      <c r="M217" s="821" t="s">
        <v>3037</v>
      </c>
      <c r="N217" s="819" t="s">
        <v>3038</v>
      </c>
      <c r="O217" s="818" t="s">
        <v>3039</v>
      </c>
      <c r="P217" s="1289">
        <v>1</v>
      </c>
      <c r="Q217" s="1290">
        <v>0.2</v>
      </c>
      <c r="R217" s="1289"/>
      <c r="S217" s="206">
        <f t="shared" si="6"/>
        <v>0</v>
      </c>
      <c r="T217" s="207">
        <f t="shared" si="7"/>
        <v>0</v>
      </c>
      <c r="U217" s="1291" t="s">
        <v>34</v>
      </c>
      <c r="V217" s="1290"/>
      <c r="W217" s="1292"/>
    </row>
    <row r="218" spans="1:23" ht="22.95" customHeight="1" x14ac:dyDescent="0.4">
      <c r="A218" s="788">
        <v>217</v>
      </c>
      <c r="B218" s="246" t="s">
        <v>2616</v>
      </c>
      <c r="C218" s="246" t="s">
        <v>24</v>
      </c>
      <c r="D218" s="1134">
        <v>5088</v>
      </c>
      <c r="E218" s="246" t="s">
        <v>3023</v>
      </c>
      <c r="F218" s="246" t="s">
        <v>3024</v>
      </c>
      <c r="G218" s="679">
        <v>3192</v>
      </c>
      <c r="H218" s="246" t="s">
        <v>2619</v>
      </c>
      <c r="I218" s="246" t="s">
        <v>28</v>
      </c>
      <c r="J218" s="79" t="s">
        <v>58</v>
      </c>
      <c r="K218" s="79" t="s">
        <v>57</v>
      </c>
      <c r="L218" s="1067">
        <v>0.9</v>
      </c>
      <c r="M218" s="821" t="s">
        <v>3040</v>
      </c>
      <c r="N218" s="819" t="s">
        <v>3041</v>
      </c>
      <c r="O218" s="818" t="s">
        <v>3042</v>
      </c>
      <c r="P218" s="1289">
        <v>1</v>
      </c>
      <c r="Q218" s="1290">
        <v>0.1</v>
      </c>
      <c r="R218" s="1289"/>
      <c r="S218" s="206">
        <f t="shared" si="6"/>
        <v>0</v>
      </c>
      <c r="T218" s="207">
        <f t="shared" si="7"/>
        <v>0</v>
      </c>
      <c r="U218" s="1291" t="s">
        <v>34</v>
      </c>
      <c r="V218" s="1290"/>
      <c r="W218" s="1292"/>
    </row>
    <row r="219" spans="1:23" ht="22.95" customHeight="1" x14ac:dyDescent="0.4">
      <c r="A219" s="788">
        <v>218</v>
      </c>
      <c r="B219" s="246" t="s">
        <v>2616</v>
      </c>
      <c r="C219" s="246" t="s">
        <v>24</v>
      </c>
      <c r="D219" s="1134">
        <v>5088</v>
      </c>
      <c r="E219" s="246" t="s">
        <v>3023</v>
      </c>
      <c r="F219" s="246" t="s">
        <v>3024</v>
      </c>
      <c r="G219" s="679">
        <v>3192</v>
      </c>
      <c r="H219" s="246" t="s">
        <v>2619</v>
      </c>
      <c r="I219" s="246" t="s">
        <v>28</v>
      </c>
      <c r="J219" s="253" t="s">
        <v>111</v>
      </c>
      <c r="K219" s="253" t="s">
        <v>110</v>
      </c>
      <c r="L219" s="1059">
        <v>0.1</v>
      </c>
      <c r="M219" s="875" t="s">
        <v>3043</v>
      </c>
      <c r="N219" s="879" t="s">
        <v>3044</v>
      </c>
      <c r="O219" s="879" t="s">
        <v>3045</v>
      </c>
      <c r="P219" s="1293">
        <v>1</v>
      </c>
      <c r="Q219" s="1294">
        <v>0.2</v>
      </c>
      <c r="R219" s="1293"/>
      <c r="S219" s="262">
        <f t="shared" si="6"/>
        <v>0</v>
      </c>
      <c r="T219" s="263">
        <f t="shared" si="7"/>
        <v>0</v>
      </c>
      <c r="U219" s="1292" t="s">
        <v>34</v>
      </c>
      <c r="V219" s="1294"/>
      <c r="W219" s="1292"/>
    </row>
    <row r="220" spans="1:23" ht="22.95" customHeight="1" x14ac:dyDescent="0.4">
      <c r="A220" s="788">
        <v>219</v>
      </c>
      <c r="B220" s="246" t="s">
        <v>2616</v>
      </c>
      <c r="C220" s="246" t="s">
        <v>24</v>
      </c>
      <c r="D220" s="1134">
        <v>5088</v>
      </c>
      <c r="E220" s="246" t="s">
        <v>3023</v>
      </c>
      <c r="F220" s="246" t="s">
        <v>3024</v>
      </c>
      <c r="G220" s="679">
        <v>3192</v>
      </c>
      <c r="H220" s="246" t="s">
        <v>2619</v>
      </c>
      <c r="I220" s="246" t="s">
        <v>28</v>
      </c>
      <c r="J220" s="253" t="s">
        <v>111</v>
      </c>
      <c r="K220" s="253" t="s">
        <v>110</v>
      </c>
      <c r="L220" s="1059">
        <v>0.1</v>
      </c>
      <c r="M220" s="875" t="s">
        <v>3046</v>
      </c>
      <c r="N220" s="879" t="s">
        <v>3047</v>
      </c>
      <c r="O220" s="879"/>
      <c r="P220" s="1292">
        <v>1</v>
      </c>
      <c r="Q220" s="1294">
        <v>0.2</v>
      </c>
      <c r="R220" s="1292"/>
      <c r="S220" s="262">
        <f t="shared" si="6"/>
        <v>0</v>
      </c>
      <c r="T220" s="263">
        <f t="shared" si="7"/>
        <v>0</v>
      </c>
      <c r="U220" s="1292" t="s">
        <v>34</v>
      </c>
      <c r="V220" s="1294"/>
      <c r="W220" s="1292"/>
    </row>
    <row r="221" spans="1:23" ht="22.95" customHeight="1" x14ac:dyDescent="0.4">
      <c r="A221" s="788">
        <v>220</v>
      </c>
      <c r="B221" s="246" t="s">
        <v>2616</v>
      </c>
      <c r="C221" s="246" t="s">
        <v>24</v>
      </c>
      <c r="D221" s="1134">
        <v>5088</v>
      </c>
      <c r="E221" s="246" t="s">
        <v>3023</v>
      </c>
      <c r="F221" s="246" t="s">
        <v>3024</v>
      </c>
      <c r="G221" s="679">
        <v>3192</v>
      </c>
      <c r="H221" s="246" t="s">
        <v>2619</v>
      </c>
      <c r="I221" s="246" t="s">
        <v>28</v>
      </c>
      <c r="J221" s="253" t="s">
        <v>111</v>
      </c>
      <c r="K221" s="253" t="s">
        <v>110</v>
      </c>
      <c r="L221" s="1059">
        <v>0.1</v>
      </c>
      <c r="M221" s="875" t="s">
        <v>3048</v>
      </c>
      <c r="N221" s="879" t="s">
        <v>3049</v>
      </c>
      <c r="O221" s="876" t="s">
        <v>3050</v>
      </c>
      <c r="P221" s="1292">
        <v>1</v>
      </c>
      <c r="Q221" s="1294">
        <v>0.4</v>
      </c>
      <c r="R221" s="1292"/>
      <c r="S221" s="262">
        <f t="shared" si="6"/>
        <v>0</v>
      </c>
      <c r="T221" s="263">
        <f t="shared" si="7"/>
        <v>0</v>
      </c>
      <c r="U221" s="1292" t="s">
        <v>34</v>
      </c>
      <c r="V221" s="1294"/>
      <c r="W221" s="1292"/>
    </row>
    <row r="222" spans="1:23" ht="22.95" customHeight="1" x14ac:dyDescent="0.4">
      <c r="A222" s="788">
        <v>221</v>
      </c>
      <c r="B222" s="246" t="s">
        <v>2616</v>
      </c>
      <c r="C222" s="246" t="s">
        <v>24</v>
      </c>
      <c r="D222" s="1134">
        <v>5088</v>
      </c>
      <c r="E222" s="246" t="s">
        <v>3023</v>
      </c>
      <c r="F222" s="246" t="s">
        <v>3024</v>
      </c>
      <c r="G222" s="679">
        <v>3192</v>
      </c>
      <c r="H222" s="246" t="s">
        <v>2619</v>
      </c>
      <c r="I222" s="246" t="s">
        <v>28</v>
      </c>
      <c r="J222" s="253" t="s">
        <v>111</v>
      </c>
      <c r="K222" s="253" t="s">
        <v>110</v>
      </c>
      <c r="L222" s="1059">
        <v>0.1</v>
      </c>
      <c r="M222" s="875" t="s">
        <v>3051</v>
      </c>
      <c r="N222" s="879" t="s">
        <v>3052</v>
      </c>
      <c r="O222" s="876" t="s">
        <v>3053</v>
      </c>
      <c r="P222" s="1292">
        <v>1</v>
      </c>
      <c r="Q222" s="1294">
        <v>0.2</v>
      </c>
      <c r="R222" s="1292"/>
      <c r="S222" s="262">
        <f t="shared" si="6"/>
        <v>0</v>
      </c>
      <c r="T222" s="263">
        <f t="shared" si="7"/>
        <v>0</v>
      </c>
      <c r="U222" s="1292" t="s">
        <v>34</v>
      </c>
      <c r="V222" s="1174"/>
      <c r="W222" s="1292"/>
    </row>
    <row r="223" spans="1:23" ht="22.95" customHeight="1" x14ac:dyDescent="0.4">
      <c r="A223" s="788">
        <v>222</v>
      </c>
      <c r="B223" s="187" t="s">
        <v>2616</v>
      </c>
      <c r="C223" s="187" t="s">
        <v>24</v>
      </c>
      <c r="D223" s="1295">
        <v>5093</v>
      </c>
      <c r="E223" s="1296" t="s">
        <v>3054</v>
      </c>
      <c r="F223" s="653" t="s">
        <v>3055</v>
      </c>
      <c r="G223" s="674">
        <v>5088</v>
      </c>
      <c r="H223" s="653" t="s">
        <v>3023</v>
      </c>
      <c r="I223" s="653" t="s">
        <v>3056</v>
      </c>
      <c r="J223" s="653" t="s">
        <v>58</v>
      </c>
      <c r="K223" s="653" t="s">
        <v>57</v>
      </c>
      <c r="L223" s="1297">
        <v>0.9</v>
      </c>
      <c r="M223" s="653"/>
      <c r="N223" s="749" t="s">
        <v>3057</v>
      </c>
      <c r="O223" s="1298" t="s">
        <v>3058</v>
      </c>
      <c r="P223" s="794">
        <v>1</v>
      </c>
      <c r="Q223" s="1297">
        <v>0.6</v>
      </c>
      <c r="R223" s="794"/>
      <c r="S223" s="794">
        <f t="shared" si="6"/>
        <v>0</v>
      </c>
      <c r="T223" s="196">
        <f t="shared" si="7"/>
        <v>0</v>
      </c>
      <c r="U223" s="855" t="s">
        <v>34</v>
      </c>
      <c r="V223" s="1194">
        <f>SUM(T223:T227)%</f>
        <v>0</v>
      </c>
      <c r="W223" s="1287"/>
    </row>
    <row r="224" spans="1:23" ht="22.95" customHeight="1" x14ac:dyDescent="0.4">
      <c r="A224" s="788">
        <v>223</v>
      </c>
      <c r="B224" s="246" t="s">
        <v>2616</v>
      </c>
      <c r="C224" s="246" t="s">
        <v>24</v>
      </c>
      <c r="D224" s="1299">
        <v>5093</v>
      </c>
      <c r="E224" s="1300" t="s">
        <v>3054</v>
      </c>
      <c r="F224" s="648" t="s">
        <v>3055</v>
      </c>
      <c r="G224" s="946">
        <v>5088</v>
      </c>
      <c r="H224" s="648" t="s">
        <v>3023</v>
      </c>
      <c r="I224" s="648" t="s">
        <v>3056</v>
      </c>
      <c r="J224" s="79" t="s">
        <v>58</v>
      </c>
      <c r="K224" s="79" t="s">
        <v>57</v>
      </c>
      <c r="L224" s="1301">
        <v>0.9</v>
      </c>
      <c r="M224" s="79"/>
      <c r="N224" s="757" t="s">
        <v>3059</v>
      </c>
      <c r="O224" s="1302" t="s">
        <v>3060</v>
      </c>
      <c r="P224" s="815">
        <v>1</v>
      </c>
      <c r="Q224" s="1301">
        <v>0.1</v>
      </c>
      <c r="R224" s="815"/>
      <c r="S224" s="204">
        <f t="shared" si="6"/>
        <v>0</v>
      </c>
      <c r="T224" s="960">
        <f t="shared" si="7"/>
        <v>0</v>
      </c>
      <c r="U224" s="204" t="s">
        <v>34</v>
      </c>
      <c r="V224" s="1303"/>
      <c r="W224" s="1292"/>
    </row>
    <row r="225" spans="1:23" ht="22.95" customHeight="1" x14ac:dyDescent="0.4">
      <c r="A225" s="788">
        <v>224</v>
      </c>
      <c r="B225" s="246" t="s">
        <v>2616</v>
      </c>
      <c r="C225" s="246" t="s">
        <v>24</v>
      </c>
      <c r="D225" s="1299">
        <v>5093</v>
      </c>
      <c r="E225" s="1300" t="s">
        <v>3054</v>
      </c>
      <c r="F225" s="648" t="s">
        <v>3055</v>
      </c>
      <c r="G225" s="946">
        <v>5088</v>
      </c>
      <c r="H225" s="648" t="s">
        <v>3023</v>
      </c>
      <c r="I225" s="648" t="s">
        <v>3056</v>
      </c>
      <c r="J225" s="79" t="s">
        <v>58</v>
      </c>
      <c r="K225" s="79" t="s">
        <v>57</v>
      </c>
      <c r="L225" s="1301">
        <v>0.9</v>
      </c>
      <c r="M225" s="79"/>
      <c r="N225" s="757" t="s">
        <v>3061</v>
      </c>
      <c r="O225" s="944" t="s">
        <v>3062</v>
      </c>
      <c r="P225" s="815">
        <v>1</v>
      </c>
      <c r="Q225" s="1301">
        <v>0.1</v>
      </c>
      <c r="R225" s="815"/>
      <c r="S225" s="204">
        <f t="shared" si="6"/>
        <v>0</v>
      </c>
      <c r="T225" s="960">
        <f t="shared" si="7"/>
        <v>0</v>
      </c>
      <c r="U225" s="204" t="s">
        <v>34</v>
      </c>
      <c r="V225" s="1303"/>
      <c r="W225" s="1292"/>
    </row>
    <row r="226" spans="1:23" ht="22.95" customHeight="1" x14ac:dyDescent="0.4">
      <c r="A226" s="788">
        <v>225</v>
      </c>
      <c r="B226" s="246" t="s">
        <v>2616</v>
      </c>
      <c r="C226" s="246" t="s">
        <v>24</v>
      </c>
      <c r="D226" s="1299">
        <v>5093</v>
      </c>
      <c r="E226" s="1300" t="s">
        <v>3054</v>
      </c>
      <c r="F226" s="648" t="s">
        <v>3055</v>
      </c>
      <c r="G226" s="946">
        <v>5088</v>
      </c>
      <c r="H226" s="648" t="s">
        <v>3023</v>
      </c>
      <c r="I226" s="648" t="s">
        <v>3056</v>
      </c>
      <c r="J226" s="79" t="s">
        <v>58</v>
      </c>
      <c r="K226" s="79" t="s">
        <v>57</v>
      </c>
      <c r="L226" s="1301">
        <v>0.9</v>
      </c>
      <c r="M226" s="79"/>
      <c r="N226" s="757" t="s">
        <v>3063</v>
      </c>
      <c r="O226" s="944" t="s">
        <v>3064</v>
      </c>
      <c r="P226" s="815">
        <v>1</v>
      </c>
      <c r="Q226" s="1301">
        <v>0.2</v>
      </c>
      <c r="R226" s="815"/>
      <c r="S226" s="204">
        <f t="shared" si="6"/>
        <v>0</v>
      </c>
      <c r="T226" s="960">
        <f t="shared" si="7"/>
        <v>0</v>
      </c>
      <c r="U226" s="204" t="s">
        <v>34</v>
      </c>
      <c r="V226" s="1303"/>
      <c r="W226" s="1292"/>
    </row>
    <row r="227" spans="1:23" ht="22.95" customHeight="1" x14ac:dyDescent="0.4">
      <c r="A227" s="788">
        <v>226</v>
      </c>
      <c r="B227" s="246" t="s">
        <v>2616</v>
      </c>
      <c r="C227" s="246" t="s">
        <v>24</v>
      </c>
      <c r="D227" s="1299">
        <v>5093</v>
      </c>
      <c r="E227" s="1300" t="s">
        <v>3054</v>
      </c>
      <c r="F227" s="648" t="s">
        <v>3055</v>
      </c>
      <c r="G227" s="946">
        <v>5088</v>
      </c>
      <c r="H227" s="648" t="s">
        <v>3023</v>
      </c>
      <c r="I227" s="648" t="s">
        <v>3056</v>
      </c>
      <c r="J227" s="253" t="s">
        <v>111</v>
      </c>
      <c r="K227" s="253" t="s">
        <v>110</v>
      </c>
      <c r="L227" s="1304">
        <v>0.1</v>
      </c>
      <c r="M227" s="649"/>
      <c r="N227" s="827" t="s">
        <v>3065</v>
      </c>
      <c r="O227" s="1305" t="s">
        <v>3066</v>
      </c>
      <c r="P227" s="803">
        <v>1</v>
      </c>
      <c r="Q227" s="1304">
        <v>1</v>
      </c>
      <c r="R227" s="803"/>
      <c r="S227" s="650">
        <f t="shared" si="6"/>
        <v>0</v>
      </c>
      <c r="T227" s="701">
        <f t="shared" si="7"/>
        <v>0</v>
      </c>
      <c r="U227" s="964" t="s">
        <v>34</v>
      </c>
      <c r="V227" s="1082"/>
      <c r="W227" s="1292"/>
    </row>
    <row r="228" spans="1:23" ht="22.95" customHeight="1" x14ac:dyDescent="0.4">
      <c r="A228" s="788">
        <v>227</v>
      </c>
      <c r="B228" s="187" t="s">
        <v>2616</v>
      </c>
      <c r="C228" s="187" t="s">
        <v>24</v>
      </c>
      <c r="D228" s="1200">
        <v>5238</v>
      </c>
      <c r="E228" s="653" t="s">
        <v>3067</v>
      </c>
      <c r="F228" s="653" t="s">
        <v>3055</v>
      </c>
      <c r="G228" s="1165">
        <v>5088</v>
      </c>
      <c r="H228" s="653" t="s">
        <v>3023</v>
      </c>
      <c r="I228" s="653" t="s">
        <v>3056</v>
      </c>
      <c r="J228" s="653" t="s">
        <v>58</v>
      </c>
      <c r="K228" s="653" t="s">
        <v>57</v>
      </c>
      <c r="L228" s="1054">
        <v>0.9</v>
      </c>
      <c r="M228" s="653"/>
      <c r="N228" s="749" t="s">
        <v>3068</v>
      </c>
      <c r="O228" s="1298" t="s">
        <v>3069</v>
      </c>
      <c r="P228" s="794">
        <v>1</v>
      </c>
      <c r="Q228" s="1297">
        <v>0.5</v>
      </c>
      <c r="R228" s="794"/>
      <c r="S228" s="794">
        <f t="shared" si="6"/>
        <v>0</v>
      </c>
      <c r="T228" s="854">
        <f t="shared" si="7"/>
        <v>0</v>
      </c>
      <c r="U228" s="855" t="s">
        <v>34</v>
      </c>
      <c r="V228" s="1194">
        <f>SUM(T228:T233)%</f>
        <v>0</v>
      </c>
      <c r="W228" s="1287"/>
    </row>
    <row r="229" spans="1:23" ht="22.95" customHeight="1" x14ac:dyDescent="0.4">
      <c r="A229" s="788">
        <v>228</v>
      </c>
      <c r="B229" s="246" t="s">
        <v>2616</v>
      </c>
      <c r="C229" s="246" t="s">
        <v>24</v>
      </c>
      <c r="D229" s="1306">
        <v>5238</v>
      </c>
      <c r="E229" s="648" t="s">
        <v>3067</v>
      </c>
      <c r="F229" s="648" t="s">
        <v>3055</v>
      </c>
      <c r="G229" s="1170">
        <v>5088</v>
      </c>
      <c r="H229" s="648" t="s">
        <v>3023</v>
      </c>
      <c r="I229" s="648" t="s">
        <v>3056</v>
      </c>
      <c r="J229" s="79" t="s">
        <v>58</v>
      </c>
      <c r="K229" s="79" t="s">
        <v>57</v>
      </c>
      <c r="L229" s="1201">
        <v>0.9</v>
      </c>
      <c r="M229" s="79"/>
      <c r="N229" s="757" t="s">
        <v>3070</v>
      </c>
      <c r="O229" s="1302" t="s">
        <v>3071</v>
      </c>
      <c r="P229" s="815">
        <v>1</v>
      </c>
      <c r="Q229" s="1301">
        <v>0.05</v>
      </c>
      <c r="R229" s="815"/>
      <c r="S229" s="204">
        <f t="shared" si="6"/>
        <v>0</v>
      </c>
      <c r="T229" s="960">
        <f t="shared" si="7"/>
        <v>0</v>
      </c>
      <c r="U229" s="204" t="s">
        <v>34</v>
      </c>
      <c r="V229" s="1303"/>
      <c r="W229" s="1292"/>
    </row>
    <row r="230" spans="1:23" ht="22.95" customHeight="1" x14ac:dyDescent="0.4">
      <c r="A230" s="788">
        <v>229</v>
      </c>
      <c r="B230" s="246" t="s">
        <v>2616</v>
      </c>
      <c r="C230" s="246" t="s">
        <v>24</v>
      </c>
      <c r="D230" s="1306">
        <v>5238</v>
      </c>
      <c r="E230" s="648" t="s">
        <v>3067</v>
      </c>
      <c r="F230" s="648" t="s">
        <v>3055</v>
      </c>
      <c r="G230" s="1170">
        <v>5088</v>
      </c>
      <c r="H230" s="648" t="s">
        <v>3023</v>
      </c>
      <c r="I230" s="648" t="s">
        <v>3056</v>
      </c>
      <c r="J230" s="79" t="s">
        <v>58</v>
      </c>
      <c r="K230" s="79" t="s">
        <v>57</v>
      </c>
      <c r="L230" s="1201">
        <v>0.9</v>
      </c>
      <c r="M230" s="79"/>
      <c r="N230" s="757" t="s">
        <v>3072</v>
      </c>
      <c r="O230" s="944" t="s">
        <v>3073</v>
      </c>
      <c r="P230" s="815">
        <v>1</v>
      </c>
      <c r="Q230" s="1301">
        <v>0.1</v>
      </c>
      <c r="R230" s="815"/>
      <c r="S230" s="204">
        <f t="shared" si="6"/>
        <v>0</v>
      </c>
      <c r="T230" s="960">
        <f t="shared" si="7"/>
        <v>0</v>
      </c>
      <c r="U230" s="204" t="s">
        <v>34</v>
      </c>
      <c r="V230" s="1303"/>
      <c r="W230" s="1292"/>
    </row>
    <row r="231" spans="1:23" ht="22.95" customHeight="1" x14ac:dyDescent="0.4">
      <c r="A231" s="788">
        <v>230</v>
      </c>
      <c r="B231" s="246" t="s">
        <v>2616</v>
      </c>
      <c r="C231" s="246" t="s">
        <v>24</v>
      </c>
      <c r="D231" s="1306">
        <v>5238</v>
      </c>
      <c r="E231" s="648" t="s">
        <v>3067</v>
      </c>
      <c r="F231" s="648" t="s">
        <v>3055</v>
      </c>
      <c r="G231" s="1170">
        <v>5088</v>
      </c>
      <c r="H231" s="648" t="s">
        <v>3023</v>
      </c>
      <c r="I231" s="648" t="s">
        <v>3056</v>
      </c>
      <c r="J231" s="79" t="s">
        <v>58</v>
      </c>
      <c r="K231" s="79" t="s">
        <v>57</v>
      </c>
      <c r="L231" s="1201">
        <v>0.9</v>
      </c>
      <c r="M231" s="79"/>
      <c r="N231" s="757" t="s">
        <v>3074</v>
      </c>
      <c r="O231" s="944" t="s">
        <v>3075</v>
      </c>
      <c r="P231" s="815">
        <v>0.8</v>
      </c>
      <c r="Q231" s="1301">
        <v>0.25</v>
      </c>
      <c r="R231" s="815"/>
      <c r="S231" s="204">
        <f t="shared" si="6"/>
        <v>0</v>
      </c>
      <c r="T231" s="960">
        <f t="shared" si="7"/>
        <v>0</v>
      </c>
      <c r="U231" s="204" t="s">
        <v>34</v>
      </c>
      <c r="V231" s="1303"/>
      <c r="W231" s="1292"/>
    </row>
    <row r="232" spans="1:23" ht="22.95" customHeight="1" x14ac:dyDescent="0.4">
      <c r="A232" s="788">
        <v>231</v>
      </c>
      <c r="B232" s="246" t="s">
        <v>2616</v>
      </c>
      <c r="C232" s="246" t="s">
        <v>24</v>
      </c>
      <c r="D232" s="1306">
        <v>5238</v>
      </c>
      <c r="E232" s="648" t="s">
        <v>3067</v>
      </c>
      <c r="F232" s="648" t="s">
        <v>3055</v>
      </c>
      <c r="G232" s="1170">
        <v>5088</v>
      </c>
      <c r="H232" s="648" t="s">
        <v>3023</v>
      </c>
      <c r="I232" s="649" t="s">
        <v>3056</v>
      </c>
      <c r="J232" s="79" t="s">
        <v>58</v>
      </c>
      <c r="K232" s="79" t="s">
        <v>57</v>
      </c>
      <c r="L232" s="1201">
        <v>0.9</v>
      </c>
      <c r="M232" s="79"/>
      <c r="N232" s="757" t="s">
        <v>3076</v>
      </c>
      <c r="O232" s="1302" t="s">
        <v>3064</v>
      </c>
      <c r="P232" s="815">
        <v>1</v>
      </c>
      <c r="Q232" s="1301">
        <v>0.1</v>
      </c>
      <c r="R232" s="815"/>
      <c r="S232" s="204">
        <f t="shared" si="6"/>
        <v>0</v>
      </c>
      <c r="T232" s="960">
        <f t="shared" si="7"/>
        <v>0</v>
      </c>
      <c r="U232" s="204" t="s">
        <v>34</v>
      </c>
      <c r="V232" s="1303"/>
      <c r="W232" s="1292"/>
    </row>
    <row r="233" spans="1:23" ht="22.95" customHeight="1" x14ac:dyDescent="0.4">
      <c r="A233" s="788">
        <v>232</v>
      </c>
      <c r="B233" s="246" t="s">
        <v>2616</v>
      </c>
      <c r="C233" s="246" t="s">
        <v>24</v>
      </c>
      <c r="D233" s="1306">
        <v>5238</v>
      </c>
      <c r="E233" s="648" t="s">
        <v>3067</v>
      </c>
      <c r="F233" s="648" t="s">
        <v>3055</v>
      </c>
      <c r="G233" s="1170">
        <v>5088</v>
      </c>
      <c r="H233" s="648" t="s">
        <v>3023</v>
      </c>
      <c r="I233" s="649" t="s">
        <v>3056</v>
      </c>
      <c r="J233" s="1307" t="s">
        <v>111</v>
      </c>
      <c r="K233" s="210" t="s">
        <v>2743</v>
      </c>
      <c r="L233" s="1308">
        <v>0.1</v>
      </c>
      <c r="M233" s="649"/>
      <c r="N233" s="1309" t="s">
        <v>3077</v>
      </c>
      <c r="O233" s="1305" t="s">
        <v>3078</v>
      </c>
      <c r="P233" s="803">
        <v>1</v>
      </c>
      <c r="Q233" s="1308">
        <v>1</v>
      </c>
      <c r="R233" s="803"/>
      <c r="S233" s="964">
        <f t="shared" si="6"/>
        <v>0</v>
      </c>
      <c r="T233" s="962">
        <f t="shared" si="7"/>
        <v>0</v>
      </c>
      <c r="U233" s="964" t="s">
        <v>34</v>
      </c>
      <c r="V233" s="1082"/>
      <c r="W233" s="1292"/>
    </row>
    <row r="234" spans="1:23" ht="22.95" customHeight="1" x14ac:dyDescent="0.4">
      <c r="A234" s="788">
        <v>233</v>
      </c>
      <c r="B234" s="1310" t="s">
        <v>2616</v>
      </c>
      <c r="C234" s="1310" t="s">
        <v>24</v>
      </c>
      <c r="D234" s="1200">
        <v>6025</v>
      </c>
      <c r="E234" s="653" t="s">
        <v>3079</v>
      </c>
      <c r="F234" s="653" t="s">
        <v>3080</v>
      </c>
      <c r="G234" s="674">
        <v>5088</v>
      </c>
      <c r="H234" s="653" t="s">
        <v>3023</v>
      </c>
      <c r="I234" s="653" t="s">
        <v>3056</v>
      </c>
      <c r="J234" s="653" t="s">
        <v>58</v>
      </c>
      <c r="K234" s="653" t="s">
        <v>57</v>
      </c>
      <c r="L234" s="1297">
        <v>0.9</v>
      </c>
      <c r="M234" s="653"/>
      <c r="N234" s="1311" t="s">
        <v>3081</v>
      </c>
      <c r="O234" s="1312" t="s">
        <v>3082</v>
      </c>
      <c r="P234" s="794">
        <v>1</v>
      </c>
      <c r="Q234" s="1297">
        <v>0.3</v>
      </c>
      <c r="R234" s="794"/>
      <c r="S234" s="855">
        <f t="shared" si="6"/>
        <v>0</v>
      </c>
      <c r="T234" s="854">
        <f t="shared" si="7"/>
        <v>0</v>
      </c>
      <c r="U234" s="855" t="s">
        <v>34</v>
      </c>
      <c r="V234" s="1194">
        <f>SUM(T234:T240)%</f>
        <v>0</v>
      </c>
      <c r="W234" s="791"/>
    </row>
    <row r="235" spans="1:23" ht="22.95" customHeight="1" x14ac:dyDescent="0.4">
      <c r="A235" s="788">
        <v>234</v>
      </c>
      <c r="B235" s="246" t="s">
        <v>2616</v>
      </c>
      <c r="C235" s="246" t="s">
        <v>24</v>
      </c>
      <c r="D235" s="1306">
        <v>6025</v>
      </c>
      <c r="E235" s="648" t="s">
        <v>3079</v>
      </c>
      <c r="F235" s="648" t="s">
        <v>3080</v>
      </c>
      <c r="G235" s="946">
        <v>5088</v>
      </c>
      <c r="H235" s="648" t="s">
        <v>3023</v>
      </c>
      <c r="I235" s="648" t="s">
        <v>3056</v>
      </c>
      <c r="J235" s="79" t="s">
        <v>58</v>
      </c>
      <c r="K235" s="79" t="s">
        <v>57</v>
      </c>
      <c r="L235" s="1301">
        <v>0.9</v>
      </c>
      <c r="M235" s="79"/>
      <c r="N235" s="1313" t="s">
        <v>3083</v>
      </c>
      <c r="O235" s="1314" t="s">
        <v>3084</v>
      </c>
      <c r="P235" s="815">
        <v>1</v>
      </c>
      <c r="Q235" s="1301">
        <v>0.1</v>
      </c>
      <c r="R235" s="815"/>
      <c r="S235" s="204">
        <f t="shared" si="6"/>
        <v>0</v>
      </c>
      <c r="T235" s="960">
        <f t="shared" si="7"/>
        <v>0</v>
      </c>
      <c r="U235" s="204" t="s">
        <v>34</v>
      </c>
      <c r="V235" s="1303"/>
      <c r="W235" s="949"/>
    </row>
    <row r="236" spans="1:23" ht="22.95" customHeight="1" x14ac:dyDescent="0.4">
      <c r="A236" s="788">
        <v>235</v>
      </c>
      <c r="B236" s="246" t="s">
        <v>2616</v>
      </c>
      <c r="C236" s="246" t="s">
        <v>24</v>
      </c>
      <c r="D236" s="1306">
        <v>6025</v>
      </c>
      <c r="E236" s="648" t="s">
        <v>3079</v>
      </c>
      <c r="F236" s="648" t="s">
        <v>3080</v>
      </c>
      <c r="G236" s="946">
        <v>5088</v>
      </c>
      <c r="H236" s="648" t="s">
        <v>3023</v>
      </c>
      <c r="I236" s="648" t="s">
        <v>3056</v>
      </c>
      <c r="J236" s="79" t="s">
        <v>58</v>
      </c>
      <c r="K236" s="79" t="s">
        <v>57</v>
      </c>
      <c r="L236" s="1301">
        <v>0.9</v>
      </c>
      <c r="M236" s="79"/>
      <c r="N236" s="1313" t="s">
        <v>3085</v>
      </c>
      <c r="O236" s="1314" t="s">
        <v>3086</v>
      </c>
      <c r="P236" s="815">
        <v>1</v>
      </c>
      <c r="Q236" s="1301">
        <v>0.1</v>
      </c>
      <c r="R236" s="815"/>
      <c r="S236" s="204">
        <f t="shared" si="6"/>
        <v>0</v>
      </c>
      <c r="T236" s="960">
        <f t="shared" si="7"/>
        <v>0</v>
      </c>
      <c r="U236" s="204" t="s">
        <v>34</v>
      </c>
      <c r="V236" s="1303"/>
      <c r="W236" s="949"/>
    </row>
    <row r="237" spans="1:23" ht="22.95" customHeight="1" x14ac:dyDescent="0.4">
      <c r="A237" s="788">
        <v>236</v>
      </c>
      <c r="B237" s="246" t="s">
        <v>2616</v>
      </c>
      <c r="C237" s="246" t="s">
        <v>24</v>
      </c>
      <c r="D237" s="1306">
        <v>6025</v>
      </c>
      <c r="E237" s="648" t="s">
        <v>3079</v>
      </c>
      <c r="F237" s="648" t="s">
        <v>3080</v>
      </c>
      <c r="G237" s="946">
        <v>5088</v>
      </c>
      <c r="H237" s="648" t="s">
        <v>3023</v>
      </c>
      <c r="I237" s="648" t="s">
        <v>3056</v>
      </c>
      <c r="J237" s="79" t="s">
        <v>58</v>
      </c>
      <c r="K237" s="79" t="s">
        <v>57</v>
      </c>
      <c r="L237" s="1301">
        <v>0.9</v>
      </c>
      <c r="M237" s="79"/>
      <c r="N237" s="1315" t="s">
        <v>3087</v>
      </c>
      <c r="O237" s="1314" t="s">
        <v>3088</v>
      </c>
      <c r="P237" s="815">
        <v>1</v>
      </c>
      <c r="Q237" s="1301">
        <v>0.2</v>
      </c>
      <c r="R237" s="815"/>
      <c r="S237" s="204">
        <f t="shared" si="6"/>
        <v>0</v>
      </c>
      <c r="T237" s="960">
        <f t="shared" si="7"/>
        <v>0</v>
      </c>
      <c r="U237" s="204" t="s">
        <v>34</v>
      </c>
      <c r="V237" s="1303"/>
      <c r="W237" s="949"/>
    </row>
    <row r="238" spans="1:23" ht="22.95" customHeight="1" x14ac:dyDescent="0.4">
      <c r="A238" s="788">
        <v>237</v>
      </c>
      <c r="B238" s="246" t="s">
        <v>2616</v>
      </c>
      <c r="C238" s="246" t="s">
        <v>24</v>
      </c>
      <c r="D238" s="1306">
        <v>6025</v>
      </c>
      <c r="E238" s="648" t="s">
        <v>3079</v>
      </c>
      <c r="F238" s="648" t="s">
        <v>3080</v>
      </c>
      <c r="G238" s="946">
        <v>5088</v>
      </c>
      <c r="H238" s="648" t="s">
        <v>3023</v>
      </c>
      <c r="I238" s="648" t="s">
        <v>3056</v>
      </c>
      <c r="J238" s="79" t="s">
        <v>3089</v>
      </c>
      <c r="K238" s="79" t="s">
        <v>57</v>
      </c>
      <c r="L238" s="1301">
        <v>0.9</v>
      </c>
      <c r="M238" s="79"/>
      <c r="N238" s="1315" t="s">
        <v>3090</v>
      </c>
      <c r="O238" s="1314" t="s">
        <v>3091</v>
      </c>
      <c r="P238" s="815">
        <v>1</v>
      </c>
      <c r="Q238" s="1301">
        <v>0.1</v>
      </c>
      <c r="R238" s="815"/>
      <c r="S238" s="204">
        <f t="shared" si="6"/>
        <v>0</v>
      </c>
      <c r="T238" s="960">
        <f t="shared" si="7"/>
        <v>0</v>
      </c>
      <c r="U238" s="204" t="s">
        <v>34</v>
      </c>
      <c r="V238" s="1303"/>
      <c r="W238" s="949"/>
    </row>
    <row r="239" spans="1:23" ht="22.95" customHeight="1" x14ac:dyDescent="0.4">
      <c r="A239" s="788">
        <v>238</v>
      </c>
      <c r="B239" s="246" t="s">
        <v>2616</v>
      </c>
      <c r="C239" s="246" t="s">
        <v>24</v>
      </c>
      <c r="D239" s="1306">
        <v>6025</v>
      </c>
      <c r="E239" s="648" t="s">
        <v>3079</v>
      </c>
      <c r="F239" s="648" t="s">
        <v>3080</v>
      </c>
      <c r="G239" s="946">
        <v>5088</v>
      </c>
      <c r="H239" s="648" t="s">
        <v>3023</v>
      </c>
      <c r="I239" s="648" t="s">
        <v>3056</v>
      </c>
      <c r="J239" s="79" t="s">
        <v>3089</v>
      </c>
      <c r="K239" s="79" t="s">
        <v>57</v>
      </c>
      <c r="L239" s="1301">
        <v>0.9</v>
      </c>
      <c r="M239" s="79"/>
      <c r="N239" s="1315" t="s">
        <v>3092</v>
      </c>
      <c r="O239" s="1314" t="s">
        <v>3064</v>
      </c>
      <c r="P239" s="815">
        <v>1</v>
      </c>
      <c r="Q239" s="1301">
        <v>0.2</v>
      </c>
      <c r="R239" s="815"/>
      <c r="S239" s="204">
        <f t="shared" si="6"/>
        <v>0</v>
      </c>
      <c r="T239" s="960">
        <f t="shared" si="7"/>
        <v>0</v>
      </c>
      <c r="U239" s="204" t="s">
        <v>34</v>
      </c>
      <c r="V239" s="1303"/>
      <c r="W239" s="949"/>
    </row>
    <row r="240" spans="1:23" ht="22.95" customHeight="1" thickBot="1" x14ac:dyDescent="0.45">
      <c r="A240" s="788">
        <v>239</v>
      </c>
      <c r="B240" s="246" t="s">
        <v>2616</v>
      </c>
      <c r="C240" s="246" t="s">
        <v>24</v>
      </c>
      <c r="D240" s="1306">
        <v>6025</v>
      </c>
      <c r="E240" s="648" t="s">
        <v>3079</v>
      </c>
      <c r="F240" s="648" t="s">
        <v>3080</v>
      </c>
      <c r="G240" s="946">
        <v>5088</v>
      </c>
      <c r="H240" s="648" t="s">
        <v>3023</v>
      </c>
      <c r="I240" s="648" t="s">
        <v>3056</v>
      </c>
      <c r="J240" s="648" t="s">
        <v>3093</v>
      </c>
      <c r="K240" s="253" t="s">
        <v>2743</v>
      </c>
      <c r="L240" s="1316">
        <v>0.1</v>
      </c>
      <c r="M240" s="648"/>
      <c r="N240" s="1317" t="s">
        <v>3094</v>
      </c>
      <c r="O240" s="1318" t="s">
        <v>3095</v>
      </c>
      <c r="P240" s="1012">
        <v>1</v>
      </c>
      <c r="Q240" s="1316">
        <v>1</v>
      </c>
      <c r="R240" s="1012"/>
      <c r="S240" s="1012">
        <f t="shared" si="6"/>
        <v>0</v>
      </c>
      <c r="T240" s="962">
        <f t="shared" si="7"/>
        <v>0</v>
      </c>
      <c r="U240" s="964" t="s">
        <v>34</v>
      </c>
      <c r="V240" s="1306"/>
      <c r="W240" s="949"/>
    </row>
    <row r="241" spans="1:23" ht="22.95" customHeight="1" x14ac:dyDescent="0.4">
      <c r="A241" s="788">
        <v>240</v>
      </c>
      <c r="B241" s="243" t="s">
        <v>2616</v>
      </c>
      <c r="C241" s="243" t="s">
        <v>24</v>
      </c>
      <c r="D241" s="1200">
        <v>2418</v>
      </c>
      <c r="E241" s="187" t="s">
        <v>3096</v>
      </c>
      <c r="F241" s="187" t="s">
        <v>3097</v>
      </c>
      <c r="G241" s="674">
        <v>3192</v>
      </c>
      <c r="H241" s="187" t="s">
        <v>3098</v>
      </c>
      <c r="I241" s="187" t="s">
        <v>881</v>
      </c>
      <c r="J241" s="653" t="s">
        <v>30</v>
      </c>
      <c r="K241" s="1319" t="s">
        <v>29</v>
      </c>
      <c r="L241" s="1320">
        <v>0.6</v>
      </c>
      <c r="M241" s="748" t="s">
        <v>2620</v>
      </c>
      <c r="N241" s="749" t="s">
        <v>2621</v>
      </c>
      <c r="O241" s="1053"/>
      <c r="P241" s="1053">
        <v>1856910.8756204764</v>
      </c>
      <c r="Q241" s="1054">
        <v>0.15</v>
      </c>
      <c r="R241" s="1053"/>
      <c r="S241" s="644">
        <f t="shared" si="6"/>
        <v>0</v>
      </c>
      <c r="T241" s="196">
        <f t="shared" si="7"/>
        <v>0</v>
      </c>
      <c r="U241" s="197" t="s">
        <v>34</v>
      </c>
      <c r="V241" s="1221">
        <f>SUM(T241:T271)%</f>
        <v>0</v>
      </c>
      <c r="W241" s="653"/>
    </row>
    <row r="242" spans="1:23" ht="22.95" customHeight="1" x14ac:dyDescent="0.4">
      <c r="A242" s="788">
        <v>241</v>
      </c>
      <c r="B242" s="210" t="s">
        <v>2616</v>
      </c>
      <c r="C242" s="648" t="s">
        <v>24</v>
      </c>
      <c r="D242" s="1306">
        <v>2418</v>
      </c>
      <c r="E242" s="246" t="s">
        <v>3096</v>
      </c>
      <c r="F242" s="246" t="s">
        <v>3097</v>
      </c>
      <c r="G242" s="679">
        <v>3192</v>
      </c>
      <c r="H242" s="246" t="s">
        <v>3098</v>
      </c>
      <c r="I242" s="246" t="s">
        <v>881</v>
      </c>
      <c r="J242" s="648" t="s">
        <v>30</v>
      </c>
      <c r="K242" s="649" t="s">
        <v>29</v>
      </c>
      <c r="L242" s="1063">
        <v>0.6</v>
      </c>
      <c r="M242" s="1060" t="s">
        <v>2622</v>
      </c>
      <c r="N242" s="1061" t="s">
        <v>2623</v>
      </c>
      <c r="O242" s="1062"/>
      <c r="P242" s="1062">
        <v>621419.69473720191</v>
      </c>
      <c r="Q242" s="1063">
        <v>0.1</v>
      </c>
      <c r="R242" s="1062"/>
      <c r="S242" s="222">
        <f t="shared" si="6"/>
        <v>0</v>
      </c>
      <c r="T242" s="263">
        <f t="shared" si="7"/>
        <v>0</v>
      </c>
      <c r="U242" s="687" t="s">
        <v>34</v>
      </c>
      <c r="V242" s="1147"/>
      <c r="W242" s="649"/>
    </row>
    <row r="243" spans="1:23" ht="22.95" customHeight="1" x14ac:dyDescent="0.4">
      <c r="A243" s="788">
        <v>242</v>
      </c>
      <c r="B243" s="210" t="s">
        <v>2616</v>
      </c>
      <c r="C243" s="648" t="s">
        <v>24</v>
      </c>
      <c r="D243" s="1306">
        <v>2418</v>
      </c>
      <c r="E243" s="246" t="s">
        <v>3096</v>
      </c>
      <c r="F243" s="246" t="s">
        <v>3097</v>
      </c>
      <c r="G243" s="679">
        <v>3192</v>
      </c>
      <c r="H243" s="246" t="s">
        <v>3098</v>
      </c>
      <c r="I243" s="246" t="s">
        <v>881</v>
      </c>
      <c r="J243" s="648" t="s">
        <v>30</v>
      </c>
      <c r="K243" s="649" t="s">
        <v>29</v>
      </c>
      <c r="L243" s="1063">
        <v>0.6</v>
      </c>
      <c r="M243" s="1060" t="s">
        <v>2624</v>
      </c>
      <c r="N243" s="1061" t="s">
        <v>2625</v>
      </c>
      <c r="O243" s="1062"/>
      <c r="P243" s="1062">
        <v>789737.85000000009</v>
      </c>
      <c r="Q243" s="1063">
        <v>0.1</v>
      </c>
      <c r="R243" s="1062"/>
      <c r="S243" s="222">
        <f t="shared" si="6"/>
        <v>0</v>
      </c>
      <c r="T243" s="263">
        <f t="shared" si="7"/>
        <v>0</v>
      </c>
      <c r="U243" s="687" t="s">
        <v>34</v>
      </c>
      <c r="V243" s="1147"/>
      <c r="W243" s="649"/>
    </row>
    <row r="244" spans="1:23" ht="22.95" customHeight="1" x14ac:dyDescent="0.4">
      <c r="A244" s="788">
        <v>243</v>
      </c>
      <c r="B244" s="210" t="s">
        <v>2616</v>
      </c>
      <c r="C244" s="648" t="s">
        <v>24</v>
      </c>
      <c r="D244" s="1306">
        <v>2418</v>
      </c>
      <c r="E244" s="246" t="s">
        <v>3096</v>
      </c>
      <c r="F244" s="246" t="s">
        <v>3097</v>
      </c>
      <c r="G244" s="679">
        <v>3192</v>
      </c>
      <c r="H244" s="246" t="s">
        <v>3098</v>
      </c>
      <c r="I244" s="246" t="s">
        <v>881</v>
      </c>
      <c r="J244" s="648" t="s">
        <v>30</v>
      </c>
      <c r="K244" s="649" t="s">
        <v>29</v>
      </c>
      <c r="L244" s="1063">
        <v>0.6</v>
      </c>
      <c r="M244" s="1060" t="s">
        <v>2626</v>
      </c>
      <c r="N244" s="1061" t="s">
        <v>2627</v>
      </c>
      <c r="O244" s="1062"/>
      <c r="P244" s="1062">
        <v>1406879.4938896229</v>
      </c>
      <c r="Q244" s="1063">
        <v>0.05</v>
      </c>
      <c r="R244" s="1062"/>
      <c r="S244" s="222">
        <f t="shared" si="6"/>
        <v>0</v>
      </c>
      <c r="T244" s="263">
        <f t="shared" si="7"/>
        <v>0</v>
      </c>
      <c r="U244" s="687" t="s">
        <v>34</v>
      </c>
      <c r="V244" s="1147"/>
      <c r="W244" s="649"/>
    </row>
    <row r="245" spans="1:23" ht="22.95" customHeight="1" x14ac:dyDescent="0.4">
      <c r="A245" s="788">
        <v>244</v>
      </c>
      <c r="B245" s="210" t="s">
        <v>2616</v>
      </c>
      <c r="C245" s="648" t="s">
        <v>24</v>
      </c>
      <c r="D245" s="1306">
        <v>2418</v>
      </c>
      <c r="E245" s="246" t="s">
        <v>3096</v>
      </c>
      <c r="F245" s="246" t="s">
        <v>3097</v>
      </c>
      <c r="G245" s="679">
        <v>3192</v>
      </c>
      <c r="H245" s="246" t="s">
        <v>3098</v>
      </c>
      <c r="I245" s="246" t="s">
        <v>881</v>
      </c>
      <c r="J245" s="648" t="s">
        <v>30</v>
      </c>
      <c r="K245" s="649" t="s">
        <v>29</v>
      </c>
      <c r="L245" s="1063">
        <v>0.6</v>
      </c>
      <c r="M245" s="1060" t="s">
        <v>2628</v>
      </c>
      <c r="N245" s="1061" t="s">
        <v>2629</v>
      </c>
      <c r="O245" s="1062"/>
      <c r="P245" s="1062">
        <v>48608.249727263406</v>
      </c>
      <c r="Q245" s="1063">
        <v>0.01</v>
      </c>
      <c r="R245" s="1062"/>
      <c r="S245" s="222">
        <f t="shared" si="6"/>
        <v>0</v>
      </c>
      <c r="T245" s="263">
        <f t="shared" si="7"/>
        <v>0</v>
      </c>
      <c r="U245" s="687" t="s">
        <v>34</v>
      </c>
      <c r="V245" s="1147"/>
      <c r="W245" s="649"/>
    </row>
    <row r="246" spans="1:23" ht="22.95" customHeight="1" x14ac:dyDescent="0.4">
      <c r="A246" s="788">
        <v>245</v>
      </c>
      <c r="B246" s="210" t="s">
        <v>2616</v>
      </c>
      <c r="C246" s="648" t="s">
        <v>24</v>
      </c>
      <c r="D246" s="1306">
        <v>2418</v>
      </c>
      <c r="E246" s="246" t="s">
        <v>3096</v>
      </c>
      <c r="F246" s="246" t="s">
        <v>3097</v>
      </c>
      <c r="G246" s="679">
        <v>3192</v>
      </c>
      <c r="H246" s="246" t="s">
        <v>3098</v>
      </c>
      <c r="I246" s="246" t="s">
        <v>881</v>
      </c>
      <c r="J246" s="648" t="s">
        <v>30</v>
      </c>
      <c r="K246" s="649" t="s">
        <v>29</v>
      </c>
      <c r="L246" s="1063">
        <v>0.6</v>
      </c>
      <c r="M246" s="1060" t="s">
        <v>2630</v>
      </c>
      <c r="N246" s="1061" t="s">
        <v>2631</v>
      </c>
      <c r="O246" s="1062"/>
      <c r="P246" s="1062">
        <v>48600000</v>
      </c>
      <c r="Q246" s="1063">
        <v>0.03</v>
      </c>
      <c r="R246" s="1062"/>
      <c r="S246" s="222">
        <f t="shared" si="6"/>
        <v>0</v>
      </c>
      <c r="T246" s="263">
        <f t="shared" si="7"/>
        <v>0</v>
      </c>
      <c r="U246" s="687" t="s">
        <v>34</v>
      </c>
      <c r="V246" s="1147"/>
      <c r="W246" s="649"/>
    </row>
    <row r="247" spans="1:23" ht="22.95" customHeight="1" x14ac:dyDescent="0.4">
      <c r="A247" s="788">
        <v>246</v>
      </c>
      <c r="B247" s="210" t="s">
        <v>2616</v>
      </c>
      <c r="C247" s="648" t="s">
        <v>24</v>
      </c>
      <c r="D247" s="1306">
        <v>2418</v>
      </c>
      <c r="E247" s="246" t="s">
        <v>3096</v>
      </c>
      <c r="F247" s="246" t="s">
        <v>3097</v>
      </c>
      <c r="G247" s="679">
        <v>3192</v>
      </c>
      <c r="H247" s="246" t="s">
        <v>3098</v>
      </c>
      <c r="I247" s="246" t="s">
        <v>881</v>
      </c>
      <c r="J247" s="648" t="s">
        <v>30</v>
      </c>
      <c r="K247" s="649" t="s">
        <v>29</v>
      </c>
      <c r="L247" s="1063">
        <v>0.6</v>
      </c>
      <c r="M247" s="1060" t="s">
        <v>41</v>
      </c>
      <c r="N247" s="1061" t="s">
        <v>2632</v>
      </c>
      <c r="O247" s="1062"/>
      <c r="P247" s="1062">
        <v>98000</v>
      </c>
      <c r="Q247" s="1063">
        <v>0.01</v>
      </c>
      <c r="R247" s="1062"/>
      <c r="S247" s="222">
        <f t="shared" si="6"/>
        <v>0</v>
      </c>
      <c r="T247" s="263">
        <f t="shared" si="7"/>
        <v>0</v>
      </c>
      <c r="U247" s="687" t="s">
        <v>34</v>
      </c>
      <c r="V247" s="1147"/>
      <c r="W247" s="649"/>
    </row>
    <row r="248" spans="1:23" ht="22.95" customHeight="1" x14ac:dyDescent="0.4">
      <c r="A248" s="788">
        <v>247</v>
      </c>
      <c r="B248" s="210" t="s">
        <v>2616</v>
      </c>
      <c r="C248" s="648" t="s">
        <v>24</v>
      </c>
      <c r="D248" s="1306">
        <v>2418</v>
      </c>
      <c r="E248" s="246" t="s">
        <v>3096</v>
      </c>
      <c r="F248" s="246" t="s">
        <v>3097</v>
      </c>
      <c r="G248" s="679">
        <v>3192</v>
      </c>
      <c r="H248" s="246" t="s">
        <v>3098</v>
      </c>
      <c r="I248" s="246" t="s">
        <v>881</v>
      </c>
      <c r="J248" s="648" t="s">
        <v>30</v>
      </c>
      <c r="K248" s="649" t="s">
        <v>29</v>
      </c>
      <c r="L248" s="1063">
        <v>0.6</v>
      </c>
      <c r="M248" s="1060" t="s">
        <v>2633</v>
      </c>
      <c r="N248" s="1061" t="s">
        <v>2634</v>
      </c>
      <c r="O248" s="1062"/>
      <c r="P248" s="1062">
        <v>42860.330649873424</v>
      </c>
      <c r="Q248" s="1063">
        <v>0.02</v>
      </c>
      <c r="R248" s="1062"/>
      <c r="S248" s="222">
        <f t="shared" si="6"/>
        <v>0</v>
      </c>
      <c r="T248" s="263">
        <f t="shared" si="7"/>
        <v>0</v>
      </c>
      <c r="U248" s="687" t="s">
        <v>34</v>
      </c>
      <c r="V248" s="1147"/>
      <c r="W248" s="649"/>
    </row>
    <row r="249" spans="1:23" ht="22.95" customHeight="1" x14ac:dyDescent="0.4">
      <c r="A249" s="788">
        <v>248</v>
      </c>
      <c r="B249" s="210" t="s">
        <v>2616</v>
      </c>
      <c r="C249" s="648" t="s">
        <v>24</v>
      </c>
      <c r="D249" s="1306">
        <v>2418</v>
      </c>
      <c r="E249" s="246" t="s">
        <v>3096</v>
      </c>
      <c r="F249" s="246" t="s">
        <v>3097</v>
      </c>
      <c r="G249" s="679">
        <v>3192</v>
      </c>
      <c r="H249" s="246" t="s">
        <v>3098</v>
      </c>
      <c r="I249" s="246" t="s">
        <v>881</v>
      </c>
      <c r="J249" s="648" t="s">
        <v>30</v>
      </c>
      <c r="K249" s="649" t="s">
        <v>29</v>
      </c>
      <c r="L249" s="1063">
        <v>0.6</v>
      </c>
      <c r="M249" s="1060" t="s">
        <v>2635</v>
      </c>
      <c r="N249" s="1061" t="s">
        <v>2636</v>
      </c>
      <c r="O249" s="1062"/>
      <c r="P249" s="1062">
        <v>1822851.8475738494</v>
      </c>
      <c r="Q249" s="1063">
        <v>0.15</v>
      </c>
      <c r="R249" s="1062"/>
      <c r="S249" s="222">
        <f t="shared" si="6"/>
        <v>0</v>
      </c>
      <c r="T249" s="263">
        <f t="shared" si="7"/>
        <v>0</v>
      </c>
      <c r="U249" s="687" t="s">
        <v>34</v>
      </c>
      <c r="V249" s="1147"/>
      <c r="W249" s="649"/>
    </row>
    <row r="250" spans="1:23" ht="22.95" customHeight="1" x14ac:dyDescent="0.4">
      <c r="A250" s="788">
        <v>249</v>
      </c>
      <c r="B250" s="210" t="s">
        <v>2616</v>
      </c>
      <c r="C250" s="648" t="s">
        <v>24</v>
      </c>
      <c r="D250" s="1306">
        <v>2418</v>
      </c>
      <c r="E250" s="246" t="s">
        <v>3096</v>
      </c>
      <c r="F250" s="246" t="s">
        <v>3097</v>
      </c>
      <c r="G250" s="679">
        <v>3192</v>
      </c>
      <c r="H250" s="246" t="s">
        <v>3098</v>
      </c>
      <c r="I250" s="246" t="s">
        <v>881</v>
      </c>
      <c r="J250" s="648" t="s">
        <v>30</v>
      </c>
      <c r="K250" s="649" t="s">
        <v>29</v>
      </c>
      <c r="L250" s="1063">
        <v>0.6</v>
      </c>
      <c r="M250" s="1060" t="s">
        <v>2637</v>
      </c>
      <c r="N250" s="1061" t="s">
        <v>2638</v>
      </c>
      <c r="O250" s="1062"/>
      <c r="P250" s="1062">
        <v>632149.86058619968</v>
      </c>
      <c r="Q250" s="1063">
        <v>0.1</v>
      </c>
      <c r="R250" s="1062"/>
      <c r="S250" s="222">
        <f t="shared" si="6"/>
        <v>0</v>
      </c>
      <c r="T250" s="263">
        <f t="shared" si="7"/>
        <v>0</v>
      </c>
      <c r="U250" s="687" t="s">
        <v>34</v>
      </c>
      <c r="V250" s="1147"/>
      <c r="W250" s="649"/>
    </row>
    <row r="251" spans="1:23" ht="22.95" customHeight="1" x14ac:dyDescent="0.4">
      <c r="A251" s="788">
        <v>250</v>
      </c>
      <c r="B251" s="210" t="s">
        <v>2616</v>
      </c>
      <c r="C251" s="648" t="s">
        <v>24</v>
      </c>
      <c r="D251" s="1306">
        <v>2418</v>
      </c>
      <c r="E251" s="246" t="s">
        <v>3096</v>
      </c>
      <c r="F251" s="246" t="s">
        <v>3097</v>
      </c>
      <c r="G251" s="679">
        <v>3192</v>
      </c>
      <c r="H251" s="246" t="s">
        <v>3098</v>
      </c>
      <c r="I251" s="246" t="s">
        <v>881</v>
      </c>
      <c r="J251" s="648" t="s">
        <v>30</v>
      </c>
      <c r="K251" s="649" t="s">
        <v>29</v>
      </c>
      <c r="L251" s="1063">
        <v>0.6</v>
      </c>
      <c r="M251" s="1060" t="s">
        <v>2639</v>
      </c>
      <c r="N251" s="1061" t="s">
        <v>2640</v>
      </c>
      <c r="O251" s="1062"/>
      <c r="P251" s="1062">
        <v>1582673.167066941</v>
      </c>
      <c r="Q251" s="1063">
        <v>0.05</v>
      </c>
      <c r="R251" s="1062"/>
      <c r="S251" s="222">
        <f t="shared" si="6"/>
        <v>0</v>
      </c>
      <c r="T251" s="263">
        <f t="shared" si="7"/>
        <v>0</v>
      </c>
      <c r="U251" s="687" t="s">
        <v>34</v>
      </c>
      <c r="V251" s="1147"/>
      <c r="W251" s="649"/>
    </row>
    <row r="252" spans="1:23" ht="22.95" customHeight="1" x14ac:dyDescent="0.4">
      <c r="A252" s="788">
        <v>251</v>
      </c>
      <c r="B252" s="210" t="s">
        <v>2616</v>
      </c>
      <c r="C252" s="648" t="s">
        <v>24</v>
      </c>
      <c r="D252" s="1306">
        <v>2418</v>
      </c>
      <c r="E252" s="246" t="s">
        <v>3096</v>
      </c>
      <c r="F252" s="246" t="s">
        <v>3097</v>
      </c>
      <c r="G252" s="679">
        <v>3192</v>
      </c>
      <c r="H252" s="246" t="s">
        <v>3098</v>
      </c>
      <c r="I252" s="246" t="s">
        <v>881</v>
      </c>
      <c r="J252" s="648" t="s">
        <v>30</v>
      </c>
      <c r="K252" s="649" t="s">
        <v>29</v>
      </c>
      <c r="L252" s="1063">
        <v>0.6</v>
      </c>
      <c r="M252" s="1060" t="s">
        <v>2641</v>
      </c>
      <c r="N252" s="1061" t="s">
        <v>2642</v>
      </c>
      <c r="O252" s="1062"/>
      <c r="P252" s="1062">
        <v>52500</v>
      </c>
      <c r="Q252" s="1063">
        <v>0.01</v>
      </c>
      <c r="R252" s="1062"/>
      <c r="S252" s="222">
        <f t="shared" si="6"/>
        <v>0</v>
      </c>
      <c r="T252" s="263">
        <f t="shared" si="7"/>
        <v>0</v>
      </c>
      <c r="U252" s="687" t="s">
        <v>34</v>
      </c>
      <c r="V252" s="1147"/>
      <c r="W252" s="649"/>
    </row>
    <row r="253" spans="1:23" ht="22.95" customHeight="1" x14ac:dyDescent="0.4">
      <c r="A253" s="788">
        <v>252</v>
      </c>
      <c r="B253" s="210" t="s">
        <v>2616</v>
      </c>
      <c r="C253" s="648" t="s">
        <v>24</v>
      </c>
      <c r="D253" s="1306">
        <v>2418</v>
      </c>
      <c r="E253" s="246" t="s">
        <v>3096</v>
      </c>
      <c r="F253" s="246" t="s">
        <v>3097</v>
      </c>
      <c r="G253" s="679">
        <v>3192</v>
      </c>
      <c r="H253" s="246" t="s">
        <v>3098</v>
      </c>
      <c r="I253" s="246" t="s">
        <v>881</v>
      </c>
      <c r="J253" s="648" t="s">
        <v>30</v>
      </c>
      <c r="K253" s="649" t="s">
        <v>29</v>
      </c>
      <c r="L253" s="1063">
        <v>0.6</v>
      </c>
      <c r="M253" s="1060" t="s">
        <v>2643</v>
      </c>
      <c r="N253" s="1061" t="s">
        <v>2644</v>
      </c>
      <c r="O253" s="1062"/>
      <c r="P253" s="1062">
        <v>28325616.5089917</v>
      </c>
      <c r="Q253" s="1063">
        <v>0.03</v>
      </c>
      <c r="R253" s="1062"/>
      <c r="S253" s="222">
        <f t="shared" si="6"/>
        <v>0</v>
      </c>
      <c r="T253" s="263">
        <f t="shared" si="7"/>
        <v>0</v>
      </c>
      <c r="U253" s="687" t="s">
        <v>34</v>
      </c>
      <c r="V253" s="1147"/>
      <c r="W253" s="649"/>
    </row>
    <row r="254" spans="1:23" ht="22.95" customHeight="1" x14ac:dyDescent="0.4">
      <c r="A254" s="788">
        <v>253</v>
      </c>
      <c r="B254" s="210" t="s">
        <v>2616</v>
      </c>
      <c r="C254" s="648" t="s">
        <v>24</v>
      </c>
      <c r="D254" s="1306">
        <v>2418</v>
      </c>
      <c r="E254" s="246" t="s">
        <v>3096</v>
      </c>
      <c r="F254" s="246" t="s">
        <v>3097</v>
      </c>
      <c r="G254" s="679">
        <v>3192</v>
      </c>
      <c r="H254" s="246" t="s">
        <v>3098</v>
      </c>
      <c r="I254" s="246" t="s">
        <v>881</v>
      </c>
      <c r="J254" s="648" t="s">
        <v>30</v>
      </c>
      <c r="K254" s="649" t="s">
        <v>29</v>
      </c>
      <c r="L254" s="1063">
        <v>0.6</v>
      </c>
      <c r="M254" s="1060" t="s">
        <v>51</v>
      </c>
      <c r="N254" s="1061" t="s">
        <v>2645</v>
      </c>
      <c r="O254" s="1062"/>
      <c r="P254" s="1062">
        <v>350000</v>
      </c>
      <c r="Q254" s="1063">
        <v>0.01</v>
      </c>
      <c r="R254" s="1062"/>
      <c r="S254" s="222">
        <f t="shared" si="6"/>
        <v>0</v>
      </c>
      <c r="T254" s="263">
        <f t="shared" si="7"/>
        <v>0</v>
      </c>
      <c r="U254" s="687" t="s">
        <v>34</v>
      </c>
      <c r="V254" s="1147"/>
      <c r="W254" s="649"/>
    </row>
    <row r="255" spans="1:23" ht="22.95" customHeight="1" x14ac:dyDescent="0.4">
      <c r="A255" s="788">
        <v>254</v>
      </c>
      <c r="B255" s="210" t="s">
        <v>2616</v>
      </c>
      <c r="C255" s="648" t="s">
        <v>24</v>
      </c>
      <c r="D255" s="1306">
        <v>2418</v>
      </c>
      <c r="E255" s="246" t="s">
        <v>3096</v>
      </c>
      <c r="F255" s="246" t="s">
        <v>3097</v>
      </c>
      <c r="G255" s="679">
        <v>3192</v>
      </c>
      <c r="H255" s="246" t="s">
        <v>3098</v>
      </c>
      <c r="I255" s="246" t="s">
        <v>881</v>
      </c>
      <c r="J255" s="648" t="s">
        <v>30</v>
      </c>
      <c r="K255" s="649" t="s">
        <v>29</v>
      </c>
      <c r="L255" s="1063">
        <v>0.6</v>
      </c>
      <c r="M255" s="1060" t="s">
        <v>2646</v>
      </c>
      <c r="N255" s="1061" t="s">
        <v>2647</v>
      </c>
      <c r="O255" s="1062"/>
      <c r="P255" s="1062">
        <v>12008.568758934001</v>
      </c>
      <c r="Q255" s="1063">
        <v>0.01</v>
      </c>
      <c r="R255" s="1062"/>
      <c r="S255" s="222">
        <f t="shared" si="6"/>
        <v>0</v>
      </c>
      <c r="T255" s="263">
        <f t="shared" si="7"/>
        <v>0</v>
      </c>
      <c r="U255" s="687" t="s">
        <v>34</v>
      </c>
      <c r="V255" s="1147"/>
      <c r="W255" s="649"/>
    </row>
    <row r="256" spans="1:23" ht="22.95" customHeight="1" x14ac:dyDescent="0.4">
      <c r="A256" s="788">
        <v>255</v>
      </c>
      <c r="B256" s="210" t="s">
        <v>2616</v>
      </c>
      <c r="C256" s="648" t="s">
        <v>24</v>
      </c>
      <c r="D256" s="1306">
        <v>2418</v>
      </c>
      <c r="E256" s="246" t="s">
        <v>3096</v>
      </c>
      <c r="F256" s="246" t="s">
        <v>3097</v>
      </c>
      <c r="G256" s="679">
        <v>3192</v>
      </c>
      <c r="H256" s="246" t="s">
        <v>3098</v>
      </c>
      <c r="I256" s="246" t="s">
        <v>881</v>
      </c>
      <c r="J256" s="648" t="s">
        <v>30</v>
      </c>
      <c r="K256" s="649" t="s">
        <v>29</v>
      </c>
      <c r="L256" s="1063">
        <v>0.6</v>
      </c>
      <c r="M256" s="1060" t="s">
        <v>2648</v>
      </c>
      <c r="N256" s="1061" t="s">
        <v>2649</v>
      </c>
      <c r="O256" s="799"/>
      <c r="P256" s="1065">
        <v>0.25021096971668699</v>
      </c>
      <c r="Q256" s="1063">
        <v>0.1</v>
      </c>
      <c r="R256" s="1065"/>
      <c r="S256" s="222">
        <f t="shared" si="6"/>
        <v>0</v>
      </c>
      <c r="T256" s="263">
        <f t="shared" si="7"/>
        <v>0</v>
      </c>
      <c r="U256" s="687" t="s">
        <v>34</v>
      </c>
      <c r="V256" s="1147"/>
      <c r="W256" s="649"/>
    </row>
    <row r="257" spans="1:23" ht="22.95" customHeight="1" x14ac:dyDescent="0.4">
      <c r="A257" s="788">
        <v>256</v>
      </c>
      <c r="B257" s="210" t="s">
        <v>2616</v>
      </c>
      <c r="C257" s="648" t="s">
        <v>24</v>
      </c>
      <c r="D257" s="1306">
        <v>2418</v>
      </c>
      <c r="E257" s="246" t="s">
        <v>3096</v>
      </c>
      <c r="F257" s="246" t="s">
        <v>3097</v>
      </c>
      <c r="G257" s="679">
        <v>3192</v>
      </c>
      <c r="H257" s="246" t="s">
        <v>3098</v>
      </c>
      <c r="I257" s="246" t="s">
        <v>881</v>
      </c>
      <c r="J257" s="648" t="s">
        <v>30</v>
      </c>
      <c r="K257" s="649" t="s">
        <v>29</v>
      </c>
      <c r="L257" s="1063">
        <v>0.6</v>
      </c>
      <c r="M257" s="1060" t="s">
        <v>2650</v>
      </c>
      <c r="N257" s="1061" t="s">
        <v>2651</v>
      </c>
      <c r="O257" s="799"/>
      <c r="P257" s="1065">
        <v>0.12657225245499898</v>
      </c>
      <c r="Q257" s="1063">
        <v>7.0000000000000007E-2</v>
      </c>
      <c r="R257" s="1065"/>
      <c r="S257" s="222">
        <f t="shared" si="6"/>
        <v>0</v>
      </c>
      <c r="T257" s="263">
        <f t="shared" si="7"/>
        <v>0</v>
      </c>
      <c r="U257" s="687" t="s">
        <v>34</v>
      </c>
      <c r="V257" s="1147"/>
      <c r="W257" s="649"/>
    </row>
    <row r="258" spans="1:23" ht="22.95" customHeight="1" x14ac:dyDescent="0.4">
      <c r="A258" s="788">
        <v>257</v>
      </c>
      <c r="B258" s="210" t="s">
        <v>2616</v>
      </c>
      <c r="C258" s="648" t="s">
        <v>24</v>
      </c>
      <c r="D258" s="1306">
        <v>2418</v>
      </c>
      <c r="E258" s="246" t="s">
        <v>3096</v>
      </c>
      <c r="F258" s="246" t="s">
        <v>3097</v>
      </c>
      <c r="G258" s="679">
        <v>3192</v>
      </c>
      <c r="H258" s="246" t="s">
        <v>3098</v>
      </c>
      <c r="I258" s="246" t="s">
        <v>881</v>
      </c>
      <c r="J258" s="79" t="s">
        <v>58</v>
      </c>
      <c r="K258" s="79" t="s">
        <v>57</v>
      </c>
      <c r="L258" s="1196">
        <v>0.15</v>
      </c>
      <c r="M258" s="756"/>
      <c r="N258" s="858" t="s">
        <v>3099</v>
      </c>
      <c r="O258" s="840"/>
      <c r="P258" s="1321">
        <v>500000000000</v>
      </c>
      <c r="Q258" s="1322">
        <v>0.25</v>
      </c>
      <c r="R258" s="1321"/>
      <c r="S258" s="647">
        <f t="shared" ref="S258:S321" si="8">ROUND(IF(OR(P258="",R258=""),0,IF(AND(P258=0,R258=0),1,IF(U258="+",R258/P258,P258/R258))),2)</f>
        <v>0</v>
      </c>
      <c r="T258" s="207">
        <f t="shared" ref="T258:T321" si="9">IF(AND(S258&gt;=60%,S258&lt;100%),S258*((Q258*L258)),IF(S258=100%,((Q258*L258)*S258)*100%,IF(S258&gt;100%,((L258*Q258)*100%)*100%,0)))*100</f>
        <v>0</v>
      </c>
      <c r="U258" s="208" t="s">
        <v>34</v>
      </c>
      <c r="V258" s="1203"/>
      <c r="W258" s="649"/>
    </row>
    <row r="259" spans="1:23" ht="22.95" customHeight="1" x14ac:dyDescent="0.4">
      <c r="A259" s="788">
        <v>258</v>
      </c>
      <c r="B259" s="210" t="s">
        <v>2616</v>
      </c>
      <c r="C259" s="648" t="s">
        <v>24</v>
      </c>
      <c r="D259" s="1306">
        <v>2418</v>
      </c>
      <c r="E259" s="246" t="s">
        <v>3096</v>
      </c>
      <c r="F259" s="246" t="s">
        <v>3097</v>
      </c>
      <c r="G259" s="679">
        <v>3192</v>
      </c>
      <c r="H259" s="246" t="s">
        <v>3098</v>
      </c>
      <c r="I259" s="246" t="s">
        <v>881</v>
      </c>
      <c r="J259" s="79" t="s">
        <v>58</v>
      </c>
      <c r="K259" s="79" t="s">
        <v>57</v>
      </c>
      <c r="L259" s="1196">
        <v>0.15</v>
      </c>
      <c r="M259" s="756"/>
      <c r="N259" s="1323" t="s">
        <v>3100</v>
      </c>
      <c r="O259" s="840"/>
      <c r="P259" s="207">
        <v>15</v>
      </c>
      <c r="Q259" s="1324">
        <v>0.15</v>
      </c>
      <c r="R259" s="207"/>
      <c r="S259" s="647">
        <f t="shared" si="8"/>
        <v>0</v>
      </c>
      <c r="T259" s="207">
        <f t="shared" si="9"/>
        <v>0</v>
      </c>
      <c r="U259" s="208" t="s">
        <v>83</v>
      </c>
      <c r="V259" s="1203"/>
      <c r="W259" s="649"/>
    </row>
    <row r="260" spans="1:23" ht="22.95" customHeight="1" x14ac:dyDescent="0.4">
      <c r="A260" s="788">
        <v>259</v>
      </c>
      <c r="B260" s="210" t="s">
        <v>2616</v>
      </c>
      <c r="C260" s="648" t="s">
        <v>24</v>
      </c>
      <c r="D260" s="1306">
        <v>2418</v>
      </c>
      <c r="E260" s="246" t="s">
        <v>3096</v>
      </c>
      <c r="F260" s="246" t="s">
        <v>3097</v>
      </c>
      <c r="G260" s="679">
        <v>3192</v>
      </c>
      <c r="H260" s="246" t="s">
        <v>3098</v>
      </c>
      <c r="I260" s="246" t="s">
        <v>881</v>
      </c>
      <c r="J260" s="79" t="s">
        <v>58</v>
      </c>
      <c r="K260" s="79" t="s">
        <v>57</v>
      </c>
      <c r="L260" s="1196">
        <v>0.15</v>
      </c>
      <c r="M260" s="756"/>
      <c r="N260" s="858" t="s">
        <v>3101</v>
      </c>
      <c r="O260" s="840"/>
      <c r="P260" s="206">
        <v>0.75</v>
      </c>
      <c r="Q260" s="1324">
        <v>0.2</v>
      </c>
      <c r="R260" s="206"/>
      <c r="S260" s="647">
        <f t="shared" si="8"/>
        <v>0</v>
      </c>
      <c r="T260" s="207">
        <f t="shared" si="9"/>
        <v>0</v>
      </c>
      <c r="U260" s="208" t="s">
        <v>34</v>
      </c>
      <c r="V260" s="1203"/>
      <c r="W260" s="649"/>
    </row>
    <row r="261" spans="1:23" ht="22.95" customHeight="1" x14ac:dyDescent="0.4">
      <c r="A261" s="788">
        <v>260</v>
      </c>
      <c r="B261" s="210" t="s">
        <v>2616</v>
      </c>
      <c r="C261" s="648" t="s">
        <v>24</v>
      </c>
      <c r="D261" s="1306">
        <v>2418</v>
      </c>
      <c r="E261" s="246" t="s">
        <v>3096</v>
      </c>
      <c r="F261" s="246" t="s">
        <v>3097</v>
      </c>
      <c r="G261" s="679">
        <v>3192</v>
      </c>
      <c r="H261" s="246" t="s">
        <v>3098</v>
      </c>
      <c r="I261" s="246" t="s">
        <v>881</v>
      </c>
      <c r="J261" s="79" t="s">
        <v>58</v>
      </c>
      <c r="K261" s="79" t="s">
        <v>57</v>
      </c>
      <c r="L261" s="1196">
        <v>0.15</v>
      </c>
      <c r="M261" s="756"/>
      <c r="N261" s="858" t="s">
        <v>3102</v>
      </c>
      <c r="O261" s="840"/>
      <c r="P261" s="206">
        <v>0.4</v>
      </c>
      <c r="Q261" s="1324">
        <v>0.1</v>
      </c>
      <c r="R261" s="206"/>
      <c r="S261" s="647">
        <f t="shared" si="8"/>
        <v>0</v>
      </c>
      <c r="T261" s="207">
        <f t="shared" si="9"/>
        <v>0</v>
      </c>
      <c r="U261" s="208" t="s">
        <v>83</v>
      </c>
      <c r="V261" s="1203"/>
      <c r="W261" s="649"/>
    </row>
    <row r="262" spans="1:23" ht="22.95" customHeight="1" x14ac:dyDescent="0.4">
      <c r="A262" s="788">
        <v>261</v>
      </c>
      <c r="B262" s="210" t="s">
        <v>2616</v>
      </c>
      <c r="C262" s="648" t="s">
        <v>24</v>
      </c>
      <c r="D262" s="1306">
        <v>2418</v>
      </c>
      <c r="E262" s="246" t="s">
        <v>3096</v>
      </c>
      <c r="F262" s="246" t="s">
        <v>3097</v>
      </c>
      <c r="G262" s="679">
        <v>3192</v>
      </c>
      <c r="H262" s="246" t="s">
        <v>3098</v>
      </c>
      <c r="I262" s="246" t="s">
        <v>881</v>
      </c>
      <c r="J262" s="79" t="s">
        <v>58</v>
      </c>
      <c r="K262" s="79" t="s">
        <v>57</v>
      </c>
      <c r="L262" s="1196">
        <v>0.15</v>
      </c>
      <c r="M262" s="757"/>
      <c r="N262" s="858" t="s">
        <v>3103</v>
      </c>
      <c r="O262" s="840"/>
      <c r="P262" s="207">
        <v>3</v>
      </c>
      <c r="Q262" s="1324">
        <v>0.2</v>
      </c>
      <c r="R262" s="207"/>
      <c r="S262" s="647">
        <f t="shared" si="8"/>
        <v>0</v>
      </c>
      <c r="T262" s="207">
        <f t="shared" si="9"/>
        <v>0</v>
      </c>
      <c r="U262" s="208" t="s">
        <v>34</v>
      </c>
      <c r="V262" s="1203"/>
      <c r="W262" s="649"/>
    </row>
    <row r="263" spans="1:23" ht="22.95" customHeight="1" x14ac:dyDescent="0.4">
      <c r="A263" s="788">
        <v>262</v>
      </c>
      <c r="B263" s="210" t="s">
        <v>2616</v>
      </c>
      <c r="C263" s="648" t="s">
        <v>24</v>
      </c>
      <c r="D263" s="1306">
        <v>2418</v>
      </c>
      <c r="E263" s="246" t="s">
        <v>3096</v>
      </c>
      <c r="F263" s="246" t="s">
        <v>3097</v>
      </c>
      <c r="G263" s="679">
        <v>3192</v>
      </c>
      <c r="H263" s="246" t="s">
        <v>3098</v>
      </c>
      <c r="I263" s="246" t="s">
        <v>881</v>
      </c>
      <c r="J263" s="79" t="s">
        <v>58</v>
      </c>
      <c r="K263" s="79" t="s">
        <v>57</v>
      </c>
      <c r="L263" s="1196">
        <v>0.15</v>
      </c>
      <c r="M263" s="757"/>
      <c r="N263" s="858" t="s">
        <v>3104</v>
      </c>
      <c r="O263" s="840"/>
      <c r="P263" s="206">
        <v>0.7</v>
      </c>
      <c r="Q263" s="1324">
        <v>0.1</v>
      </c>
      <c r="R263" s="206"/>
      <c r="S263" s="647">
        <f t="shared" si="8"/>
        <v>0</v>
      </c>
      <c r="T263" s="207">
        <f t="shared" si="9"/>
        <v>0</v>
      </c>
      <c r="U263" s="208" t="s">
        <v>83</v>
      </c>
      <c r="V263" s="1203"/>
      <c r="W263" s="649"/>
    </row>
    <row r="264" spans="1:23" ht="22.95" customHeight="1" x14ac:dyDescent="0.4">
      <c r="A264" s="788">
        <v>263</v>
      </c>
      <c r="B264" s="210" t="s">
        <v>2616</v>
      </c>
      <c r="C264" s="648" t="s">
        <v>24</v>
      </c>
      <c r="D264" s="1306">
        <v>2418</v>
      </c>
      <c r="E264" s="246" t="s">
        <v>3096</v>
      </c>
      <c r="F264" s="246" t="s">
        <v>3097</v>
      </c>
      <c r="G264" s="679">
        <v>3192</v>
      </c>
      <c r="H264" s="246" t="s">
        <v>3098</v>
      </c>
      <c r="I264" s="246" t="s">
        <v>881</v>
      </c>
      <c r="J264" s="253" t="s">
        <v>111</v>
      </c>
      <c r="K264" s="253" t="s">
        <v>110</v>
      </c>
      <c r="L264" s="1209">
        <v>0.25</v>
      </c>
      <c r="M264" s="827"/>
      <c r="N264" s="1061" t="s">
        <v>3105</v>
      </c>
      <c r="O264" s="799"/>
      <c r="P264" s="216">
        <v>1</v>
      </c>
      <c r="Q264" s="1063">
        <v>0.15</v>
      </c>
      <c r="R264" s="216"/>
      <c r="S264" s="222">
        <f t="shared" si="8"/>
        <v>0</v>
      </c>
      <c r="T264" s="263">
        <f t="shared" si="9"/>
        <v>0</v>
      </c>
      <c r="U264" s="687" t="s">
        <v>34</v>
      </c>
      <c r="V264" s="1228"/>
      <c r="W264" s="649"/>
    </row>
    <row r="265" spans="1:23" ht="22.95" customHeight="1" x14ac:dyDescent="0.4">
      <c r="A265" s="788">
        <v>264</v>
      </c>
      <c r="B265" s="210" t="s">
        <v>2616</v>
      </c>
      <c r="C265" s="648" t="s">
        <v>24</v>
      </c>
      <c r="D265" s="1306">
        <v>2418</v>
      </c>
      <c r="E265" s="246" t="s">
        <v>3096</v>
      </c>
      <c r="F265" s="246" t="s">
        <v>3097</v>
      </c>
      <c r="G265" s="679">
        <v>3192</v>
      </c>
      <c r="H265" s="246" t="s">
        <v>3098</v>
      </c>
      <c r="I265" s="246" t="s">
        <v>881</v>
      </c>
      <c r="J265" s="253" t="s">
        <v>111</v>
      </c>
      <c r="K265" s="253" t="s">
        <v>110</v>
      </c>
      <c r="L265" s="1209">
        <v>0.25</v>
      </c>
      <c r="M265" s="827"/>
      <c r="N265" s="1061" t="s">
        <v>3106</v>
      </c>
      <c r="O265" s="799"/>
      <c r="P265" s="216">
        <v>1</v>
      </c>
      <c r="Q265" s="1063">
        <v>0.15</v>
      </c>
      <c r="R265" s="216"/>
      <c r="S265" s="222">
        <f t="shared" si="8"/>
        <v>0</v>
      </c>
      <c r="T265" s="263">
        <f t="shared" si="9"/>
        <v>0</v>
      </c>
      <c r="U265" s="687" t="s">
        <v>34</v>
      </c>
      <c r="V265" s="1228"/>
      <c r="W265" s="649"/>
    </row>
    <row r="266" spans="1:23" ht="22.95" customHeight="1" x14ac:dyDescent="0.4">
      <c r="A266" s="788">
        <v>265</v>
      </c>
      <c r="B266" s="210" t="s">
        <v>2616</v>
      </c>
      <c r="C266" s="648" t="s">
        <v>24</v>
      </c>
      <c r="D266" s="1306">
        <v>2418</v>
      </c>
      <c r="E266" s="246" t="s">
        <v>3096</v>
      </c>
      <c r="F266" s="246" t="s">
        <v>3097</v>
      </c>
      <c r="G266" s="679">
        <v>3192</v>
      </c>
      <c r="H266" s="246" t="s">
        <v>3098</v>
      </c>
      <c r="I266" s="246" t="s">
        <v>881</v>
      </c>
      <c r="J266" s="253" t="s">
        <v>111</v>
      </c>
      <c r="K266" s="253" t="s">
        <v>110</v>
      </c>
      <c r="L266" s="1209">
        <v>0.25</v>
      </c>
      <c r="M266" s="827"/>
      <c r="N266" s="1061" t="s">
        <v>3107</v>
      </c>
      <c r="O266" s="799"/>
      <c r="P266" s="216">
        <v>0.7</v>
      </c>
      <c r="Q266" s="1063">
        <v>0.15</v>
      </c>
      <c r="R266" s="216"/>
      <c r="S266" s="222">
        <f t="shared" si="8"/>
        <v>0</v>
      </c>
      <c r="T266" s="263">
        <f t="shared" si="9"/>
        <v>0</v>
      </c>
      <c r="U266" s="687" t="s">
        <v>34</v>
      </c>
      <c r="V266" s="1228"/>
      <c r="W266" s="649"/>
    </row>
    <row r="267" spans="1:23" ht="22.95" customHeight="1" x14ac:dyDescent="0.4">
      <c r="A267" s="788">
        <v>266</v>
      </c>
      <c r="B267" s="210" t="s">
        <v>2616</v>
      </c>
      <c r="C267" s="648" t="s">
        <v>24</v>
      </c>
      <c r="D267" s="1306">
        <v>2418</v>
      </c>
      <c r="E267" s="246" t="s">
        <v>3096</v>
      </c>
      <c r="F267" s="246" t="s">
        <v>3097</v>
      </c>
      <c r="G267" s="679">
        <v>3192</v>
      </c>
      <c r="H267" s="246" t="s">
        <v>3098</v>
      </c>
      <c r="I267" s="246" t="s">
        <v>881</v>
      </c>
      <c r="J267" s="253" t="s">
        <v>111</v>
      </c>
      <c r="K267" s="253" t="s">
        <v>110</v>
      </c>
      <c r="L267" s="1209">
        <v>0.25</v>
      </c>
      <c r="M267" s="827"/>
      <c r="N267" s="1061" t="s">
        <v>3108</v>
      </c>
      <c r="O267" s="799"/>
      <c r="P267" s="216">
        <v>1</v>
      </c>
      <c r="Q267" s="1063">
        <v>0.15</v>
      </c>
      <c r="R267" s="216"/>
      <c r="S267" s="222">
        <f t="shared" si="8"/>
        <v>0</v>
      </c>
      <c r="T267" s="263">
        <f t="shared" si="9"/>
        <v>0</v>
      </c>
      <c r="U267" s="687" t="s">
        <v>34</v>
      </c>
      <c r="V267" s="1228"/>
      <c r="W267" s="649"/>
    </row>
    <row r="268" spans="1:23" ht="22.95" customHeight="1" x14ac:dyDescent="0.4">
      <c r="A268" s="788">
        <v>267</v>
      </c>
      <c r="B268" s="210" t="s">
        <v>2616</v>
      </c>
      <c r="C268" s="648" t="s">
        <v>24</v>
      </c>
      <c r="D268" s="1306">
        <v>2418</v>
      </c>
      <c r="E268" s="246" t="s">
        <v>3096</v>
      </c>
      <c r="F268" s="246" t="s">
        <v>3097</v>
      </c>
      <c r="G268" s="679">
        <v>3192</v>
      </c>
      <c r="H268" s="246" t="s">
        <v>3098</v>
      </c>
      <c r="I268" s="246" t="s">
        <v>881</v>
      </c>
      <c r="J268" s="253" t="s">
        <v>111</v>
      </c>
      <c r="K268" s="253" t="s">
        <v>110</v>
      </c>
      <c r="L268" s="1209">
        <v>0.25</v>
      </c>
      <c r="M268" s="827"/>
      <c r="N268" s="1061" t="s">
        <v>3109</v>
      </c>
      <c r="O268" s="799"/>
      <c r="P268" s="216">
        <v>1</v>
      </c>
      <c r="Q268" s="1063">
        <v>0.1</v>
      </c>
      <c r="R268" s="216"/>
      <c r="S268" s="222">
        <f t="shared" si="8"/>
        <v>0</v>
      </c>
      <c r="T268" s="263">
        <f t="shared" si="9"/>
        <v>0</v>
      </c>
      <c r="U268" s="687" t="s">
        <v>34</v>
      </c>
      <c r="V268" s="1228"/>
      <c r="W268" s="649"/>
    </row>
    <row r="269" spans="1:23" ht="22.95" customHeight="1" x14ac:dyDescent="0.4">
      <c r="A269" s="788">
        <v>268</v>
      </c>
      <c r="B269" s="210" t="s">
        <v>2616</v>
      </c>
      <c r="C269" s="648" t="s">
        <v>24</v>
      </c>
      <c r="D269" s="1306">
        <v>2418</v>
      </c>
      <c r="E269" s="246" t="s">
        <v>3096</v>
      </c>
      <c r="F269" s="246" t="s">
        <v>3097</v>
      </c>
      <c r="G269" s="679">
        <v>3192</v>
      </c>
      <c r="H269" s="246" t="s">
        <v>3098</v>
      </c>
      <c r="I269" s="246" t="s">
        <v>881</v>
      </c>
      <c r="J269" s="253" t="s">
        <v>111</v>
      </c>
      <c r="K269" s="253" t="s">
        <v>110</v>
      </c>
      <c r="L269" s="1209">
        <v>0.25</v>
      </c>
      <c r="M269" s="827"/>
      <c r="N269" s="1061" t="s">
        <v>3110</v>
      </c>
      <c r="O269" s="827" t="s">
        <v>3111</v>
      </c>
      <c r="P269" s="216">
        <v>1</v>
      </c>
      <c r="Q269" s="1063">
        <v>0.1</v>
      </c>
      <c r="R269" s="216"/>
      <c r="S269" s="222">
        <f t="shared" si="8"/>
        <v>0</v>
      </c>
      <c r="T269" s="263">
        <f t="shared" si="9"/>
        <v>0</v>
      </c>
      <c r="U269" s="687" t="s">
        <v>34</v>
      </c>
      <c r="V269" s="1228"/>
      <c r="W269" s="649"/>
    </row>
    <row r="270" spans="1:23" ht="22.95" customHeight="1" x14ac:dyDescent="0.4">
      <c r="A270" s="788">
        <v>269</v>
      </c>
      <c r="B270" s="210" t="s">
        <v>2616</v>
      </c>
      <c r="C270" s="648" t="s">
        <v>24</v>
      </c>
      <c r="D270" s="1306">
        <v>2418</v>
      </c>
      <c r="E270" s="246" t="s">
        <v>3096</v>
      </c>
      <c r="F270" s="246" t="s">
        <v>3097</v>
      </c>
      <c r="G270" s="679">
        <v>3192</v>
      </c>
      <c r="H270" s="246" t="s">
        <v>3098</v>
      </c>
      <c r="I270" s="246" t="s">
        <v>881</v>
      </c>
      <c r="J270" s="253" t="s">
        <v>111</v>
      </c>
      <c r="K270" s="253" t="s">
        <v>110</v>
      </c>
      <c r="L270" s="1209">
        <v>0.25</v>
      </c>
      <c r="M270" s="827"/>
      <c r="N270" s="1061" t="s">
        <v>3112</v>
      </c>
      <c r="O270" s="799"/>
      <c r="P270" s="216">
        <v>1</v>
      </c>
      <c r="Q270" s="1063">
        <v>0.1</v>
      </c>
      <c r="R270" s="216"/>
      <c r="S270" s="222">
        <f t="shared" si="8"/>
        <v>0</v>
      </c>
      <c r="T270" s="263">
        <f t="shared" si="9"/>
        <v>0</v>
      </c>
      <c r="U270" s="687" t="s">
        <v>34</v>
      </c>
      <c r="V270" s="1228"/>
      <c r="W270" s="649"/>
    </row>
    <row r="271" spans="1:23" ht="22.95" customHeight="1" x14ac:dyDescent="0.4">
      <c r="A271" s="788">
        <v>270</v>
      </c>
      <c r="B271" s="210" t="s">
        <v>2616</v>
      </c>
      <c r="C271" s="648" t="s">
        <v>24</v>
      </c>
      <c r="D271" s="1306">
        <v>2418</v>
      </c>
      <c r="E271" s="246" t="s">
        <v>3096</v>
      </c>
      <c r="F271" s="246" t="s">
        <v>3097</v>
      </c>
      <c r="G271" s="679">
        <v>3192</v>
      </c>
      <c r="H271" s="246" t="s">
        <v>3098</v>
      </c>
      <c r="I271" s="246" t="s">
        <v>881</v>
      </c>
      <c r="J271" s="253" t="s">
        <v>111</v>
      </c>
      <c r="K271" s="253" t="s">
        <v>110</v>
      </c>
      <c r="L271" s="1209">
        <v>0.25</v>
      </c>
      <c r="M271" s="827"/>
      <c r="N271" s="1061" t="s">
        <v>3113</v>
      </c>
      <c r="O271" s="799"/>
      <c r="P271" s="216">
        <v>1</v>
      </c>
      <c r="Q271" s="1063">
        <v>0.1</v>
      </c>
      <c r="R271" s="216"/>
      <c r="S271" s="222">
        <f t="shared" si="8"/>
        <v>0</v>
      </c>
      <c r="T271" s="263">
        <f t="shared" si="9"/>
        <v>0</v>
      </c>
      <c r="U271" s="687" t="s">
        <v>34</v>
      </c>
      <c r="V271" s="1228"/>
      <c r="W271" s="649"/>
    </row>
    <row r="272" spans="1:23" ht="22.95" customHeight="1" x14ac:dyDescent="0.4">
      <c r="A272" s="788">
        <v>271</v>
      </c>
      <c r="B272" s="195" t="s">
        <v>2616</v>
      </c>
      <c r="C272" s="195" t="s">
        <v>24</v>
      </c>
      <c r="D272" s="1325">
        <v>5151</v>
      </c>
      <c r="E272" s="195" t="s">
        <v>3114</v>
      </c>
      <c r="F272" s="195" t="s">
        <v>3115</v>
      </c>
      <c r="G272" s="747">
        <v>3264</v>
      </c>
      <c r="H272" s="195" t="s">
        <v>1093</v>
      </c>
      <c r="I272" s="195" t="s">
        <v>881</v>
      </c>
      <c r="J272" s="195" t="s">
        <v>58</v>
      </c>
      <c r="K272" s="195" t="s">
        <v>57</v>
      </c>
      <c r="L272" s="1193">
        <v>0.5</v>
      </c>
      <c r="M272" s="748" t="s">
        <v>2132</v>
      </c>
      <c r="N272" s="749" t="s">
        <v>893</v>
      </c>
      <c r="O272" s="749"/>
      <c r="P272" s="750">
        <v>150000000000</v>
      </c>
      <c r="Q272" s="1326">
        <v>0.2</v>
      </c>
      <c r="R272" s="750"/>
      <c r="S272" s="195">
        <f t="shared" si="8"/>
        <v>0</v>
      </c>
      <c r="T272" s="196">
        <f t="shared" si="9"/>
        <v>0</v>
      </c>
      <c r="U272" s="752" t="s">
        <v>34</v>
      </c>
      <c r="V272" s="1327">
        <f>SUM(T272:T282)%</f>
        <v>0</v>
      </c>
      <c r="W272" s="196"/>
    </row>
    <row r="273" spans="1:23" ht="22.95" customHeight="1" x14ac:dyDescent="0.4">
      <c r="A273" s="788">
        <v>272</v>
      </c>
      <c r="B273" s="216" t="s">
        <v>2616</v>
      </c>
      <c r="C273" s="216" t="s">
        <v>24</v>
      </c>
      <c r="D273" s="1328">
        <v>5151</v>
      </c>
      <c r="E273" s="216" t="s">
        <v>3114</v>
      </c>
      <c r="F273" s="216" t="s">
        <v>3115</v>
      </c>
      <c r="G273" s="755">
        <v>3264</v>
      </c>
      <c r="H273" s="216" t="s">
        <v>1093</v>
      </c>
      <c r="I273" s="216" t="s">
        <v>881</v>
      </c>
      <c r="J273" s="206" t="s">
        <v>58</v>
      </c>
      <c r="K273" s="206" t="s">
        <v>57</v>
      </c>
      <c r="L273" s="1196">
        <v>0.5</v>
      </c>
      <c r="M273" s="756" t="s">
        <v>2133</v>
      </c>
      <c r="N273" s="757" t="s">
        <v>2134</v>
      </c>
      <c r="O273" s="757" t="s">
        <v>3116</v>
      </c>
      <c r="P273" s="758">
        <v>12</v>
      </c>
      <c r="Q273" s="1322">
        <v>0.1</v>
      </c>
      <c r="R273" s="758"/>
      <c r="S273" s="206">
        <f t="shared" si="8"/>
        <v>0</v>
      </c>
      <c r="T273" s="207">
        <f t="shared" si="9"/>
        <v>0</v>
      </c>
      <c r="U273" s="254" t="s">
        <v>34</v>
      </c>
      <c r="V273" s="1203"/>
      <c r="W273" s="217"/>
    </row>
    <row r="274" spans="1:23" ht="22.95" customHeight="1" x14ac:dyDescent="0.4">
      <c r="A274" s="788">
        <v>273</v>
      </c>
      <c r="B274" s="216" t="s">
        <v>2616</v>
      </c>
      <c r="C274" s="216" t="s">
        <v>24</v>
      </c>
      <c r="D274" s="1328">
        <v>5151</v>
      </c>
      <c r="E274" s="216" t="s">
        <v>3114</v>
      </c>
      <c r="F274" s="216" t="s">
        <v>3115</v>
      </c>
      <c r="G274" s="755">
        <v>3265</v>
      </c>
      <c r="H274" s="216" t="s">
        <v>1093</v>
      </c>
      <c r="I274" s="216" t="s">
        <v>881</v>
      </c>
      <c r="J274" s="206" t="s">
        <v>58</v>
      </c>
      <c r="K274" s="206" t="s">
        <v>57</v>
      </c>
      <c r="L274" s="1196">
        <v>0.5</v>
      </c>
      <c r="M274" s="756" t="s">
        <v>2133</v>
      </c>
      <c r="N274" s="757" t="s">
        <v>2137</v>
      </c>
      <c r="O274" s="757"/>
      <c r="P274" s="758">
        <v>12</v>
      </c>
      <c r="Q274" s="1322">
        <v>0.2</v>
      </c>
      <c r="R274" s="758"/>
      <c r="S274" s="206">
        <f t="shared" si="8"/>
        <v>0</v>
      </c>
      <c r="T274" s="207">
        <f t="shared" si="9"/>
        <v>0</v>
      </c>
      <c r="U274" s="254" t="s">
        <v>34</v>
      </c>
      <c r="V274" s="1203"/>
      <c r="W274" s="217"/>
    </row>
    <row r="275" spans="1:23" ht="22.95" customHeight="1" x14ac:dyDescent="0.4">
      <c r="A275" s="788">
        <v>274</v>
      </c>
      <c r="B275" s="216" t="s">
        <v>2616</v>
      </c>
      <c r="C275" s="216" t="s">
        <v>24</v>
      </c>
      <c r="D275" s="1328">
        <v>5151</v>
      </c>
      <c r="E275" s="216" t="s">
        <v>3114</v>
      </c>
      <c r="F275" s="216" t="s">
        <v>3115</v>
      </c>
      <c r="G275" s="755">
        <v>3264</v>
      </c>
      <c r="H275" s="216" t="s">
        <v>1093</v>
      </c>
      <c r="I275" s="216" t="s">
        <v>881</v>
      </c>
      <c r="J275" s="206" t="s">
        <v>58</v>
      </c>
      <c r="K275" s="206" t="s">
        <v>57</v>
      </c>
      <c r="L275" s="1196">
        <v>0.5</v>
      </c>
      <c r="M275" s="756" t="s">
        <v>2133</v>
      </c>
      <c r="N275" s="757" t="s">
        <v>2156</v>
      </c>
      <c r="O275" s="757"/>
      <c r="P275" s="758">
        <v>12</v>
      </c>
      <c r="Q275" s="1322">
        <v>0.1</v>
      </c>
      <c r="R275" s="758"/>
      <c r="S275" s="206">
        <f t="shared" si="8"/>
        <v>0</v>
      </c>
      <c r="T275" s="207">
        <f t="shared" si="9"/>
        <v>0</v>
      </c>
      <c r="U275" s="254" t="s">
        <v>34</v>
      </c>
      <c r="V275" s="1203"/>
      <c r="W275" s="217"/>
    </row>
    <row r="276" spans="1:23" ht="22.95" customHeight="1" x14ac:dyDescent="0.4">
      <c r="A276" s="788">
        <v>275</v>
      </c>
      <c r="B276" s="222" t="s">
        <v>2616</v>
      </c>
      <c r="C276" s="222" t="s">
        <v>24</v>
      </c>
      <c r="D276" s="1329">
        <v>5151</v>
      </c>
      <c r="E276" s="222" t="s">
        <v>3114</v>
      </c>
      <c r="F276" s="222" t="s">
        <v>3115</v>
      </c>
      <c r="G276" s="762">
        <v>3264</v>
      </c>
      <c r="H276" s="222" t="s">
        <v>1093</v>
      </c>
      <c r="I276" s="222" t="s">
        <v>881</v>
      </c>
      <c r="J276" s="647" t="s">
        <v>58</v>
      </c>
      <c r="K276" s="647" t="s">
        <v>57</v>
      </c>
      <c r="L276" s="1201">
        <v>0.5</v>
      </c>
      <c r="M276" s="756" t="s">
        <v>2135</v>
      </c>
      <c r="N276" s="757" t="s">
        <v>2136</v>
      </c>
      <c r="O276" s="757"/>
      <c r="P276" s="206">
        <v>1</v>
      </c>
      <c r="Q276" s="1324">
        <v>0.1</v>
      </c>
      <c r="R276" s="206"/>
      <c r="S276" s="206">
        <f t="shared" si="8"/>
        <v>0</v>
      </c>
      <c r="T276" s="207">
        <f t="shared" si="9"/>
        <v>0</v>
      </c>
      <c r="U276" s="254" t="s">
        <v>34</v>
      </c>
      <c r="V276" s="1203"/>
      <c r="W276" s="765"/>
    </row>
    <row r="277" spans="1:23" ht="22.95" customHeight="1" x14ac:dyDescent="0.4">
      <c r="A277" s="788">
        <v>276</v>
      </c>
      <c r="B277" s="222" t="s">
        <v>2616</v>
      </c>
      <c r="C277" s="222" t="s">
        <v>24</v>
      </c>
      <c r="D277" s="1329">
        <v>5151</v>
      </c>
      <c r="E277" s="222" t="s">
        <v>3114</v>
      </c>
      <c r="F277" s="222" t="s">
        <v>3115</v>
      </c>
      <c r="G277" s="762">
        <v>3264</v>
      </c>
      <c r="H277" s="222" t="s">
        <v>1093</v>
      </c>
      <c r="I277" s="222" t="s">
        <v>881</v>
      </c>
      <c r="J277" s="647" t="s">
        <v>58</v>
      </c>
      <c r="K277" s="647" t="s">
        <v>57</v>
      </c>
      <c r="L277" s="1201">
        <v>0.5</v>
      </c>
      <c r="M277" s="756" t="s">
        <v>2135</v>
      </c>
      <c r="N277" s="757" t="s">
        <v>3117</v>
      </c>
      <c r="O277" s="757"/>
      <c r="P277" s="758">
        <v>3</v>
      </c>
      <c r="Q277" s="1324">
        <v>0.1</v>
      </c>
      <c r="R277" s="758"/>
      <c r="S277" s="206">
        <f t="shared" si="8"/>
        <v>0</v>
      </c>
      <c r="T277" s="207">
        <f t="shared" si="9"/>
        <v>0</v>
      </c>
      <c r="U277" s="254" t="s">
        <v>34</v>
      </c>
      <c r="V277" s="1203"/>
      <c r="W277" s="765"/>
    </row>
    <row r="278" spans="1:23" ht="22.95" customHeight="1" x14ac:dyDescent="0.4">
      <c r="A278" s="788">
        <v>277</v>
      </c>
      <c r="B278" s="222" t="s">
        <v>2616</v>
      </c>
      <c r="C278" s="222" t="s">
        <v>24</v>
      </c>
      <c r="D278" s="1329">
        <v>5151</v>
      </c>
      <c r="E278" s="222" t="s">
        <v>3114</v>
      </c>
      <c r="F278" s="222" t="s">
        <v>3115</v>
      </c>
      <c r="G278" s="762">
        <v>3264</v>
      </c>
      <c r="H278" s="222" t="s">
        <v>1093</v>
      </c>
      <c r="I278" s="222" t="s">
        <v>881</v>
      </c>
      <c r="J278" s="647" t="s">
        <v>58</v>
      </c>
      <c r="K278" s="647" t="s">
        <v>57</v>
      </c>
      <c r="L278" s="1201">
        <v>0.5</v>
      </c>
      <c r="M278" s="756" t="s">
        <v>2139</v>
      </c>
      <c r="N278" s="757" t="s">
        <v>2140</v>
      </c>
      <c r="O278" s="757"/>
      <c r="P278" s="758">
        <v>15</v>
      </c>
      <c r="Q278" s="1324">
        <v>0.2</v>
      </c>
      <c r="R278" s="758"/>
      <c r="S278" s="206">
        <f t="shared" si="8"/>
        <v>0</v>
      </c>
      <c r="T278" s="207">
        <f t="shared" si="9"/>
        <v>0</v>
      </c>
      <c r="U278" s="254" t="s">
        <v>83</v>
      </c>
      <c r="V278" s="1203"/>
      <c r="W278" s="765"/>
    </row>
    <row r="279" spans="1:23" ht="22.95" customHeight="1" x14ac:dyDescent="0.4">
      <c r="A279" s="788">
        <v>278</v>
      </c>
      <c r="B279" s="222" t="s">
        <v>2616</v>
      </c>
      <c r="C279" s="222" t="s">
        <v>24</v>
      </c>
      <c r="D279" s="1329">
        <v>5151</v>
      </c>
      <c r="E279" s="222" t="s">
        <v>3114</v>
      </c>
      <c r="F279" s="222" t="s">
        <v>3115</v>
      </c>
      <c r="G279" s="762">
        <v>3264</v>
      </c>
      <c r="H279" s="222" t="s">
        <v>1093</v>
      </c>
      <c r="I279" s="222" t="s">
        <v>881</v>
      </c>
      <c r="J279" s="222" t="s">
        <v>111</v>
      </c>
      <c r="K279" s="222" t="s">
        <v>110</v>
      </c>
      <c r="L279" s="1063">
        <v>0.5</v>
      </c>
      <c r="M279" s="766" t="s">
        <v>2141</v>
      </c>
      <c r="N279" s="767" t="s">
        <v>3118</v>
      </c>
      <c r="O279" s="767"/>
      <c r="P279" s="690">
        <v>6</v>
      </c>
      <c r="Q279" s="1330">
        <v>0.2</v>
      </c>
      <c r="R279" s="690"/>
      <c r="S279" s="222">
        <f t="shared" si="8"/>
        <v>0</v>
      </c>
      <c r="T279" s="765">
        <f t="shared" si="9"/>
        <v>0</v>
      </c>
      <c r="U279" s="770" t="s">
        <v>34</v>
      </c>
      <c r="V279" s="1228"/>
      <c r="W279" s="765"/>
    </row>
    <row r="280" spans="1:23" ht="22.95" customHeight="1" x14ac:dyDescent="0.4">
      <c r="A280" s="788">
        <v>279</v>
      </c>
      <c r="B280" s="222" t="s">
        <v>2616</v>
      </c>
      <c r="C280" s="222" t="s">
        <v>24</v>
      </c>
      <c r="D280" s="1329">
        <v>5151</v>
      </c>
      <c r="E280" s="222" t="s">
        <v>3114</v>
      </c>
      <c r="F280" s="222" t="s">
        <v>3115</v>
      </c>
      <c r="G280" s="762">
        <v>3264</v>
      </c>
      <c r="H280" s="222" t="s">
        <v>1093</v>
      </c>
      <c r="I280" s="222" t="s">
        <v>881</v>
      </c>
      <c r="J280" s="222" t="s">
        <v>111</v>
      </c>
      <c r="K280" s="222" t="s">
        <v>110</v>
      </c>
      <c r="L280" s="1063">
        <v>0.5</v>
      </c>
      <c r="M280" s="766"/>
      <c r="N280" s="767" t="s">
        <v>3119</v>
      </c>
      <c r="O280" s="767"/>
      <c r="P280" s="690">
        <v>1</v>
      </c>
      <c r="Q280" s="1330">
        <v>0.2</v>
      </c>
      <c r="R280" s="690"/>
      <c r="S280" s="222">
        <f t="shared" si="8"/>
        <v>0</v>
      </c>
      <c r="T280" s="765">
        <f t="shared" si="9"/>
        <v>0</v>
      </c>
      <c r="U280" s="770" t="s">
        <v>34</v>
      </c>
      <c r="V280" s="1228"/>
      <c r="W280" s="765"/>
    </row>
    <row r="281" spans="1:23" ht="22.95" customHeight="1" x14ac:dyDescent="0.4">
      <c r="A281" s="788">
        <v>280</v>
      </c>
      <c r="B281" s="222" t="s">
        <v>2616</v>
      </c>
      <c r="C281" s="222" t="s">
        <v>24</v>
      </c>
      <c r="D281" s="1329">
        <v>5151</v>
      </c>
      <c r="E281" s="222" t="s">
        <v>3114</v>
      </c>
      <c r="F281" s="222" t="s">
        <v>3115</v>
      </c>
      <c r="G281" s="762">
        <v>3264</v>
      </c>
      <c r="H281" s="222" t="s">
        <v>1093</v>
      </c>
      <c r="I281" s="222" t="s">
        <v>881</v>
      </c>
      <c r="J281" s="222" t="s">
        <v>111</v>
      </c>
      <c r="K281" s="222" t="s">
        <v>110</v>
      </c>
      <c r="L281" s="1063">
        <v>0.5</v>
      </c>
      <c r="M281" s="766" t="s">
        <v>2143</v>
      </c>
      <c r="N281" s="767" t="s">
        <v>2144</v>
      </c>
      <c r="O281" s="767"/>
      <c r="P281" s="768">
        <v>0.4</v>
      </c>
      <c r="Q281" s="1330">
        <v>0.3</v>
      </c>
      <c r="R281" s="768"/>
      <c r="S281" s="222">
        <f t="shared" si="8"/>
        <v>0</v>
      </c>
      <c r="T281" s="765">
        <f t="shared" si="9"/>
        <v>0</v>
      </c>
      <c r="U281" s="770" t="s">
        <v>34</v>
      </c>
      <c r="V281" s="1228"/>
      <c r="W281" s="765"/>
    </row>
    <row r="282" spans="1:23" ht="22.95" customHeight="1" x14ac:dyDescent="0.4">
      <c r="A282" s="788">
        <v>281</v>
      </c>
      <c r="B282" s="222" t="s">
        <v>2616</v>
      </c>
      <c r="C282" s="222" t="s">
        <v>24</v>
      </c>
      <c r="D282" s="1329">
        <v>5151</v>
      </c>
      <c r="E282" s="222" t="s">
        <v>3114</v>
      </c>
      <c r="F282" s="222" t="s">
        <v>3115</v>
      </c>
      <c r="G282" s="762">
        <v>3264</v>
      </c>
      <c r="H282" s="222" t="s">
        <v>1093</v>
      </c>
      <c r="I282" s="222" t="s">
        <v>881</v>
      </c>
      <c r="J282" s="222" t="s">
        <v>111</v>
      </c>
      <c r="K282" s="222" t="s">
        <v>110</v>
      </c>
      <c r="L282" s="1063">
        <v>0.5</v>
      </c>
      <c r="M282" s="766" t="s">
        <v>2143</v>
      </c>
      <c r="N282" s="767" t="s">
        <v>2145</v>
      </c>
      <c r="O282" s="767"/>
      <c r="P282" s="768">
        <v>1</v>
      </c>
      <c r="Q282" s="1330">
        <v>0.3</v>
      </c>
      <c r="R282" s="768"/>
      <c r="S282" s="222">
        <f t="shared" si="8"/>
        <v>0</v>
      </c>
      <c r="T282" s="765">
        <f t="shared" si="9"/>
        <v>0</v>
      </c>
      <c r="U282" s="770" t="s">
        <v>34</v>
      </c>
      <c r="V282" s="1228"/>
      <c r="W282" s="765"/>
    </row>
    <row r="283" spans="1:23" ht="22.95" customHeight="1" x14ac:dyDescent="0.4">
      <c r="A283" s="788">
        <v>282</v>
      </c>
      <c r="B283" s="236" t="s">
        <v>2616</v>
      </c>
      <c r="C283" s="187" t="s">
        <v>24</v>
      </c>
      <c r="D283" s="1164">
        <v>3635</v>
      </c>
      <c r="E283" s="236" t="s">
        <v>3120</v>
      </c>
      <c r="F283" s="236" t="s">
        <v>3121</v>
      </c>
      <c r="G283" s="238">
        <v>2418</v>
      </c>
      <c r="H283" s="236" t="s">
        <v>3122</v>
      </c>
      <c r="I283" s="236" t="s">
        <v>881</v>
      </c>
      <c r="J283" s="187" t="s">
        <v>58</v>
      </c>
      <c r="K283" s="187" t="s">
        <v>57</v>
      </c>
      <c r="L283" s="1052">
        <v>0.5</v>
      </c>
      <c r="M283" s="191"/>
      <c r="N283" s="192" t="s">
        <v>3123</v>
      </c>
      <c r="O283" s="193"/>
      <c r="P283" s="1331">
        <v>40000000000</v>
      </c>
      <c r="Q283" s="1193">
        <v>0.15</v>
      </c>
      <c r="R283" s="1331"/>
      <c r="S283" s="195">
        <f t="shared" si="8"/>
        <v>0</v>
      </c>
      <c r="T283" s="196">
        <f t="shared" si="9"/>
        <v>0</v>
      </c>
      <c r="U283" s="197" t="s">
        <v>34</v>
      </c>
      <c r="V283" s="1248">
        <f>SUM(T283:T296)%</f>
        <v>0</v>
      </c>
      <c r="W283" s="243"/>
    </row>
    <row r="284" spans="1:23" ht="22.95" customHeight="1" x14ac:dyDescent="0.4">
      <c r="A284" s="788">
        <v>283</v>
      </c>
      <c r="B284" s="198" t="s">
        <v>2616</v>
      </c>
      <c r="C284" s="199" t="s">
        <v>24</v>
      </c>
      <c r="D284" s="1169">
        <v>3635</v>
      </c>
      <c r="E284" s="198" t="s">
        <v>3120</v>
      </c>
      <c r="F284" s="198" t="s">
        <v>3121</v>
      </c>
      <c r="G284" s="200">
        <v>2418</v>
      </c>
      <c r="H284" s="198" t="s">
        <v>3122</v>
      </c>
      <c r="I284" s="198" t="s">
        <v>881</v>
      </c>
      <c r="J284" s="692" t="s">
        <v>58</v>
      </c>
      <c r="K284" s="692" t="s">
        <v>57</v>
      </c>
      <c r="L284" s="1067">
        <v>0.5</v>
      </c>
      <c r="M284" s="202"/>
      <c r="N284" s="203" t="s">
        <v>3124</v>
      </c>
      <c r="O284" s="211"/>
      <c r="P284" s="206">
        <v>1</v>
      </c>
      <c r="Q284" s="1196">
        <v>0.1</v>
      </c>
      <c r="R284" s="206"/>
      <c r="S284" s="206">
        <f t="shared" si="8"/>
        <v>0</v>
      </c>
      <c r="T284" s="207">
        <f t="shared" si="9"/>
        <v>0</v>
      </c>
      <c r="U284" s="208" t="s">
        <v>34</v>
      </c>
      <c r="V284" s="1198"/>
      <c r="W284" s="210"/>
    </row>
    <row r="285" spans="1:23" ht="22.95" customHeight="1" x14ac:dyDescent="0.4">
      <c r="A285" s="788">
        <v>284</v>
      </c>
      <c r="B285" s="198" t="s">
        <v>2616</v>
      </c>
      <c r="C285" s="199" t="s">
        <v>24</v>
      </c>
      <c r="D285" s="1169">
        <v>3635</v>
      </c>
      <c r="E285" s="198" t="s">
        <v>3120</v>
      </c>
      <c r="F285" s="198" t="s">
        <v>3121</v>
      </c>
      <c r="G285" s="200">
        <v>2418</v>
      </c>
      <c r="H285" s="198" t="s">
        <v>3122</v>
      </c>
      <c r="I285" s="198" t="s">
        <v>881</v>
      </c>
      <c r="J285" s="692" t="s">
        <v>58</v>
      </c>
      <c r="K285" s="692" t="s">
        <v>57</v>
      </c>
      <c r="L285" s="1067">
        <v>0.5</v>
      </c>
      <c r="M285" s="202"/>
      <c r="N285" s="203" t="s">
        <v>3125</v>
      </c>
      <c r="O285" s="211"/>
      <c r="P285" s="206">
        <v>1</v>
      </c>
      <c r="Q285" s="1201">
        <v>0.1</v>
      </c>
      <c r="R285" s="206"/>
      <c r="S285" s="206">
        <f t="shared" si="8"/>
        <v>0</v>
      </c>
      <c r="T285" s="207">
        <f t="shared" si="9"/>
        <v>0</v>
      </c>
      <c r="U285" s="208" t="s">
        <v>34</v>
      </c>
      <c r="V285" s="1198"/>
      <c r="W285" s="210"/>
    </row>
    <row r="286" spans="1:23" ht="22.95" customHeight="1" x14ac:dyDescent="0.4">
      <c r="A286" s="788">
        <v>285</v>
      </c>
      <c r="B286" s="198" t="s">
        <v>2616</v>
      </c>
      <c r="C286" s="199" t="s">
        <v>24</v>
      </c>
      <c r="D286" s="1169">
        <v>3635</v>
      </c>
      <c r="E286" s="198" t="s">
        <v>3120</v>
      </c>
      <c r="F286" s="198" t="s">
        <v>3121</v>
      </c>
      <c r="G286" s="200">
        <v>2418</v>
      </c>
      <c r="H286" s="198" t="s">
        <v>3122</v>
      </c>
      <c r="I286" s="198" t="s">
        <v>881</v>
      </c>
      <c r="J286" s="692" t="s">
        <v>58</v>
      </c>
      <c r="K286" s="692" t="s">
        <v>57</v>
      </c>
      <c r="L286" s="1067">
        <v>0.5</v>
      </c>
      <c r="M286" s="202"/>
      <c r="N286" s="203" t="s">
        <v>3126</v>
      </c>
      <c r="O286" s="211"/>
      <c r="P286" s="206">
        <v>1</v>
      </c>
      <c r="Q286" s="1201">
        <v>0.1</v>
      </c>
      <c r="R286" s="206"/>
      <c r="S286" s="206">
        <f t="shared" si="8"/>
        <v>0</v>
      </c>
      <c r="T286" s="207">
        <f t="shared" si="9"/>
        <v>0</v>
      </c>
      <c r="U286" s="208" t="s">
        <v>34</v>
      </c>
      <c r="V286" s="1198"/>
      <c r="W286" s="210"/>
    </row>
    <row r="287" spans="1:23" ht="22.95" customHeight="1" x14ac:dyDescent="0.4">
      <c r="A287" s="788">
        <v>286</v>
      </c>
      <c r="B287" s="198" t="s">
        <v>2616</v>
      </c>
      <c r="C287" s="199" t="s">
        <v>24</v>
      </c>
      <c r="D287" s="1169">
        <v>3635</v>
      </c>
      <c r="E287" s="198" t="s">
        <v>3120</v>
      </c>
      <c r="F287" s="198" t="s">
        <v>3121</v>
      </c>
      <c r="G287" s="200">
        <v>2418</v>
      </c>
      <c r="H287" s="198" t="s">
        <v>3122</v>
      </c>
      <c r="I287" s="198" t="s">
        <v>881</v>
      </c>
      <c r="J287" s="692" t="s">
        <v>58</v>
      </c>
      <c r="K287" s="692" t="s">
        <v>57</v>
      </c>
      <c r="L287" s="1067">
        <v>0.5</v>
      </c>
      <c r="M287" s="202"/>
      <c r="N287" s="203" t="s">
        <v>3127</v>
      </c>
      <c r="O287" s="211"/>
      <c r="P287" s="250">
        <v>3</v>
      </c>
      <c r="Q287" s="1201">
        <v>0.15</v>
      </c>
      <c r="R287" s="250"/>
      <c r="S287" s="206">
        <f t="shared" si="8"/>
        <v>0</v>
      </c>
      <c r="T287" s="207">
        <f t="shared" si="9"/>
        <v>0</v>
      </c>
      <c r="U287" s="208" t="s">
        <v>34</v>
      </c>
      <c r="V287" s="1198"/>
      <c r="W287" s="210"/>
    </row>
    <row r="288" spans="1:23" ht="22.95" customHeight="1" x14ac:dyDescent="0.4">
      <c r="A288" s="788">
        <v>287</v>
      </c>
      <c r="B288" s="198" t="s">
        <v>2616</v>
      </c>
      <c r="C288" s="199" t="s">
        <v>24</v>
      </c>
      <c r="D288" s="1169">
        <v>3635</v>
      </c>
      <c r="E288" s="198" t="s">
        <v>3120</v>
      </c>
      <c r="F288" s="198" t="s">
        <v>3121</v>
      </c>
      <c r="G288" s="200">
        <v>2418</v>
      </c>
      <c r="H288" s="198" t="s">
        <v>3122</v>
      </c>
      <c r="I288" s="198" t="s">
        <v>881</v>
      </c>
      <c r="J288" s="692" t="s">
        <v>58</v>
      </c>
      <c r="K288" s="692" t="s">
        <v>57</v>
      </c>
      <c r="L288" s="1067">
        <v>0.5</v>
      </c>
      <c r="M288" s="202"/>
      <c r="N288" s="203" t="s">
        <v>3128</v>
      </c>
      <c r="O288" s="211"/>
      <c r="P288" s="206">
        <v>1</v>
      </c>
      <c r="Q288" s="1201">
        <v>0.1</v>
      </c>
      <c r="R288" s="206"/>
      <c r="S288" s="206">
        <f t="shared" si="8"/>
        <v>0</v>
      </c>
      <c r="T288" s="207">
        <f t="shared" si="9"/>
        <v>0</v>
      </c>
      <c r="U288" s="208" t="s">
        <v>34</v>
      </c>
      <c r="V288" s="1198"/>
      <c r="W288" s="210"/>
    </row>
    <row r="289" spans="1:23" ht="22.95" customHeight="1" x14ac:dyDescent="0.4">
      <c r="A289" s="788">
        <v>288</v>
      </c>
      <c r="B289" s="198" t="s">
        <v>2616</v>
      </c>
      <c r="C289" s="199" t="s">
        <v>24</v>
      </c>
      <c r="D289" s="1169">
        <v>3635</v>
      </c>
      <c r="E289" s="198" t="s">
        <v>3120</v>
      </c>
      <c r="F289" s="198" t="s">
        <v>3121</v>
      </c>
      <c r="G289" s="200">
        <v>2419</v>
      </c>
      <c r="H289" s="198" t="s">
        <v>3122</v>
      </c>
      <c r="I289" s="198" t="s">
        <v>881</v>
      </c>
      <c r="J289" s="692" t="s">
        <v>58</v>
      </c>
      <c r="K289" s="692" t="s">
        <v>57</v>
      </c>
      <c r="L289" s="1067">
        <v>0.5</v>
      </c>
      <c r="M289" s="202"/>
      <c r="N289" s="203" t="s">
        <v>3129</v>
      </c>
      <c r="O289" s="211"/>
      <c r="P289" s="1332">
        <v>3</v>
      </c>
      <c r="Q289" s="1201">
        <v>0.15</v>
      </c>
      <c r="R289" s="1332"/>
      <c r="S289" s="206">
        <f t="shared" si="8"/>
        <v>0</v>
      </c>
      <c r="T289" s="207">
        <f t="shared" si="9"/>
        <v>0</v>
      </c>
      <c r="U289" s="208" t="s">
        <v>34</v>
      </c>
      <c r="V289" s="1198"/>
      <c r="W289" s="210"/>
    </row>
    <row r="290" spans="1:23" ht="22.95" customHeight="1" x14ac:dyDescent="0.4">
      <c r="A290" s="788">
        <v>289</v>
      </c>
      <c r="B290" s="198" t="s">
        <v>2616</v>
      </c>
      <c r="C290" s="199" t="s">
        <v>24</v>
      </c>
      <c r="D290" s="1169">
        <v>3635</v>
      </c>
      <c r="E290" s="198" t="s">
        <v>3120</v>
      </c>
      <c r="F290" s="198" t="s">
        <v>3121</v>
      </c>
      <c r="G290" s="200">
        <v>2418</v>
      </c>
      <c r="H290" s="198" t="s">
        <v>3122</v>
      </c>
      <c r="I290" s="198" t="s">
        <v>881</v>
      </c>
      <c r="J290" s="692" t="s">
        <v>58</v>
      </c>
      <c r="K290" s="692" t="s">
        <v>57</v>
      </c>
      <c r="L290" s="1067">
        <v>0.5</v>
      </c>
      <c r="M290" s="202"/>
      <c r="N290" s="203" t="s">
        <v>3130</v>
      </c>
      <c r="O290" s="211"/>
      <c r="P290" s="206">
        <v>1</v>
      </c>
      <c r="Q290" s="1201">
        <v>0.15</v>
      </c>
      <c r="R290" s="206"/>
      <c r="S290" s="206">
        <f t="shared" si="8"/>
        <v>0</v>
      </c>
      <c r="T290" s="207">
        <f t="shared" si="9"/>
        <v>0</v>
      </c>
      <c r="U290" s="208" t="s">
        <v>34</v>
      </c>
      <c r="V290" s="1198"/>
      <c r="W290" s="210"/>
    </row>
    <row r="291" spans="1:23" ht="22.95" customHeight="1" x14ac:dyDescent="0.4">
      <c r="A291" s="788">
        <v>290</v>
      </c>
      <c r="B291" s="198" t="s">
        <v>2616</v>
      </c>
      <c r="C291" s="199" t="s">
        <v>24</v>
      </c>
      <c r="D291" s="1169">
        <v>3635</v>
      </c>
      <c r="E291" s="198" t="s">
        <v>3120</v>
      </c>
      <c r="F291" s="198" t="s">
        <v>3121</v>
      </c>
      <c r="G291" s="200">
        <v>2418</v>
      </c>
      <c r="H291" s="198" t="s">
        <v>3122</v>
      </c>
      <c r="I291" s="198" t="s">
        <v>881</v>
      </c>
      <c r="J291" s="199" t="s">
        <v>111</v>
      </c>
      <c r="K291" s="199" t="s">
        <v>110</v>
      </c>
      <c r="L291" s="1145">
        <v>0.5</v>
      </c>
      <c r="M291" s="213"/>
      <c r="N291" s="214" t="s">
        <v>3131</v>
      </c>
      <c r="O291" s="220"/>
      <c r="P291" s="768">
        <v>1</v>
      </c>
      <c r="Q291" s="1308">
        <v>0.2</v>
      </c>
      <c r="R291" s="768"/>
      <c r="S291" s="216">
        <f t="shared" si="8"/>
        <v>0</v>
      </c>
      <c r="T291" s="217">
        <f t="shared" si="9"/>
        <v>0</v>
      </c>
      <c r="U291" s="218" t="s">
        <v>34</v>
      </c>
      <c r="V291" s="1198"/>
      <c r="W291" s="210"/>
    </row>
    <row r="292" spans="1:23" ht="22.95" customHeight="1" x14ac:dyDescent="0.4">
      <c r="A292" s="788">
        <v>291</v>
      </c>
      <c r="B292" s="198" t="s">
        <v>2616</v>
      </c>
      <c r="C292" s="199" t="s">
        <v>24</v>
      </c>
      <c r="D292" s="1169">
        <v>3635</v>
      </c>
      <c r="E292" s="198" t="s">
        <v>3120</v>
      </c>
      <c r="F292" s="198" t="s">
        <v>3121</v>
      </c>
      <c r="G292" s="200">
        <v>2418</v>
      </c>
      <c r="H292" s="198" t="s">
        <v>3122</v>
      </c>
      <c r="I292" s="198" t="s">
        <v>881</v>
      </c>
      <c r="J292" s="199" t="s">
        <v>111</v>
      </c>
      <c r="K292" s="199" t="s">
        <v>110</v>
      </c>
      <c r="L292" s="1145">
        <v>0.5</v>
      </c>
      <c r="M292" s="213"/>
      <c r="N292" s="214" t="s">
        <v>3132</v>
      </c>
      <c r="O292" s="220"/>
      <c r="P292" s="690">
        <v>1</v>
      </c>
      <c r="Q292" s="1308">
        <v>0.2</v>
      </c>
      <c r="R292" s="690"/>
      <c r="S292" s="216">
        <f t="shared" si="8"/>
        <v>0</v>
      </c>
      <c r="T292" s="217">
        <f t="shared" si="9"/>
        <v>0</v>
      </c>
      <c r="U292" s="218" t="s">
        <v>34</v>
      </c>
      <c r="V292" s="1198"/>
      <c r="W292" s="210"/>
    </row>
    <row r="293" spans="1:23" ht="22.95" customHeight="1" x14ac:dyDescent="0.4">
      <c r="A293" s="788">
        <v>292</v>
      </c>
      <c r="B293" s="198" t="s">
        <v>2616</v>
      </c>
      <c r="C293" s="199" t="s">
        <v>24</v>
      </c>
      <c r="D293" s="1169">
        <v>3635</v>
      </c>
      <c r="E293" s="198" t="s">
        <v>3120</v>
      </c>
      <c r="F293" s="198" t="s">
        <v>3121</v>
      </c>
      <c r="G293" s="200">
        <v>2418</v>
      </c>
      <c r="H293" s="198" t="s">
        <v>3122</v>
      </c>
      <c r="I293" s="198" t="s">
        <v>881</v>
      </c>
      <c r="J293" s="199" t="s">
        <v>111</v>
      </c>
      <c r="K293" s="199" t="s">
        <v>110</v>
      </c>
      <c r="L293" s="1145">
        <v>0.5</v>
      </c>
      <c r="M293" s="213"/>
      <c r="N293" s="879" t="s">
        <v>3133</v>
      </c>
      <c r="O293" s="220"/>
      <c r="P293" s="234">
        <v>1</v>
      </c>
      <c r="Q293" s="1308">
        <v>0.1</v>
      </c>
      <c r="R293" s="234"/>
      <c r="S293" s="216">
        <f t="shared" si="8"/>
        <v>0</v>
      </c>
      <c r="T293" s="217">
        <f t="shared" si="9"/>
        <v>0</v>
      </c>
      <c r="U293" s="218" t="s">
        <v>34</v>
      </c>
      <c r="V293" s="1198"/>
      <c r="W293" s="210"/>
    </row>
    <row r="294" spans="1:23" ht="22.95" customHeight="1" x14ac:dyDescent="0.4">
      <c r="A294" s="788">
        <v>293</v>
      </c>
      <c r="B294" s="198" t="s">
        <v>2616</v>
      </c>
      <c r="C294" s="199" t="s">
        <v>24</v>
      </c>
      <c r="D294" s="1169">
        <v>3635</v>
      </c>
      <c r="E294" s="198" t="s">
        <v>3120</v>
      </c>
      <c r="F294" s="198" t="s">
        <v>3121</v>
      </c>
      <c r="G294" s="200">
        <v>2418</v>
      </c>
      <c r="H294" s="198" t="s">
        <v>3122</v>
      </c>
      <c r="I294" s="198" t="s">
        <v>881</v>
      </c>
      <c r="J294" s="199" t="s">
        <v>111</v>
      </c>
      <c r="K294" s="199" t="s">
        <v>110</v>
      </c>
      <c r="L294" s="1145">
        <v>0.5</v>
      </c>
      <c r="M294" s="213"/>
      <c r="N294" s="214" t="s">
        <v>3134</v>
      </c>
      <c r="O294" s="220"/>
      <c r="P294" s="234">
        <v>1</v>
      </c>
      <c r="Q294" s="1308">
        <v>0.1</v>
      </c>
      <c r="R294" s="234"/>
      <c r="S294" s="216">
        <f t="shared" si="8"/>
        <v>0</v>
      </c>
      <c r="T294" s="217">
        <f t="shared" si="9"/>
        <v>0</v>
      </c>
      <c r="U294" s="218" t="s">
        <v>34</v>
      </c>
      <c r="V294" s="1198"/>
      <c r="W294" s="210"/>
    </row>
    <row r="295" spans="1:23" ht="22.95" customHeight="1" x14ac:dyDescent="0.4">
      <c r="A295" s="788">
        <v>294</v>
      </c>
      <c r="B295" s="198" t="s">
        <v>2616</v>
      </c>
      <c r="C295" s="199" t="s">
        <v>24</v>
      </c>
      <c r="D295" s="1169">
        <v>3635</v>
      </c>
      <c r="E295" s="198" t="s">
        <v>3120</v>
      </c>
      <c r="F295" s="198" t="s">
        <v>3121</v>
      </c>
      <c r="G295" s="200">
        <v>2418</v>
      </c>
      <c r="H295" s="198" t="s">
        <v>3122</v>
      </c>
      <c r="I295" s="198" t="s">
        <v>881</v>
      </c>
      <c r="J295" s="199" t="s">
        <v>111</v>
      </c>
      <c r="K295" s="199" t="s">
        <v>110</v>
      </c>
      <c r="L295" s="1145">
        <v>0.5</v>
      </c>
      <c r="M295" s="213"/>
      <c r="N295" s="214" t="s">
        <v>3135</v>
      </c>
      <c r="O295" s="220"/>
      <c r="P295" s="234">
        <v>1</v>
      </c>
      <c r="Q295" s="1308">
        <v>0.2</v>
      </c>
      <c r="R295" s="234"/>
      <c r="S295" s="216">
        <f t="shared" si="8"/>
        <v>0</v>
      </c>
      <c r="T295" s="217">
        <f t="shared" si="9"/>
        <v>0</v>
      </c>
      <c r="U295" s="218" t="s">
        <v>34</v>
      </c>
      <c r="V295" s="1198"/>
      <c r="W295" s="210"/>
    </row>
    <row r="296" spans="1:23" ht="22.95" customHeight="1" x14ac:dyDescent="0.4">
      <c r="A296" s="788">
        <v>295</v>
      </c>
      <c r="B296" s="198" t="s">
        <v>2616</v>
      </c>
      <c r="C296" s="199" t="s">
        <v>24</v>
      </c>
      <c r="D296" s="1169">
        <v>3635</v>
      </c>
      <c r="E296" s="198" t="s">
        <v>3120</v>
      </c>
      <c r="F296" s="198" t="s">
        <v>3121</v>
      </c>
      <c r="G296" s="200">
        <v>2418</v>
      </c>
      <c r="H296" s="198" t="s">
        <v>3122</v>
      </c>
      <c r="I296" s="198" t="s">
        <v>881</v>
      </c>
      <c r="J296" s="199" t="s">
        <v>111</v>
      </c>
      <c r="K296" s="199" t="s">
        <v>110</v>
      </c>
      <c r="L296" s="1145">
        <v>0.5</v>
      </c>
      <c r="M296" s="213"/>
      <c r="N296" s="214" t="s">
        <v>3136</v>
      </c>
      <c r="O296" s="220"/>
      <c r="P296" s="234">
        <v>1</v>
      </c>
      <c r="Q296" s="1308">
        <v>0.2</v>
      </c>
      <c r="R296" s="234"/>
      <c r="S296" s="216">
        <f t="shared" si="8"/>
        <v>0</v>
      </c>
      <c r="T296" s="217">
        <f t="shared" si="9"/>
        <v>0</v>
      </c>
      <c r="U296" s="218" t="s">
        <v>34</v>
      </c>
      <c r="V296" s="1198"/>
      <c r="W296" s="210"/>
    </row>
    <row r="297" spans="1:23" ht="22.95" customHeight="1" x14ac:dyDescent="0.4">
      <c r="A297" s="788">
        <v>296</v>
      </c>
      <c r="B297" s="236" t="s">
        <v>2616</v>
      </c>
      <c r="C297" s="187" t="s">
        <v>24</v>
      </c>
      <c r="D297" s="1164">
        <v>5719</v>
      </c>
      <c r="E297" s="236" t="s">
        <v>3137</v>
      </c>
      <c r="F297" s="236" t="s">
        <v>3138</v>
      </c>
      <c r="G297" s="238">
        <v>3635</v>
      </c>
      <c r="H297" s="236" t="s">
        <v>3139</v>
      </c>
      <c r="I297" s="236" t="s">
        <v>881</v>
      </c>
      <c r="J297" s="187" t="s">
        <v>58</v>
      </c>
      <c r="K297" s="187" t="s">
        <v>57</v>
      </c>
      <c r="L297" s="1052">
        <v>0.5</v>
      </c>
      <c r="M297" s="191"/>
      <c r="N297" s="192" t="s">
        <v>893</v>
      </c>
      <c r="O297" s="193"/>
      <c r="P297" s="1331">
        <v>20000000000</v>
      </c>
      <c r="Q297" s="1193">
        <v>0.15</v>
      </c>
      <c r="R297" s="1331"/>
      <c r="S297" s="195">
        <f t="shared" si="8"/>
        <v>0</v>
      </c>
      <c r="T297" s="196">
        <f t="shared" si="9"/>
        <v>0</v>
      </c>
      <c r="U297" s="197" t="s">
        <v>34</v>
      </c>
      <c r="V297" s="1248">
        <f>SUM(T297:T308)%</f>
        <v>0</v>
      </c>
      <c r="W297" s="243"/>
    </row>
    <row r="298" spans="1:23" ht="22.95" customHeight="1" x14ac:dyDescent="0.4">
      <c r="A298" s="788">
        <v>297</v>
      </c>
      <c r="B298" s="198" t="s">
        <v>2616</v>
      </c>
      <c r="C298" s="199" t="s">
        <v>24</v>
      </c>
      <c r="D298" s="1169">
        <v>5719</v>
      </c>
      <c r="E298" s="198" t="s">
        <v>3137</v>
      </c>
      <c r="F298" s="198" t="s">
        <v>3138</v>
      </c>
      <c r="G298" s="200">
        <v>3635</v>
      </c>
      <c r="H298" s="198" t="s">
        <v>3139</v>
      </c>
      <c r="I298" s="198" t="s">
        <v>881</v>
      </c>
      <c r="J298" s="692" t="s">
        <v>58</v>
      </c>
      <c r="K298" s="692" t="s">
        <v>57</v>
      </c>
      <c r="L298" s="1067">
        <v>0.5</v>
      </c>
      <c r="M298" s="202"/>
      <c r="N298" s="203" t="s">
        <v>885</v>
      </c>
      <c r="O298" s="211"/>
      <c r="P298" s="206">
        <v>1</v>
      </c>
      <c r="Q298" s="1196">
        <v>0.15</v>
      </c>
      <c r="R298" s="206"/>
      <c r="S298" s="206">
        <f t="shared" si="8"/>
        <v>0</v>
      </c>
      <c r="T298" s="207">
        <f t="shared" si="9"/>
        <v>0</v>
      </c>
      <c r="U298" s="208" t="s">
        <v>34</v>
      </c>
      <c r="V298" s="1198"/>
      <c r="W298" s="210"/>
    </row>
    <row r="299" spans="1:23" ht="22.95" customHeight="1" x14ac:dyDescent="0.4">
      <c r="A299" s="788">
        <v>298</v>
      </c>
      <c r="B299" s="198" t="s">
        <v>2616</v>
      </c>
      <c r="C299" s="199" t="s">
        <v>24</v>
      </c>
      <c r="D299" s="1169">
        <v>5719</v>
      </c>
      <c r="E299" s="198" t="s">
        <v>3137</v>
      </c>
      <c r="F299" s="198" t="s">
        <v>3138</v>
      </c>
      <c r="G299" s="200">
        <v>3635</v>
      </c>
      <c r="H299" s="198" t="s">
        <v>3139</v>
      </c>
      <c r="I299" s="198" t="s">
        <v>881</v>
      </c>
      <c r="J299" s="692" t="s">
        <v>58</v>
      </c>
      <c r="K299" s="692" t="s">
        <v>57</v>
      </c>
      <c r="L299" s="1067">
        <v>0.5</v>
      </c>
      <c r="M299" s="202"/>
      <c r="N299" s="203" t="s">
        <v>3130</v>
      </c>
      <c r="O299" s="211"/>
      <c r="P299" s="206">
        <v>1</v>
      </c>
      <c r="Q299" s="1196">
        <v>0.2</v>
      </c>
      <c r="R299" s="206"/>
      <c r="S299" s="206">
        <f t="shared" si="8"/>
        <v>0</v>
      </c>
      <c r="T299" s="207">
        <f t="shared" si="9"/>
        <v>0</v>
      </c>
      <c r="U299" s="208" t="s">
        <v>34</v>
      </c>
      <c r="V299" s="1198"/>
      <c r="W299" s="210"/>
    </row>
    <row r="300" spans="1:23" ht="22.95" customHeight="1" x14ac:dyDescent="0.4">
      <c r="A300" s="788">
        <v>299</v>
      </c>
      <c r="B300" s="198" t="s">
        <v>2616</v>
      </c>
      <c r="C300" s="199" t="s">
        <v>24</v>
      </c>
      <c r="D300" s="1169">
        <v>5719</v>
      </c>
      <c r="E300" s="198" t="s">
        <v>3137</v>
      </c>
      <c r="F300" s="198" t="s">
        <v>3138</v>
      </c>
      <c r="G300" s="200">
        <v>3635</v>
      </c>
      <c r="H300" s="198" t="s">
        <v>3139</v>
      </c>
      <c r="I300" s="198" t="s">
        <v>881</v>
      </c>
      <c r="J300" s="692" t="s">
        <v>58</v>
      </c>
      <c r="K300" s="692" t="s">
        <v>57</v>
      </c>
      <c r="L300" s="1067">
        <v>0.5</v>
      </c>
      <c r="M300" s="202"/>
      <c r="N300" s="203" t="s">
        <v>3140</v>
      </c>
      <c r="O300" s="211"/>
      <c r="P300" s="775">
        <v>12</v>
      </c>
      <c r="Q300" s="1196">
        <v>0.2</v>
      </c>
      <c r="R300" s="775"/>
      <c r="S300" s="206">
        <f t="shared" si="8"/>
        <v>0</v>
      </c>
      <c r="T300" s="207">
        <f t="shared" si="9"/>
        <v>0</v>
      </c>
      <c r="U300" s="208" t="s">
        <v>34</v>
      </c>
      <c r="V300" s="1198"/>
      <c r="W300" s="210"/>
    </row>
    <row r="301" spans="1:23" ht="22.95" customHeight="1" x14ac:dyDescent="0.4">
      <c r="A301" s="788">
        <v>300</v>
      </c>
      <c r="B301" s="198" t="s">
        <v>2616</v>
      </c>
      <c r="C301" s="199" t="s">
        <v>24</v>
      </c>
      <c r="D301" s="1169">
        <v>5719</v>
      </c>
      <c r="E301" s="198" t="s">
        <v>3137</v>
      </c>
      <c r="F301" s="198" t="s">
        <v>3138</v>
      </c>
      <c r="G301" s="200">
        <v>3635</v>
      </c>
      <c r="H301" s="198" t="s">
        <v>3139</v>
      </c>
      <c r="I301" s="198" t="s">
        <v>881</v>
      </c>
      <c r="J301" s="692" t="s">
        <v>58</v>
      </c>
      <c r="K301" s="692" t="s">
        <v>57</v>
      </c>
      <c r="L301" s="1067">
        <v>0.5</v>
      </c>
      <c r="M301" s="202"/>
      <c r="N301" s="203" t="s">
        <v>3128</v>
      </c>
      <c r="O301" s="211"/>
      <c r="P301" s="206">
        <v>1</v>
      </c>
      <c r="Q301" s="1196">
        <v>0.2</v>
      </c>
      <c r="R301" s="206"/>
      <c r="S301" s="206">
        <f t="shared" si="8"/>
        <v>0</v>
      </c>
      <c r="T301" s="207">
        <f t="shared" si="9"/>
        <v>0</v>
      </c>
      <c r="U301" s="208" t="s">
        <v>34</v>
      </c>
      <c r="V301" s="1198"/>
      <c r="W301" s="210"/>
    </row>
    <row r="302" spans="1:23" ht="22.95" customHeight="1" x14ac:dyDescent="0.4">
      <c r="A302" s="788">
        <v>301</v>
      </c>
      <c r="B302" s="198" t="s">
        <v>2616</v>
      </c>
      <c r="C302" s="199" t="s">
        <v>24</v>
      </c>
      <c r="D302" s="1169">
        <v>5719</v>
      </c>
      <c r="E302" s="198" t="s">
        <v>3137</v>
      </c>
      <c r="F302" s="198" t="s">
        <v>3138</v>
      </c>
      <c r="G302" s="200">
        <v>3635</v>
      </c>
      <c r="H302" s="198" t="s">
        <v>3139</v>
      </c>
      <c r="I302" s="198" t="s">
        <v>881</v>
      </c>
      <c r="J302" s="692" t="s">
        <v>58</v>
      </c>
      <c r="K302" s="692" t="s">
        <v>57</v>
      </c>
      <c r="L302" s="1067">
        <v>0.5</v>
      </c>
      <c r="M302" s="202"/>
      <c r="N302" s="203" t="s">
        <v>3124</v>
      </c>
      <c r="O302" s="211"/>
      <c r="P302" s="206">
        <v>1</v>
      </c>
      <c r="Q302" s="1196">
        <v>0.1</v>
      </c>
      <c r="R302" s="206"/>
      <c r="S302" s="206">
        <f t="shared" si="8"/>
        <v>0</v>
      </c>
      <c r="T302" s="207">
        <f t="shared" si="9"/>
        <v>0</v>
      </c>
      <c r="U302" s="208" t="s">
        <v>34</v>
      </c>
      <c r="V302" s="1198"/>
      <c r="W302" s="210"/>
    </row>
    <row r="303" spans="1:23" ht="22.95" customHeight="1" x14ac:dyDescent="0.4">
      <c r="A303" s="788">
        <v>302</v>
      </c>
      <c r="B303" s="198" t="s">
        <v>2616</v>
      </c>
      <c r="C303" s="199" t="s">
        <v>24</v>
      </c>
      <c r="D303" s="1169">
        <v>5719</v>
      </c>
      <c r="E303" s="198" t="s">
        <v>3137</v>
      </c>
      <c r="F303" s="198" t="s">
        <v>3138</v>
      </c>
      <c r="G303" s="200">
        <v>3635</v>
      </c>
      <c r="H303" s="198" t="s">
        <v>3139</v>
      </c>
      <c r="I303" s="198" t="s">
        <v>881</v>
      </c>
      <c r="J303" s="199" t="s">
        <v>111</v>
      </c>
      <c r="K303" s="199" t="s">
        <v>110</v>
      </c>
      <c r="L303" s="1145">
        <v>0.5</v>
      </c>
      <c r="M303" s="213"/>
      <c r="N303" s="214" t="s">
        <v>3141</v>
      </c>
      <c r="O303" s="220"/>
      <c r="P303" s="234">
        <v>1</v>
      </c>
      <c r="Q303" s="1308">
        <v>0.1</v>
      </c>
      <c r="R303" s="234"/>
      <c r="S303" s="216">
        <f t="shared" si="8"/>
        <v>0</v>
      </c>
      <c r="T303" s="217">
        <f t="shared" si="9"/>
        <v>0</v>
      </c>
      <c r="U303" s="218" t="s">
        <v>34</v>
      </c>
      <c r="V303" s="1198"/>
      <c r="W303" s="210"/>
    </row>
    <row r="304" spans="1:23" ht="22.95" customHeight="1" x14ac:dyDescent="0.4">
      <c r="A304" s="788">
        <v>303</v>
      </c>
      <c r="B304" s="198" t="s">
        <v>2616</v>
      </c>
      <c r="C304" s="199" t="s">
        <v>24</v>
      </c>
      <c r="D304" s="1169">
        <v>5719</v>
      </c>
      <c r="E304" s="198" t="s">
        <v>3137</v>
      </c>
      <c r="F304" s="198" t="s">
        <v>3138</v>
      </c>
      <c r="G304" s="200">
        <v>3635</v>
      </c>
      <c r="H304" s="198" t="s">
        <v>3139</v>
      </c>
      <c r="I304" s="198" t="s">
        <v>881</v>
      </c>
      <c r="J304" s="199" t="s">
        <v>111</v>
      </c>
      <c r="K304" s="199" t="s">
        <v>110</v>
      </c>
      <c r="L304" s="1145">
        <v>0.5</v>
      </c>
      <c r="M304" s="213"/>
      <c r="N304" s="879" t="s">
        <v>3142</v>
      </c>
      <c r="O304" s="220"/>
      <c r="P304" s="234">
        <v>1</v>
      </c>
      <c r="Q304" s="1308">
        <v>0.2</v>
      </c>
      <c r="R304" s="234"/>
      <c r="S304" s="216">
        <f t="shared" si="8"/>
        <v>0</v>
      </c>
      <c r="T304" s="217">
        <f t="shared" si="9"/>
        <v>0</v>
      </c>
      <c r="U304" s="218" t="s">
        <v>34</v>
      </c>
      <c r="V304" s="1198"/>
      <c r="W304" s="210"/>
    </row>
    <row r="305" spans="1:23" ht="22.95" customHeight="1" x14ac:dyDescent="0.4">
      <c r="A305" s="788">
        <v>304</v>
      </c>
      <c r="B305" s="198" t="s">
        <v>2616</v>
      </c>
      <c r="C305" s="199" t="s">
        <v>24</v>
      </c>
      <c r="D305" s="1169">
        <v>5719</v>
      </c>
      <c r="E305" s="198" t="s">
        <v>3137</v>
      </c>
      <c r="F305" s="198" t="s">
        <v>3138</v>
      </c>
      <c r="G305" s="200">
        <v>3635</v>
      </c>
      <c r="H305" s="198" t="s">
        <v>3139</v>
      </c>
      <c r="I305" s="198" t="s">
        <v>881</v>
      </c>
      <c r="J305" s="199" t="s">
        <v>111</v>
      </c>
      <c r="K305" s="199" t="s">
        <v>110</v>
      </c>
      <c r="L305" s="1145">
        <v>0.5</v>
      </c>
      <c r="M305" s="213"/>
      <c r="N305" s="879" t="s">
        <v>3143</v>
      </c>
      <c r="O305" s="220"/>
      <c r="P305" s="234">
        <v>1</v>
      </c>
      <c r="Q305" s="1308">
        <v>0.2</v>
      </c>
      <c r="R305" s="234"/>
      <c r="S305" s="216">
        <f t="shared" si="8"/>
        <v>0</v>
      </c>
      <c r="T305" s="217">
        <f t="shared" si="9"/>
        <v>0</v>
      </c>
      <c r="U305" s="218" t="s">
        <v>34</v>
      </c>
      <c r="V305" s="1198"/>
      <c r="W305" s="210"/>
    </row>
    <row r="306" spans="1:23" ht="22.95" customHeight="1" x14ac:dyDescent="0.4">
      <c r="A306" s="788">
        <v>305</v>
      </c>
      <c r="B306" s="198" t="s">
        <v>2616</v>
      </c>
      <c r="C306" s="199" t="s">
        <v>24</v>
      </c>
      <c r="D306" s="1169">
        <v>5719</v>
      </c>
      <c r="E306" s="198" t="s">
        <v>3137</v>
      </c>
      <c r="F306" s="198" t="s">
        <v>3138</v>
      </c>
      <c r="G306" s="200">
        <v>3635</v>
      </c>
      <c r="H306" s="198" t="s">
        <v>3139</v>
      </c>
      <c r="I306" s="198" t="s">
        <v>881</v>
      </c>
      <c r="J306" s="199" t="s">
        <v>111</v>
      </c>
      <c r="K306" s="199" t="s">
        <v>110</v>
      </c>
      <c r="L306" s="1145">
        <v>0.5</v>
      </c>
      <c r="M306" s="213"/>
      <c r="N306" s="879" t="s">
        <v>3144</v>
      </c>
      <c r="O306" s="220"/>
      <c r="P306" s="234">
        <v>1</v>
      </c>
      <c r="Q306" s="1308">
        <v>0.2</v>
      </c>
      <c r="R306" s="234"/>
      <c r="S306" s="216">
        <f t="shared" si="8"/>
        <v>0</v>
      </c>
      <c r="T306" s="217">
        <f t="shared" si="9"/>
        <v>0</v>
      </c>
      <c r="U306" s="218" t="s">
        <v>34</v>
      </c>
      <c r="V306" s="1198"/>
      <c r="W306" s="210"/>
    </row>
    <row r="307" spans="1:23" ht="22.95" customHeight="1" x14ac:dyDescent="0.4">
      <c r="A307" s="788">
        <v>306</v>
      </c>
      <c r="B307" s="198" t="s">
        <v>2616</v>
      </c>
      <c r="C307" s="199" t="s">
        <v>24</v>
      </c>
      <c r="D307" s="1169">
        <v>5719</v>
      </c>
      <c r="E307" s="198" t="s">
        <v>3137</v>
      </c>
      <c r="F307" s="198" t="s">
        <v>3138</v>
      </c>
      <c r="G307" s="200">
        <v>3635</v>
      </c>
      <c r="H307" s="198" t="s">
        <v>3139</v>
      </c>
      <c r="I307" s="198" t="s">
        <v>881</v>
      </c>
      <c r="J307" s="199" t="s">
        <v>111</v>
      </c>
      <c r="K307" s="199" t="s">
        <v>110</v>
      </c>
      <c r="L307" s="1145">
        <v>0.5</v>
      </c>
      <c r="M307" s="213"/>
      <c r="N307" s="214" t="s">
        <v>3145</v>
      </c>
      <c r="O307" s="220"/>
      <c r="P307" s="234">
        <v>1</v>
      </c>
      <c r="Q307" s="1308">
        <v>0.15</v>
      </c>
      <c r="R307" s="234"/>
      <c r="S307" s="216">
        <f t="shared" si="8"/>
        <v>0</v>
      </c>
      <c r="T307" s="217">
        <f t="shared" si="9"/>
        <v>0</v>
      </c>
      <c r="U307" s="218" t="s">
        <v>34</v>
      </c>
      <c r="V307" s="1198"/>
      <c r="W307" s="210"/>
    </row>
    <row r="308" spans="1:23" ht="22.95" customHeight="1" x14ac:dyDescent="0.4">
      <c r="A308" s="788">
        <v>307</v>
      </c>
      <c r="B308" s="198" t="s">
        <v>2616</v>
      </c>
      <c r="C308" s="199" t="s">
        <v>24</v>
      </c>
      <c r="D308" s="1169">
        <v>5719</v>
      </c>
      <c r="E308" s="198" t="s">
        <v>3137</v>
      </c>
      <c r="F308" s="198" t="s">
        <v>3138</v>
      </c>
      <c r="G308" s="200">
        <v>3635</v>
      </c>
      <c r="H308" s="198" t="s">
        <v>3139</v>
      </c>
      <c r="I308" s="198" t="s">
        <v>881</v>
      </c>
      <c r="J308" s="199" t="s">
        <v>111</v>
      </c>
      <c r="K308" s="199" t="s">
        <v>110</v>
      </c>
      <c r="L308" s="1145">
        <v>0.5</v>
      </c>
      <c r="M308" s="213"/>
      <c r="N308" s="214" t="s">
        <v>3146</v>
      </c>
      <c r="O308" s="220"/>
      <c r="P308" s="234">
        <v>1</v>
      </c>
      <c r="Q308" s="1308">
        <v>0.15</v>
      </c>
      <c r="R308" s="234"/>
      <c r="S308" s="216">
        <f t="shared" si="8"/>
        <v>0</v>
      </c>
      <c r="T308" s="217">
        <f t="shared" si="9"/>
        <v>0</v>
      </c>
      <c r="U308" s="218" t="s">
        <v>34</v>
      </c>
      <c r="V308" s="1198"/>
      <c r="W308" s="210"/>
    </row>
    <row r="309" spans="1:23" ht="22.95" customHeight="1" x14ac:dyDescent="0.4">
      <c r="A309" s="788">
        <v>308</v>
      </c>
      <c r="B309" s="236" t="s">
        <v>2616</v>
      </c>
      <c r="C309" s="187" t="s">
        <v>24</v>
      </c>
      <c r="D309" s="1164">
        <v>6194</v>
      </c>
      <c r="E309" s="236" t="s">
        <v>3147</v>
      </c>
      <c r="F309" s="236" t="s">
        <v>3138</v>
      </c>
      <c r="G309" s="238">
        <v>2418</v>
      </c>
      <c r="H309" s="243" t="s">
        <v>3139</v>
      </c>
      <c r="I309" s="236" t="s">
        <v>881</v>
      </c>
      <c r="J309" s="187" t="s">
        <v>58</v>
      </c>
      <c r="K309" s="187" t="s">
        <v>57</v>
      </c>
      <c r="L309" s="1052">
        <v>0.5</v>
      </c>
      <c r="M309" s="191"/>
      <c r="N309" s="192" t="s">
        <v>893</v>
      </c>
      <c r="O309" s="193"/>
      <c r="P309" s="1331">
        <v>20000000000</v>
      </c>
      <c r="Q309" s="1193">
        <v>0.15</v>
      </c>
      <c r="R309" s="1331"/>
      <c r="S309" s="195">
        <f t="shared" si="8"/>
        <v>0</v>
      </c>
      <c r="T309" s="196">
        <f t="shared" si="9"/>
        <v>0</v>
      </c>
      <c r="U309" s="197" t="s">
        <v>34</v>
      </c>
      <c r="V309" s="1248">
        <f>SUM(T309:T321)%</f>
        <v>0</v>
      </c>
      <c r="W309" s="243"/>
    </row>
    <row r="310" spans="1:23" ht="22.95" customHeight="1" x14ac:dyDescent="0.4">
      <c r="A310" s="788">
        <v>309</v>
      </c>
      <c r="B310" s="198" t="s">
        <v>2616</v>
      </c>
      <c r="C310" s="199" t="s">
        <v>24</v>
      </c>
      <c r="D310" s="1169">
        <v>6194</v>
      </c>
      <c r="E310" s="198" t="s">
        <v>3147</v>
      </c>
      <c r="F310" s="198" t="s">
        <v>3138</v>
      </c>
      <c r="G310" s="200">
        <v>2418</v>
      </c>
      <c r="H310" s="198" t="s">
        <v>3139</v>
      </c>
      <c r="I310" s="198" t="s">
        <v>881</v>
      </c>
      <c r="J310" s="692" t="s">
        <v>58</v>
      </c>
      <c r="K310" s="692" t="s">
        <v>57</v>
      </c>
      <c r="L310" s="1067">
        <v>0.5</v>
      </c>
      <c r="M310" s="202"/>
      <c r="N310" s="203" t="s">
        <v>3126</v>
      </c>
      <c r="O310" s="211"/>
      <c r="P310" s="206">
        <v>1</v>
      </c>
      <c r="Q310" s="1196">
        <v>0.15</v>
      </c>
      <c r="R310" s="206"/>
      <c r="S310" s="206">
        <f t="shared" si="8"/>
        <v>0</v>
      </c>
      <c r="T310" s="207">
        <f t="shared" si="9"/>
        <v>0</v>
      </c>
      <c r="U310" s="208" t="s">
        <v>34</v>
      </c>
      <c r="V310" s="1198"/>
      <c r="W310" s="210"/>
    </row>
    <row r="311" spans="1:23" ht="22.95" customHeight="1" x14ac:dyDescent="0.4">
      <c r="A311" s="788">
        <v>310</v>
      </c>
      <c r="B311" s="198" t="s">
        <v>2616</v>
      </c>
      <c r="C311" s="199" t="s">
        <v>24</v>
      </c>
      <c r="D311" s="1169">
        <v>6194</v>
      </c>
      <c r="E311" s="198" t="s">
        <v>3147</v>
      </c>
      <c r="F311" s="198" t="s">
        <v>3138</v>
      </c>
      <c r="G311" s="200">
        <v>2418</v>
      </c>
      <c r="H311" s="198" t="s">
        <v>3139</v>
      </c>
      <c r="I311" s="198" t="s">
        <v>881</v>
      </c>
      <c r="J311" s="692" t="s">
        <v>58</v>
      </c>
      <c r="K311" s="692" t="s">
        <v>57</v>
      </c>
      <c r="L311" s="1067">
        <v>0.5</v>
      </c>
      <c r="M311" s="202"/>
      <c r="N311" s="203" t="s">
        <v>3130</v>
      </c>
      <c r="O311" s="211"/>
      <c r="P311" s="206">
        <v>1</v>
      </c>
      <c r="Q311" s="1196">
        <v>0.2</v>
      </c>
      <c r="R311" s="206"/>
      <c r="S311" s="206">
        <f t="shared" si="8"/>
        <v>0</v>
      </c>
      <c r="T311" s="207">
        <f t="shared" si="9"/>
        <v>0</v>
      </c>
      <c r="U311" s="208" t="s">
        <v>34</v>
      </c>
      <c r="V311" s="1198"/>
      <c r="W311" s="210"/>
    </row>
    <row r="312" spans="1:23" ht="22.95" customHeight="1" x14ac:dyDescent="0.4">
      <c r="A312" s="788">
        <v>311</v>
      </c>
      <c r="B312" s="198" t="s">
        <v>2616</v>
      </c>
      <c r="C312" s="199" t="s">
        <v>24</v>
      </c>
      <c r="D312" s="1169">
        <v>6194</v>
      </c>
      <c r="E312" s="198" t="s">
        <v>3147</v>
      </c>
      <c r="F312" s="198" t="s">
        <v>3138</v>
      </c>
      <c r="G312" s="200">
        <v>2418</v>
      </c>
      <c r="H312" s="198" t="s">
        <v>3139</v>
      </c>
      <c r="I312" s="198" t="s">
        <v>881</v>
      </c>
      <c r="J312" s="692" t="s">
        <v>58</v>
      </c>
      <c r="K312" s="692" t="s">
        <v>57</v>
      </c>
      <c r="L312" s="1067">
        <v>0.5</v>
      </c>
      <c r="M312" s="202"/>
      <c r="N312" s="203" t="s">
        <v>3148</v>
      </c>
      <c r="O312" s="211"/>
      <c r="P312" s="254">
        <v>1</v>
      </c>
      <c r="Q312" s="1201">
        <v>0.2</v>
      </c>
      <c r="R312" s="254"/>
      <c r="S312" s="206">
        <f t="shared" si="8"/>
        <v>0</v>
      </c>
      <c r="T312" s="207">
        <f t="shared" si="9"/>
        <v>0</v>
      </c>
      <c r="U312" s="208" t="s">
        <v>34</v>
      </c>
      <c r="V312" s="1198"/>
      <c r="W312" s="210"/>
    </row>
    <row r="313" spans="1:23" ht="22.95" customHeight="1" x14ac:dyDescent="0.4">
      <c r="A313" s="788">
        <v>312</v>
      </c>
      <c r="B313" s="198" t="s">
        <v>2616</v>
      </c>
      <c r="C313" s="199" t="s">
        <v>24</v>
      </c>
      <c r="D313" s="1169">
        <v>6194</v>
      </c>
      <c r="E313" s="198" t="s">
        <v>3147</v>
      </c>
      <c r="F313" s="198" t="s">
        <v>3138</v>
      </c>
      <c r="G313" s="200">
        <v>2418</v>
      </c>
      <c r="H313" s="198" t="s">
        <v>3139</v>
      </c>
      <c r="I313" s="198" t="s">
        <v>881</v>
      </c>
      <c r="J313" s="692" t="s">
        <v>58</v>
      </c>
      <c r="K313" s="692" t="s">
        <v>57</v>
      </c>
      <c r="L313" s="1067">
        <v>0.5</v>
      </c>
      <c r="M313" s="202"/>
      <c r="N313" s="203" t="s">
        <v>3149</v>
      </c>
      <c r="O313" s="211"/>
      <c r="P313" s="206">
        <v>1</v>
      </c>
      <c r="Q313" s="1201">
        <v>0.2</v>
      </c>
      <c r="R313" s="206"/>
      <c r="S313" s="206">
        <f t="shared" si="8"/>
        <v>0</v>
      </c>
      <c r="T313" s="207">
        <f t="shared" si="9"/>
        <v>0</v>
      </c>
      <c r="U313" s="208" t="s">
        <v>34</v>
      </c>
      <c r="V313" s="1198"/>
      <c r="W313" s="210"/>
    </row>
    <row r="314" spans="1:23" ht="22.95" customHeight="1" x14ac:dyDescent="0.4">
      <c r="A314" s="788">
        <v>313</v>
      </c>
      <c r="B314" s="198" t="s">
        <v>2616</v>
      </c>
      <c r="C314" s="199" t="s">
        <v>24</v>
      </c>
      <c r="D314" s="1169">
        <v>6194</v>
      </c>
      <c r="E314" s="198" t="s">
        <v>3147</v>
      </c>
      <c r="F314" s="198" t="s">
        <v>3138</v>
      </c>
      <c r="G314" s="200">
        <v>2418</v>
      </c>
      <c r="H314" s="198" t="s">
        <v>3139</v>
      </c>
      <c r="I314" s="198" t="s">
        <v>881</v>
      </c>
      <c r="J314" s="692" t="s">
        <v>58</v>
      </c>
      <c r="K314" s="692" t="s">
        <v>57</v>
      </c>
      <c r="L314" s="1067">
        <v>0.5</v>
      </c>
      <c r="M314" s="202"/>
      <c r="N314" s="203" t="s">
        <v>3150</v>
      </c>
      <c r="O314" s="211"/>
      <c r="P314" s="206">
        <v>1</v>
      </c>
      <c r="Q314" s="1201">
        <v>0.1</v>
      </c>
      <c r="R314" s="206"/>
      <c r="S314" s="206">
        <f t="shared" si="8"/>
        <v>0</v>
      </c>
      <c r="T314" s="207">
        <f t="shared" si="9"/>
        <v>0</v>
      </c>
      <c r="U314" s="208" t="s">
        <v>34</v>
      </c>
      <c r="V314" s="1198"/>
      <c r="W314" s="210"/>
    </row>
    <row r="315" spans="1:23" ht="22.95" customHeight="1" x14ac:dyDescent="0.4">
      <c r="A315" s="788">
        <v>314</v>
      </c>
      <c r="B315" s="198" t="s">
        <v>2616</v>
      </c>
      <c r="C315" s="199" t="s">
        <v>24</v>
      </c>
      <c r="D315" s="1169">
        <v>6194</v>
      </c>
      <c r="E315" s="198" t="s">
        <v>3147</v>
      </c>
      <c r="F315" s="198" t="s">
        <v>3138</v>
      </c>
      <c r="G315" s="200">
        <v>2418</v>
      </c>
      <c r="H315" s="198" t="s">
        <v>3139</v>
      </c>
      <c r="I315" s="198" t="s">
        <v>881</v>
      </c>
      <c r="J315" s="199" t="s">
        <v>111</v>
      </c>
      <c r="K315" s="199" t="s">
        <v>110</v>
      </c>
      <c r="L315" s="1145">
        <v>0.5</v>
      </c>
      <c r="M315" s="213"/>
      <c r="N315" s="214" t="s">
        <v>3151</v>
      </c>
      <c r="O315" s="220"/>
      <c r="P315" s="768">
        <v>1</v>
      </c>
      <c r="Q315" s="1308">
        <v>0.15</v>
      </c>
      <c r="R315" s="768"/>
      <c r="S315" s="216">
        <f t="shared" si="8"/>
        <v>0</v>
      </c>
      <c r="T315" s="217">
        <f t="shared" si="9"/>
        <v>0</v>
      </c>
      <c r="U315" s="218" t="s">
        <v>34</v>
      </c>
      <c r="V315" s="1198"/>
      <c r="W315" s="210"/>
    </row>
    <row r="316" spans="1:23" ht="22.95" customHeight="1" x14ac:dyDescent="0.4">
      <c r="A316" s="788">
        <v>315</v>
      </c>
      <c r="B316" s="198" t="s">
        <v>2616</v>
      </c>
      <c r="C316" s="199" t="s">
        <v>24</v>
      </c>
      <c r="D316" s="1169">
        <v>6194</v>
      </c>
      <c r="E316" s="198" t="s">
        <v>3147</v>
      </c>
      <c r="F316" s="198" t="s">
        <v>3138</v>
      </c>
      <c r="G316" s="200">
        <v>2418</v>
      </c>
      <c r="H316" s="198" t="s">
        <v>3139</v>
      </c>
      <c r="I316" s="198" t="s">
        <v>881</v>
      </c>
      <c r="J316" s="199" t="s">
        <v>111</v>
      </c>
      <c r="K316" s="199" t="s">
        <v>110</v>
      </c>
      <c r="L316" s="1145">
        <v>0.5</v>
      </c>
      <c r="M316" s="213"/>
      <c r="N316" s="214" t="s">
        <v>3152</v>
      </c>
      <c r="O316" s="220"/>
      <c r="P316" s="1333">
        <v>1</v>
      </c>
      <c r="Q316" s="1308">
        <v>0.15</v>
      </c>
      <c r="R316" s="1333"/>
      <c r="S316" s="216">
        <f t="shared" si="8"/>
        <v>0</v>
      </c>
      <c r="T316" s="217">
        <f t="shared" si="9"/>
        <v>0</v>
      </c>
      <c r="U316" s="218" t="s">
        <v>34</v>
      </c>
      <c r="V316" s="1198"/>
      <c r="W316" s="210"/>
    </row>
    <row r="317" spans="1:23" ht="22.95" customHeight="1" x14ac:dyDescent="0.4">
      <c r="A317" s="788">
        <v>316</v>
      </c>
      <c r="B317" s="198" t="s">
        <v>2616</v>
      </c>
      <c r="C317" s="199" t="s">
        <v>24</v>
      </c>
      <c r="D317" s="1169">
        <v>6194</v>
      </c>
      <c r="E317" s="198" t="s">
        <v>3147</v>
      </c>
      <c r="F317" s="198" t="s">
        <v>3138</v>
      </c>
      <c r="G317" s="200">
        <v>2418</v>
      </c>
      <c r="H317" s="198" t="s">
        <v>3139</v>
      </c>
      <c r="I317" s="198" t="s">
        <v>881</v>
      </c>
      <c r="J317" s="199" t="s">
        <v>111</v>
      </c>
      <c r="K317" s="199" t="s">
        <v>110</v>
      </c>
      <c r="L317" s="1145">
        <v>0.5</v>
      </c>
      <c r="M317" s="213"/>
      <c r="N317" s="879" t="s">
        <v>3142</v>
      </c>
      <c r="O317" s="220"/>
      <c r="P317" s="768">
        <v>1</v>
      </c>
      <c r="Q317" s="1308">
        <v>0.15</v>
      </c>
      <c r="R317" s="768"/>
      <c r="S317" s="216">
        <f t="shared" si="8"/>
        <v>0</v>
      </c>
      <c r="T317" s="217">
        <f t="shared" si="9"/>
        <v>0</v>
      </c>
      <c r="U317" s="218" t="s">
        <v>34</v>
      </c>
      <c r="V317" s="1198"/>
      <c r="W317" s="210"/>
    </row>
    <row r="318" spans="1:23" ht="22.95" customHeight="1" x14ac:dyDescent="0.4">
      <c r="A318" s="788">
        <v>317</v>
      </c>
      <c r="B318" s="198" t="s">
        <v>2616</v>
      </c>
      <c r="C318" s="199" t="s">
        <v>24</v>
      </c>
      <c r="D318" s="1169">
        <v>6194</v>
      </c>
      <c r="E318" s="198" t="s">
        <v>3147</v>
      </c>
      <c r="F318" s="198" t="s">
        <v>3138</v>
      </c>
      <c r="G318" s="200">
        <v>2420</v>
      </c>
      <c r="H318" s="198" t="s">
        <v>3139</v>
      </c>
      <c r="I318" s="198" t="s">
        <v>881</v>
      </c>
      <c r="J318" s="199" t="s">
        <v>111</v>
      </c>
      <c r="K318" s="199" t="s">
        <v>110</v>
      </c>
      <c r="L318" s="1145">
        <v>0.5</v>
      </c>
      <c r="M318" s="213"/>
      <c r="N318" s="214" t="s">
        <v>3135</v>
      </c>
      <c r="O318" s="220"/>
      <c r="P318" s="768">
        <v>1</v>
      </c>
      <c r="Q318" s="1308">
        <v>0.15</v>
      </c>
      <c r="R318" s="768"/>
      <c r="S318" s="216">
        <f t="shared" si="8"/>
        <v>0</v>
      </c>
      <c r="T318" s="217">
        <f t="shared" si="9"/>
        <v>0</v>
      </c>
      <c r="U318" s="218" t="s">
        <v>34</v>
      </c>
      <c r="V318" s="1198"/>
      <c r="W318" s="210"/>
    </row>
    <row r="319" spans="1:23" ht="22.95" customHeight="1" x14ac:dyDescent="0.4">
      <c r="A319" s="788">
        <v>318</v>
      </c>
      <c r="B319" s="198" t="s">
        <v>2616</v>
      </c>
      <c r="C319" s="199" t="s">
        <v>24</v>
      </c>
      <c r="D319" s="1169">
        <v>6194</v>
      </c>
      <c r="E319" s="198" t="s">
        <v>3147</v>
      </c>
      <c r="F319" s="198" t="s">
        <v>3138</v>
      </c>
      <c r="G319" s="200">
        <v>2418</v>
      </c>
      <c r="H319" s="198" t="s">
        <v>3139</v>
      </c>
      <c r="I319" s="198" t="s">
        <v>881</v>
      </c>
      <c r="J319" s="199" t="s">
        <v>111</v>
      </c>
      <c r="K319" s="199" t="s">
        <v>110</v>
      </c>
      <c r="L319" s="1145">
        <v>0.5</v>
      </c>
      <c r="M319" s="213"/>
      <c r="N319" s="214" t="s">
        <v>3136</v>
      </c>
      <c r="O319" s="220"/>
      <c r="P319" s="768">
        <v>1</v>
      </c>
      <c r="Q319" s="1308">
        <v>0.15</v>
      </c>
      <c r="R319" s="768"/>
      <c r="S319" s="216">
        <f t="shared" si="8"/>
        <v>0</v>
      </c>
      <c r="T319" s="217">
        <f t="shared" si="9"/>
        <v>0</v>
      </c>
      <c r="U319" s="218" t="s">
        <v>34</v>
      </c>
      <c r="V319" s="1198"/>
      <c r="W319" s="210"/>
    </row>
    <row r="320" spans="1:23" ht="22.95" customHeight="1" x14ac:dyDescent="0.4">
      <c r="A320" s="788">
        <v>319</v>
      </c>
      <c r="B320" s="198" t="s">
        <v>2616</v>
      </c>
      <c r="C320" s="199" t="s">
        <v>24</v>
      </c>
      <c r="D320" s="1169">
        <v>6194</v>
      </c>
      <c r="E320" s="198" t="s">
        <v>3147</v>
      </c>
      <c r="F320" s="198" t="s">
        <v>3138</v>
      </c>
      <c r="G320" s="200">
        <v>2419</v>
      </c>
      <c r="H320" s="198" t="s">
        <v>3139</v>
      </c>
      <c r="I320" s="198" t="s">
        <v>881</v>
      </c>
      <c r="J320" s="199" t="s">
        <v>111</v>
      </c>
      <c r="K320" s="199" t="s">
        <v>110</v>
      </c>
      <c r="L320" s="1145">
        <v>0.5</v>
      </c>
      <c r="M320" s="213"/>
      <c r="N320" s="214" t="s">
        <v>3153</v>
      </c>
      <c r="O320" s="220"/>
      <c r="P320" s="768">
        <v>1</v>
      </c>
      <c r="Q320" s="1308">
        <v>0.1</v>
      </c>
      <c r="R320" s="768"/>
      <c r="S320" s="216">
        <f t="shared" si="8"/>
        <v>0</v>
      </c>
      <c r="T320" s="217">
        <f t="shared" si="9"/>
        <v>0</v>
      </c>
      <c r="U320" s="218" t="s">
        <v>34</v>
      </c>
      <c r="V320" s="1198"/>
      <c r="W320" s="210"/>
    </row>
    <row r="321" spans="1:23" ht="22.95" customHeight="1" x14ac:dyDescent="0.4">
      <c r="A321" s="788">
        <v>320</v>
      </c>
      <c r="B321" s="198" t="s">
        <v>2616</v>
      </c>
      <c r="C321" s="199" t="s">
        <v>24</v>
      </c>
      <c r="D321" s="1169">
        <v>6194</v>
      </c>
      <c r="E321" s="198" t="s">
        <v>3147</v>
      </c>
      <c r="F321" s="198" t="s">
        <v>3138</v>
      </c>
      <c r="G321" s="200">
        <v>2420</v>
      </c>
      <c r="H321" s="198" t="s">
        <v>3139</v>
      </c>
      <c r="I321" s="198" t="s">
        <v>881</v>
      </c>
      <c r="J321" s="199" t="s">
        <v>111</v>
      </c>
      <c r="K321" s="199" t="s">
        <v>110</v>
      </c>
      <c r="L321" s="1145">
        <v>0.5</v>
      </c>
      <c r="M321" s="213"/>
      <c r="N321" s="214" t="s">
        <v>3154</v>
      </c>
      <c r="O321" s="220"/>
      <c r="P321" s="768">
        <v>1</v>
      </c>
      <c r="Q321" s="1308">
        <v>0.15</v>
      </c>
      <c r="R321" s="768"/>
      <c r="S321" s="216">
        <f t="shared" si="8"/>
        <v>0</v>
      </c>
      <c r="T321" s="217">
        <f t="shared" si="9"/>
        <v>0</v>
      </c>
      <c r="U321" s="218" t="s">
        <v>34</v>
      </c>
      <c r="V321" s="1198"/>
      <c r="W321" s="210"/>
    </row>
    <row r="322" spans="1:23" ht="22.95" customHeight="1" x14ac:dyDescent="0.4">
      <c r="A322" s="788">
        <v>321</v>
      </c>
      <c r="B322" s="236" t="s">
        <v>2616</v>
      </c>
      <c r="C322" s="187" t="s">
        <v>24</v>
      </c>
      <c r="D322" s="1334">
        <v>6535</v>
      </c>
      <c r="E322" s="653" t="s">
        <v>3155</v>
      </c>
      <c r="F322" s="653" t="s">
        <v>3156</v>
      </c>
      <c r="G322" s="674">
        <v>2418</v>
      </c>
      <c r="H322" s="653" t="s">
        <v>3157</v>
      </c>
      <c r="I322" s="653" t="s">
        <v>881</v>
      </c>
      <c r="J322" s="653" t="s">
        <v>58</v>
      </c>
      <c r="K322" s="692" t="s">
        <v>57</v>
      </c>
      <c r="L322" s="1193">
        <v>0.4</v>
      </c>
      <c r="M322" s="1008"/>
      <c r="N322" s="749" t="s">
        <v>3158</v>
      </c>
      <c r="O322" s="749"/>
      <c r="P322" s="1335">
        <v>12</v>
      </c>
      <c r="Q322" s="1193">
        <v>0.25</v>
      </c>
      <c r="R322" s="1335"/>
      <c r="S322" s="195">
        <f t="shared" ref="S322:S385" si="10">ROUND(IF(OR(P322="",R322=""),0,IF(AND(P322=0,R322=0),1,IF(U322="+",R322/P322,P322/R322))),2)</f>
        <v>0</v>
      </c>
      <c r="T322" s="196">
        <f t="shared" ref="T322:T385" si="11">IF(AND(S322&gt;=60%,S322&lt;100%),S322*((Q322*L322)),IF(S322=100%,((Q322*L322)*S322)*100%,IF(S322&gt;100%,((L322*Q322)*100%)*100%,0)))*100</f>
        <v>0</v>
      </c>
      <c r="U322" s="752" t="s">
        <v>34</v>
      </c>
      <c r="V322" s="1327">
        <f>SUM(T322:T329)%</f>
        <v>0</v>
      </c>
      <c r="W322" s="653"/>
    </row>
    <row r="323" spans="1:23" ht="22.95" customHeight="1" x14ac:dyDescent="0.4">
      <c r="A323" s="788">
        <v>322</v>
      </c>
      <c r="B323" s="198" t="s">
        <v>2616</v>
      </c>
      <c r="C323" s="199" t="s">
        <v>24</v>
      </c>
      <c r="D323" s="1336">
        <v>6535</v>
      </c>
      <c r="E323" s="649" t="s">
        <v>3155</v>
      </c>
      <c r="F323" s="649" t="s">
        <v>3156</v>
      </c>
      <c r="G323" s="679">
        <v>2418</v>
      </c>
      <c r="H323" s="649" t="s">
        <v>3157</v>
      </c>
      <c r="I323" s="649" t="s">
        <v>881</v>
      </c>
      <c r="J323" s="692" t="s">
        <v>58</v>
      </c>
      <c r="K323" s="692" t="s">
        <v>57</v>
      </c>
      <c r="L323" s="1196">
        <v>0.4</v>
      </c>
      <c r="M323" s="1009"/>
      <c r="N323" s="757" t="s">
        <v>3159</v>
      </c>
      <c r="O323" s="757"/>
      <c r="P323" s="250">
        <v>12</v>
      </c>
      <c r="Q323" s="1196">
        <v>0.25</v>
      </c>
      <c r="R323" s="250"/>
      <c r="S323" s="206">
        <f t="shared" si="10"/>
        <v>0</v>
      </c>
      <c r="T323" s="207">
        <f t="shared" si="11"/>
        <v>0</v>
      </c>
      <c r="U323" s="254" t="s">
        <v>34</v>
      </c>
      <c r="V323" s="1322"/>
      <c r="W323" s="649"/>
    </row>
    <row r="324" spans="1:23" ht="22.95" customHeight="1" x14ac:dyDescent="0.4">
      <c r="A324" s="788">
        <v>323</v>
      </c>
      <c r="B324" s="198" t="s">
        <v>2616</v>
      </c>
      <c r="C324" s="199" t="s">
        <v>24</v>
      </c>
      <c r="D324" s="1336">
        <v>6535</v>
      </c>
      <c r="E324" s="649" t="s">
        <v>3155</v>
      </c>
      <c r="F324" s="649" t="s">
        <v>3156</v>
      </c>
      <c r="G324" s="679">
        <v>2418</v>
      </c>
      <c r="H324" s="649" t="s">
        <v>3157</v>
      </c>
      <c r="I324" s="649" t="s">
        <v>881</v>
      </c>
      <c r="J324" s="692" t="s">
        <v>58</v>
      </c>
      <c r="K324" s="692" t="s">
        <v>57</v>
      </c>
      <c r="L324" s="1201">
        <v>0.4</v>
      </c>
      <c r="M324" s="1009"/>
      <c r="N324" s="757" t="s">
        <v>3160</v>
      </c>
      <c r="O324" s="757"/>
      <c r="P324" s="250">
        <v>12</v>
      </c>
      <c r="Q324" s="1201">
        <v>0.25</v>
      </c>
      <c r="R324" s="250"/>
      <c r="S324" s="647">
        <f t="shared" si="10"/>
        <v>0</v>
      </c>
      <c r="T324" s="764">
        <f t="shared" si="11"/>
        <v>0</v>
      </c>
      <c r="U324" s="254" t="s">
        <v>34</v>
      </c>
      <c r="V324" s="1324"/>
      <c r="W324" s="649"/>
    </row>
    <row r="325" spans="1:23" ht="22.95" customHeight="1" x14ac:dyDescent="0.4">
      <c r="A325" s="788">
        <v>324</v>
      </c>
      <c r="B325" s="198" t="s">
        <v>2616</v>
      </c>
      <c r="C325" s="199" t="s">
        <v>24</v>
      </c>
      <c r="D325" s="1336">
        <v>6535</v>
      </c>
      <c r="E325" s="649" t="s">
        <v>3155</v>
      </c>
      <c r="F325" s="649" t="s">
        <v>3156</v>
      </c>
      <c r="G325" s="679">
        <v>2418</v>
      </c>
      <c r="H325" s="649" t="s">
        <v>3157</v>
      </c>
      <c r="I325" s="649" t="s">
        <v>881</v>
      </c>
      <c r="J325" s="692" t="s">
        <v>58</v>
      </c>
      <c r="K325" s="692" t="s">
        <v>57</v>
      </c>
      <c r="L325" s="1201">
        <v>0.4</v>
      </c>
      <c r="M325" s="1009"/>
      <c r="N325" s="757" t="s">
        <v>3161</v>
      </c>
      <c r="O325" s="757"/>
      <c r="P325" s="250">
        <v>12</v>
      </c>
      <c r="Q325" s="1201">
        <v>0.25</v>
      </c>
      <c r="R325" s="250"/>
      <c r="S325" s="647">
        <f t="shared" si="10"/>
        <v>0</v>
      </c>
      <c r="T325" s="764">
        <f t="shared" si="11"/>
        <v>0</v>
      </c>
      <c r="U325" s="254" t="s">
        <v>34</v>
      </c>
      <c r="V325" s="1324"/>
      <c r="W325" s="649"/>
    </row>
    <row r="326" spans="1:23" ht="22.95" customHeight="1" x14ac:dyDescent="0.4">
      <c r="A326" s="788">
        <v>325</v>
      </c>
      <c r="B326" s="198" t="s">
        <v>2616</v>
      </c>
      <c r="C326" s="199" t="s">
        <v>24</v>
      </c>
      <c r="D326" s="1336">
        <v>6535</v>
      </c>
      <c r="E326" s="199" t="s">
        <v>3155</v>
      </c>
      <c r="F326" s="199" t="s">
        <v>3156</v>
      </c>
      <c r="G326" s="679">
        <v>2418</v>
      </c>
      <c r="H326" s="199" t="s">
        <v>3157</v>
      </c>
      <c r="I326" s="199" t="s">
        <v>881</v>
      </c>
      <c r="J326" s="210" t="s">
        <v>111</v>
      </c>
      <c r="K326" s="210" t="s">
        <v>110</v>
      </c>
      <c r="L326" s="1063">
        <v>0.6</v>
      </c>
      <c r="M326" s="1337"/>
      <c r="N326" s="767" t="s">
        <v>3162</v>
      </c>
      <c r="O326" s="767"/>
      <c r="P326" s="768">
        <v>0.7</v>
      </c>
      <c r="Q326" s="1308">
        <v>0.2</v>
      </c>
      <c r="R326" s="768"/>
      <c r="S326" s="222">
        <f t="shared" si="10"/>
        <v>0</v>
      </c>
      <c r="T326" s="765">
        <f t="shared" si="11"/>
        <v>0</v>
      </c>
      <c r="U326" s="768" t="s">
        <v>34</v>
      </c>
      <c r="V326" s="1330"/>
      <c r="W326" s="649"/>
    </row>
    <row r="327" spans="1:23" ht="22.95" customHeight="1" x14ac:dyDescent="0.4">
      <c r="A327" s="788">
        <v>326</v>
      </c>
      <c r="B327" s="198" t="s">
        <v>2616</v>
      </c>
      <c r="C327" s="199" t="s">
        <v>24</v>
      </c>
      <c r="D327" s="1336">
        <v>6535</v>
      </c>
      <c r="E327" s="199" t="s">
        <v>3155</v>
      </c>
      <c r="F327" s="199" t="s">
        <v>3156</v>
      </c>
      <c r="G327" s="679">
        <v>2418</v>
      </c>
      <c r="H327" s="199" t="s">
        <v>3157</v>
      </c>
      <c r="I327" s="199" t="s">
        <v>881</v>
      </c>
      <c r="J327" s="210" t="s">
        <v>111</v>
      </c>
      <c r="K327" s="210" t="s">
        <v>110</v>
      </c>
      <c r="L327" s="1063">
        <v>0.6</v>
      </c>
      <c r="M327" s="1337"/>
      <c r="N327" s="767" t="s">
        <v>3163</v>
      </c>
      <c r="O327" s="767"/>
      <c r="P327" s="768">
        <v>0.7</v>
      </c>
      <c r="Q327" s="1308">
        <v>0.2</v>
      </c>
      <c r="R327" s="768"/>
      <c r="S327" s="222">
        <f t="shared" si="10"/>
        <v>0</v>
      </c>
      <c r="T327" s="765">
        <f t="shared" si="11"/>
        <v>0</v>
      </c>
      <c r="U327" s="768" t="s">
        <v>34</v>
      </c>
      <c r="V327" s="1330"/>
      <c r="W327" s="649"/>
    </row>
    <row r="328" spans="1:23" ht="22.95" customHeight="1" x14ac:dyDescent="0.4">
      <c r="A328" s="788">
        <v>327</v>
      </c>
      <c r="B328" s="198" t="s">
        <v>2616</v>
      </c>
      <c r="C328" s="199" t="s">
        <v>24</v>
      </c>
      <c r="D328" s="1336">
        <v>6535</v>
      </c>
      <c r="E328" s="199" t="s">
        <v>3155</v>
      </c>
      <c r="F328" s="199" t="s">
        <v>3156</v>
      </c>
      <c r="G328" s="679">
        <v>2418</v>
      </c>
      <c r="H328" s="199" t="s">
        <v>3157</v>
      </c>
      <c r="I328" s="199" t="s">
        <v>881</v>
      </c>
      <c r="J328" s="210" t="s">
        <v>111</v>
      </c>
      <c r="K328" s="210" t="s">
        <v>110</v>
      </c>
      <c r="L328" s="1063">
        <v>0.6</v>
      </c>
      <c r="M328" s="1337"/>
      <c r="N328" s="767" t="s">
        <v>3164</v>
      </c>
      <c r="O328" s="767"/>
      <c r="P328" s="768">
        <v>0.7</v>
      </c>
      <c r="Q328" s="1308">
        <v>0.3</v>
      </c>
      <c r="R328" s="768"/>
      <c r="S328" s="222">
        <f t="shared" si="10"/>
        <v>0</v>
      </c>
      <c r="T328" s="765">
        <f t="shared" si="11"/>
        <v>0</v>
      </c>
      <c r="U328" s="768" t="s">
        <v>34</v>
      </c>
      <c r="V328" s="1145"/>
      <c r="W328" s="649"/>
    </row>
    <row r="329" spans="1:23" ht="22.95" customHeight="1" x14ac:dyDescent="0.4">
      <c r="A329" s="788">
        <v>328</v>
      </c>
      <c r="B329" s="198" t="s">
        <v>2616</v>
      </c>
      <c r="C329" s="199" t="s">
        <v>24</v>
      </c>
      <c r="D329" s="1336">
        <v>6535</v>
      </c>
      <c r="E329" s="199" t="s">
        <v>3155</v>
      </c>
      <c r="F329" s="199" t="s">
        <v>3156</v>
      </c>
      <c r="G329" s="679">
        <v>2418</v>
      </c>
      <c r="H329" s="199" t="s">
        <v>3157</v>
      </c>
      <c r="I329" s="199" t="s">
        <v>881</v>
      </c>
      <c r="J329" s="210" t="s">
        <v>111</v>
      </c>
      <c r="K329" s="210" t="s">
        <v>110</v>
      </c>
      <c r="L329" s="1063">
        <v>0.6</v>
      </c>
      <c r="M329" s="1337"/>
      <c r="N329" s="767" t="s">
        <v>3165</v>
      </c>
      <c r="O329" s="799"/>
      <c r="P329" s="768">
        <v>0.8</v>
      </c>
      <c r="Q329" s="1308">
        <v>0.3</v>
      </c>
      <c r="R329" s="768"/>
      <c r="S329" s="222">
        <f t="shared" si="10"/>
        <v>0</v>
      </c>
      <c r="T329" s="765">
        <f t="shared" si="11"/>
        <v>0</v>
      </c>
      <c r="U329" s="768" t="s">
        <v>34</v>
      </c>
      <c r="V329" s="1145"/>
      <c r="W329" s="649"/>
    </row>
    <row r="330" spans="1:23" ht="22.95" customHeight="1" x14ac:dyDescent="0.4">
      <c r="A330" s="788">
        <v>329</v>
      </c>
      <c r="B330" s="236" t="s">
        <v>2616</v>
      </c>
      <c r="C330" s="187" t="s">
        <v>24</v>
      </c>
      <c r="D330" s="1334">
        <v>2441</v>
      </c>
      <c r="E330" s="187" t="s">
        <v>3166</v>
      </c>
      <c r="F330" s="187" t="s">
        <v>3167</v>
      </c>
      <c r="G330" s="238">
        <v>6535</v>
      </c>
      <c r="H330" s="236" t="s">
        <v>3155</v>
      </c>
      <c r="I330" s="187" t="s">
        <v>881</v>
      </c>
      <c r="J330" s="653" t="s">
        <v>58</v>
      </c>
      <c r="K330" s="692" t="s">
        <v>57</v>
      </c>
      <c r="L330" s="1193">
        <v>0.5</v>
      </c>
      <c r="M330" s="1008"/>
      <c r="N330" s="749" t="s">
        <v>3168</v>
      </c>
      <c r="O330" s="1338"/>
      <c r="P330" s="1338">
        <v>2000000000</v>
      </c>
      <c r="Q330" s="1193">
        <v>0.2</v>
      </c>
      <c r="R330" s="1338"/>
      <c r="S330" s="195">
        <f t="shared" si="10"/>
        <v>0</v>
      </c>
      <c r="T330" s="196">
        <f t="shared" si="11"/>
        <v>0</v>
      </c>
      <c r="U330" s="1339" t="s">
        <v>34</v>
      </c>
      <c r="V330" s="1340">
        <f>SUM(T330:T337)%</f>
        <v>0</v>
      </c>
      <c r="W330" s="243"/>
    </row>
    <row r="331" spans="1:23" ht="22.95" customHeight="1" x14ac:dyDescent="0.4">
      <c r="A331" s="788">
        <v>330</v>
      </c>
      <c r="B331" s="198" t="s">
        <v>2616</v>
      </c>
      <c r="C331" s="199" t="s">
        <v>24</v>
      </c>
      <c r="D331" s="1336">
        <v>2441</v>
      </c>
      <c r="E331" s="199" t="s">
        <v>3166</v>
      </c>
      <c r="F331" s="199" t="s">
        <v>3167</v>
      </c>
      <c r="G331" s="200">
        <v>6535</v>
      </c>
      <c r="H331" s="198" t="s">
        <v>3155</v>
      </c>
      <c r="I331" s="199" t="s">
        <v>881</v>
      </c>
      <c r="J331" s="692" t="s">
        <v>58</v>
      </c>
      <c r="K331" s="692" t="s">
        <v>57</v>
      </c>
      <c r="L331" s="1196">
        <v>0.5</v>
      </c>
      <c r="M331" s="1009"/>
      <c r="N331" s="757" t="s">
        <v>3169</v>
      </c>
      <c r="O331" s="1341"/>
      <c r="P331" s="1341">
        <v>0.5</v>
      </c>
      <c r="Q331" s="1196">
        <v>0.3</v>
      </c>
      <c r="R331" s="1341"/>
      <c r="S331" s="206">
        <f t="shared" si="10"/>
        <v>0</v>
      </c>
      <c r="T331" s="207">
        <f t="shared" si="11"/>
        <v>0</v>
      </c>
      <c r="U331" s="1341" t="s">
        <v>34</v>
      </c>
      <c r="V331" s="1342"/>
      <c r="W331" s="210"/>
    </row>
    <row r="332" spans="1:23" ht="22.95" customHeight="1" x14ac:dyDescent="0.4">
      <c r="A332" s="788">
        <v>331</v>
      </c>
      <c r="B332" s="198" t="s">
        <v>2616</v>
      </c>
      <c r="C332" s="199" t="s">
        <v>24</v>
      </c>
      <c r="D332" s="1336">
        <v>2441</v>
      </c>
      <c r="E332" s="199" t="s">
        <v>3166</v>
      </c>
      <c r="F332" s="199" t="s">
        <v>3167</v>
      </c>
      <c r="G332" s="200">
        <v>6535</v>
      </c>
      <c r="H332" s="198" t="s">
        <v>3155</v>
      </c>
      <c r="I332" s="199" t="s">
        <v>881</v>
      </c>
      <c r="J332" s="692" t="s">
        <v>58</v>
      </c>
      <c r="K332" s="692" t="s">
        <v>57</v>
      </c>
      <c r="L332" s="1201">
        <v>0.5</v>
      </c>
      <c r="M332" s="1009"/>
      <c r="N332" s="757" t="s">
        <v>3170</v>
      </c>
      <c r="O332" s="1343"/>
      <c r="P332" s="1343">
        <v>3</v>
      </c>
      <c r="Q332" s="1201">
        <v>0.3</v>
      </c>
      <c r="R332" s="1343"/>
      <c r="S332" s="647">
        <f t="shared" si="10"/>
        <v>0</v>
      </c>
      <c r="T332" s="764">
        <f t="shared" si="11"/>
        <v>0</v>
      </c>
      <c r="U332" s="1341" t="s">
        <v>83</v>
      </c>
      <c r="V332" s="1344"/>
      <c r="W332" s="210"/>
    </row>
    <row r="333" spans="1:23" ht="22.95" customHeight="1" x14ac:dyDescent="0.4">
      <c r="A333" s="788">
        <v>332</v>
      </c>
      <c r="B333" s="198" t="s">
        <v>2616</v>
      </c>
      <c r="C333" s="199" t="s">
        <v>24</v>
      </c>
      <c r="D333" s="1336">
        <v>2441</v>
      </c>
      <c r="E333" s="199" t="s">
        <v>3166</v>
      </c>
      <c r="F333" s="199" t="s">
        <v>3167</v>
      </c>
      <c r="G333" s="200">
        <v>6535</v>
      </c>
      <c r="H333" s="198" t="s">
        <v>3155</v>
      </c>
      <c r="I333" s="199" t="s">
        <v>881</v>
      </c>
      <c r="J333" s="692" t="s">
        <v>58</v>
      </c>
      <c r="K333" s="692" t="s">
        <v>57</v>
      </c>
      <c r="L333" s="1201">
        <v>0.5</v>
      </c>
      <c r="M333" s="1009"/>
      <c r="N333" s="757" t="s">
        <v>3171</v>
      </c>
      <c r="O333" s="1343"/>
      <c r="P333" s="1343">
        <v>2</v>
      </c>
      <c r="Q333" s="1201">
        <v>0.2</v>
      </c>
      <c r="R333" s="1343"/>
      <c r="S333" s="647">
        <f t="shared" si="10"/>
        <v>0</v>
      </c>
      <c r="T333" s="764">
        <f t="shared" si="11"/>
        <v>0</v>
      </c>
      <c r="U333" s="1345" t="s">
        <v>34</v>
      </c>
      <c r="V333" s="1344"/>
      <c r="W333" s="210"/>
    </row>
    <row r="334" spans="1:23" ht="22.95" customHeight="1" x14ac:dyDescent="0.4">
      <c r="A334" s="788">
        <v>333</v>
      </c>
      <c r="B334" s="198" t="s">
        <v>2616</v>
      </c>
      <c r="C334" s="199" t="s">
        <v>24</v>
      </c>
      <c r="D334" s="1336">
        <v>2441</v>
      </c>
      <c r="E334" s="199" t="s">
        <v>3166</v>
      </c>
      <c r="F334" s="199" t="s">
        <v>3167</v>
      </c>
      <c r="G334" s="200">
        <v>6535</v>
      </c>
      <c r="H334" s="198" t="s">
        <v>3155</v>
      </c>
      <c r="I334" s="199" t="s">
        <v>881</v>
      </c>
      <c r="J334" s="210" t="s">
        <v>111</v>
      </c>
      <c r="K334" s="210" t="s">
        <v>110</v>
      </c>
      <c r="L334" s="1063">
        <v>0.5</v>
      </c>
      <c r="M334" s="1337"/>
      <c r="N334" s="767" t="s">
        <v>3172</v>
      </c>
      <c r="O334" s="1346"/>
      <c r="P334" s="1346">
        <v>2</v>
      </c>
      <c r="Q334" s="1308">
        <v>0.25</v>
      </c>
      <c r="R334" s="1346"/>
      <c r="S334" s="222">
        <f t="shared" si="10"/>
        <v>0</v>
      </c>
      <c r="T334" s="765">
        <f t="shared" si="11"/>
        <v>0</v>
      </c>
      <c r="U334" s="1347" t="s">
        <v>34</v>
      </c>
      <c r="V334" s="1348"/>
      <c r="W334" s="210"/>
    </row>
    <row r="335" spans="1:23" ht="22.95" customHeight="1" x14ac:dyDescent="0.4">
      <c r="A335" s="788">
        <v>334</v>
      </c>
      <c r="B335" s="198" t="s">
        <v>2616</v>
      </c>
      <c r="C335" s="199" t="s">
        <v>24</v>
      </c>
      <c r="D335" s="1336">
        <v>2441</v>
      </c>
      <c r="E335" s="199" t="s">
        <v>3166</v>
      </c>
      <c r="F335" s="199" t="s">
        <v>3167</v>
      </c>
      <c r="G335" s="200">
        <v>6535</v>
      </c>
      <c r="H335" s="198" t="s">
        <v>3155</v>
      </c>
      <c r="I335" s="199" t="s">
        <v>881</v>
      </c>
      <c r="J335" s="210" t="s">
        <v>111</v>
      </c>
      <c r="K335" s="210" t="s">
        <v>110</v>
      </c>
      <c r="L335" s="1063">
        <v>0.5</v>
      </c>
      <c r="M335" s="1337"/>
      <c r="N335" s="767" t="s">
        <v>3173</v>
      </c>
      <c r="O335" s="1346"/>
      <c r="P335" s="1346">
        <v>1</v>
      </c>
      <c r="Q335" s="1308">
        <v>0.25</v>
      </c>
      <c r="R335" s="1346"/>
      <c r="S335" s="222">
        <f t="shared" si="10"/>
        <v>0</v>
      </c>
      <c r="T335" s="765">
        <f t="shared" si="11"/>
        <v>0</v>
      </c>
      <c r="U335" s="1347" t="s">
        <v>34</v>
      </c>
      <c r="V335" s="1348"/>
      <c r="W335" s="210"/>
    </row>
    <row r="336" spans="1:23" ht="22.95" customHeight="1" x14ac:dyDescent="0.4">
      <c r="A336" s="788">
        <v>335</v>
      </c>
      <c r="B336" s="198" t="s">
        <v>2616</v>
      </c>
      <c r="C336" s="199" t="s">
        <v>24</v>
      </c>
      <c r="D336" s="1336">
        <v>2441</v>
      </c>
      <c r="E336" s="199" t="s">
        <v>3166</v>
      </c>
      <c r="F336" s="199" t="s">
        <v>3167</v>
      </c>
      <c r="G336" s="200">
        <v>6535</v>
      </c>
      <c r="H336" s="198" t="s">
        <v>3155</v>
      </c>
      <c r="I336" s="199" t="s">
        <v>881</v>
      </c>
      <c r="J336" s="210" t="s">
        <v>111</v>
      </c>
      <c r="K336" s="210" t="s">
        <v>110</v>
      </c>
      <c r="L336" s="1063">
        <v>0.5</v>
      </c>
      <c r="M336" s="1337"/>
      <c r="N336" s="767" t="s">
        <v>3174</v>
      </c>
      <c r="O336" s="1349"/>
      <c r="P336" s="1349">
        <v>1</v>
      </c>
      <c r="Q336" s="1308">
        <v>0.25</v>
      </c>
      <c r="R336" s="1349"/>
      <c r="S336" s="222">
        <f t="shared" si="10"/>
        <v>0</v>
      </c>
      <c r="T336" s="765">
        <f t="shared" si="11"/>
        <v>0</v>
      </c>
      <c r="U336" s="1347" t="s">
        <v>34</v>
      </c>
      <c r="V336" s="1145"/>
      <c r="W336" s="210"/>
    </row>
    <row r="337" spans="1:23" ht="22.95" customHeight="1" x14ac:dyDescent="0.4">
      <c r="A337" s="788">
        <v>336</v>
      </c>
      <c r="B337" s="198" t="s">
        <v>2616</v>
      </c>
      <c r="C337" s="199" t="s">
        <v>24</v>
      </c>
      <c r="D337" s="1336">
        <v>2441</v>
      </c>
      <c r="E337" s="199" t="s">
        <v>3166</v>
      </c>
      <c r="F337" s="199" t="s">
        <v>3167</v>
      </c>
      <c r="G337" s="200">
        <v>6535</v>
      </c>
      <c r="H337" s="198" t="s">
        <v>3155</v>
      </c>
      <c r="I337" s="199" t="s">
        <v>881</v>
      </c>
      <c r="J337" s="210" t="s">
        <v>111</v>
      </c>
      <c r="K337" s="210" t="s">
        <v>110</v>
      </c>
      <c r="L337" s="1063">
        <v>0.5</v>
      </c>
      <c r="M337" s="1337"/>
      <c r="N337" s="767" t="s">
        <v>3175</v>
      </c>
      <c r="O337" s="1350"/>
      <c r="P337" s="1350">
        <v>2</v>
      </c>
      <c r="Q337" s="1351">
        <v>0.25</v>
      </c>
      <c r="R337" s="1350"/>
      <c r="S337" s="222">
        <f t="shared" si="10"/>
        <v>0</v>
      </c>
      <c r="T337" s="765">
        <f t="shared" si="11"/>
        <v>0</v>
      </c>
      <c r="U337" s="1347" t="s">
        <v>34</v>
      </c>
      <c r="V337" s="1145"/>
      <c r="W337" s="210"/>
    </row>
    <row r="338" spans="1:23" ht="22.95" customHeight="1" x14ac:dyDescent="0.4">
      <c r="A338" s="788">
        <v>337</v>
      </c>
      <c r="B338" s="236" t="s">
        <v>2616</v>
      </c>
      <c r="C338" s="187" t="s">
        <v>24</v>
      </c>
      <c r="D338" s="1164">
        <v>3889</v>
      </c>
      <c r="E338" s="236" t="s">
        <v>3176</v>
      </c>
      <c r="F338" s="236" t="s">
        <v>3177</v>
      </c>
      <c r="G338" s="238">
        <v>2418</v>
      </c>
      <c r="H338" s="236" t="s">
        <v>3122</v>
      </c>
      <c r="I338" s="236" t="s">
        <v>881</v>
      </c>
      <c r="J338" s="187" t="s">
        <v>58</v>
      </c>
      <c r="K338" s="187" t="s">
        <v>57</v>
      </c>
      <c r="L338" s="1052">
        <v>0.5</v>
      </c>
      <c r="M338" s="694"/>
      <c r="N338" s="186" t="s">
        <v>3178</v>
      </c>
      <c r="O338" s="193"/>
      <c r="P338" s="773">
        <v>12</v>
      </c>
      <c r="Q338" s="1193">
        <v>0.1</v>
      </c>
      <c r="R338" s="773"/>
      <c r="S338" s="195">
        <f t="shared" si="10"/>
        <v>0</v>
      </c>
      <c r="T338" s="196">
        <f t="shared" si="11"/>
        <v>0</v>
      </c>
      <c r="U338" s="241" t="s">
        <v>34</v>
      </c>
      <c r="V338" s="1248">
        <f>SUM(T338:T350)%</f>
        <v>0</v>
      </c>
      <c r="W338" s="243"/>
    </row>
    <row r="339" spans="1:23" ht="22.95" customHeight="1" x14ac:dyDescent="0.4">
      <c r="A339" s="788">
        <v>338</v>
      </c>
      <c r="B339" s="245" t="s">
        <v>2616</v>
      </c>
      <c r="C339" s="246" t="s">
        <v>24</v>
      </c>
      <c r="D339" s="1277">
        <v>3889</v>
      </c>
      <c r="E339" s="245" t="s">
        <v>3176</v>
      </c>
      <c r="F339" s="245" t="s">
        <v>3177</v>
      </c>
      <c r="G339" s="248">
        <v>2418</v>
      </c>
      <c r="H339" s="245" t="s">
        <v>3122</v>
      </c>
      <c r="I339" s="245" t="s">
        <v>881</v>
      </c>
      <c r="J339" s="692" t="s">
        <v>58</v>
      </c>
      <c r="K339" s="692" t="s">
        <v>57</v>
      </c>
      <c r="L339" s="1067">
        <v>0.5</v>
      </c>
      <c r="M339" s="202"/>
      <c r="N339" s="203" t="s">
        <v>3179</v>
      </c>
      <c r="O339" s="249"/>
      <c r="P339" s="250">
        <v>30</v>
      </c>
      <c r="Q339" s="1196">
        <v>0.1</v>
      </c>
      <c r="R339" s="250"/>
      <c r="S339" s="206">
        <f t="shared" si="10"/>
        <v>0</v>
      </c>
      <c r="T339" s="207">
        <f t="shared" si="11"/>
        <v>0</v>
      </c>
      <c r="U339" s="251" t="s">
        <v>34</v>
      </c>
      <c r="V339" s="1197"/>
      <c r="W339" s="253"/>
    </row>
    <row r="340" spans="1:23" ht="22.95" customHeight="1" x14ac:dyDescent="0.4">
      <c r="A340" s="788">
        <v>339</v>
      </c>
      <c r="B340" s="245" t="s">
        <v>2616</v>
      </c>
      <c r="C340" s="246" t="s">
        <v>24</v>
      </c>
      <c r="D340" s="1277">
        <v>3889</v>
      </c>
      <c r="E340" s="245" t="s">
        <v>3176</v>
      </c>
      <c r="F340" s="245" t="s">
        <v>3177</v>
      </c>
      <c r="G340" s="248">
        <v>2418</v>
      </c>
      <c r="H340" s="245" t="s">
        <v>3122</v>
      </c>
      <c r="I340" s="245" t="s">
        <v>881</v>
      </c>
      <c r="J340" s="692" t="s">
        <v>58</v>
      </c>
      <c r="K340" s="692" t="s">
        <v>57</v>
      </c>
      <c r="L340" s="1067">
        <v>0.5</v>
      </c>
      <c r="M340" s="202"/>
      <c r="N340" s="203" t="s">
        <v>3180</v>
      </c>
      <c r="O340" s="1352"/>
      <c r="P340" s="1353">
        <v>60000000000</v>
      </c>
      <c r="Q340" s="1196">
        <v>0.2</v>
      </c>
      <c r="R340" s="1353"/>
      <c r="S340" s="206">
        <f t="shared" si="10"/>
        <v>0</v>
      </c>
      <c r="T340" s="207">
        <f t="shared" si="11"/>
        <v>0</v>
      </c>
      <c r="U340" s="251" t="s">
        <v>34</v>
      </c>
      <c r="V340" s="1197"/>
      <c r="W340" s="253"/>
    </row>
    <row r="341" spans="1:23" ht="22.95" customHeight="1" x14ac:dyDescent="0.4">
      <c r="A341" s="788">
        <v>340</v>
      </c>
      <c r="B341" s="245" t="s">
        <v>2616</v>
      </c>
      <c r="C341" s="246" t="s">
        <v>24</v>
      </c>
      <c r="D341" s="1277">
        <v>3889</v>
      </c>
      <c r="E341" s="245" t="s">
        <v>3176</v>
      </c>
      <c r="F341" s="245" t="s">
        <v>3177</v>
      </c>
      <c r="G341" s="248">
        <v>2418</v>
      </c>
      <c r="H341" s="245" t="s">
        <v>3122</v>
      </c>
      <c r="I341" s="245" t="s">
        <v>881</v>
      </c>
      <c r="J341" s="692" t="s">
        <v>58</v>
      </c>
      <c r="K341" s="692" t="s">
        <v>57</v>
      </c>
      <c r="L341" s="1067">
        <v>0.5</v>
      </c>
      <c r="M341" s="202"/>
      <c r="N341" s="203" t="s">
        <v>3181</v>
      </c>
      <c r="O341" s="211"/>
      <c r="P341" s="254">
        <v>0.4</v>
      </c>
      <c r="Q341" s="1196">
        <v>0.15</v>
      </c>
      <c r="R341" s="254"/>
      <c r="S341" s="206">
        <f t="shared" si="10"/>
        <v>0</v>
      </c>
      <c r="T341" s="207">
        <f t="shared" si="11"/>
        <v>0</v>
      </c>
      <c r="U341" s="251" t="s">
        <v>83</v>
      </c>
      <c r="V341" s="1197"/>
      <c r="W341" s="253"/>
    </row>
    <row r="342" spans="1:23" ht="22.95" customHeight="1" x14ac:dyDescent="0.4">
      <c r="A342" s="788">
        <v>341</v>
      </c>
      <c r="B342" s="245" t="s">
        <v>2616</v>
      </c>
      <c r="C342" s="246" t="s">
        <v>24</v>
      </c>
      <c r="D342" s="1277">
        <v>3889</v>
      </c>
      <c r="E342" s="245" t="s">
        <v>3176</v>
      </c>
      <c r="F342" s="245" t="s">
        <v>3177</v>
      </c>
      <c r="G342" s="248">
        <v>2418</v>
      </c>
      <c r="H342" s="245" t="s">
        <v>3122</v>
      </c>
      <c r="I342" s="245" t="s">
        <v>881</v>
      </c>
      <c r="J342" s="692" t="s">
        <v>58</v>
      </c>
      <c r="K342" s="692" t="s">
        <v>57</v>
      </c>
      <c r="L342" s="1067">
        <v>0.5</v>
      </c>
      <c r="M342" s="202"/>
      <c r="N342" s="203" t="s">
        <v>3182</v>
      </c>
      <c r="O342" s="249"/>
      <c r="P342" s="250">
        <v>30</v>
      </c>
      <c r="Q342" s="1196">
        <v>0.1</v>
      </c>
      <c r="R342" s="250"/>
      <c r="S342" s="206">
        <f t="shared" si="10"/>
        <v>0</v>
      </c>
      <c r="T342" s="207">
        <f t="shared" si="11"/>
        <v>0</v>
      </c>
      <c r="U342" s="251" t="s">
        <v>34</v>
      </c>
      <c r="V342" s="1197"/>
      <c r="W342" s="253"/>
    </row>
    <row r="343" spans="1:23" ht="22.95" customHeight="1" x14ac:dyDescent="0.4">
      <c r="A343" s="788">
        <v>342</v>
      </c>
      <c r="B343" s="245" t="s">
        <v>2616</v>
      </c>
      <c r="C343" s="246" t="s">
        <v>24</v>
      </c>
      <c r="D343" s="1277">
        <v>3889</v>
      </c>
      <c r="E343" s="245" t="s">
        <v>3176</v>
      </c>
      <c r="F343" s="245" t="s">
        <v>3177</v>
      </c>
      <c r="G343" s="248">
        <v>2418</v>
      </c>
      <c r="H343" s="245" t="s">
        <v>3122</v>
      </c>
      <c r="I343" s="245" t="s">
        <v>881</v>
      </c>
      <c r="J343" s="692" t="s">
        <v>58</v>
      </c>
      <c r="K343" s="692" t="s">
        <v>57</v>
      </c>
      <c r="L343" s="1067">
        <v>0.5</v>
      </c>
      <c r="M343" s="202"/>
      <c r="N343" s="203" t="s">
        <v>3183</v>
      </c>
      <c r="O343" s="211"/>
      <c r="P343" s="254">
        <v>1</v>
      </c>
      <c r="Q343" s="1196">
        <v>0.2</v>
      </c>
      <c r="R343" s="254"/>
      <c r="S343" s="206">
        <f t="shared" si="10"/>
        <v>0</v>
      </c>
      <c r="T343" s="207">
        <f t="shared" si="11"/>
        <v>0</v>
      </c>
      <c r="U343" s="251" t="s">
        <v>34</v>
      </c>
      <c r="V343" s="1197"/>
      <c r="W343" s="253"/>
    </row>
    <row r="344" spans="1:23" ht="22.95" customHeight="1" x14ac:dyDescent="0.4">
      <c r="A344" s="788">
        <v>343</v>
      </c>
      <c r="B344" s="245" t="s">
        <v>2616</v>
      </c>
      <c r="C344" s="246" t="s">
        <v>24</v>
      </c>
      <c r="D344" s="1277">
        <v>3889</v>
      </c>
      <c r="E344" s="245" t="s">
        <v>3176</v>
      </c>
      <c r="F344" s="245" t="s">
        <v>3177</v>
      </c>
      <c r="G344" s="248">
        <v>2418</v>
      </c>
      <c r="H344" s="245" t="s">
        <v>3122</v>
      </c>
      <c r="I344" s="245" t="s">
        <v>881</v>
      </c>
      <c r="J344" s="692" t="s">
        <v>58</v>
      </c>
      <c r="K344" s="692" t="s">
        <v>57</v>
      </c>
      <c r="L344" s="1067">
        <v>0.5</v>
      </c>
      <c r="M344" s="202"/>
      <c r="N344" s="203" t="s">
        <v>3184</v>
      </c>
      <c r="O344" s="211"/>
      <c r="P344" s="250">
        <v>30</v>
      </c>
      <c r="Q344" s="1196">
        <v>0.15</v>
      </c>
      <c r="R344" s="250"/>
      <c r="S344" s="206">
        <f t="shared" si="10"/>
        <v>0</v>
      </c>
      <c r="T344" s="207">
        <f t="shared" si="11"/>
        <v>0</v>
      </c>
      <c r="U344" s="251" t="s">
        <v>83</v>
      </c>
      <c r="V344" s="1197"/>
      <c r="W344" s="253"/>
    </row>
    <row r="345" spans="1:23" ht="22.95" customHeight="1" x14ac:dyDescent="0.4">
      <c r="A345" s="788">
        <v>344</v>
      </c>
      <c r="B345" s="245" t="s">
        <v>2616</v>
      </c>
      <c r="C345" s="246" t="s">
        <v>24</v>
      </c>
      <c r="D345" s="1277">
        <v>3889</v>
      </c>
      <c r="E345" s="245" t="s">
        <v>3176</v>
      </c>
      <c r="F345" s="245" t="s">
        <v>3177</v>
      </c>
      <c r="G345" s="248">
        <v>2418</v>
      </c>
      <c r="H345" s="245" t="s">
        <v>3122</v>
      </c>
      <c r="I345" s="245" t="s">
        <v>881</v>
      </c>
      <c r="J345" s="246" t="s">
        <v>111</v>
      </c>
      <c r="K345" s="246" t="s">
        <v>110</v>
      </c>
      <c r="L345" s="1059">
        <v>0.5</v>
      </c>
      <c r="M345" s="258"/>
      <c r="N345" s="259" t="s">
        <v>3185</v>
      </c>
      <c r="O345" s="260"/>
      <c r="P345" s="261">
        <v>20</v>
      </c>
      <c r="Q345" s="1245">
        <v>0.1</v>
      </c>
      <c r="R345" s="261"/>
      <c r="S345" s="262">
        <f t="shared" si="10"/>
        <v>0</v>
      </c>
      <c r="T345" s="263">
        <f t="shared" si="11"/>
        <v>0</v>
      </c>
      <c r="U345" s="264" t="s">
        <v>34</v>
      </c>
      <c r="V345" s="1237"/>
      <c r="W345" s="253"/>
    </row>
    <row r="346" spans="1:23" ht="22.95" customHeight="1" x14ac:dyDescent="0.4">
      <c r="A346" s="788">
        <v>345</v>
      </c>
      <c r="B346" s="245" t="s">
        <v>2616</v>
      </c>
      <c r="C346" s="246" t="s">
        <v>24</v>
      </c>
      <c r="D346" s="1277">
        <v>3889</v>
      </c>
      <c r="E346" s="245" t="s">
        <v>3176</v>
      </c>
      <c r="F346" s="245" t="s">
        <v>3177</v>
      </c>
      <c r="G346" s="248">
        <v>2418</v>
      </c>
      <c r="H346" s="245" t="s">
        <v>3122</v>
      </c>
      <c r="I346" s="245" t="s">
        <v>881</v>
      </c>
      <c r="J346" s="246" t="s">
        <v>111</v>
      </c>
      <c r="K346" s="246" t="s">
        <v>110</v>
      </c>
      <c r="L346" s="1059">
        <v>0.5</v>
      </c>
      <c r="M346" s="258"/>
      <c r="N346" s="259" t="s">
        <v>3186</v>
      </c>
      <c r="O346" s="260"/>
      <c r="P346" s="261">
        <v>10</v>
      </c>
      <c r="Q346" s="1245">
        <v>0.2</v>
      </c>
      <c r="R346" s="261"/>
      <c r="S346" s="262">
        <f t="shared" si="10"/>
        <v>0</v>
      </c>
      <c r="T346" s="263">
        <f t="shared" si="11"/>
        <v>0</v>
      </c>
      <c r="U346" s="264" t="s">
        <v>34</v>
      </c>
      <c r="V346" s="1237"/>
      <c r="W346" s="253"/>
    </row>
    <row r="347" spans="1:23" ht="22.95" customHeight="1" x14ac:dyDescent="0.4">
      <c r="A347" s="788">
        <v>346</v>
      </c>
      <c r="B347" s="245" t="s">
        <v>2616</v>
      </c>
      <c r="C347" s="246" t="s">
        <v>24</v>
      </c>
      <c r="D347" s="1277">
        <v>3889</v>
      </c>
      <c r="E347" s="245" t="s">
        <v>3176</v>
      </c>
      <c r="F347" s="245" t="s">
        <v>3177</v>
      </c>
      <c r="G347" s="248">
        <v>2418</v>
      </c>
      <c r="H347" s="245" t="s">
        <v>3122</v>
      </c>
      <c r="I347" s="245" t="s">
        <v>881</v>
      </c>
      <c r="J347" s="246" t="s">
        <v>111</v>
      </c>
      <c r="K347" s="246" t="s">
        <v>110</v>
      </c>
      <c r="L347" s="1059">
        <v>0.5</v>
      </c>
      <c r="M347" s="258"/>
      <c r="N347" s="259" t="s">
        <v>3187</v>
      </c>
      <c r="O347" s="685"/>
      <c r="P347" s="266">
        <v>1</v>
      </c>
      <c r="Q347" s="1245">
        <v>0.2</v>
      </c>
      <c r="R347" s="266"/>
      <c r="S347" s="262">
        <f t="shared" si="10"/>
        <v>0</v>
      </c>
      <c r="T347" s="263">
        <f t="shared" si="11"/>
        <v>0</v>
      </c>
      <c r="U347" s="264" t="s">
        <v>34</v>
      </c>
      <c r="V347" s="1237"/>
      <c r="W347" s="253"/>
    </row>
    <row r="348" spans="1:23" ht="22.95" customHeight="1" x14ac:dyDescent="0.4">
      <c r="A348" s="788">
        <v>347</v>
      </c>
      <c r="B348" s="245" t="s">
        <v>2616</v>
      </c>
      <c r="C348" s="246" t="s">
        <v>24</v>
      </c>
      <c r="D348" s="1277">
        <v>3889</v>
      </c>
      <c r="E348" s="245" t="s">
        <v>3176</v>
      </c>
      <c r="F348" s="245" t="s">
        <v>3177</v>
      </c>
      <c r="G348" s="248">
        <v>2418</v>
      </c>
      <c r="H348" s="245" t="s">
        <v>3122</v>
      </c>
      <c r="I348" s="245" t="s">
        <v>881</v>
      </c>
      <c r="J348" s="246" t="s">
        <v>111</v>
      </c>
      <c r="K348" s="246" t="s">
        <v>110</v>
      </c>
      <c r="L348" s="1059">
        <v>0.5</v>
      </c>
      <c r="M348" s="258"/>
      <c r="N348" s="259" t="s">
        <v>3188</v>
      </c>
      <c r="O348" s="685"/>
      <c r="P348" s="266">
        <v>1</v>
      </c>
      <c r="Q348" s="1245">
        <v>0.2</v>
      </c>
      <c r="R348" s="266"/>
      <c r="S348" s="262">
        <f t="shared" si="10"/>
        <v>0</v>
      </c>
      <c r="T348" s="263">
        <f t="shared" si="11"/>
        <v>0</v>
      </c>
      <c r="U348" s="264" t="s">
        <v>34</v>
      </c>
      <c r="V348" s="1237"/>
      <c r="W348" s="253"/>
    </row>
    <row r="349" spans="1:23" ht="22.95" customHeight="1" x14ac:dyDescent="0.4">
      <c r="A349" s="788">
        <v>348</v>
      </c>
      <c r="B349" s="245" t="s">
        <v>2616</v>
      </c>
      <c r="C349" s="246" t="s">
        <v>24</v>
      </c>
      <c r="D349" s="1277">
        <v>3889</v>
      </c>
      <c r="E349" s="245" t="s">
        <v>3176</v>
      </c>
      <c r="F349" s="245" t="s">
        <v>3177</v>
      </c>
      <c r="G349" s="248">
        <v>2418</v>
      </c>
      <c r="H349" s="245" t="s">
        <v>3122</v>
      </c>
      <c r="I349" s="245" t="s">
        <v>881</v>
      </c>
      <c r="J349" s="246" t="s">
        <v>111</v>
      </c>
      <c r="K349" s="246" t="s">
        <v>110</v>
      </c>
      <c r="L349" s="1059">
        <v>0.5</v>
      </c>
      <c r="M349" s="258"/>
      <c r="N349" s="259" t="s">
        <v>3189</v>
      </c>
      <c r="O349" s="685"/>
      <c r="P349" s="266">
        <v>1</v>
      </c>
      <c r="Q349" s="1245">
        <v>0.2</v>
      </c>
      <c r="R349" s="266"/>
      <c r="S349" s="262">
        <f t="shared" si="10"/>
        <v>0</v>
      </c>
      <c r="T349" s="263">
        <f t="shared" si="11"/>
        <v>0</v>
      </c>
      <c r="U349" s="264" t="s">
        <v>34</v>
      </c>
      <c r="V349" s="1237"/>
      <c r="W349" s="253"/>
    </row>
    <row r="350" spans="1:23" ht="22.95" customHeight="1" x14ac:dyDescent="0.4">
      <c r="A350" s="788">
        <v>349</v>
      </c>
      <c r="B350" s="245" t="s">
        <v>2616</v>
      </c>
      <c r="C350" s="246" t="s">
        <v>24</v>
      </c>
      <c r="D350" s="1277">
        <v>3889</v>
      </c>
      <c r="E350" s="245" t="s">
        <v>3176</v>
      </c>
      <c r="F350" s="245" t="s">
        <v>3177</v>
      </c>
      <c r="G350" s="248">
        <v>2418</v>
      </c>
      <c r="H350" s="245" t="s">
        <v>3122</v>
      </c>
      <c r="I350" s="245" t="s">
        <v>881</v>
      </c>
      <c r="J350" s="246" t="s">
        <v>111</v>
      </c>
      <c r="K350" s="246" t="s">
        <v>110</v>
      </c>
      <c r="L350" s="1059">
        <v>0.5</v>
      </c>
      <c r="M350" s="258"/>
      <c r="N350" s="259" t="s">
        <v>2169</v>
      </c>
      <c r="O350" s="260"/>
      <c r="P350" s="266">
        <v>1</v>
      </c>
      <c r="Q350" s="1245">
        <v>0.1</v>
      </c>
      <c r="R350" s="266"/>
      <c r="S350" s="262">
        <f t="shared" si="10"/>
        <v>0</v>
      </c>
      <c r="T350" s="263">
        <f t="shared" si="11"/>
        <v>0</v>
      </c>
      <c r="U350" s="264" t="s">
        <v>34</v>
      </c>
      <c r="V350" s="1237"/>
      <c r="W350" s="253"/>
    </row>
    <row r="351" spans="1:23" ht="22.95" customHeight="1" x14ac:dyDescent="0.4">
      <c r="A351" s="788">
        <v>350</v>
      </c>
      <c r="B351" s="236" t="s">
        <v>2616</v>
      </c>
      <c r="C351" s="187" t="s">
        <v>24</v>
      </c>
      <c r="D351" s="1164">
        <v>5482</v>
      </c>
      <c r="E351" s="236" t="s">
        <v>3190</v>
      </c>
      <c r="F351" s="236" t="s">
        <v>3191</v>
      </c>
      <c r="G351" s="238">
        <v>3889</v>
      </c>
      <c r="H351" s="236" t="s">
        <v>2158</v>
      </c>
      <c r="I351" s="236" t="s">
        <v>881</v>
      </c>
      <c r="J351" s="187" t="s">
        <v>58</v>
      </c>
      <c r="K351" s="187" t="s">
        <v>57</v>
      </c>
      <c r="L351" s="1052">
        <v>0.5</v>
      </c>
      <c r="M351" s="191"/>
      <c r="N351" s="192" t="s">
        <v>3192</v>
      </c>
      <c r="O351" s="239"/>
      <c r="P351" s="1354">
        <v>12</v>
      </c>
      <c r="Q351" s="1193">
        <v>0.1</v>
      </c>
      <c r="R351" s="1354"/>
      <c r="S351" s="195">
        <f t="shared" si="10"/>
        <v>0</v>
      </c>
      <c r="T351" s="196">
        <f t="shared" si="11"/>
        <v>0</v>
      </c>
      <c r="U351" s="241" t="s">
        <v>34</v>
      </c>
      <c r="V351" s="1248">
        <f>SUM(T351:T362)%</f>
        <v>0</v>
      </c>
      <c r="W351" s="243"/>
    </row>
    <row r="352" spans="1:23" ht="22.95" customHeight="1" x14ac:dyDescent="0.4">
      <c r="A352" s="788">
        <v>351</v>
      </c>
      <c r="B352" s="245" t="s">
        <v>2616</v>
      </c>
      <c r="C352" s="246" t="s">
        <v>24</v>
      </c>
      <c r="D352" s="1277">
        <v>5482</v>
      </c>
      <c r="E352" s="245" t="s">
        <v>3190</v>
      </c>
      <c r="F352" s="245" t="s">
        <v>3191</v>
      </c>
      <c r="G352" s="248">
        <v>3889</v>
      </c>
      <c r="H352" s="245" t="s">
        <v>2158</v>
      </c>
      <c r="I352" s="245" t="s">
        <v>881</v>
      </c>
      <c r="J352" s="692" t="s">
        <v>58</v>
      </c>
      <c r="K352" s="692" t="s">
        <v>57</v>
      </c>
      <c r="L352" s="1067">
        <v>0.5</v>
      </c>
      <c r="M352" s="202"/>
      <c r="N352" s="203" t="s">
        <v>3193</v>
      </c>
      <c r="O352" s="211"/>
      <c r="P352" s="255">
        <v>20</v>
      </c>
      <c r="Q352" s="1196">
        <v>0.1</v>
      </c>
      <c r="R352" s="255"/>
      <c r="S352" s="206">
        <f t="shared" si="10"/>
        <v>0</v>
      </c>
      <c r="T352" s="207">
        <f t="shared" si="11"/>
        <v>0</v>
      </c>
      <c r="U352" s="251" t="s">
        <v>83</v>
      </c>
      <c r="V352" s="1197"/>
      <c r="W352" s="253"/>
    </row>
    <row r="353" spans="1:23" ht="22.95" customHeight="1" x14ac:dyDescent="0.4">
      <c r="A353" s="788">
        <v>352</v>
      </c>
      <c r="B353" s="245" t="s">
        <v>2616</v>
      </c>
      <c r="C353" s="246" t="s">
        <v>24</v>
      </c>
      <c r="D353" s="1277">
        <v>5482</v>
      </c>
      <c r="E353" s="245" t="s">
        <v>3190</v>
      </c>
      <c r="F353" s="245" t="s">
        <v>3191</v>
      </c>
      <c r="G353" s="248">
        <v>3889</v>
      </c>
      <c r="H353" s="245" t="s">
        <v>2158</v>
      </c>
      <c r="I353" s="245" t="s">
        <v>881</v>
      </c>
      <c r="J353" s="692" t="s">
        <v>58</v>
      </c>
      <c r="K353" s="692" t="s">
        <v>57</v>
      </c>
      <c r="L353" s="1067">
        <v>0.5</v>
      </c>
      <c r="M353" s="202"/>
      <c r="N353" s="203" t="s">
        <v>3194</v>
      </c>
      <c r="O353" s="211"/>
      <c r="P353" s="1355">
        <v>30000000000</v>
      </c>
      <c r="Q353" s="1196">
        <v>0.2</v>
      </c>
      <c r="R353" s="1355"/>
      <c r="S353" s="206">
        <f t="shared" si="10"/>
        <v>0</v>
      </c>
      <c r="T353" s="207">
        <f t="shared" si="11"/>
        <v>0</v>
      </c>
      <c r="U353" s="251" t="s">
        <v>34</v>
      </c>
      <c r="V353" s="1197"/>
      <c r="W353" s="253"/>
    </row>
    <row r="354" spans="1:23" ht="22.95" customHeight="1" x14ac:dyDescent="0.4">
      <c r="A354" s="788">
        <v>353</v>
      </c>
      <c r="B354" s="245" t="s">
        <v>2616</v>
      </c>
      <c r="C354" s="246" t="s">
        <v>24</v>
      </c>
      <c r="D354" s="1277">
        <v>5482</v>
      </c>
      <c r="E354" s="245" t="s">
        <v>3190</v>
      </c>
      <c r="F354" s="245" t="s">
        <v>3191</v>
      </c>
      <c r="G354" s="248">
        <v>3889</v>
      </c>
      <c r="H354" s="245" t="s">
        <v>2158</v>
      </c>
      <c r="I354" s="245" t="s">
        <v>881</v>
      </c>
      <c r="J354" s="692" t="s">
        <v>58</v>
      </c>
      <c r="K354" s="692" t="s">
        <v>57</v>
      </c>
      <c r="L354" s="1067">
        <v>0.5</v>
      </c>
      <c r="M354" s="202"/>
      <c r="N354" s="203" t="s">
        <v>3195</v>
      </c>
      <c r="O354" s="211"/>
      <c r="P354" s="208">
        <v>0.4</v>
      </c>
      <c r="Q354" s="1196">
        <v>0.2</v>
      </c>
      <c r="R354" s="208"/>
      <c r="S354" s="206">
        <f t="shared" si="10"/>
        <v>0</v>
      </c>
      <c r="T354" s="207">
        <f t="shared" si="11"/>
        <v>0</v>
      </c>
      <c r="U354" s="251" t="s">
        <v>83</v>
      </c>
      <c r="V354" s="1197"/>
      <c r="W354" s="253"/>
    </row>
    <row r="355" spans="1:23" ht="22.95" customHeight="1" x14ac:dyDescent="0.4">
      <c r="A355" s="788">
        <v>354</v>
      </c>
      <c r="B355" s="245" t="s">
        <v>2616</v>
      </c>
      <c r="C355" s="246" t="s">
        <v>24</v>
      </c>
      <c r="D355" s="1277">
        <v>5482</v>
      </c>
      <c r="E355" s="245" t="s">
        <v>3190</v>
      </c>
      <c r="F355" s="245" t="s">
        <v>3191</v>
      </c>
      <c r="G355" s="248">
        <v>3889</v>
      </c>
      <c r="H355" s="245" t="s">
        <v>2158</v>
      </c>
      <c r="I355" s="245" t="s">
        <v>881</v>
      </c>
      <c r="J355" s="692" t="s">
        <v>58</v>
      </c>
      <c r="K355" s="692" t="s">
        <v>57</v>
      </c>
      <c r="L355" s="1067">
        <v>0.5</v>
      </c>
      <c r="M355" s="202"/>
      <c r="N355" s="256" t="s">
        <v>3196</v>
      </c>
      <c r="O355" s="211"/>
      <c r="P355" s="207">
        <v>90</v>
      </c>
      <c r="Q355" s="1196">
        <v>0.1</v>
      </c>
      <c r="R355" s="207"/>
      <c r="S355" s="206">
        <f t="shared" si="10"/>
        <v>0</v>
      </c>
      <c r="T355" s="207">
        <f t="shared" si="11"/>
        <v>0</v>
      </c>
      <c r="U355" s="251" t="s">
        <v>34</v>
      </c>
      <c r="V355" s="1197"/>
      <c r="W355" s="253"/>
    </row>
    <row r="356" spans="1:23" ht="22.95" customHeight="1" x14ac:dyDescent="0.4">
      <c r="A356" s="788">
        <v>355</v>
      </c>
      <c r="B356" s="245" t="s">
        <v>2616</v>
      </c>
      <c r="C356" s="246" t="s">
        <v>24</v>
      </c>
      <c r="D356" s="1277">
        <v>5482</v>
      </c>
      <c r="E356" s="245" t="s">
        <v>3190</v>
      </c>
      <c r="F356" s="245" t="s">
        <v>3191</v>
      </c>
      <c r="G356" s="248">
        <v>3889</v>
      </c>
      <c r="H356" s="245" t="s">
        <v>2158</v>
      </c>
      <c r="I356" s="245" t="s">
        <v>881</v>
      </c>
      <c r="J356" s="692" t="s">
        <v>58</v>
      </c>
      <c r="K356" s="692" t="s">
        <v>57</v>
      </c>
      <c r="L356" s="1067">
        <v>0.5</v>
      </c>
      <c r="M356" s="202"/>
      <c r="N356" s="203" t="s">
        <v>3197</v>
      </c>
      <c r="O356" s="211"/>
      <c r="P356" s="250">
        <v>30</v>
      </c>
      <c r="Q356" s="1356">
        <v>0.15</v>
      </c>
      <c r="R356" s="250"/>
      <c r="S356" s="206">
        <f t="shared" si="10"/>
        <v>0</v>
      </c>
      <c r="T356" s="207">
        <f t="shared" si="11"/>
        <v>0</v>
      </c>
      <c r="U356" s="251" t="s">
        <v>34</v>
      </c>
      <c r="V356" s="1197"/>
      <c r="W356" s="253"/>
    </row>
    <row r="357" spans="1:23" ht="22.95" customHeight="1" x14ac:dyDescent="0.4">
      <c r="A357" s="788">
        <v>356</v>
      </c>
      <c r="B357" s="245" t="s">
        <v>2616</v>
      </c>
      <c r="C357" s="246" t="s">
        <v>24</v>
      </c>
      <c r="D357" s="1277">
        <v>5482</v>
      </c>
      <c r="E357" s="245" t="s">
        <v>3190</v>
      </c>
      <c r="F357" s="245" t="s">
        <v>3191</v>
      </c>
      <c r="G357" s="248">
        <v>3889</v>
      </c>
      <c r="H357" s="245" t="s">
        <v>2158</v>
      </c>
      <c r="I357" s="245" t="s">
        <v>881</v>
      </c>
      <c r="J357" s="692" t="s">
        <v>58</v>
      </c>
      <c r="K357" s="692" t="s">
        <v>57</v>
      </c>
      <c r="L357" s="1067">
        <v>0.5</v>
      </c>
      <c r="M357" s="202"/>
      <c r="N357" s="203" t="s">
        <v>3198</v>
      </c>
      <c r="O357" s="211"/>
      <c r="P357" s="1357">
        <v>30</v>
      </c>
      <c r="Q357" s="1196">
        <v>0.15</v>
      </c>
      <c r="R357" s="1357"/>
      <c r="S357" s="206">
        <f t="shared" si="10"/>
        <v>0</v>
      </c>
      <c r="T357" s="207">
        <f t="shared" si="11"/>
        <v>0</v>
      </c>
      <c r="U357" s="251" t="s">
        <v>34</v>
      </c>
      <c r="V357" s="1197"/>
      <c r="W357" s="253"/>
    </row>
    <row r="358" spans="1:23" ht="22.95" customHeight="1" x14ac:dyDescent="0.4">
      <c r="A358" s="788">
        <v>357</v>
      </c>
      <c r="B358" s="245" t="s">
        <v>2616</v>
      </c>
      <c r="C358" s="246" t="s">
        <v>24</v>
      </c>
      <c r="D358" s="1277">
        <v>5482</v>
      </c>
      <c r="E358" s="245" t="s">
        <v>3190</v>
      </c>
      <c r="F358" s="245" t="s">
        <v>3191</v>
      </c>
      <c r="G358" s="248">
        <v>3889</v>
      </c>
      <c r="H358" s="245" t="s">
        <v>2158</v>
      </c>
      <c r="I358" s="245" t="s">
        <v>881</v>
      </c>
      <c r="J358" s="246" t="s">
        <v>111</v>
      </c>
      <c r="K358" s="246" t="s">
        <v>110</v>
      </c>
      <c r="L358" s="1059">
        <v>0.5</v>
      </c>
      <c r="M358" s="258"/>
      <c r="N358" s="259" t="s">
        <v>3199</v>
      </c>
      <c r="O358" s="685"/>
      <c r="P358" s="687">
        <v>1</v>
      </c>
      <c r="Q358" s="1245">
        <v>0.2</v>
      </c>
      <c r="R358" s="687"/>
      <c r="S358" s="262">
        <f t="shared" si="10"/>
        <v>0</v>
      </c>
      <c r="T358" s="263">
        <f t="shared" si="11"/>
        <v>0</v>
      </c>
      <c r="U358" s="264" t="s">
        <v>34</v>
      </c>
      <c r="V358" s="1237"/>
      <c r="W358" s="253"/>
    </row>
    <row r="359" spans="1:23" ht="22.95" customHeight="1" x14ac:dyDescent="0.4">
      <c r="A359" s="788">
        <v>358</v>
      </c>
      <c r="B359" s="245" t="s">
        <v>2616</v>
      </c>
      <c r="C359" s="246" t="s">
        <v>24</v>
      </c>
      <c r="D359" s="1277">
        <v>5482</v>
      </c>
      <c r="E359" s="245" t="s">
        <v>3190</v>
      </c>
      <c r="F359" s="245" t="s">
        <v>3191</v>
      </c>
      <c r="G359" s="248">
        <v>3889</v>
      </c>
      <c r="H359" s="245" t="s">
        <v>2158</v>
      </c>
      <c r="I359" s="245" t="s">
        <v>881</v>
      </c>
      <c r="J359" s="246" t="s">
        <v>111</v>
      </c>
      <c r="K359" s="246" t="s">
        <v>110</v>
      </c>
      <c r="L359" s="1059">
        <v>0.5</v>
      </c>
      <c r="M359" s="258"/>
      <c r="N359" s="259" t="s">
        <v>3200</v>
      </c>
      <c r="O359" s="685"/>
      <c r="P359" s="687">
        <v>1</v>
      </c>
      <c r="Q359" s="1245">
        <v>0.2</v>
      </c>
      <c r="R359" s="687"/>
      <c r="S359" s="262">
        <f t="shared" si="10"/>
        <v>0</v>
      </c>
      <c r="T359" s="263">
        <f t="shared" si="11"/>
        <v>0</v>
      </c>
      <c r="U359" s="264" t="s">
        <v>34</v>
      </c>
      <c r="V359" s="1237"/>
      <c r="W359" s="253"/>
    </row>
    <row r="360" spans="1:23" ht="22.95" customHeight="1" x14ac:dyDescent="0.4">
      <c r="A360" s="788">
        <v>359</v>
      </c>
      <c r="B360" s="245" t="s">
        <v>2616</v>
      </c>
      <c r="C360" s="246" t="s">
        <v>24</v>
      </c>
      <c r="D360" s="1277">
        <v>5482</v>
      </c>
      <c r="E360" s="245" t="s">
        <v>3190</v>
      </c>
      <c r="F360" s="245" t="s">
        <v>3191</v>
      </c>
      <c r="G360" s="248">
        <v>3889</v>
      </c>
      <c r="H360" s="245" t="s">
        <v>2158</v>
      </c>
      <c r="I360" s="245" t="s">
        <v>881</v>
      </c>
      <c r="J360" s="246" t="s">
        <v>111</v>
      </c>
      <c r="K360" s="246" t="s">
        <v>110</v>
      </c>
      <c r="L360" s="1059">
        <v>0.5</v>
      </c>
      <c r="M360" s="258"/>
      <c r="N360" s="259" t="s">
        <v>3201</v>
      </c>
      <c r="O360" s="685"/>
      <c r="P360" s="1358">
        <v>20</v>
      </c>
      <c r="Q360" s="1245">
        <v>0.2</v>
      </c>
      <c r="R360" s="1358"/>
      <c r="S360" s="262">
        <f t="shared" si="10"/>
        <v>0</v>
      </c>
      <c r="T360" s="263">
        <f t="shared" si="11"/>
        <v>0</v>
      </c>
      <c r="U360" s="264" t="s">
        <v>34</v>
      </c>
      <c r="V360" s="1237"/>
      <c r="W360" s="253"/>
    </row>
    <row r="361" spans="1:23" ht="22.95" customHeight="1" x14ac:dyDescent="0.4">
      <c r="A361" s="788">
        <v>360</v>
      </c>
      <c r="B361" s="245" t="s">
        <v>2616</v>
      </c>
      <c r="C361" s="246" t="s">
        <v>24</v>
      </c>
      <c r="D361" s="1277">
        <v>5482</v>
      </c>
      <c r="E361" s="245" t="s">
        <v>3190</v>
      </c>
      <c r="F361" s="245" t="s">
        <v>3191</v>
      </c>
      <c r="G361" s="248">
        <v>3889</v>
      </c>
      <c r="H361" s="245" t="s">
        <v>2158</v>
      </c>
      <c r="I361" s="245" t="s">
        <v>881</v>
      </c>
      <c r="J361" s="246" t="s">
        <v>111</v>
      </c>
      <c r="K361" s="246" t="s">
        <v>110</v>
      </c>
      <c r="L361" s="1059">
        <v>0.5</v>
      </c>
      <c r="M361" s="258"/>
      <c r="N361" s="259" t="s">
        <v>3202</v>
      </c>
      <c r="O361" s="685"/>
      <c r="P361" s="1358">
        <v>10</v>
      </c>
      <c r="Q361" s="1245">
        <v>0.2</v>
      </c>
      <c r="R361" s="1358"/>
      <c r="S361" s="262">
        <f t="shared" si="10"/>
        <v>0</v>
      </c>
      <c r="T361" s="263">
        <f t="shared" si="11"/>
        <v>0</v>
      </c>
      <c r="U361" s="264" t="s">
        <v>34</v>
      </c>
      <c r="V361" s="1237"/>
      <c r="W361" s="253"/>
    </row>
    <row r="362" spans="1:23" ht="22.95" customHeight="1" x14ac:dyDescent="0.4">
      <c r="A362" s="788">
        <v>361</v>
      </c>
      <c r="B362" s="245" t="s">
        <v>2616</v>
      </c>
      <c r="C362" s="246" t="s">
        <v>24</v>
      </c>
      <c r="D362" s="1277">
        <v>5482</v>
      </c>
      <c r="E362" s="245" t="s">
        <v>3190</v>
      </c>
      <c r="F362" s="245" t="s">
        <v>3191</v>
      </c>
      <c r="G362" s="248">
        <v>3889</v>
      </c>
      <c r="H362" s="245" t="s">
        <v>2158</v>
      </c>
      <c r="I362" s="245" t="s">
        <v>881</v>
      </c>
      <c r="J362" s="246" t="s">
        <v>111</v>
      </c>
      <c r="K362" s="246" t="s">
        <v>110</v>
      </c>
      <c r="L362" s="1059">
        <v>0.5</v>
      </c>
      <c r="M362" s="258"/>
      <c r="N362" s="259" t="s">
        <v>2169</v>
      </c>
      <c r="O362" s="685"/>
      <c r="P362" s="262">
        <v>1</v>
      </c>
      <c r="Q362" s="1245">
        <v>0.2</v>
      </c>
      <c r="R362" s="262"/>
      <c r="S362" s="262">
        <f t="shared" si="10"/>
        <v>0</v>
      </c>
      <c r="T362" s="263">
        <f t="shared" si="11"/>
        <v>0</v>
      </c>
      <c r="U362" s="264" t="s">
        <v>34</v>
      </c>
      <c r="V362" s="1237"/>
      <c r="W362" s="253"/>
    </row>
    <row r="363" spans="1:23" ht="22.95" customHeight="1" x14ac:dyDescent="0.4">
      <c r="A363" s="788">
        <v>362</v>
      </c>
      <c r="B363" s="236" t="s">
        <v>2616</v>
      </c>
      <c r="C363" s="187" t="s">
        <v>24</v>
      </c>
      <c r="D363" s="1334">
        <v>6590</v>
      </c>
      <c r="E363" s="653" t="s">
        <v>3203</v>
      </c>
      <c r="F363" s="653" t="s">
        <v>3204</v>
      </c>
      <c r="G363" s="674">
        <v>2418</v>
      </c>
      <c r="H363" s="653" t="s">
        <v>3157</v>
      </c>
      <c r="I363" s="653" t="s">
        <v>881</v>
      </c>
      <c r="J363" s="653" t="s">
        <v>58</v>
      </c>
      <c r="K363" s="653" t="s">
        <v>57</v>
      </c>
      <c r="L363" s="1193">
        <v>0.4</v>
      </c>
      <c r="M363" s="243"/>
      <c r="N363" s="653" t="s">
        <v>3205</v>
      </c>
      <c r="O363" s="653"/>
      <c r="P363" s="1359">
        <v>12</v>
      </c>
      <c r="Q363" s="1360">
        <v>0.3</v>
      </c>
      <c r="R363" s="1359"/>
      <c r="S363" s="195">
        <f t="shared" si="10"/>
        <v>0</v>
      </c>
      <c r="T363" s="196">
        <f t="shared" si="11"/>
        <v>0</v>
      </c>
      <c r="U363" s="752" t="s">
        <v>34</v>
      </c>
      <c r="V363" s="1327">
        <f>SUM(T363:T371)%</f>
        <v>0</v>
      </c>
      <c r="W363" s="243"/>
    </row>
    <row r="364" spans="1:23" ht="22.95" customHeight="1" x14ac:dyDescent="0.4">
      <c r="A364" s="788">
        <v>363</v>
      </c>
      <c r="B364" s="198" t="s">
        <v>2616</v>
      </c>
      <c r="C364" s="199" t="s">
        <v>24</v>
      </c>
      <c r="D364" s="1336">
        <v>6590</v>
      </c>
      <c r="E364" s="649" t="s">
        <v>3203</v>
      </c>
      <c r="F364" s="649" t="s">
        <v>3204</v>
      </c>
      <c r="G364" s="679">
        <v>2418</v>
      </c>
      <c r="H364" s="649" t="s">
        <v>3157</v>
      </c>
      <c r="I364" s="649" t="s">
        <v>881</v>
      </c>
      <c r="J364" s="79" t="s">
        <v>58</v>
      </c>
      <c r="K364" s="79" t="s">
        <v>57</v>
      </c>
      <c r="L364" s="1196">
        <v>0.4</v>
      </c>
      <c r="M364" s="959"/>
      <c r="N364" s="79" t="s">
        <v>3206</v>
      </c>
      <c r="O364" s="79"/>
      <c r="P364" s="1361">
        <v>12</v>
      </c>
      <c r="Q364" s="1362">
        <v>0.35</v>
      </c>
      <c r="R364" s="1361"/>
      <c r="S364" s="206">
        <f t="shared" si="10"/>
        <v>0</v>
      </c>
      <c r="T364" s="207">
        <f t="shared" si="11"/>
        <v>0</v>
      </c>
      <c r="U364" s="254" t="s">
        <v>34</v>
      </c>
      <c r="V364" s="1322"/>
      <c r="W364" s="253"/>
    </row>
    <row r="365" spans="1:23" ht="22.95" customHeight="1" x14ac:dyDescent="0.4">
      <c r="A365" s="788">
        <v>364</v>
      </c>
      <c r="B365" s="245" t="s">
        <v>2616</v>
      </c>
      <c r="C365" s="246" t="s">
        <v>24</v>
      </c>
      <c r="D365" s="1363">
        <v>6590</v>
      </c>
      <c r="E365" s="648" t="s">
        <v>3203</v>
      </c>
      <c r="F365" s="648" t="s">
        <v>3204</v>
      </c>
      <c r="G365" s="946">
        <v>2418</v>
      </c>
      <c r="H365" s="648" t="s">
        <v>3157</v>
      </c>
      <c r="I365" s="648" t="s">
        <v>881</v>
      </c>
      <c r="J365" s="79" t="s">
        <v>58</v>
      </c>
      <c r="K365" s="79" t="s">
        <v>57</v>
      </c>
      <c r="L365" s="1201">
        <v>0.4</v>
      </c>
      <c r="M365" s="959"/>
      <c r="N365" s="79" t="s">
        <v>3207</v>
      </c>
      <c r="O365" s="79"/>
      <c r="P365" s="1361">
        <v>12</v>
      </c>
      <c r="Q365" s="1362">
        <v>0.35</v>
      </c>
      <c r="R365" s="1361"/>
      <c r="S365" s="647">
        <f t="shared" si="10"/>
        <v>0</v>
      </c>
      <c r="T365" s="764">
        <f t="shared" si="11"/>
        <v>0</v>
      </c>
      <c r="U365" s="254" t="s">
        <v>34</v>
      </c>
      <c r="V365" s="1324"/>
      <c r="W365" s="253"/>
    </row>
    <row r="366" spans="1:23" ht="22.95" customHeight="1" x14ac:dyDescent="0.4">
      <c r="A366" s="788">
        <v>365</v>
      </c>
      <c r="B366" s="245" t="s">
        <v>2616</v>
      </c>
      <c r="C366" s="246" t="s">
        <v>24</v>
      </c>
      <c r="D366" s="1363">
        <v>6590</v>
      </c>
      <c r="E366" s="648" t="s">
        <v>3203</v>
      </c>
      <c r="F366" s="648" t="s">
        <v>3204</v>
      </c>
      <c r="G366" s="946">
        <v>2418</v>
      </c>
      <c r="H366" s="648" t="s">
        <v>3157</v>
      </c>
      <c r="I366" s="648" t="s">
        <v>881</v>
      </c>
      <c r="J366" s="253" t="s">
        <v>111</v>
      </c>
      <c r="K366" s="253" t="s">
        <v>110</v>
      </c>
      <c r="L366" s="1209">
        <v>0.6</v>
      </c>
      <c r="M366" s="253"/>
      <c r="N366" s="648" t="s">
        <v>3208</v>
      </c>
      <c r="O366" s="648"/>
      <c r="P366" s="1364">
        <v>4</v>
      </c>
      <c r="Q366" s="1365">
        <v>0.15</v>
      </c>
      <c r="R366" s="1364"/>
      <c r="S366" s="874">
        <f t="shared" si="10"/>
        <v>0</v>
      </c>
      <c r="T366" s="845">
        <f t="shared" si="11"/>
        <v>0</v>
      </c>
      <c r="U366" s="266" t="s">
        <v>34</v>
      </c>
      <c r="V366" s="1366"/>
      <c r="W366" s="253"/>
    </row>
    <row r="367" spans="1:23" ht="22.95" customHeight="1" x14ac:dyDescent="0.4">
      <c r="A367" s="788">
        <v>366</v>
      </c>
      <c r="B367" s="198" t="s">
        <v>2616</v>
      </c>
      <c r="C367" s="199" t="s">
        <v>24</v>
      </c>
      <c r="D367" s="1336">
        <v>6590</v>
      </c>
      <c r="E367" s="649" t="s">
        <v>3203</v>
      </c>
      <c r="F367" s="649" t="s">
        <v>3204</v>
      </c>
      <c r="G367" s="679">
        <v>2418</v>
      </c>
      <c r="H367" s="199" t="s">
        <v>3157</v>
      </c>
      <c r="I367" s="199" t="s">
        <v>881</v>
      </c>
      <c r="J367" s="210" t="s">
        <v>111</v>
      </c>
      <c r="K367" s="210" t="s">
        <v>110</v>
      </c>
      <c r="L367" s="1063">
        <v>0.6</v>
      </c>
      <c r="M367" s="210"/>
      <c r="N367" s="649" t="s">
        <v>3209</v>
      </c>
      <c r="O367" s="210"/>
      <c r="P367" s="1367">
        <v>0.9</v>
      </c>
      <c r="Q367" s="1368">
        <v>0.15</v>
      </c>
      <c r="R367" s="1367"/>
      <c r="S367" s="222">
        <f t="shared" si="10"/>
        <v>0</v>
      </c>
      <c r="T367" s="765">
        <f t="shared" si="11"/>
        <v>0</v>
      </c>
      <c r="U367" s="768" t="s">
        <v>34</v>
      </c>
      <c r="V367" s="1366"/>
      <c r="W367" s="253"/>
    </row>
    <row r="368" spans="1:23" ht="22.95" customHeight="1" x14ac:dyDescent="0.4">
      <c r="A368" s="788">
        <v>367</v>
      </c>
      <c r="B368" s="198" t="s">
        <v>2616</v>
      </c>
      <c r="C368" s="199" t="s">
        <v>24</v>
      </c>
      <c r="D368" s="1336">
        <v>6590</v>
      </c>
      <c r="E368" s="649" t="s">
        <v>3203</v>
      </c>
      <c r="F368" s="649" t="s">
        <v>3204</v>
      </c>
      <c r="G368" s="679">
        <v>2418</v>
      </c>
      <c r="H368" s="199" t="s">
        <v>3157</v>
      </c>
      <c r="I368" s="199" t="s">
        <v>881</v>
      </c>
      <c r="J368" s="210" t="s">
        <v>111</v>
      </c>
      <c r="K368" s="210" t="s">
        <v>110</v>
      </c>
      <c r="L368" s="1063">
        <v>0.6</v>
      </c>
      <c r="M368" s="1337"/>
      <c r="N368" s="649" t="s">
        <v>3210</v>
      </c>
      <c r="O368" s="210"/>
      <c r="P368" s="1367">
        <v>0.8</v>
      </c>
      <c r="Q368" s="1368">
        <v>0.2</v>
      </c>
      <c r="R368" s="1367"/>
      <c r="S368" s="222">
        <f t="shared" si="10"/>
        <v>0</v>
      </c>
      <c r="T368" s="765">
        <f t="shared" si="11"/>
        <v>0</v>
      </c>
      <c r="U368" s="768" t="s">
        <v>34</v>
      </c>
      <c r="V368" s="1330"/>
      <c r="W368" s="253"/>
    </row>
    <row r="369" spans="1:23" ht="22.95" customHeight="1" x14ac:dyDescent="0.4">
      <c r="A369" s="788">
        <v>368</v>
      </c>
      <c r="B369" s="198" t="s">
        <v>2616</v>
      </c>
      <c r="C369" s="199" t="s">
        <v>24</v>
      </c>
      <c r="D369" s="1336">
        <v>6590</v>
      </c>
      <c r="E369" s="649" t="s">
        <v>3203</v>
      </c>
      <c r="F369" s="649" t="s">
        <v>3204</v>
      </c>
      <c r="G369" s="679">
        <v>2418</v>
      </c>
      <c r="H369" s="199" t="s">
        <v>3157</v>
      </c>
      <c r="I369" s="199" t="s">
        <v>881</v>
      </c>
      <c r="J369" s="210" t="s">
        <v>111</v>
      </c>
      <c r="K369" s="210" t="s">
        <v>110</v>
      </c>
      <c r="L369" s="1063">
        <v>0.6</v>
      </c>
      <c r="M369" s="1337"/>
      <c r="N369" s="649" t="s">
        <v>3211</v>
      </c>
      <c r="O369" s="210"/>
      <c r="P369" s="1367">
        <v>0.8</v>
      </c>
      <c r="Q369" s="1368">
        <v>0.2</v>
      </c>
      <c r="R369" s="1367"/>
      <c r="S369" s="222">
        <f t="shared" si="10"/>
        <v>0</v>
      </c>
      <c r="T369" s="765">
        <f t="shared" si="11"/>
        <v>0</v>
      </c>
      <c r="U369" s="768" t="s">
        <v>34</v>
      </c>
      <c r="V369" s="1330"/>
      <c r="W369" s="253"/>
    </row>
    <row r="370" spans="1:23" ht="22.95" customHeight="1" x14ac:dyDescent="0.4">
      <c r="A370" s="788">
        <v>369</v>
      </c>
      <c r="B370" s="198" t="s">
        <v>2616</v>
      </c>
      <c r="C370" s="199" t="s">
        <v>24</v>
      </c>
      <c r="D370" s="1336">
        <v>6590</v>
      </c>
      <c r="E370" s="649" t="s">
        <v>3203</v>
      </c>
      <c r="F370" s="649" t="s">
        <v>3204</v>
      </c>
      <c r="G370" s="679">
        <v>2418</v>
      </c>
      <c r="H370" s="199" t="s">
        <v>3157</v>
      </c>
      <c r="I370" s="199" t="s">
        <v>881</v>
      </c>
      <c r="J370" s="210" t="s">
        <v>111</v>
      </c>
      <c r="K370" s="210" t="s">
        <v>110</v>
      </c>
      <c r="L370" s="1063">
        <v>0.6</v>
      </c>
      <c r="M370" s="1337"/>
      <c r="N370" s="649" t="s">
        <v>3212</v>
      </c>
      <c r="O370" s="210"/>
      <c r="P370" s="1367">
        <v>0.8</v>
      </c>
      <c r="Q370" s="1368">
        <v>0.1</v>
      </c>
      <c r="R370" s="1367"/>
      <c r="S370" s="222">
        <f t="shared" si="10"/>
        <v>0</v>
      </c>
      <c r="T370" s="765">
        <f t="shared" si="11"/>
        <v>0</v>
      </c>
      <c r="U370" s="768" t="s">
        <v>34</v>
      </c>
      <c r="V370" s="1145"/>
      <c r="W370" s="253"/>
    </row>
    <row r="371" spans="1:23" ht="22.95" customHeight="1" x14ac:dyDescent="0.4">
      <c r="A371" s="788">
        <v>370</v>
      </c>
      <c r="B371" s="198" t="s">
        <v>2616</v>
      </c>
      <c r="C371" s="199" t="s">
        <v>24</v>
      </c>
      <c r="D371" s="1336">
        <v>6590</v>
      </c>
      <c r="E371" s="649" t="s">
        <v>3203</v>
      </c>
      <c r="F371" s="649" t="s">
        <v>3204</v>
      </c>
      <c r="G371" s="679">
        <v>2418</v>
      </c>
      <c r="H371" s="199" t="s">
        <v>3157</v>
      </c>
      <c r="I371" s="199" t="s">
        <v>881</v>
      </c>
      <c r="J371" s="210" t="s">
        <v>111</v>
      </c>
      <c r="K371" s="210" t="s">
        <v>110</v>
      </c>
      <c r="L371" s="1063">
        <v>0.6</v>
      </c>
      <c r="M371" s="1337"/>
      <c r="N371" s="649" t="s">
        <v>3213</v>
      </c>
      <c r="O371" s="649"/>
      <c r="P371" s="1367">
        <v>0.8</v>
      </c>
      <c r="Q371" s="1368">
        <v>0.2</v>
      </c>
      <c r="R371" s="1367"/>
      <c r="S371" s="222">
        <f t="shared" si="10"/>
        <v>0</v>
      </c>
      <c r="T371" s="765">
        <f t="shared" si="11"/>
        <v>0</v>
      </c>
      <c r="U371" s="768" t="s">
        <v>34</v>
      </c>
      <c r="V371" s="1145"/>
      <c r="W371" s="253"/>
    </row>
    <row r="372" spans="1:23" ht="22.95" customHeight="1" x14ac:dyDescent="0.4">
      <c r="A372" s="788">
        <v>371</v>
      </c>
      <c r="B372" s="236" t="s">
        <v>2616</v>
      </c>
      <c r="C372" s="187" t="s">
        <v>24</v>
      </c>
      <c r="D372" s="1164">
        <v>3644</v>
      </c>
      <c r="E372" s="236" t="s">
        <v>3214</v>
      </c>
      <c r="F372" s="236" t="s">
        <v>3215</v>
      </c>
      <c r="G372" s="238">
        <v>2418</v>
      </c>
      <c r="H372" s="236" t="s">
        <v>3157</v>
      </c>
      <c r="I372" s="236" t="s">
        <v>881</v>
      </c>
      <c r="J372" s="187" t="s">
        <v>58</v>
      </c>
      <c r="K372" s="653" t="s">
        <v>57</v>
      </c>
      <c r="L372" s="1052">
        <v>0.5</v>
      </c>
      <c r="M372" s="191"/>
      <c r="N372" s="1369" t="s">
        <v>3216</v>
      </c>
      <c r="O372" s="193"/>
      <c r="P372" s="1370">
        <v>12</v>
      </c>
      <c r="Q372" s="1193">
        <v>0.2</v>
      </c>
      <c r="R372" s="1370"/>
      <c r="S372" s="195">
        <f t="shared" si="10"/>
        <v>0</v>
      </c>
      <c r="T372" s="196">
        <f t="shared" si="11"/>
        <v>0</v>
      </c>
      <c r="U372" s="197" t="s">
        <v>34</v>
      </c>
      <c r="V372" s="1340">
        <f>SUM(T372:T380)%</f>
        <v>0</v>
      </c>
      <c r="W372" s="1371"/>
    </row>
    <row r="373" spans="1:23" ht="22.95" customHeight="1" x14ac:dyDescent="0.4">
      <c r="A373" s="788">
        <v>372</v>
      </c>
      <c r="B373" s="245" t="s">
        <v>2616</v>
      </c>
      <c r="C373" s="246" t="s">
        <v>24</v>
      </c>
      <c r="D373" s="1277">
        <v>3644</v>
      </c>
      <c r="E373" s="245" t="s">
        <v>3214</v>
      </c>
      <c r="F373" s="245" t="s">
        <v>3215</v>
      </c>
      <c r="G373" s="248">
        <v>2418</v>
      </c>
      <c r="H373" s="245" t="s">
        <v>3157</v>
      </c>
      <c r="I373" s="245" t="s">
        <v>881</v>
      </c>
      <c r="J373" s="692" t="s">
        <v>58</v>
      </c>
      <c r="K373" s="79" t="s">
        <v>57</v>
      </c>
      <c r="L373" s="1067">
        <v>0.5</v>
      </c>
      <c r="M373" s="202"/>
      <c r="N373" s="1372" t="s">
        <v>3217</v>
      </c>
      <c r="O373" s="211"/>
      <c r="P373" s="1373">
        <v>20</v>
      </c>
      <c r="Q373" s="1196">
        <v>0.2</v>
      </c>
      <c r="R373" s="1373"/>
      <c r="S373" s="206">
        <f t="shared" si="10"/>
        <v>0</v>
      </c>
      <c r="T373" s="207">
        <f t="shared" si="11"/>
        <v>0</v>
      </c>
      <c r="U373" s="208" t="s">
        <v>34</v>
      </c>
      <c r="V373" s="1228"/>
      <c r="W373" s="799"/>
    </row>
    <row r="374" spans="1:23" ht="22.95" customHeight="1" x14ac:dyDescent="0.4">
      <c r="A374" s="788">
        <v>373</v>
      </c>
      <c r="B374" s="245" t="s">
        <v>2616</v>
      </c>
      <c r="C374" s="246" t="s">
        <v>24</v>
      </c>
      <c r="D374" s="1277">
        <v>3644</v>
      </c>
      <c r="E374" s="245" t="s">
        <v>3214</v>
      </c>
      <c r="F374" s="245" t="s">
        <v>3215</v>
      </c>
      <c r="G374" s="248">
        <v>2418</v>
      </c>
      <c r="H374" s="245" t="s">
        <v>3157</v>
      </c>
      <c r="I374" s="245" t="s">
        <v>881</v>
      </c>
      <c r="J374" s="692" t="s">
        <v>58</v>
      </c>
      <c r="K374" s="79" t="s">
        <v>57</v>
      </c>
      <c r="L374" s="1067">
        <v>0.5</v>
      </c>
      <c r="M374" s="202"/>
      <c r="N374" s="1372" t="s">
        <v>3218</v>
      </c>
      <c r="O374" s="211"/>
      <c r="P374" s="1373">
        <v>70</v>
      </c>
      <c r="Q374" s="1196">
        <v>0.2</v>
      </c>
      <c r="R374" s="1373"/>
      <c r="S374" s="206">
        <f t="shared" si="10"/>
        <v>0</v>
      </c>
      <c r="T374" s="207">
        <f t="shared" si="11"/>
        <v>0</v>
      </c>
      <c r="U374" s="208" t="s">
        <v>34</v>
      </c>
      <c r="V374" s="1228"/>
      <c r="W374" s="799"/>
    </row>
    <row r="375" spans="1:23" ht="22.95" customHeight="1" x14ac:dyDescent="0.4">
      <c r="A375" s="788">
        <v>374</v>
      </c>
      <c r="B375" s="245" t="s">
        <v>2616</v>
      </c>
      <c r="C375" s="246" t="s">
        <v>24</v>
      </c>
      <c r="D375" s="1277">
        <v>3644</v>
      </c>
      <c r="E375" s="245" t="s">
        <v>3214</v>
      </c>
      <c r="F375" s="245" t="s">
        <v>3215</v>
      </c>
      <c r="G375" s="248">
        <v>2418</v>
      </c>
      <c r="H375" s="245" t="s">
        <v>3157</v>
      </c>
      <c r="I375" s="245" t="s">
        <v>881</v>
      </c>
      <c r="J375" s="692" t="s">
        <v>58</v>
      </c>
      <c r="K375" s="79" t="s">
        <v>57</v>
      </c>
      <c r="L375" s="1067">
        <v>0.5</v>
      </c>
      <c r="M375" s="202"/>
      <c r="N375" s="1372" t="s">
        <v>3219</v>
      </c>
      <c r="O375" s="211"/>
      <c r="P375" s="1374">
        <v>12</v>
      </c>
      <c r="Q375" s="1196">
        <v>0.2</v>
      </c>
      <c r="R375" s="1374"/>
      <c r="S375" s="206">
        <f t="shared" si="10"/>
        <v>0</v>
      </c>
      <c r="T375" s="207">
        <f t="shared" si="11"/>
        <v>0</v>
      </c>
      <c r="U375" s="208" t="s">
        <v>34</v>
      </c>
      <c r="V375" s="1228"/>
      <c r="W375" s="799"/>
    </row>
    <row r="376" spans="1:23" ht="22.95" customHeight="1" x14ac:dyDescent="0.4">
      <c r="A376" s="788">
        <v>375</v>
      </c>
      <c r="B376" s="245" t="s">
        <v>2616</v>
      </c>
      <c r="C376" s="246" t="s">
        <v>24</v>
      </c>
      <c r="D376" s="1277">
        <v>3644</v>
      </c>
      <c r="E376" s="245" t="s">
        <v>3214</v>
      </c>
      <c r="F376" s="245" t="s">
        <v>3215</v>
      </c>
      <c r="G376" s="248">
        <v>2418</v>
      </c>
      <c r="H376" s="245" t="s">
        <v>3157</v>
      </c>
      <c r="I376" s="245" t="s">
        <v>881</v>
      </c>
      <c r="J376" s="692" t="s">
        <v>58</v>
      </c>
      <c r="K376" s="79" t="s">
        <v>57</v>
      </c>
      <c r="L376" s="1067">
        <v>0.5</v>
      </c>
      <c r="M376" s="202"/>
      <c r="N376" s="1372" t="s">
        <v>3220</v>
      </c>
      <c r="O376" s="211"/>
      <c r="P376" s="1374">
        <v>100</v>
      </c>
      <c r="Q376" s="1196">
        <v>0.2</v>
      </c>
      <c r="R376" s="1374"/>
      <c r="S376" s="206">
        <f t="shared" si="10"/>
        <v>0</v>
      </c>
      <c r="T376" s="207">
        <f t="shared" si="11"/>
        <v>0</v>
      </c>
      <c r="U376" s="208" t="s">
        <v>34</v>
      </c>
      <c r="V376" s="1228"/>
      <c r="W376" s="799"/>
    </row>
    <row r="377" spans="1:23" ht="22.95" customHeight="1" x14ac:dyDescent="0.4">
      <c r="A377" s="788">
        <v>376</v>
      </c>
      <c r="B377" s="245" t="s">
        <v>2616</v>
      </c>
      <c r="C377" s="246" t="s">
        <v>24</v>
      </c>
      <c r="D377" s="1277">
        <v>3644</v>
      </c>
      <c r="E377" s="245" t="s">
        <v>3214</v>
      </c>
      <c r="F377" s="245" t="s">
        <v>3215</v>
      </c>
      <c r="G377" s="248">
        <v>2418</v>
      </c>
      <c r="H377" s="245" t="s">
        <v>3157</v>
      </c>
      <c r="I377" s="245" t="s">
        <v>881</v>
      </c>
      <c r="J377" s="199" t="s">
        <v>111</v>
      </c>
      <c r="K377" s="649" t="s">
        <v>110</v>
      </c>
      <c r="L377" s="1145">
        <v>0.5</v>
      </c>
      <c r="M377" s="213"/>
      <c r="N377" s="1375" t="s">
        <v>3221</v>
      </c>
      <c r="O377" s="220"/>
      <c r="P377" s="1376">
        <v>3</v>
      </c>
      <c r="Q377" s="1245">
        <v>0.25</v>
      </c>
      <c r="R377" s="1376"/>
      <c r="S377" s="262">
        <f t="shared" si="10"/>
        <v>0</v>
      </c>
      <c r="T377" s="263">
        <f t="shared" si="11"/>
        <v>0</v>
      </c>
      <c r="U377" s="687" t="s">
        <v>34</v>
      </c>
      <c r="V377" s="1228"/>
      <c r="W377" s="799"/>
    </row>
    <row r="378" spans="1:23" ht="22.95" customHeight="1" x14ac:dyDescent="0.4">
      <c r="A378" s="788">
        <v>377</v>
      </c>
      <c r="B378" s="245" t="s">
        <v>2616</v>
      </c>
      <c r="C378" s="246" t="s">
        <v>24</v>
      </c>
      <c r="D378" s="1277">
        <v>3644</v>
      </c>
      <c r="E378" s="245" t="s">
        <v>3214</v>
      </c>
      <c r="F378" s="245" t="s">
        <v>3215</v>
      </c>
      <c r="G378" s="248">
        <v>2418</v>
      </c>
      <c r="H378" s="245" t="s">
        <v>3157</v>
      </c>
      <c r="I378" s="245" t="s">
        <v>881</v>
      </c>
      <c r="J378" s="199" t="s">
        <v>111</v>
      </c>
      <c r="K378" s="649" t="s">
        <v>110</v>
      </c>
      <c r="L378" s="1145">
        <v>0.5</v>
      </c>
      <c r="M378" s="213"/>
      <c r="N378" s="1375" t="s">
        <v>3222</v>
      </c>
      <c r="O378" s="220"/>
      <c r="P378" s="1346">
        <v>1</v>
      </c>
      <c r="Q378" s="1063">
        <v>0.25</v>
      </c>
      <c r="R378" s="1346"/>
      <c r="S378" s="216">
        <f t="shared" si="10"/>
        <v>0</v>
      </c>
      <c r="T378" s="217">
        <f t="shared" si="11"/>
        <v>0</v>
      </c>
      <c r="U378" s="218" t="s">
        <v>34</v>
      </c>
      <c r="V378" s="1228"/>
      <c r="W378" s="799"/>
    </row>
    <row r="379" spans="1:23" ht="22.95" customHeight="1" x14ac:dyDescent="0.4">
      <c r="A379" s="788">
        <v>378</v>
      </c>
      <c r="B379" s="245" t="s">
        <v>2616</v>
      </c>
      <c r="C379" s="246" t="s">
        <v>24</v>
      </c>
      <c r="D379" s="1277">
        <v>3644</v>
      </c>
      <c r="E379" s="245" t="s">
        <v>3214</v>
      </c>
      <c r="F379" s="245" t="s">
        <v>3215</v>
      </c>
      <c r="G379" s="248">
        <v>2418</v>
      </c>
      <c r="H379" s="245" t="s">
        <v>3157</v>
      </c>
      <c r="I379" s="245" t="s">
        <v>881</v>
      </c>
      <c r="J379" s="199" t="s">
        <v>111</v>
      </c>
      <c r="K379" s="649" t="s">
        <v>110</v>
      </c>
      <c r="L379" s="1145">
        <v>0.5</v>
      </c>
      <c r="M379" s="213"/>
      <c r="N379" s="1375" t="s">
        <v>3223</v>
      </c>
      <c r="O379" s="220"/>
      <c r="P379" s="1346">
        <v>100</v>
      </c>
      <c r="Q379" s="1063">
        <v>0.25</v>
      </c>
      <c r="R379" s="1346"/>
      <c r="S379" s="216">
        <f t="shared" si="10"/>
        <v>0</v>
      </c>
      <c r="T379" s="217">
        <f t="shared" si="11"/>
        <v>0</v>
      </c>
      <c r="U379" s="218" t="s">
        <v>34</v>
      </c>
      <c r="V379" s="1228"/>
      <c r="W379" s="799"/>
    </row>
    <row r="380" spans="1:23" ht="22.95" customHeight="1" x14ac:dyDescent="0.4">
      <c r="A380" s="788">
        <v>379</v>
      </c>
      <c r="B380" s="245" t="s">
        <v>2616</v>
      </c>
      <c r="C380" s="246" t="s">
        <v>24</v>
      </c>
      <c r="D380" s="1277">
        <v>3644</v>
      </c>
      <c r="E380" s="245" t="s">
        <v>3214</v>
      </c>
      <c r="F380" s="245" t="s">
        <v>3215</v>
      </c>
      <c r="G380" s="248">
        <v>2418</v>
      </c>
      <c r="H380" s="245" t="s">
        <v>3157</v>
      </c>
      <c r="I380" s="245" t="s">
        <v>881</v>
      </c>
      <c r="J380" s="199" t="s">
        <v>111</v>
      </c>
      <c r="K380" s="649" t="s">
        <v>110</v>
      </c>
      <c r="L380" s="1145">
        <v>0.5</v>
      </c>
      <c r="M380" s="213"/>
      <c r="N380" s="1375" t="s">
        <v>3224</v>
      </c>
      <c r="O380" s="220"/>
      <c r="P380" s="234">
        <v>0.8</v>
      </c>
      <c r="Q380" s="1063">
        <v>0.25</v>
      </c>
      <c r="R380" s="234"/>
      <c r="S380" s="216">
        <f t="shared" si="10"/>
        <v>0</v>
      </c>
      <c r="T380" s="217">
        <f t="shared" si="11"/>
        <v>0</v>
      </c>
      <c r="U380" s="218" t="s">
        <v>34</v>
      </c>
      <c r="V380" s="1228"/>
      <c r="W380" s="799"/>
    </row>
    <row r="381" spans="1:23" ht="22.95" customHeight="1" x14ac:dyDescent="0.4">
      <c r="A381" s="788">
        <v>380</v>
      </c>
      <c r="B381" s="236" t="s">
        <v>2616</v>
      </c>
      <c r="C381" s="187" t="s">
        <v>24</v>
      </c>
      <c r="D381" s="1130">
        <v>3742</v>
      </c>
      <c r="E381" s="187" t="s">
        <v>3225</v>
      </c>
      <c r="F381" s="187" t="s">
        <v>3226</v>
      </c>
      <c r="G381" s="795">
        <v>3744</v>
      </c>
      <c r="H381" s="187" t="s">
        <v>3227</v>
      </c>
      <c r="I381" s="187" t="s">
        <v>881</v>
      </c>
      <c r="J381" s="653" t="s">
        <v>58</v>
      </c>
      <c r="K381" s="653" t="s">
        <v>57</v>
      </c>
      <c r="L381" s="1193">
        <v>0.5</v>
      </c>
      <c r="M381" s="1377"/>
      <c r="N381" s="988" t="s">
        <v>3228</v>
      </c>
      <c r="O381" s="749"/>
      <c r="P381" s="1378">
        <v>1</v>
      </c>
      <c r="Q381" s="1379">
        <v>0.1</v>
      </c>
      <c r="R381" s="1378"/>
      <c r="S381" s="195">
        <f t="shared" si="10"/>
        <v>0</v>
      </c>
      <c r="T381" s="196">
        <f t="shared" si="11"/>
        <v>0</v>
      </c>
      <c r="U381" s="1339" t="s">
        <v>34</v>
      </c>
      <c r="V381" s="1340">
        <f>SUM(T381:T393)%</f>
        <v>0</v>
      </c>
      <c r="W381" s="1380"/>
    </row>
    <row r="382" spans="1:23" ht="22.95" customHeight="1" x14ac:dyDescent="0.4">
      <c r="A382" s="788">
        <v>381</v>
      </c>
      <c r="B382" s="198" t="s">
        <v>2616</v>
      </c>
      <c r="C382" s="246" t="s">
        <v>24</v>
      </c>
      <c r="D382" s="1134">
        <v>3742</v>
      </c>
      <c r="E382" s="246" t="s">
        <v>3225</v>
      </c>
      <c r="F382" s="246" t="s">
        <v>3226</v>
      </c>
      <c r="G382" s="1381">
        <v>3744</v>
      </c>
      <c r="H382" s="246" t="s">
        <v>3227</v>
      </c>
      <c r="I382" s="246" t="s">
        <v>881</v>
      </c>
      <c r="J382" s="79" t="s">
        <v>58</v>
      </c>
      <c r="K382" s="79" t="s">
        <v>57</v>
      </c>
      <c r="L382" s="1196">
        <v>0.5</v>
      </c>
      <c r="M382" s="1382"/>
      <c r="N382" s="990" t="s">
        <v>3229</v>
      </c>
      <c r="O382" s="757"/>
      <c r="P382" s="1383">
        <v>15000</v>
      </c>
      <c r="Q382" s="1384">
        <v>0.15</v>
      </c>
      <c r="R382" s="1383"/>
      <c r="S382" s="206">
        <f t="shared" si="10"/>
        <v>0</v>
      </c>
      <c r="T382" s="207">
        <f t="shared" si="11"/>
        <v>0</v>
      </c>
      <c r="U382" s="1341" t="s">
        <v>34</v>
      </c>
      <c r="V382" s="1228"/>
      <c r="W382" s="799"/>
    </row>
    <row r="383" spans="1:23" ht="22.95" customHeight="1" x14ac:dyDescent="0.4">
      <c r="A383" s="788">
        <v>382</v>
      </c>
      <c r="B383" s="198" t="s">
        <v>2616</v>
      </c>
      <c r="C383" s="246" t="s">
        <v>24</v>
      </c>
      <c r="D383" s="1134">
        <v>3742</v>
      </c>
      <c r="E383" s="246" t="s">
        <v>3225</v>
      </c>
      <c r="F383" s="246" t="s">
        <v>3226</v>
      </c>
      <c r="G383" s="1381">
        <v>3744</v>
      </c>
      <c r="H383" s="246" t="s">
        <v>3227</v>
      </c>
      <c r="I383" s="246" t="s">
        <v>881</v>
      </c>
      <c r="J383" s="79" t="s">
        <v>58</v>
      </c>
      <c r="K383" s="79" t="s">
        <v>57</v>
      </c>
      <c r="L383" s="1196">
        <v>0.5</v>
      </c>
      <c r="M383" s="1382"/>
      <c r="N383" s="990" t="s">
        <v>3230</v>
      </c>
      <c r="O383" s="757"/>
      <c r="P383" s="1385">
        <v>100</v>
      </c>
      <c r="Q383" s="1384">
        <v>0.1</v>
      </c>
      <c r="R383" s="1385"/>
      <c r="S383" s="206">
        <f t="shared" si="10"/>
        <v>0</v>
      </c>
      <c r="T383" s="207">
        <f t="shared" si="11"/>
        <v>0</v>
      </c>
      <c r="U383" s="1341" t="s">
        <v>34</v>
      </c>
      <c r="V383" s="1228"/>
      <c r="W383" s="799"/>
    </row>
    <row r="384" spans="1:23" ht="22.95" customHeight="1" x14ac:dyDescent="0.4">
      <c r="A384" s="788">
        <v>383</v>
      </c>
      <c r="B384" s="198" t="s">
        <v>2616</v>
      </c>
      <c r="C384" s="246" t="s">
        <v>24</v>
      </c>
      <c r="D384" s="1134">
        <v>3742</v>
      </c>
      <c r="E384" s="246" t="s">
        <v>3225</v>
      </c>
      <c r="F384" s="246" t="s">
        <v>3226</v>
      </c>
      <c r="G384" s="1381">
        <v>3744</v>
      </c>
      <c r="H384" s="246" t="s">
        <v>3227</v>
      </c>
      <c r="I384" s="246" t="s">
        <v>881</v>
      </c>
      <c r="J384" s="79" t="s">
        <v>58</v>
      </c>
      <c r="K384" s="79" t="s">
        <v>57</v>
      </c>
      <c r="L384" s="1196">
        <v>0.5</v>
      </c>
      <c r="M384" s="1382"/>
      <c r="N384" s="992" t="s">
        <v>3231</v>
      </c>
      <c r="O384" s="757"/>
      <c r="P384" s="1385">
        <v>12</v>
      </c>
      <c r="Q384" s="1384">
        <v>0.1</v>
      </c>
      <c r="R384" s="1385"/>
      <c r="S384" s="206">
        <f t="shared" si="10"/>
        <v>0</v>
      </c>
      <c r="T384" s="207">
        <f t="shared" si="11"/>
        <v>0</v>
      </c>
      <c r="U384" s="1341" t="s">
        <v>34</v>
      </c>
      <c r="V384" s="1228"/>
      <c r="W384" s="799"/>
    </row>
    <row r="385" spans="1:23" ht="22.95" customHeight="1" x14ac:dyDescent="0.4">
      <c r="A385" s="788">
        <v>384</v>
      </c>
      <c r="B385" s="198" t="s">
        <v>2616</v>
      </c>
      <c r="C385" s="246" t="s">
        <v>24</v>
      </c>
      <c r="D385" s="1134">
        <v>3742</v>
      </c>
      <c r="E385" s="246" t="s">
        <v>3225</v>
      </c>
      <c r="F385" s="246" t="s">
        <v>3226</v>
      </c>
      <c r="G385" s="1381">
        <v>3744</v>
      </c>
      <c r="H385" s="246" t="s">
        <v>3227</v>
      </c>
      <c r="I385" s="246" t="s">
        <v>881</v>
      </c>
      <c r="J385" s="79" t="s">
        <v>58</v>
      </c>
      <c r="K385" s="79" t="s">
        <v>57</v>
      </c>
      <c r="L385" s="1196">
        <v>0.5</v>
      </c>
      <c r="M385" s="1382"/>
      <c r="N385" s="992" t="s">
        <v>3232</v>
      </c>
      <c r="O385" s="757"/>
      <c r="P385" s="1386">
        <v>1</v>
      </c>
      <c r="Q385" s="1384">
        <v>0.15</v>
      </c>
      <c r="R385" s="1386"/>
      <c r="S385" s="206">
        <f t="shared" si="10"/>
        <v>0</v>
      </c>
      <c r="T385" s="207">
        <f t="shared" si="11"/>
        <v>0</v>
      </c>
      <c r="U385" s="1341" t="s">
        <v>34</v>
      </c>
      <c r="V385" s="1228"/>
      <c r="W385" s="799"/>
    </row>
    <row r="386" spans="1:23" ht="22.95" customHeight="1" x14ac:dyDescent="0.4">
      <c r="A386" s="788">
        <v>385</v>
      </c>
      <c r="B386" s="198" t="s">
        <v>2616</v>
      </c>
      <c r="C386" s="246" t="s">
        <v>24</v>
      </c>
      <c r="D386" s="1134">
        <v>3742</v>
      </c>
      <c r="E386" s="246" t="s">
        <v>3225</v>
      </c>
      <c r="F386" s="246" t="s">
        <v>3226</v>
      </c>
      <c r="G386" s="1381">
        <v>3744</v>
      </c>
      <c r="H386" s="246" t="s">
        <v>3227</v>
      </c>
      <c r="I386" s="246" t="s">
        <v>881</v>
      </c>
      <c r="J386" s="79" t="s">
        <v>58</v>
      </c>
      <c r="K386" s="79" t="s">
        <v>57</v>
      </c>
      <c r="L386" s="1196">
        <v>0.5</v>
      </c>
      <c r="M386" s="1382"/>
      <c r="N386" s="992" t="s">
        <v>3233</v>
      </c>
      <c r="O386" s="757"/>
      <c r="P386" s="1386">
        <v>1</v>
      </c>
      <c r="Q386" s="1384">
        <v>0.15</v>
      </c>
      <c r="R386" s="1386"/>
      <c r="S386" s="206">
        <f t="shared" ref="S386:S449" si="12">ROUND(IF(OR(P386="",R386=""),0,IF(AND(P386=0,R386=0),1,IF(U386="+",R386/P386,P386/R386))),2)</f>
        <v>0</v>
      </c>
      <c r="T386" s="207">
        <f t="shared" ref="T386:T449" si="13">IF(AND(S386&gt;=60%,S386&lt;100%),S386*((Q386*L386)),IF(S386=100%,((Q386*L386)*S386)*100%,IF(S386&gt;100%,((L386*Q386)*100%)*100%,0)))*100</f>
        <v>0</v>
      </c>
      <c r="U386" s="1341" t="s">
        <v>34</v>
      </c>
      <c r="V386" s="1228"/>
      <c r="W386" s="799"/>
    </row>
    <row r="387" spans="1:23" ht="22.95" customHeight="1" x14ac:dyDescent="0.4">
      <c r="A387" s="788">
        <v>386</v>
      </c>
      <c r="B387" s="198" t="s">
        <v>2616</v>
      </c>
      <c r="C387" s="246" t="s">
        <v>24</v>
      </c>
      <c r="D387" s="1134">
        <v>3742</v>
      </c>
      <c r="E387" s="246" t="s">
        <v>3225</v>
      </c>
      <c r="F387" s="246" t="s">
        <v>3226</v>
      </c>
      <c r="G387" s="1381">
        <v>3744</v>
      </c>
      <c r="H387" s="246" t="s">
        <v>3227</v>
      </c>
      <c r="I387" s="246" t="s">
        <v>881</v>
      </c>
      <c r="J387" s="79" t="s">
        <v>58</v>
      </c>
      <c r="K387" s="79" t="s">
        <v>57</v>
      </c>
      <c r="L387" s="1196">
        <v>0.5</v>
      </c>
      <c r="M387" s="1382"/>
      <c r="N387" s="992" t="s">
        <v>3234</v>
      </c>
      <c r="O387" s="757"/>
      <c r="P387" s="1386">
        <v>1</v>
      </c>
      <c r="Q387" s="1384">
        <v>0.15</v>
      </c>
      <c r="R387" s="1386"/>
      <c r="S387" s="206">
        <f t="shared" si="12"/>
        <v>0</v>
      </c>
      <c r="T387" s="207">
        <f t="shared" si="13"/>
        <v>0</v>
      </c>
      <c r="U387" s="1341" t="s">
        <v>34</v>
      </c>
      <c r="V387" s="1228"/>
      <c r="W387" s="799"/>
    </row>
    <row r="388" spans="1:23" ht="22.95" customHeight="1" x14ac:dyDescent="0.4">
      <c r="A388" s="788">
        <v>387</v>
      </c>
      <c r="B388" s="198" t="s">
        <v>2616</v>
      </c>
      <c r="C388" s="246" t="s">
        <v>24</v>
      </c>
      <c r="D388" s="1134">
        <v>3742</v>
      </c>
      <c r="E388" s="246" t="s">
        <v>3225</v>
      </c>
      <c r="F388" s="246" t="s">
        <v>3226</v>
      </c>
      <c r="G388" s="1381">
        <v>3744</v>
      </c>
      <c r="H388" s="246" t="s">
        <v>3227</v>
      </c>
      <c r="I388" s="246" t="s">
        <v>881</v>
      </c>
      <c r="J388" s="79" t="s">
        <v>58</v>
      </c>
      <c r="K388" s="79" t="s">
        <v>57</v>
      </c>
      <c r="L388" s="1196">
        <v>0.5</v>
      </c>
      <c r="M388" s="1382"/>
      <c r="N388" s="990" t="s">
        <v>3235</v>
      </c>
      <c r="O388" s="757"/>
      <c r="P388" s="1386">
        <v>1</v>
      </c>
      <c r="Q388" s="1384">
        <v>0.1</v>
      </c>
      <c r="R388" s="1386"/>
      <c r="S388" s="206">
        <f t="shared" si="12"/>
        <v>0</v>
      </c>
      <c r="T388" s="207">
        <f t="shared" si="13"/>
        <v>0</v>
      </c>
      <c r="U388" s="1341" t="s">
        <v>34</v>
      </c>
      <c r="V388" s="1228"/>
      <c r="W388" s="799"/>
    </row>
    <row r="389" spans="1:23" ht="22.95" customHeight="1" x14ac:dyDescent="0.4">
      <c r="A389" s="788">
        <v>388</v>
      </c>
      <c r="B389" s="198" t="s">
        <v>2616</v>
      </c>
      <c r="C389" s="246" t="s">
        <v>24</v>
      </c>
      <c r="D389" s="1134">
        <v>3742</v>
      </c>
      <c r="E389" s="246" t="s">
        <v>3225</v>
      </c>
      <c r="F389" s="246" t="s">
        <v>3226</v>
      </c>
      <c r="G389" s="1381">
        <v>3744</v>
      </c>
      <c r="H389" s="246" t="s">
        <v>3227</v>
      </c>
      <c r="I389" s="246" t="s">
        <v>881</v>
      </c>
      <c r="J389" s="210" t="s">
        <v>111</v>
      </c>
      <c r="K389" s="649" t="s">
        <v>110</v>
      </c>
      <c r="L389" s="1147">
        <v>0.5</v>
      </c>
      <c r="M389" s="1387"/>
      <c r="N389" s="1309" t="s">
        <v>3236</v>
      </c>
      <c r="O389" s="827"/>
      <c r="P389" s="649">
        <v>1</v>
      </c>
      <c r="Q389" s="1388">
        <v>0.2</v>
      </c>
      <c r="R389" s="649"/>
      <c r="S389" s="216">
        <f t="shared" si="12"/>
        <v>0</v>
      </c>
      <c r="T389" s="217">
        <f t="shared" si="13"/>
        <v>0</v>
      </c>
      <c r="U389" s="1349" t="s">
        <v>34</v>
      </c>
      <c r="V389" s="1228"/>
      <c r="W389" s="799"/>
    </row>
    <row r="390" spans="1:23" ht="22.95" customHeight="1" x14ac:dyDescent="0.4">
      <c r="A390" s="788">
        <v>389</v>
      </c>
      <c r="B390" s="198" t="s">
        <v>2616</v>
      </c>
      <c r="C390" s="246" t="s">
        <v>24</v>
      </c>
      <c r="D390" s="1134">
        <v>3742</v>
      </c>
      <c r="E390" s="246" t="s">
        <v>3225</v>
      </c>
      <c r="F390" s="246" t="s">
        <v>3226</v>
      </c>
      <c r="G390" s="1381">
        <v>3744</v>
      </c>
      <c r="H390" s="246" t="s">
        <v>3227</v>
      </c>
      <c r="I390" s="246" t="s">
        <v>881</v>
      </c>
      <c r="J390" s="210" t="s">
        <v>111</v>
      </c>
      <c r="K390" s="649" t="s">
        <v>110</v>
      </c>
      <c r="L390" s="1063">
        <v>0.5</v>
      </c>
      <c r="M390" s="1389"/>
      <c r="N390" s="1271" t="s">
        <v>3237</v>
      </c>
      <c r="O390" s="767"/>
      <c r="P390" s="1390">
        <v>0.3</v>
      </c>
      <c r="Q390" s="1388">
        <v>0.1</v>
      </c>
      <c r="R390" s="1390"/>
      <c r="S390" s="222">
        <f t="shared" si="12"/>
        <v>0</v>
      </c>
      <c r="T390" s="765">
        <f t="shared" si="13"/>
        <v>0</v>
      </c>
      <c r="U390" s="1347" t="s">
        <v>34</v>
      </c>
      <c r="V390" s="1228"/>
      <c r="W390" s="799"/>
    </row>
    <row r="391" spans="1:23" ht="22.95" customHeight="1" x14ac:dyDescent="0.4">
      <c r="A391" s="788">
        <v>390</v>
      </c>
      <c r="B391" s="198" t="s">
        <v>2616</v>
      </c>
      <c r="C391" s="246" t="s">
        <v>24</v>
      </c>
      <c r="D391" s="1134">
        <v>3742</v>
      </c>
      <c r="E391" s="246" t="s">
        <v>3225</v>
      </c>
      <c r="F391" s="246" t="s">
        <v>3226</v>
      </c>
      <c r="G391" s="1381">
        <v>3744</v>
      </c>
      <c r="H391" s="246" t="s">
        <v>3227</v>
      </c>
      <c r="I391" s="246" t="s">
        <v>881</v>
      </c>
      <c r="J391" s="210" t="s">
        <v>111</v>
      </c>
      <c r="K391" s="649" t="s">
        <v>110</v>
      </c>
      <c r="L391" s="1063">
        <v>0.5</v>
      </c>
      <c r="M391" s="1389"/>
      <c r="N391" s="1013" t="s">
        <v>3238</v>
      </c>
      <c r="O391" s="767"/>
      <c r="P391" s="1390">
        <v>0.9</v>
      </c>
      <c r="Q391" s="1388">
        <v>0.3</v>
      </c>
      <c r="R391" s="1390"/>
      <c r="S391" s="222">
        <f t="shared" si="12"/>
        <v>0</v>
      </c>
      <c r="T391" s="765">
        <f t="shared" si="13"/>
        <v>0</v>
      </c>
      <c r="U391" s="1347" t="s">
        <v>34</v>
      </c>
      <c r="V391" s="1228"/>
      <c r="W391" s="799"/>
    </row>
    <row r="392" spans="1:23" ht="22.95" customHeight="1" x14ac:dyDescent="0.4">
      <c r="A392" s="788">
        <v>391</v>
      </c>
      <c r="B392" s="198" t="s">
        <v>2616</v>
      </c>
      <c r="C392" s="246" t="s">
        <v>24</v>
      </c>
      <c r="D392" s="1134">
        <v>3742</v>
      </c>
      <c r="E392" s="246" t="s">
        <v>3225</v>
      </c>
      <c r="F392" s="246" t="s">
        <v>3226</v>
      </c>
      <c r="G392" s="1381">
        <v>3744</v>
      </c>
      <c r="H392" s="246" t="s">
        <v>3227</v>
      </c>
      <c r="I392" s="246" t="s">
        <v>881</v>
      </c>
      <c r="J392" s="210" t="s">
        <v>111</v>
      </c>
      <c r="K392" s="649" t="s">
        <v>110</v>
      </c>
      <c r="L392" s="1063">
        <v>0.5</v>
      </c>
      <c r="M392" s="1389"/>
      <c r="N392" s="1013" t="s">
        <v>3239</v>
      </c>
      <c r="O392" s="767"/>
      <c r="P392" s="1391">
        <v>18</v>
      </c>
      <c r="Q392" s="1388">
        <v>0.2</v>
      </c>
      <c r="R392" s="1391"/>
      <c r="S392" s="222">
        <f t="shared" si="12"/>
        <v>0</v>
      </c>
      <c r="T392" s="765">
        <f t="shared" si="13"/>
        <v>0</v>
      </c>
      <c r="U392" s="1347" t="s">
        <v>34</v>
      </c>
      <c r="V392" s="1228"/>
      <c r="W392" s="799"/>
    </row>
    <row r="393" spans="1:23" ht="22.95" customHeight="1" x14ac:dyDescent="0.4">
      <c r="A393" s="788">
        <v>392</v>
      </c>
      <c r="B393" s="198" t="s">
        <v>2616</v>
      </c>
      <c r="C393" s="246" t="s">
        <v>24</v>
      </c>
      <c r="D393" s="1134">
        <v>3742</v>
      </c>
      <c r="E393" s="246" t="s">
        <v>3225</v>
      </c>
      <c r="F393" s="246" t="s">
        <v>3226</v>
      </c>
      <c r="G393" s="1381">
        <v>3744</v>
      </c>
      <c r="H393" s="246" t="s">
        <v>3227</v>
      </c>
      <c r="I393" s="246" t="s">
        <v>881</v>
      </c>
      <c r="J393" s="210" t="s">
        <v>111</v>
      </c>
      <c r="K393" s="649" t="s">
        <v>110</v>
      </c>
      <c r="L393" s="1063">
        <v>0.5</v>
      </c>
      <c r="M393" s="1389"/>
      <c r="N393" s="1013" t="s">
        <v>3240</v>
      </c>
      <c r="O393" s="767"/>
      <c r="P393" s="1391">
        <v>0.9</v>
      </c>
      <c r="Q393" s="1388">
        <v>0.2</v>
      </c>
      <c r="R393" s="1391"/>
      <c r="S393" s="222">
        <f t="shared" si="12"/>
        <v>0</v>
      </c>
      <c r="T393" s="765">
        <f t="shared" si="13"/>
        <v>0</v>
      </c>
      <c r="U393" s="1347" t="s">
        <v>34</v>
      </c>
      <c r="V393" s="1228"/>
      <c r="W393" s="799"/>
    </row>
    <row r="394" spans="1:23" ht="22.95" customHeight="1" x14ac:dyDescent="0.4">
      <c r="A394" s="788">
        <v>393</v>
      </c>
      <c r="B394" s="236" t="s">
        <v>2616</v>
      </c>
      <c r="C394" s="187" t="s">
        <v>24</v>
      </c>
      <c r="D394" s="1130">
        <v>6316</v>
      </c>
      <c r="E394" s="187" t="s">
        <v>3241</v>
      </c>
      <c r="F394" s="653" t="s">
        <v>3242</v>
      </c>
      <c r="G394" s="674">
        <v>3644</v>
      </c>
      <c r="H394" s="653" t="s">
        <v>3214</v>
      </c>
      <c r="I394" s="187" t="s">
        <v>881</v>
      </c>
      <c r="J394" s="653" t="s">
        <v>58</v>
      </c>
      <c r="K394" s="653" t="s">
        <v>57</v>
      </c>
      <c r="L394" s="1052">
        <v>0.5</v>
      </c>
      <c r="M394" s="748"/>
      <c r="N394" s="1269" t="s">
        <v>3243</v>
      </c>
      <c r="O394" s="749"/>
      <c r="P394" s="1392">
        <v>1</v>
      </c>
      <c r="Q394" s="1379">
        <v>0.25</v>
      </c>
      <c r="R394" s="1392"/>
      <c r="S394" s="855">
        <f t="shared" si="12"/>
        <v>0</v>
      </c>
      <c r="T394" s="854">
        <f t="shared" si="13"/>
        <v>0</v>
      </c>
      <c r="U394" s="1378" t="s">
        <v>34</v>
      </c>
      <c r="V394" s="1393">
        <f>SUM(T394:T402)%</f>
        <v>0</v>
      </c>
      <c r="W394" s="1378"/>
    </row>
    <row r="395" spans="1:23" ht="22.95" customHeight="1" x14ac:dyDescent="0.4">
      <c r="A395" s="788">
        <v>394</v>
      </c>
      <c r="B395" s="198" t="s">
        <v>2616</v>
      </c>
      <c r="C395" s="246" t="s">
        <v>24</v>
      </c>
      <c r="D395" s="1134">
        <v>6316</v>
      </c>
      <c r="E395" s="246" t="s">
        <v>3241</v>
      </c>
      <c r="F395" s="648" t="s">
        <v>3242</v>
      </c>
      <c r="G395" s="946">
        <v>3644</v>
      </c>
      <c r="H395" s="648" t="s">
        <v>3214</v>
      </c>
      <c r="I395" s="246" t="s">
        <v>881</v>
      </c>
      <c r="J395" s="79" t="s">
        <v>58</v>
      </c>
      <c r="K395" s="79" t="s">
        <v>57</v>
      </c>
      <c r="L395" s="1067">
        <v>0.5</v>
      </c>
      <c r="M395" s="756"/>
      <c r="N395" s="992" t="s">
        <v>3244</v>
      </c>
      <c r="O395" s="757"/>
      <c r="P395" s="1386">
        <v>1</v>
      </c>
      <c r="Q395" s="1384">
        <v>0.25</v>
      </c>
      <c r="R395" s="1386"/>
      <c r="S395" s="204">
        <f t="shared" si="12"/>
        <v>0</v>
      </c>
      <c r="T395" s="960">
        <f t="shared" si="13"/>
        <v>0</v>
      </c>
      <c r="U395" s="1386" t="s">
        <v>34</v>
      </c>
      <c r="V395" s="1228"/>
      <c r="W395" s="799"/>
    </row>
    <row r="396" spans="1:23" ht="22.95" customHeight="1" x14ac:dyDescent="0.4">
      <c r="A396" s="788">
        <v>395</v>
      </c>
      <c r="B396" s="198" t="s">
        <v>2616</v>
      </c>
      <c r="C396" s="246" t="s">
        <v>24</v>
      </c>
      <c r="D396" s="1134">
        <v>6316</v>
      </c>
      <c r="E396" s="246" t="s">
        <v>3241</v>
      </c>
      <c r="F396" s="648" t="s">
        <v>3242</v>
      </c>
      <c r="G396" s="946">
        <v>3644</v>
      </c>
      <c r="H396" s="648" t="s">
        <v>3214</v>
      </c>
      <c r="I396" s="246" t="s">
        <v>881</v>
      </c>
      <c r="J396" s="79" t="s">
        <v>58</v>
      </c>
      <c r="K396" s="79" t="s">
        <v>57</v>
      </c>
      <c r="L396" s="1067">
        <v>0.5</v>
      </c>
      <c r="M396" s="756"/>
      <c r="N396" s="992" t="s">
        <v>3245</v>
      </c>
      <c r="O396" s="757"/>
      <c r="P396" s="1386">
        <v>1</v>
      </c>
      <c r="Q396" s="1384">
        <v>0.25</v>
      </c>
      <c r="R396" s="1386"/>
      <c r="S396" s="204">
        <f t="shared" si="12"/>
        <v>0</v>
      </c>
      <c r="T396" s="960">
        <f t="shared" si="13"/>
        <v>0</v>
      </c>
      <c r="U396" s="1386" t="s">
        <v>34</v>
      </c>
      <c r="V396" s="1228"/>
      <c r="W396" s="799"/>
    </row>
    <row r="397" spans="1:23" ht="22.95" customHeight="1" x14ac:dyDescent="0.4">
      <c r="A397" s="788">
        <v>396</v>
      </c>
      <c r="B397" s="198" t="s">
        <v>2616</v>
      </c>
      <c r="C397" s="246" t="s">
        <v>24</v>
      </c>
      <c r="D397" s="1134">
        <v>6316</v>
      </c>
      <c r="E397" s="246" t="s">
        <v>3241</v>
      </c>
      <c r="F397" s="648" t="s">
        <v>3242</v>
      </c>
      <c r="G397" s="946">
        <v>3644</v>
      </c>
      <c r="H397" s="648" t="s">
        <v>3214</v>
      </c>
      <c r="I397" s="246" t="s">
        <v>881</v>
      </c>
      <c r="J397" s="79" t="s">
        <v>58</v>
      </c>
      <c r="K397" s="79" t="s">
        <v>57</v>
      </c>
      <c r="L397" s="1067">
        <v>0.5</v>
      </c>
      <c r="M397" s="756"/>
      <c r="N397" s="992" t="s">
        <v>3246</v>
      </c>
      <c r="O397" s="757"/>
      <c r="P397" s="1386">
        <v>1</v>
      </c>
      <c r="Q397" s="1384">
        <v>0.25</v>
      </c>
      <c r="R397" s="1386"/>
      <c r="S397" s="204">
        <f t="shared" si="12"/>
        <v>0</v>
      </c>
      <c r="T397" s="960">
        <f t="shared" si="13"/>
        <v>0</v>
      </c>
      <c r="U397" s="1386" t="s">
        <v>34</v>
      </c>
      <c r="V397" s="1228"/>
      <c r="W397" s="799"/>
    </row>
    <row r="398" spans="1:23" ht="22.95" customHeight="1" x14ac:dyDescent="0.4">
      <c r="A398" s="788">
        <v>397</v>
      </c>
      <c r="B398" s="198" t="s">
        <v>2616</v>
      </c>
      <c r="C398" s="246" t="s">
        <v>24</v>
      </c>
      <c r="D398" s="1134">
        <v>6316</v>
      </c>
      <c r="E398" s="246" t="s">
        <v>3241</v>
      </c>
      <c r="F398" s="648" t="s">
        <v>3242</v>
      </c>
      <c r="G398" s="946">
        <v>3644</v>
      </c>
      <c r="H398" s="648" t="s">
        <v>3214</v>
      </c>
      <c r="I398" s="246" t="s">
        <v>881</v>
      </c>
      <c r="J398" s="210" t="s">
        <v>111</v>
      </c>
      <c r="K398" s="649" t="s">
        <v>110</v>
      </c>
      <c r="L398" s="1145">
        <v>0.5</v>
      </c>
      <c r="M398" s="766"/>
      <c r="N398" s="1271" t="s">
        <v>3247</v>
      </c>
      <c r="O398" s="767"/>
      <c r="P398" s="1390">
        <v>0.8</v>
      </c>
      <c r="Q398" s="1388">
        <v>0.2</v>
      </c>
      <c r="R398" s="1390"/>
      <c r="S398" s="650">
        <f t="shared" si="12"/>
        <v>0</v>
      </c>
      <c r="T398" s="701">
        <f t="shared" si="13"/>
        <v>0</v>
      </c>
      <c r="U398" s="1390" t="s">
        <v>34</v>
      </c>
      <c r="V398" s="1228"/>
      <c r="W398" s="799"/>
    </row>
    <row r="399" spans="1:23" ht="22.95" customHeight="1" x14ac:dyDescent="0.4">
      <c r="A399" s="788">
        <v>398</v>
      </c>
      <c r="B399" s="198" t="s">
        <v>2616</v>
      </c>
      <c r="C399" s="246" t="s">
        <v>24</v>
      </c>
      <c r="D399" s="1134">
        <v>6316</v>
      </c>
      <c r="E399" s="246" t="s">
        <v>3241</v>
      </c>
      <c r="F399" s="648" t="s">
        <v>3242</v>
      </c>
      <c r="G399" s="946">
        <v>3644</v>
      </c>
      <c r="H399" s="648" t="s">
        <v>3214</v>
      </c>
      <c r="I399" s="246" t="s">
        <v>881</v>
      </c>
      <c r="J399" s="210" t="s">
        <v>111</v>
      </c>
      <c r="K399" s="649" t="s">
        <v>110</v>
      </c>
      <c r="L399" s="1145">
        <v>0.5</v>
      </c>
      <c r="M399" s="766"/>
      <c r="N399" s="1309" t="s">
        <v>3248</v>
      </c>
      <c r="O399" s="767"/>
      <c r="P399" s="1390">
        <v>1</v>
      </c>
      <c r="Q399" s="1388">
        <v>0.2</v>
      </c>
      <c r="R399" s="1390"/>
      <c r="S399" s="650">
        <f t="shared" si="12"/>
        <v>0</v>
      </c>
      <c r="T399" s="701">
        <f t="shared" si="13"/>
        <v>0</v>
      </c>
      <c r="U399" s="1390" t="s">
        <v>34</v>
      </c>
      <c r="V399" s="1228"/>
      <c r="W399" s="799"/>
    </row>
    <row r="400" spans="1:23" ht="22.95" customHeight="1" x14ac:dyDescent="0.4">
      <c r="A400" s="788">
        <v>399</v>
      </c>
      <c r="B400" s="198" t="s">
        <v>2616</v>
      </c>
      <c r="C400" s="246" t="s">
        <v>24</v>
      </c>
      <c r="D400" s="1134">
        <v>6316</v>
      </c>
      <c r="E400" s="246" t="s">
        <v>3241</v>
      </c>
      <c r="F400" s="648" t="s">
        <v>3242</v>
      </c>
      <c r="G400" s="946">
        <v>3644</v>
      </c>
      <c r="H400" s="648" t="s">
        <v>3214</v>
      </c>
      <c r="I400" s="246" t="s">
        <v>881</v>
      </c>
      <c r="J400" s="210" t="s">
        <v>111</v>
      </c>
      <c r="K400" s="649" t="s">
        <v>110</v>
      </c>
      <c r="L400" s="1145">
        <v>0.5</v>
      </c>
      <c r="M400" s="766"/>
      <c r="N400" s="1309" t="s">
        <v>3239</v>
      </c>
      <c r="O400" s="767"/>
      <c r="P400" s="1390">
        <v>18</v>
      </c>
      <c r="Q400" s="1388">
        <v>0.2</v>
      </c>
      <c r="R400" s="1390"/>
      <c r="S400" s="650">
        <f t="shared" si="12"/>
        <v>0</v>
      </c>
      <c r="T400" s="701">
        <f t="shared" si="13"/>
        <v>0</v>
      </c>
      <c r="U400" s="1390" t="s">
        <v>34</v>
      </c>
      <c r="V400" s="1228"/>
      <c r="W400" s="799"/>
    </row>
    <row r="401" spans="1:23" ht="22.95" customHeight="1" x14ac:dyDescent="0.4">
      <c r="A401" s="788">
        <v>400</v>
      </c>
      <c r="B401" s="198" t="s">
        <v>2616</v>
      </c>
      <c r="C401" s="246" t="s">
        <v>24</v>
      </c>
      <c r="D401" s="1134">
        <v>6316</v>
      </c>
      <c r="E401" s="246" t="s">
        <v>3241</v>
      </c>
      <c r="F401" s="648" t="s">
        <v>3242</v>
      </c>
      <c r="G401" s="946">
        <v>3644</v>
      </c>
      <c r="H401" s="648" t="s">
        <v>3214</v>
      </c>
      <c r="I401" s="246" t="s">
        <v>881</v>
      </c>
      <c r="J401" s="210" t="s">
        <v>111</v>
      </c>
      <c r="K401" s="649" t="s">
        <v>110</v>
      </c>
      <c r="L401" s="1145">
        <v>0.5</v>
      </c>
      <c r="M401" s="766"/>
      <c r="N401" s="1309" t="s">
        <v>3249</v>
      </c>
      <c r="O401" s="767"/>
      <c r="P401" s="1390">
        <v>1</v>
      </c>
      <c r="Q401" s="1388">
        <v>0.2</v>
      </c>
      <c r="R401" s="1390"/>
      <c r="S401" s="650">
        <f t="shared" si="12"/>
        <v>0</v>
      </c>
      <c r="T401" s="701">
        <f t="shared" si="13"/>
        <v>0</v>
      </c>
      <c r="U401" s="1390" t="s">
        <v>34</v>
      </c>
      <c r="V401" s="1228"/>
      <c r="W401" s="799"/>
    </row>
    <row r="402" spans="1:23" ht="22.95" customHeight="1" x14ac:dyDescent="0.4">
      <c r="A402" s="788">
        <v>401</v>
      </c>
      <c r="B402" s="198" t="s">
        <v>2616</v>
      </c>
      <c r="C402" s="246" t="s">
        <v>24</v>
      </c>
      <c r="D402" s="1134">
        <v>6316</v>
      </c>
      <c r="E402" s="246" t="s">
        <v>3241</v>
      </c>
      <c r="F402" s="648" t="s">
        <v>3242</v>
      </c>
      <c r="G402" s="946">
        <v>3644</v>
      </c>
      <c r="H402" s="648" t="s">
        <v>3214</v>
      </c>
      <c r="I402" s="246" t="s">
        <v>881</v>
      </c>
      <c r="J402" s="210" t="s">
        <v>111</v>
      </c>
      <c r="K402" s="649" t="s">
        <v>110</v>
      </c>
      <c r="L402" s="1145">
        <v>0.5</v>
      </c>
      <c r="M402" s="766"/>
      <c r="N402" s="1309" t="s">
        <v>3250</v>
      </c>
      <c r="O402" s="767"/>
      <c r="P402" s="1390">
        <v>0.7</v>
      </c>
      <c r="Q402" s="1388">
        <v>0.2</v>
      </c>
      <c r="R402" s="1390"/>
      <c r="S402" s="650">
        <f t="shared" si="12"/>
        <v>0</v>
      </c>
      <c r="T402" s="701">
        <f t="shared" si="13"/>
        <v>0</v>
      </c>
      <c r="U402" s="1390" t="s">
        <v>34</v>
      </c>
      <c r="V402" s="1228"/>
      <c r="W402" s="799"/>
    </row>
    <row r="403" spans="1:23" ht="22.95" customHeight="1" x14ac:dyDescent="0.4">
      <c r="A403" s="788">
        <v>402</v>
      </c>
      <c r="B403" s="236" t="s">
        <v>2616</v>
      </c>
      <c r="C403" s="187" t="s">
        <v>24</v>
      </c>
      <c r="D403" s="1200">
        <v>6193</v>
      </c>
      <c r="E403" s="187" t="s">
        <v>3251</v>
      </c>
      <c r="F403" s="187" t="s">
        <v>3252</v>
      </c>
      <c r="G403" s="795">
        <v>6318</v>
      </c>
      <c r="H403" s="295" t="s">
        <v>3241</v>
      </c>
      <c r="I403" s="187" t="s">
        <v>881</v>
      </c>
      <c r="J403" s="653" t="s">
        <v>58</v>
      </c>
      <c r="K403" s="653" t="s">
        <v>57</v>
      </c>
      <c r="L403" s="1193">
        <v>0.5</v>
      </c>
      <c r="M403" s="1377"/>
      <c r="N403" s="988" t="s">
        <v>3253</v>
      </c>
      <c r="O403" s="749"/>
      <c r="P403" s="1378">
        <v>1</v>
      </c>
      <c r="Q403" s="1394">
        <v>0.1</v>
      </c>
      <c r="R403" s="1378"/>
      <c r="S403" s="195">
        <f t="shared" si="12"/>
        <v>0</v>
      </c>
      <c r="T403" s="196">
        <f t="shared" si="13"/>
        <v>0</v>
      </c>
      <c r="U403" s="1339" t="s">
        <v>34</v>
      </c>
      <c r="V403" s="1395">
        <f>SUM(T403:T411)%</f>
        <v>0</v>
      </c>
      <c r="W403" s="1339"/>
    </row>
    <row r="404" spans="1:23" ht="22.95" customHeight="1" x14ac:dyDescent="0.4">
      <c r="A404" s="788">
        <v>403</v>
      </c>
      <c r="B404" s="198" t="s">
        <v>2616</v>
      </c>
      <c r="C404" s="246" t="s">
        <v>24</v>
      </c>
      <c r="D404" s="1306">
        <v>6193</v>
      </c>
      <c r="E404" s="246" t="s">
        <v>3251</v>
      </c>
      <c r="F404" s="246" t="s">
        <v>3252</v>
      </c>
      <c r="G404" s="1381">
        <v>6318</v>
      </c>
      <c r="H404" s="303" t="s">
        <v>3241</v>
      </c>
      <c r="I404" s="246" t="s">
        <v>881</v>
      </c>
      <c r="J404" s="79" t="s">
        <v>58</v>
      </c>
      <c r="K404" s="79" t="s">
        <v>57</v>
      </c>
      <c r="L404" s="1196">
        <v>0.5</v>
      </c>
      <c r="M404" s="1382"/>
      <c r="N404" s="990" t="s">
        <v>3254</v>
      </c>
      <c r="O404" s="757"/>
      <c r="P404" s="1386">
        <v>1</v>
      </c>
      <c r="Q404" s="1342">
        <v>0.25</v>
      </c>
      <c r="R404" s="1386"/>
      <c r="S404" s="206">
        <f t="shared" si="12"/>
        <v>0</v>
      </c>
      <c r="T404" s="207">
        <f t="shared" si="13"/>
        <v>0</v>
      </c>
      <c r="U404" s="1341" t="s">
        <v>34</v>
      </c>
      <c r="V404" s="1228"/>
      <c r="W404" s="799"/>
    </row>
    <row r="405" spans="1:23" ht="22.95" customHeight="1" x14ac:dyDescent="0.4">
      <c r="A405" s="788">
        <v>404</v>
      </c>
      <c r="B405" s="198" t="s">
        <v>2616</v>
      </c>
      <c r="C405" s="246" t="s">
        <v>24</v>
      </c>
      <c r="D405" s="1306">
        <v>6193</v>
      </c>
      <c r="E405" s="246" t="s">
        <v>3251</v>
      </c>
      <c r="F405" s="246" t="s">
        <v>3252</v>
      </c>
      <c r="G405" s="1381">
        <v>6318</v>
      </c>
      <c r="H405" s="303" t="s">
        <v>3241</v>
      </c>
      <c r="I405" s="246" t="s">
        <v>881</v>
      </c>
      <c r="J405" s="79" t="s">
        <v>58</v>
      </c>
      <c r="K405" s="79" t="s">
        <v>57</v>
      </c>
      <c r="L405" s="1196">
        <v>0.5</v>
      </c>
      <c r="M405" s="1382"/>
      <c r="N405" s="990" t="s">
        <v>3255</v>
      </c>
      <c r="O405" s="757"/>
      <c r="P405" s="1386">
        <v>1</v>
      </c>
      <c r="Q405" s="1384">
        <v>0.25</v>
      </c>
      <c r="R405" s="1386"/>
      <c r="S405" s="206">
        <f t="shared" si="12"/>
        <v>0</v>
      </c>
      <c r="T405" s="207">
        <f t="shared" si="13"/>
        <v>0</v>
      </c>
      <c r="U405" s="1341" t="s">
        <v>34</v>
      </c>
      <c r="V405" s="1228"/>
      <c r="W405" s="799"/>
    </row>
    <row r="406" spans="1:23" ht="22.95" customHeight="1" x14ac:dyDescent="0.4">
      <c r="A406" s="788">
        <v>405</v>
      </c>
      <c r="B406" s="198" t="s">
        <v>2616</v>
      </c>
      <c r="C406" s="246" t="s">
        <v>24</v>
      </c>
      <c r="D406" s="1306">
        <v>6193</v>
      </c>
      <c r="E406" s="246" t="s">
        <v>3251</v>
      </c>
      <c r="F406" s="246" t="s">
        <v>3252</v>
      </c>
      <c r="G406" s="1381">
        <v>6318</v>
      </c>
      <c r="H406" s="303" t="s">
        <v>3241</v>
      </c>
      <c r="I406" s="246" t="s">
        <v>881</v>
      </c>
      <c r="J406" s="79" t="s">
        <v>58</v>
      </c>
      <c r="K406" s="79" t="s">
        <v>57</v>
      </c>
      <c r="L406" s="1196">
        <v>0.5</v>
      </c>
      <c r="M406" s="1382"/>
      <c r="N406" s="990" t="s">
        <v>3256</v>
      </c>
      <c r="O406" s="757"/>
      <c r="P406" s="1386">
        <v>1</v>
      </c>
      <c r="Q406" s="1342">
        <v>0.2</v>
      </c>
      <c r="R406" s="1386"/>
      <c r="S406" s="206">
        <f t="shared" si="12"/>
        <v>0</v>
      </c>
      <c r="T406" s="207">
        <f t="shared" si="13"/>
        <v>0</v>
      </c>
      <c r="U406" s="1341" t="s">
        <v>34</v>
      </c>
      <c r="V406" s="1228"/>
      <c r="W406" s="799"/>
    </row>
    <row r="407" spans="1:23" ht="22.95" customHeight="1" x14ac:dyDescent="0.4">
      <c r="A407" s="788">
        <v>406</v>
      </c>
      <c r="B407" s="198" t="s">
        <v>2616</v>
      </c>
      <c r="C407" s="246" t="s">
        <v>24</v>
      </c>
      <c r="D407" s="1306">
        <v>6193</v>
      </c>
      <c r="E407" s="246" t="s">
        <v>3251</v>
      </c>
      <c r="F407" s="246" t="s">
        <v>3252</v>
      </c>
      <c r="G407" s="1381">
        <v>6318</v>
      </c>
      <c r="H407" s="303" t="s">
        <v>3241</v>
      </c>
      <c r="I407" s="246" t="s">
        <v>881</v>
      </c>
      <c r="J407" s="79" t="s">
        <v>58</v>
      </c>
      <c r="K407" s="79" t="s">
        <v>57</v>
      </c>
      <c r="L407" s="1196">
        <v>0.5</v>
      </c>
      <c r="M407" s="1382"/>
      <c r="N407" s="990" t="s">
        <v>3257</v>
      </c>
      <c r="O407" s="757"/>
      <c r="P407" s="1386">
        <v>1</v>
      </c>
      <c r="Q407" s="1342">
        <v>0.2</v>
      </c>
      <c r="R407" s="1386"/>
      <c r="S407" s="206">
        <f t="shared" si="12"/>
        <v>0</v>
      </c>
      <c r="T407" s="207">
        <f t="shared" si="13"/>
        <v>0</v>
      </c>
      <c r="U407" s="1341" t="s">
        <v>34</v>
      </c>
      <c r="V407" s="1228"/>
      <c r="W407" s="799"/>
    </row>
    <row r="408" spans="1:23" ht="22.95" customHeight="1" x14ac:dyDescent="0.4">
      <c r="A408" s="788">
        <v>407</v>
      </c>
      <c r="B408" s="198" t="s">
        <v>2616</v>
      </c>
      <c r="C408" s="246" t="s">
        <v>24</v>
      </c>
      <c r="D408" s="1306">
        <v>6193</v>
      </c>
      <c r="E408" s="246" t="s">
        <v>3251</v>
      </c>
      <c r="F408" s="246" t="s">
        <v>3252</v>
      </c>
      <c r="G408" s="1381">
        <v>6318</v>
      </c>
      <c r="H408" s="303" t="s">
        <v>3241</v>
      </c>
      <c r="I408" s="246" t="s">
        <v>881</v>
      </c>
      <c r="J408" s="210" t="s">
        <v>111</v>
      </c>
      <c r="K408" s="649" t="s">
        <v>110</v>
      </c>
      <c r="L408" s="1147">
        <v>0.5</v>
      </c>
      <c r="M408" s="1387"/>
      <c r="N408" s="1309" t="s">
        <v>3258</v>
      </c>
      <c r="O408" s="767"/>
      <c r="P408" s="1390">
        <v>1</v>
      </c>
      <c r="Q408" s="1348">
        <v>0.25</v>
      </c>
      <c r="R408" s="1390"/>
      <c r="S408" s="222">
        <f t="shared" si="12"/>
        <v>0</v>
      </c>
      <c r="T408" s="765">
        <f t="shared" si="13"/>
        <v>0</v>
      </c>
      <c r="U408" s="1347" t="s">
        <v>34</v>
      </c>
      <c r="V408" s="1228"/>
      <c r="W408" s="799"/>
    </row>
    <row r="409" spans="1:23" ht="22.95" customHeight="1" x14ac:dyDescent="0.4">
      <c r="A409" s="788">
        <v>408</v>
      </c>
      <c r="B409" s="198" t="s">
        <v>2616</v>
      </c>
      <c r="C409" s="246" t="s">
        <v>24</v>
      </c>
      <c r="D409" s="1306">
        <v>6193</v>
      </c>
      <c r="E409" s="246" t="s">
        <v>3251</v>
      </c>
      <c r="F409" s="246" t="s">
        <v>3252</v>
      </c>
      <c r="G409" s="1381">
        <v>6318</v>
      </c>
      <c r="H409" s="303" t="s">
        <v>3241</v>
      </c>
      <c r="I409" s="246" t="s">
        <v>881</v>
      </c>
      <c r="J409" s="210" t="s">
        <v>111</v>
      </c>
      <c r="K409" s="649" t="s">
        <v>110</v>
      </c>
      <c r="L409" s="1147">
        <v>0.5</v>
      </c>
      <c r="M409" s="1387"/>
      <c r="N409" s="1013" t="s">
        <v>3259</v>
      </c>
      <c r="O409" s="767"/>
      <c r="P409" s="1390">
        <v>1</v>
      </c>
      <c r="Q409" s="1348">
        <v>0.25</v>
      </c>
      <c r="R409" s="1390"/>
      <c r="S409" s="222">
        <f t="shared" si="12"/>
        <v>0</v>
      </c>
      <c r="T409" s="765">
        <f t="shared" si="13"/>
        <v>0</v>
      </c>
      <c r="U409" s="1347" t="s">
        <v>34</v>
      </c>
      <c r="V409" s="1228"/>
      <c r="W409" s="799"/>
    </row>
    <row r="410" spans="1:23" ht="22.95" customHeight="1" x14ac:dyDescent="0.4">
      <c r="A410" s="788">
        <v>409</v>
      </c>
      <c r="B410" s="198" t="s">
        <v>2616</v>
      </c>
      <c r="C410" s="246" t="s">
        <v>24</v>
      </c>
      <c r="D410" s="1306">
        <v>6193</v>
      </c>
      <c r="E410" s="246" t="s">
        <v>3251</v>
      </c>
      <c r="F410" s="246" t="s">
        <v>3252</v>
      </c>
      <c r="G410" s="1381">
        <v>6318</v>
      </c>
      <c r="H410" s="303" t="s">
        <v>3241</v>
      </c>
      <c r="I410" s="246" t="s">
        <v>881</v>
      </c>
      <c r="J410" s="210" t="s">
        <v>111</v>
      </c>
      <c r="K410" s="649" t="s">
        <v>110</v>
      </c>
      <c r="L410" s="1147">
        <v>0.5</v>
      </c>
      <c r="M410" s="1387"/>
      <c r="N410" s="1013" t="s">
        <v>3260</v>
      </c>
      <c r="O410" s="767"/>
      <c r="P410" s="1390">
        <v>1</v>
      </c>
      <c r="Q410" s="1348">
        <v>0.25</v>
      </c>
      <c r="R410" s="1390"/>
      <c r="S410" s="222">
        <f t="shared" si="12"/>
        <v>0</v>
      </c>
      <c r="T410" s="765">
        <f t="shared" si="13"/>
        <v>0</v>
      </c>
      <c r="U410" s="1347" t="s">
        <v>34</v>
      </c>
      <c r="V410" s="1228"/>
      <c r="W410" s="799"/>
    </row>
    <row r="411" spans="1:23" ht="22.95" customHeight="1" x14ac:dyDescent="0.4">
      <c r="A411" s="788">
        <v>410</v>
      </c>
      <c r="B411" s="198" t="s">
        <v>2616</v>
      </c>
      <c r="C411" s="246" t="s">
        <v>24</v>
      </c>
      <c r="D411" s="1306">
        <v>6193</v>
      </c>
      <c r="E411" s="246" t="s">
        <v>3251</v>
      </c>
      <c r="F411" s="246" t="s">
        <v>3252</v>
      </c>
      <c r="G411" s="1381">
        <v>6318</v>
      </c>
      <c r="H411" s="303" t="s">
        <v>3241</v>
      </c>
      <c r="I411" s="246" t="s">
        <v>881</v>
      </c>
      <c r="J411" s="210" t="s">
        <v>111</v>
      </c>
      <c r="K411" s="649" t="s">
        <v>110</v>
      </c>
      <c r="L411" s="1147">
        <v>0.5</v>
      </c>
      <c r="M411" s="1387"/>
      <c r="N411" s="1309" t="s">
        <v>3261</v>
      </c>
      <c r="O411" s="799"/>
      <c r="P411" s="1390">
        <v>1</v>
      </c>
      <c r="Q411" s="1348">
        <v>0.25</v>
      </c>
      <c r="R411" s="1390"/>
      <c r="S411" s="222">
        <f t="shared" si="12"/>
        <v>0</v>
      </c>
      <c r="T411" s="765">
        <f t="shared" si="13"/>
        <v>0</v>
      </c>
      <c r="U411" s="1347" t="s">
        <v>34</v>
      </c>
      <c r="V411" s="1228"/>
      <c r="W411" s="799"/>
    </row>
    <row r="412" spans="1:23" ht="22.95" customHeight="1" x14ac:dyDescent="0.4">
      <c r="A412" s="788">
        <v>411</v>
      </c>
      <c r="B412" s="236" t="s">
        <v>2616</v>
      </c>
      <c r="C412" s="187" t="s">
        <v>24</v>
      </c>
      <c r="D412" s="1130">
        <v>5958</v>
      </c>
      <c r="E412" s="187" t="s">
        <v>3262</v>
      </c>
      <c r="F412" s="187" t="s">
        <v>3263</v>
      </c>
      <c r="G412" s="795">
        <v>3744</v>
      </c>
      <c r="H412" s="187" t="s">
        <v>3227</v>
      </c>
      <c r="I412" s="187" t="s">
        <v>881</v>
      </c>
      <c r="J412" s="653" t="s">
        <v>58</v>
      </c>
      <c r="K412" s="653" t="s">
        <v>57</v>
      </c>
      <c r="L412" s="1193">
        <v>0.5</v>
      </c>
      <c r="M412" s="1377"/>
      <c r="N412" s="988" t="s">
        <v>3228</v>
      </c>
      <c r="O412" s="749"/>
      <c r="P412" s="1378">
        <v>1</v>
      </c>
      <c r="Q412" s="1379">
        <v>0.1</v>
      </c>
      <c r="R412" s="1378"/>
      <c r="S412" s="195">
        <f t="shared" si="12"/>
        <v>0</v>
      </c>
      <c r="T412" s="196">
        <f t="shared" si="13"/>
        <v>0</v>
      </c>
      <c r="U412" s="1339" t="s">
        <v>34</v>
      </c>
      <c r="V412" s="1340">
        <f>SUM(T412:T424)%</f>
        <v>0</v>
      </c>
      <c r="W412" s="1380"/>
    </row>
    <row r="413" spans="1:23" ht="22.95" customHeight="1" x14ac:dyDescent="0.4">
      <c r="A413" s="788">
        <v>412</v>
      </c>
      <c r="B413" s="198" t="s">
        <v>2616</v>
      </c>
      <c r="C413" s="246" t="s">
        <v>24</v>
      </c>
      <c r="D413" s="1134">
        <v>5958</v>
      </c>
      <c r="E413" s="246" t="s">
        <v>3262</v>
      </c>
      <c r="F413" s="246" t="s">
        <v>3263</v>
      </c>
      <c r="G413" s="1381">
        <v>3744</v>
      </c>
      <c r="H413" s="246" t="s">
        <v>3227</v>
      </c>
      <c r="I413" s="246" t="s">
        <v>881</v>
      </c>
      <c r="J413" s="79" t="s">
        <v>58</v>
      </c>
      <c r="K413" s="79" t="s">
        <v>57</v>
      </c>
      <c r="L413" s="1196">
        <v>0.5</v>
      </c>
      <c r="M413" s="1382"/>
      <c r="N413" s="990" t="s">
        <v>3229</v>
      </c>
      <c r="O413" s="757"/>
      <c r="P413" s="1383">
        <v>15000</v>
      </c>
      <c r="Q413" s="1384">
        <v>0.15</v>
      </c>
      <c r="R413" s="1383"/>
      <c r="S413" s="206">
        <f t="shared" si="12"/>
        <v>0</v>
      </c>
      <c r="T413" s="207">
        <f t="shared" si="13"/>
        <v>0</v>
      </c>
      <c r="U413" s="1341" t="s">
        <v>34</v>
      </c>
      <c r="V413" s="1228"/>
      <c r="W413" s="799"/>
    </row>
    <row r="414" spans="1:23" ht="22.95" customHeight="1" x14ac:dyDescent="0.4">
      <c r="A414" s="788">
        <v>413</v>
      </c>
      <c r="B414" s="198" t="s">
        <v>2616</v>
      </c>
      <c r="C414" s="246" t="s">
        <v>24</v>
      </c>
      <c r="D414" s="1134">
        <v>5958</v>
      </c>
      <c r="E414" s="246" t="s">
        <v>3262</v>
      </c>
      <c r="F414" s="246" t="s">
        <v>3263</v>
      </c>
      <c r="G414" s="1381">
        <v>3744</v>
      </c>
      <c r="H414" s="246" t="s">
        <v>3227</v>
      </c>
      <c r="I414" s="246" t="s">
        <v>881</v>
      </c>
      <c r="J414" s="79" t="s">
        <v>58</v>
      </c>
      <c r="K414" s="79" t="s">
        <v>57</v>
      </c>
      <c r="L414" s="1196">
        <v>0.5</v>
      </c>
      <c r="M414" s="1382"/>
      <c r="N414" s="990" t="s">
        <v>3230</v>
      </c>
      <c r="O414" s="757"/>
      <c r="P414" s="1386">
        <v>100</v>
      </c>
      <c r="Q414" s="1384">
        <v>0.1</v>
      </c>
      <c r="R414" s="1386"/>
      <c r="S414" s="206">
        <f t="shared" si="12"/>
        <v>0</v>
      </c>
      <c r="T414" s="207">
        <f t="shared" si="13"/>
        <v>0</v>
      </c>
      <c r="U414" s="1341" t="s">
        <v>34</v>
      </c>
      <c r="V414" s="1228"/>
      <c r="W414" s="799"/>
    </row>
    <row r="415" spans="1:23" ht="22.95" customHeight="1" x14ac:dyDescent="0.4">
      <c r="A415" s="788">
        <v>414</v>
      </c>
      <c r="B415" s="198" t="s">
        <v>2616</v>
      </c>
      <c r="C415" s="246" t="s">
        <v>24</v>
      </c>
      <c r="D415" s="1134">
        <v>5958</v>
      </c>
      <c r="E415" s="246" t="s">
        <v>3262</v>
      </c>
      <c r="F415" s="246" t="s">
        <v>3263</v>
      </c>
      <c r="G415" s="1381">
        <v>3744</v>
      </c>
      <c r="H415" s="246" t="s">
        <v>3227</v>
      </c>
      <c r="I415" s="246" t="s">
        <v>881</v>
      </c>
      <c r="J415" s="79" t="s">
        <v>58</v>
      </c>
      <c r="K415" s="79" t="s">
        <v>57</v>
      </c>
      <c r="L415" s="1196">
        <v>0.5</v>
      </c>
      <c r="M415" s="1382"/>
      <c r="N415" s="990" t="s">
        <v>3231</v>
      </c>
      <c r="O415" s="757"/>
      <c r="P415" s="1386">
        <v>12</v>
      </c>
      <c r="Q415" s="1384">
        <v>0.1</v>
      </c>
      <c r="R415" s="1386"/>
      <c r="S415" s="206">
        <f t="shared" si="12"/>
        <v>0</v>
      </c>
      <c r="T415" s="207">
        <f t="shared" si="13"/>
        <v>0</v>
      </c>
      <c r="U415" s="1341" t="s">
        <v>34</v>
      </c>
      <c r="V415" s="1228"/>
      <c r="W415" s="799"/>
    </row>
    <row r="416" spans="1:23" ht="22.95" customHeight="1" x14ac:dyDescent="0.4">
      <c r="A416" s="788">
        <v>415</v>
      </c>
      <c r="B416" s="198" t="s">
        <v>2616</v>
      </c>
      <c r="C416" s="246" t="s">
        <v>24</v>
      </c>
      <c r="D416" s="1134">
        <v>5958</v>
      </c>
      <c r="E416" s="246" t="s">
        <v>3262</v>
      </c>
      <c r="F416" s="246" t="s">
        <v>3263</v>
      </c>
      <c r="G416" s="1381">
        <v>3744</v>
      </c>
      <c r="H416" s="246" t="s">
        <v>3227</v>
      </c>
      <c r="I416" s="246" t="s">
        <v>881</v>
      </c>
      <c r="J416" s="79" t="s">
        <v>58</v>
      </c>
      <c r="K416" s="79" t="s">
        <v>57</v>
      </c>
      <c r="L416" s="1196">
        <v>0.5</v>
      </c>
      <c r="M416" s="1382"/>
      <c r="N416" s="990" t="s">
        <v>3232</v>
      </c>
      <c r="O416" s="757"/>
      <c r="P416" s="1386">
        <v>1</v>
      </c>
      <c r="Q416" s="1384">
        <v>0.15</v>
      </c>
      <c r="R416" s="1386"/>
      <c r="S416" s="206">
        <f t="shared" si="12"/>
        <v>0</v>
      </c>
      <c r="T416" s="207">
        <f t="shared" si="13"/>
        <v>0</v>
      </c>
      <c r="U416" s="1341" t="s">
        <v>34</v>
      </c>
      <c r="V416" s="1228"/>
      <c r="W416" s="799"/>
    </row>
    <row r="417" spans="1:23" ht="22.95" customHeight="1" x14ac:dyDescent="0.4">
      <c r="A417" s="788">
        <v>416</v>
      </c>
      <c r="B417" s="198" t="s">
        <v>2616</v>
      </c>
      <c r="C417" s="246" t="s">
        <v>24</v>
      </c>
      <c r="D417" s="1134">
        <v>5958</v>
      </c>
      <c r="E417" s="246" t="s">
        <v>3262</v>
      </c>
      <c r="F417" s="246" t="s">
        <v>3263</v>
      </c>
      <c r="G417" s="1381">
        <v>3744</v>
      </c>
      <c r="H417" s="246" t="s">
        <v>3227</v>
      </c>
      <c r="I417" s="246" t="s">
        <v>881</v>
      </c>
      <c r="J417" s="79" t="s">
        <v>58</v>
      </c>
      <c r="K417" s="79" t="s">
        <v>57</v>
      </c>
      <c r="L417" s="1196">
        <v>0.5</v>
      </c>
      <c r="M417" s="1382"/>
      <c r="N417" s="990" t="s">
        <v>3233</v>
      </c>
      <c r="O417" s="757"/>
      <c r="P417" s="1386">
        <v>1</v>
      </c>
      <c r="Q417" s="1384">
        <v>0.15</v>
      </c>
      <c r="R417" s="1386"/>
      <c r="S417" s="206">
        <f t="shared" si="12"/>
        <v>0</v>
      </c>
      <c r="T417" s="207">
        <f t="shared" si="13"/>
        <v>0</v>
      </c>
      <c r="U417" s="1341" t="s">
        <v>34</v>
      </c>
      <c r="V417" s="1228"/>
      <c r="W417" s="799"/>
    </row>
    <row r="418" spans="1:23" ht="22.95" customHeight="1" x14ac:dyDescent="0.4">
      <c r="A418" s="788">
        <v>417</v>
      </c>
      <c r="B418" s="198" t="s">
        <v>2616</v>
      </c>
      <c r="C418" s="246" t="s">
        <v>24</v>
      </c>
      <c r="D418" s="1134">
        <v>5958</v>
      </c>
      <c r="E418" s="246" t="s">
        <v>3262</v>
      </c>
      <c r="F418" s="246" t="s">
        <v>3263</v>
      </c>
      <c r="G418" s="1381">
        <v>3744</v>
      </c>
      <c r="H418" s="246" t="s">
        <v>3227</v>
      </c>
      <c r="I418" s="246" t="s">
        <v>881</v>
      </c>
      <c r="J418" s="79" t="s">
        <v>58</v>
      </c>
      <c r="K418" s="79" t="s">
        <v>57</v>
      </c>
      <c r="L418" s="1196">
        <v>0.5</v>
      </c>
      <c r="M418" s="1382"/>
      <c r="N418" s="990" t="s">
        <v>3234</v>
      </c>
      <c r="O418" s="757"/>
      <c r="P418" s="1386">
        <v>1</v>
      </c>
      <c r="Q418" s="1384">
        <v>0.15</v>
      </c>
      <c r="R418" s="1386"/>
      <c r="S418" s="206">
        <f t="shared" si="12"/>
        <v>0</v>
      </c>
      <c r="T418" s="207">
        <f t="shared" si="13"/>
        <v>0</v>
      </c>
      <c r="U418" s="1341" t="s">
        <v>34</v>
      </c>
      <c r="V418" s="1228"/>
      <c r="W418" s="799"/>
    </row>
    <row r="419" spans="1:23" ht="22.95" customHeight="1" x14ac:dyDescent="0.4">
      <c r="A419" s="788">
        <v>418</v>
      </c>
      <c r="B419" s="198" t="s">
        <v>2616</v>
      </c>
      <c r="C419" s="246" t="s">
        <v>24</v>
      </c>
      <c r="D419" s="1134">
        <v>5958</v>
      </c>
      <c r="E419" s="246" t="s">
        <v>3262</v>
      </c>
      <c r="F419" s="246" t="s">
        <v>3263</v>
      </c>
      <c r="G419" s="1381">
        <v>3744</v>
      </c>
      <c r="H419" s="246" t="s">
        <v>3227</v>
      </c>
      <c r="I419" s="246" t="s">
        <v>881</v>
      </c>
      <c r="J419" s="79" t="s">
        <v>58</v>
      </c>
      <c r="K419" s="79" t="s">
        <v>57</v>
      </c>
      <c r="L419" s="1196">
        <v>0.5</v>
      </c>
      <c r="M419" s="1382"/>
      <c r="N419" s="990" t="s">
        <v>3235</v>
      </c>
      <c r="O419" s="757"/>
      <c r="P419" s="1386">
        <v>1</v>
      </c>
      <c r="Q419" s="1384">
        <v>0.1</v>
      </c>
      <c r="R419" s="1386"/>
      <c r="S419" s="206">
        <f t="shared" si="12"/>
        <v>0</v>
      </c>
      <c r="T419" s="207">
        <f t="shared" si="13"/>
        <v>0</v>
      </c>
      <c r="U419" s="1341" t="s">
        <v>34</v>
      </c>
      <c r="V419" s="1228"/>
      <c r="W419" s="799"/>
    </row>
    <row r="420" spans="1:23" ht="22.95" customHeight="1" x14ac:dyDescent="0.4">
      <c r="A420" s="788">
        <v>419</v>
      </c>
      <c r="B420" s="198" t="s">
        <v>2616</v>
      </c>
      <c r="C420" s="246" t="s">
        <v>24</v>
      </c>
      <c r="D420" s="1134">
        <v>5958</v>
      </c>
      <c r="E420" s="246" t="s">
        <v>3262</v>
      </c>
      <c r="F420" s="246" t="s">
        <v>3263</v>
      </c>
      <c r="G420" s="1381">
        <v>3744</v>
      </c>
      <c r="H420" s="246" t="s">
        <v>3227</v>
      </c>
      <c r="I420" s="246" t="s">
        <v>881</v>
      </c>
      <c r="J420" s="210" t="s">
        <v>111</v>
      </c>
      <c r="K420" s="649" t="s">
        <v>110</v>
      </c>
      <c r="L420" s="1147">
        <v>0.5</v>
      </c>
      <c r="M420" s="829"/>
      <c r="N420" s="1309" t="s">
        <v>3236</v>
      </c>
      <c r="O420" s="649"/>
      <c r="P420" s="649">
        <v>1</v>
      </c>
      <c r="Q420" s="1388">
        <v>0.2</v>
      </c>
      <c r="R420" s="649"/>
      <c r="S420" s="673">
        <f t="shared" si="12"/>
        <v>0</v>
      </c>
      <c r="T420" s="802">
        <f t="shared" si="13"/>
        <v>0</v>
      </c>
      <c r="U420" s="649" t="s">
        <v>34</v>
      </c>
      <c r="V420" s="1228"/>
      <c r="W420" s="799"/>
    </row>
    <row r="421" spans="1:23" ht="22.95" customHeight="1" x14ac:dyDescent="0.4">
      <c r="A421" s="788">
        <v>420</v>
      </c>
      <c r="B421" s="198" t="s">
        <v>2616</v>
      </c>
      <c r="C421" s="246" t="s">
        <v>24</v>
      </c>
      <c r="D421" s="1134">
        <v>5958</v>
      </c>
      <c r="E421" s="246" t="s">
        <v>3262</v>
      </c>
      <c r="F421" s="246" t="s">
        <v>3263</v>
      </c>
      <c r="G421" s="1381">
        <v>3744</v>
      </c>
      <c r="H421" s="246" t="s">
        <v>3227</v>
      </c>
      <c r="I421" s="246" t="s">
        <v>881</v>
      </c>
      <c r="J421" s="210" t="s">
        <v>111</v>
      </c>
      <c r="K421" s="649" t="s">
        <v>110</v>
      </c>
      <c r="L421" s="1063">
        <v>0.5</v>
      </c>
      <c r="M421" s="1389"/>
      <c r="N421" s="1013" t="s">
        <v>3237</v>
      </c>
      <c r="O421" s="767"/>
      <c r="P421" s="1390">
        <v>0.3</v>
      </c>
      <c r="Q421" s="1388">
        <v>0.1</v>
      </c>
      <c r="R421" s="1390"/>
      <c r="S421" s="222">
        <f t="shared" si="12"/>
        <v>0</v>
      </c>
      <c r="T421" s="765">
        <f t="shared" si="13"/>
        <v>0</v>
      </c>
      <c r="U421" s="1347" t="s">
        <v>34</v>
      </c>
      <c r="V421" s="1228"/>
      <c r="W421" s="799"/>
    </row>
    <row r="422" spans="1:23" ht="22.95" customHeight="1" x14ac:dyDescent="0.4">
      <c r="A422" s="788">
        <v>421</v>
      </c>
      <c r="B422" s="198" t="s">
        <v>2616</v>
      </c>
      <c r="C422" s="246" t="s">
        <v>24</v>
      </c>
      <c r="D422" s="1134">
        <v>5958</v>
      </c>
      <c r="E422" s="246" t="s">
        <v>3262</v>
      </c>
      <c r="F422" s="246" t="s">
        <v>3263</v>
      </c>
      <c r="G422" s="1381">
        <v>3744</v>
      </c>
      <c r="H422" s="246" t="s">
        <v>3227</v>
      </c>
      <c r="I422" s="246" t="s">
        <v>881</v>
      </c>
      <c r="J422" s="210" t="s">
        <v>111</v>
      </c>
      <c r="K422" s="649" t="s">
        <v>110</v>
      </c>
      <c r="L422" s="1063">
        <v>0.5</v>
      </c>
      <c r="M422" s="1389"/>
      <c r="N422" s="1013" t="s">
        <v>3238</v>
      </c>
      <c r="O422" s="767"/>
      <c r="P422" s="1391">
        <v>0.9</v>
      </c>
      <c r="Q422" s="1388">
        <v>0.3</v>
      </c>
      <c r="R422" s="1391"/>
      <c r="S422" s="222">
        <f t="shared" si="12"/>
        <v>0</v>
      </c>
      <c r="T422" s="765">
        <f t="shared" si="13"/>
        <v>0</v>
      </c>
      <c r="U422" s="1347" t="s">
        <v>34</v>
      </c>
      <c r="V422" s="1228"/>
      <c r="W422" s="799"/>
    </row>
    <row r="423" spans="1:23" ht="22.95" customHeight="1" x14ac:dyDescent="0.4">
      <c r="A423" s="788">
        <v>422</v>
      </c>
      <c r="B423" s="198" t="s">
        <v>2616</v>
      </c>
      <c r="C423" s="246" t="s">
        <v>24</v>
      </c>
      <c r="D423" s="1134">
        <v>5958</v>
      </c>
      <c r="E423" s="246" t="s">
        <v>3262</v>
      </c>
      <c r="F423" s="246" t="s">
        <v>3263</v>
      </c>
      <c r="G423" s="1381">
        <v>3744</v>
      </c>
      <c r="H423" s="246" t="s">
        <v>3227</v>
      </c>
      <c r="I423" s="246" t="s">
        <v>881</v>
      </c>
      <c r="J423" s="210" t="s">
        <v>111</v>
      </c>
      <c r="K423" s="649" t="s">
        <v>110</v>
      </c>
      <c r="L423" s="1063">
        <v>0.5</v>
      </c>
      <c r="M423" s="1389"/>
      <c r="N423" s="1013" t="s">
        <v>3264</v>
      </c>
      <c r="O423" s="767"/>
      <c r="P423" s="1390">
        <v>18</v>
      </c>
      <c r="Q423" s="1388">
        <v>0.2</v>
      </c>
      <c r="R423" s="1390"/>
      <c r="S423" s="222">
        <f t="shared" si="12"/>
        <v>0</v>
      </c>
      <c r="T423" s="765">
        <f t="shared" si="13"/>
        <v>0</v>
      </c>
      <c r="U423" s="1347" t="s">
        <v>34</v>
      </c>
      <c r="V423" s="1228"/>
      <c r="W423" s="799"/>
    </row>
    <row r="424" spans="1:23" ht="22.95" customHeight="1" x14ac:dyDescent="0.4">
      <c r="A424" s="788">
        <v>423</v>
      </c>
      <c r="B424" s="198" t="s">
        <v>2616</v>
      </c>
      <c r="C424" s="246" t="s">
        <v>24</v>
      </c>
      <c r="D424" s="1134">
        <v>5958</v>
      </c>
      <c r="E424" s="246" t="s">
        <v>3262</v>
      </c>
      <c r="F424" s="246" t="s">
        <v>3263</v>
      </c>
      <c r="G424" s="1381">
        <v>3744</v>
      </c>
      <c r="H424" s="246" t="s">
        <v>3227</v>
      </c>
      <c r="I424" s="246" t="s">
        <v>881</v>
      </c>
      <c r="J424" s="210" t="s">
        <v>111</v>
      </c>
      <c r="K424" s="649" t="s">
        <v>110</v>
      </c>
      <c r="L424" s="1063">
        <v>0.5</v>
      </c>
      <c r="M424" s="1389"/>
      <c r="N424" s="1013" t="s">
        <v>3240</v>
      </c>
      <c r="O424" s="767"/>
      <c r="P424" s="1391">
        <v>0.9</v>
      </c>
      <c r="Q424" s="1388">
        <v>0.2</v>
      </c>
      <c r="R424" s="1391"/>
      <c r="S424" s="222">
        <f t="shared" si="12"/>
        <v>0</v>
      </c>
      <c r="T424" s="765">
        <f t="shared" si="13"/>
        <v>0</v>
      </c>
      <c r="U424" s="1347" t="s">
        <v>34</v>
      </c>
      <c r="V424" s="1228"/>
      <c r="W424" s="799"/>
    </row>
    <row r="425" spans="1:23" ht="22.95" customHeight="1" x14ac:dyDescent="0.4">
      <c r="A425" s="788">
        <v>424</v>
      </c>
      <c r="B425" s="236" t="s">
        <v>2616</v>
      </c>
      <c r="C425" s="187" t="s">
        <v>24</v>
      </c>
      <c r="D425" s="1130">
        <v>3744</v>
      </c>
      <c r="E425" s="187" t="s">
        <v>3227</v>
      </c>
      <c r="F425" s="187" t="s">
        <v>3265</v>
      </c>
      <c r="G425" s="674">
        <v>3644</v>
      </c>
      <c r="H425" s="187" t="s">
        <v>3214</v>
      </c>
      <c r="I425" s="187" t="s">
        <v>881</v>
      </c>
      <c r="J425" s="653" t="s">
        <v>58</v>
      </c>
      <c r="K425" s="653" t="s">
        <v>57</v>
      </c>
      <c r="L425" s="1193">
        <v>0.5</v>
      </c>
      <c r="M425" s="1283"/>
      <c r="N425" s="988" t="s">
        <v>3266</v>
      </c>
      <c r="O425" s="749"/>
      <c r="P425" s="1339">
        <v>1</v>
      </c>
      <c r="Q425" s="1394">
        <v>0.2</v>
      </c>
      <c r="R425" s="1339"/>
      <c r="S425" s="195">
        <f t="shared" si="12"/>
        <v>0</v>
      </c>
      <c r="T425" s="196">
        <f t="shared" si="13"/>
        <v>0</v>
      </c>
      <c r="U425" s="1339" t="s">
        <v>34</v>
      </c>
      <c r="V425" s="1340">
        <f>SUM(T425:T435)%</f>
        <v>0</v>
      </c>
      <c r="W425" s="1380"/>
    </row>
    <row r="426" spans="1:23" ht="22.95" customHeight="1" x14ac:dyDescent="0.4">
      <c r="A426" s="788">
        <v>425</v>
      </c>
      <c r="B426" s="198" t="s">
        <v>2616</v>
      </c>
      <c r="C426" s="246" t="s">
        <v>24</v>
      </c>
      <c r="D426" s="1134">
        <v>3744</v>
      </c>
      <c r="E426" s="246" t="s">
        <v>3227</v>
      </c>
      <c r="F426" s="246" t="s">
        <v>3265</v>
      </c>
      <c r="G426" s="1381">
        <v>3644</v>
      </c>
      <c r="H426" s="246" t="s">
        <v>3214</v>
      </c>
      <c r="I426" s="246" t="s">
        <v>881</v>
      </c>
      <c r="J426" s="79" t="s">
        <v>58</v>
      </c>
      <c r="K426" s="79" t="s">
        <v>57</v>
      </c>
      <c r="L426" s="1196">
        <v>0.5</v>
      </c>
      <c r="M426" s="1278"/>
      <c r="N426" s="990" t="s">
        <v>3267</v>
      </c>
      <c r="O426" s="757"/>
      <c r="P426" s="1341">
        <v>0.9</v>
      </c>
      <c r="Q426" s="1342">
        <v>0.2</v>
      </c>
      <c r="R426" s="1341"/>
      <c r="S426" s="206">
        <f t="shared" si="12"/>
        <v>0</v>
      </c>
      <c r="T426" s="207">
        <f t="shared" si="13"/>
        <v>0</v>
      </c>
      <c r="U426" s="1341" t="s">
        <v>34</v>
      </c>
      <c r="V426" s="1228"/>
      <c r="W426" s="799"/>
    </row>
    <row r="427" spans="1:23" ht="22.95" customHeight="1" x14ac:dyDescent="0.4">
      <c r="A427" s="788">
        <v>426</v>
      </c>
      <c r="B427" s="198" t="s">
        <v>2616</v>
      </c>
      <c r="C427" s="246" t="s">
        <v>24</v>
      </c>
      <c r="D427" s="1134">
        <v>3744</v>
      </c>
      <c r="E427" s="246" t="s">
        <v>3227</v>
      </c>
      <c r="F427" s="246" t="s">
        <v>3265</v>
      </c>
      <c r="G427" s="1381">
        <v>3644</v>
      </c>
      <c r="H427" s="246" t="s">
        <v>3214</v>
      </c>
      <c r="I427" s="246" t="s">
        <v>881</v>
      </c>
      <c r="J427" s="79" t="s">
        <v>58</v>
      </c>
      <c r="K427" s="79" t="s">
        <v>57</v>
      </c>
      <c r="L427" s="1196">
        <v>0.5</v>
      </c>
      <c r="M427" s="1278"/>
      <c r="N427" s="992" t="s">
        <v>3268</v>
      </c>
      <c r="O427" s="757"/>
      <c r="P427" s="1341">
        <v>1</v>
      </c>
      <c r="Q427" s="1342">
        <v>0.2</v>
      </c>
      <c r="R427" s="1341"/>
      <c r="S427" s="206">
        <f t="shared" si="12"/>
        <v>0</v>
      </c>
      <c r="T427" s="207">
        <f t="shared" si="13"/>
        <v>0</v>
      </c>
      <c r="U427" s="1341" t="s">
        <v>34</v>
      </c>
      <c r="V427" s="1228"/>
      <c r="W427" s="799"/>
    </row>
    <row r="428" spans="1:23" ht="22.95" customHeight="1" x14ac:dyDescent="0.4">
      <c r="A428" s="788">
        <v>427</v>
      </c>
      <c r="B428" s="198" t="s">
        <v>2616</v>
      </c>
      <c r="C428" s="246" t="s">
        <v>24</v>
      </c>
      <c r="D428" s="1134">
        <v>3744</v>
      </c>
      <c r="E428" s="246" t="s">
        <v>3227</v>
      </c>
      <c r="F428" s="246" t="s">
        <v>3265</v>
      </c>
      <c r="G428" s="1381">
        <v>3644</v>
      </c>
      <c r="H428" s="246" t="s">
        <v>3214</v>
      </c>
      <c r="I428" s="246" t="s">
        <v>881</v>
      </c>
      <c r="J428" s="79" t="s">
        <v>58</v>
      </c>
      <c r="K428" s="79" t="s">
        <v>57</v>
      </c>
      <c r="L428" s="1196">
        <v>0.5</v>
      </c>
      <c r="M428" s="1278"/>
      <c r="N428" s="990" t="s">
        <v>3269</v>
      </c>
      <c r="O428" s="757"/>
      <c r="P428" s="1341">
        <v>1</v>
      </c>
      <c r="Q428" s="1342">
        <v>0.2</v>
      </c>
      <c r="R428" s="1341"/>
      <c r="S428" s="206">
        <f t="shared" si="12"/>
        <v>0</v>
      </c>
      <c r="T428" s="207">
        <f t="shared" si="13"/>
        <v>0</v>
      </c>
      <c r="U428" s="1341" t="s">
        <v>34</v>
      </c>
      <c r="V428" s="1228"/>
      <c r="W428" s="799"/>
    </row>
    <row r="429" spans="1:23" ht="22.95" customHeight="1" x14ac:dyDescent="0.4">
      <c r="A429" s="788">
        <v>428</v>
      </c>
      <c r="B429" s="198" t="s">
        <v>2616</v>
      </c>
      <c r="C429" s="246" t="s">
        <v>24</v>
      </c>
      <c r="D429" s="1134">
        <v>3744</v>
      </c>
      <c r="E429" s="246" t="s">
        <v>3227</v>
      </c>
      <c r="F429" s="246" t="s">
        <v>3265</v>
      </c>
      <c r="G429" s="1381">
        <v>3644</v>
      </c>
      <c r="H429" s="246" t="s">
        <v>3214</v>
      </c>
      <c r="I429" s="246" t="s">
        <v>881</v>
      </c>
      <c r="J429" s="79" t="s">
        <v>58</v>
      </c>
      <c r="K429" s="79" t="s">
        <v>57</v>
      </c>
      <c r="L429" s="1196">
        <v>0.5</v>
      </c>
      <c r="M429" s="1278"/>
      <c r="N429" s="990" t="s">
        <v>3270</v>
      </c>
      <c r="O429" s="757"/>
      <c r="P429" s="1341">
        <v>1</v>
      </c>
      <c r="Q429" s="1342">
        <v>0.2</v>
      </c>
      <c r="R429" s="1341"/>
      <c r="S429" s="206">
        <f t="shared" si="12"/>
        <v>0</v>
      </c>
      <c r="T429" s="207">
        <f t="shared" si="13"/>
        <v>0</v>
      </c>
      <c r="U429" s="1341" t="s">
        <v>34</v>
      </c>
      <c r="V429" s="1228"/>
      <c r="W429" s="799"/>
    </row>
    <row r="430" spans="1:23" ht="22.95" customHeight="1" x14ac:dyDescent="0.4">
      <c r="A430" s="788">
        <v>429</v>
      </c>
      <c r="B430" s="198" t="s">
        <v>2616</v>
      </c>
      <c r="C430" s="246" t="s">
        <v>24</v>
      </c>
      <c r="D430" s="1134">
        <v>3744</v>
      </c>
      <c r="E430" s="246" t="s">
        <v>3227</v>
      </c>
      <c r="F430" s="246" t="s">
        <v>3265</v>
      </c>
      <c r="G430" s="1381">
        <v>3644</v>
      </c>
      <c r="H430" s="246" t="s">
        <v>3214</v>
      </c>
      <c r="I430" s="246" t="s">
        <v>881</v>
      </c>
      <c r="J430" s="210" t="s">
        <v>111</v>
      </c>
      <c r="K430" s="649" t="s">
        <v>110</v>
      </c>
      <c r="L430" s="1147">
        <v>0.5</v>
      </c>
      <c r="M430" s="1282"/>
      <c r="N430" s="1013" t="s">
        <v>3271</v>
      </c>
      <c r="O430" s="767"/>
      <c r="P430" s="1349">
        <v>0.8</v>
      </c>
      <c r="Q430" s="1396">
        <v>0.2</v>
      </c>
      <c r="R430" s="1349"/>
      <c r="S430" s="216">
        <f t="shared" si="12"/>
        <v>0</v>
      </c>
      <c r="T430" s="217">
        <f t="shared" si="13"/>
        <v>0</v>
      </c>
      <c r="U430" s="1349" t="s">
        <v>34</v>
      </c>
      <c r="V430" s="1228"/>
      <c r="W430" s="799"/>
    </row>
    <row r="431" spans="1:23" ht="22.95" customHeight="1" x14ac:dyDescent="0.4">
      <c r="A431" s="788">
        <v>430</v>
      </c>
      <c r="B431" s="198" t="s">
        <v>2616</v>
      </c>
      <c r="C431" s="246" t="s">
        <v>24</v>
      </c>
      <c r="D431" s="1134">
        <v>3744</v>
      </c>
      <c r="E431" s="246" t="s">
        <v>3227</v>
      </c>
      <c r="F431" s="246" t="s">
        <v>3265</v>
      </c>
      <c r="G431" s="1381">
        <v>3644</v>
      </c>
      <c r="H431" s="246" t="s">
        <v>3214</v>
      </c>
      <c r="I431" s="246" t="s">
        <v>881</v>
      </c>
      <c r="J431" s="210" t="s">
        <v>111</v>
      </c>
      <c r="K431" s="649" t="s">
        <v>110</v>
      </c>
      <c r="L431" s="1147">
        <v>0.5</v>
      </c>
      <c r="M431" s="1282"/>
      <c r="N431" s="1013" t="s">
        <v>3272</v>
      </c>
      <c r="O431" s="767"/>
      <c r="P431" s="1349">
        <v>1</v>
      </c>
      <c r="Q431" s="1396">
        <v>0.1</v>
      </c>
      <c r="R431" s="1349"/>
      <c r="S431" s="216">
        <f t="shared" si="12"/>
        <v>0</v>
      </c>
      <c r="T431" s="217">
        <f t="shared" si="13"/>
        <v>0</v>
      </c>
      <c r="U431" s="1349" t="s">
        <v>34</v>
      </c>
      <c r="V431" s="1228"/>
      <c r="W431" s="799"/>
    </row>
    <row r="432" spans="1:23" ht="22.95" customHeight="1" x14ac:dyDescent="0.4">
      <c r="A432" s="788">
        <v>431</v>
      </c>
      <c r="B432" s="198" t="s">
        <v>2616</v>
      </c>
      <c r="C432" s="246" t="s">
        <v>24</v>
      </c>
      <c r="D432" s="1134">
        <v>3744</v>
      </c>
      <c r="E432" s="246" t="s">
        <v>3227</v>
      </c>
      <c r="F432" s="246" t="s">
        <v>3265</v>
      </c>
      <c r="G432" s="1381">
        <v>3644</v>
      </c>
      <c r="H432" s="246" t="s">
        <v>3214</v>
      </c>
      <c r="I432" s="246" t="s">
        <v>881</v>
      </c>
      <c r="J432" s="210" t="s">
        <v>111</v>
      </c>
      <c r="K432" s="649" t="s">
        <v>110</v>
      </c>
      <c r="L432" s="1063">
        <v>0.5</v>
      </c>
      <c r="M432" s="1282"/>
      <c r="N432" s="1013" t="s">
        <v>3273</v>
      </c>
      <c r="O432" s="767"/>
      <c r="P432" s="1349">
        <v>1</v>
      </c>
      <c r="Q432" s="1348">
        <v>0.1</v>
      </c>
      <c r="R432" s="1349"/>
      <c r="S432" s="222">
        <f t="shared" si="12"/>
        <v>0</v>
      </c>
      <c r="T432" s="765">
        <f t="shared" si="13"/>
        <v>0</v>
      </c>
      <c r="U432" s="1347" t="s">
        <v>34</v>
      </c>
      <c r="V432" s="1228"/>
      <c r="W432" s="799"/>
    </row>
    <row r="433" spans="1:23" ht="22.95" customHeight="1" x14ac:dyDescent="0.4">
      <c r="A433" s="788">
        <v>432</v>
      </c>
      <c r="B433" s="198" t="s">
        <v>2616</v>
      </c>
      <c r="C433" s="246" t="s">
        <v>24</v>
      </c>
      <c r="D433" s="1134">
        <v>3744</v>
      </c>
      <c r="E433" s="246" t="s">
        <v>3227</v>
      </c>
      <c r="F433" s="246" t="s">
        <v>3265</v>
      </c>
      <c r="G433" s="1381">
        <v>3644</v>
      </c>
      <c r="H433" s="246" t="s">
        <v>3214</v>
      </c>
      <c r="I433" s="246" t="s">
        <v>881</v>
      </c>
      <c r="J433" s="210" t="s">
        <v>111</v>
      </c>
      <c r="K433" s="649" t="s">
        <v>110</v>
      </c>
      <c r="L433" s="1147">
        <v>0.5</v>
      </c>
      <c r="M433" s="1282"/>
      <c r="N433" s="1013" t="s">
        <v>3274</v>
      </c>
      <c r="O433" s="767"/>
      <c r="P433" s="1349">
        <v>0.8</v>
      </c>
      <c r="Q433" s="1396">
        <v>0.2</v>
      </c>
      <c r="R433" s="1349"/>
      <c r="S433" s="216">
        <f t="shared" si="12"/>
        <v>0</v>
      </c>
      <c r="T433" s="217">
        <f t="shared" si="13"/>
        <v>0</v>
      </c>
      <c r="U433" s="1349" t="s">
        <v>34</v>
      </c>
      <c r="V433" s="1228"/>
      <c r="W433" s="799"/>
    </row>
    <row r="434" spans="1:23" ht="22.95" customHeight="1" x14ac:dyDescent="0.4">
      <c r="A434" s="788">
        <v>433</v>
      </c>
      <c r="B434" s="198" t="s">
        <v>2616</v>
      </c>
      <c r="C434" s="246" t="s">
        <v>24</v>
      </c>
      <c r="D434" s="1134">
        <v>3744</v>
      </c>
      <c r="E434" s="246" t="s">
        <v>3227</v>
      </c>
      <c r="F434" s="246" t="s">
        <v>3265</v>
      </c>
      <c r="G434" s="1381">
        <v>3644</v>
      </c>
      <c r="H434" s="246" t="s">
        <v>3214</v>
      </c>
      <c r="I434" s="246" t="s">
        <v>881</v>
      </c>
      <c r="J434" s="210" t="s">
        <v>111</v>
      </c>
      <c r="K434" s="649" t="s">
        <v>110</v>
      </c>
      <c r="L434" s="1147">
        <v>0.5</v>
      </c>
      <c r="M434" s="1282"/>
      <c r="N434" s="1013" t="s">
        <v>3238</v>
      </c>
      <c r="O434" s="767"/>
      <c r="P434" s="1349">
        <v>0.8</v>
      </c>
      <c r="Q434" s="1396">
        <v>0.2</v>
      </c>
      <c r="R434" s="1349"/>
      <c r="S434" s="216">
        <f t="shared" si="12"/>
        <v>0</v>
      </c>
      <c r="T434" s="217">
        <f t="shared" si="13"/>
        <v>0</v>
      </c>
      <c r="U434" s="1349" t="s">
        <v>34</v>
      </c>
      <c r="V434" s="1228"/>
      <c r="W434" s="799"/>
    </row>
    <row r="435" spans="1:23" ht="22.95" customHeight="1" x14ac:dyDescent="0.4">
      <c r="A435" s="788">
        <v>434</v>
      </c>
      <c r="B435" s="198" t="s">
        <v>2616</v>
      </c>
      <c r="C435" s="246" t="s">
        <v>24</v>
      </c>
      <c r="D435" s="1134">
        <v>3744</v>
      </c>
      <c r="E435" s="246" t="s">
        <v>3227</v>
      </c>
      <c r="F435" s="246" t="s">
        <v>3265</v>
      </c>
      <c r="G435" s="1381">
        <v>3644</v>
      </c>
      <c r="H435" s="246" t="s">
        <v>3214</v>
      </c>
      <c r="I435" s="246" t="s">
        <v>881</v>
      </c>
      <c r="J435" s="210" t="s">
        <v>111</v>
      </c>
      <c r="K435" s="649" t="s">
        <v>110</v>
      </c>
      <c r="L435" s="1063">
        <v>0.5</v>
      </c>
      <c r="M435" s="1282"/>
      <c r="N435" s="1013" t="s">
        <v>3240</v>
      </c>
      <c r="O435" s="767"/>
      <c r="P435" s="1349">
        <v>0.8</v>
      </c>
      <c r="Q435" s="1348">
        <v>0.2</v>
      </c>
      <c r="R435" s="1349"/>
      <c r="S435" s="222">
        <f t="shared" si="12"/>
        <v>0</v>
      </c>
      <c r="T435" s="765">
        <f t="shared" si="13"/>
        <v>0</v>
      </c>
      <c r="U435" s="1347" t="s">
        <v>34</v>
      </c>
      <c r="V435" s="1228"/>
      <c r="W435" s="799"/>
    </row>
    <row r="436" spans="1:23" ht="22.95" customHeight="1" x14ac:dyDescent="0.4">
      <c r="A436" s="788">
        <v>435</v>
      </c>
      <c r="B436" s="236" t="s">
        <v>2616</v>
      </c>
      <c r="C436" s="187" t="s">
        <v>24</v>
      </c>
      <c r="D436" s="1130">
        <v>3931</v>
      </c>
      <c r="E436" s="187" t="s">
        <v>3275</v>
      </c>
      <c r="F436" s="187" t="s">
        <v>3276</v>
      </c>
      <c r="G436" s="795">
        <v>3644</v>
      </c>
      <c r="H436" s="187" t="s">
        <v>3214</v>
      </c>
      <c r="I436" s="187" t="s">
        <v>881</v>
      </c>
      <c r="J436" s="653" t="s">
        <v>58</v>
      </c>
      <c r="K436" s="653" t="s">
        <v>57</v>
      </c>
      <c r="L436" s="1193">
        <v>0.5</v>
      </c>
      <c r="M436" s="1377"/>
      <c r="N436" s="988" t="s">
        <v>3277</v>
      </c>
      <c r="O436" s="749"/>
      <c r="P436" s="1397">
        <v>1</v>
      </c>
      <c r="Q436" s="1394">
        <v>0.2</v>
      </c>
      <c r="R436" s="1397"/>
      <c r="S436" s="195">
        <f t="shared" si="12"/>
        <v>0</v>
      </c>
      <c r="T436" s="196">
        <f t="shared" si="13"/>
        <v>0</v>
      </c>
      <c r="U436" s="1339" t="s">
        <v>34</v>
      </c>
      <c r="V436" s="1395">
        <f>SUM(T436:T445)%</f>
        <v>0</v>
      </c>
      <c r="W436" s="1339"/>
    </row>
    <row r="437" spans="1:23" ht="22.95" customHeight="1" x14ac:dyDescent="0.4">
      <c r="A437" s="788">
        <v>436</v>
      </c>
      <c r="B437" s="198" t="s">
        <v>2616</v>
      </c>
      <c r="C437" s="246" t="s">
        <v>24</v>
      </c>
      <c r="D437" s="1134">
        <v>3931</v>
      </c>
      <c r="E437" s="246" t="s">
        <v>3275</v>
      </c>
      <c r="F437" s="246" t="s">
        <v>3276</v>
      </c>
      <c r="G437" s="1381">
        <v>3644</v>
      </c>
      <c r="H437" s="246" t="s">
        <v>3214</v>
      </c>
      <c r="I437" s="246" t="s">
        <v>881</v>
      </c>
      <c r="J437" s="79" t="s">
        <v>58</v>
      </c>
      <c r="K437" s="79" t="s">
        <v>57</v>
      </c>
      <c r="L437" s="1196">
        <v>0.5</v>
      </c>
      <c r="M437" s="1382"/>
      <c r="N437" s="990" t="s">
        <v>3278</v>
      </c>
      <c r="O437" s="757"/>
      <c r="P437" s="1398">
        <v>3000000000</v>
      </c>
      <c r="Q437" s="1342">
        <v>0.1</v>
      </c>
      <c r="R437" s="1398"/>
      <c r="S437" s="206">
        <f t="shared" si="12"/>
        <v>0</v>
      </c>
      <c r="T437" s="207">
        <f t="shared" si="13"/>
        <v>0</v>
      </c>
      <c r="U437" s="1341" t="s">
        <v>34</v>
      </c>
      <c r="V437" s="1228"/>
      <c r="W437" s="799"/>
    </row>
    <row r="438" spans="1:23" ht="22.95" customHeight="1" x14ac:dyDescent="0.4">
      <c r="A438" s="788">
        <v>437</v>
      </c>
      <c r="B438" s="198" t="s">
        <v>2616</v>
      </c>
      <c r="C438" s="246" t="s">
        <v>24</v>
      </c>
      <c r="D438" s="1134">
        <v>3931</v>
      </c>
      <c r="E438" s="246" t="s">
        <v>3275</v>
      </c>
      <c r="F438" s="246" t="s">
        <v>3276</v>
      </c>
      <c r="G438" s="1381">
        <v>3644</v>
      </c>
      <c r="H438" s="246" t="s">
        <v>3214</v>
      </c>
      <c r="I438" s="246" t="s">
        <v>881</v>
      </c>
      <c r="J438" s="79" t="s">
        <v>58</v>
      </c>
      <c r="K438" s="79" t="s">
        <v>57</v>
      </c>
      <c r="L438" s="1196">
        <v>0.5</v>
      </c>
      <c r="M438" s="1382"/>
      <c r="N438" s="990" t="s">
        <v>3279</v>
      </c>
      <c r="O438" s="757"/>
      <c r="P438" s="1341" t="s">
        <v>3280</v>
      </c>
      <c r="Q438" s="1342">
        <v>0.2</v>
      </c>
      <c r="R438" s="1341"/>
      <c r="S438" s="206">
        <f t="shared" si="12"/>
        <v>0</v>
      </c>
      <c r="T438" s="207">
        <f t="shared" si="13"/>
        <v>0</v>
      </c>
      <c r="U438" s="1341" t="s">
        <v>34</v>
      </c>
      <c r="V438" s="1228"/>
      <c r="W438" s="799"/>
    </row>
    <row r="439" spans="1:23" ht="22.95" customHeight="1" x14ac:dyDescent="0.4">
      <c r="A439" s="788">
        <v>438</v>
      </c>
      <c r="B439" s="198" t="s">
        <v>2616</v>
      </c>
      <c r="C439" s="246" t="s">
        <v>24</v>
      </c>
      <c r="D439" s="1134">
        <v>3931</v>
      </c>
      <c r="E439" s="246" t="s">
        <v>3275</v>
      </c>
      <c r="F439" s="246" t="s">
        <v>3276</v>
      </c>
      <c r="G439" s="1381">
        <v>3644</v>
      </c>
      <c r="H439" s="246" t="s">
        <v>3214</v>
      </c>
      <c r="I439" s="246" t="s">
        <v>881</v>
      </c>
      <c r="J439" s="79" t="s">
        <v>58</v>
      </c>
      <c r="K439" s="79" t="s">
        <v>57</v>
      </c>
      <c r="L439" s="1196">
        <v>0.5</v>
      </c>
      <c r="M439" s="1382"/>
      <c r="N439" s="990" t="s">
        <v>3281</v>
      </c>
      <c r="O439" s="757"/>
      <c r="P439" s="1341" t="s">
        <v>3280</v>
      </c>
      <c r="Q439" s="1342">
        <v>0.25</v>
      </c>
      <c r="R439" s="1341"/>
      <c r="S439" s="206">
        <f t="shared" si="12"/>
        <v>0</v>
      </c>
      <c r="T439" s="207">
        <f t="shared" si="13"/>
        <v>0</v>
      </c>
      <c r="U439" s="1341" t="s">
        <v>34</v>
      </c>
      <c r="V439" s="1228"/>
      <c r="W439" s="799"/>
    </row>
    <row r="440" spans="1:23" ht="22.95" customHeight="1" x14ac:dyDescent="0.4">
      <c r="A440" s="788">
        <v>439</v>
      </c>
      <c r="B440" s="198" t="s">
        <v>2616</v>
      </c>
      <c r="C440" s="246" t="s">
        <v>24</v>
      </c>
      <c r="D440" s="1134">
        <v>3931</v>
      </c>
      <c r="E440" s="246" t="s">
        <v>3275</v>
      </c>
      <c r="F440" s="246" t="s">
        <v>3276</v>
      </c>
      <c r="G440" s="1381">
        <v>3644</v>
      </c>
      <c r="H440" s="246" t="s">
        <v>3214</v>
      </c>
      <c r="I440" s="246" t="s">
        <v>881</v>
      </c>
      <c r="J440" s="79" t="s">
        <v>58</v>
      </c>
      <c r="K440" s="79" t="s">
        <v>57</v>
      </c>
      <c r="L440" s="1196">
        <v>0.5</v>
      </c>
      <c r="M440" s="1382"/>
      <c r="N440" s="990" t="s">
        <v>3282</v>
      </c>
      <c r="O440" s="757"/>
      <c r="P440" s="1341">
        <v>1</v>
      </c>
      <c r="Q440" s="1342">
        <v>0.15</v>
      </c>
      <c r="R440" s="1341"/>
      <c r="S440" s="206">
        <f t="shared" si="12"/>
        <v>0</v>
      </c>
      <c r="T440" s="207">
        <f t="shared" si="13"/>
        <v>0</v>
      </c>
      <c r="U440" s="1341" t="s">
        <v>34</v>
      </c>
      <c r="V440" s="1228"/>
      <c r="W440" s="799"/>
    </row>
    <row r="441" spans="1:23" ht="22.95" customHeight="1" x14ac:dyDescent="0.4">
      <c r="A441" s="788">
        <v>440</v>
      </c>
      <c r="B441" s="198" t="s">
        <v>2616</v>
      </c>
      <c r="C441" s="246" t="s">
        <v>24</v>
      </c>
      <c r="D441" s="1134">
        <v>3931</v>
      </c>
      <c r="E441" s="246" t="s">
        <v>3275</v>
      </c>
      <c r="F441" s="246" t="s">
        <v>3276</v>
      </c>
      <c r="G441" s="1381">
        <v>3644</v>
      </c>
      <c r="H441" s="246" t="s">
        <v>3214</v>
      </c>
      <c r="I441" s="246" t="s">
        <v>881</v>
      </c>
      <c r="J441" s="79" t="s">
        <v>58</v>
      </c>
      <c r="K441" s="79" t="s">
        <v>57</v>
      </c>
      <c r="L441" s="1196">
        <v>0.5</v>
      </c>
      <c r="M441" s="1382"/>
      <c r="N441" s="990" t="s">
        <v>3283</v>
      </c>
      <c r="O441" s="757"/>
      <c r="P441" s="1341">
        <v>1</v>
      </c>
      <c r="Q441" s="1342">
        <v>0.1</v>
      </c>
      <c r="R441" s="1341"/>
      <c r="S441" s="206">
        <f t="shared" si="12"/>
        <v>0</v>
      </c>
      <c r="T441" s="207">
        <f t="shared" si="13"/>
        <v>0</v>
      </c>
      <c r="U441" s="1341" t="s">
        <v>34</v>
      </c>
      <c r="V441" s="1228"/>
      <c r="W441" s="799"/>
    </row>
    <row r="442" spans="1:23" ht="22.95" customHeight="1" x14ac:dyDescent="0.4">
      <c r="A442" s="788">
        <v>441</v>
      </c>
      <c r="B442" s="198" t="s">
        <v>2616</v>
      </c>
      <c r="C442" s="246" t="s">
        <v>24</v>
      </c>
      <c r="D442" s="1134">
        <v>3931</v>
      </c>
      <c r="E442" s="246" t="s">
        <v>3275</v>
      </c>
      <c r="F442" s="246" t="s">
        <v>3276</v>
      </c>
      <c r="G442" s="1381">
        <v>3644</v>
      </c>
      <c r="H442" s="246" t="s">
        <v>3214</v>
      </c>
      <c r="I442" s="246" t="s">
        <v>881</v>
      </c>
      <c r="J442" s="210" t="s">
        <v>111</v>
      </c>
      <c r="K442" s="649" t="s">
        <v>110</v>
      </c>
      <c r="L442" s="1147">
        <v>0.5</v>
      </c>
      <c r="M442" s="1387"/>
      <c r="N442" s="1309" t="s">
        <v>3284</v>
      </c>
      <c r="O442" s="767"/>
      <c r="P442" s="1349">
        <v>1</v>
      </c>
      <c r="Q442" s="1396">
        <v>0.3</v>
      </c>
      <c r="R442" s="1349"/>
      <c r="S442" s="216">
        <f t="shared" si="12"/>
        <v>0</v>
      </c>
      <c r="T442" s="217">
        <f t="shared" si="13"/>
        <v>0</v>
      </c>
      <c r="U442" s="1349" t="s">
        <v>34</v>
      </c>
      <c r="V442" s="1228"/>
      <c r="W442" s="799"/>
    </row>
    <row r="443" spans="1:23" ht="22.95" customHeight="1" x14ac:dyDescent="0.4">
      <c r="A443" s="788">
        <v>442</v>
      </c>
      <c r="B443" s="198" t="s">
        <v>2616</v>
      </c>
      <c r="C443" s="246" t="s">
        <v>24</v>
      </c>
      <c r="D443" s="1134">
        <v>3931</v>
      </c>
      <c r="E443" s="246" t="s">
        <v>3275</v>
      </c>
      <c r="F443" s="246" t="s">
        <v>3276</v>
      </c>
      <c r="G443" s="1381">
        <v>3644</v>
      </c>
      <c r="H443" s="246" t="s">
        <v>3214</v>
      </c>
      <c r="I443" s="246" t="s">
        <v>881</v>
      </c>
      <c r="J443" s="210" t="s">
        <v>111</v>
      </c>
      <c r="K443" s="649" t="s">
        <v>110</v>
      </c>
      <c r="L443" s="1147">
        <v>0.5</v>
      </c>
      <c r="M443" s="1387"/>
      <c r="N443" s="1309" t="s">
        <v>3285</v>
      </c>
      <c r="O443" s="767"/>
      <c r="P443" s="1349">
        <v>1</v>
      </c>
      <c r="Q443" s="1396">
        <v>0.2</v>
      </c>
      <c r="R443" s="1349"/>
      <c r="S443" s="216">
        <f t="shared" si="12"/>
        <v>0</v>
      </c>
      <c r="T443" s="217">
        <f t="shared" si="13"/>
        <v>0</v>
      </c>
      <c r="U443" s="1349" t="s">
        <v>34</v>
      </c>
      <c r="V443" s="1228"/>
      <c r="W443" s="799"/>
    </row>
    <row r="444" spans="1:23" ht="22.95" customHeight="1" x14ac:dyDescent="0.4">
      <c r="A444" s="788">
        <v>443</v>
      </c>
      <c r="B444" s="198" t="s">
        <v>2616</v>
      </c>
      <c r="C444" s="246" t="s">
        <v>24</v>
      </c>
      <c r="D444" s="1134">
        <v>3931</v>
      </c>
      <c r="E444" s="246" t="s">
        <v>3275</v>
      </c>
      <c r="F444" s="246" t="s">
        <v>3276</v>
      </c>
      <c r="G444" s="1381">
        <v>3644</v>
      </c>
      <c r="H444" s="246" t="s">
        <v>3214</v>
      </c>
      <c r="I444" s="246" t="s">
        <v>881</v>
      </c>
      <c r="J444" s="210" t="s">
        <v>111</v>
      </c>
      <c r="K444" s="649" t="s">
        <v>110</v>
      </c>
      <c r="L444" s="1147">
        <v>0.5</v>
      </c>
      <c r="M444" s="1387"/>
      <c r="N444" s="1309" t="s">
        <v>3286</v>
      </c>
      <c r="O444" s="767"/>
      <c r="P444" s="1376">
        <v>1</v>
      </c>
      <c r="Q444" s="1396">
        <v>0.3</v>
      </c>
      <c r="R444" s="1376"/>
      <c r="S444" s="216">
        <f t="shared" si="12"/>
        <v>0</v>
      </c>
      <c r="T444" s="217">
        <f t="shared" si="13"/>
        <v>0</v>
      </c>
      <c r="U444" s="1349" t="s">
        <v>34</v>
      </c>
      <c r="V444" s="1228"/>
      <c r="W444" s="799"/>
    </row>
    <row r="445" spans="1:23" ht="22.95" customHeight="1" x14ac:dyDescent="0.4">
      <c r="A445" s="788">
        <v>444</v>
      </c>
      <c r="B445" s="198" t="s">
        <v>2616</v>
      </c>
      <c r="C445" s="246" t="s">
        <v>24</v>
      </c>
      <c r="D445" s="1134">
        <v>3931</v>
      </c>
      <c r="E445" s="246" t="s">
        <v>3275</v>
      </c>
      <c r="F445" s="246" t="s">
        <v>3276</v>
      </c>
      <c r="G445" s="1381">
        <v>3644</v>
      </c>
      <c r="H445" s="246" t="s">
        <v>3214</v>
      </c>
      <c r="I445" s="246" t="s">
        <v>881</v>
      </c>
      <c r="J445" s="210" t="s">
        <v>111</v>
      </c>
      <c r="K445" s="649" t="s">
        <v>110</v>
      </c>
      <c r="L445" s="1147">
        <v>0.5</v>
      </c>
      <c r="M445" s="1387"/>
      <c r="N445" s="1309" t="s">
        <v>3287</v>
      </c>
      <c r="O445" s="767"/>
      <c r="P445" s="1349">
        <v>1</v>
      </c>
      <c r="Q445" s="1396">
        <v>0.2</v>
      </c>
      <c r="R445" s="1349"/>
      <c r="S445" s="216">
        <f t="shared" si="12"/>
        <v>0</v>
      </c>
      <c r="T445" s="217">
        <f t="shared" si="13"/>
        <v>0</v>
      </c>
      <c r="U445" s="1349" t="s">
        <v>34</v>
      </c>
      <c r="V445" s="1228"/>
      <c r="W445" s="799"/>
    </row>
    <row r="446" spans="1:23" ht="22.95" customHeight="1" x14ac:dyDescent="0.4">
      <c r="A446" s="788">
        <v>445</v>
      </c>
      <c r="B446" s="236" t="s">
        <v>2616</v>
      </c>
      <c r="C446" s="187" t="s">
        <v>24</v>
      </c>
      <c r="D446" s="1130">
        <v>3930</v>
      </c>
      <c r="E446" s="187" t="s">
        <v>3288</v>
      </c>
      <c r="F446" s="187" t="s">
        <v>3289</v>
      </c>
      <c r="G446" s="795">
        <v>3931</v>
      </c>
      <c r="H446" s="187" t="s">
        <v>3275</v>
      </c>
      <c r="I446" s="187" t="s">
        <v>881</v>
      </c>
      <c r="J446" s="653" t="s">
        <v>58</v>
      </c>
      <c r="K446" s="653" t="s">
        <v>57</v>
      </c>
      <c r="L446" s="1193">
        <v>0.5</v>
      </c>
      <c r="M446" s="748"/>
      <c r="N446" s="988" t="s">
        <v>3290</v>
      </c>
      <c r="O446" s="295"/>
      <c r="P446" s="1399">
        <v>1</v>
      </c>
      <c r="Q446" s="1394">
        <v>0.15</v>
      </c>
      <c r="R446" s="1399"/>
      <c r="S446" s="195">
        <f t="shared" si="12"/>
        <v>0</v>
      </c>
      <c r="T446" s="196">
        <f t="shared" si="13"/>
        <v>0</v>
      </c>
      <c r="U446" s="1339" t="s">
        <v>34</v>
      </c>
      <c r="V446" s="1340">
        <f>SUM(T446:T456)%</f>
        <v>0</v>
      </c>
      <c r="W446" s="1380"/>
    </row>
    <row r="447" spans="1:23" ht="22.95" customHeight="1" x14ac:dyDescent="0.4">
      <c r="A447" s="788">
        <v>446</v>
      </c>
      <c r="B447" s="198" t="s">
        <v>2616</v>
      </c>
      <c r="C447" s="199" t="s">
        <v>24</v>
      </c>
      <c r="D447" s="1259">
        <v>3930</v>
      </c>
      <c r="E447" s="199" t="s">
        <v>3288</v>
      </c>
      <c r="F447" s="199" t="s">
        <v>3289</v>
      </c>
      <c r="G447" s="804">
        <v>3931</v>
      </c>
      <c r="H447" s="199" t="s">
        <v>3275</v>
      </c>
      <c r="I447" s="199" t="s">
        <v>881</v>
      </c>
      <c r="J447" s="79" t="s">
        <v>58</v>
      </c>
      <c r="K447" s="79" t="s">
        <v>57</v>
      </c>
      <c r="L447" s="1196">
        <v>0.5</v>
      </c>
      <c r="M447" s="756"/>
      <c r="N447" s="990" t="s">
        <v>3291</v>
      </c>
      <c r="O447" s="1400"/>
      <c r="P447" s="1374">
        <v>1</v>
      </c>
      <c r="Q447" s="1342">
        <v>0.2</v>
      </c>
      <c r="R447" s="1374"/>
      <c r="S447" s="206">
        <f t="shared" si="12"/>
        <v>0</v>
      </c>
      <c r="T447" s="207">
        <f t="shared" si="13"/>
        <v>0</v>
      </c>
      <c r="U447" s="1341" t="s">
        <v>34</v>
      </c>
      <c r="V447" s="1228"/>
      <c r="W447" s="799"/>
    </row>
    <row r="448" spans="1:23" ht="22.95" customHeight="1" x14ac:dyDescent="0.4">
      <c r="A448" s="788">
        <v>447</v>
      </c>
      <c r="B448" s="198" t="s">
        <v>2616</v>
      </c>
      <c r="C448" s="199" t="s">
        <v>24</v>
      </c>
      <c r="D448" s="1259">
        <v>3930</v>
      </c>
      <c r="E448" s="199" t="s">
        <v>3288</v>
      </c>
      <c r="F448" s="199" t="s">
        <v>3289</v>
      </c>
      <c r="G448" s="804">
        <v>3931</v>
      </c>
      <c r="H448" s="199" t="s">
        <v>3275</v>
      </c>
      <c r="I448" s="199" t="s">
        <v>881</v>
      </c>
      <c r="J448" s="79" t="s">
        <v>58</v>
      </c>
      <c r="K448" s="79" t="s">
        <v>57</v>
      </c>
      <c r="L448" s="1201">
        <v>0.5</v>
      </c>
      <c r="M448" s="756"/>
      <c r="N448" s="990" t="s">
        <v>3292</v>
      </c>
      <c r="O448" s="1400"/>
      <c r="P448" s="1341">
        <v>0.95</v>
      </c>
      <c r="Q448" s="1344">
        <v>0.3</v>
      </c>
      <c r="R448" s="1341"/>
      <c r="S448" s="647">
        <f t="shared" si="12"/>
        <v>0</v>
      </c>
      <c r="T448" s="764">
        <f t="shared" si="13"/>
        <v>0</v>
      </c>
      <c r="U448" s="1345" t="s">
        <v>34</v>
      </c>
      <c r="V448" s="1228"/>
      <c r="W448" s="799"/>
    </row>
    <row r="449" spans="1:23" ht="22.95" customHeight="1" x14ac:dyDescent="0.4">
      <c r="A449" s="788">
        <v>448</v>
      </c>
      <c r="B449" s="198" t="s">
        <v>2616</v>
      </c>
      <c r="C449" s="199" t="s">
        <v>24</v>
      </c>
      <c r="D449" s="1259">
        <v>3930</v>
      </c>
      <c r="E449" s="199" t="s">
        <v>3288</v>
      </c>
      <c r="F449" s="199" t="s">
        <v>3289</v>
      </c>
      <c r="G449" s="804">
        <v>3931</v>
      </c>
      <c r="H449" s="199" t="s">
        <v>3275</v>
      </c>
      <c r="I449" s="199" t="s">
        <v>881</v>
      </c>
      <c r="J449" s="79" t="s">
        <v>58</v>
      </c>
      <c r="K449" s="79" t="s">
        <v>57</v>
      </c>
      <c r="L449" s="1201">
        <v>0.5</v>
      </c>
      <c r="M449" s="756"/>
      <c r="N449" s="990" t="s">
        <v>3293</v>
      </c>
      <c r="O449" s="1400"/>
      <c r="P449" s="1374" t="s">
        <v>3280</v>
      </c>
      <c r="Q449" s="1344">
        <v>0.2</v>
      </c>
      <c r="R449" s="1374"/>
      <c r="S449" s="647">
        <f t="shared" si="12"/>
        <v>0</v>
      </c>
      <c r="T449" s="764">
        <f t="shared" si="13"/>
        <v>0</v>
      </c>
      <c r="U449" s="1345" t="s">
        <v>34</v>
      </c>
      <c r="V449" s="1228"/>
      <c r="W449" s="799"/>
    </row>
    <row r="450" spans="1:23" ht="22.95" customHeight="1" x14ac:dyDescent="0.4">
      <c r="A450" s="788">
        <v>449</v>
      </c>
      <c r="B450" s="198" t="s">
        <v>2616</v>
      </c>
      <c r="C450" s="199" t="s">
        <v>24</v>
      </c>
      <c r="D450" s="1259">
        <v>3930</v>
      </c>
      <c r="E450" s="199" t="s">
        <v>3288</v>
      </c>
      <c r="F450" s="199" t="s">
        <v>3289</v>
      </c>
      <c r="G450" s="804">
        <v>3931</v>
      </c>
      <c r="H450" s="199" t="s">
        <v>3275</v>
      </c>
      <c r="I450" s="199" t="s">
        <v>881</v>
      </c>
      <c r="J450" s="79" t="s">
        <v>58</v>
      </c>
      <c r="K450" s="79" t="s">
        <v>57</v>
      </c>
      <c r="L450" s="1201">
        <v>0.5</v>
      </c>
      <c r="M450" s="756"/>
      <c r="N450" s="990" t="s">
        <v>3294</v>
      </c>
      <c r="O450" s="1400"/>
      <c r="P450" s="1374" t="s">
        <v>3280</v>
      </c>
      <c r="Q450" s="1344">
        <v>0.15</v>
      </c>
      <c r="R450" s="1374"/>
      <c r="S450" s="647">
        <f t="shared" ref="S450:S513" si="14">ROUND(IF(OR(P450="",R450=""),0,IF(AND(P450=0,R450=0),1,IF(U450="+",R450/P450,P450/R450))),2)</f>
        <v>0</v>
      </c>
      <c r="T450" s="764">
        <f t="shared" ref="T450:T513" si="15">IF(AND(S450&gt;=60%,S450&lt;100%),S450*((Q450*L450)),IF(S450=100%,((Q450*L450)*S450)*100%,IF(S450&gt;100%,((L450*Q450)*100%)*100%,0)))*100</f>
        <v>0</v>
      </c>
      <c r="U450" s="1345"/>
      <c r="V450" s="1228"/>
      <c r="W450" s="799"/>
    </row>
    <row r="451" spans="1:23" ht="22.95" customHeight="1" x14ac:dyDescent="0.4">
      <c r="A451" s="788">
        <v>450</v>
      </c>
      <c r="B451" s="198" t="s">
        <v>2616</v>
      </c>
      <c r="C451" s="199" t="s">
        <v>24</v>
      </c>
      <c r="D451" s="1259">
        <v>3930</v>
      </c>
      <c r="E451" s="199" t="s">
        <v>3288</v>
      </c>
      <c r="F451" s="199" t="s">
        <v>3289</v>
      </c>
      <c r="G451" s="804">
        <v>3931</v>
      </c>
      <c r="H451" s="199" t="s">
        <v>3275</v>
      </c>
      <c r="I451" s="199" t="s">
        <v>881</v>
      </c>
      <c r="J451" s="210" t="s">
        <v>111</v>
      </c>
      <c r="K451" s="649" t="s">
        <v>110</v>
      </c>
      <c r="L451" s="1063">
        <v>0.5</v>
      </c>
      <c r="M451" s="766"/>
      <c r="N451" s="1309" t="s">
        <v>3295</v>
      </c>
      <c r="O451" s="303"/>
      <c r="P451" s="1349">
        <v>1</v>
      </c>
      <c r="Q451" s="1348">
        <v>0.25</v>
      </c>
      <c r="R451" s="1349"/>
      <c r="S451" s="222">
        <f t="shared" si="14"/>
        <v>0</v>
      </c>
      <c r="T451" s="765">
        <f t="shared" si="15"/>
        <v>0</v>
      </c>
      <c r="U451" s="1347" t="s">
        <v>34</v>
      </c>
      <c r="V451" s="1228"/>
      <c r="W451" s="799"/>
    </row>
    <row r="452" spans="1:23" ht="22.95" customHeight="1" x14ac:dyDescent="0.4">
      <c r="A452" s="788">
        <v>451</v>
      </c>
      <c r="B452" s="198" t="s">
        <v>2616</v>
      </c>
      <c r="C452" s="199" t="s">
        <v>24</v>
      </c>
      <c r="D452" s="1259">
        <v>3930</v>
      </c>
      <c r="E452" s="199" t="s">
        <v>3288</v>
      </c>
      <c r="F452" s="199" t="s">
        <v>3289</v>
      </c>
      <c r="G452" s="804">
        <v>3931</v>
      </c>
      <c r="H452" s="199" t="s">
        <v>3275</v>
      </c>
      <c r="I452" s="199" t="s">
        <v>881</v>
      </c>
      <c r="J452" s="210" t="s">
        <v>111</v>
      </c>
      <c r="K452" s="649" t="s">
        <v>110</v>
      </c>
      <c r="L452" s="1063">
        <v>0.5</v>
      </c>
      <c r="M452" s="766"/>
      <c r="N452" s="1309" t="s">
        <v>3296</v>
      </c>
      <c r="O452" s="303"/>
      <c r="P452" s="216">
        <v>1</v>
      </c>
      <c r="Q452" s="1348">
        <v>0.15</v>
      </c>
      <c r="R452" s="216"/>
      <c r="S452" s="222">
        <f t="shared" si="14"/>
        <v>0</v>
      </c>
      <c r="T452" s="765">
        <f t="shared" si="15"/>
        <v>0</v>
      </c>
      <c r="U452" s="1347" t="s">
        <v>34</v>
      </c>
      <c r="V452" s="1228"/>
      <c r="W452" s="799"/>
    </row>
    <row r="453" spans="1:23" ht="22.95" customHeight="1" x14ac:dyDescent="0.4">
      <c r="A453" s="788">
        <v>452</v>
      </c>
      <c r="B453" s="198" t="s">
        <v>2616</v>
      </c>
      <c r="C453" s="199" t="s">
        <v>24</v>
      </c>
      <c r="D453" s="1259">
        <v>3930</v>
      </c>
      <c r="E453" s="199" t="s">
        <v>3288</v>
      </c>
      <c r="F453" s="199" t="s">
        <v>3289</v>
      </c>
      <c r="G453" s="804">
        <v>3931</v>
      </c>
      <c r="H453" s="199" t="s">
        <v>3275</v>
      </c>
      <c r="I453" s="199" t="s">
        <v>881</v>
      </c>
      <c r="J453" s="210" t="s">
        <v>111</v>
      </c>
      <c r="K453" s="649" t="s">
        <v>110</v>
      </c>
      <c r="L453" s="1063">
        <v>0.5</v>
      </c>
      <c r="M453" s="766"/>
      <c r="N453" s="1309" t="s">
        <v>3297</v>
      </c>
      <c r="O453" s="303"/>
      <c r="P453" s="216">
        <v>1</v>
      </c>
      <c r="Q453" s="1348">
        <v>0.2</v>
      </c>
      <c r="R453" s="216"/>
      <c r="S453" s="222">
        <f t="shared" si="14"/>
        <v>0</v>
      </c>
      <c r="T453" s="765">
        <f t="shared" si="15"/>
        <v>0</v>
      </c>
      <c r="U453" s="1347" t="s">
        <v>34</v>
      </c>
      <c r="V453" s="1228"/>
      <c r="W453" s="799"/>
    </row>
    <row r="454" spans="1:23" ht="22.95" customHeight="1" x14ac:dyDescent="0.4">
      <c r="A454" s="788">
        <v>453</v>
      </c>
      <c r="B454" s="198" t="s">
        <v>2616</v>
      </c>
      <c r="C454" s="199" t="s">
        <v>24</v>
      </c>
      <c r="D454" s="1259">
        <v>3930</v>
      </c>
      <c r="E454" s="199" t="s">
        <v>3288</v>
      </c>
      <c r="F454" s="199" t="s">
        <v>3289</v>
      </c>
      <c r="G454" s="804">
        <v>3931</v>
      </c>
      <c r="H454" s="199" t="s">
        <v>3275</v>
      </c>
      <c r="I454" s="199" t="s">
        <v>881</v>
      </c>
      <c r="J454" s="210" t="s">
        <v>111</v>
      </c>
      <c r="K454" s="649" t="s">
        <v>110</v>
      </c>
      <c r="L454" s="1063">
        <v>0.5</v>
      </c>
      <c r="M454" s="766"/>
      <c r="N454" s="1309" t="s">
        <v>3298</v>
      </c>
      <c r="O454" s="303"/>
      <c r="P454" s="216">
        <v>1</v>
      </c>
      <c r="Q454" s="1348">
        <v>0.1</v>
      </c>
      <c r="R454" s="216"/>
      <c r="S454" s="222">
        <f t="shared" si="14"/>
        <v>0</v>
      </c>
      <c r="T454" s="765">
        <f t="shared" si="15"/>
        <v>0</v>
      </c>
      <c r="U454" s="1347" t="s">
        <v>34</v>
      </c>
      <c r="V454" s="1228"/>
      <c r="W454" s="799"/>
    </row>
    <row r="455" spans="1:23" ht="22.95" customHeight="1" x14ac:dyDescent="0.4">
      <c r="A455" s="788">
        <v>454</v>
      </c>
      <c r="B455" s="198" t="s">
        <v>2616</v>
      </c>
      <c r="C455" s="199" t="s">
        <v>24</v>
      </c>
      <c r="D455" s="1259">
        <v>3930</v>
      </c>
      <c r="E455" s="199" t="s">
        <v>3288</v>
      </c>
      <c r="F455" s="199" t="s">
        <v>3289</v>
      </c>
      <c r="G455" s="804">
        <v>3931</v>
      </c>
      <c r="H455" s="199" t="s">
        <v>3275</v>
      </c>
      <c r="I455" s="199" t="s">
        <v>881</v>
      </c>
      <c r="J455" s="210" t="s">
        <v>111</v>
      </c>
      <c r="K455" s="649" t="s">
        <v>110</v>
      </c>
      <c r="L455" s="1063">
        <v>0.5</v>
      </c>
      <c r="M455" s="766"/>
      <c r="N455" s="1309" t="s">
        <v>3299</v>
      </c>
      <c r="O455" s="303"/>
      <c r="P455" s="216">
        <v>0.7</v>
      </c>
      <c r="Q455" s="1348">
        <v>0.2</v>
      </c>
      <c r="R455" s="216"/>
      <c r="S455" s="222">
        <f t="shared" si="14"/>
        <v>0</v>
      </c>
      <c r="T455" s="765">
        <f t="shared" si="15"/>
        <v>0</v>
      </c>
      <c r="U455" s="1347" t="s">
        <v>34</v>
      </c>
      <c r="V455" s="1228"/>
      <c r="W455" s="799"/>
    </row>
    <row r="456" spans="1:23" ht="22.95" customHeight="1" x14ac:dyDescent="0.4">
      <c r="A456" s="788">
        <v>455</v>
      </c>
      <c r="B456" s="198" t="s">
        <v>2616</v>
      </c>
      <c r="C456" s="199" t="s">
        <v>24</v>
      </c>
      <c r="D456" s="1259">
        <v>3930</v>
      </c>
      <c r="E456" s="199" t="s">
        <v>3288</v>
      </c>
      <c r="F456" s="199" t="s">
        <v>3289</v>
      </c>
      <c r="G456" s="804">
        <v>3931</v>
      </c>
      <c r="H456" s="199" t="s">
        <v>3275</v>
      </c>
      <c r="I456" s="199" t="s">
        <v>881</v>
      </c>
      <c r="J456" s="210" t="s">
        <v>111</v>
      </c>
      <c r="K456" s="649" t="s">
        <v>110</v>
      </c>
      <c r="L456" s="1063">
        <v>0.5</v>
      </c>
      <c r="M456" s="766"/>
      <c r="N456" s="1309" t="s">
        <v>3300</v>
      </c>
      <c r="O456" s="303"/>
      <c r="P456" s="216">
        <v>1</v>
      </c>
      <c r="Q456" s="1348">
        <v>0.1</v>
      </c>
      <c r="R456" s="216"/>
      <c r="S456" s="222">
        <f t="shared" si="14"/>
        <v>0</v>
      </c>
      <c r="T456" s="765">
        <f t="shared" si="15"/>
        <v>0</v>
      </c>
      <c r="U456" s="1347" t="s">
        <v>34</v>
      </c>
      <c r="V456" s="1228"/>
      <c r="W456" s="799"/>
    </row>
    <row r="457" spans="1:23" ht="22.95" customHeight="1" x14ac:dyDescent="0.4">
      <c r="A457" s="788">
        <v>456</v>
      </c>
      <c r="B457" s="236" t="s">
        <v>2616</v>
      </c>
      <c r="C457" s="870" t="s">
        <v>24</v>
      </c>
      <c r="D457" s="1164">
        <v>3891</v>
      </c>
      <c r="E457" s="236" t="s">
        <v>3301</v>
      </c>
      <c r="F457" s="236" t="s">
        <v>3302</v>
      </c>
      <c r="G457" s="691">
        <v>3931</v>
      </c>
      <c r="H457" s="236" t="s">
        <v>3275</v>
      </c>
      <c r="I457" s="236" t="s">
        <v>881</v>
      </c>
      <c r="J457" s="243" t="s">
        <v>58</v>
      </c>
      <c r="K457" s="653" t="s">
        <v>57</v>
      </c>
      <c r="L457" s="1052">
        <v>0.5</v>
      </c>
      <c r="M457" s="1401"/>
      <c r="N457" s="1402" t="s">
        <v>3303</v>
      </c>
      <c r="O457" s="952"/>
      <c r="P457" s="1403">
        <v>1</v>
      </c>
      <c r="Q457" s="1379">
        <v>0.3</v>
      </c>
      <c r="R457" s="1403"/>
      <c r="S457" s="855">
        <f t="shared" si="14"/>
        <v>0</v>
      </c>
      <c r="T457" s="854">
        <f t="shared" si="15"/>
        <v>0</v>
      </c>
      <c r="U457" s="1378" t="s">
        <v>34</v>
      </c>
      <c r="V457" s="1393">
        <f>SUM(T457:T466)%</f>
        <v>0</v>
      </c>
      <c r="W457" s="1378"/>
    </row>
    <row r="458" spans="1:23" ht="22.95" customHeight="1" x14ac:dyDescent="0.4">
      <c r="A458" s="788">
        <v>457</v>
      </c>
      <c r="B458" s="198" t="s">
        <v>2616</v>
      </c>
      <c r="C458" s="877" t="s">
        <v>24</v>
      </c>
      <c r="D458" s="1277">
        <v>3891</v>
      </c>
      <c r="E458" s="245" t="s">
        <v>3301</v>
      </c>
      <c r="F458" s="245" t="s">
        <v>3302</v>
      </c>
      <c r="G458" s="717">
        <v>3931</v>
      </c>
      <c r="H458" s="245" t="s">
        <v>3275</v>
      </c>
      <c r="I458" s="245" t="s">
        <v>881</v>
      </c>
      <c r="J458" s="959" t="s">
        <v>58</v>
      </c>
      <c r="K458" s="79" t="s">
        <v>57</v>
      </c>
      <c r="L458" s="1067">
        <v>0.5</v>
      </c>
      <c r="M458" s="1404"/>
      <c r="N458" s="822" t="s">
        <v>3304</v>
      </c>
      <c r="O458" s="819"/>
      <c r="P458" s="1386">
        <v>0.9</v>
      </c>
      <c r="Q458" s="1384">
        <v>0.25</v>
      </c>
      <c r="R458" s="1386"/>
      <c r="S458" s="204">
        <f t="shared" si="14"/>
        <v>0</v>
      </c>
      <c r="T458" s="960">
        <f t="shared" si="15"/>
        <v>0</v>
      </c>
      <c r="U458" s="1386" t="s">
        <v>34</v>
      </c>
      <c r="V458" s="1228"/>
      <c r="W458" s="799"/>
    </row>
    <row r="459" spans="1:23" ht="22.95" customHeight="1" x14ac:dyDescent="0.4">
      <c r="A459" s="788">
        <v>458</v>
      </c>
      <c r="B459" s="198" t="s">
        <v>2616</v>
      </c>
      <c r="C459" s="877" t="s">
        <v>24</v>
      </c>
      <c r="D459" s="1277">
        <v>3891</v>
      </c>
      <c r="E459" s="245" t="s">
        <v>3301</v>
      </c>
      <c r="F459" s="245" t="s">
        <v>3302</v>
      </c>
      <c r="G459" s="717">
        <v>3931</v>
      </c>
      <c r="H459" s="245" t="s">
        <v>3275</v>
      </c>
      <c r="I459" s="245" t="s">
        <v>881</v>
      </c>
      <c r="J459" s="959" t="s">
        <v>58</v>
      </c>
      <c r="K459" s="79" t="s">
        <v>57</v>
      </c>
      <c r="L459" s="1067">
        <v>0.5</v>
      </c>
      <c r="M459" s="1404"/>
      <c r="N459" s="822" t="s">
        <v>3305</v>
      </c>
      <c r="O459" s="819"/>
      <c r="P459" s="1386">
        <v>1</v>
      </c>
      <c r="Q459" s="1384">
        <v>0.15</v>
      </c>
      <c r="R459" s="1386"/>
      <c r="S459" s="204">
        <f t="shared" si="14"/>
        <v>0</v>
      </c>
      <c r="T459" s="960">
        <f t="shared" si="15"/>
        <v>0</v>
      </c>
      <c r="U459" s="1386" t="s">
        <v>34</v>
      </c>
      <c r="V459" s="1228"/>
      <c r="W459" s="799"/>
    </row>
    <row r="460" spans="1:23" ht="22.95" customHeight="1" x14ac:dyDescent="0.4">
      <c r="A460" s="788">
        <v>459</v>
      </c>
      <c r="B460" s="198" t="s">
        <v>2616</v>
      </c>
      <c r="C460" s="877" t="s">
        <v>24</v>
      </c>
      <c r="D460" s="1277">
        <v>3891</v>
      </c>
      <c r="E460" s="245" t="s">
        <v>3301</v>
      </c>
      <c r="F460" s="245" t="s">
        <v>3302</v>
      </c>
      <c r="G460" s="717">
        <v>3931</v>
      </c>
      <c r="H460" s="245" t="s">
        <v>3275</v>
      </c>
      <c r="I460" s="245" t="s">
        <v>881</v>
      </c>
      <c r="J460" s="959" t="s">
        <v>58</v>
      </c>
      <c r="K460" s="79" t="s">
        <v>57</v>
      </c>
      <c r="L460" s="1067">
        <v>0.5</v>
      </c>
      <c r="M460" s="1404"/>
      <c r="N460" s="822" t="s">
        <v>3293</v>
      </c>
      <c r="O460" s="819"/>
      <c r="P460" s="1386">
        <v>1</v>
      </c>
      <c r="Q460" s="1384">
        <v>0.15</v>
      </c>
      <c r="R460" s="1386"/>
      <c r="S460" s="204">
        <f t="shared" si="14"/>
        <v>0</v>
      </c>
      <c r="T460" s="960">
        <f t="shared" si="15"/>
        <v>0</v>
      </c>
      <c r="U460" s="1386" t="s">
        <v>34</v>
      </c>
      <c r="V460" s="1228"/>
      <c r="W460" s="799"/>
    </row>
    <row r="461" spans="1:23" ht="22.95" customHeight="1" x14ac:dyDescent="0.4">
      <c r="A461" s="788">
        <v>460</v>
      </c>
      <c r="B461" s="198" t="s">
        <v>2616</v>
      </c>
      <c r="C461" s="877" t="s">
        <v>24</v>
      </c>
      <c r="D461" s="1277">
        <v>3891</v>
      </c>
      <c r="E461" s="245" t="s">
        <v>3301</v>
      </c>
      <c r="F461" s="245" t="s">
        <v>3302</v>
      </c>
      <c r="G461" s="717">
        <v>3931</v>
      </c>
      <c r="H461" s="245" t="s">
        <v>3275</v>
      </c>
      <c r="I461" s="245" t="s">
        <v>881</v>
      </c>
      <c r="J461" s="959" t="s">
        <v>58</v>
      </c>
      <c r="K461" s="79" t="s">
        <v>57</v>
      </c>
      <c r="L461" s="1067">
        <v>0.5</v>
      </c>
      <c r="M461" s="1404"/>
      <c r="N461" s="822" t="s">
        <v>3294</v>
      </c>
      <c r="O461" s="819"/>
      <c r="P461" s="1386">
        <v>1</v>
      </c>
      <c r="Q461" s="1384">
        <v>0.15</v>
      </c>
      <c r="R461" s="1386"/>
      <c r="S461" s="204">
        <f t="shared" si="14"/>
        <v>0</v>
      </c>
      <c r="T461" s="960">
        <f t="shared" si="15"/>
        <v>0</v>
      </c>
      <c r="U461" s="1386" t="s">
        <v>34</v>
      </c>
      <c r="V461" s="1228"/>
      <c r="W461" s="799"/>
    </row>
    <row r="462" spans="1:23" ht="22.95" customHeight="1" x14ac:dyDescent="0.4">
      <c r="A462" s="788">
        <v>461</v>
      </c>
      <c r="B462" s="198" t="s">
        <v>2616</v>
      </c>
      <c r="C462" s="877" t="s">
        <v>24</v>
      </c>
      <c r="D462" s="1277">
        <v>3891</v>
      </c>
      <c r="E462" s="245" t="s">
        <v>3301</v>
      </c>
      <c r="F462" s="245" t="s">
        <v>3302</v>
      </c>
      <c r="G462" s="717">
        <v>3931</v>
      </c>
      <c r="H462" s="245" t="s">
        <v>3275</v>
      </c>
      <c r="I462" s="245" t="s">
        <v>881</v>
      </c>
      <c r="J462" s="210" t="s">
        <v>111</v>
      </c>
      <c r="K462" s="649" t="s">
        <v>110</v>
      </c>
      <c r="L462" s="1145">
        <v>0.5</v>
      </c>
      <c r="M462" s="1405"/>
      <c r="N462" s="1309" t="s">
        <v>3306</v>
      </c>
      <c r="O462" s="767"/>
      <c r="P462" s="1390">
        <v>1</v>
      </c>
      <c r="Q462" s="1388">
        <v>0.3</v>
      </c>
      <c r="R462" s="1390"/>
      <c r="S462" s="650">
        <f t="shared" si="14"/>
        <v>0</v>
      </c>
      <c r="T462" s="701">
        <f t="shared" si="15"/>
        <v>0</v>
      </c>
      <c r="U462" s="1390" t="s">
        <v>34</v>
      </c>
      <c r="V462" s="1228"/>
      <c r="W462" s="799"/>
    </row>
    <row r="463" spans="1:23" ht="22.95" customHeight="1" x14ac:dyDescent="0.4">
      <c r="A463" s="788">
        <v>462</v>
      </c>
      <c r="B463" s="198" t="s">
        <v>2616</v>
      </c>
      <c r="C463" s="877" t="s">
        <v>24</v>
      </c>
      <c r="D463" s="1277">
        <v>3891</v>
      </c>
      <c r="E463" s="245" t="s">
        <v>3301</v>
      </c>
      <c r="F463" s="245" t="s">
        <v>3302</v>
      </c>
      <c r="G463" s="717">
        <v>3931</v>
      </c>
      <c r="H463" s="245" t="s">
        <v>3275</v>
      </c>
      <c r="I463" s="245" t="s">
        <v>881</v>
      </c>
      <c r="J463" s="210" t="s">
        <v>111</v>
      </c>
      <c r="K463" s="649" t="s">
        <v>110</v>
      </c>
      <c r="L463" s="1145">
        <v>0.5</v>
      </c>
      <c r="M463" s="1405"/>
      <c r="N463" s="1309" t="s">
        <v>3307</v>
      </c>
      <c r="O463" s="767"/>
      <c r="P463" s="1390">
        <v>100</v>
      </c>
      <c r="Q463" s="1388">
        <v>0.2</v>
      </c>
      <c r="R463" s="1390"/>
      <c r="S463" s="650">
        <f t="shared" si="14"/>
        <v>0</v>
      </c>
      <c r="T463" s="701">
        <f t="shared" si="15"/>
        <v>0</v>
      </c>
      <c r="U463" s="1390" t="s">
        <v>34</v>
      </c>
      <c r="V463" s="1228"/>
      <c r="W463" s="799"/>
    </row>
    <row r="464" spans="1:23" ht="22.95" customHeight="1" x14ac:dyDescent="0.4">
      <c r="A464" s="788">
        <v>463</v>
      </c>
      <c r="B464" s="198" t="s">
        <v>2616</v>
      </c>
      <c r="C464" s="877" t="s">
        <v>24</v>
      </c>
      <c r="D464" s="1277">
        <v>3891</v>
      </c>
      <c r="E464" s="245" t="s">
        <v>3301</v>
      </c>
      <c r="F464" s="245" t="s">
        <v>3302</v>
      </c>
      <c r="G464" s="717">
        <v>3931</v>
      </c>
      <c r="H464" s="245" t="s">
        <v>3275</v>
      </c>
      <c r="I464" s="245" t="s">
        <v>881</v>
      </c>
      <c r="J464" s="210" t="s">
        <v>111</v>
      </c>
      <c r="K464" s="649" t="s">
        <v>110</v>
      </c>
      <c r="L464" s="1145">
        <v>0.5</v>
      </c>
      <c r="M464" s="1405"/>
      <c r="N464" s="1309" t="s">
        <v>3308</v>
      </c>
      <c r="O464" s="767"/>
      <c r="P464" s="1390">
        <v>1</v>
      </c>
      <c r="Q464" s="1388">
        <v>0.3</v>
      </c>
      <c r="R464" s="1390"/>
      <c r="S464" s="650">
        <f t="shared" si="14"/>
        <v>0</v>
      </c>
      <c r="T464" s="701">
        <f t="shared" si="15"/>
        <v>0</v>
      </c>
      <c r="U464" s="1390" t="s">
        <v>34</v>
      </c>
      <c r="V464" s="1228"/>
      <c r="W464" s="799"/>
    </row>
    <row r="465" spans="1:23" ht="22.95" customHeight="1" x14ac:dyDescent="0.4">
      <c r="A465" s="788">
        <v>464</v>
      </c>
      <c r="B465" s="198" t="s">
        <v>2616</v>
      </c>
      <c r="C465" s="877" t="s">
        <v>24</v>
      </c>
      <c r="D465" s="1277">
        <v>3891</v>
      </c>
      <c r="E465" s="245" t="s">
        <v>3301</v>
      </c>
      <c r="F465" s="245" t="s">
        <v>3302</v>
      </c>
      <c r="G465" s="717">
        <v>3931</v>
      </c>
      <c r="H465" s="245" t="s">
        <v>3275</v>
      </c>
      <c r="I465" s="245" t="s">
        <v>881</v>
      </c>
      <c r="J465" s="210" t="s">
        <v>111</v>
      </c>
      <c r="K465" s="649" t="s">
        <v>110</v>
      </c>
      <c r="L465" s="1145">
        <v>0.5</v>
      </c>
      <c r="M465" s="1405"/>
      <c r="N465" s="1309" t="s">
        <v>3298</v>
      </c>
      <c r="O465" s="767"/>
      <c r="P465" s="1390">
        <v>0.12</v>
      </c>
      <c r="Q465" s="1388">
        <v>0.1</v>
      </c>
      <c r="R465" s="1390"/>
      <c r="S465" s="650">
        <f t="shared" si="14"/>
        <v>0</v>
      </c>
      <c r="T465" s="701">
        <f t="shared" si="15"/>
        <v>0</v>
      </c>
      <c r="U465" s="1390"/>
      <c r="V465" s="1228"/>
      <c r="W465" s="799"/>
    </row>
    <row r="466" spans="1:23" ht="22.95" customHeight="1" x14ac:dyDescent="0.4">
      <c r="A466" s="788">
        <v>465</v>
      </c>
      <c r="B466" s="198" t="s">
        <v>2616</v>
      </c>
      <c r="C466" s="877" t="s">
        <v>24</v>
      </c>
      <c r="D466" s="1277">
        <v>3891</v>
      </c>
      <c r="E466" s="245" t="s">
        <v>3301</v>
      </c>
      <c r="F466" s="245" t="s">
        <v>3302</v>
      </c>
      <c r="G466" s="717">
        <v>3931</v>
      </c>
      <c r="H466" s="245" t="s">
        <v>3275</v>
      </c>
      <c r="I466" s="245" t="s">
        <v>881</v>
      </c>
      <c r="J466" s="210" t="s">
        <v>111</v>
      </c>
      <c r="K466" s="649" t="s">
        <v>110</v>
      </c>
      <c r="L466" s="1145">
        <v>0.5</v>
      </c>
      <c r="M466" s="1405"/>
      <c r="N466" s="1309" t="s">
        <v>3309</v>
      </c>
      <c r="O466" s="767"/>
      <c r="P466" s="1390">
        <v>1</v>
      </c>
      <c r="Q466" s="1388">
        <v>0.1</v>
      </c>
      <c r="R466" s="1390"/>
      <c r="S466" s="650">
        <f t="shared" si="14"/>
        <v>0</v>
      </c>
      <c r="T466" s="701">
        <f t="shared" si="15"/>
        <v>0</v>
      </c>
      <c r="U466" s="1390" t="s">
        <v>34</v>
      </c>
      <c r="V466" s="1228"/>
      <c r="W466" s="799"/>
    </row>
    <row r="467" spans="1:23" ht="22.95" customHeight="1" x14ac:dyDescent="0.4">
      <c r="A467" s="788">
        <v>466</v>
      </c>
      <c r="B467" s="236" t="s">
        <v>2616</v>
      </c>
      <c r="C467" s="187" t="s">
        <v>24</v>
      </c>
      <c r="D467" s="1130">
        <v>3813</v>
      </c>
      <c r="E467" s="187" t="s">
        <v>3310</v>
      </c>
      <c r="F467" s="187" t="s">
        <v>3311</v>
      </c>
      <c r="G467" s="795">
        <v>3931</v>
      </c>
      <c r="H467" s="187" t="s">
        <v>3275</v>
      </c>
      <c r="I467" s="187" t="s">
        <v>881</v>
      </c>
      <c r="J467" s="653" t="s">
        <v>58</v>
      </c>
      <c r="K467" s="653" t="s">
        <v>57</v>
      </c>
      <c r="L467" s="1193">
        <v>0.5</v>
      </c>
      <c r="M467" s="1377"/>
      <c r="N467" s="988" t="s">
        <v>3303</v>
      </c>
      <c r="O467" s="749"/>
      <c r="P467" s="1339">
        <v>1</v>
      </c>
      <c r="Q467" s="1394">
        <v>0.3</v>
      </c>
      <c r="R467" s="1339"/>
      <c r="S467" s="195">
        <f t="shared" si="14"/>
        <v>0</v>
      </c>
      <c r="T467" s="1399">
        <f t="shared" si="15"/>
        <v>0</v>
      </c>
      <c r="U467" s="1339" t="s">
        <v>34</v>
      </c>
      <c r="V467" s="1340">
        <f>SUM(T467:T477)%</f>
        <v>0</v>
      </c>
      <c r="W467" s="1380"/>
    </row>
    <row r="468" spans="1:23" ht="22.95" customHeight="1" x14ac:dyDescent="0.4">
      <c r="A468" s="788">
        <v>467</v>
      </c>
      <c r="B468" s="198" t="s">
        <v>2616</v>
      </c>
      <c r="C468" s="246" t="s">
        <v>24</v>
      </c>
      <c r="D468" s="1134">
        <v>3813</v>
      </c>
      <c r="E468" s="246" t="s">
        <v>3310</v>
      </c>
      <c r="F468" s="246" t="s">
        <v>3311</v>
      </c>
      <c r="G468" s="1381">
        <v>3931</v>
      </c>
      <c r="H468" s="246" t="s">
        <v>3275</v>
      </c>
      <c r="I468" s="246" t="s">
        <v>881</v>
      </c>
      <c r="J468" s="79" t="s">
        <v>58</v>
      </c>
      <c r="K468" s="79" t="s">
        <v>57</v>
      </c>
      <c r="L468" s="1196">
        <v>0.5</v>
      </c>
      <c r="M468" s="1382"/>
      <c r="N468" s="990" t="s">
        <v>3304</v>
      </c>
      <c r="O468" s="757"/>
      <c r="P468" s="1341">
        <v>0.9</v>
      </c>
      <c r="Q468" s="1342">
        <v>0.25</v>
      </c>
      <c r="R468" s="1341"/>
      <c r="S468" s="206">
        <f t="shared" si="14"/>
        <v>0</v>
      </c>
      <c r="T468" s="1374">
        <f t="shared" si="15"/>
        <v>0</v>
      </c>
      <c r="U468" s="1341" t="s">
        <v>34</v>
      </c>
      <c r="V468" s="1228"/>
      <c r="W468" s="799"/>
    </row>
    <row r="469" spans="1:23" ht="22.95" customHeight="1" x14ac:dyDescent="0.4">
      <c r="A469" s="788">
        <v>468</v>
      </c>
      <c r="B469" s="198" t="s">
        <v>2616</v>
      </c>
      <c r="C469" s="246" t="s">
        <v>24</v>
      </c>
      <c r="D469" s="1134">
        <v>3813</v>
      </c>
      <c r="E469" s="246" t="s">
        <v>3310</v>
      </c>
      <c r="F469" s="246" t="s">
        <v>3311</v>
      </c>
      <c r="G469" s="1381">
        <v>3931</v>
      </c>
      <c r="H469" s="246" t="s">
        <v>3275</v>
      </c>
      <c r="I469" s="246" t="s">
        <v>881</v>
      </c>
      <c r="J469" s="79" t="s">
        <v>58</v>
      </c>
      <c r="K469" s="79" t="s">
        <v>57</v>
      </c>
      <c r="L469" s="1196">
        <v>0.5</v>
      </c>
      <c r="M469" s="1382"/>
      <c r="N469" s="990" t="s">
        <v>3305</v>
      </c>
      <c r="O469" s="757"/>
      <c r="P469" s="1341">
        <v>1</v>
      </c>
      <c r="Q469" s="1342">
        <v>0.15</v>
      </c>
      <c r="R469" s="1341"/>
      <c r="S469" s="206">
        <f t="shared" si="14"/>
        <v>0</v>
      </c>
      <c r="T469" s="1374">
        <f t="shared" si="15"/>
        <v>0</v>
      </c>
      <c r="U469" s="1341" t="s">
        <v>34</v>
      </c>
      <c r="V469" s="1228"/>
      <c r="W469" s="799"/>
    </row>
    <row r="470" spans="1:23" ht="22.95" customHeight="1" x14ac:dyDescent="0.4">
      <c r="A470" s="788">
        <v>469</v>
      </c>
      <c r="B470" s="198" t="s">
        <v>2616</v>
      </c>
      <c r="C470" s="246" t="s">
        <v>24</v>
      </c>
      <c r="D470" s="1134">
        <v>3813</v>
      </c>
      <c r="E470" s="246" t="s">
        <v>3310</v>
      </c>
      <c r="F470" s="246" t="s">
        <v>3311</v>
      </c>
      <c r="G470" s="1381">
        <v>3931</v>
      </c>
      <c r="H470" s="246" t="s">
        <v>3275</v>
      </c>
      <c r="I470" s="246" t="s">
        <v>881</v>
      </c>
      <c r="J470" s="79" t="s">
        <v>58</v>
      </c>
      <c r="K470" s="79" t="s">
        <v>57</v>
      </c>
      <c r="L470" s="1196">
        <v>0.5</v>
      </c>
      <c r="M470" s="1382"/>
      <c r="N470" s="990" t="s">
        <v>3293</v>
      </c>
      <c r="O470" s="757"/>
      <c r="P470" s="1341">
        <v>1</v>
      </c>
      <c r="Q470" s="1342">
        <v>0.15</v>
      </c>
      <c r="R470" s="1341"/>
      <c r="S470" s="206">
        <f t="shared" si="14"/>
        <v>0</v>
      </c>
      <c r="T470" s="1374">
        <f t="shared" si="15"/>
        <v>0</v>
      </c>
      <c r="U470" s="1341" t="s">
        <v>34</v>
      </c>
      <c r="V470" s="1228"/>
      <c r="W470" s="799"/>
    </row>
    <row r="471" spans="1:23" ht="22.95" customHeight="1" x14ac:dyDescent="0.4">
      <c r="A471" s="788">
        <v>470</v>
      </c>
      <c r="B471" s="198" t="s">
        <v>2616</v>
      </c>
      <c r="C471" s="246" t="s">
        <v>24</v>
      </c>
      <c r="D471" s="1134">
        <v>3813</v>
      </c>
      <c r="E471" s="246" t="s">
        <v>3310</v>
      </c>
      <c r="F471" s="246" t="s">
        <v>3311</v>
      </c>
      <c r="G471" s="1381">
        <v>3931</v>
      </c>
      <c r="H471" s="246" t="s">
        <v>3275</v>
      </c>
      <c r="I471" s="246" t="s">
        <v>881</v>
      </c>
      <c r="J471" s="79" t="s">
        <v>58</v>
      </c>
      <c r="K471" s="79" t="s">
        <v>57</v>
      </c>
      <c r="L471" s="1196">
        <v>0.5</v>
      </c>
      <c r="M471" s="1382"/>
      <c r="N471" s="990" t="s">
        <v>3294</v>
      </c>
      <c r="O471" s="757"/>
      <c r="P471" s="1374">
        <v>1</v>
      </c>
      <c r="Q471" s="1342">
        <v>0.15</v>
      </c>
      <c r="R471" s="1374"/>
      <c r="S471" s="206">
        <f t="shared" si="14"/>
        <v>0</v>
      </c>
      <c r="T471" s="1374">
        <f t="shared" si="15"/>
        <v>0</v>
      </c>
      <c r="U471" s="1341" t="s">
        <v>34</v>
      </c>
      <c r="V471" s="1228"/>
      <c r="W471" s="799"/>
    </row>
    <row r="472" spans="1:23" ht="22.95" customHeight="1" x14ac:dyDescent="0.4">
      <c r="A472" s="788">
        <v>471</v>
      </c>
      <c r="B472" s="198" t="s">
        <v>2616</v>
      </c>
      <c r="C472" s="246" t="s">
        <v>24</v>
      </c>
      <c r="D472" s="1134">
        <v>3813</v>
      </c>
      <c r="E472" s="246" t="s">
        <v>3310</v>
      </c>
      <c r="F472" s="246" t="s">
        <v>3311</v>
      </c>
      <c r="G472" s="1381">
        <v>3931</v>
      </c>
      <c r="H472" s="246" t="s">
        <v>3275</v>
      </c>
      <c r="I472" s="246" t="s">
        <v>881</v>
      </c>
      <c r="J472" s="210" t="s">
        <v>111</v>
      </c>
      <c r="K472" s="649" t="s">
        <v>110</v>
      </c>
      <c r="L472" s="1147">
        <v>0.5</v>
      </c>
      <c r="M472" s="1387"/>
      <c r="N472" s="1309" t="s">
        <v>3312</v>
      </c>
      <c r="O472" s="767"/>
      <c r="P472" s="1349">
        <v>1</v>
      </c>
      <c r="Q472" s="1396">
        <v>0.2</v>
      </c>
      <c r="R472" s="1349"/>
      <c r="S472" s="234">
        <f t="shared" si="14"/>
        <v>0</v>
      </c>
      <c r="T472" s="1376">
        <f t="shared" si="15"/>
        <v>0</v>
      </c>
      <c r="U472" s="1349" t="s">
        <v>34</v>
      </c>
      <c r="V472" s="1228"/>
      <c r="W472" s="799"/>
    </row>
    <row r="473" spans="1:23" ht="22.95" customHeight="1" x14ac:dyDescent="0.4">
      <c r="A473" s="788">
        <v>472</v>
      </c>
      <c r="B473" s="198" t="s">
        <v>2616</v>
      </c>
      <c r="C473" s="246" t="s">
        <v>24</v>
      </c>
      <c r="D473" s="1134">
        <v>3813</v>
      </c>
      <c r="E473" s="246" t="s">
        <v>3310</v>
      </c>
      <c r="F473" s="246" t="s">
        <v>3311</v>
      </c>
      <c r="G473" s="1381">
        <v>3931</v>
      </c>
      <c r="H473" s="246" t="s">
        <v>3275</v>
      </c>
      <c r="I473" s="246" t="s">
        <v>881</v>
      </c>
      <c r="J473" s="210" t="s">
        <v>111</v>
      </c>
      <c r="K473" s="649" t="s">
        <v>110</v>
      </c>
      <c r="L473" s="1147">
        <v>0.5</v>
      </c>
      <c r="M473" s="1387"/>
      <c r="N473" s="1309" t="s">
        <v>3313</v>
      </c>
      <c r="O473" s="767"/>
      <c r="P473" s="1376">
        <v>100</v>
      </c>
      <c r="Q473" s="1396">
        <v>0.2</v>
      </c>
      <c r="R473" s="1376"/>
      <c r="S473" s="234">
        <f t="shared" si="14"/>
        <v>0</v>
      </c>
      <c r="T473" s="1376">
        <f t="shared" si="15"/>
        <v>0</v>
      </c>
      <c r="U473" s="1349" t="s">
        <v>34</v>
      </c>
      <c r="V473" s="1228"/>
      <c r="W473" s="799"/>
    </row>
    <row r="474" spans="1:23" ht="22.95" customHeight="1" x14ac:dyDescent="0.4">
      <c r="A474" s="788">
        <v>473</v>
      </c>
      <c r="B474" s="198" t="s">
        <v>2616</v>
      </c>
      <c r="C474" s="246" t="s">
        <v>24</v>
      </c>
      <c r="D474" s="1134">
        <v>3813</v>
      </c>
      <c r="E474" s="246" t="s">
        <v>3310</v>
      </c>
      <c r="F474" s="246" t="s">
        <v>3311</v>
      </c>
      <c r="G474" s="1381">
        <v>3931</v>
      </c>
      <c r="H474" s="246" t="s">
        <v>3275</v>
      </c>
      <c r="I474" s="246" t="s">
        <v>881</v>
      </c>
      <c r="J474" s="210" t="s">
        <v>111</v>
      </c>
      <c r="K474" s="649" t="s">
        <v>110</v>
      </c>
      <c r="L474" s="1147">
        <v>0.5</v>
      </c>
      <c r="M474" s="1387"/>
      <c r="N474" s="1309" t="s">
        <v>3308</v>
      </c>
      <c r="O474" s="767"/>
      <c r="P474" s="1376">
        <v>1</v>
      </c>
      <c r="Q474" s="1396">
        <v>0.2</v>
      </c>
      <c r="R474" s="1376"/>
      <c r="S474" s="234">
        <f t="shared" si="14"/>
        <v>0</v>
      </c>
      <c r="T474" s="1376">
        <f t="shared" si="15"/>
        <v>0</v>
      </c>
      <c r="U474" s="1349" t="s">
        <v>34</v>
      </c>
      <c r="V474" s="1228"/>
      <c r="W474" s="799"/>
    </row>
    <row r="475" spans="1:23" ht="22.95" customHeight="1" x14ac:dyDescent="0.4">
      <c r="A475" s="788">
        <v>474</v>
      </c>
      <c r="B475" s="198" t="s">
        <v>2616</v>
      </c>
      <c r="C475" s="246" t="s">
        <v>24</v>
      </c>
      <c r="D475" s="1134">
        <v>3813</v>
      </c>
      <c r="E475" s="246" t="s">
        <v>3310</v>
      </c>
      <c r="F475" s="246" t="s">
        <v>3311</v>
      </c>
      <c r="G475" s="1381">
        <v>3931</v>
      </c>
      <c r="H475" s="246" t="s">
        <v>3275</v>
      </c>
      <c r="I475" s="246" t="s">
        <v>881</v>
      </c>
      <c r="J475" s="210" t="s">
        <v>111</v>
      </c>
      <c r="K475" s="649" t="s">
        <v>110</v>
      </c>
      <c r="L475" s="1147">
        <v>0.5</v>
      </c>
      <c r="M475" s="1387"/>
      <c r="N475" s="1309" t="s">
        <v>3298</v>
      </c>
      <c r="O475" s="767"/>
      <c r="P475" s="1376" t="s">
        <v>3280</v>
      </c>
      <c r="Q475" s="1396">
        <v>0.1</v>
      </c>
      <c r="R475" s="1376"/>
      <c r="S475" s="234">
        <f t="shared" si="14"/>
        <v>0</v>
      </c>
      <c r="T475" s="1376">
        <f t="shared" si="15"/>
        <v>0</v>
      </c>
      <c r="U475" s="1349"/>
      <c r="V475" s="1228"/>
      <c r="W475" s="799"/>
    </row>
    <row r="476" spans="1:23" ht="22.95" customHeight="1" x14ac:dyDescent="0.4">
      <c r="A476" s="788">
        <v>475</v>
      </c>
      <c r="B476" s="198" t="s">
        <v>2616</v>
      </c>
      <c r="C476" s="246" t="s">
        <v>24</v>
      </c>
      <c r="D476" s="1134">
        <v>3813</v>
      </c>
      <c r="E476" s="246" t="s">
        <v>3310</v>
      </c>
      <c r="F476" s="246" t="s">
        <v>3311</v>
      </c>
      <c r="G476" s="1381">
        <v>3931</v>
      </c>
      <c r="H476" s="246" t="s">
        <v>3275</v>
      </c>
      <c r="I476" s="246" t="s">
        <v>881</v>
      </c>
      <c r="J476" s="210" t="s">
        <v>111</v>
      </c>
      <c r="K476" s="649" t="s">
        <v>110</v>
      </c>
      <c r="L476" s="1147">
        <v>0.5</v>
      </c>
      <c r="M476" s="1387"/>
      <c r="N476" s="1309" t="s">
        <v>3314</v>
      </c>
      <c r="O476" s="767"/>
      <c r="P476" s="1376">
        <v>1</v>
      </c>
      <c r="Q476" s="1396">
        <v>0.1</v>
      </c>
      <c r="R476" s="1376"/>
      <c r="S476" s="234">
        <f t="shared" si="14"/>
        <v>0</v>
      </c>
      <c r="T476" s="1376">
        <f t="shared" si="15"/>
        <v>0</v>
      </c>
      <c r="U476" s="1349" t="s">
        <v>34</v>
      </c>
      <c r="V476" s="1228"/>
      <c r="W476" s="799"/>
    </row>
    <row r="477" spans="1:23" ht="22.95" customHeight="1" x14ac:dyDescent="0.4">
      <c r="A477" s="788">
        <v>476</v>
      </c>
      <c r="B477" s="198" t="s">
        <v>2616</v>
      </c>
      <c r="C477" s="246" t="s">
        <v>24</v>
      </c>
      <c r="D477" s="1134">
        <v>3813</v>
      </c>
      <c r="E477" s="246" t="s">
        <v>3310</v>
      </c>
      <c r="F477" s="246" t="s">
        <v>3311</v>
      </c>
      <c r="G477" s="1381">
        <v>3931</v>
      </c>
      <c r="H477" s="246" t="s">
        <v>3275</v>
      </c>
      <c r="I477" s="246" t="s">
        <v>881</v>
      </c>
      <c r="J477" s="210" t="s">
        <v>111</v>
      </c>
      <c r="K477" s="649" t="s">
        <v>110</v>
      </c>
      <c r="L477" s="1147">
        <v>0.5</v>
      </c>
      <c r="M477" s="1387"/>
      <c r="N477" s="1309" t="s">
        <v>3315</v>
      </c>
      <c r="O477" s="767"/>
      <c r="P477" s="1376">
        <v>1</v>
      </c>
      <c r="Q477" s="1396">
        <v>0.2</v>
      </c>
      <c r="R477" s="1376"/>
      <c r="S477" s="234">
        <f t="shared" si="14"/>
        <v>0</v>
      </c>
      <c r="T477" s="1376">
        <f t="shared" si="15"/>
        <v>0</v>
      </c>
      <c r="U477" s="1349" t="s">
        <v>34</v>
      </c>
      <c r="V477" s="1228"/>
      <c r="W477" s="799"/>
    </row>
    <row r="478" spans="1:23" ht="22.95" customHeight="1" x14ac:dyDescent="0.4">
      <c r="A478" s="788">
        <v>477</v>
      </c>
      <c r="B478" s="236" t="s">
        <v>2616</v>
      </c>
      <c r="C478" s="187" t="s">
        <v>24</v>
      </c>
      <c r="D478" s="1130">
        <v>6458</v>
      </c>
      <c r="E478" s="187" t="s">
        <v>3316</v>
      </c>
      <c r="F478" s="187" t="s">
        <v>3317</v>
      </c>
      <c r="G478" s="795">
        <v>3931</v>
      </c>
      <c r="H478" s="187" t="s">
        <v>3275</v>
      </c>
      <c r="I478" s="187" t="s">
        <v>881</v>
      </c>
      <c r="J478" s="653" t="s">
        <v>58</v>
      </c>
      <c r="K478" s="653" t="s">
        <v>57</v>
      </c>
      <c r="L478" s="1193">
        <v>0.5</v>
      </c>
      <c r="M478" s="1377"/>
      <c r="N478" s="988" t="s">
        <v>3318</v>
      </c>
      <c r="O478" s="749"/>
      <c r="P478" s="1339">
        <v>1</v>
      </c>
      <c r="Q478" s="1394">
        <v>0.3</v>
      </c>
      <c r="R478" s="1339"/>
      <c r="S478" s="195">
        <f t="shared" si="14"/>
        <v>0</v>
      </c>
      <c r="T478" s="196">
        <f t="shared" si="15"/>
        <v>0</v>
      </c>
      <c r="U478" s="1339" t="s">
        <v>34</v>
      </c>
      <c r="V478" s="1340">
        <f>SUM(T478:T485)%</f>
        <v>0</v>
      </c>
      <c r="W478" s="1380"/>
    </row>
    <row r="479" spans="1:23" ht="22.95" customHeight="1" x14ac:dyDescent="0.4">
      <c r="A479" s="788">
        <v>478</v>
      </c>
      <c r="B479" s="198" t="s">
        <v>2616</v>
      </c>
      <c r="C479" s="246" t="s">
        <v>24</v>
      </c>
      <c r="D479" s="1134">
        <v>6458</v>
      </c>
      <c r="E479" s="246" t="s">
        <v>3316</v>
      </c>
      <c r="F479" s="246" t="s">
        <v>3317</v>
      </c>
      <c r="G479" s="1381">
        <v>3931</v>
      </c>
      <c r="H479" s="246" t="s">
        <v>3275</v>
      </c>
      <c r="I479" s="246" t="s">
        <v>881</v>
      </c>
      <c r="J479" s="79" t="s">
        <v>58</v>
      </c>
      <c r="K479" s="79" t="s">
        <v>57</v>
      </c>
      <c r="L479" s="1196">
        <v>0.5</v>
      </c>
      <c r="M479" s="1382"/>
      <c r="N479" s="990" t="s">
        <v>3319</v>
      </c>
      <c r="O479" s="757"/>
      <c r="P479" s="1341">
        <v>1</v>
      </c>
      <c r="Q479" s="1342">
        <v>0.2</v>
      </c>
      <c r="R479" s="1341"/>
      <c r="S479" s="206">
        <f t="shared" si="14"/>
        <v>0</v>
      </c>
      <c r="T479" s="207">
        <f t="shared" si="15"/>
        <v>0</v>
      </c>
      <c r="U479" s="1341" t="s">
        <v>34</v>
      </c>
      <c r="V479" s="1228"/>
      <c r="W479" s="799"/>
    </row>
    <row r="480" spans="1:23" ht="22.95" customHeight="1" x14ac:dyDescent="0.4">
      <c r="A480" s="788">
        <v>479</v>
      </c>
      <c r="B480" s="198" t="s">
        <v>2616</v>
      </c>
      <c r="C480" s="246" t="s">
        <v>24</v>
      </c>
      <c r="D480" s="1134">
        <v>6458</v>
      </c>
      <c r="E480" s="246" t="s">
        <v>3316</v>
      </c>
      <c r="F480" s="246" t="s">
        <v>3317</v>
      </c>
      <c r="G480" s="1381">
        <v>3931</v>
      </c>
      <c r="H480" s="246" t="s">
        <v>3275</v>
      </c>
      <c r="I480" s="246" t="s">
        <v>881</v>
      </c>
      <c r="J480" s="79" t="s">
        <v>58</v>
      </c>
      <c r="K480" s="79" t="s">
        <v>57</v>
      </c>
      <c r="L480" s="1201">
        <v>0.5</v>
      </c>
      <c r="M480" s="1406"/>
      <c r="N480" s="990" t="s">
        <v>3320</v>
      </c>
      <c r="O480" s="757"/>
      <c r="P480" s="1341">
        <v>1</v>
      </c>
      <c r="Q480" s="1344">
        <v>0.3</v>
      </c>
      <c r="R480" s="1341"/>
      <c r="S480" s="647">
        <f t="shared" si="14"/>
        <v>0</v>
      </c>
      <c r="T480" s="764">
        <f t="shared" si="15"/>
        <v>0</v>
      </c>
      <c r="U480" s="1345" t="s">
        <v>34</v>
      </c>
      <c r="V480" s="1228"/>
      <c r="W480" s="799"/>
    </row>
    <row r="481" spans="1:23" ht="22.95" customHeight="1" x14ac:dyDescent="0.4">
      <c r="A481" s="788">
        <v>480</v>
      </c>
      <c r="B481" s="198" t="s">
        <v>2616</v>
      </c>
      <c r="C481" s="246" t="s">
        <v>24</v>
      </c>
      <c r="D481" s="1134">
        <v>6458</v>
      </c>
      <c r="E481" s="246" t="s">
        <v>3316</v>
      </c>
      <c r="F481" s="246" t="s">
        <v>3317</v>
      </c>
      <c r="G481" s="1381">
        <v>3931</v>
      </c>
      <c r="H481" s="246" t="s">
        <v>3275</v>
      </c>
      <c r="I481" s="246" t="s">
        <v>881</v>
      </c>
      <c r="J481" s="79" t="s">
        <v>58</v>
      </c>
      <c r="K481" s="79" t="s">
        <v>57</v>
      </c>
      <c r="L481" s="1201">
        <v>0.5</v>
      </c>
      <c r="M481" s="1406"/>
      <c r="N481" s="990" t="s">
        <v>3321</v>
      </c>
      <c r="O481" s="757"/>
      <c r="P481" s="1341">
        <v>1</v>
      </c>
      <c r="Q481" s="1344">
        <v>0.2</v>
      </c>
      <c r="R481" s="1341"/>
      <c r="S481" s="647">
        <f t="shared" si="14"/>
        <v>0</v>
      </c>
      <c r="T481" s="764">
        <f t="shared" si="15"/>
        <v>0</v>
      </c>
      <c r="U481" s="1345" t="s">
        <v>34</v>
      </c>
      <c r="V481" s="1228"/>
      <c r="W481" s="799"/>
    </row>
    <row r="482" spans="1:23" ht="22.95" customHeight="1" x14ac:dyDescent="0.4">
      <c r="A482" s="788">
        <v>481</v>
      </c>
      <c r="B482" s="198" t="s">
        <v>2616</v>
      </c>
      <c r="C482" s="246" t="s">
        <v>24</v>
      </c>
      <c r="D482" s="1134">
        <v>6458</v>
      </c>
      <c r="E482" s="246" t="s">
        <v>3316</v>
      </c>
      <c r="F482" s="246" t="s">
        <v>3317</v>
      </c>
      <c r="G482" s="1381">
        <v>3931</v>
      </c>
      <c r="H482" s="246" t="s">
        <v>3275</v>
      </c>
      <c r="I482" s="246" t="s">
        <v>881</v>
      </c>
      <c r="J482" s="210" t="s">
        <v>111</v>
      </c>
      <c r="K482" s="649" t="s">
        <v>110</v>
      </c>
      <c r="L482" s="1063">
        <v>0.5</v>
      </c>
      <c r="M482" s="1389"/>
      <c r="N482" s="1013" t="s">
        <v>3322</v>
      </c>
      <c r="O482" s="767"/>
      <c r="P482" s="1347">
        <v>1</v>
      </c>
      <c r="Q482" s="1348">
        <v>0.25</v>
      </c>
      <c r="R482" s="1347"/>
      <c r="S482" s="222">
        <f t="shared" si="14"/>
        <v>0</v>
      </c>
      <c r="T482" s="765">
        <f t="shared" si="15"/>
        <v>0</v>
      </c>
      <c r="U482" s="1347" t="s">
        <v>34</v>
      </c>
      <c r="V482" s="1228"/>
      <c r="W482" s="799"/>
    </row>
    <row r="483" spans="1:23" ht="22.95" customHeight="1" x14ac:dyDescent="0.4">
      <c r="A483" s="788">
        <v>482</v>
      </c>
      <c r="B483" s="198" t="s">
        <v>2616</v>
      </c>
      <c r="C483" s="246" t="s">
        <v>24</v>
      </c>
      <c r="D483" s="1134">
        <v>6458</v>
      </c>
      <c r="E483" s="246" t="s">
        <v>3316</v>
      </c>
      <c r="F483" s="246" t="s">
        <v>3317</v>
      </c>
      <c r="G483" s="1381">
        <v>3931</v>
      </c>
      <c r="H483" s="246" t="s">
        <v>3275</v>
      </c>
      <c r="I483" s="246" t="s">
        <v>881</v>
      </c>
      <c r="J483" s="210" t="s">
        <v>111</v>
      </c>
      <c r="K483" s="649" t="s">
        <v>110</v>
      </c>
      <c r="L483" s="1063">
        <v>0.5</v>
      </c>
      <c r="M483" s="1389"/>
      <c r="N483" s="1013" t="s">
        <v>3323</v>
      </c>
      <c r="O483" s="767"/>
      <c r="P483" s="1347">
        <v>1</v>
      </c>
      <c r="Q483" s="1348">
        <v>0.25</v>
      </c>
      <c r="R483" s="1347"/>
      <c r="S483" s="222">
        <f t="shared" si="14"/>
        <v>0</v>
      </c>
      <c r="T483" s="765">
        <f t="shared" si="15"/>
        <v>0</v>
      </c>
      <c r="U483" s="1347" t="s">
        <v>34</v>
      </c>
      <c r="V483" s="1228"/>
      <c r="W483" s="799"/>
    </row>
    <row r="484" spans="1:23" ht="22.95" customHeight="1" x14ac:dyDescent="0.4">
      <c r="A484" s="788">
        <v>483</v>
      </c>
      <c r="B484" s="198" t="s">
        <v>2616</v>
      </c>
      <c r="C484" s="246" t="s">
        <v>24</v>
      </c>
      <c r="D484" s="1134">
        <v>6458</v>
      </c>
      <c r="E484" s="246" t="s">
        <v>3316</v>
      </c>
      <c r="F484" s="246" t="s">
        <v>3317</v>
      </c>
      <c r="G484" s="1381">
        <v>3931</v>
      </c>
      <c r="H484" s="246" t="s">
        <v>3275</v>
      </c>
      <c r="I484" s="246" t="s">
        <v>881</v>
      </c>
      <c r="J484" s="210" t="s">
        <v>111</v>
      </c>
      <c r="K484" s="649" t="s">
        <v>110</v>
      </c>
      <c r="L484" s="1063">
        <v>0.5</v>
      </c>
      <c r="M484" s="1389"/>
      <c r="N484" s="1013" t="s">
        <v>3324</v>
      </c>
      <c r="O484" s="767"/>
      <c r="P484" s="1347">
        <v>1</v>
      </c>
      <c r="Q484" s="1348">
        <v>0.25</v>
      </c>
      <c r="R484" s="1347"/>
      <c r="S484" s="222">
        <f t="shared" si="14"/>
        <v>0</v>
      </c>
      <c r="T484" s="765">
        <f t="shared" si="15"/>
        <v>0</v>
      </c>
      <c r="U484" s="1347" t="s">
        <v>34</v>
      </c>
      <c r="V484" s="1228"/>
      <c r="W484" s="799"/>
    </row>
    <row r="485" spans="1:23" ht="22.95" customHeight="1" x14ac:dyDescent="0.4">
      <c r="A485" s="788">
        <v>484</v>
      </c>
      <c r="B485" s="198" t="s">
        <v>2616</v>
      </c>
      <c r="C485" s="246" t="s">
        <v>24</v>
      </c>
      <c r="D485" s="1134">
        <v>6458</v>
      </c>
      <c r="E485" s="246" t="s">
        <v>3316</v>
      </c>
      <c r="F485" s="246" t="s">
        <v>3317</v>
      </c>
      <c r="G485" s="1381">
        <v>3931</v>
      </c>
      <c r="H485" s="246" t="s">
        <v>3275</v>
      </c>
      <c r="I485" s="246" t="s">
        <v>881</v>
      </c>
      <c r="J485" s="210" t="s">
        <v>111</v>
      </c>
      <c r="K485" s="649" t="s">
        <v>110</v>
      </c>
      <c r="L485" s="1063">
        <v>0.5</v>
      </c>
      <c r="M485" s="1389"/>
      <c r="N485" s="1013" t="s">
        <v>3325</v>
      </c>
      <c r="O485" s="767"/>
      <c r="P485" s="673">
        <v>1</v>
      </c>
      <c r="Q485" s="1348">
        <v>0.25</v>
      </c>
      <c r="R485" s="673"/>
      <c r="S485" s="222">
        <f t="shared" si="14"/>
        <v>0</v>
      </c>
      <c r="T485" s="765">
        <f t="shared" si="15"/>
        <v>0</v>
      </c>
      <c r="U485" s="1347" t="s">
        <v>34</v>
      </c>
      <c r="V485" s="1228"/>
      <c r="W485" s="799"/>
    </row>
    <row r="486" spans="1:23" ht="22.95" customHeight="1" x14ac:dyDescent="0.4">
      <c r="A486" s="788">
        <v>485</v>
      </c>
      <c r="B486" s="236" t="s">
        <v>2616</v>
      </c>
      <c r="C486" s="187" t="s">
        <v>24</v>
      </c>
      <c r="D486" s="1130">
        <v>6370</v>
      </c>
      <c r="E486" s="187" t="s">
        <v>3326</v>
      </c>
      <c r="F486" s="187" t="s">
        <v>3327</v>
      </c>
      <c r="G486" s="1165">
        <v>3931</v>
      </c>
      <c r="H486" s="187" t="s">
        <v>3275</v>
      </c>
      <c r="I486" s="187" t="s">
        <v>881</v>
      </c>
      <c r="J486" s="653" t="s">
        <v>58</v>
      </c>
      <c r="K486" s="653" t="s">
        <v>57</v>
      </c>
      <c r="L486" s="1193">
        <v>0.5</v>
      </c>
      <c r="M486" s="1407"/>
      <c r="N486" s="1402" t="s">
        <v>3328</v>
      </c>
      <c r="O486" s="952"/>
      <c r="P486" s="1378">
        <v>0.8</v>
      </c>
      <c r="Q486" s="1379">
        <v>0.25</v>
      </c>
      <c r="R486" s="1378"/>
      <c r="S486" s="195">
        <f t="shared" si="14"/>
        <v>0</v>
      </c>
      <c r="T486" s="196">
        <f t="shared" si="15"/>
        <v>0</v>
      </c>
      <c r="U486" s="1339" t="s">
        <v>34</v>
      </c>
      <c r="V486" s="1340">
        <f>SUM(T486:T495)%</f>
        <v>0</v>
      </c>
      <c r="W486" s="1380"/>
    </row>
    <row r="487" spans="1:23" ht="22.95" customHeight="1" x14ac:dyDescent="0.4">
      <c r="A487" s="788">
        <v>486</v>
      </c>
      <c r="B487" s="198" t="s">
        <v>2616</v>
      </c>
      <c r="C487" s="246" t="s">
        <v>24</v>
      </c>
      <c r="D487" s="1134">
        <v>6370</v>
      </c>
      <c r="E487" s="246" t="s">
        <v>3326</v>
      </c>
      <c r="F487" s="246" t="s">
        <v>3327</v>
      </c>
      <c r="G487" s="1170">
        <v>3931</v>
      </c>
      <c r="H487" s="246" t="s">
        <v>3275</v>
      </c>
      <c r="I487" s="246" t="s">
        <v>881</v>
      </c>
      <c r="J487" s="79" t="s">
        <v>58</v>
      </c>
      <c r="K487" s="79" t="s">
        <v>57</v>
      </c>
      <c r="L487" s="1196">
        <v>0.5</v>
      </c>
      <c r="M487" s="821"/>
      <c r="N487" s="822" t="s">
        <v>3329</v>
      </c>
      <c r="O487" s="819"/>
      <c r="P487" s="1385">
        <v>1</v>
      </c>
      <c r="Q487" s="1384">
        <v>0.1</v>
      </c>
      <c r="R487" s="1385"/>
      <c r="S487" s="206">
        <f t="shared" si="14"/>
        <v>0</v>
      </c>
      <c r="T487" s="207">
        <f t="shared" si="15"/>
        <v>0</v>
      </c>
      <c r="U487" s="1341" t="s">
        <v>34</v>
      </c>
      <c r="V487" s="1228"/>
      <c r="W487" s="799"/>
    </row>
    <row r="488" spans="1:23" ht="22.95" customHeight="1" x14ac:dyDescent="0.4">
      <c r="A488" s="788">
        <v>487</v>
      </c>
      <c r="B488" s="198" t="s">
        <v>2616</v>
      </c>
      <c r="C488" s="246" t="s">
        <v>24</v>
      </c>
      <c r="D488" s="1134">
        <v>6370</v>
      </c>
      <c r="E488" s="246" t="s">
        <v>3326</v>
      </c>
      <c r="F488" s="246" t="s">
        <v>3327</v>
      </c>
      <c r="G488" s="1170">
        <v>3931</v>
      </c>
      <c r="H488" s="246" t="s">
        <v>3275</v>
      </c>
      <c r="I488" s="246" t="s">
        <v>881</v>
      </c>
      <c r="J488" s="79" t="s">
        <v>58</v>
      </c>
      <c r="K488" s="79" t="s">
        <v>57</v>
      </c>
      <c r="L488" s="1196">
        <v>0.5</v>
      </c>
      <c r="M488" s="821"/>
      <c r="N488" s="822" t="s">
        <v>3330</v>
      </c>
      <c r="O488" s="819"/>
      <c r="P488" s="1386">
        <v>1</v>
      </c>
      <c r="Q488" s="1384">
        <v>0.2</v>
      </c>
      <c r="R488" s="1386"/>
      <c r="S488" s="206">
        <f t="shared" si="14"/>
        <v>0</v>
      </c>
      <c r="T488" s="207">
        <f t="shared" si="15"/>
        <v>0</v>
      </c>
      <c r="U488" s="1341" t="s">
        <v>34</v>
      </c>
      <c r="V488" s="1228"/>
      <c r="W488" s="799"/>
    </row>
    <row r="489" spans="1:23" ht="22.95" customHeight="1" x14ac:dyDescent="0.4">
      <c r="A489" s="788">
        <v>488</v>
      </c>
      <c r="B489" s="198" t="s">
        <v>2616</v>
      </c>
      <c r="C489" s="246" t="s">
        <v>24</v>
      </c>
      <c r="D489" s="1134">
        <v>6370</v>
      </c>
      <c r="E489" s="246" t="s">
        <v>3326</v>
      </c>
      <c r="F489" s="246" t="s">
        <v>3327</v>
      </c>
      <c r="G489" s="1170">
        <v>3931</v>
      </c>
      <c r="H489" s="246" t="s">
        <v>3275</v>
      </c>
      <c r="I489" s="246" t="s">
        <v>881</v>
      </c>
      <c r="J489" s="79" t="s">
        <v>58</v>
      </c>
      <c r="K489" s="79" t="s">
        <v>57</v>
      </c>
      <c r="L489" s="1196">
        <v>0.5</v>
      </c>
      <c r="M489" s="821"/>
      <c r="N489" s="822" t="s">
        <v>3331</v>
      </c>
      <c r="O489" s="819"/>
      <c r="P489" s="1386">
        <v>1</v>
      </c>
      <c r="Q489" s="1384">
        <v>0.25</v>
      </c>
      <c r="R489" s="1386"/>
      <c r="S489" s="206">
        <f t="shared" si="14"/>
        <v>0</v>
      </c>
      <c r="T489" s="207">
        <f t="shared" si="15"/>
        <v>0</v>
      </c>
      <c r="U489" s="1341" t="s">
        <v>34</v>
      </c>
      <c r="V489" s="1228"/>
      <c r="W489" s="799"/>
    </row>
    <row r="490" spans="1:23" ht="22.95" customHeight="1" x14ac:dyDescent="0.4">
      <c r="A490" s="788">
        <v>489</v>
      </c>
      <c r="B490" s="198" t="s">
        <v>2616</v>
      </c>
      <c r="C490" s="246" t="s">
        <v>24</v>
      </c>
      <c r="D490" s="1134">
        <v>6370</v>
      </c>
      <c r="E490" s="246" t="s">
        <v>3326</v>
      </c>
      <c r="F490" s="246" t="s">
        <v>3327</v>
      </c>
      <c r="G490" s="1170">
        <v>3931</v>
      </c>
      <c r="H490" s="246" t="s">
        <v>3275</v>
      </c>
      <c r="I490" s="246" t="s">
        <v>881</v>
      </c>
      <c r="J490" s="79" t="s">
        <v>58</v>
      </c>
      <c r="K490" s="79" t="s">
        <v>57</v>
      </c>
      <c r="L490" s="1196">
        <v>0.5</v>
      </c>
      <c r="M490" s="821"/>
      <c r="N490" s="822" t="s">
        <v>3332</v>
      </c>
      <c r="O490" s="819"/>
      <c r="P490" s="1386">
        <v>1</v>
      </c>
      <c r="Q490" s="1384">
        <v>0.1</v>
      </c>
      <c r="R490" s="1386"/>
      <c r="S490" s="206">
        <f t="shared" si="14"/>
        <v>0</v>
      </c>
      <c r="T490" s="207">
        <f t="shared" si="15"/>
        <v>0</v>
      </c>
      <c r="U490" s="1341" t="s">
        <v>34</v>
      </c>
      <c r="V490" s="1228"/>
      <c r="W490" s="799"/>
    </row>
    <row r="491" spans="1:23" ht="22.95" customHeight="1" x14ac:dyDescent="0.4">
      <c r="A491" s="788">
        <v>490</v>
      </c>
      <c r="B491" s="198" t="s">
        <v>2616</v>
      </c>
      <c r="C491" s="246" t="s">
        <v>24</v>
      </c>
      <c r="D491" s="1134">
        <v>6370</v>
      </c>
      <c r="E491" s="246" t="s">
        <v>3326</v>
      </c>
      <c r="F491" s="246" t="s">
        <v>3327</v>
      </c>
      <c r="G491" s="1170">
        <v>3931</v>
      </c>
      <c r="H491" s="246" t="s">
        <v>3275</v>
      </c>
      <c r="I491" s="246" t="s">
        <v>881</v>
      </c>
      <c r="J491" s="79" t="s">
        <v>58</v>
      </c>
      <c r="K491" s="79" t="s">
        <v>57</v>
      </c>
      <c r="L491" s="1196">
        <v>0.5</v>
      </c>
      <c r="M491" s="821"/>
      <c r="N491" s="822" t="s">
        <v>3333</v>
      </c>
      <c r="O491" s="819"/>
      <c r="P491" s="1386">
        <v>1</v>
      </c>
      <c r="Q491" s="1384">
        <v>0.1</v>
      </c>
      <c r="R491" s="1386"/>
      <c r="S491" s="206">
        <f t="shared" si="14"/>
        <v>0</v>
      </c>
      <c r="T491" s="207">
        <f t="shared" si="15"/>
        <v>0</v>
      </c>
      <c r="U491" s="1341" t="s">
        <v>34</v>
      </c>
      <c r="V491" s="1228"/>
      <c r="W491" s="799"/>
    </row>
    <row r="492" spans="1:23" ht="22.95" customHeight="1" x14ac:dyDescent="0.4">
      <c r="A492" s="788">
        <v>491</v>
      </c>
      <c r="B492" s="198" t="s">
        <v>2616</v>
      </c>
      <c r="C492" s="246" t="s">
        <v>24</v>
      </c>
      <c r="D492" s="1134">
        <v>6370</v>
      </c>
      <c r="E492" s="246" t="s">
        <v>3326</v>
      </c>
      <c r="F492" s="246" t="s">
        <v>3327</v>
      </c>
      <c r="G492" s="1170">
        <v>3931</v>
      </c>
      <c r="H492" s="246" t="s">
        <v>3275</v>
      </c>
      <c r="I492" s="246" t="s">
        <v>881</v>
      </c>
      <c r="J492" s="210" t="s">
        <v>111</v>
      </c>
      <c r="K492" s="649" t="s">
        <v>110</v>
      </c>
      <c r="L492" s="1063">
        <v>0.5</v>
      </c>
      <c r="M492" s="766"/>
      <c r="N492" s="1309" t="s">
        <v>3334</v>
      </c>
      <c r="O492" s="767"/>
      <c r="P492" s="1390">
        <v>0.7</v>
      </c>
      <c r="Q492" s="1388">
        <v>0.3</v>
      </c>
      <c r="R492" s="1390"/>
      <c r="S492" s="222">
        <f t="shared" si="14"/>
        <v>0</v>
      </c>
      <c r="T492" s="765">
        <f t="shared" si="15"/>
        <v>0</v>
      </c>
      <c r="U492" s="1347" t="s">
        <v>34</v>
      </c>
      <c r="V492" s="1228"/>
      <c r="W492" s="799"/>
    </row>
    <row r="493" spans="1:23" ht="22.95" customHeight="1" x14ac:dyDescent="0.4">
      <c r="A493" s="788">
        <v>492</v>
      </c>
      <c r="B493" s="198" t="s">
        <v>2616</v>
      </c>
      <c r="C493" s="246" t="s">
        <v>24</v>
      </c>
      <c r="D493" s="1134">
        <v>6370</v>
      </c>
      <c r="E493" s="246" t="s">
        <v>3326</v>
      </c>
      <c r="F493" s="246" t="s">
        <v>3327</v>
      </c>
      <c r="G493" s="1170">
        <v>3931</v>
      </c>
      <c r="H493" s="246" t="s">
        <v>3275</v>
      </c>
      <c r="I493" s="246" t="s">
        <v>881</v>
      </c>
      <c r="J493" s="210" t="s">
        <v>111</v>
      </c>
      <c r="K493" s="649" t="s">
        <v>110</v>
      </c>
      <c r="L493" s="1063">
        <v>0.5</v>
      </c>
      <c r="M493" s="766"/>
      <c r="N493" s="1309" t="s">
        <v>3335</v>
      </c>
      <c r="O493" s="767"/>
      <c r="P493" s="1390">
        <v>1</v>
      </c>
      <c r="Q493" s="1388">
        <v>0.3</v>
      </c>
      <c r="R493" s="1390"/>
      <c r="S493" s="222">
        <f t="shared" si="14"/>
        <v>0</v>
      </c>
      <c r="T493" s="765">
        <f t="shared" si="15"/>
        <v>0</v>
      </c>
      <c r="U493" s="1347" t="s">
        <v>34</v>
      </c>
      <c r="V493" s="1228"/>
      <c r="W493" s="799"/>
    </row>
    <row r="494" spans="1:23" ht="22.95" customHeight="1" x14ac:dyDescent="0.4">
      <c r="A494" s="788">
        <v>493</v>
      </c>
      <c r="B494" s="198" t="s">
        <v>2616</v>
      </c>
      <c r="C494" s="246" t="s">
        <v>24</v>
      </c>
      <c r="D494" s="1134">
        <v>6370</v>
      </c>
      <c r="E494" s="246" t="s">
        <v>3326</v>
      </c>
      <c r="F494" s="246" t="s">
        <v>3327</v>
      </c>
      <c r="G494" s="1170">
        <v>3931</v>
      </c>
      <c r="H494" s="246" t="s">
        <v>3275</v>
      </c>
      <c r="I494" s="246" t="s">
        <v>881</v>
      </c>
      <c r="J494" s="210" t="s">
        <v>111</v>
      </c>
      <c r="K494" s="649" t="s">
        <v>110</v>
      </c>
      <c r="L494" s="1063">
        <v>0.5</v>
      </c>
      <c r="M494" s="766"/>
      <c r="N494" s="1309" t="s">
        <v>3336</v>
      </c>
      <c r="O494" s="767"/>
      <c r="P494" s="1390">
        <v>1</v>
      </c>
      <c r="Q494" s="1388">
        <v>0.2</v>
      </c>
      <c r="R494" s="1390"/>
      <c r="S494" s="222">
        <f t="shared" si="14"/>
        <v>0</v>
      </c>
      <c r="T494" s="765">
        <f t="shared" si="15"/>
        <v>0</v>
      </c>
      <c r="U494" s="1347" t="s">
        <v>34</v>
      </c>
      <c r="V494" s="1228"/>
      <c r="W494" s="799"/>
    </row>
    <row r="495" spans="1:23" ht="22.95" customHeight="1" x14ac:dyDescent="0.4">
      <c r="A495" s="788">
        <v>494</v>
      </c>
      <c r="B495" s="198" t="s">
        <v>2616</v>
      </c>
      <c r="C495" s="246" t="s">
        <v>24</v>
      </c>
      <c r="D495" s="1134">
        <v>6370</v>
      </c>
      <c r="E495" s="246" t="s">
        <v>3326</v>
      </c>
      <c r="F495" s="246" t="s">
        <v>3327</v>
      </c>
      <c r="G495" s="1170">
        <v>3931</v>
      </c>
      <c r="H495" s="246" t="s">
        <v>3275</v>
      </c>
      <c r="I495" s="246" t="s">
        <v>881</v>
      </c>
      <c r="J495" s="210" t="s">
        <v>111</v>
      </c>
      <c r="K495" s="649" t="s">
        <v>110</v>
      </c>
      <c r="L495" s="1063">
        <v>0.5</v>
      </c>
      <c r="M495" s="766"/>
      <c r="N495" s="1309" t="s">
        <v>3337</v>
      </c>
      <c r="O495" s="767"/>
      <c r="P495" s="1390">
        <v>0.7</v>
      </c>
      <c r="Q495" s="1388">
        <v>0.2</v>
      </c>
      <c r="R495" s="1390"/>
      <c r="S495" s="222">
        <f t="shared" si="14"/>
        <v>0</v>
      </c>
      <c r="T495" s="765">
        <f t="shared" si="15"/>
        <v>0</v>
      </c>
      <c r="U495" s="1347" t="s">
        <v>34</v>
      </c>
      <c r="V495" s="1228"/>
      <c r="W495" s="799"/>
    </row>
    <row r="496" spans="1:23" ht="22.95" customHeight="1" x14ac:dyDescent="0.4">
      <c r="A496" s="788">
        <v>495</v>
      </c>
      <c r="B496" s="236" t="s">
        <v>2616</v>
      </c>
      <c r="C496" s="187" t="s">
        <v>24</v>
      </c>
      <c r="D496" s="1200">
        <v>3884</v>
      </c>
      <c r="E496" s="187" t="s">
        <v>3338</v>
      </c>
      <c r="F496" s="187" t="s">
        <v>3317</v>
      </c>
      <c r="G496" s="795">
        <v>3931</v>
      </c>
      <c r="H496" s="187" t="s">
        <v>3275</v>
      </c>
      <c r="I496" s="187" t="s">
        <v>881</v>
      </c>
      <c r="J496" s="653" t="s">
        <v>58</v>
      </c>
      <c r="K496" s="653" t="s">
        <v>57</v>
      </c>
      <c r="L496" s="1054">
        <v>0.5</v>
      </c>
      <c r="M496" s="1408"/>
      <c r="N496" s="988" t="s">
        <v>3321</v>
      </c>
      <c r="O496" s="749"/>
      <c r="P496" s="1339">
        <v>1</v>
      </c>
      <c r="Q496" s="1409">
        <v>0.1</v>
      </c>
      <c r="R496" s="1339"/>
      <c r="S496" s="644">
        <f t="shared" si="14"/>
        <v>0</v>
      </c>
      <c r="T496" s="834">
        <f t="shared" si="15"/>
        <v>0</v>
      </c>
      <c r="U496" s="1380" t="s">
        <v>34</v>
      </c>
      <c r="V496" s="1340">
        <f>SUM(T496:T505)%</f>
        <v>0</v>
      </c>
      <c r="W496" s="1380"/>
    </row>
    <row r="497" spans="1:23" ht="22.95" customHeight="1" x14ac:dyDescent="0.4">
      <c r="A497" s="788">
        <v>496</v>
      </c>
      <c r="B497" s="198" t="s">
        <v>2616</v>
      </c>
      <c r="C497" s="246" t="s">
        <v>24</v>
      </c>
      <c r="D497" s="1306">
        <v>3884</v>
      </c>
      <c r="E497" s="246" t="s">
        <v>3338</v>
      </c>
      <c r="F497" s="246" t="s">
        <v>3317</v>
      </c>
      <c r="G497" s="1381">
        <v>3931</v>
      </c>
      <c r="H497" s="246" t="s">
        <v>3275</v>
      </c>
      <c r="I497" s="246" t="s">
        <v>881</v>
      </c>
      <c r="J497" s="79" t="s">
        <v>58</v>
      </c>
      <c r="K497" s="79" t="s">
        <v>57</v>
      </c>
      <c r="L497" s="1201">
        <v>0.5</v>
      </c>
      <c r="M497" s="1406"/>
      <c r="N497" s="990" t="s">
        <v>3339</v>
      </c>
      <c r="O497" s="757"/>
      <c r="P497" s="1341">
        <v>1</v>
      </c>
      <c r="Q497" s="1344">
        <v>0.2</v>
      </c>
      <c r="R497" s="1341"/>
      <c r="S497" s="647">
        <f t="shared" si="14"/>
        <v>0</v>
      </c>
      <c r="T497" s="764">
        <f t="shared" si="15"/>
        <v>0</v>
      </c>
      <c r="U497" s="1345" t="s">
        <v>34</v>
      </c>
      <c r="V497" s="1228"/>
      <c r="W497" s="799"/>
    </row>
    <row r="498" spans="1:23" ht="22.95" customHeight="1" x14ac:dyDescent="0.4">
      <c r="A498" s="788">
        <v>497</v>
      </c>
      <c r="B498" s="198" t="s">
        <v>2616</v>
      </c>
      <c r="C498" s="246" t="s">
        <v>24</v>
      </c>
      <c r="D498" s="1306">
        <v>3884</v>
      </c>
      <c r="E498" s="246" t="s">
        <v>3338</v>
      </c>
      <c r="F498" s="246" t="s">
        <v>3317</v>
      </c>
      <c r="G498" s="1381">
        <v>3931</v>
      </c>
      <c r="H498" s="246" t="s">
        <v>3275</v>
      </c>
      <c r="I498" s="246" t="s">
        <v>881</v>
      </c>
      <c r="J498" s="79" t="s">
        <v>58</v>
      </c>
      <c r="K498" s="79" t="s">
        <v>57</v>
      </c>
      <c r="L498" s="1201">
        <v>0.5</v>
      </c>
      <c r="M498" s="1406"/>
      <c r="N498" s="990" t="s">
        <v>3340</v>
      </c>
      <c r="O498" s="757"/>
      <c r="P498" s="1341">
        <v>1</v>
      </c>
      <c r="Q498" s="1344">
        <v>0.3</v>
      </c>
      <c r="R498" s="1341"/>
      <c r="S498" s="647">
        <f t="shared" si="14"/>
        <v>0</v>
      </c>
      <c r="T498" s="764">
        <f t="shared" si="15"/>
        <v>0</v>
      </c>
      <c r="U498" s="1345" t="s">
        <v>34</v>
      </c>
      <c r="V498" s="1228"/>
      <c r="W498" s="799"/>
    </row>
    <row r="499" spans="1:23" ht="22.95" customHeight="1" x14ac:dyDescent="0.4">
      <c r="A499" s="788">
        <v>498</v>
      </c>
      <c r="B499" s="198" t="s">
        <v>2616</v>
      </c>
      <c r="C499" s="246" t="s">
        <v>24</v>
      </c>
      <c r="D499" s="1306">
        <v>3884</v>
      </c>
      <c r="E499" s="246" t="s">
        <v>3338</v>
      </c>
      <c r="F499" s="246" t="s">
        <v>3317</v>
      </c>
      <c r="G499" s="1381">
        <v>3931</v>
      </c>
      <c r="H499" s="246" t="s">
        <v>3275</v>
      </c>
      <c r="I499" s="246" t="s">
        <v>881</v>
      </c>
      <c r="J499" s="79" t="s">
        <v>58</v>
      </c>
      <c r="K499" s="79" t="s">
        <v>57</v>
      </c>
      <c r="L499" s="1201">
        <v>0.5</v>
      </c>
      <c r="M499" s="1406"/>
      <c r="N499" s="990" t="s">
        <v>3341</v>
      </c>
      <c r="O499" s="757"/>
      <c r="P499" s="1341">
        <v>1</v>
      </c>
      <c r="Q499" s="1344">
        <v>0.2</v>
      </c>
      <c r="R499" s="1341"/>
      <c r="S499" s="647">
        <f t="shared" si="14"/>
        <v>0</v>
      </c>
      <c r="T499" s="764">
        <f t="shared" si="15"/>
        <v>0</v>
      </c>
      <c r="U499" s="1345" t="s">
        <v>34</v>
      </c>
      <c r="V499" s="1228"/>
      <c r="W499" s="799"/>
    </row>
    <row r="500" spans="1:23" ht="22.95" customHeight="1" x14ac:dyDescent="0.4">
      <c r="A500" s="788">
        <v>499</v>
      </c>
      <c r="B500" s="198" t="s">
        <v>2616</v>
      </c>
      <c r="C500" s="246" t="s">
        <v>24</v>
      </c>
      <c r="D500" s="1306">
        <v>3884</v>
      </c>
      <c r="E500" s="246" t="s">
        <v>3338</v>
      </c>
      <c r="F500" s="246" t="s">
        <v>3317</v>
      </c>
      <c r="G500" s="1381">
        <v>3931</v>
      </c>
      <c r="H500" s="246" t="s">
        <v>3275</v>
      </c>
      <c r="I500" s="246" t="s">
        <v>881</v>
      </c>
      <c r="J500" s="79" t="s">
        <v>58</v>
      </c>
      <c r="K500" s="79" t="s">
        <v>57</v>
      </c>
      <c r="L500" s="1201">
        <v>0.5</v>
      </c>
      <c r="M500" s="1406"/>
      <c r="N500" s="990" t="s">
        <v>3342</v>
      </c>
      <c r="O500" s="757"/>
      <c r="P500" s="1341">
        <v>1</v>
      </c>
      <c r="Q500" s="1344">
        <v>0.2</v>
      </c>
      <c r="R500" s="1341"/>
      <c r="S500" s="647">
        <f t="shared" si="14"/>
        <v>0</v>
      </c>
      <c r="T500" s="764">
        <f t="shared" si="15"/>
        <v>0</v>
      </c>
      <c r="U500" s="1345" t="s">
        <v>34</v>
      </c>
      <c r="V500" s="1228"/>
      <c r="W500" s="799"/>
    </row>
    <row r="501" spans="1:23" ht="22.95" customHeight="1" x14ac:dyDescent="0.4">
      <c r="A501" s="788">
        <v>500</v>
      </c>
      <c r="B501" s="198" t="s">
        <v>2616</v>
      </c>
      <c r="C501" s="246" t="s">
        <v>24</v>
      </c>
      <c r="D501" s="1306">
        <v>3884</v>
      </c>
      <c r="E501" s="246" t="s">
        <v>3338</v>
      </c>
      <c r="F501" s="246" t="s">
        <v>3317</v>
      </c>
      <c r="G501" s="1381">
        <v>3931</v>
      </c>
      <c r="H501" s="246" t="s">
        <v>3275</v>
      </c>
      <c r="I501" s="246" t="s">
        <v>881</v>
      </c>
      <c r="J501" s="210" t="s">
        <v>111</v>
      </c>
      <c r="K501" s="649" t="s">
        <v>110</v>
      </c>
      <c r="L501" s="1063">
        <v>0.5</v>
      </c>
      <c r="M501" s="1389"/>
      <c r="N501" s="1013" t="s">
        <v>3343</v>
      </c>
      <c r="O501" s="767"/>
      <c r="P501" s="1347">
        <v>1</v>
      </c>
      <c r="Q501" s="1348">
        <v>0.2</v>
      </c>
      <c r="R501" s="1347"/>
      <c r="S501" s="222">
        <f t="shared" si="14"/>
        <v>0</v>
      </c>
      <c r="T501" s="765">
        <f t="shared" si="15"/>
        <v>0</v>
      </c>
      <c r="U501" s="1347" t="s">
        <v>34</v>
      </c>
      <c r="V501" s="1228"/>
      <c r="W501" s="799"/>
    </row>
    <row r="502" spans="1:23" ht="22.95" customHeight="1" x14ac:dyDescent="0.4">
      <c r="A502" s="788">
        <v>501</v>
      </c>
      <c r="B502" s="198" t="s">
        <v>2616</v>
      </c>
      <c r="C502" s="246" t="s">
        <v>24</v>
      </c>
      <c r="D502" s="1306">
        <v>3884</v>
      </c>
      <c r="E502" s="246" t="s">
        <v>3338</v>
      </c>
      <c r="F502" s="246" t="s">
        <v>3317</v>
      </c>
      <c r="G502" s="1381">
        <v>3931</v>
      </c>
      <c r="H502" s="246" t="s">
        <v>3275</v>
      </c>
      <c r="I502" s="246" t="s">
        <v>881</v>
      </c>
      <c r="J502" s="210" t="s">
        <v>111</v>
      </c>
      <c r="K502" s="649" t="s">
        <v>110</v>
      </c>
      <c r="L502" s="1063">
        <v>0.5</v>
      </c>
      <c r="M502" s="1389"/>
      <c r="N502" s="1013" t="s">
        <v>3344</v>
      </c>
      <c r="O502" s="767"/>
      <c r="P502" s="1347">
        <v>1</v>
      </c>
      <c r="Q502" s="1348">
        <v>0.2</v>
      </c>
      <c r="R502" s="1347"/>
      <c r="S502" s="222">
        <f t="shared" si="14"/>
        <v>0</v>
      </c>
      <c r="T502" s="765">
        <f t="shared" si="15"/>
        <v>0</v>
      </c>
      <c r="U502" s="1347" t="s">
        <v>34</v>
      </c>
      <c r="V502" s="1228"/>
      <c r="W502" s="799"/>
    </row>
    <row r="503" spans="1:23" ht="22.95" customHeight="1" x14ac:dyDescent="0.4">
      <c r="A503" s="788">
        <v>502</v>
      </c>
      <c r="B503" s="198" t="s">
        <v>2616</v>
      </c>
      <c r="C503" s="246" t="s">
        <v>24</v>
      </c>
      <c r="D503" s="1306">
        <v>3884</v>
      </c>
      <c r="E503" s="246" t="s">
        <v>3338</v>
      </c>
      <c r="F503" s="246" t="s">
        <v>3317</v>
      </c>
      <c r="G503" s="1381">
        <v>3931</v>
      </c>
      <c r="H503" s="246" t="s">
        <v>3275</v>
      </c>
      <c r="I503" s="246" t="s">
        <v>881</v>
      </c>
      <c r="J503" s="210" t="s">
        <v>111</v>
      </c>
      <c r="K503" s="649" t="s">
        <v>110</v>
      </c>
      <c r="L503" s="1063">
        <v>0.5</v>
      </c>
      <c r="M503" s="1389"/>
      <c r="N503" s="1013" t="s">
        <v>3345</v>
      </c>
      <c r="O503" s="767"/>
      <c r="P503" s="1347">
        <v>1</v>
      </c>
      <c r="Q503" s="1348">
        <v>0.2</v>
      </c>
      <c r="R503" s="1347"/>
      <c r="S503" s="222">
        <f t="shared" si="14"/>
        <v>0</v>
      </c>
      <c r="T503" s="765">
        <f t="shared" si="15"/>
        <v>0</v>
      </c>
      <c r="U503" s="1347" t="s">
        <v>34</v>
      </c>
      <c r="V503" s="1228"/>
      <c r="W503" s="799"/>
    </row>
    <row r="504" spans="1:23" ht="22.95" customHeight="1" x14ac:dyDescent="0.4">
      <c r="A504" s="788">
        <v>503</v>
      </c>
      <c r="B504" s="198" t="s">
        <v>2616</v>
      </c>
      <c r="C504" s="246" t="s">
        <v>24</v>
      </c>
      <c r="D504" s="1306">
        <v>3884</v>
      </c>
      <c r="E504" s="246" t="s">
        <v>3338</v>
      </c>
      <c r="F504" s="246" t="s">
        <v>3317</v>
      </c>
      <c r="G504" s="1381">
        <v>3931</v>
      </c>
      <c r="H504" s="246" t="s">
        <v>3275</v>
      </c>
      <c r="I504" s="246" t="s">
        <v>881</v>
      </c>
      <c r="J504" s="210" t="s">
        <v>111</v>
      </c>
      <c r="K504" s="649" t="s">
        <v>110</v>
      </c>
      <c r="L504" s="1063">
        <v>0.5</v>
      </c>
      <c r="M504" s="1389"/>
      <c r="N504" s="1013" t="s">
        <v>3346</v>
      </c>
      <c r="O504" s="767"/>
      <c r="P504" s="1347">
        <v>1</v>
      </c>
      <c r="Q504" s="1348">
        <v>0.25</v>
      </c>
      <c r="R504" s="1347"/>
      <c r="S504" s="222">
        <f t="shared" si="14"/>
        <v>0</v>
      </c>
      <c r="T504" s="765">
        <f t="shared" si="15"/>
        <v>0</v>
      </c>
      <c r="U504" s="1347" t="s">
        <v>34</v>
      </c>
      <c r="V504" s="1228"/>
      <c r="W504" s="799"/>
    </row>
    <row r="505" spans="1:23" ht="22.95" customHeight="1" x14ac:dyDescent="0.4">
      <c r="A505" s="788">
        <v>504</v>
      </c>
      <c r="B505" s="198" t="s">
        <v>2616</v>
      </c>
      <c r="C505" s="246" t="s">
        <v>24</v>
      </c>
      <c r="D505" s="1306">
        <v>3884</v>
      </c>
      <c r="E505" s="246" t="s">
        <v>3338</v>
      </c>
      <c r="F505" s="246" t="s">
        <v>3317</v>
      </c>
      <c r="G505" s="1381">
        <v>3931</v>
      </c>
      <c r="H505" s="246" t="s">
        <v>3275</v>
      </c>
      <c r="I505" s="246" t="s">
        <v>881</v>
      </c>
      <c r="J505" s="210" t="s">
        <v>111</v>
      </c>
      <c r="K505" s="649" t="s">
        <v>110</v>
      </c>
      <c r="L505" s="1063">
        <v>0.5</v>
      </c>
      <c r="M505" s="1389"/>
      <c r="N505" s="1013" t="s">
        <v>3347</v>
      </c>
      <c r="O505" s="767"/>
      <c r="P505" s="1347">
        <v>1</v>
      </c>
      <c r="Q505" s="1348">
        <v>0.15</v>
      </c>
      <c r="R505" s="1347"/>
      <c r="S505" s="222">
        <f t="shared" si="14"/>
        <v>0</v>
      </c>
      <c r="T505" s="765">
        <f t="shared" si="15"/>
        <v>0</v>
      </c>
      <c r="U505" s="1347" t="s">
        <v>34</v>
      </c>
      <c r="V505" s="1228"/>
      <c r="W505" s="799"/>
    </row>
    <row r="506" spans="1:23" ht="22.95" customHeight="1" x14ac:dyDescent="0.4">
      <c r="A506" s="788">
        <v>505</v>
      </c>
      <c r="B506" s="236" t="s">
        <v>2616</v>
      </c>
      <c r="C506" s="187" t="s">
        <v>24</v>
      </c>
      <c r="D506" s="1334">
        <v>3612</v>
      </c>
      <c r="E506" s="187" t="s">
        <v>3348</v>
      </c>
      <c r="F506" s="187" t="s">
        <v>3349</v>
      </c>
      <c r="G506" s="795">
        <v>3644</v>
      </c>
      <c r="H506" s="187" t="s">
        <v>3214</v>
      </c>
      <c r="I506" s="187" t="s">
        <v>881</v>
      </c>
      <c r="J506" s="653" t="s">
        <v>58</v>
      </c>
      <c r="K506" s="653" t="s">
        <v>57</v>
      </c>
      <c r="L506" s="1193">
        <v>0.5</v>
      </c>
      <c r="M506" s="1377"/>
      <c r="N506" s="1402" t="s">
        <v>3350</v>
      </c>
      <c r="O506" s="749"/>
      <c r="P506" s="1339">
        <v>1</v>
      </c>
      <c r="Q506" s="1394">
        <v>0.25</v>
      </c>
      <c r="R506" s="1339"/>
      <c r="S506" s="195">
        <f t="shared" si="14"/>
        <v>0</v>
      </c>
      <c r="T506" s="196">
        <f t="shared" si="15"/>
        <v>0</v>
      </c>
      <c r="U506" s="1339" t="s">
        <v>34</v>
      </c>
      <c r="V506" s="1340">
        <f>SUM(T506:T512)%</f>
        <v>0</v>
      </c>
      <c r="W506" s="1380"/>
    </row>
    <row r="507" spans="1:23" ht="22.95" customHeight="1" x14ac:dyDescent="0.4">
      <c r="A507" s="788">
        <v>506</v>
      </c>
      <c r="B507" s="198" t="s">
        <v>2616</v>
      </c>
      <c r="C507" s="246" t="s">
        <v>24</v>
      </c>
      <c r="D507" s="1363">
        <v>3612</v>
      </c>
      <c r="E507" s="246" t="s">
        <v>3348</v>
      </c>
      <c r="F507" s="246" t="s">
        <v>3349</v>
      </c>
      <c r="G507" s="1381">
        <v>3644</v>
      </c>
      <c r="H507" s="246" t="s">
        <v>3214</v>
      </c>
      <c r="I507" s="246" t="s">
        <v>881</v>
      </c>
      <c r="J507" s="79" t="s">
        <v>58</v>
      </c>
      <c r="K507" s="79" t="s">
        <v>57</v>
      </c>
      <c r="L507" s="1196">
        <v>0.5</v>
      </c>
      <c r="M507" s="1382"/>
      <c r="N507" s="822" t="s">
        <v>3351</v>
      </c>
      <c r="O507" s="757"/>
      <c r="P507" s="1341">
        <v>1</v>
      </c>
      <c r="Q507" s="1342">
        <v>0.25</v>
      </c>
      <c r="R507" s="1341"/>
      <c r="S507" s="206">
        <f t="shared" si="14"/>
        <v>0</v>
      </c>
      <c r="T507" s="207">
        <f t="shared" si="15"/>
        <v>0</v>
      </c>
      <c r="U507" s="1341" t="s">
        <v>34</v>
      </c>
      <c r="V507" s="1228"/>
      <c r="W507" s="799"/>
    </row>
    <row r="508" spans="1:23" ht="22.95" customHeight="1" x14ac:dyDescent="0.4">
      <c r="A508" s="788">
        <v>507</v>
      </c>
      <c r="B508" s="198" t="s">
        <v>2616</v>
      </c>
      <c r="C508" s="246" t="s">
        <v>24</v>
      </c>
      <c r="D508" s="1363">
        <v>3612</v>
      </c>
      <c r="E508" s="246" t="s">
        <v>3348</v>
      </c>
      <c r="F508" s="246" t="s">
        <v>3349</v>
      </c>
      <c r="G508" s="1381">
        <v>3644</v>
      </c>
      <c r="H508" s="246" t="s">
        <v>3214</v>
      </c>
      <c r="I508" s="246" t="s">
        <v>881</v>
      </c>
      <c r="J508" s="79" t="s">
        <v>58</v>
      </c>
      <c r="K508" s="79" t="s">
        <v>57</v>
      </c>
      <c r="L508" s="1196">
        <v>0.5</v>
      </c>
      <c r="M508" s="1382"/>
      <c r="N508" s="822" t="s">
        <v>3352</v>
      </c>
      <c r="O508" s="757"/>
      <c r="P508" s="1373">
        <v>14</v>
      </c>
      <c r="Q508" s="1342">
        <v>0.25</v>
      </c>
      <c r="R508" s="1373"/>
      <c r="S508" s="206">
        <f t="shared" si="14"/>
        <v>0</v>
      </c>
      <c r="T508" s="207">
        <f t="shared" si="15"/>
        <v>0</v>
      </c>
      <c r="U508" s="1341" t="s">
        <v>83</v>
      </c>
      <c r="V508" s="1228"/>
      <c r="W508" s="799"/>
    </row>
    <row r="509" spans="1:23" ht="22.95" customHeight="1" x14ac:dyDescent="0.4">
      <c r="A509" s="788">
        <v>508</v>
      </c>
      <c r="B509" s="198" t="s">
        <v>2616</v>
      </c>
      <c r="C509" s="246" t="s">
        <v>24</v>
      </c>
      <c r="D509" s="1363">
        <v>3612</v>
      </c>
      <c r="E509" s="246" t="s">
        <v>3348</v>
      </c>
      <c r="F509" s="246" t="s">
        <v>3349</v>
      </c>
      <c r="G509" s="1381">
        <v>3644</v>
      </c>
      <c r="H509" s="246" t="s">
        <v>3214</v>
      </c>
      <c r="I509" s="246" t="s">
        <v>881</v>
      </c>
      <c r="J509" s="79" t="s">
        <v>58</v>
      </c>
      <c r="K509" s="79" t="s">
        <v>57</v>
      </c>
      <c r="L509" s="1196">
        <v>0.5</v>
      </c>
      <c r="M509" s="1382"/>
      <c r="N509" s="822" t="s">
        <v>3353</v>
      </c>
      <c r="O509" s="757"/>
      <c r="P509" s="1374">
        <v>12</v>
      </c>
      <c r="Q509" s="1342">
        <v>0.25</v>
      </c>
      <c r="R509" s="1374"/>
      <c r="S509" s="206">
        <f t="shared" si="14"/>
        <v>0</v>
      </c>
      <c r="T509" s="207">
        <f t="shared" si="15"/>
        <v>0</v>
      </c>
      <c r="U509" s="1341" t="s">
        <v>34</v>
      </c>
      <c r="V509" s="1228"/>
      <c r="W509" s="799"/>
    </row>
    <row r="510" spans="1:23" ht="22.95" customHeight="1" x14ac:dyDescent="0.4">
      <c r="A510" s="788">
        <v>509</v>
      </c>
      <c r="B510" s="198" t="s">
        <v>2616</v>
      </c>
      <c r="C510" s="246" t="s">
        <v>24</v>
      </c>
      <c r="D510" s="1363">
        <v>3612</v>
      </c>
      <c r="E510" s="246" t="s">
        <v>3348</v>
      </c>
      <c r="F510" s="246" t="s">
        <v>3349</v>
      </c>
      <c r="G510" s="1381">
        <v>3644</v>
      </c>
      <c r="H510" s="246" t="s">
        <v>3214</v>
      </c>
      <c r="I510" s="246" t="s">
        <v>881</v>
      </c>
      <c r="J510" s="210" t="s">
        <v>111</v>
      </c>
      <c r="K510" s="649" t="s">
        <v>110</v>
      </c>
      <c r="L510" s="1063">
        <v>0.5</v>
      </c>
      <c r="M510" s="1389"/>
      <c r="N510" s="1309" t="s">
        <v>3354</v>
      </c>
      <c r="O510" s="827"/>
      <c r="P510" s="1346">
        <v>2</v>
      </c>
      <c r="Q510" s="1348">
        <v>0.3</v>
      </c>
      <c r="R510" s="1346"/>
      <c r="S510" s="222">
        <f t="shared" si="14"/>
        <v>0</v>
      </c>
      <c r="T510" s="765">
        <f t="shared" si="15"/>
        <v>0</v>
      </c>
      <c r="U510" s="1347" t="s">
        <v>34</v>
      </c>
      <c r="V510" s="1228"/>
      <c r="W510" s="799"/>
    </row>
    <row r="511" spans="1:23" ht="22.95" customHeight="1" x14ac:dyDescent="0.4">
      <c r="A511" s="788">
        <v>510</v>
      </c>
      <c r="B511" s="198" t="s">
        <v>2616</v>
      </c>
      <c r="C511" s="246" t="s">
        <v>24</v>
      </c>
      <c r="D511" s="1363">
        <v>3612</v>
      </c>
      <c r="E511" s="246" t="s">
        <v>3348</v>
      </c>
      <c r="F511" s="246" t="s">
        <v>3349</v>
      </c>
      <c r="G511" s="1381">
        <v>3644</v>
      </c>
      <c r="H511" s="246" t="s">
        <v>3214</v>
      </c>
      <c r="I511" s="246" t="s">
        <v>881</v>
      </c>
      <c r="J511" s="210" t="s">
        <v>111</v>
      </c>
      <c r="K511" s="649" t="s">
        <v>110</v>
      </c>
      <c r="L511" s="1063">
        <v>0.5</v>
      </c>
      <c r="M511" s="1389"/>
      <c r="N511" s="1309" t="s">
        <v>3355</v>
      </c>
      <c r="O511" s="767"/>
      <c r="P511" s="1410">
        <v>6</v>
      </c>
      <c r="Q511" s="1348">
        <v>0.4</v>
      </c>
      <c r="R511" s="1410"/>
      <c r="S511" s="222">
        <f t="shared" si="14"/>
        <v>0</v>
      </c>
      <c r="T511" s="765">
        <f t="shared" si="15"/>
        <v>0</v>
      </c>
      <c r="U511" s="1347" t="s">
        <v>34</v>
      </c>
      <c r="V511" s="1228"/>
      <c r="W511" s="799"/>
    </row>
    <row r="512" spans="1:23" ht="22.95" customHeight="1" x14ac:dyDescent="0.4">
      <c r="A512" s="788">
        <v>511</v>
      </c>
      <c r="B512" s="198" t="s">
        <v>2616</v>
      </c>
      <c r="C512" s="246" t="s">
        <v>24</v>
      </c>
      <c r="D512" s="1363">
        <v>3612</v>
      </c>
      <c r="E512" s="246" t="s">
        <v>3348</v>
      </c>
      <c r="F512" s="246" t="s">
        <v>3349</v>
      </c>
      <c r="G512" s="1381">
        <v>3644</v>
      </c>
      <c r="H512" s="246" t="s">
        <v>3214</v>
      </c>
      <c r="I512" s="246" t="s">
        <v>881</v>
      </c>
      <c r="J512" s="210" t="s">
        <v>111</v>
      </c>
      <c r="K512" s="649" t="s">
        <v>110</v>
      </c>
      <c r="L512" s="1063">
        <v>0.5</v>
      </c>
      <c r="M512" s="1389"/>
      <c r="N512" s="1309" t="s">
        <v>3356</v>
      </c>
      <c r="O512" s="767"/>
      <c r="P512" s="1346">
        <v>4</v>
      </c>
      <c r="Q512" s="1348">
        <v>0.3</v>
      </c>
      <c r="R512" s="1346"/>
      <c r="S512" s="222">
        <f t="shared" si="14"/>
        <v>0</v>
      </c>
      <c r="T512" s="765">
        <f t="shared" si="15"/>
        <v>0</v>
      </c>
      <c r="U512" s="1347" t="s">
        <v>34</v>
      </c>
      <c r="V512" s="1228"/>
      <c r="W512" s="799"/>
    </row>
    <row r="513" spans="1:23" ht="22.95" customHeight="1" x14ac:dyDescent="0.4">
      <c r="A513" s="788">
        <v>512</v>
      </c>
      <c r="B513" s="236" t="s">
        <v>2616</v>
      </c>
      <c r="C513" s="187" t="s">
        <v>24</v>
      </c>
      <c r="D513" s="1130">
        <v>6317</v>
      </c>
      <c r="E513" s="187" t="s">
        <v>3357</v>
      </c>
      <c r="F513" s="187" t="s">
        <v>3358</v>
      </c>
      <c r="G513" s="795">
        <v>3931</v>
      </c>
      <c r="H513" s="187" t="s">
        <v>3275</v>
      </c>
      <c r="I513" s="187" t="s">
        <v>881</v>
      </c>
      <c r="J513" s="653" t="s">
        <v>58</v>
      </c>
      <c r="K513" s="653" t="s">
        <v>57</v>
      </c>
      <c r="L513" s="1193">
        <v>0.5</v>
      </c>
      <c r="M513" s="1377"/>
      <c r="N513" s="1402" t="s">
        <v>3328</v>
      </c>
      <c r="O513" s="749"/>
      <c r="P513" s="1411">
        <v>0.8</v>
      </c>
      <c r="Q513" s="1412">
        <v>0.2</v>
      </c>
      <c r="R513" s="1411"/>
      <c r="S513" s="195">
        <f t="shared" si="14"/>
        <v>0</v>
      </c>
      <c r="T513" s="196">
        <f t="shared" si="15"/>
        <v>0</v>
      </c>
      <c r="U513" s="1413" t="s">
        <v>34</v>
      </c>
      <c r="V513" s="1414">
        <f>SUM(T513:T521)%</f>
        <v>0</v>
      </c>
      <c r="W513" s="1413"/>
    </row>
    <row r="514" spans="1:23" ht="22.95" customHeight="1" x14ac:dyDescent="0.4">
      <c r="A514" s="788">
        <v>513</v>
      </c>
      <c r="B514" s="198" t="s">
        <v>2616</v>
      </c>
      <c r="C514" s="246" t="s">
        <v>24</v>
      </c>
      <c r="D514" s="1134">
        <v>6317</v>
      </c>
      <c r="E514" s="246" t="s">
        <v>3357</v>
      </c>
      <c r="F514" s="246" t="s">
        <v>3358</v>
      </c>
      <c r="G514" s="1381">
        <v>3931</v>
      </c>
      <c r="H514" s="246" t="s">
        <v>3275</v>
      </c>
      <c r="I514" s="246" t="s">
        <v>881</v>
      </c>
      <c r="J514" s="79" t="s">
        <v>58</v>
      </c>
      <c r="K514" s="79" t="s">
        <v>57</v>
      </c>
      <c r="L514" s="1196">
        <v>0.5</v>
      </c>
      <c r="M514" s="1382"/>
      <c r="N514" s="822" t="s">
        <v>3359</v>
      </c>
      <c r="O514" s="757"/>
      <c r="P514" s="1415">
        <v>0.8</v>
      </c>
      <c r="Q514" s="1416">
        <v>0.2</v>
      </c>
      <c r="R514" s="1415"/>
      <c r="S514" s="206">
        <f t="shared" ref="S514:S577" si="16">ROUND(IF(OR(P514="",R514=""),0,IF(AND(P514=0,R514=0),1,IF(U514="+",R514/P514,P514/R514))),2)</f>
        <v>0</v>
      </c>
      <c r="T514" s="207">
        <f t="shared" ref="T514:T577" si="17">IF(AND(S514&gt;=60%,S514&lt;100%),S514*((Q514*L514)),IF(S514=100%,((Q514*L514)*S514)*100%,IF(S514&gt;100%,((L514*Q514)*100%)*100%,0)))*100</f>
        <v>0</v>
      </c>
      <c r="U514" s="1417" t="s">
        <v>34</v>
      </c>
      <c r="V514" s="1228"/>
      <c r="W514" s="799"/>
    </row>
    <row r="515" spans="1:23" ht="22.95" customHeight="1" x14ac:dyDescent="0.4">
      <c r="A515" s="788">
        <v>514</v>
      </c>
      <c r="B515" s="198" t="s">
        <v>2616</v>
      </c>
      <c r="C515" s="246" t="s">
        <v>24</v>
      </c>
      <c r="D515" s="1134">
        <v>6317</v>
      </c>
      <c r="E515" s="246" t="s">
        <v>3357</v>
      </c>
      <c r="F515" s="246" t="s">
        <v>3358</v>
      </c>
      <c r="G515" s="1381">
        <v>3931</v>
      </c>
      <c r="H515" s="246" t="s">
        <v>3275</v>
      </c>
      <c r="I515" s="246" t="s">
        <v>881</v>
      </c>
      <c r="J515" s="79" t="s">
        <v>58</v>
      </c>
      <c r="K515" s="79" t="s">
        <v>57</v>
      </c>
      <c r="L515" s="1196">
        <v>0.5</v>
      </c>
      <c r="M515" s="1382"/>
      <c r="N515" s="990" t="s">
        <v>3360</v>
      </c>
      <c r="O515" s="757"/>
      <c r="P515" s="1415">
        <v>1</v>
      </c>
      <c r="Q515" s="1416">
        <v>0.1</v>
      </c>
      <c r="R515" s="1415"/>
      <c r="S515" s="206">
        <f t="shared" si="16"/>
        <v>0</v>
      </c>
      <c r="T515" s="207">
        <f t="shared" si="17"/>
        <v>0</v>
      </c>
      <c r="U515" s="1417" t="s">
        <v>34</v>
      </c>
      <c r="V515" s="1228"/>
      <c r="W515" s="799"/>
    </row>
    <row r="516" spans="1:23" ht="22.95" customHeight="1" x14ac:dyDescent="0.4">
      <c r="A516" s="788">
        <v>515</v>
      </c>
      <c r="B516" s="198" t="s">
        <v>2616</v>
      </c>
      <c r="C516" s="246" t="s">
        <v>24</v>
      </c>
      <c r="D516" s="1134">
        <v>6317</v>
      </c>
      <c r="E516" s="246" t="s">
        <v>3357</v>
      </c>
      <c r="F516" s="246" t="s">
        <v>3358</v>
      </c>
      <c r="G516" s="1381">
        <v>3931</v>
      </c>
      <c r="H516" s="246" t="s">
        <v>3275</v>
      </c>
      <c r="I516" s="246" t="s">
        <v>881</v>
      </c>
      <c r="J516" s="79" t="s">
        <v>58</v>
      </c>
      <c r="K516" s="79" t="s">
        <v>57</v>
      </c>
      <c r="L516" s="1196">
        <v>0.5</v>
      </c>
      <c r="M516" s="1382"/>
      <c r="N516" s="990" t="s">
        <v>3361</v>
      </c>
      <c r="O516" s="757"/>
      <c r="P516" s="1418">
        <v>0.8</v>
      </c>
      <c r="Q516" s="1416">
        <v>0.2</v>
      </c>
      <c r="R516" s="1418"/>
      <c r="S516" s="206">
        <f t="shared" si="16"/>
        <v>0</v>
      </c>
      <c r="T516" s="207">
        <f t="shared" si="17"/>
        <v>0</v>
      </c>
      <c r="U516" s="1417" t="s">
        <v>34</v>
      </c>
      <c r="V516" s="1228"/>
      <c r="W516" s="799"/>
    </row>
    <row r="517" spans="1:23" ht="22.95" customHeight="1" x14ac:dyDescent="0.4">
      <c r="A517" s="788">
        <v>516</v>
      </c>
      <c r="B517" s="198" t="s">
        <v>2616</v>
      </c>
      <c r="C517" s="246" t="s">
        <v>24</v>
      </c>
      <c r="D517" s="1134">
        <v>6317</v>
      </c>
      <c r="E517" s="246" t="s">
        <v>3357</v>
      </c>
      <c r="F517" s="246" t="s">
        <v>3358</v>
      </c>
      <c r="G517" s="1381">
        <v>3931</v>
      </c>
      <c r="H517" s="246" t="s">
        <v>3275</v>
      </c>
      <c r="I517" s="246" t="s">
        <v>881</v>
      </c>
      <c r="J517" s="79" t="s">
        <v>58</v>
      </c>
      <c r="K517" s="79" t="s">
        <v>57</v>
      </c>
      <c r="L517" s="1196">
        <v>0.5</v>
      </c>
      <c r="M517" s="1382"/>
      <c r="N517" s="990" t="s">
        <v>3362</v>
      </c>
      <c r="O517" s="757"/>
      <c r="P517" s="1415">
        <v>0.9</v>
      </c>
      <c r="Q517" s="1416">
        <v>0.2</v>
      </c>
      <c r="R517" s="1415"/>
      <c r="S517" s="206">
        <f t="shared" si="16"/>
        <v>0</v>
      </c>
      <c r="T517" s="207">
        <f t="shared" si="17"/>
        <v>0</v>
      </c>
      <c r="U517" s="1417" t="s">
        <v>34</v>
      </c>
      <c r="V517" s="1228"/>
      <c r="W517" s="799"/>
    </row>
    <row r="518" spans="1:23" ht="22.95" customHeight="1" x14ac:dyDescent="0.4">
      <c r="A518" s="788">
        <v>517</v>
      </c>
      <c r="B518" s="198" t="s">
        <v>2616</v>
      </c>
      <c r="C518" s="246" t="s">
        <v>24</v>
      </c>
      <c r="D518" s="1134">
        <v>6317</v>
      </c>
      <c r="E518" s="246" t="s">
        <v>3357</v>
      </c>
      <c r="F518" s="246" t="s">
        <v>3358</v>
      </c>
      <c r="G518" s="1381">
        <v>3931</v>
      </c>
      <c r="H518" s="246" t="s">
        <v>3275</v>
      </c>
      <c r="I518" s="246" t="s">
        <v>881</v>
      </c>
      <c r="J518" s="79" t="s">
        <v>58</v>
      </c>
      <c r="K518" s="79" t="s">
        <v>57</v>
      </c>
      <c r="L518" s="1196">
        <v>0.5</v>
      </c>
      <c r="M518" s="1382"/>
      <c r="N518" s="990" t="s">
        <v>3363</v>
      </c>
      <c r="O518" s="757"/>
      <c r="P518" s="1418">
        <v>100</v>
      </c>
      <c r="Q518" s="1416">
        <v>0.1</v>
      </c>
      <c r="R518" s="1418"/>
      <c r="S518" s="206">
        <f t="shared" si="16"/>
        <v>0</v>
      </c>
      <c r="T518" s="207">
        <f t="shared" si="17"/>
        <v>0</v>
      </c>
      <c r="U518" s="1417" t="s">
        <v>34</v>
      </c>
      <c r="V518" s="1228"/>
      <c r="W518" s="799"/>
    </row>
    <row r="519" spans="1:23" ht="22.95" customHeight="1" x14ac:dyDescent="0.4">
      <c r="A519" s="788">
        <v>518</v>
      </c>
      <c r="B519" s="198" t="s">
        <v>2616</v>
      </c>
      <c r="C519" s="246" t="s">
        <v>24</v>
      </c>
      <c r="D519" s="1134">
        <v>6317</v>
      </c>
      <c r="E519" s="246" t="s">
        <v>3357</v>
      </c>
      <c r="F519" s="246" t="s">
        <v>3358</v>
      </c>
      <c r="G519" s="1381">
        <v>3931</v>
      </c>
      <c r="H519" s="246" t="s">
        <v>3275</v>
      </c>
      <c r="I519" s="246" t="s">
        <v>881</v>
      </c>
      <c r="J519" s="210" t="s">
        <v>111</v>
      </c>
      <c r="K519" s="649" t="s">
        <v>110</v>
      </c>
      <c r="L519" s="1147">
        <v>0.5</v>
      </c>
      <c r="M519" s="1387"/>
      <c r="N519" s="1309" t="s">
        <v>3364</v>
      </c>
      <c r="O519" s="767"/>
      <c r="P519" s="1419">
        <v>80</v>
      </c>
      <c r="Q519" s="1420">
        <v>0.5</v>
      </c>
      <c r="R519" s="1419"/>
      <c r="S519" s="216">
        <f t="shared" si="16"/>
        <v>0</v>
      </c>
      <c r="T519" s="217">
        <f t="shared" si="17"/>
        <v>0</v>
      </c>
      <c r="U519" s="1421" t="s">
        <v>34</v>
      </c>
      <c r="V519" s="1228"/>
      <c r="W519" s="799"/>
    </row>
    <row r="520" spans="1:23" ht="22.95" customHeight="1" x14ac:dyDescent="0.4">
      <c r="A520" s="788">
        <v>519</v>
      </c>
      <c r="B520" s="198" t="s">
        <v>2616</v>
      </c>
      <c r="C520" s="246" t="s">
        <v>24</v>
      </c>
      <c r="D520" s="1134">
        <v>6317</v>
      </c>
      <c r="E520" s="246" t="s">
        <v>3357</v>
      </c>
      <c r="F520" s="246" t="s">
        <v>3358</v>
      </c>
      <c r="G520" s="1381">
        <v>3931</v>
      </c>
      <c r="H520" s="246" t="s">
        <v>3275</v>
      </c>
      <c r="I520" s="246" t="s">
        <v>881</v>
      </c>
      <c r="J520" s="210" t="s">
        <v>111</v>
      </c>
      <c r="K520" s="649" t="s">
        <v>110</v>
      </c>
      <c r="L520" s="1147">
        <v>0.5</v>
      </c>
      <c r="M520" s="1387"/>
      <c r="N520" s="1309" t="s">
        <v>3365</v>
      </c>
      <c r="O520" s="767"/>
      <c r="P520" s="1419">
        <v>100</v>
      </c>
      <c r="Q520" s="1420">
        <v>0.25</v>
      </c>
      <c r="R520" s="1419"/>
      <c r="S520" s="216">
        <f t="shared" si="16"/>
        <v>0</v>
      </c>
      <c r="T520" s="217">
        <f t="shared" si="17"/>
        <v>0</v>
      </c>
      <c r="U520" s="1421" t="s">
        <v>34</v>
      </c>
      <c r="V520" s="1228"/>
      <c r="W520" s="799"/>
    </row>
    <row r="521" spans="1:23" ht="22.95" customHeight="1" x14ac:dyDescent="0.4">
      <c r="A521" s="788">
        <v>520</v>
      </c>
      <c r="B521" s="198" t="s">
        <v>2616</v>
      </c>
      <c r="C521" s="246" t="s">
        <v>24</v>
      </c>
      <c r="D521" s="1134">
        <v>6317</v>
      </c>
      <c r="E521" s="246" t="s">
        <v>3357</v>
      </c>
      <c r="F521" s="246" t="s">
        <v>3358</v>
      </c>
      <c r="G521" s="1381">
        <v>3931</v>
      </c>
      <c r="H521" s="246" t="s">
        <v>3275</v>
      </c>
      <c r="I521" s="246" t="s">
        <v>881</v>
      </c>
      <c r="J521" s="210" t="s">
        <v>111</v>
      </c>
      <c r="K521" s="649" t="s">
        <v>110</v>
      </c>
      <c r="L521" s="1147">
        <v>0.5</v>
      </c>
      <c r="M521" s="1387"/>
      <c r="N521" s="1422" t="s">
        <v>3366</v>
      </c>
      <c r="O521" s="1423"/>
      <c r="P521" s="1424">
        <v>1</v>
      </c>
      <c r="Q521" s="1425">
        <v>0.25</v>
      </c>
      <c r="R521" s="1424"/>
      <c r="S521" s="216">
        <f t="shared" si="16"/>
        <v>0</v>
      </c>
      <c r="T521" s="217">
        <f t="shared" si="17"/>
        <v>0</v>
      </c>
      <c r="U521" s="1421" t="s">
        <v>34</v>
      </c>
      <c r="V521" s="1228"/>
      <c r="W521" s="799"/>
    </row>
    <row r="522" spans="1:23" ht="22.95" customHeight="1" x14ac:dyDescent="0.4">
      <c r="A522" s="788">
        <v>521</v>
      </c>
      <c r="B522" s="653" t="s">
        <v>2616</v>
      </c>
      <c r="C522" s="653" t="s">
        <v>24</v>
      </c>
      <c r="D522" s="1200">
        <v>6018</v>
      </c>
      <c r="E522" s="187" t="s">
        <v>3367</v>
      </c>
      <c r="F522" s="653" t="s">
        <v>3368</v>
      </c>
      <c r="G522" s="674">
        <v>3579</v>
      </c>
      <c r="H522" s="653" t="s">
        <v>3369</v>
      </c>
      <c r="I522" s="653" t="s">
        <v>881</v>
      </c>
      <c r="J522" s="653" t="s">
        <v>58</v>
      </c>
      <c r="K522" s="653" t="s">
        <v>57</v>
      </c>
      <c r="L522" s="1054">
        <v>0.5</v>
      </c>
      <c r="M522" s="791"/>
      <c r="N522" s="1979" t="s">
        <v>3370</v>
      </c>
      <c r="O522" s="1979"/>
      <c r="P522" s="1426">
        <v>0.9</v>
      </c>
      <c r="Q522" s="1427">
        <v>0.25</v>
      </c>
      <c r="R522" s="1426"/>
      <c r="S522" s="195">
        <f t="shared" si="16"/>
        <v>0</v>
      </c>
      <c r="T522" s="196">
        <f t="shared" si="17"/>
        <v>0</v>
      </c>
      <c r="U522" s="653" t="s">
        <v>34</v>
      </c>
      <c r="V522" s="1414">
        <f>SUM(T522:T529)%</f>
        <v>0</v>
      </c>
      <c r="W522" s="791"/>
    </row>
    <row r="523" spans="1:23" ht="22.95" customHeight="1" x14ac:dyDescent="0.4">
      <c r="A523" s="788">
        <v>522</v>
      </c>
      <c r="B523" s="649" t="s">
        <v>2616</v>
      </c>
      <c r="C523" s="649" t="s">
        <v>24</v>
      </c>
      <c r="D523" s="1082">
        <v>6018</v>
      </c>
      <c r="E523" s="246" t="s">
        <v>3367</v>
      </c>
      <c r="F523" s="303" t="s">
        <v>3368</v>
      </c>
      <c r="G523" s="1170">
        <v>3579</v>
      </c>
      <c r="H523" s="303" t="s">
        <v>3369</v>
      </c>
      <c r="I523" s="649" t="s">
        <v>881</v>
      </c>
      <c r="J523" s="79" t="s">
        <v>58</v>
      </c>
      <c r="K523" s="79" t="s">
        <v>57</v>
      </c>
      <c r="L523" s="1201">
        <v>0.5</v>
      </c>
      <c r="M523" s="840"/>
      <c r="N523" s="1980" t="s">
        <v>3371</v>
      </c>
      <c r="O523" s="1980"/>
      <c r="P523" s="1428">
        <v>0.9</v>
      </c>
      <c r="Q523" s="1429">
        <v>0.25</v>
      </c>
      <c r="R523" s="1428"/>
      <c r="S523" s="206">
        <f t="shared" si="16"/>
        <v>0</v>
      </c>
      <c r="T523" s="207">
        <f t="shared" si="17"/>
        <v>0</v>
      </c>
      <c r="U523" s="79" t="s">
        <v>34</v>
      </c>
      <c r="V523" s="1228"/>
      <c r="W523" s="799"/>
    </row>
    <row r="524" spans="1:23" ht="22.95" customHeight="1" x14ac:dyDescent="0.4">
      <c r="A524" s="788">
        <v>523</v>
      </c>
      <c r="B524" s="649" t="s">
        <v>2616</v>
      </c>
      <c r="C524" s="649" t="s">
        <v>24</v>
      </c>
      <c r="D524" s="1082">
        <v>6018</v>
      </c>
      <c r="E524" s="246" t="s">
        <v>3367</v>
      </c>
      <c r="F524" s="303" t="s">
        <v>3368</v>
      </c>
      <c r="G524" s="1170">
        <v>3579</v>
      </c>
      <c r="H524" s="303" t="s">
        <v>3369</v>
      </c>
      <c r="I524" s="649" t="s">
        <v>881</v>
      </c>
      <c r="J524" s="79" t="s">
        <v>58</v>
      </c>
      <c r="K524" s="79" t="s">
        <v>57</v>
      </c>
      <c r="L524" s="1201">
        <v>0.5</v>
      </c>
      <c r="M524" s="840"/>
      <c r="N524" s="1980" t="s">
        <v>3372</v>
      </c>
      <c r="O524" s="1980"/>
      <c r="P524" s="1428">
        <v>0.9</v>
      </c>
      <c r="Q524" s="1429">
        <v>0.25</v>
      </c>
      <c r="R524" s="1428"/>
      <c r="S524" s="206">
        <f t="shared" si="16"/>
        <v>0</v>
      </c>
      <c r="T524" s="207">
        <f t="shared" si="17"/>
        <v>0</v>
      </c>
      <c r="U524" s="79" t="s">
        <v>34</v>
      </c>
      <c r="V524" s="1228"/>
      <c r="W524" s="799"/>
    </row>
    <row r="525" spans="1:23" ht="22.95" customHeight="1" x14ac:dyDescent="0.4">
      <c r="A525" s="788">
        <v>524</v>
      </c>
      <c r="B525" s="649" t="s">
        <v>2616</v>
      </c>
      <c r="C525" s="649" t="s">
        <v>24</v>
      </c>
      <c r="D525" s="1082">
        <v>6018</v>
      </c>
      <c r="E525" s="246" t="s">
        <v>3367</v>
      </c>
      <c r="F525" s="303" t="s">
        <v>3368</v>
      </c>
      <c r="G525" s="1170">
        <v>3579</v>
      </c>
      <c r="H525" s="303" t="s">
        <v>3369</v>
      </c>
      <c r="I525" s="649" t="s">
        <v>881</v>
      </c>
      <c r="J525" s="79" t="s">
        <v>58</v>
      </c>
      <c r="K525" s="79" t="s">
        <v>57</v>
      </c>
      <c r="L525" s="1201">
        <v>0.5</v>
      </c>
      <c r="M525" s="840"/>
      <c r="N525" s="1980" t="s">
        <v>3373</v>
      </c>
      <c r="O525" s="1980"/>
      <c r="P525" s="1428">
        <v>1</v>
      </c>
      <c r="Q525" s="1429">
        <v>0.25</v>
      </c>
      <c r="R525" s="1428"/>
      <c r="S525" s="206">
        <f t="shared" si="16"/>
        <v>0</v>
      </c>
      <c r="T525" s="207">
        <f t="shared" si="17"/>
        <v>0</v>
      </c>
      <c r="U525" s="79" t="s">
        <v>34</v>
      </c>
      <c r="V525" s="1228"/>
      <c r="W525" s="799"/>
    </row>
    <row r="526" spans="1:23" ht="22.95" customHeight="1" x14ac:dyDescent="0.4">
      <c r="A526" s="788">
        <v>525</v>
      </c>
      <c r="B526" s="649" t="s">
        <v>2616</v>
      </c>
      <c r="C526" s="649" t="s">
        <v>24</v>
      </c>
      <c r="D526" s="1082">
        <v>6018</v>
      </c>
      <c r="E526" s="246" t="s">
        <v>3367</v>
      </c>
      <c r="F526" s="303" t="s">
        <v>3368</v>
      </c>
      <c r="G526" s="1170">
        <v>3579</v>
      </c>
      <c r="H526" s="303" t="s">
        <v>3369</v>
      </c>
      <c r="I526" s="649" t="s">
        <v>881</v>
      </c>
      <c r="J526" s="210" t="s">
        <v>111</v>
      </c>
      <c r="K526" s="649" t="s">
        <v>110</v>
      </c>
      <c r="L526" s="1308">
        <v>0.5</v>
      </c>
      <c r="M526" s="799"/>
      <c r="N526" s="1978" t="s">
        <v>3374</v>
      </c>
      <c r="O526" s="1978"/>
      <c r="P526" s="233">
        <v>1</v>
      </c>
      <c r="Q526" s="1430">
        <v>0.25</v>
      </c>
      <c r="R526" s="233"/>
      <c r="S526" s="216">
        <f t="shared" si="16"/>
        <v>0</v>
      </c>
      <c r="T526" s="217">
        <f t="shared" si="17"/>
        <v>0</v>
      </c>
      <c r="U526" s="649" t="s">
        <v>34</v>
      </c>
      <c r="V526" s="1228"/>
      <c r="W526" s="799"/>
    </row>
    <row r="527" spans="1:23" ht="22.95" customHeight="1" x14ac:dyDescent="0.4">
      <c r="A527" s="788">
        <v>526</v>
      </c>
      <c r="B527" s="649" t="s">
        <v>2616</v>
      </c>
      <c r="C527" s="649" t="s">
        <v>24</v>
      </c>
      <c r="D527" s="1082">
        <v>6018</v>
      </c>
      <c r="E527" s="246" t="s">
        <v>3367</v>
      </c>
      <c r="F527" s="303" t="s">
        <v>3368</v>
      </c>
      <c r="G527" s="1170">
        <v>3579</v>
      </c>
      <c r="H527" s="303" t="s">
        <v>3369</v>
      </c>
      <c r="I527" s="649" t="s">
        <v>881</v>
      </c>
      <c r="J527" s="210" t="s">
        <v>111</v>
      </c>
      <c r="K527" s="649" t="s">
        <v>110</v>
      </c>
      <c r="L527" s="1308">
        <v>0.5</v>
      </c>
      <c r="M527" s="799"/>
      <c r="N527" s="1978" t="s">
        <v>3375</v>
      </c>
      <c r="O527" s="1978"/>
      <c r="P527" s="233">
        <v>1</v>
      </c>
      <c r="Q527" s="1430">
        <v>0.25</v>
      </c>
      <c r="R527" s="233"/>
      <c r="S527" s="216">
        <f t="shared" si="16"/>
        <v>0</v>
      </c>
      <c r="T527" s="217">
        <f t="shared" si="17"/>
        <v>0</v>
      </c>
      <c r="U527" s="649" t="s">
        <v>34</v>
      </c>
      <c r="V527" s="1228"/>
      <c r="W527" s="799"/>
    </row>
    <row r="528" spans="1:23" ht="22.95" customHeight="1" x14ac:dyDescent="0.4">
      <c r="A528" s="788">
        <v>527</v>
      </c>
      <c r="B528" s="649" t="s">
        <v>2616</v>
      </c>
      <c r="C528" s="649" t="s">
        <v>24</v>
      </c>
      <c r="D528" s="1082">
        <v>6018</v>
      </c>
      <c r="E528" s="246" t="s">
        <v>3367</v>
      </c>
      <c r="F528" s="303" t="s">
        <v>3368</v>
      </c>
      <c r="G528" s="1170">
        <v>3579</v>
      </c>
      <c r="H528" s="303" t="s">
        <v>3369</v>
      </c>
      <c r="I528" s="649" t="s">
        <v>881</v>
      </c>
      <c r="J528" s="210" t="s">
        <v>111</v>
      </c>
      <c r="K528" s="649" t="s">
        <v>110</v>
      </c>
      <c r="L528" s="1308">
        <v>0.5</v>
      </c>
      <c r="M528" s="799"/>
      <c r="N528" s="1978" t="s">
        <v>3376</v>
      </c>
      <c r="O528" s="1978"/>
      <c r="P528" s="233">
        <v>1</v>
      </c>
      <c r="Q528" s="1430">
        <v>0.25</v>
      </c>
      <c r="R528" s="233"/>
      <c r="S528" s="216">
        <f t="shared" si="16"/>
        <v>0</v>
      </c>
      <c r="T528" s="217">
        <f t="shared" si="17"/>
        <v>0</v>
      </c>
      <c r="U528" s="649" t="s">
        <v>34</v>
      </c>
      <c r="V528" s="1228"/>
      <c r="W528" s="799"/>
    </row>
    <row r="529" spans="1:23" ht="22.95" customHeight="1" x14ac:dyDescent="0.4">
      <c r="A529" s="788">
        <v>528</v>
      </c>
      <c r="B529" s="649" t="s">
        <v>2616</v>
      </c>
      <c r="C529" s="649" t="s">
        <v>24</v>
      </c>
      <c r="D529" s="1082">
        <v>6018</v>
      </c>
      <c r="E529" s="246" t="s">
        <v>3367</v>
      </c>
      <c r="F529" s="303" t="s">
        <v>3368</v>
      </c>
      <c r="G529" s="1170">
        <v>3579</v>
      </c>
      <c r="H529" s="303" t="s">
        <v>3369</v>
      </c>
      <c r="I529" s="649" t="s">
        <v>881</v>
      </c>
      <c r="J529" s="210" t="s">
        <v>111</v>
      </c>
      <c r="K529" s="649" t="s">
        <v>110</v>
      </c>
      <c r="L529" s="1308">
        <v>0.5</v>
      </c>
      <c r="M529" s="799"/>
      <c r="N529" s="1978" t="s">
        <v>3377</v>
      </c>
      <c r="O529" s="1978"/>
      <c r="P529" s="233">
        <v>1</v>
      </c>
      <c r="Q529" s="1430">
        <v>0.25</v>
      </c>
      <c r="R529" s="233"/>
      <c r="S529" s="216">
        <f t="shared" si="16"/>
        <v>0</v>
      </c>
      <c r="T529" s="217">
        <f t="shared" si="17"/>
        <v>0</v>
      </c>
      <c r="U529" s="649" t="s">
        <v>34</v>
      </c>
      <c r="V529" s="1228"/>
      <c r="W529" s="799"/>
    </row>
    <row r="530" spans="1:23" ht="22.95" customHeight="1" x14ac:dyDescent="0.4">
      <c r="A530" s="788">
        <v>529</v>
      </c>
      <c r="B530" s="187" t="s">
        <v>2616</v>
      </c>
      <c r="C530" s="187" t="s">
        <v>24</v>
      </c>
      <c r="D530" s="1200">
        <v>3523</v>
      </c>
      <c r="E530" s="187" t="s">
        <v>3378</v>
      </c>
      <c r="F530" s="187" t="s">
        <v>3379</v>
      </c>
      <c r="G530" s="674">
        <v>3192</v>
      </c>
      <c r="H530" s="187" t="s">
        <v>3380</v>
      </c>
      <c r="I530" s="653" t="s">
        <v>3381</v>
      </c>
      <c r="J530" s="653" t="s">
        <v>58</v>
      </c>
      <c r="K530" s="187" t="s">
        <v>57</v>
      </c>
      <c r="L530" s="1054">
        <v>0.4</v>
      </c>
      <c r="M530" s="1431" t="s">
        <v>3382</v>
      </c>
      <c r="N530" s="1131" t="s">
        <v>3383</v>
      </c>
      <c r="O530" s="1431" t="s">
        <v>3384</v>
      </c>
      <c r="P530" s="654">
        <v>0.9</v>
      </c>
      <c r="Q530" s="1054">
        <v>0.2</v>
      </c>
      <c r="R530" s="654"/>
      <c r="S530" s="654">
        <f t="shared" si="16"/>
        <v>0</v>
      </c>
      <c r="T530" s="196">
        <f t="shared" si="17"/>
        <v>0</v>
      </c>
      <c r="U530" s="654" t="s">
        <v>34</v>
      </c>
      <c r="V530" s="1221">
        <f>SUM(T530:T536)%</f>
        <v>0</v>
      </c>
      <c r="W530" s="654"/>
    </row>
    <row r="531" spans="1:23" ht="22.95" customHeight="1" x14ac:dyDescent="0.4">
      <c r="A531" s="788">
        <v>530</v>
      </c>
      <c r="B531" s="692" t="s">
        <v>2616</v>
      </c>
      <c r="C531" s="692" t="s">
        <v>24</v>
      </c>
      <c r="D531" s="1303">
        <v>3523</v>
      </c>
      <c r="E531" s="692" t="s">
        <v>3378</v>
      </c>
      <c r="F531" s="692" t="s">
        <v>3379</v>
      </c>
      <c r="G531" s="1432">
        <v>3192</v>
      </c>
      <c r="H531" s="692" t="s">
        <v>3380</v>
      </c>
      <c r="I531" s="79" t="s">
        <v>3381</v>
      </c>
      <c r="J531" s="79" t="s">
        <v>58</v>
      </c>
      <c r="K531" s="79" t="s">
        <v>57</v>
      </c>
      <c r="L531" s="1201">
        <v>0.4</v>
      </c>
      <c r="M531" s="1071" t="s">
        <v>3385</v>
      </c>
      <c r="N531" s="858" t="s">
        <v>3386</v>
      </c>
      <c r="O531" s="1071" t="s">
        <v>3387</v>
      </c>
      <c r="P531" s="657">
        <v>0.9</v>
      </c>
      <c r="Q531" s="1201">
        <v>0.2</v>
      </c>
      <c r="R531" s="657"/>
      <c r="S531" s="657">
        <f t="shared" si="16"/>
        <v>0</v>
      </c>
      <c r="T531" s="207">
        <f t="shared" si="17"/>
        <v>0</v>
      </c>
      <c r="U531" s="206" t="s">
        <v>34</v>
      </c>
      <c r="V531" s="1196"/>
      <c r="W531" s="657"/>
    </row>
    <row r="532" spans="1:23" ht="22.95" customHeight="1" x14ac:dyDescent="0.4">
      <c r="A532" s="788">
        <v>531</v>
      </c>
      <c r="B532" s="692" t="s">
        <v>2616</v>
      </c>
      <c r="C532" s="692" t="s">
        <v>24</v>
      </c>
      <c r="D532" s="1303">
        <v>3523</v>
      </c>
      <c r="E532" s="692" t="s">
        <v>3378</v>
      </c>
      <c r="F532" s="692" t="s">
        <v>3379</v>
      </c>
      <c r="G532" s="1432">
        <v>3192</v>
      </c>
      <c r="H532" s="692" t="s">
        <v>3380</v>
      </c>
      <c r="I532" s="79" t="s">
        <v>3381</v>
      </c>
      <c r="J532" s="79" t="s">
        <v>58</v>
      </c>
      <c r="K532" s="79" t="s">
        <v>57</v>
      </c>
      <c r="L532" s="1201">
        <v>0.4</v>
      </c>
      <c r="M532" s="1071" t="s">
        <v>3388</v>
      </c>
      <c r="N532" s="858" t="s">
        <v>3389</v>
      </c>
      <c r="O532" s="1009" t="s">
        <v>3390</v>
      </c>
      <c r="P532" s="206">
        <v>0.9</v>
      </c>
      <c r="Q532" s="1201">
        <v>0.2</v>
      </c>
      <c r="R532" s="206"/>
      <c r="S532" s="657">
        <f t="shared" si="16"/>
        <v>0</v>
      </c>
      <c r="T532" s="207">
        <f t="shared" si="17"/>
        <v>0</v>
      </c>
      <c r="U532" s="206" t="s">
        <v>34</v>
      </c>
      <c r="V532" s="1196"/>
      <c r="W532" s="206"/>
    </row>
    <row r="533" spans="1:23" ht="22.95" customHeight="1" x14ac:dyDescent="0.4">
      <c r="A533" s="788">
        <v>532</v>
      </c>
      <c r="B533" s="692" t="s">
        <v>2616</v>
      </c>
      <c r="C533" s="692" t="s">
        <v>24</v>
      </c>
      <c r="D533" s="1303">
        <v>3523</v>
      </c>
      <c r="E533" s="692" t="s">
        <v>3378</v>
      </c>
      <c r="F533" s="692" t="s">
        <v>3379</v>
      </c>
      <c r="G533" s="1433">
        <v>3192</v>
      </c>
      <c r="H533" s="692" t="s">
        <v>3380</v>
      </c>
      <c r="I533" s="79" t="s">
        <v>3381</v>
      </c>
      <c r="J533" s="79" t="s">
        <v>58</v>
      </c>
      <c r="K533" s="79" t="s">
        <v>57</v>
      </c>
      <c r="L533" s="1201">
        <v>0.4</v>
      </c>
      <c r="M533" s="1071" t="s">
        <v>3391</v>
      </c>
      <c r="N533" s="858" t="s">
        <v>3392</v>
      </c>
      <c r="O533" s="1071" t="s">
        <v>3393</v>
      </c>
      <c r="P533" s="206">
        <v>0.9</v>
      </c>
      <c r="Q533" s="1201">
        <v>0.2</v>
      </c>
      <c r="R533" s="206"/>
      <c r="S533" s="657">
        <f t="shared" si="16"/>
        <v>0</v>
      </c>
      <c r="T533" s="207">
        <f t="shared" si="17"/>
        <v>0</v>
      </c>
      <c r="U533" s="206" t="s">
        <v>34</v>
      </c>
      <c r="V533" s="1196"/>
      <c r="W533" s="206"/>
    </row>
    <row r="534" spans="1:23" ht="22.95" customHeight="1" x14ac:dyDescent="0.4">
      <c r="A534" s="788">
        <v>533</v>
      </c>
      <c r="B534" s="692" t="s">
        <v>2616</v>
      </c>
      <c r="C534" s="692" t="s">
        <v>24</v>
      </c>
      <c r="D534" s="1303">
        <v>3523</v>
      </c>
      <c r="E534" s="692" t="s">
        <v>3378</v>
      </c>
      <c r="F534" s="692" t="s">
        <v>3379</v>
      </c>
      <c r="G534" s="1433">
        <v>3192</v>
      </c>
      <c r="H534" s="692" t="s">
        <v>3380</v>
      </c>
      <c r="I534" s="79" t="s">
        <v>3381</v>
      </c>
      <c r="J534" s="79" t="s">
        <v>58</v>
      </c>
      <c r="K534" s="79" t="s">
        <v>57</v>
      </c>
      <c r="L534" s="1201">
        <v>0.4</v>
      </c>
      <c r="M534" s="1071" t="s">
        <v>3394</v>
      </c>
      <c r="N534" s="858" t="s">
        <v>3395</v>
      </c>
      <c r="O534" s="1071" t="s">
        <v>3396</v>
      </c>
      <c r="P534" s="206">
        <v>1</v>
      </c>
      <c r="Q534" s="1201">
        <v>0.2</v>
      </c>
      <c r="R534" s="206"/>
      <c r="S534" s="657">
        <f t="shared" si="16"/>
        <v>0</v>
      </c>
      <c r="T534" s="207">
        <f t="shared" si="17"/>
        <v>0</v>
      </c>
      <c r="U534" s="206" t="s">
        <v>34</v>
      </c>
      <c r="V534" s="1196"/>
      <c r="W534" s="206"/>
    </row>
    <row r="535" spans="1:23" ht="22.95" customHeight="1" x14ac:dyDescent="0.4">
      <c r="A535" s="788">
        <v>534</v>
      </c>
      <c r="B535" s="246" t="s">
        <v>2616</v>
      </c>
      <c r="C535" s="246" t="s">
        <v>24</v>
      </c>
      <c r="D535" s="1306">
        <v>3523</v>
      </c>
      <c r="E535" s="246" t="s">
        <v>3378</v>
      </c>
      <c r="F535" s="246" t="s">
        <v>3379</v>
      </c>
      <c r="G535" s="1381">
        <v>3192</v>
      </c>
      <c r="H535" s="246" t="s">
        <v>3380</v>
      </c>
      <c r="I535" s="649" t="s">
        <v>3381</v>
      </c>
      <c r="J535" s="649" t="s">
        <v>111</v>
      </c>
      <c r="K535" s="253" t="s">
        <v>110</v>
      </c>
      <c r="L535" s="1209">
        <v>0.6</v>
      </c>
      <c r="M535" s="1434" t="s">
        <v>3397</v>
      </c>
      <c r="N535" s="876" t="s">
        <v>3398</v>
      </c>
      <c r="O535" s="1434" t="s">
        <v>3399</v>
      </c>
      <c r="P535" s="262">
        <v>0.9</v>
      </c>
      <c r="Q535" s="1209">
        <v>0.5</v>
      </c>
      <c r="R535" s="262"/>
      <c r="S535" s="659">
        <f t="shared" si="16"/>
        <v>0</v>
      </c>
      <c r="T535" s="263">
        <f t="shared" si="17"/>
        <v>0</v>
      </c>
      <c r="U535" s="262" t="s">
        <v>34</v>
      </c>
      <c r="V535" s="1245"/>
      <c r="W535" s="262"/>
    </row>
    <row r="536" spans="1:23" ht="22.95" customHeight="1" x14ac:dyDescent="0.4">
      <c r="A536" s="788">
        <v>535</v>
      </c>
      <c r="B536" s="246" t="s">
        <v>2616</v>
      </c>
      <c r="C536" s="246" t="s">
        <v>24</v>
      </c>
      <c r="D536" s="1306">
        <v>3523</v>
      </c>
      <c r="E536" s="246" t="s">
        <v>3378</v>
      </c>
      <c r="F536" s="246" t="s">
        <v>3379</v>
      </c>
      <c r="G536" s="1381">
        <v>3192</v>
      </c>
      <c r="H536" s="246" t="s">
        <v>3380</v>
      </c>
      <c r="I536" s="649" t="s">
        <v>3381</v>
      </c>
      <c r="J536" s="649" t="s">
        <v>111</v>
      </c>
      <c r="K536" s="253" t="s">
        <v>110</v>
      </c>
      <c r="L536" s="1209">
        <v>0.6</v>
      </c>
      <c r="M536" s="1434" t="s">
        <v>3400</v>
      </c>
      <c r="N536" s="876" t="s">
        <v>3401</v>
      </c>
      <c r="O536" s="1434" t="s">
        <v>3402</v>
      </c>
      <c r="P536" s="262">
        <v>0.9</v>
      </c>
      <c r="Q536" s="1209">
        <v>0.5</v>
      </c>
      <c r="R536" s="262"/>
      <c r="S536" s="659">
        <f t="shared" si="16"/>
        <v>0</v>
      </c>
      <c r="T536" s="263">
        <f t="shared" si="17"/>
        <v>0</v>
      </c>
      <c r="U536" s="262" t="s">
        <v>34</v>
      </c>
      <c r="V536" s="1245"/>
      <c r="W536" s="262"/>
    </row>
    <row r="537" spans="1:23" ht="22.95" customHeight="1" x14ac:dyDescent="0.4">
      <c r="A537" s="788">
        <v>536</v>
      </c>
      <c r="B537" s="187" t="s">
        <v>2616</v>
      </c>
      <c r="C537" s="187" t="s">
        <v>24</v>
      </c>
      <c r="D537" s="1200">
        <v>3601</v>
      </c>
      <c r="E537" s="187" t="s">
        <v>3403</v>
      </c>
      <c r="F537" s="187" t="s">
        <v>3404</v>
      </c>
      <c r="G537" s="674">
        <v>3523</v>
      </c>
      <c r="H537" s="187" t="s">
        <v>3405</v>
      </c>
      <c r="I537" s="187" t="s">
        <v>3406</v>
      </c>
      <c r="J537" s="653" t="s">
        <v>58</v>
      </c>
      <c r="K537" s="653" t="s">
        <v>57</v>
      </c>
      <c r="L537" s="1054">
        <v>0.8</v>
      </c>
      <c r="M537" s="1431" t="s">
        <v>3382</v>
      </c>
      <c r="N537" s="1131" t="s">
        <v>3383</v>
      </c>
      <c r="O537" s="1431" t="s">
        <v>3407</v>
      </c>
      <c r="P537" s="654">
        <v>0.9</v>
      </c>
      <c r="Q537" s="1054">
        <v>0.2</v>
      </c>
      <c r="R537" s="654"/>
      <c r="S537" s="654">
        <f t="shared" si="16"/>
        <v>0</v>
      </c>
      <c r="T537" s="196">
        <f t="shared" si="17"/>
        <v>0</v>
      </c>
      <c r="U537" s="654" t="s">
        <v>34</v>
      </c>
      <c r="V537" s="1221">
        <f>SUM(T537:T543)%</f>
        <v>0</v>
      </c>
      <c r="W537" s="654"/>
    </row>
    <row r="538" spans="1:23" ht="22.95" customHeight="1" x14ac:dyDescent="0.4">
      <c r="A538" s="788">
        <v>537</v>
      </c>
      <c r="B538" s="692" t="s">
        <v>2616</v>
      </c>
      <c r="C538" s="692" t="s">
        <v>24</v>
      </c>
      <c r="D538" s="1303">
        <v>3601</v>
      </c>
      <c r="E538" s="692" t="s">
        <v>3403</v>
      </c>
      <c r="F538" s="692" t="s">
        <v>3404</v>
      </c>
      <c r="G538" s="1432">
        <v>3523</v>
      </c>
      <c r="H538" s="692" t="s">
        <v>3405</v>
      </c>
      <c r="I538" s="692" t="s">
        <v>3406</v>
      </c>
      <c r="J538" s="79" t="s">
        <v>58</v>
      </c>
      <c r="K538" s="79" t="s">
        <v>57</v>
      </c>
      <c r="L538" s="1201">
        <v>0.8</v>
      </c>
      <c r="M538" s="1071" t="s">
        <v>3391</v>
      </c>
      <c r="N538" s="858" t="s">
        <v>3386</v>
      </c>
      <c r="O538" s="1071" t="s">
        <v>3393</v>
      </c>
      <c r="P538" s="657">
        <v>0.9</v>
      </c>
      <c r="Q538" s="1201">
        <v>0.2</v>
      </c>
      <c r="R538" s="657"/>
      <c r="S538" s="657">
        <f t="shared" si="16"/>
        <v>0</v>
      </c>
      <c r="T538" s="207">
        <f t="shared" si="17"/>
        <v>0</v>
      </c>
      <c r="U538" s="206" t="s">
        <v>34</v>
      </c>
      <c r="V538" s="1196"/>
      <c r="W538" s="657"/>
    </row>
    <row r="539" spans="1:23" ht="22.95" customHeight="1" x14ac:dyDescent="0.4">
      <c r="A539" s="788">
        <v>538</v>
      </c>
      <c r="B539" s="692" t="s">
        <v>2616</v>
      </c>
      <c r="C539" s="692" t="s">
        <v>24</v>
      </c>
      <c r="D539" s="1303">
        <v>3601</v>
      </c>
      <c r="E539" s="692" t="s">
        <v>3403</v>
      </c>
      <c r="F539" s="692" t="s">
        <v>3404</v>
      </c>
      <c r="G539" s="1432">
        <v>3523</v>
      </c>
      <c r="H539" s="692" t="s">
        <v>3405</v>
      </c>
      <c r="I539" s="692" t="s">
        <v>3406</v>
      </c>
      <c r="J539" s="79" t="s">
        <v>58</v>
      </c>
      <c r="K539" s="79" t="s">
        <v>57</v>
      </c>
      <c r="L539" s="1201">
        <v>0.8</v>
      </c>
      <c r="M539" s="1071" t="s">
        <v>3408</v>
      </c>
      <c r="N539" s="858" t="s">
        <v>3409</v>
      </c>
      <c r="O539" s="1071" t="s">
        <v>3410</v>
      </c>
      <c r="P539" s="206">
        <v>0.9</v>
      </c>
      <c r="Q539" s="1201">
        <v>0.2</v>
      </c>
      <c r="R539" s="206"/>
      <c r="S539" s="657">
        <f t="shared" si="16"/>
        <v>0</v>
      </c>
      <c r="T539" s="207">
        <f t="shared" si="17"/>
        <v>0</v>
      </c>
      <c r="U539" s="206" t="s">
        <v>34</v>
      </c>
      <c r="V539" s="1196"/>
      <c r="W539" s="657"/>
    </row>
    <row r="540" spans="1:23" ht="22.95" customHeight="1" x14ac:dyDescent="0.4">
      <c r="A540" s="788">
        <v>539</v>
      </c>
      <c r="B540" s="692" t="s">
        <v>2616</v>
      </c>
      <c r="C540" s="692" t="s">
        <v>24</v>
      </c>
      <c r="D540" s="1303">
        <v>3601</v>
      </c>
      <c r="E540" s="692" t="s">
        <v>3403</v>
      </c>
      <c r="F540" s="692" t="s">
        <v>3404</v>
      </c>
      <c r="G540" s="1432">
        <v>3523</v>
      </c>
      <c r="H540" s="692" t="s">
        <v>3405</v>
      </c>
      <c r="I540" s="692" t="s">
        <v>3406</v>
      </c>
      <c r="J540" s="79" t="s">
        <v>58</v>
      </c>
      <c r="K540" s="79" t="s">
        <v>57</v>
      </c>
      <c r="L540" s="1201">
        <v>0.8</v>
      </c>
      <c r="M540" s="1071" t="s">
        <v>3411</v>
      </c>
      <c r="N540" s="858" t="s">
        <v>3412</v>
      </c>
      <c r="O540" s="1071" t="s">
        <v>3413</v>
      </c>
      <c r="P540" s="206">
        <v>0.9</v>
      </c>
      <c r="Q540" s="1201">
        <v>0.2</v>
      </c>
      <c r="R540" s="206"/>
      <c r="S540" s="657">
        <f t="shared" si="16"/>
        <v>0</v>
      </c>
      <c r="T540" s="207">
        <f t="shared" si="17"/>
        <v>0</v>
      </c>
      <c r="U540" s="206" t="s">
        <v>34</v>
      </c>
      <c r="V540" s="1196"/>
      <c r="W540" s="657"/>
    </row>
    <row r="541" spans="1:23" ht="22.95" customHeight="1" x14ac:dyDescent="0.4">
      <c r="A541" s="788">
        <v>540</v>
      </c>
      <c r="B541" s="692" t="s">
        <v>2616</v>
      </c>
      <c r="C541" s="692" t="s">
        <v>24</v>
      </c>
      <c r="D541" s="1303">
        <v>3601</v>
      </c>
      <c r="E541" s="692" t="s">
        <v>3403</v>
      </c>
      <c r="F541" s="692" t="s">
        <v>3404</v>
      </c>
      <c r="G541" s="1432">
        <v>3523</v>
      </c>
      <c r="H541" s="692" t="s">
        <v>3405</v>
      </c>
      <c r="I541" s="692" t="s">
        <v>3406</v>
      </c>
      <c r="J541" s="79" t="s">
        <v>58</v>
      </c>
      <c r="K541" s="79" t="s">
        <v>57</v>
      </c>
      <c r="L541" s="1201">
        <v>0.8</v>
      </c>
      <c r="M541" s="1071" t="s">
        <v>3414</v>
      </c>
      <c r="N541" s="858" t="s">
        <v>3415</v>
      </c>
      <c r="O541" s="1071" t="s">
        <v>3416</v>
      </c>
      <c r="P541" s="206">
        <v>0.9</v>
      </c>
      <c r="Q541" s="1201">
        <v>0.2</v>
      </c>
      <c r="R541" s="206"/>
      <c r="S541" s="657">
        <f t="shared" si="16"/>
        <v>0</v>
      </c>
      <c r="T541" s="207">
        <f t="shared" si="17"/>
        <v>0</v>
      </c>
      <c r="U541" s="206" t="s">
        <v>34</v>
      </c>
      <c r="V541" s="1196"/>
      <c r="W541" s="657"/>
    </row>
    <row r="542" spans="1:23" ht="22.95" customHeight="1" x14ac:dyDescent="0.4">
      <c r="A542" s="788">
        <v>541</v>
      </c>
      <c r="B542" s="246" t="s">
        <v>2616</v>
      </c>
      <c r="C542" s="246" t="s">
        <v>24</v>
      </c>
      <c r="D542" s="1306">
        <v>3601</v>
      </c>
      <c r="E542" s="246" t="s">
        <v>3403</v>
      </c>
      <c r="F542" s="246" t="s">
        <v>3404</v>
      </c>
      <c r="G542" s="946">
        <v>3523</v>
      </c>
      <c r="H542" s="246" t="s">
        <v>3405</v>
      </c>
      <c r="I542" s="246" t="s">
        <v>3406</v>
      </c>
      <c r="J542" s="649" t="s">
        <v>111</v>
      </c>
      <c r="K542" s="253" t="s">
        <v>110</v>
      </c>
      <c r="L542" s="1209">
        <v>0.2</v>
      </c>
      <c r="M542" s="1435" t="s">
        <v>3417</v>
      </c>
      <c r="N542" s="1436" t="s">
        <v>3418</v>
      </c>
      <c r="O542" s="1435" t="s">
        <v>3419</v>
      </c>
      <c r="P542" s="262">
        <v>0.9</v>
      </c>
      <c r="Q542" s="1209">
        <v>0.6</v>
      </c>
      <c r="R542" s="262"/>
      <c r="S542" s="659">
        <f t="shared" si="16"/>
        <v>0</v>
      </c>
      <c r="T542" s="263">
        <f t="shared" si="17"/>
        <v>0</v>
      </c>
      <c r="U542" s="262" t="s">
        <v>34</v>
      </c>
      <c r="V542" s="1174"/>
      <c r="W542" s="233"/>
    </row>
    <row r="543" spans="1:23" ht="22.95" customHeight="1" x14ac:dyDescent="0.4">
      <c r="A543" s="788">
        <v>542</v>
      </c>
      <c r="B543" s="246" t="s">
        <v>2616</v>
      </c>
      <c r="C543" s="246" t="s">
        <v>24</v>
      </c>
      <c r="D543" s="1134">
        <v>3601</v>
      </c>
      <c r="E543" s="246" t="s">
        <v>3403</v>
      </c>
      <c r="F543" s="246" t="s">
        <v>3404</v>
      </c>
      <c r="G543" s="946">
        <v>3523</v>
      </c>
      <c r="H543" s="246" t="s">
        <v>3405</v>
      </c>
      <c r="I543" s="246" t="s">
        <v>3406</v>
      </c>
      <c r="J543" s="649" t="s">
        <v>111</v>
      </c>
      <c r="K543" s="253" t="s">
        <v>110</v>
      </c>
      <c r="L543" s="1209">
        <v>0.2</v>
      </c>
      <c r="M543" s="1435" t="s">
        <v>3420</v>
      </c>
      <c r="N543" s="1436" t="s">
        <v>3421</v>
      </c>
      <c r="O543" s="1435" t="s">
        <v>3422</v>
      </c>
      <c r="P543" s="262">
        <v>0.9</v>
      </c>
      <c r="Q543" s="1209">
        <v>0.4</v>
      </c>
      <c r="R543" s="262"/>
      <c r="S543" s="659">
        <f t="shared" si="16"/>
        <v>0</v>
      </c>
      <c r="T543" s="263">
        <f t="shared" si="17"/>
        <v>0</v>
      </c>
      <c r="U543" s="262" t="s">
        <v>34</v>
      </c>
      <c r="V543" s="1228"/>
      <c r="W543" s="233"/>
    </row>
    <row r="544" spans="1:23" ht="22.95" customHeight="1" x14ac:dyDescent="0.4">
      <c r="A544" s="788">
        <v>543</v>
      </c>
      <c r="B544" s="187" t="s">
        <v>2616</v>
      </c>
      <c r="C544" s="187" t="s">
        <v>24</v>
      </c>
      <c r="D544" s="1200">
        <v>3933</v>
      </c>
      <c r="E544" s="187" t="s">
        <v>3423</v>
      </c>
      <c r="F544" s="187" t="s">
        <v>3424</v>
      </c>
      <c r="G544" s="674">
        <v>3601</v>
      </c>
      <c r="H544" s="187" t="s">
        <v>3425</v>
      </c>
      <c r="I544" s="187" t="s">
        <v>3406</v>
      </c>
      <c r="J544" s="653" t="s">
        <v>58</v>
      </c>
      <c r="K544" s="653" t="s">
        <v>57</v>
      </c>
      <c r="L544" s="1054">
        <v>0.6</v>
      </c>
      <c r="M544" s="1431" t="s">
        <v>3426</v>
      </c>
      <c r="N544" s="1437" t="s">
        <v>3427</v>
      </c>
      <c r="O544" s="1431" t="s">
        <v>3428</v>
      </c>
      <c r="P544" s="654">
        <v>0.9</v>
      </c>
      <c r="Q544" s="1054">
        <v>0.6</v>
      </c>
      <c r="R544" s="654"/>
      <c r="S544" s="654">
        <f t="shared" si="16"/>
        <v>0</v>
      </c>
      <c r="T544" s="196">
        <f t="shared" si="17"/>
        <v>0</v>
      </c>
      <c r="U544" s="654" t="s">
        <v>34</v>
      </c>
      <c r="V544" s="1221">
        <f>SUM(T544:T548)%</f>
        <v>0</v>
      </c>
      <c r="W544" s="654"/>
    </row>
    <row r="545" spans="1:23" ht="22.95" customHeight="1" x14ac:dyDescent="0.4">
      <c r="A545" s="788">
        <v>544</v>
      </c>
      <c r="B545" s="692" t="s">
        <v>2616</v>
      </c>
      <c r="C545" s="692" t="s">
        <v>24</v>
      </c>
      <c r="D545" s="1303">
        <v>3933</v>
      </c>
      <c r="E545" s="692" t="s">
        <v>3423</v>
      </c>
      <c r="F545" s="692" t="s">
        <v>3424</v>
      </c>
      <c r="G545" s="1432">
        <v>3601</v>
      </c>
      <c r="H545" s="692" t="s">
        <v>3425</v>
      </c>
      <c r="I545" s="692" t="s">
        <v>3406</v>
      </c>
      <c r="J545" s="79" t="s">
        <v>58</v>
      </c>
      <c r="K545" s="79" t="s">
        <v>57</v>
      </c>
      <c r="L545" s="1201">
        <v>0.6</v>
      </c>
      <c r="M545" s="1071" t="s">
        <v>3429</v>
      </c>
      <c r="N545" s="1438" t="s">
        <v>3430</v>
      </c>
      <c r="O545" s="1071" t="s">
        <v>3431</v>
      </c>
      <c r="P545" s="657">
        <v>0.9</v>
      </c>
      <c r="Q545" s="1201">
        <v>0.2</v>
      </c>
      <c r="R545" s="657"/>
      <c r="S545" s="657">
        <f t="shared" si="16"/>
        <v>0</v>
      </c>
      <c r="T545" s="207">
        <f t="shared" si="17"/>
        <v>0</v>
      </c>
      <c r="U545" s="657" t="s">
        <v>34</v>
      </c>
      <c r="V545" s="1196"/>
      <c r="W545" s="657"/>
    </row>
    <row r="546" spans="1:23" ht="22.95" customHeight="1" x14ac:dyDescent="0.4">
      <c r="A546" s="788">
        <v>545</v>
      </c>
      <c r="B546" s="692" t="s">
        <v>2616</v>
      </c>
      <c r="C546" s="692" t="s">
        <v>24</v>
      </c>
      <c r="D546" s="1303">
        <v>3933</v>
      </c>
      <c r="E546" s="692" t="s">
        <v>3423</v>
      </c>
      <c r="F546" s="692" t="s">
        <v>3424</v>
      </c>
      <c r="G546" s="1432">
        <v>3601</v>
      </c>
      <c r="H546" s="692" t="s">
        <v>3425</v>
      </c>
      <c r="I546" s="692" t="s">
        <v>3406</v>
      </c>
      <c r="J546" s="79" t="s">
        <v>58</v>
      </c>
      <c r="K546" s="79" t="s">
        <v>57</v>
      </c>
      <c r="L546" s="1201">
        <v>0.6</v>
      </c>
      <c r="M546" s="1071" t="s">
        <v>3432</v>
      </c>
      <c r="N546" s="1438" t="s">
        <v>3433</v>
      </c>
      <c r="O546" s="1071" t="s">
        <v>3434</v>
      </c>
      <c r="P546" s="657">
        <v>0.9</v>
      </c>
      <c r="Q546" s="1201">
        <v>0.2</v>
      </c>
      <c r="R546" s="657"/>
      <c r="S546" s="657">
        <f t="shared" si="16"/>
        <v>0</v>
      </c>
      <c r="T546" s="207">
        <f t="shared" si="17"/>
        <v>0</v>
      </c>
      <c r="U546" s="206" t="s">
        <v>34</v>
      </c>
      <c r="V546" s="1196"/>
      <c r="W546" s="657"/>
    </row>
    <row r="547" spans="1:23" ht="22.95" customHeight="1" x14ac:dyDescent="0.4">
      <c r="A547" s="788">
        <v>546</v>
      </c>
      <c r="B547" s="246" t="s">
        <v>2616</v>
      </c>
      <c r="C547" s="246" t="s">
        <v>24</v>
      </c>
      <c r="D547" s="1306">
        <v>3933</v>
      </c>
      <c r="E547" s="246" t="s">
        <v>3423</v>
      </c>
      <c r="F547" s="246" t="s">
        <v>3424</v>
      </c>
      <c r="G547" s="946">
        <v>3601</v>
      </c>
      <c r="H547" s="246" t="s">
        <v>3425</v>
      </c>
      <c r="I547" s="246" t="s">
        <v>3406</v>
      </c>
      <c r="J547" s="649" t="s">
        <v>111</v>
      </c>
      <c r="K547" s="253" t="s">
        <v>110</v>
      </c>
      <c r="L547" s="1209">
        <v>0.4</v>
      </c>
      <c r="M547" s="1434" t="s">
        <v>3435</v>
      </c>
      <c r="N547" s="1439" t="s">
        <v>3436</v>
      </c>
      <c r="O547" s="1434" t="s">
        <v>3437</v>
      </c>
      <c r="P547" s="262">
        <v>0.9</v>
      </c>
      <c r="Q547" s="1209">
        <v>0.5</v>
      </c>
      <c r="R547" s="262"/>
      <c r="S547" s="659">
        <f t="shared" si="16"/>
        <v>0</v>
      </c>
      <c r="T547" s="263">
        <f t="shared" si="17"/>
        <v>0</v>
      </c>
      <c r="U547" s="262" t="s">
        <v>34</v>
      </c>
      <c r="V547" s="1245"/>
      <c r="W547" s="233"/>
    </row>
    <row r="548" spans="1:23" ht="22.95" customHeight="1" x14ac:dyDescent="0.4">
      <c r="A548" s="788">
        <v>547</v>
      </c>
      <c r="B548" s="246" t="s">
        <v>2616</v>
      </c>
      <c r="C548" s="246" t="s">
        <v>24</v>
      </c>
      <c r="D548" s="1306">
        <v>3933</v>
      </c>
      <c r="E548" s="246" t="s">
        <v>3423</v>
      </c>
      <c r="F548" s="246" t="s">
        <v>3424</v>
      </c>
      <c r="G548" s="946">
        <v>3601</v>
      </c>
      <c r="H548" s="246" t="s">
        <v>3425</v>
      </c>
      <c r="I548" s="246" t="s">
        <v>3406</v>
      </c>
      <c r="J548" s="649" t="s">
        <v>111</v>
      </c>
      <c r="K548" s="253" t="s">
        <v>110</v>
      </c>
      <c r="L548" s="1209">
        <v>0.4</v>
      </c>
      <c r="M548" s="1434" t="s">
        <v>3438</v>
      </c>
      <c r="N548" s="1061" t="s">
        <v>3439</v>
      </c>
      <c r="O548" s="1434" t="s">
        <v>3440</v>
      </c>
      <c r="P548" s="262">
        <v>0.9</v>
      </c>
      <c r="Q548" s="1209">
        <v>0.5</v>
      </c>
      <c r="R548" s="262"/>
      <c r="S548" s="659">
        <f t="shared" si="16"/>
        <v>0</v>
      </c>
      <c r="T548" s="263">
        <f t="shared" si="17"/>
        <v>0</v>
      </c>
      <c r="U548" s="262" t="s">
        <v>34</v>
      </c>
      <c r="V548" s="1245"/>
      <c r="W548" s="233"/>
    </row>
    <row r="549" spans="1:23" ht="22.95" customHeight="1" x14ac:dyDescent="0.4">
      <c r="A549" s="788">
        <v>548</v>
      </c>
      <c r="B549" s="187" t="s">
        <v>2616</v>
      </c>
      <c r="C549" s="187" t="s">
        <v>24</v>
      </c>
      <c r="D549" s="1200">
        <v>3740</v>
      </c>
      <c r="E549" s="187" t="s">
        <v>3441</v>
      </c>
      <c r="F549" s="187" t="s">
        <v>3442</v>
      </c>
      <c r="G549" s="674">
        <v>3601</v>
      </c>
      <c r="H549" s="187" t="s">
        <v>3425</v>
      </c>
      <c r="I549" s="187" t="s">
        <v>3406</v>
      </c>
      <c r="J549" s="653" t="s">
        <v>58</v>
      </c>
      <c r="K549" s="653" t="s">
        <v>57</v>
      </c>
      <c r="L549" s="1054">
        <v>0.4</v>
      </c>
      <c r="M549" s="1431" t="s">
        <v>3443</v>
      </c>
      <c r="N549" s="1131" t="s">
        <v>3444</v>
      </c>
      <c r="O549" s="1311" t="s">
        <v>3445</v>
      </c>
      <c r="P549" s="654">
        <v>0.9</v>
      </c>
      <c r="Q549" s="1054">
        <v>0.3</v>
      </c>
      <c r="R549" s="654"/>
      <c r="S549" s="654">
        <f t="shared" si="16"/>
        <v>0</v>
      </c>
      <c r="T549" s="196">
        <f t="shared" si="17"/>
        <v>0</v>
      </c>
      <c r="U549" s="195" t="s">
        <v>34</v>
      </c>
      <c r="V549" s="1221">
        <f>SUM(T549:T553)%</f>
        <v>0</v>
      </c>
      <c r="W549" s="654"/>
    </row>
    <row r="550" spans="1:23" ht="22.95" customHeight="1" x14ac:dyDescent="0.4">
      <c r="A550" s="788">
        <v>549</v>
      </c>
      <c r="B550" s="692" t="s">
        <v>2616</v>
      </c>
      <c r="C550" s="692" t="s">
        <v>24</v>
      </c>
      <c r="D550" s="1303">
        <v>3740</v>
      </c>
      <c r="E550" s="692" t="s">
        <v>3441</v>
      </c>
      <c r="F550" s="692" t="s">
        <v>3442</v>
      </c>
      <c r="G550" s="1432">
        <v>3601</v>
      </c>
      <c r="H550" s="692" t="s">
        <v>3425</v>
      </c>
      <c r="I550" s="692" t="s">
        <v>3406</v>
      </c>
      <c r="J550" s="79" t="s">
        <v>58</v>
      </c>
      <c r="K550" s="79" t="s">
        <v>57</v>
      </c>
      <c r="L550" s="1201">
        <v>0.4</v>
      </c>
      <c r="M550" s="1071" t="s">
        <v>3446</v>
      </c>
      <c r="N550" s="858" t="s">
        <v>3447</v>
      </c>
      <c r="O550" s="1313" t="s">
        <v>3448</v>
      </c>
      <c r="P550" s="657">
        <v>0.9</v>
      </c>
      <c r="Q550" s="1201">
        <v>0.3</v>
      </c>
      <c r="R550" s="657"/>
      <c r="S550" s="657">
        <f t="shared" si="16"/>
        <v>0</v>
      </c>
      <c r="T550" s="207">
        <f t="shared" si="17"/>
        <v>0</v>
      </c>
      <c r="U550" s="206" t="s">
        <v>34</v>
      </c>
      <c r="V550" s="1196"/>
      <c r="W550" s="657"/>
    </row>
    <row r="551" spans="1:23" ht="22.95" customHeight="1" x14ac:dyDescent="0.4">
      <c r="A551" s="788">
        <v>550</v>
      </c>
      <c r="B551" s="692" t="s">
        <v>2616</v>
      </c>
      <c r="C551" s="692" t="s">
        <v>24</v>
      </c>
      <c r="D551" s="1303">
        <v>3740</v>
      </c>
      <c r="E551" s="692" t="s">
        <v>3441</v>
      </c>
      <c r="F551" s="692" t="s">
        <v>3442</v>
      </c>
      <c r="G551" s="1432">
        <v>3601</v>
      </c>
      <c r="H551" s="692" t="s">
        <v>3425</v>
      </c>
      <c r="I551" s="692" t="s">
        <v>3406</v>
      </c>
      <c r="J551" s="79" t="s">
        <v>58</v>
      </c>
      <c r="K551" s="79" t="s">
        <v>57</v>
      </c>
      <c r="L551" s="1201">
        <v>0.4</v>
      </c>
      <c r="M551" s="1071" t="s">
        <v>3449</v>
      </c>
      <c r="N551" s="858" t="s">
        <v>3450</v>
      </c>
      <c r="O551" s="1313" t="s">
        <v>3451</v>
      </c>
      <c r="P551" s="206">
        <v>0.9</v>
      </c>
      <c r="Q551" s="1201">
        <v>0.2</v>
      </c>
      <c r="R551" s="206"/>
      <c r="S551" s="657">
        <f t="shared" si="16"/>
        <v>0</v>
      </c>
      <c r="T551" s="207">
        <f t="shared" si="17"/>
        <v>0</v>
      </c>
      <c r="U551" s="206" t="s">
        <v>34</v>
      </c>
      <c r="V551" s="1196"/>
      <c r="W551" s="657"/>
    </row>
    <row r="552" spans="1:23" ht="22.95" customHeight="1" x14ac:dyDescent="0.4">
      <c r="A552" s="788">
        <v>551</v>
      </c>
      <c r="B552" s="692" t="s">
        <v>2616</v>
      </c>
      <c r="C552" s="692" t="s">
        <v>24</v>
      </c>
      <c r="D552" s="1303">
        <v>3740</v>
      </c>
      <c r="E552" s="692" t="s">
        <v>3441</v>
      </c>
      <c r="F552" s="692" t="s">
        <v>3442</v>
      </c>
      <c r="G552" s="1432">
        <v>3601</v>
      </c>
      <c r="H552" s="692" t="s">
        <v>3425</v>
      </c>
      <c r="I552" s="692" t="s">
        <v>3406</v>
      </c>
      <c r="J552" s="79" t="s">
        <v>58</v>
      </c>
      <c r="K552" s="79" t="s">
        <v>57</v>
      </c>
      <c r="L552" s="1201">
        <v>0.4</v>
      </c>
      <c r="M552" s="1071" t="s">
        <v>3394</v>
      </c>
      <c r="N552" s="858" t="s">
        <v>2811</v>
      </c>
      <c r="O552" s="1313" t="s">
        <v>3452</v>
      </c>
      <c r="P552" s="206">
        <v>1</v>
      </c>
      <c r="Q552" s="1201">
        <v>0.2</v>
      </c>
      <c r="R552" s="206"/>
      <c r="S552" s="657">
        <f t="shared" si="16"/>
        <v>0</v>
      </c>
      <c r="T552" s="207">
        <f t="shared" si="17"/>
        <v>0</v>
      </c>
      <c r="U552" s="206" t="s">
        <v>34</v>
      </c>
      <c r="V552" s="1196"/>
      <c r="W552" s="657"/>
    </row>
    <row r="553" spans="1:23" ht="22.95" customHeight="1" x14ac:dyDescent="0.4">
      <c r="A553" s="788">
        <v>552</v>
      </c>
      <c r="B553" s="246" t="s">
        <v>2616</v>
      </c>
      <c r="C553" s="246" t="s">
        <v>24</v>
      </c>
      <c r="D553" s="1440">
        <v>3740</v>
      </c>
      <c r="E553" s="1150" t="s">
        <v>3441</v>
      </c>
      <c r="F553" s="1150" t="s">
        <v>3442</v>
      </c>
      <c r="G553" s="1441">
        <v>3601</v>
      </c>
      <c r="H553" s="1150" t="s">
        <v>3425</v>
      </c>
      <c r="I553" s="1150" t="s">
        <v>3406</v>
      </c>
      <c r="J553" s="1001" t="s">
        <v>111</v>
      </c>
      <c r="K553" s="1442" t="s">
        <v>110</v>
      </c>
      <c r="L553" s="1443">
        <v>0.6</v>
      </c>
      <c r="M553" s="1444" t="s">
        <v>3453</v>
      </c>
      <c r="N553" s="1445" t="s">
        <v>3454</v>
      </c>
      <c r="O553" s="1446" t="s">
        <v>3455</v>
      </c>
      <c r="P553" s="1447">
        <v>0.9</v>
      </c>
      <c r="Q553" s="1443">
        <v>1</v>
      </c>
      <c r="R553" s="1447"/>
      <c r="S553" s="659">
        <f t="shared" si="16"/>
        <v>0</v>
      </c>
      <c r="T553" s="263">
        <f t="shared" si="17"/>
        <v>0</v>
      </c>
      <c r="U553" s="1447" t="s">
        <v>34</v>
      </c>
      <c r="V553" s="1448"/>
      <c r="W553" s="1162"/>
    </row>
    <row r="554" spans="1:23" ht="22.95" customHeight="1" x14ac:dyDescent="0.4">
      <c r="A554" s="788">
        <v>553</v>
      </c>
      <c r="B554" s="187" t="s">
        <v>2616</v>
      </c>
      <c r="C554" s="1449" t="s">
        <v>24</v>
      </c>
      <c r="D554" s="1200">
        <v>3579</v>
      </c>
      <c r="E554" s="187" t="s">
        <v>3456</v>
      </c>
      <c r="F554" s="187" t="s">
        <v>2408</v>
      </c>
      <c r="G554" s="674">
        <v>3935</v>
      </c>
      <c r="H554" s="187" t="s">
        <v>3457</v>
      </c>
      <c r="I554" s="187" t="s">
        <v>3406</v>
      </c>
      <c r="J554" s="653" t="s">
        <v>58</v>
      </c>
      <c r="K554" s="653" t="s">
        <v>57</v>
      </c>
      <c r="L554" s="1054">
        <v>0.8</v>
      </c>
      <c r="M554" s="1450" t="s">
        <v>3458</v>
      </c>
      <c r="N554" s="1312" t="s">
        <v>3459</v>
      </c>
      <c r="O554" s="1450" t="s">
        <v>3460</v>
      </c>
      <c r="P554" s="654">
        <v>0.9</v>
      </c>
      <c r="Q554" s="1054">
        <v>0.3</v>
      </c>
      <c r="R554" s="654"/>
      <c r="S554" s="654">
        <f t="shared" si="16"/>
        <v>0</v>
      </c>
      <c r="T554" s="196">
        <f t="shared" si="17"/>
        <v>0</v>
      </c>
      <c r="U554" s="295" t="s">
        <v>34</v>
      </c>
      <c r="V554" s="1221">
        <f>SUM(T554:T559)%</f>
        <v>0</v>
      </c>
      <c r="W554" s="791"/>
    </row>
    <row r="555" spans="1:23" ht="22.95" customHeight="1" x14ac:dyDescent="0.4">
      <c r="A555" s="788">
        <v>554</v>
      </c>
      <c r="B555" s="692" t="s">
        <v>2616</v>
      </c>
      <c r="C555" s="1451" t="s">
        <v>24</v>
      </c>
      <c r="D555" s="1303">
        <v>3579</v>
      </c>
      <c r="E555" s="692" t="s">
        <v>3456</v>
      </c>
      <c r="F555" s="692" t="s">
        <v>2408</v>
      </c>
      <c r="G555" s="1432">
        <v>3935</v>
      </c>
      <c r="H555" s="692" t="s">
        <v>3457</v>
      </c>
      <c r="I555" s="692" t="s">
        <v>3406</v>
      </c>
      <c r="J555" s="79" t="s">
        <v>58</v>
      </c>
      <c r="K555" s="79" t="s">
        <v>57</v>
      </c>
      <c r="L555" s="1201">
        <v>0.8</v>
      </c>
      <c r="M555" s="1452" t="s">
        <v>3461</v>
      </c>
      <c r="N555" s="1314" t="s">
        <v>3462</v>
      </c>
      <c r="O555" s="1071" t="s">
        <v>3463</v>
      </c>
      <c r="P555" s="657">
        <v>0.9</v>
      </c>
      <c r="Q555" s="1201">
        <v>0.3</v>
      </c>
      <c r="R555" s="657"/>
      <c r="S555" s="657">
        <f t="shared" si="16"/>
        <v>0</v>
      </c>
      <c r="T555" s="207">
        <f t="shared" si="17"/>
        <v>0</v>
      </c>
      <c r="U555" s="1400" t="s">
        <v>34</v>
      </c>
      <c r="V555" s="1203"/>
      <c r="W555" s="840"/>
    </row>
    <row r="556" spans="1:23" ht="22.95" customHeight="1" x14ac:dyDescent="0.4">
      <c r="A556" s="788">
        <v>555</v>
      </c>
      <c r="B556" s="692" t="s">
        <v>2616</v>
      </c>
      <c r="C556" s="1451" t="s">
        <v>24</v>
      </c>
      <c r="D556" s="1303">
        <v>3579</v>
      </c>
      <c r="E556" s="692" t="s">
        <v>3456</v>
      </c>
      <c r="F556" s="692" t="s">
        <v>2408</v>
      </c>
      <c r="G556" s="1432">
        <v>3935</v>
      </c>
      <c r="H556" s="692" t="s">
        <v>3457</v>
      </c>
      <c r="I556" s="692" t="s">
        <v>3406</v>
      </c>
      <c r="J556" s="79" t="s">
        <v>58</v>
      </c>
      <c r="K556" s="79" t="s">
        <v>57</v>
      </c>
      <c r="L556" s="1201">
        <v>0.8</v>
      </c>
      <c r="M556" s="1452" t="s">
        <v>3464</v>
      </c>
      <c r="N556" s="1314" t="s">
        <v>3450</v>
      </c>
      <c r="O556" s="1071" t="s">
        <v>3465</v>
      </c>
      <c r="P556" s="206">
        <v>1</v>
      </c>
      <c r="Q556" s="1201">
        <v>0.2</v>
      </c>
      <c r="R556" s="206"/>
      <c r="S556" s="657">
        <f t="shared" si="16"/>
        <v>0</v>
      </c>
      <c r="T556" s="207">
        <f t="shared" si="17"/>
        <v>0</v>
      </c>
      <c r="U556" s="1400" t="s">
        <v>34</v>
      </c>
      <c r="V556" s="1203"/>
      <c r="W556" s="840"/>
    </row>
    <row r="557" spans="1:23" ht="22.95" customHeight="1" x14ac:dyDescent="0.4">
      <c r="A557" s="788">
        <v>556</v>
      </c>
      <c r="B557" s="692" t="s">
        <v>2616</v>
      </c>
      <c r="C557" s="1451" t="s">
        <v>24</v>
      </c>
      <c r="D557" s="1303">
        <v>3579</v>
      </c>
      <c r="E557" s="692" t="s">
        <v>3456</v>
      </c>
      <c r="F557" s="692" t="s">
        <v>2408</v>
      </c>
      <c r="G557" s="1432">
        <v>3935</v>
      </c>
      <c r="H557" s="692" t="s">
        <v>3457</v>
      </c>
      <c r="I557" s="692" t="s">
        <v>3406</v>
      </c>
      <c r="J557" s="79" t="s">
        <v>58</v>
      </c>
      <c r="K557" s="79" t="s">
        <v>57</v>
      </c>
      <c r="L557" s="1201">
        <v>0.8</v>
      </c>
      <c r="M557" s="1452" t="s">
        <v>3394</v>
      </c>
      <c r="N557" s="1314" t="s">
        <v>2811</v>
      </c>
      <c r="O557" s="1071" t="s">
        <v>3466</v>
      </c>
      <c r="P557" s="206">
        <v>0.9</v>
      </c>
      <c r="Q557" s="1201">
        <v>0.2</v>
      </c>
      <c r="R557" s="206"/>
      <c r="S557" s="657">
        <f t="shared" si="16"/>
        <v>0</v>
      </c>
      <c r="T557" s="207">
        <f t="shared" si="17"/>
        <v>0</v>
      </c>
      <c r="U557" s="1400" t="s">
        <v>34</v>
      </c>
      <c r="V557" s="1203"/>
      <c r="W557" s="840"/>
    </row>
    <row r="558" spans="1:23" ht="22.95" customHeight="1" x14ac:dyDescent="0.4">
      <c r="A558" s="788">
        <v>557</v>
      </c>
      <c r="B558" s="246" t="s">
        <v>2616</v>
      </c>
      <c r="C558" s="1453" t="s">
        <v>24</v>
      </c>
      <c r="D558" s="1306">
        <v>3579</v>
      </c>
      <c r="E558" s="246" t="s">
        <v>3456</v>
      </c>
      <c r="F558" s="246" t="s">
        <v>2408</v>
      </c>
      <c r="G558" s="946">
        <v>3935</v>
      </c>
      <c r="H558" s="246" t="s">
        <v>3457</v>
      </c>
      <c r="I558" s="246" t="s">
        <v>3406</v>
      </c>
      <c r="J558" s="1001" t="s">
        <v>111</v>
      </c>
      <c r="K558" s="1442" t="s">
        <v>110</v>
      </c>
      <c r="L558" s="1209">
        <v>0.2</v>
      </c>
      <c r="M558" s="1454" t="s">
        <v>3467</v>
      </c>
      <c r="N558" s="1455" t="s">
        <v>3468</v>
      </c>
      <c r="O558" s="1456"/>
      <c r="P558" s="262">
        <v>0.9</v>
      </c>
      <c r="Q558" s="1209">
        <v>0.5</v>
      </c>
      <c r="R558" s="262"/>
      <c r="S558" s="659">
        <f t="shared" si="16"/>
        <v>0</v>
      </c>
      <c r="T558" s="263">
        <f t="shared" si="17"/>
        <v>0</v>
      </c>
      <c r="U558" s="303" t="s">
        <v>34</v>
      </c>
      <c r="V558" s="1228"/>
      <c r="W558" s="799"/>
    </row>
    <row r="559" spans="1:23" ht="22.95" customHeight="1" x14ac:dyDescent="0.4">
      <c r="A559" s="788">
        <v>558</v>
      </c>
      <c r="B559" s="246" t="s">
        <v>2616</v>
      </c>
      <c r="C559" s="1453" t="s">
        <v>24</v>
      </c>
      <c r="D559" s="1306">
        <v>3579</v>
      </c>
      <c r="E559" s="246" t="s">
        <v>3456</v>
      </c>
      <c r="F559" s="246" t="s">
        <v>2408</v>
      </c>
      <c r="G559" s="946">
        <v>3935</v>
      </c>
      <c r="H559" s="246" t="s">
        <v>3457</v>
      </c>
      <c r="I559" s="246" t="s">
        <v>3406</v>
      </c>
      <c r="J559" s="1001" t="s">
        <v>111</v>
      </c>
      <c r="K559" s="1442" t="s">
        <v>110</v>
      </c>
      <c r="L559" s="1209">
        <v>0.2</v>
      </c>
      <c r="M559" s="1454" t="s">
        <v>3469</v>
      </c>
      <c r="N559" s="1455" t="s">
        <v>3470</v>
      </c>
      <c r="O559" s="1434" t="s">
        <v>3471</v>
      </c>
      <c r="P559" s="262">
        <v>0.9</v>
      </c>
      <c r="Q559" s="1209">
        <v>0.5</v>
      </c>
      <c r="R559" s="262"/>
      <c r="S559" s="659">
        <f t="shared" si="16"/>
        <v>0</v>
      </c>
      <c r="T559" s="263">
        <f t="shared" si="17"/>
        <v>0</v>
      </c>
      <c r="U559" s="303" t="s">
        <v>34</v>
      </c>
      <c r="V559" s="1228"/>
      <c r="W559" s="799"/>
    </row>
    <row r="560" spans="1:23" ht="22.95" customHeight="1" x14ac:dyDescent="0.4">
      <c r="A560" s="788">
        <v>559</v>
      </c>
      <c r="B560" s="187" t="s">
        <v>2616</v>
      </c>
      <c r="C560" s="1449" t="s">
        <v>24</v>
      </c>
      <c r="D560" s="1200">
        <v>6475</v>
      </c>
      <c r="E560" s="187" t="s">
        <v>3472</v>
      </c>
      <c r="F560" s="187" t="s">
        <v>3473</v>
      </c>
      <c r="G560" s="674">
        <v>3601</v>
      </c>
      <c r="H560" s="187" t="s">
        <v>3403</v>
      </c>
      <c r="I560" s="187" t="s">
        <v>3406</v>
      </c>
      <c r="J560" s="653" t="s">
        <v>58</v>
      </c>
      <c r="K560" s="653" t="s">
        <v>57</v>
      </c>
      <c r="L560" s="1054">
        <v>0.6</v>
      </c>
      <c r="M560" s="1431" t="s">
        <v>3382</v>
      </c>
      <c r="N560" s="1131" t="s">
        <v>3383</v>
      </c>
      <c r="O560" s="1457" t="s">
        <v>3474</v>
      </c>
      <c r="P560" s="654">
        <v>0.9</v>
      </c>
      <c r="Q560" s="1054">
        <v>0.3</v>
      </c>
      <c r="R560" s="654"/>
      <c r="S560" s="654">
        <f t="shared" si="16"/>
        <v>0</v>
      </c>
      <c r="T560" s="196">
        <f t="shared" si="17"/>
        <v>0</v>
      </c>
      <c r="U560" s="295" t="s">
        <v>34</v>
      </c>
      <c r="V560" s="1221">
        <f>SUM(T560:T566)%</f>
        <v>0</v>
      </c>
      <c r="W560" s="791"/>
    </row>
    <row r="561" spans="1:23" ht="22.95" customHeight="1" x14ac:dyDescent="0.4">
      <c r="A561" s="788">
        <v>560</v>
      </c>
      <c r="B561" s="692" t="s">
        <v>2616</v>
      </c>
      <c r="C561" s="1451" t="s">
        <v>24</v>
      </c>
      <c r="D561" s="1303">
        <v>6475</v>
      </c>
      <c r="E561" s="692" t="s">
        <v>3472</v>
      </c>
      <c r="F561" s="692" t="s">
        <v>3473</v>
      </c>
      <c r="G561" s="1432">
        <v>3601</v>
      </c>
      <c r="H561" s="692" t="s">
        <v>3403</v>
      </c>
      <c r="I561" s="692" t="s">
        <v>3406</v>
      </c>
      <c r="J561" s="79" t="s">
        <v>58</v>
      </c>
      <c r="K561" s="79" t="s">
        <v>57</v>
      </c>
      <c r="L561" s="1201">
        <v>0.6</v>
      </c>
      <c r="M561" s="1071" t="s">
        <v>3391</v>
      </c>
      <c r="N561" s="858" t="s">
        <v>3475</v>
      </c>
      <c r="O561" s="1458" t="s">
        <v>3476</v>
      </c>
      <c r="P561" s="657">
        <v>0.9</v>
      </c>
      <c r="Q561" s="1201">
        <v>0.2</v>
      </c>
      <c r="R561" s="657"/>
      <c r="S561" s="657">
        <f t="shared" si="16"/>
        <v>0</v>
      </c>
      <c r="T561" s="207">
        <f t="shared" si="17"/>
        <v>0</v>
      </c>
      <c r="U561" s="1400" t="s">
        <v>34</v>
      </c>
      <c r="V561" s="1203"/>
      <c r="W561" s="840"/>
    </row>
    <row r="562" spans="1:23" ht="22.95" customHeight="1" x14ac:dyDescent="0.4">
      <c r="A562" s="788">
        <v>561</v>
      </c>
      <c r="B562" s="692" t="s">
        <v>2616</v>
      </c>
      <c r="C562" s="1451" t="s">
        <v>24</v>
      </c>
      <c r="D562" s="1303">
        <v>6475</v>
      </c>
      <c r="E562" s="692" t="s">
        <v>3472</v>
      </c>
      <c r="F562" s="692" t="s">
        <v>3473</v>
      </c>
      <c r="G562" s="1432">
        <v>3601</v>
      </c>
      <c r="H562" s="692" t="s">
        <v>3403</v>
      </c>
      <c r="I562" s="692" t="s">
        <v>3406</v>
      </c>
      <c r="J562" s="79" t="s">
        <v>58</v>
      </c>
      <c r="K562" s="79" t="s">
        <v>57</v>
      </c>
      <c r="L562" s="1201">
        <v>0.6</v>
      </c>
      <c r="M562" s="1071" t="s">
        <v>3408</v>
      </c>
      <c r="N562" s="858" t="s">
        <v>3409</v>
      </c>
      <c r="O562" s="1458" t="s">
        <v>3477</v>
      </c>
      <c r="P562" s="206">
        <v>0.9</v>
      </c>
      <c r="Q562" s="1201">
        <v>0.2</v>
      </c>
      <c r="R562" s="206"/>
      <c r="S562" s="657">
        <f t="shared" si="16"/>
        <v>0</v>
      </c>
      <c r="T562" s="207">
        <f t="shared" si="17"/>
        <v>0</v>
      </c>
      <c r="U562" s="1400" t="s">
        <v>34</v>
      </c>
      <c r="V562" s="1203"/>
      <c r="W562" s="840"/>
    </row>
    <row r="563" spans="1:23" ht="22.95" customHeight="1" x14ac:dyDescent="0.4">
      <c r="A563" s="788">
        <v>562</v>
      </c>
      <c r="B563" s="692" t="s">
        <v>2616</v>
      </c>
      <c r="C563" s="1451" t="s">
        <v>24</v>
      </c>
      <c r="D563" s="1303">
        <v>6475</v>
      </c>
      <c r="E563" s="692" t="s">
        <v>3472</v>
      </c>
      <c r="F563" s="692" t="s">
        <v>3473</v>
      </c>
      <c r="G563" s="1432">
        <v>3601</v>
      </c>
      <c r="H563" s="692" t="s">
        <v>3403</v>
      </c>
      <c r="I563" s="692" t="s">
        <v>3406</v>
      </c>
      <c r="J563" s="79" t="s">
        <v>58</v>
      </c>
      <c r="K563" s="79" t="s">
        <v>57</v>
      </c>
      <c r="L563" s="1201">
        <v>0.6</v>
      </c>
      <c r="M563" s="1071" t="s">
        <v>3411</v>
      </c>
      <c r="N563" s="858" t="s">
        <v>3412</v>
      </c>
      <c r="O563" s="1458" t="s">
        <v>3478</v>
      </c>
      <c r="P563" s="206">
        <v>0.9</v>
      </c>
      <c r="Q563" s="1201">
        <v>0.1</v>
      </c>
      <c r="R563" s="206"/>
      <c r="S563" s="657">
        <f t="shared" si="16"/>
        <v>0</v>
      </c>
      <c r="T563" s="207">
        <f t="shared" si="17"/>
        <v>0</v>
      </c>
      <c r="U563" s="1400" t="s">
        <v>34</v>
      </c>
      <c r="V563" s="1203"/>
      <c r="W563" s="840"/>
    </row>
    <row r="564" spans="1:23" ht="22.95" customHeight="1" x14ac:dyDescent="0.4">
      <c r="A564" s="788">
        <v>563</v>
      </c>
      <c r="B564" s="692" t="s">
        <v>2616</v>
      </c>
      <c r="C564" s="1451" t="s">
        <v>24</v>
      </c>
      <c r="D564" s="1303">
        <v>6475</v>
      </c>
      <c r="E564" s="692" t="s">
        <v>3472</v>
      </c>
      <c r="F564" s="692" t="s">
        <v>3473</v>
      </c>
      <c r="G564" s="1432">
        <v>3601</v>
      </c>
      <c r="H564" s="692" t="s">
        <v>3403</v>
      </c>
      <c r="I564" s="692" t="s">
        <v>3406</v>
      </c>
      <c r="J564" s="79" t="s">
        <v>58</v>
      </c>
      <c r="K564" s="79" t="s">
        <v>57</v>
      </c>
      <c r="L564" s="1201">
        <v>0.6</v>
      </c>
      <c r="M564" s="1071" t="s">
        <v>3479</v>
      </c>
      <c r="N564" s="858" t="s">
        <v>3415</v>
      </c>
      <c r="O564" s="1458" t="s">
        <v>3416</v>
      </c>
      <c r="P564" s="206">
        <v>0.9</v>
      </c>
      <c r="Q564" s="1201">
        <v>0.2</v>
      </c>
      <c r="R564" s="206"/>
      <c r="S564" s="657">
        <f t="shared" si="16"/>
        <v>0</v>
      </c>
      <c r="T564" s="207">
        <f t="shared" si="17"/>
        <v>0</v>
      </c>
      <c r="U564" s="1400" t="s">
        <v>34</v>
      </c>
      <c r="V564" s="1203"/>
      <c r="W564" s="840"/>
    </row>
    <row r="565" spans="1:23" ht="22.95" customHeight="1" x14ac:dyDescent="0.4">
      <c r="A565" s="788">
        <v>564</v>
      </c>
      <c r="B565" s="246" t="s">
        <v>2616</v>
      </c>
      <c r="C565" s="1453" t="s">
        <v>24</v>
      </c>
      <c r="D565" s="1306">
        <v>6475</v>
      </c>
      <c r="E565" s="246" t="s">
        <v>3472</v>
      </c>
      <c r="F565" s="246" t="s">
        <v>3473</v>
      </c>
      <c r="G565" s="946">
        <v>3601</v>
      </c>
      <c r="H565" s="246" t="s">
        <v>3403</v>
      </c>
      <c r="I565" s="246" t="s">
        <v>3406</v>
      </c>
      <c r="J565" s="649" t="s">
        <v>111</v>
      </c>
      <c r="K565" s="253" t="s">
        <v>110</v>
      </c>
      <c r="L565" s="1209">
        <v>0.4</v>
      </c>
      <c r="M565" s="1435" t="s">
        <v>3480</v>
      </c>
      <c r="N565" s="1459" t="s">
        <v>3481</v>
      </c>
      <c r="O565" s="1435" t="s">
        <v>3482</v>
      </c>
      <c r="P565" s="262">
        <v>0.9</v>
      </c>
      <c r="Q565" s="1209">
        <v>0.5</v>
      </c>
      <c r="R565" s="262"/>
      <c r="S565" s="659">
        <f t="shared" si="16"/>
        <v>0</v>
      </c>
      <c r="T565" s="263">
        <f t="shared" si="17"/>
        <v>0</v>
      </c>
      <c r="U565" s="303" t="s">
        <v>34</v>
      </c>
      <c r="V565" s="1228"/>
      <c r="W565" s="799"/>
    </row>
    <row r="566" spans="1:23" ht="22.95" customHeight="1" x14ac:dyDescent="0.4">
      <c r="A566" s="788">
        <v>565</v>
      </c>
      <c r="B566" s="246" t="s">
        <v>2616</v>
      </c>
      <c r="C566" s="1453" t="s">
        <v>24</v>
      </c>
      <c r="D566" s="1306">
        <v>6475</v>
      </c>
      <c r="E566" s="246" t="s">
        <v>3472</v>
      </c>
      <c r="F566" s="246" t="s">
        <v>3473</v>
      </c>
      <c r="G566" s="946">
        <v>3601</v>
      </c>
      <c r="H566" s="246" t="s">
        <v>3403</v>
      </c>
      <c r="I566" s="246" t="s">
        <v>3406</v>
      </c>
      <c r="J566" s="649" t="s">
        <v>111</v>
      </c>
      <c r="K566" s="253" t="s">
        <v>110</v>
      </c>
      <c r="L566" s="1209">
        <v>0.4</v>
      </c>
      <c r="M566" s="1435" t="s">
        <v>3483</v>
      </c>
      <c r="N566" s="1459" t="s">
        <v>3484</v>
      </c>
      <c r="O566" s="1435" t="s">
        <v>3485</v>
      </c>
      <c r="P566" s="262">
        <v>0.9</v>
      </c>
      <c r="Q566" s="1209">
        <v>0.5</v>
      </c>
      <c r="R566" s="262"/>
      <c r="S566" s="659">
        <f t="shared" si="16"/>
        <v>0</v>
      </c>
      <c r="T566" s="263">
        <f t="shared" si="17"/>
        <v>0</v>
      </c>
      <c r="U566" s="303" t="s">
        <v>34</v>
      </c>
      <c r="V566" s="1228"/>
      <c r="W566" s="799"/>
    </row>
    <row r="567" spans="1:23" ht="22.95" customHeight="1" x14ac:dyDescent="0.4">
      <c r="A567" s="788">
        <v>566</v>
      </c>
      <c r="B567" s="187" t="s">
        <v>2616</v>
      </c>
      <c r="C567" s="1449" t="s">
        <v>24</v>
      </c>
      <c r="D567" s="1200">
        <v>3770</v>
      </c>
      <c r="E567" s="187" t="s">
        <v>3486</v>
      </c>
      <c r="F567" s="1460" t="s">
        <v>3473</v>
      </c>
      <c r="G567" s="1461">
        <v>3933</v>
      </c>
      <c r="H567" s="1460" t="s">
        <v>3487</v>
      </c>
      <c r="I567" s="187" t="s">
        <v>3406</v>
      </c>
      <c r="J567" s="653" t="s">
        <v>58</v>
      </c>
      <c r="K567" s="653" t="s">
        <v>57</v>
      </c>
      <c r="L567" s="1462">
        <v>0.8</v>
      </c>
      <c r="M567" s="1431" t="s">
        <v>3426</v>
      </c>
      <c r="N567" s="749" t="s">
        <v>3427</v>
      </c>
      <c r="O567" s="1431" t="s">
        <v>3428</v>
      </c>
      <c r="P567" s="654">
        <v>0.9</v>
      </c>
      <c r="Q567" s="1462">
        <v>0.4</v>
      </c>
      <c r="R567" s="654"/>
      <c r="S567" s="654">
        <f t="shared" si="16"/>
        <v>0</v>
      </c>
      <c r="T567" s="196">
        <f t="shared" si="17"/>
        <v>0</v>
      </c>
      <c r="U567" s="654" t="s">
        <v>34</v>
      </c>
      <c r="V567" s="1221">
        <f>SUM(T567:T572)%</f>
        <v>0</v>
      </c>
      <c r="W567" s="791"/>
    </row>
    <row r="568" spans="1:23" ht="22.95" customHeight="1" x14ac:dyDescent="0.4">
      <c r="A568" s="788">
        <v>567</v>
      </c>
      <c r="B568" s="692" t="s">
        <v>2616</v>
      </c>
      <c r="C568" s="1451" t="s">
        <v>24</v>
      </c>
      <c r="D568" s="1303">
        <v>3770</v>
      </c>
      <c r="E568" s="692" t="s">
        <v>3486</v>
      </c>
      <c r="F568" s="1463" t="s">
        <v>3473</v>
      </c>
      <c r="G568" s="1464">
        <v>3933</v>
      </c>
      <c r="H568" s="1463" t="s">
        <v>3487</v>
      </c>
      <c r="I568" s="692" t="s">
        <v>3406</v>
      </c>
      <c r="J568" s="79" t="s">
        <v>58</v>
      </c>
      <c r="K568" s="79" t="s">
        <v>57</v>
      </c>
      <c r="L568" s="1465">
        <v>0.8</v>
      </c>
      <c r="M568" s="1071" t="s">
        <v>3488</v>
      </c>
      <c r="N568" s="757" t="s">
        <v>3489</v>
      </c>
      <c r="O568" s="1071" t="s">
        <v>3490</v>
      </c>
      <c r="P568" s="657">
        <v>0.9</v>
      </c>
      <c r="Q568" s="1465">
        <v>0.2</v>
      </c>
      <c r="R568" s="657"/>
      <c r="S568" s="657">
        <f t="shared" si="16"/>
        <v>0</v>
      </c>
      <c r="T568" s="207">
        <f t="shared" si="17"/>
        <v>0</v>
      </c>
      <c r="U568" s="206" t="s">
        <v>34</v>
      </c>
      <c r="V568" s="1196"/>
      <c r="W568" s="840"/>
    </row>
    <row r="569" spans="1:23" ht="22.95" customHeight="1" x14ac:dyDescent="0.4">
      <c r="A569" s="788">
        <v>568</v>
      </c>
      <c r="B569" s="692" t="s">
        <v>2616</v>
      </c>
      <c r="C569" s="1451" t="s">
        <v>24</v>
      </c>
      <c r="D569" s="1303">
        <v>3770</v>
      </c>
      <c r="E569" s="692" t="s">
        <v>3486</v>
      </c>
      <c r="F569" s="1463" t="s">
        <v>3473</v>
      </c>
      <c r="G569" s="1464">
        <v>3933</v>
      </c>
      <c r="H569" s="1463" t="s">
        <v>3487</v>
      </c>
      <c r="I569" s="692" t="s">
        <v>3406</v>
      </c>
      <c r="J569" s="79" t="s">
        <v>58</v>
      </c>
      <c r="K569" s="79" t="s">
        <v>57</v>
      </c>
      <c r="L569" s="1465">
        <v>0.8</v>
      </c>
      <c r="M569" s="1071" t="s">
        <v>3491</v>
      </c>
      <c r="N569" s="757" t="s">
        <v>3492</v>
      </c>
      <c r="O569" s="1071" t="s">
        <v>3493</v>
      </c>
      <c r="P569" s="206">
        <v>0.9</v>
      </c>
      <c r="Q569" s="1465">
        <v>0.2</v>
      </c>
      <c r="R569" s="206"/>
      <c r="S569" s="657">
        <f t="shared" si="16"/>
        <v>0</v>
      </c>
      <c r="T569" s="207">
        <f t="shared" si="17"/>
        <v>0</v>
      </c>
      <c r="U569" s="206" t="s">
        <v>34</v>
      </c>
      <c r="V569" s="1196"/>
      <c r="W569" s="840"/>
    </row>
    <row r="570" spans="1:23" ht="22.95" customHeight="1" x14ac:dyDescent="0.4">
      <c r="A570" s="788">
        <v>569</v>
      </c>
      <c r="B570" s="692" t="s">
        <v>2616</v>
      </c>
      <c r="C570" s="1451" t="s">
        <v>24</v>
      </c>
      <c r="D570" s="1303">
        <v>3770</v>
      </c>
      <c r="E570" s="692" t="s">
        <v>3486</v>
      </c>
      <c r="F570" s="1463" t="s">
        <v>3473</v>
      </c>
      <c r="G570" s="1464">
        <v>3933</v>
      </c>
      <c r="H570" s="1463" t="s">
        <v>3487</v>
      </c>
      <c r="I570" s="692" t="s">
        <v>3406</v>
      </c>
      <c r="J570" s="79" t="s">
        <v>58</v>
      </c>
      <c r="K570" s="79" t="s">
        <v>57</v>
      </c>
      <c r="L570" s="1465">
        <v>0.8</v>
      </c>
      <c r="M570" s="1071" t="s">
        <v>3494</v>
      </c>
      <c r="N570" s="757" t="s">
        <v>3495</v>
      </c>
      <c r="O570" s="1071" t="s">
        <v>3496</v>
      </c>
      <c r="P570" s="206">
        <v>0.9</v>
      </c>
      <c r="Q570" s="1465">
        <v>0.2</v>
      </c>
      <c r="R570" s="206"/>
      <c r="S570" s="657">
        <f t="shared" si="16"/>
        <v>0</v>
      </c>
      <c r="T570" s="207">
        <f t="shared" si="17"/>
        <v>0</v>
      </c>
      <c r="U570" s="206" t="s">
        <v>34</v>
      </c>
      <c r="V570" s="1196"/>
      <c r="W570" s="840"/>
    </row>
    <row r="571" spans="1:23" ht="22.95" customHeight="1" x14ac:dyDescent="0.4">
      <c r="A571" s="788">
        <v>570</v>
      </c>
      <c r="B571" s="246" t="s">
        <v>2616</v>
      </c>
      <c r="C571" s="1453" t="s">
        <v>24</v>
      </c>
      <c r="D571" s="1306">
        <v>3770</v>
      </c>
      <c r="E571" s="246" t="s">
        <v>3486</v>
      </c>
      <c r="F571" s="1466" t="s">
        <v>3473</v>
      </c>
      <c r="G571" s="1467">
        <v>3933</v>
      </c>
      <c r="H571" s="1466" t="s">
        <v>3487</v>
      </c>
      <c r="I571" s="246" t="s">
        <v>3406</v>
      </c>
      <c r="J571" s="649" t="s">
        <v>111</v>
      </c>
      <c r="K571" s="253" t="s">
        <v>110</v>
      </c>
      <c r="L571" s="1468">
        <v>0.2</v>
      </c>
      <c r="M571" s="1435" t="s">
        <v>3497</v>
      </c>
      <c r="N571" s="1469" t="s">
        <v>3498</v>
      </c>
      <c r="O571" s="1435" t="s">
        <v>3499</v>
      </c>
      <c r="P571" s="262">
        <v>0.9</v>
      </c>
      <c r="Q571" s="1468">
        <v>0.5</v>
      </c>
      <c r="R571" s="262"/>
      <c r="S571" s="659">
        <f t="shared" si="16"/>
        <v>0</v>
      </c>
      <c r="T571" s="263">
        <f t="shared" si="17"/>
        <v>0</v>
      </c>
      <c r="U571" s="262" t="s">
        <v>34</v>
      </c>
      <c r="V571" s="1059"/>
      <c r="W571" s="799"/>
    </row>
    <row r="572" spans="1:23" ht="22.95" customHeight="1" x14ac:dyDescent="0.4">
      <c r="A572" s="788">
        <v>571</v>
      </c>
      <c r="B572" s="246" t="s">
        <v>2616</v>
      </c>
      <c r="C572" s="1453" t="s">
        <v>24</v>
      </c>
      <c r="D572" s="1440">
        <v>3770</v>
      </c>
      <c r="E572" s="1150" t="s">
        <v>3486</v>
      </c>
      <c r="F572" s="1470" t="s">
        <v>3473</v>
      </c>
      <c r="G572" s="1471">
        <v>3933</v>
      </c>
      <c r="H572" s="1470" t="s">
        <v>3487</v>
      </c>
      <c r="I572" s="1150" t="s">
        <v>3406</v>
      </c>
      <c r="J572" s="1001" t="s">
        <v>111</v>
      </c>
      <c r="K572" s="1442" t="s">
        <v>110</v>
      </c>
      <c r="L572" s="1472">
        <v>0.2</v>
      </c>
      <c r="M572" s="1473" t="s">
        <v>3435</v>
      </c>
      <c r="N572" s="1474" t="s">
        <v>3500</v>
      </c>
      <c r="O572" s="1473" t="s">
        <v>3437</v>
      </c>
      <c r="P572" s="1447">
        <v>0.9</v>
      </c>
      <c r="Q572" s="1472">
        <v>0.5</v>
      </c>
      <c r="R572" s="1447"/>
      <c r="S572" s="659">
        <f t="shared" si="16"/>
        <v>0</v>
      </c>
      <c r="T572" s="263">
        <f t="shared" si="17"/>
        <v>0</v>
      </c>
      <c r="U572" s="1447" t="s">
        <v>34</v>
      </c>
      <c r="V572" s="1475"/>
      <c r="W572" s="1476"/>
    </row>
    <row r="573" spans="1:23" ht="22.95" customHeight="1" x14ac:dyDescent="0.4">
      <c r="A573" s="788">
        <v>572</v>
      </c>
      <c r="B573" s="187" t="s">
        <v>2616</v>
      </c>
      <c r="C573" s="1449" t="s">
        <v>24</v>
      </c>
      <c r="D573" s="1200">
        <v>3611</v>
      </c>
      <c r="E573" s="187" t="s">
        <v>3501</v>
      </c>
      <c r="F573" s="187" t="s">
        <v>3502</v>
      </c>
      <c r="G573" s="674">
        <v>3933</v>
      </c>
      <c r="H573" s="1460" t="s">
        <v>3487</v>
      </c>
      <c r="I573" s="187" t="s">
        <v>3503</v>
      </c>
      <c r="J573" s="653" t="s">
        <v>58</v>
      </c>
      <c r="K573" s="653" t="s">
        <v>57</v>
      </c>
      <c r="L573" s="1054">
        <v>0.8</v>
      </c>
      <c r="M573" s="748" t="s">
        <v>3504</v>
      </c>
      <c r="N573" s="952" t="s">
        <v>3505</v>
      </c>
      <c r="O573" s="748" t="s">
        <v>3506</v>
      </c>
      <c r="P573" s="654">
        <v>0.9</v>
      </c>
      <c r="Q573" s="1054">
        <v>0.2</v>
      </c>
      <c r="R573" s="654"/>
      <c r="S573" s="654">
        <f t="shared" si="16"/>
        <v>0</v>
      </c>
      <c r="T573" s="196">
        <f t="shared" si="17"/>
        <v>0</v>
      </c>
      <c r="U573" s="295" t="s">
        <v>34</v>
      </c>
      <c r="V573" s="1221">
        <f>SUM(T573:T579)%</f>
        <v>0</v>
      </c>
      <c r="W573" s="791"/>
    </row>
    <row r="574" spans="1:23" ht="22.95" customHeight="1" x14ac:dyDescent="0.4">
      <c r="A574" s="788">
        <v>573</v>
      </c>
      <c r="B574" s="692" t="s">
        <v>2616</v>
      </c>
      <c r="C574" s="1451" t="s">
        <v>24</v>
      </c>
      <c r="D574" s="1303">
        <v>3611</v>
      </c>
      <c r="E574" s="692" t="s">
        <v>3501</v>
      </c>
      <c r="F574" s="692" t="s">
        <v>3502</v>
      </c>
      <c r="G574" s="1432">
        <v>3933</v>
      </c>
      <c r="H574" s="1463" t="s">
        <v>3487</v>
      </c>
      <c r="I574" s="692" t="s">
        <v>3503</v>
      </c>
      <c r="J574" s="79" t="s">
        <v>58</v>
      </c>
      <c r="K574" s="79" t="s">
        <v>57</v>
      </c>
      <c r="L574" s="1201">
        <v>0.8</v>
      </c>
      <c r="M574" s="756" t="s">
        <v>3507</v>
      </c>
      <c r="N574" s="819" t="s">
        <v>3508</v>
      </c>
      <c r="O574" s="756" t="s">
        <v>3509</v>
      </c>
      <c r="P574" s="657">
        <v>0.9</v>
      </c>
      <c r="Q574" s="1201">
        <v>0.2</v>
      </c>
      <c r="R574" s="657"/>
      <c r="S574" s="657">
        <f t="shared" si="16"/>
        <v>0</v>
      </c>
      <c r="T574" s="207">
        <f t="shared" si="17"/>
        <v>0</v>
      </c>
      <c r="U574" s="1400" t="s">
        <v>34</v>
      </c>
      <c r="V574" s="1203"/>
      <c r="W574" s="840"/>
    </row>
    <row r="575" spans="1:23" ht="22.95" customHeight="1" x14ac:dyDescent="0.4">
      <c r="A575" s="788">
        <v>574</v>
      </c>
      <c r="B575" s="692" t="s">
        <v>2616</v>
      </c>
      <c r="C575" s="1451" t="s">
        <v>24</v>
      </c>
      <c r="D575" s="1303">
        <v>3611</v>
      </c>
      <c r="E575" s="692" t="s">
        <v>3501</v>
      </c>
      <c r="F575" s="692" t="s">
        <v>3502</v>
      </c>
      <c r="G575" s="1432">
        <v>3933</v>
      </c>
      <c r="H575" s="1463" t="s">
        <v>3487</v>
      </c>
      <c r="I575" s="692" t="s">
        <v>3503</v>
      </c>
      <c r="J575" s="79" t="s">
        <v>58</v>
      </c>
      <c r="K575" s="79" t="s">
        <v>57</v>
      </c>
      <c r="L575" s="1201">
        <v>0.8</v>
      </c>
      <c r="M575" s="756" t="s">
        <v>3510</v>
      </c>
      <c r="N575" s="819" t="s">
        <v>3511</v>
      </c>
      <c r="O575" s="756" t="s">
        <v>3512</v>
      </c>
      <c r="P575" s="657">
        <v>0.9</v>
      </c>
      <c r="Q575" s="1201">
        <v>0.2</v>
      </c>
      <c r="R575" s="657"/>
      <c r="S575" s="657">
        <f t="shared" si="16"/>
        <v>0</v>
      </c>
      <c r="T575" s="207">
        <f t="shared" si="17"/>
        <v>0</v>
      </c>
      <c r="U575" s="1400" t="s">
        <v>34</v>
      </c>
      <c r="V575" s="1203"/>
      <c r="W575" s="840"/>
    </row>
    <row r="576" spans="1:23" ht="22.95" customHeight="1" x14ac:dyDescent="0.4">
      <c r="A576" s="788">
        <v>575</v>
      </c>
      <c r="B576" s="692" t="s">
        <v>2616</v>
      </c>
      <c r="C576" s="1451" t="s">
        <v>24</v>
      </c>
      <c r="D576" s="1303">
        <v>3611</v>
      </c>
      <c r="E576" s="692" t="s">
        <v>3501</v>
      </c>
      <c r="F576" s="692" t="s">
        <v>3502</v>
      </c>
      <c r="G576" s="1432">
        <v>3933</v>
      </c>
      <c r="H576" s="1463" t="s">
        <v>3487</v>
      </c>
      <c r="I576" s="692" t="s">
        <v>3503</v>
      </c>
      <c r="J576" s="79" t="s">
        <v>58</v>
      </c>
      <c r="K576" s="79" t="s">
        <v>57</v>
      </c>
      <c r="L576" s="1201">
        <v>0.8</v>
      </c>
      <c r="M576" s="756" t="s">
        <v>3513</v>
      </c>
      <c r="N576" s="757" t="s">
        <v>3514</v>
      </c>
      <c r="O576" s="756" t="s">
        <v>3515</v>
      </c>
      <c r="P576" s="206">
        <v>0.9</v>
      </c>
      <c r="Q576" s="1201">
        <v>0.2</v>
      </c>
      <c r="R576" s="206"/>
      <c r="S576" s="657">
        <f t="shared" si="16"/>
        <v>0</v>
      </c>
      <c r="T576" s="207">
        <f t="shared" si="17"/>
        <v>0</v>
      </c>
      <c r="U576" s="1400" t="s">
        <v>34</v>
      </c>
      <c r="V576" s="1203"/>
      <c r="W576" s="840"/>
    </row>
    <row r="577" spans="1:23" ht="22.95" customHeight="1" x14ac:dyDescent="0.4">
      <c r="A577" s="788">
        <v>576</v>
      </c>
      <c r="B577" s="692" t="s">
        <v>2616</v>
      </c>
      <c r="C577" s="1451" t="s">
        <v>24</v>
      </c>
      <c r="D577" s="1303">
        <v>3611</v>
      </c>
      <c r="E577" s="692" t="s">
        <v>3501</v>
      </c>
      <c r="F577" s="692" t="s">
        <v>3502</v>
      </c>
      <c r="G577" s="1432">
        <v>3933</v>
      </c>
      <c r="H577" s="1463" t="s">
        <v>3487</v>
      </c>
      <c r="I577" s="692" t="s">
        <v>3503</v>
      </c>
      <c r="J577" s="79" t="s">
        <v>58</v>
      </c>
      <c r="K577" s="79" t="s">
        <v>57</v>
      </c>
      <c r="L577" s="1201">
        <v>0.8</v>
      </c>
      <c r="M577" s="756" t="s">
        <v>3516</v>
      </c>
      <c r="N577" s="757" t="s">
        <v>3517</v>
      </c>
      <c r="O577" s="756" t="s">
        <v>3518</v>
      </c>
      <c r="P577" s="206">
        <v>0.9</v>
      </c>
      <c r="Q577" s="1201">
        <v>0.2</v>
      </c>
      <c r="R577" s="206"/>
      <c r="S577" s="657">
        <f t="shared" si="16"/>
        <v>0</v>
      </c>
      <c r="T577" s="207">
        <f t="shared" si="17"/>
        <v>0</v>
      </c>
      <c r="U577" s="1400" t="s">
        <v>34</v>
      </c>
      <c r="V577" s="1203"/>
      <c r="W577" s="840"/>
    </row>
    <row r="578" spans="1:23" ht="22.95" customHeight="1" x14ac:dyDescent="0.4">
      <c r="A578" s="788">
        <v>577</v>
      </c>
      <c r="B578" s="246" t="s">
        <v>2616</v>
      </c>
      <c r="C578" s="1453" t="s">
        <v>24</v>
      </c>
      <c r="D578" s="1306">
        <v>3611</v>
      </c>
      <c r="E578" s="246" t="s">
        <v>3501</v>
      </c>
      <c r="F578" s="246" t="s">
        <v>3502</v>
      </c>
      <c r="G578" s="946">
        <v>3933</v>
      </c>
      <c r="H578" s="1466" t="s">
        <v>3487</v>
      </c>
      <c r="I578" s="246" t="s">
        <v>3503</v>
      </c>
      <c r="J578" s="649" t="s">
        <v>111</v>
      </c>
      <c r="K578" s="253" t="s">
        <v>110</v>
      </c>
      <c r="L578" s="1209">
        <v>0.2</v>
      </c>
      <c r="M578" s="1477" t="s">
        <v>3519</v>
      </c>
      <c r="N578" s="1469" t="s">
        <v>3520</v>
      </c>
      <c r="O578" s="1477" t="s">
        <v>3521</v>
      </c>
      <c r="P578" s="262">
        <v>0.9</v>
      </c>
      <c r="Q578" s="1209">
        <v>0.5</v>
      </c>
      <c r="R578" s="262"/>
      <c r="S578" s="659">
        <f t="shared" ref="S578:S641" si="18">ROUND(IF(OR(P578="",R578=""),0,IF(AND(P578=0,R578=0),1,IF(U578="+",R578/P578,P578/R578))),2)</f>
        <v>0</v>
      </c>
      <c r="T578" s="263">
        <f t="shared" ref="T578:T641" si="19">IF(AND(S578&gt;=60%,S578&lt;100%),S578*((Q578*L578)),IF(S578=100%,((Q578*L578)*S578)*100%,IF(S578&gt;100%,((L578*Q578)*100%)*100%,0)))*100</f>
        <v>0</v>
      </c>
      <c r="U578" s="303" t="s">
        <v>34</v>
      </c>
      <c r="V578" s="1228"/>
      <c r="W578" s="799"/>
    </row>
    <row r="579" spans="1:23" ht="22.95" customHeight="1" x14ac:dyDescent="0.4">
      <c r="A579" s="788">
        <v>578</v>
      </c>
      <c r="B579" s="246" t="s">
        <v>2616</v>
      </c>
      <c r="C579" s="1453" t="s">
        <v>24</v>
      </c>
      <c r="D579" s="1306">
        <v>3611</v>
      </c>
      <c r="E579" s="246" t="s">
        <v>3501</v>
      </c>
      <c r="F579" s="246" t="s">
        <v>3502</v>
      </c>
      <c r="G579" s="946">
        <v>3933</v>
      </c>
      <c r="H579" s="1466" t="s">
        <v>3487</v>
      </c>
      <c r="I579" s="246" t="s">
        <v>3503</v>
      </c>
      <c r="J579" s="649" t="s">
        <v>111</v>
      </c>
      <c r="K579" s="253" t="s">
        <v>110</v>
      </c>
      <c r="L579" s="1209">
        <v>0.2</v>
      </c>
      <c r="M579" s="1435" t="s">
        <v>3522</v>
      </c>
      <c r="N579" s="1436" t="s">
        <v>3523</v>
      </c>
      <c r="O579" s="1477"/>
      <c r="P579" s="262">
        <v>0.9</v>
      </c>
      <c r="Q579" s="1209">
        <v>0.5</v>
      </c>
      <c r="R579" s="262"/>
      <c r="S579" s="659">
        <f t="shared" si="18"/>
        <v>0</v>
      </c>
      <c r="T579" s="263">
        <f t="shared" si="19"/>
        <v>0</v>
      </c>
      <c r="U579" s="303" t="s">
        <v>34</v>
      </c>
      <c r="V579" s="1228"/>
      <c r="W579" s="799"/>
    </row>
    <row r="580" spans="1:23" ht="22.95" customHeight="1" x14ac:dyDescent="0.4">
      <c r="A580" s="788">
        <v>579</v>
      </c>
      <c r="B580" s="187" t="s">
        <v>2616</v>
      </c>
      <c r="C580" s="1449" t="s">
        <v>24</v>
      </c>
      <c r="D580" s="1200">
        <v>3761</v>
      </c>
      <c r="E580" s="187" t="s">
        <v>3524</v>
      </c>
      <c r="F580" s="187" t="s">
        <v>3525</v>
      </c>
      <c r="G580" s="674">
        <v>3933</v>
      </c>
      <c r="H580" s="1460" t="s">
        <v>3487</v>
      </c>
      <c r="I580" s="187" t="s">
        <v>3503</v>
      </c>
      <c r="J580" s="653" t="s">
        <v>58</v>
      </c>
      <c r="K580" s="653" t="s">
        <v>57</v>
      </c>
      <c r="L580" s="1054">
        <v>0.8</v>
      </c>
      <c r="M580" s="1407" t="s">
        <v>3504</v>
      </c>
      <c r="N580" s="952" t="s">
        <v>3505</v>
      </c>
      <c r="O580" s="1478" t="s">
        <v>3506</v>
      </c>
      <c r="P580" s="654">
        <v>0.9</v>
      </c>
      <c r="Q580" s="1054">
        <v>0.2</v>
      </c>
      <c r="R580" s="654"/>
      <c r="S580" s="654">
        <f t="shared" si="18"/>
        <v>0</v>
      </c>
      <c r="T580" s="196">
        <f t="shared" si="19"/>
        <v>0</v>
      </c>
      <c r="U580" s="295" t="s">
        <v>34</v>
      </c>
      <c r="V580" s="1221">
        <f>SUM(T580:T586)%</f>
        <v>0</v>
      </c>
      <c r="W580" s="791"/>
    </row>
    <row r="581" spans="1:23" ht="22.95" customHeight="1" x14ac:dyDescent="0.4">
      <c r="A581" s="788">
        <v>580</v>
      </c>
      <c r="B581" s="692" t="s">
        <v>2616</v>
      </c>
      <c r="C581" s="1451" t="s">
        <v>24</v>
      </c>
      <c r="D581" s="1303">
        <v>3761</v>
      </c>
      <c r="E581" s="692" t="s">
        <v>3524</v>
      </c>
      <c r="F581" s="692" t="s">
        <v>3525</v>
      </c>
      <c r="G581" s="1432">
        <v>3933</v>
      </c>
      <c r="H581" s="1463" t="s">
        <v>3487</v>
      </c>
      <c r="I581" s="692" t="s">
        <v>3503</v>
      </c>
      <c r="J581" s="79" t="s">
        <v>58</v>
      </c>
      <c r="K581" s="79" t="s">
        <v>57</v>
      </c>
      <c r="L581" s="1201">
        <v>0.8</v>
      </c>
      <c r="M581" s="821" t="s">
        <v>3507</v>
      </c>
      <c r="N581" s="819" t="s">
        <v>3508</v>
      </c>
      <c r="O581" s="1479" t="s">
        <v>3509</v>
      </c>
      <c r="P581" s="657">
        <v>0.9</v>
      </c>
      <c r="Q581" s="1201">
        <v>0.2</v>
      </c>
      <c r="R581" s="657"/>
      <c r="S581" s="657">
        <f t="shared" si="18"/>
        <v>0</v>
      </c>
      <c r="T581" s="207">
        <f t="shared" si="19"/>
        <v>0</v>
      </c>
      <c r="U581" s="1400" t="s">
        <v>34</v>
      </c>
      <c r="V581" s="1203"/>
      <c r="W581" s="840"/>
    </row>
    <row r="582" spans="1:23" ht="22.95" customHeight="1" x14ac:dyDescent="0.4">
      <c r="A582" s="788">
        <v>581</v>
      </c>
      <c r="B582" s="692" t="s">
        <v>2616</v>
      </c>
      <c r="C582" s="1451" t="s">
        <v>24</v>
      </c>
      <c r="D582" s="1303">
        <v>3761</v>
      </c>
      <c r="E582" s="692" t="s">
        <v>3524</v>
      </c>
      <c r="F582" s="692" t="s">
        <v>3525</v>
      </c>
      <c r="G582" s="1432">
        <v>3933</v>
      </c>
      <c r="H582" s="1463" t="s">
        <v>3487</v>
      </c>
      <c r="I582" s="692" t="s">
        <v>3503</v>
      </c>
      <c r="J582" s="79" t="s">
        <v>58</v>
      </c>
      <c r="K582" s="79" t="s">
        <v>57</v>
      </c>
      <c r="L582" s="1201">
        <v>0.8</v>
      </c>
      <c r="M582" s="821" t="s">
        <v>3510</v>
      </c>
      <c r="N582" s="819" t="s">
        <v>3511</v>
      </c>
      <c r="O582" s="1479" t="s">
        <v>3512</v>
      </c>
      <c r="P582" s="657">
        <v>0.9</v>
      </c>
      <c r="Q582" s="1201">
        <v>0.2</v>
      </c>
      <c r="R582" s="657"/>
      <c r="S582" s="657">
        <f t="shared" si="18"/>
        <v>0</v>
      </c>
      <c r="T582" s="207">
        <f t="shared" si="19"/>
        <v>0</v>
      </c>
      <c r="U582" s="1400" t="s">
        <v>34</v>
      </c>
      <c r="V582" s="1203"/>
      <c r="W582" s="840"/>
    </row>
    <row r="583" spans="1:23" ht="22.95" customHeight="1" x14ac:dyDescent="0.4">
      <c r="A583" s="788">
        <v>582</v>
      </c>
      <c r="B583" s="692" t="s">
        <v>2616</v>
      </c>
      <c r="C583" s="1451" t="s">
        <v>24</v>
      </c>
      <c r="D583" s="1303">
        <v>3761</v>
      </c>
      <c r="E583" s="692" t="s">
        <v>3524</v>
      </c>
      <c r="F583" s="692" t="s">
        <v>3525</v>
      </c>
      <c r="G583" s="1432">
        <v>3933</v>
      </c>
      <c r="H583" s="1463" t="s">
        <v>3487</v>
      </c>
      <c r="I583" s="692" t="s">
        <v>3503</v>
      </c>
      <c r="J583" s="79" t="s">
        <v>58</v>
      </c>
      <c r="K583" s="79" t="s">
        <v>57</v>
      </c>
      <c r="L583" s="1201">
        <v>0.8</v>
      </c>
      <c r="M583" s="756" t="s">
        <v>3513</v>
      </c>
      <c r="N583" s="757" t="s">
        <v>3514</v>
      </c>
      <c r="O583" s="1479" t="s">
        <v>3515</v>
      </c>
      <c r="P583" s="206">
        <v>0.9</v>
      </c>
      <c r="Q583" s="1201">
        <v>0.2</v>
      </c>
      <c r="R583" s="206"/>
      <c r="S583" s="657">
        <f t="shared" si="18"/>
        <v>0</v>
      </c>
      <c r="T583" s="207">
        <f t="shared" si="19"/>
        <v>0</v>
      </c>
      <c r="U583" s="1400" t="s">
        <v>34</v>
      </c>
      <c r="V583" s="1203"/>
      <c r="W583" s="840"/>
    </row>
    <row r="584" spans="1:23" ht="22.95" customHeight="1" x14ac:dyDescent="0.4">
      <c r="A584" s="788">
        <v>583</v>
      </c>
      <c r="B584" s="692" t="s">
        <v>2616</v>
      </c>
      <c r="C584" s="1451" t="s">
        <v>24</v>
      </c>
      <c r="D584" s="1303">
        <v>3761</v>
      </c>
      <c r="E584" s="692" t="s">
        <v>3524</v>
      </c>
      <c r="F584" s="692" t="s">
        <v>3525</v>
      </c>
      <c r="G584" s="1432">
        <v>3933</v>
      </c>
      <c r="H584" s="1463" t="s">
        <v>3487</v>
      </c>
      <c r="I584" s="692" t="s">
        <v>3503</v>
      </c>
      <c r="J584" s="79" t="s">
        <v>58</v>
      </c>
      <c r="K584" s="79" t="s">
        <v>57</v>
      </c>
      <c r="L584" s="1201">
        <v>0.8</v>
      </c>
      <c r="M584" s="756" t="s">
        <v>3526</v>
      </c>
      <c r="N584" s="757" t="s">
        <v>3527</v>
      </c>
      <c r="O584" s="1479" t="s">
        <v>3528</v>
      </c>
      <c r="P584" s="206">
        <v>0.9</v>
      </c>
      <c r="Q584" s="1201">
        <v>0.2</v>
      </c>
      <c r="R584" s="206"/>
      <c r="S584" s="657">
        <f t="shared" si="18"/>
        <v>0</v>
      </c>
      <c r="T584" s="207">
        <f t="shared" si="19"/>
        <v>0</v>
      </c>
      <c r="U584" s="1400" t="s">
        <v>34</v>
      </c>
      <c r="V584" s="1203"/>
      <c r="W584" s="840"/>
    </row>
    <row r="585" spans="1:23" ht="22.95" customHeight="1" x14ac:dyDescent="0.4">
      <c r="A585" s="788">
        <v>584</v>
      </c>
      <c r="B585" s="246" t="s">
        <v>2616</v>
      </c>
      <c r="C585" s="1453" t="s">
        <v>24</v>
      </c>
      <c r="D585" s="1306">
        <v>3761</v>
      </c>
      <c r="E585" s="246" t="s">
        <v>3524</v>
      </c>
      <c r="F585" s="246" t="s">
        <v>3525</v>
      </c>
      <c r="G585" s="946">
        <v>3933</v>
      </c>
      <c r="H585" s="1466" t="s">
        <v>3487</v>
      </c>
      <c r="I585" s="246" t="s">
        <v>3503</v>
      </c>
      <c r="J585" s="649" t="s">
        <v>111</v>
      </c>
      <c r="K585" s="253" t="s">
        <v>110</v>
      </c>
      <c r="L585" s="1209">
        <v>0.2</v>
      </c>
      <c r="M585" s="1477" t="s">
        <v>3519</v>
      </c>
      <c r="N585" s="1469" t="s">
        <v>3520</v>
      </c>
      <c r="O585" s="1477" t="s">
        <v>3521</v>
      </c>
      <c r="P585" s="262">
        <v>0.9</v>
      </c>
      <c r="Q585" s="1209">
        <v>0.5</v>
      </c>
      <c r="R585" s="262"/>
      <c r="S585" s="659">
        <f t="shared" si="18"/>
        <v>0</v>
      </c>
      <c r="T585" s="263">
        <f t="shared" si="19"/>
        <v>0</v>
      </c>
      <c r="U585" s="303" t="s">
        <v>34</v>
      </c>
      <c r="V585" s="1228"/>
      <c r="W585" s="799"/>
    </row>
    <row r="586" spans="1:23" ht="22.95" customHeight="1" x14ac:dyDescent="0.4">
      <c r="A586" s="788">
        <v>585</v>
      </c>
      <c r="B586" s="246" t="s">
        <v>2616</v>
      </c>
      <c r="C586" s="1453" t="s">
        <v>24</v>
      </c>
      <c r="D586" s="1306">
        <v>3761</v>
      </c>
      <c r="E586" s="246" t="s">
        <v>3524</v>
      </c>
      <c r="F586" s="246" t="s">
        <v>3525</v>
      </c>
      <c r="G586" s="946">
        <v>3933</v>
      </c>
      <c r="H586" s="1466" t="s">
        <v>3487</v>
      </c>
      <c r="I586" s="246" t="s">
        <v>3503</v>
      </c>
      <c r="J586" s="649" t="s">
        <v>111</v>
      </c>
      <c r="K586" s="253" t="s">
        <v>110</v>
      </c>
      <c r="L586" s="1209">
        <v>0.2</v>
      </c>
      <c r="M586" s="1435" t="s">
        <v>3522</v>
      </c>
      <c r="N586" s="1436" t="s">
        <v>3523</v>
      </c>
      <c r="O586" s="1480"/>
      <c r="P586" s="262">
        <v>0.9</v>
      </c>
      <c r="Q586" s="1209">
        <v>0.5</v>
      </c>
      <c r="R586" s="262"/>
      <c r="S586" s="659">
        <f t="shared" si="18"/>
        <v>0</v>
      </c>
      <c r="T586" s="263">
        <f t="shared" si="19"/>
        <v>0</v>
      </c>
      <c r="U586" s="303" t="s">
        <v>34</v>
      </c>
      <c r="V586" s="1228"/>
      <c r="W586" s="799"/>
    </row>
    <row r="587" spans="1:23" ht="22.95" customHeight="1" x14ac:dyDescent="0.4">
      <c r="A587" s="788">
        <v>586</v>
      </c>
      <c r="B587" s="187" t="s">
        <v>2616</v>
      </c>
      <c r="C587" s="1449" t="s">
        <v>24</v>
      </c>
      <c r="D587" s="1200">
        <v>6371</v>
      </c>
      <c r="E587" s="187" t="s">
        <v>3529</v>
      </c>
      <c r="F587" s="187" t="s">
        <v>3502</v>
      </c>
      <c r="G587" s="674">
        <v>3933</v>
      </c>
      <c r="H587" s="187" t="s">
        <v>3487</v>
      </c>
      <c r="I587" s="653"/>
      <c r="J587" s="653" t="s">
        <v>58</v>
      </c>
      <c r="K587" s="653" t="s">
        <v>57</v>
      </c>
      <c r="L587" s="1054">
        <v>0.8</v>
      </c>
      <c r="M587" s="1407" t="s">
        <v>3530</v>
      </c>
      <c r="N587" s="952" t="s">
        <v>3505</v>
      </c>
      <c r="O587" s="1478" t="s">
        <v>3506</v>
      </c>
      <c r="P587" s="654">
        <v>0.9</v>
      </c>
      <c r="Q587" s="1054">
        <v>0.3</v>
      </c>
      <c r="R587" s="654"/>
      <c r="S587" s="654">
        <f t="shared" si="18"/>
        <v>0</v>
      </c>
      <c r="T587" s="196">
        <f t="shared" si="19"/>
        <v>0</v>
      </c>
      <c r="U587" s="295" t="s">
        <v>34</v>
      </c>
      <c r="V587" s="1221">
        <f>SUM(T587:T592)%</f>
        <v>0</v>
      </c>
      <c r="W587" s="791"/>
    </row>
    <row r="588" spans="1:23" ht="22.95" customHeight="1" x14ac:dyDescent="0.4">
      <c r="A588" s="788">
        <v>587</v>
      </c>
      <c r="B588" s="692" t="s">
        <v>2616</v>
      </c>
      <c r="C588" s="1451" t="s">
        <v>24</v>
      </c>
      <c r="D588" s="1303">
        <v>6371</v>
      </c>
      <c r="E588" s="692" t="s">
        <v>3529</v>
      </c>
      <c r="F588" s="692" t="s">
        <v>3502</v>
      </c>
      <c r="G588" s="1432">
        <v>3933</v>
      </c>
      <c r="H588" s="692" t="s">
        <v>3487</v>
      </c>
      <c r="I588" s="79"/>
      <c r="J588" s="79" t="s">
        <v>58</v>
      </c>
      <c r="K588" s="79" t="s">
        <v>57</v>
      </c>
      <c r="L588" s="1201">
        <v>0.8</v>
      </c>
      <c r="M588" s="821" t="s">
        <v>3507</v>
      </c>
      <c r="N588" s="819" t="s">
        <v>3508</v>
      </c>
      <c r="O588" s="1479" t="s">
        <v>3509</v>
      </c>
      <c r="P588" s="657">
        <v>0.9</v>
      </c>
      <c r="Q588" s="1201">
        <v>0.2</v>
      </c>
      <c r="R588" s="657"/>
      <c r="S588" s="657">
        <f t="shared" si="18"/>
        <v>0</v>
      </c>
      <c r="T588" s="207">
        <f t="shared" si="19"/>
        <v>0</v>
      </c>
      <c r="U588" s="1400" t="s">
        <v>34</v>
      </c>
      <c r="V588" s="1203"/>
      <c r="W588" s="840"/>
    </row>
    <row r="589" spans="1:23" ht="22.95" customHeight="1" x14ac:dyDescent="0.4">
      <c r="A589" s="788">
        <v>588</v>
      </c>
      <c r="B589" s="692" t="s">
        <v>2616</v>
      </c>
      <c r="C589" s="1451" t="s">
        <v>24</v>
      </c>
      <c r="D589" s="1303">
        <v>6371</v>
      </c>
      <c r="E589" s="692" t="s">
        <v>3529</v>
      </c>
      <c r="F589" s="692" t="s">
        <v>3502</v>
      </c>
      <c r="G589" s="1432">
        <v>3933</v>
      </c>
      <c r="H589" s="692" t="s">
        <v>3487</v>
      </c>
      <c r="I589" s="79"/>
      <c r="J589" s="79" t="s">
        <v>58</v>
      </c>
      <c r="K589" s="79" t="s">
        <v>57</v>
      </c>
      <c r="L589" s="1201">
        <v>0.8</v>
      </c>
      <c r="M589" s="821" t="s">
        <v>3510</v>
      </c>
      <c r="N589" s="819" t="s">
        <v>3511</v>
      </c>
      <c r="O589" s="1479" t="s">
        <v>3512</v>
      </c>
      <c r="P589" s="657">
        <v>0.9</v>
      </c>
      <c r="Q589" s="1201">
        <v>0.2</v>
      </c>
      <c r="R589" s="657"/>
      <c r="S589" s="657">
        <f t="shared" si="18"/>
        <v>0</v>
      </c>
      <c r="T589" s="207">
        <f t="shared" si="19"/>
        <v>0</v>
      </c>
      <c r="U589" s="1400" t="s">
        <v>34</v>
      </c>
      <c r="V589" s="1203"/>
      <c r="W589" s="840"/>
    </row>
    <row r="590" spans="1:23" ht="22.95" customHeight="1" x14ac:dyDescent="0.4">
      <c r="A590" s="788">
        <v>589</v>
      </c>
      <c r="B590" s="692" t="s">
        <v>2616</v>
      </c>
      <c r="C590" s="1451" t="s">
        <v>24</v>
      </c>
      <c r="D590" s="1303">
        <v>6371</v>
      </c>
      <c r="E590" s="692" t="s">
        <v>3529</v>
      </c>
      <c r="F590" s="692" t="s">
        <v>3502</v>
      </c>
      <c r="G590" s="1432">
        <v>3933</v>
      </c>
      <c r="H590" s="692" t="s">
        <v>3487</v>
      </c>
      <c r="I590" s="79"/>
      <c r="J590" s="79" t="s">
        <v>58</v>
      </c>
      <c r="K590" s="79" t="s">
        <v>57</v>
      </c>
      <c r="L590" s="1201">
        <v>0.8</v>
      </c>
      <c r="M590" s="756" t="s">
        <v>3513</v>
      </c>
      <c r="N590" s="757" t="s">
        <v>3514</v>
      </c>
      <c r="O590" s="1479" t="s">
        <v>3515</v>
      </c>
      <c r="P590" s="206">
        <v>0.9</v>
      </c>
      <c r="Q590" s="1201">
        <v>0.3</v>
      </c>
      <c r="R590" s="206"/>
      <c r="S590" s="657">
        <f t="shared" si="18"/>
        <v>0</v>
      </c>
      <c r="T590" s="207">
        <f t="shared" si="19"/>
        <v>0</v>
      </c>
      <c r="U590" s="1400" t="s">
        <v>34</v>
      </c>
      <c r="V590" s="1203"/>
      <c r="W590" s="840"/>
    </row>
    <row r="591" spans="1:23" ht="22.95" customHeight="1" x14ac:dyDescent="0.4">
      <c r="A591" s="788">
        <v>590</v>
      </c>
      <c r="B591" s="246" t="s">
        <v>2616</v>
      </c>
      <c r="C591" s="1453" t="s">
        <v>24</v>
      </c>
      <c r="D591" s="1306">
        <v>6371</v>
      </c>
      <c r="E591" s="246" t="s">
        <v>3529</v>
      </c>
      <c r="F591" s="246" t="s">
        <v>3502</v>
      </c>
      <c r="G591" s="946">
        <v>3933</v>
      </c>
      <c r="H591" s="246" t="s">
        <v>3487</v>
      </c>
      <c r="I591" s="649"/>
      <c r="J591" s="649" t="s">
        <v>111</v>
      </c>
      <c r="K591" s="253" t="s">
        <v>110</v>
      </c>
      <c r="L591" s="1209">
        <v>0.2</v>
      </c>
      <c r="M591" s="1477" t="s">
        <v>3519</v>
      </c>
      <c r="N591" s="1469" t="s">
        <v>3520</v>
      </c>
      <c r="O591" s="1477" t="s">
        <v>3521</v>
      </c>
      <c r="P591" s="262">
        <v>0.9</v>
      </c>
      <c r="Q591" s="1209">
        <v>0.5</v>
      </c>
      <c r="R591" s="262"/>
      <c r="S591" s="659">
        <f t="shared" si="18"/>
        <v>0</v>
      </c>
      <c r="T591" s="263">
        <f t="shared" si="19"/>
        <v>0</v>
      </c>
      <c r="U591" s="303" t="s">
        <v>34</v>
      </c>
      <c r="V591" s="1228"/>
      <c r="W591" s="799"/>
    </row>
    <row r="592" spans="1:23" ht="22.95" customHeight="1" x14ac:dyDescent="0.4">
      <c r="A592" s="788">
        <v>591</v>
      </c>
      <c r="B592" s="246" t="s">
        <v>2616</v>
      </c>
      <c r="C592" s="1453" t="s">
        <v>24</v>
      </c>
      <c r="D592" s="1306">
        <v>6371</v>
      </c>
      <c r="E592" s="246" t="s">
        <v>3529</v>
      </c>
      <c r="F592" s="246" t="s">
        <v>3502</v>
      </c>
      <c r="G592" s="946">
        <v>3933</v>
      </c>
      <c r="H592" s="246" t="s">
        <v>3487</v>
      </c>
      <c r="I592" s="649"/>
      <c r="J592" s="649" t="s">
        <v>111</v>
      </c>
      <c r="K592" s="253" t="s">
        <v>110</v>
      </c>
      <c r="L592" s="1209">
        <v>0.2</v>
      </c>
      <c r="M592" s="1435" t="s">
        <v>3522</v>
      </c>
      <c r="N592" s="1436" t="s">
        <v>3523</v>
      </c>
      <c r="O592" s="1480"/>
      <c r="P592" s="262">
        <v>0.9</v>
      </c>
      <c r="Q592" s="1209">
        <v>0.5</v>
      </c>
      <c r="R592" s="262"/>
      <c r="S592" s="659">
        <f t="shared" si="18"/>
        <v>0</v>
      </c>
      <c r="T592" s="263">
        <f t="shared" si="19"/>
        <v>0</v>
      </c>
      <c r="U592" s="303" t="s">
        <v>34</v>
      </c>
      <c r="V592" s="1228"/>
      <c r="W592" s="799"/>
    </row>
    <row r="593" spans="1:23" ht="22.95" customHeight="1" x14ac:dyDescent="0.4">
      <c r="A593" s="788">
        <v>592</v>
      </c>
      <c r="B593" s="187" t="s">
        <v>2616</v>
      </c>
      <c r="C593" s="1449" t="s">
        <v>24</v>
      </c>
      <c r="D593" s="1200">
        <v>3935</v>
      </c>
      <c r="E593" s="187" t="s">
        <v>3457</v>
      </c>
      <c r="F593" s="187" t="s">
        <v>3531</v>
      </c>
      <c r="G593" s="674">
        <v>3523</v>
      </c>
      <c r="H593" s="187" t="s">
        <v>3532</v>
      </c>
      <c r="I593" s="187" t="s">
        <v>3406</v>
      </c>
      <c r="J593" s="653" t="s">
        <v>58</v>
      </c>
      <c r="K593" s="653" t="s">
        <v>57</v>
      </c>
      <c r="L593" s="1054">
        <v>0.8</v>
      </c>
      <c r="M593" s="1407" t="s">
        <v>3533</v>
      </c>
      <c r="N593" s="1481" t="s">
        <v>3534</v>
      </c>
      <c r="O593" s="1478" t="s">
        <v>3535</v>
      </c>
      <c r="P593" s="654">
        <v>0.9</v>
      </c>
      <c r="Q593" s="1054">
        <v>0.2</v>
      </c>
      <c r="R593" s="654"/>
      <c r="S593" s="654">
        <f t="shared" si="18"/>
        <v>0</v>
      </c>
      <c r="T593" s="196">
        <f t="shared" si="19"/>
        <v>0</v>
      </c>
      <c r="U593" s="295" t="s">
        <v>34</v>
      </c>
      <c r="V593" s="1221">
        <f>SUM(T593:T599)%</f>
        <v>0</v>
      </c>
      <c r="W593" s="791"/>
    </row>
    <row r="594" spans="1:23" ht="22.95" customHeight="1" x14ac:dyDescent="0.4">
      <c r="A594" s="788">
        <v>593</v>
      </c>
      <c r="B594" s="692" t="s">
        <v>2616</v>
      </c>
      <c r="C594" s="1451" t="s">
        <v>24</v>
      </c>
      <c r="D594" s="1303">
        <v>3935</v>
      </c>
      <c r="E594" s="692" t="s">
        <v>3457</v>
      </c>
      <c r="F594" s="692" t="s">
        <v>3531</v>
      </c>
      <c r="G594" s="1432">
        <v>3523</v>
      </c>
      <c r="H594" s="692" t="s">
        <v>3532</v>
      </c>
      <c r="I594" s="692" t="s">
        <v>3406</v>
      </c>
      <c r="J594" s="79" t="s">
        <v>58</v>
      </c>
      <c r="K594" s="79" t="s">
        <v>57</v>
      </c>
      <c r="L594" s="1201">
        <v>0.8</v>
      </c>
      <c r="M594" s="821" t="s">
        <v>3536</v>
      </c>
      <c r="N594" s="818" t="s">
        <v>3537</v>
      </c>
      <c r="O594" s="1479" t="s">
        <v>3538</v>
      </c>
      <c r="P594" s="657">
        <v>0.9</v>
      </c>
      <c r="Q594" s="1201">
        <v>0.2</v>
      </c>
      <c r="R594" s="657"/>
      <c r="S594" s="657">
        <f t="shared" si="18"/>
        <v>0</v>
      </c>
      <c r="T594" s="207">
        <f t="shared" si="19"/>
        <v>0</v>
      </c>
      <c r="U594" s="1400" t="s">
        <v>34</v>
      </c>
      <c r="V594" s="1203"/>
      <c r="W594" s="840"/>
    </row>
    <row r="595" spans="1:23" ht="22.95" customHeight="1" x14ac:dyDescent="0.4">
      <c r="A595" s="788">
        <v>594</v>
      </c>
      <c r="B595" s="692" t="s">
        <v>2616</v>
      </c>
      <c r="C595" s="1451" t="s">
        <v>24</v>
      </c>
      <c r="D595" s="1303">
        <v>3935</v>
      </c>
      <c r="E595" s="692" t="s">
        <v>3457</v>
      </c>
      <c r="F595" s="692" t="s">
        <v>3531</v>
      </c>
      <c r="G595" s="1432">
        <v>3523</v>
      </c>
      <c r="H595" s="692" t="s">
        <v>3532</v>
      </c>
      <c r="I595" s="692" t="s">
        <v>3406</v>
      </c>
      <c r="J595" s="79" t="s">
        <v>58</v>
      </c>
      <c r="K595" s="79" t="s">
        <v>57</v>
      </c>
      <c r="L595" s="1201">
        <v>0.8</v>
      </c>
      <c r="M595" s="821" t="s">
        <v>3539</v>
      </c>
      <c r="N595" s="818" t="s">
        <v>3540</v>
      </c>
      <c r="O595" s="1479" t="s">
        <v>3541</v>
      </c>
      <c r="P595" s="657">
        <v>0.9</v>
      </c>
      <c r="Q595" s="1201">
        <v>0.2</v>
      </c>
      <c r="R595" s="657"/>
      <c r="S595" s="657">
        <f t="shared" si="18"/>
        <v>0</v>
      </c>
      <c r="T595" s="207">
        <f t="shared" si="19"/>
        <v>0</v>
      </c>
      <c r="U595" s="1400" t="s">
        <v>34</v>
      </c>
      <c r="V595" s="1203"/>
      <c r="W595" s="840"/>
    </row>
    <row r="596" spans="1:23" ht="22.95" customHeight="1" x14ac:dyDescent="0.4">
      <c r="A596" s="788">
        <v>595</v>
      </c>
      <c r="B596" s="692" t="s">
        <v>2616</v>
      </c>
      <c r="C596" s="1451" t="s">
        <v>24</v>
      </c>
      <c r="D596" s="1303">
        <v>3935</v>
      </c>
      <c r="E596" s="692" t="s">
        <v>3457</v>
      </c>
      <c r="F596" s="692" t="s">
        <v>3531</v>
      </c>
      <c r="G596" s="1432">
        <v>3523</v>
      </c>
      <c r="H596" s="692" t="s">
        <v>3532</v>
      </c>
      <c r="I596" s="692" t="s">
        <v>3406</v>
      </c>
      <c r="J596" s="79" t="s">
        <v>58</v>
      </c>
      <c r="K596" s="79" t="s">
        <v>57</v>
      </c>
      <c r="L596" s="1201">
        <v>0.8</v>
      </c>
      <c r="M596" s="756" t="s">
        <v>3542</v>
      </c>
      <c r="N596" s="1482" t="s">
        <v>3543</v>
      </c>
      <c r="O596" s="1479" t="s">
        <v>3544</v>
      </c>
      <c r="P596" s="206">
        <v>0.9</v>
      </c>
      <c r="Q596" s="1201">
        <v>0.2</v>
      </c>
      <c r="R596" s="206"/>
      <c r="S596" s="657">
        <f t="shared" si="18"/>
        <v>0</v>
      </c>
      <c r="T596" s="207">
        <f t="shared" si="19"/>
        <v>0</v>
      </c>
      <c r="U596" s="1400" t="s">
        <v>34</v>
      </c>
      <c r="V596" s="1203"/>
      <c r="W596" s="840"/>
    </row>
    <row r="597" spans="1:23" ht="22.95" customHeight="1" x14ac:dyDescent="0.4">
      <c r="A597" s="788">
        <v>596</v>
      </c>
      <c r="B597" s="692" t="s">
        <v>2616</v>
      </c>
      <c r="C597" s="1451" t="s">
        <v>24</v>
      </c>
      <c r="D597" s="1303">
        <v>3935</v>
      </c>
      <c r="E597" s="692" t="s">
        <v>3457</v>
      </c>
      <c r="F597" s="692" t="s">
        <v>3531</v>
      </c>
      <c r="G597" s="1432">
        <v>3523</v>
      </c>
      <c r="H597" s="692" t="s">
        <v>3532</v>
      </c>
      <c r="I597" s="692" t="s">
        <v>3406</v>
      </c>
      <c r="J597" s="79" t="s">
        <v>58</v>
      </c>
      <c r="K597" s="79" t="s">
        <v>57</v>
      </c>
      <c r="L597" s="1201">
        <v>0.8</v>
      </c>
      <c r="M597" s="756" t="s">
        <v>3545</v>
      </c>
      <c r="N597" s="818" t="s">
        <v>3546</v>
      </c>
      <c r="O597" s="1479" t="s">
        <v>3547</v>
      </c>
      <c r="P597" s="206">
        <v>0.9</v>
      </c>
      <c r="Q597" s="1201">
        <v>0.1</v>
      </c>
      <c r="R597" s="206"/>
      <c r="S597" s="657">
        <f t="shared" si="18"/>
        <v>0</v>
      </c>
      <c r="T597" s="207">
        <f t="shared" si="19"/>
        <v>0</v>
      </c>
      <c r="U597" s="1400" t="s">
        <v>34</v>
      </c>
      <c r="V597" s="1203"/>
      <c r="W597" s="840"/>
    </row>
    <row r="598" spans="1:23" ht="22.95" customHeight="1" x14ac:dyDescent="0.4">
      <c r="A598" s="788">
        <v>597</v>
      </c>
      <c r="B598" s="692" t="s">
        <v>2616</v>
      </c>
      <c r="C598" s="1451" t="s">
        <v>24</v>
      </c>
      <c r="D598" s="1303">
        <v>3935</v>
      </c>
      <c r="E598" s="692" t="s">
        <v>3457</v>
      </c>
      <c r="F598" s="692" t="s">
        <v>3531</v>
      </c>
      <c r="G598" s="1432">
        <v>3523</v>
      </c>
      <c r="H598" s="692" t="s">
        <v>3532</v>
      </c>
      <c r="I598" s="692" t="s">
        <v>3406</v>
      </c>
      <c r="J598" s="79" t="s">
        <v>58</v>
      </c>
      <c r="K598" s="79" t="s">
        <v>57</v>
      </c>
      <c r="L598" s="1201">
        <v>0.8</v>
      </c>
      <c r="M598" s="756" t="s">
        <v>3548</v>
      </c>
      <c r="N598" s="757" t="s">
        <v>3549</v>
      </c>
      <c r="O598" s="756" t="s">
        <v>3550</v>
      </c>
      <c r="P598" s="206">
        <v>0.9</v>
      </c>
      <c r="Q598" s="1201">
        <v>0.1</v>
      </c>
      <c r="R598" s="206"/>
      <c r="S598" s="657">
        <f t="shared" si="18"/>
        <v>0</v>
      </c>
      <c r="T598" s="207">
        <f t="shared" si="19"/>
        <v>0</v>
      </c>
      <c r="U598" s="1400" t="s">
        <v>34</v>
      </c>
      <c r="V598" s="1203"/>
      <c r="W598" s="840"/>
    </row>
    <row r="599" spans="1:23" ht="22.95" customHeight="1" x14ac:dyDescent="0.4">
      <c r="A599" s="788">
        <v>598</v>
      </c>
      <c r="B599" s="246" t="s">
        <v>2616</v>
      </c>
      <c r="C599" s="1453" t="s">
        <v>24</v>
      </c>
      <c r="D599" s="1306">
        <v>3935</v>
      </c>
      <c r="E599" s="246" t="s">
        <v>3457</v>
      </c>
      <c r="F599" s="246" t="s">
        <v>3531</v>
      </c>
      <c r="G599" s="946">
        <v>3523</v>
      </c>
      <c r="H599" s="246" t="s">
        <v>3532</v>
      </c>
      <c r="I599" s="246" t="s">
        <v>3406</v>
      </c>
      <c r="J599" s="649" t="s">
        <v>111</v>
      </c>
      <c r="K599" s="253" t="s">
        <v>110</v>
      </c>
      <c r="L599" s="1209">
        <v>0.2</v>
      </c>
      <c r="M599" s="1435" t="s">
        <v>3551</v>
      </c>
      <c r="N599" s="1436" t="s">
        <v>3552</v>
      </c>
      <c r="O599" s="1435" t="s">
        <v>3553</v>
      </c>
      <c r="P599" s="262">
        <v>0.9</v>
      </c>
      <c r="Q599" s="1209">
        <v>1</v>
      </c>
      <c r="R599" s="262"/>
      <c r="S599" s="659">
        <f t="shared" si="18"/>
        <v>0</v>
      </c>
      <c r="T599" s="263">
        <f t="shared" si="19"/>
        <v>0</v>
      </c>
      <c r="U599" s="303" t="s">
        <v>34</v>
      </c>
      <c r="V599" s="1228"/>
      <c r="W599" s="799"/>
    </row>
    <row r="600" spans="1:23" ht="22.95" customHeight="1" x14ac:dyDescent="0.4">
      <c r="A600" s="788">
        <v>599</v>
      </c>
      <c r="B600" s="187" t="s">
        <v>2616</v>
      </c>
      <c r="C600" s="1449" t="s">
        <v>24</v>
      </c>
      <c r="D600" s="1200">
        <v>3943</v>
      </c>
      <c r="E600" s="187" t="s">
        <v>3554</v>
      </c>
      <c r="F600" s="187" t="s">
        <v>3424</v>
      </c>
      <c r="G600" s="674">
        <v>3935</v>
      </c>
      <c r="H600" s="187" t="s">
        <v>3457</v>
      </c>
      <c r="I600" s="187" t="s">
        <v>3406</v>
      </c>
      <c r="J600" s="653" t="s">
        <v>58</v>
      </c>
      <c r="K600" s="653" t="s">
        <v>57</v>
      </c>
      <c r="L600" s="1054">
        <v>0.8</v>
      </c>
      <c r="M600" s="1407" t="s">
        <v>3536</v>
      </c>
      <c r="N600" s="1481" t="s">
        <v>3537</v>
      </c>
      <c r="O600" s="1478" t="s">
        <v>3555</v>
      </c>
      <c r="P600" s="654">
        <v>0.9</v>
      </c>
      <c r="Q600" s="1054">
        <v>0.2</v>
      </c>
      <c r="R600" s="654"/>
      <c r="S600" s="654">
        <f t="shared" si="18"/>
        <v>0</v>
      </c>
      <c r="T600" s="196">
        <f t="shared" si="19"/>
        <v>0</v>
      </c>
      <c r="U600" s="295" t="s">
        <v>34</v>
      </c>
      <c r="V600" s="1221">
        <f>SUM(T600:T605)%</f>
        <v>0</v>
      </c>
      <c r="W600" s="791"/>
    </row>
    <row r="601" spans="1:23" ht="22.95" customHeight="1" x14ac:dyDescent="0.4">
      <c r="A601" s="788">
        <v>600</v>
      </c>
      <c r="B601" s="692" t="s">
        <v>2616</v>
      </c>
      <c r="C601" s="1451" t="s">
        <v>24</v>
      </c>
      <c r="D601" s="1303">
        <v>3943</v>
      </c>
      <c r="E601" s="692" t="s">
        <v>3554</v>
      </c>
      <c r="F601" s="692" t="s">
        <v>3424</v>
      </c>
      <c r="G601" s="1432">
        <v>3935</v>
      </c>
      <c r="H601" s="692" t="s">
        <v>3457</v>
      </c>
      <c r="I601" s="692" t="s">
        <v>3406</v>
      </c>
      <c r="J601" s="79" t="s">
        <v>58</v>
      </c>
      <c r="K601" s="79" t="s">
        <v>57</v>
      </c>
      <c r="L601" s="1201">
        <v>0.8</v>
      </c>
      <c r="M601" s="821" t="s">
        <v>3539</v>
      </c>
      <c r="N601" s="1482" t="s">
        <v>3556</v>
      </c>
      <c r="O601" s="1479" t="s">
        <v>3541</v>
      </c>
      <c r="P601" s="657">
        <v>0.9</v>
      </c>
      <c r="Q601" s="1201">
        <v>0.2</v>
      </c>
      <c r="R601" s="657"/>
      <c r="S601" s="657">
        <f t="shared" si="18"/>
        <v>0</v>
      </c>
      <c r="T601" s="207">
        <f t="shared" si="19"/>
        <v>0</v>
      </c>
      <c r="U601" s="1400" t="s">
        <v>34</v>
      </c>
      <c r="V601" s="1203"/>
      <c r="W601" s="840"/>
    </row>
    <row r="602" spans="1:23" ht="22.95" customHeight="1" x14ac:dyDescent="0.4">
      <c r="A602" s="788">
        <v>601</v>
      </c>
      <c r="B602" s="692" t="s">
        <v>2616</v>
      </c>
      <c r="C602" s="1451" t="s">
        <v>24</v>
      </c>
      <c r="D602" s="1303">
        <v>3943</v>
      </c>
      <c r="E602" s="692" t="s">
        <v>3554</v>
      </c>
      <c r="F602" s="692" t="s">
        <v>3424</v>
      </c>
      <c r="G602" s="1432">
        <v>3935</v>
      </c>
      <c r="H602" s="692" t="s">
        <v>3457</v>
      </c>
      <c r="I602" s="692" t="s">
        <v>3406</v>
      </c>
      <c r="J602" s="79" t="s">
        <v>58</v>
      </c>
      <c r="K602" s="79" t="s">
        <v>57</v>
      </c>
      <c r="L602" s="1201">
        <v>0.8</v>
      </c>
      <c r="M602" s="756" t="s">
        <v>3542</v>
      </c>
      <c r="N602" s="1482" t="s">
        <v>3557</v>
      </c>
      <c r="O602" s="1479" t="s">
        <v>3544</v>
      </c>
      <c r="P602" s="206">
        <v>0.9</v>
      </c>
      <c r="Q602" s="1201">
        <v>0.3</v>
      </c>
      <c r="R602" s="206"/>
      <c r="S602" s="657">
        <f t="shared" si="18"/>
        <v>0</v>
      </c>
      <c r="T602" s="207">
        <f t="shared" si="19"/>
        <v>0</v>
      </c>
      <c r="U602" s="1400" t="s">
        <v>34</v>
      </c>
      <c r="V602" s="1203"/>
      <c r="W602" s="840"/>
    </row>
    <row r="603" spans="1:23" ht="22.95" customHeight="1" x14ac:dyDescent="0.4">
      <c r="A603" s="788">
        <v>602</v>
      </c>
      <c r="B603" s="692" t="s">
        <v>2616</v>
      </c>
      <c r="C603" s="1451" t="s">
        <v>24</v>
      </c>
      <c r="D603" s="1303">
        <v>3943</v>
      </c>
      <c r="E603" s="692" t="s">
        <v>3554</v>
      </c>
      <c r="F603" s="692" t="s">
        <v>3424</v>
      </c>
      <c r="G603" s="1432">
        <v>3935</v>
      </c>
      <c r="H603" s="692" t="s">
        <v>3457</v>
      </c>
      <c r="I603" s="692" t="s">
        <v>3406</v>
      </c>
      <c r="J603" s="79" t="s">
        <v>58</v>
      </c>
      <c r="K603" s="79" t="s">
        <v>57</v>
      </c>
      <c r="L603" s="1201">
        <v>0.8</v>
      </c>
      <c r="M603" s="756" t="s">
        <v>3545</v>
      </c>
      <c r="N603" s="818" t="s">
        <v>3546</v>
      </c>
      <c r="O603" s="1479" t="s">
        <v>3547</v>
      </c>
      <c r="P603" s="206">
        <v>0.9</v>
      </c>
      <c r="Q603" s="1201">
        <v>0.2</v>
      </c>
      <c r="R603" s="206"/>
      <c r="S603" s="657">
        <f t="shared" si="18"/>
        <v>0</v>
      </c>
      <c r="T603" s="207">
        <f t="shared" si="19"/>
        <v>0</v>
      </c>
      <c r="U603" s="1400" t="s">
        <v>34</v>
      </c>
      <c r="V603" s="1203"/>
      <c r="W603" s="840"/>
    </row>
    <row r="604" spans="1:23" ht="22.95" customHeight="1" x14ac:dyDescent="0.4">
      <c r="A604" s="788">
        <v>603</v>
      </c>
      <c r="B604" s="692" t="s">
        <v>2616</v>
      </c>
      <c r="C604" s="1451" t="s">
        <v>24</v>
      </c>
      <c r="D604" s="1303">
        <v>3943</v>
      </c>
      <c r="E604" s="692" t="s">
        <v>3554</v>
      </c>
      <c r="F604" s="692" t="s">
        <v>3424</v>
      </c>
      <c r="G604" s="1432">
        <v>3935</v>
      </c>
      <c r="H604" s="692" t="s">
        <v>3457</v>
      </c>
      <c r="I604" s="692" t="s">
        <v>3406</v>
      </c>
      <c r="J604" s="79" t="s">
        <v>58</v>
      </c>
      <c r="K604" s="79" t="s">
        <v>57</v>
      </c>
      <c r="L604" s="1201">
        <v>0.8</v>
      </c>
      <c r="M604" s="756" t="s">
        <v>3548</v>
      </c>
      <c r="N604" s="757" t="s">
        <v>3549</v>
      </c>
      <c r="O604" s="756" t="s">
        <v>3550</v>
      </c>
      <c r="P604" s="206">
        <v>0.9</v>
      </c>
      <c r="Q604" s="1201">
        <v>0.1</v>
      </c>
      <c r="R604" s="206"/>
      <c r="S604" s="657">
        <f t="shared" si="18"/>
        <v>0</v>
      </c>
      <c r="T604" s="207">
        <f t="shared" si="19"/>
        <v>0</v>
      </c>
      <c r="U604" s="1400" t="s">
        <v>34</v>
      </c>
      <c r="V604" s="1203"/>
      <c r="W604" s="840"/>
    </row>
    <row r="605" spans="1:23" ht="22.95" customHeight="1" x14ac:dyDescent="0.4">
      <c r="A605" s="788">
        <v>604</v>
      </c>
      <c r="B605" s="246" t="s">
        <v>2616</v>
      </c>
      <c r="C605" s="1453" t="s">
        <v>24</v>
      </c>
      <c r="D605" s="1306">
        <v>3943</v>
      </c>
      <c r="E605" s="246" t="s">
        <v>3554</v>
      </c>
      <c r="F605" s="246" t="s">
        <v>3424</v>
      </c>
      <c r="G605" s="946">
        <v>3935</v>
      </c>
      <c r="H605" s="246" t="s">
        <v>3457</v>
      </c>
      <c r="I605" s="246" t="s">
        <v>3406</v>
      </c>
      <c r="J605" s="649" t="s">
        <v>111</v>
      </c>
      <c r="K605" s="253" t="s">
        <v>110</v>
      </c>
      <c r="L605" s="1209">
        <v>0.2</v>
      </c>
      <c r="M605" s="1435" t="s">
        <v>3551</v>
      </c>
      <c r="N605" s="1436" t="s">
        <v>3552</v>
      </c>
      <c r="O605" s="1435" t="s">
        <v>3553</v>
      </c>
      <c r="P605" s="262">
        <v>0.9</v>
      </c>
      <c r="Q605" s="1209">
        <v>1</v>
      </c>
      <c r="R605" s="262"/>
      <c r="S605" s="659">
        <f t="shared" si="18"/>
        <v>0</v>
      </c>
      <c r="T605" s="263">
        <f t="shared" si="19"/>
        <v>0</v>
      </c>
      <c r="U605" s="303" t="s">
        <v>34</v>
      </c>
      <c r="V605" s="1228"/>
      <c r="W605" s="799"/>
    </row>
    <row r="606" spans="1:23" ht="22.95" customHeight="1" x14ac:dyDescent="0.4">
      <c r="A606" s="788">
        <v>605</v>
      </c>
      <c r="B606" s="187" t="s">
        <v>2616</v>
      </c>
      <c r="C606" s="1449" t="s">
        <v>24</v>
      </c>
      <c r="D606" s="1200">
        <v>4040</v>
      </c>
      <c r="E606" s="187" t="s">
        <v>3558</v>
      </c>
      <c r="F606" s="187" t="s">
        <v>3559</v>
      </c>
      <c r="G606" s="674">
        <v>3943</v>
      </c>
      <c r="H606" s="187" t="s">
        <v>3554</v>
      </c>
      <c r="I606" s="187" t="s">
        <v>3406</v>
      </c>
      <c r="J606" s="653" t="s">
        <v>58</v>
      </c>
      <c r="K606" s="653" t="s">
        <v>57</v>
      </c>
      <c r="L606" s="1054">
        <v>0.8</v>
      </c>
      <c r="M606" s="1407" t="s">
        <v>3536</v>
      </c>
      <c r="N606" s="1481" t="s">
        <v>3537</v>
      </c>
      <c r="O606" s="1478" t="s">
        <v>3560</v>
      </c>
      <c r="P606" s="654">
        <v>0.9</v>
      </c>
      <c r="Q606" s="1054">
        <v>0.2</v>
      </c>
      <c r="R606" s="654"/>
      <c r="S606" s="654">
        <f t="shared" si="18"/>
        <v>0</v>
      </c>
      <c r="T606" s="196">
        <f t="shared" si="19"/>
        <v>0</v>
      </c>
      <c r="U606" s="295" t="s">
        <v>34</v>
      </c>
      <c r="V606" s="1221">
        <f>SUM(T606:T611)%</f>
        <v>0</v>
      </c>
      <c r="W606" s="791"/>
    </row>
    <row r="607" spans="1:23" ht="22.95" customHeight="1" x14ac:dyDescent="0.4">
      <c r="A607" s="788">
        <v>606</v>
      </c>
      <c r="B607" s="692" t="s">
        <v>2616</v>
      </c>
      <c r="C607" s="1451" t="s">
        <v>24</v>
      </c>
      <c r="D607" s="1303">
        <v>4040</v>
      </c>
      <c r="E607" s="692" t="s">
        <v>3558</v>
      </c>
      <c r="F607" s="692" t="s">
        <v>3559</v>
      </c>
      <c r="G607" s="1432">
        <v>3943</v>
      </c>
      <c r="H607" s="692" t="s">
        <v>3554</v>
      </c>
      <c r="I607" s="692" t="s">
        <v>3406</v>
      </c>
      <c r="J607" s="79" t="s">
        <v>58</v>
      </c>
      <c r="K607" s="79" t="s">
        <v>57</v>
      </c>
      <c r="L607" s="1201">
        <v>0.8</v>
      </c>
      <c r="M607" s="821" t="s">
        <v>3539</v>
      </c>
      <c r="N607" s="818" t="s">
        <v>3540</v>
      </c>
      <c r="O607" s="1479" t="s">
        <v>3541</v>
      </c>
      <c r="P607" s="657">
        <v>0.9</v>
      </c>
      <c r="Q607" s="1201">
        <v>0.2</v>
      </c>
      <c r="R607" s="657"/>
      <c r="S607" s="657">
        <f t="shared" si="18"/>
        <v>0</v>
      </c>
      <c r="T607" s="207">
        <f t="shared" si="19"/>
        <v>0</v>
      </c>
      <c r="U607" s="1400" t="s">
        <v>34</v>
      </c>
      <c r="V607" s="1203"/>
      <c r="W607" s="840"/>
    </row>
    <row r="608" spans="1:23" ht="22.95" customHeight="1" x14ac:dyDescent="0.4">
      <c r="A608" s="788">
        <v>607</v>
      </c>
      <c r="B608" s="692" t="s">
        <v>2616</v>
      </c>
      <c r="C608" s="1451" t="s">
        <v>24</v>
      </c>
      <c r="D608" s="1303">
        <v>4040</v>
      </c>
      <c r="E608" s="692" t="s">
        <v>3558</v>
      </c>
      <c r="F608" s="692" t="s">
        <v>3559</v>
      </c>
      <c r="G608" s="1432">
        <v>3943</v>
      </c>
      <c r="H608" s="692" t="s">
        <v>3554</v>
      </c>
      <c r="I608" s="692" t="s">
        <v>3406</v>
      </c>
      <c r="J608" s="79" t="s">
        <v>58</v>
      </c>
      <c r="K608" s="79" t="s">
        <v>57</v>
      </c>
      <c r="L608" s="1201">
        <v>0.8</v>
      </c>
      <c r="M608" s="756" t="s">
        <v>3542</v>
      </c>
      <c r="N608" s="1482" t="s">
        <v>3561</v>
      </c>
      <c r="O608" s="1479" t="s">
        <v>3544</v>
      </c>
      <c r="P608" s="206">
        <v>0.9</v>
      </c>
      <c r="Q608" s="1201">
        <v>0.3</v>
      </c>
      <c r="R608" s="206"/>
      <c r="S608" s="657">
        <f t="shared" si="18"/>
        <v>0</v>
      </c>
      <c r="T608" s="207">
        <f t="shared" si="19"/>
        <v>0</v>
      </c>
      <c r="U608" s="1400" t="s">
        <v>34</v>
      </c>
      <c r="V608" s="1203"/>
      <c r="W608" s="840"/>
    </row>
    <row r="609" spans="1:23" ht="22.95" customHeight="1" x14ac:dyDescent="0.4">
      <c r="A609" s="788">
        <v>608</v>
      </c>
      <c r="B609" s="692" t="s">
        <v>2616</v>
      </c>
      <c r="C609" s="1451" t="s">
        <v>24</v>
      </c>
      <c r="D609" s="1303">
        <v>4040</v>
      </c>
      <c r="E609" s="692" t="s">
        <v>3558</v>
      </c>
      <c r="F609" s="692" t="s">
        <v>3559</v>
      </c>
      <c r="G609" s="1432">
        <v>3943</v>
      </c>
      <c r="H609" s="692" t="s">
        <v>3554</v>
      </c>
      <c r="I609" s="692" t="s">
        <v>3406</v>
      </c>
      <c r="J609" s="79" t="s">
        <v>58</v>
      </c>
      <c r="K609" s="79" t="s">
        <v>57</v>
      </c>
      <c r="L609" s="1201">
        <v>0.8</v>
      </c>
      <c r="M609" s="756" t="s">
        <v>3545</v>
      </c>
      <c r="N609" s="818" t="s">
        <v>3546</v>
      </c>
      <c r="O609" s="1479" t="s">
        <v>3547</v>
      </c>
      <c r="P609" s="206">
        <v>0.9</v>
      </c>
      <c r="Q609" s="1201">
        <v>0.2</v>
      </c>
      <c r="R609" s="206"/>
      <c r="S609" s="657">
        <f t="shared" si="18"/>
        <v>0</v>
      </c>
      <c r="T609" s="207">
        <f t="shared" si="19"/>
        <v>0</v>
      </c>
      <c r="U609" s="1400" t="s">
        <v>34</v>
      </c>
      <c r="V609" s="1203"/>
      <c r="W609" s="840"/>
    </row>
    <row r="610" spans="1:23" ht="22.95" customHeight="1" x14ac:dyDescent="0.4">
      <c r="A610" s="788">
        <v>609</v>
      </c>
      <c r="B610" s="692" t="s">
        <v>2616</v>
      </c>
      <c r="C610" s="1451" t="s">
        <v>24</v>
      </c>
      <c r="D610" s="1303">
        <v>4040</v>
      </c>
      <c r="E610" s="692" t="s">
        <v>3558</v>
      </c>
      <c r="F610" s="692" t="s">
        <v>3559</v>
      </c>
      <c r="G610" s="1432">
        <v>3943</v>
      </c>
      <c r="H610" s="692" t="s">
        <v>3554</v>
      </c>
      <c r="I610" s="692" t="s">
        <v>3406</v>
      </c>
      <c r="J610" s="79" t="s">
        <v>58</v>
      </c>
      <c r="K610" s="79" t="s">
        <v>57</v>
      </c>
      <c r="L610" s="1201">
        <v>0.8</v>
      </c>
      <c r="M610" s="756" t="s">
        <v>3548</v>
      </c>
      <c r="N610" s="757" t="s">
        <v>3549</v>
      </c>
      <c r="O610" s="756" t="s">
        <v>3550</v>
      </c>
      <c r="P610" s="206">
        <v>0.9</v>
      </c>
      <c r="Q610" s="1201">
        <v>0.1</v>
      </c>
      <c r="R610" s="206"/>
      <c r="S610" s="657">
        <f t="shared" si="18"/>
        <v>0</v>
      </c>
      <c r="T610" s="207">
        <f t="shared" si="19"/>
        <v>0</v>
      </c>
      <c r="U610" s="1400" t="s">
        <v>34</v>
      </c>
      <c r="V610" s="1203"/>
      <c r="W610" s="840"/>
    </row>
    <row r="611" spans="1:23" ht="22.95" customHeight="1" x14ac:dyDescent="0.4">
      <c r="A611" s="788">
        <v>610</v>
      </c>
      <c r="B611" s="246" t="s">
        <v>2616</v>
      </c>
      <c r="C611" s="1453" t="s">
        <v>24</v>
      </c>
      <c r="D611" s="1306">
        <v>4040</v>
      </c>
      <c r="E611" s="246" t="s">
        <v>3558</v>
      </c>
      <c r="F611" s="246" t="s">
        <v>3559</v>
      </c>
      <c r="G611" s="946">
        <v>3943</v>
      </c>
      <c r="H611" s="246" t="s">
        <v>3554</v>
      </c>
      <c r="I611" s="246" t="s">
        <v>3406</v>
      </c>
      <c r="J611" s="649" t="s">
        <v>111</v>
      </c>
      <c r="K611" s="253" t="s">
        <v>110</v>
      </c>
      <c r="L611" s="1209">
        <v>0.2</v>
      </c>
      <c r="M611" s="1435" t="s">
        <v>3551</v>
      </c>
      <c r="N611" s="1436" t="s">
        <v>3552</v>
      </c>
      <c r="O611" s="1483" t="s">
        <v>3553</v>
      </c>
      <c r="P611" s="262">
        <v>0.9</v>
      </c>
      <c r="Q611" s="1209">
        <v>1</v>
      </c>
      <c r="R611" s="262"/>
      <c r="S611" s="659">
        <f t="shared" si="18"/>
        <v>0</v>
      </c>
      <c r="T611" s="263">
        <f t="shared" si="19"/>
        <v>0</v>
      </c>
      <c r="U611" s="303" t="s">
        <v>34</v>
      </c>
      <c r="V611" s="1228"/>
      <c r="W611" s="799"/>
    </row>
    <row r="612" spans="1:23" ht="22.95" customHeight="1" x14ac:dyDescent="0.4">
      <c r="A612" s="788">
        <v>611</v>
      </c>
      <c r="B612" s="187" t="s">
        <v>2616</v>
      </c>
      <c r="C612" s="187" t="s">
        <v>24</v>
      </c>
      <c r="D612" s="1130">
        <v>6039</v>
      </c>
      <c r="E612" s="187" t="s">
        <v>3562</v>
      </c>
      <c r="F612" s="187" t="s">
        <v>3563</v>
      </c>
      <c r="G612" s="795">
        <v>3192</v>
      </c>
      <c r="H612" s="187" t="s">
        <v>2619</v>
      </c>
      <c r="I612" s="187" t="s">
        <v>729</v>
      </c>
      <c r="J612" s="653" t="s">
        <v>30</v>
      </c>
      <c r="K612" s="653" t="s">
        <v>29</v>
      </c>
      <c r="L612" s="1054">
        <v>0.6</v>
      </c>
      <c r="M612" s="748" t="s">
        <v>2620</v>
      </c>
      <c r="N612" s="749" t="s">
        <v>2621</v>
      </c>
      <c r="O612" s="1053"/>
      <c r="P612" s="1053">
        <v>1856910.8756204764</v>
      </c>
      <c r="Q612" s="1054">
        <v>0.15</v>
      </c>
      <c r="R612" s="1053"/>
      <c r="S612" s="644">
        <f t="shared" si="18"/>
        <v>0</v>
      </c>
      <c r="T612" s="834">
        <f t="shared" si="19"/>
        <v>0</v>
      </c>
      <c r="U612" s="644" t="s">
        <v>34</v>
      </c>
      <c r="V612" s="1484">
        <f>SUM(T612:T646)%</f>
        <v>0</v>
      </c>
      <c r="W612" s="791"/>
    </row>
    <row r="613" spans="1:23" ht="22.95" customHeight="1" x14ac:dyDescent="0.4">
      <c r="A613" s="788">
        <v>612</v>
      </c>
      <c r="B613" s="246" t="s">
        <v>2616</v>
      </c>
      <c r="C613" s="246" t="s">
        <v>24</v>
      </c>
      <c r="D613" s="1134">
        <v>6039</v>
      </c>
      <c r="E613" s="246" t="s">
        <v>3562</v>
      </c>
      <c r="F613" s="246" t="s">
        <v>3563</v>
      </c>
      <c r="G613" s="1381">
        <v>3192</v>
      </c>
      <c r="H613" s="246" t="s">
        <v>2619</v>
      </c>
      <c r="I613" s="246" t="s">
        <v>729</v>
      </c>
      <c r="J613" s="648" t="s">
        <v>30</v>
      </c>
      <c r="K613" s="649" t="s">
        <v>29</v>
      </c>
      <c r="L613" s="1063">
        <v>0.6</v>
      </c>
      <c r="M613" s="1060" t="s">
        <v>2622</v>
      </c>
      <c r="N613" s="1061" t="s">
        <v>2623</v>
      </c>
      <c r="O613" s="1062"/>
      <c r="P613" s="1062">
        <v>621419.69473720191</v>
      </c>
      <c r="Q613" s="1063">
        <v>0.1</v>
      </c>
      <c r="R613" s="1062"/>
      <c r="S613" s="222">
        <f t="shared" si="18"/>
        <v>0</v>
      </c>
      <c r="T613" s="765">
        <f t="shared" si="19"/>
        <v>0</v>
      </c>
      <c r="U613" s="222" t="s">
        <v>34</v>
      </c>
      <c r="V613" s="1228"/>
      <c r="W613" s="799"/>
    </row>
    <row r="614" spans="1:23" ht="22.95" customHeight="1" x14ac:dyDescent="0.4">
      <c r="A614" s="788">
        <v>613</v>
      </c>
      <c r="B614" s="246" t="s">
        <v>2616</v>
      </c>
      <c r="C614" s="246" t="s">
        <v>24</v>
      </c>
      <c r="D614" s="1134">
        <v>6039</v>
      </c>
      <c r="E614" s="246" t="s">
        <v>3562</v>
      </c>
      <c r="F614" s="246" t="s">
        <v>3563</v>
      </c>
      <c r="G614" s="1381">
        <v>3192</v>
      </c>
      <c r="H614" s="246" t="s">
        <v>2619</v>
      </c>
      <c r="I614" s="246" t="s">
        <v>729</v>
      </c>
      <c r="J614" s="648" t="s">
        <v>30</v>
      </c>
      <c r="K614" s="649" t="s">
        <v>29</v>
      </c>
      <c r="L614" s="1063">
        <v>0.6</v>
      </c>
      <c r="M614" s="1060" t="s">
        <v>2624</v>
      </c>
      <c r="N614" s="1061" t="s">
        <v>2625</v>
      </c>
      <c r="O614" s="1062"/>
      <c r="P614" s="1062">
        <v>789737.85000000009</v>
      </c>
      <c r="Q614" s="1063">
        <v>0.1</v>
      </c>
      <c r="R614" s="1062"/>
      <c r="S614" s="222">
        <f t="shared" si="18"/>
        <v>0</v>
      </c>
      <c r="T614" s="765">
        <f t="shared" si="19"/>
        <v>0</v>
      </c>
      <c r="U614" s="222" t="s">
        <v>34</v>
      </c>
      <c r="V614" s="1228"/>
      <c r="W614" s="799"/>
    </row>
    <row r="615" spans="1:23" ht="22.95" customHeight="1" x14ac:dyDescent="0.4">
      <c r="A615" s="788">
        <v>614</v>
      </c>
      <c r="B615" s="246" t="s">
        <v>2616</v>
      </c>
      <c r="C615" s="246" t="s">
        <v>24</v>
      </c>
      <c r="D615" s="1134">
        <v>6039</v>
      </c>
      <c r="E615" s="246" t="s">
        <v>3562</v>
      </c>
      <c r="F615" s="246" t="s">
        <v>3563</v>
      </c>
      <c r="G615" s="1381">
        <v>3192</v>
      </c>
      <c r="H615" s="246" t="s">
        <v>2619</v>
      </c>
      <c r="I615" s="246" t="s">
        <v>729</v>
      </c>
      <c r="J615" s="648" t="s">
        <v>30</v>
      </c>
      <c r="K615" s="649" t="s">
        <v>29</v>
      </c>
      <c r="L615" s="1063">
        <v>0.6</v>
      </c>
      <c r="M615" s="1060" t="s">
        <v>2626</v>
      </c>
      <c r="N615" s="1061" t="s">
        <v>2627</v>
      </c>
      <c r="O615" s="1062"/>
      <c r="P615" s="1062">
        <v>1406879.4938896229</v>
      </c>
      <c r="Q615" s="1063">
        <v>0.05</v>
      </c>
      <c r="R615" s="1062"/>
      <c r="S615" s="222">
        <f t="shared" si="18"/>
        <v>0</v>
      </c>
      <c r="T615" s="765">
        <f t="shared" si="19"/>
        <v>0</v>
      </c>
      <c r="U615" s="222" t="s">
        <v>34</v>
      </c>
      <c r="V615" s="1228"/>
      <c r="W615" s="799"/>
    </row>
    <row r="616" spans="1:23" ht="22.95" customHeight="1" x14ac:dyDescent="0.4">
      <c r="A616" s="788">
        <v>615</v>
      </c>
      <c r="B616" s="246" t="s">
        <v>2616</v>
      </c>
      <c r="C616" s="246" t="s">
        <v>24</v>
      </c>
      <c r="D616" s="1134">
        <v>6039</v>
      </c>
      <c r="E616" s="246" t="s">
        <v>3562</v>
      </c>
      <c r="F616" s="246" t="s">
        <v>3563</v>
      </c>
      <c r="G616" s="1381">
        <v>3192</v>
      </c>
      <c r="H616" s="246" t="s">
        <v>2619</v>
      </c>
      <c r="I616" s="246" t="s">
        <v>729</v>
      </c>
      <c r="J616" s="648" t="s">
        <v>30</v>
      </c>
      <c r="K616" s="649" t="s">
        <v>29</v>
      </c>
      <c r="L616" s="1063">
        <v>0.6</v>
      </c>
      <c r="M616" s="1060" t="s">
        <v>2628</v>
      </c>
      <c r="N616" s="1061" t="s">
        <v>2629</v>
      </c>
      <c r="O616" s="1062"/>
      <c r="P616" s="1062">
        <v>48608.249727263406</v>
      </c>
      <c r="Q616" s="1063">
        <v>0.01</v>
      </c>
      <c r="R616" s="1062"/>
      <c r="S616" s="222">
        <f t="shared" si="18"/>
        <v>0</v>
      </c>
      <c r="T616" s="765">
        <f t="shared" si="19"/>
        <v>0</v>
      </c>
      <c r="U616" s="222" t="s">
        <v>34</v>
      </c>
      <c r="V616" s="1228"/>
      <c r="W616" s="799"/>
    </row>
    <row r="617" spans="1:23" ht="22.95" customHeight="1" x14ac:dyDescent="0.4">
      <c r="A617" s="788">
        <v>616</v>
      </c>
      <c r="B617" s="246" t="s">
        <v>2616</v>
      </c>
      <c r="C617" s="246" t="s">
        <v>24</v>
      </c>
      <c r="D617" s="1134">
        <v>6039</v>
      </c>
      <c r="E617" s="246" t="s">
        <v>3562</v>
      </c>
      <c r="F617" s="246" t="s">
        <v>3563</v>
      </c>
      <c r="G617" s="1381">
        <v>3192</v>
      </c>
      <c r="H617" s="246" t="s">
        <v>2619</v>
      </c>
      <c r="I617" s="246" t="s">
        <v>729</v>
      </c>
      <c r="J617" s="648" t="s">
        <v>30</v>
      </c>
      <c r="K617" s="649" t="s">
        <v>29</v>
      </c>
      <c r="L617" s="1063">
        <v>0.6</v>
      </c>
      <c r="M617" s="1060" t="s">
        <v>2630</v>
      </c>
      <c r="N617" s="1061" t="s">
        <v>2631</v>
      </c>
      <c r="O617" s="1062"/>
      <c r="P617" s="1062">
        <v>48600000</v>
      </c>
      <c r="Q617" s="1063">
        <v>0.03</v>
      </c>
      <c r="R617" s="1062"/>
      <c r="S617" s="222">
        <f t="shared" si="18"/>
        <v>0</v>
      </c>
      <c r="T617" s="765">
        <f t="shared" si="19"/>
        <v>0</v>
      </c>
      <c r="U617" s="222" t="s">
        <v>34</v>
      </c>
      <c r="V617" s="1228"/>
      <c r="W617" s="799"/>
    </row>
    <row r="618" spans="1:23" ht="22.95" customHeight="1" x14ac:dyDescent="0.4">
      <c r="A618" s="788">
        <v>617</v>
      </c>
      <c r="B618" s="246" t="s">
        <v>2616</v>
      </c>
      <c r="C618" s="246" t="s">
        <v>24</v>
      </c>
      <c r="D618" s="1134">
        <v>6039</v>
      </c>
      <c r="E618" s="246" t="s">
        <v>3562</v>
      </c>
      <c r="F618" s="246" t="s">
        <v>3563</v>
      </c>
      <c r="G618" s="1381">
        <v>3192</v>
      </c>
      <c r="H618" s="246" t="s">
        <v>2619</v>
      </c>
      <c r="I618" s="246" t="s">
        <v>729</v>
      </c>
      <c r="J618" s="648" t="s">
        <v>30</v>
      </c>
      <c r="K618" s="649" t="s">
        <v>29</v>
      </c>
      <c r="L618" s="1063">
        <v>0.6</v>
      </c>
      <c r="M618" s="1060" t="s">
        <v>41</v>
      </c>
      <c r="N618" s="1061" t="s">
        <v>2632</v>
      </c>
      <c r="O618" s="1062"/>
      <c r="P618" s="1062">
        <v>98000</v>
      </c>
      <c r="Q618" s="1063">
        <v>0.01</v>
      </c>
      <c r="R618" s="1062"/>
      <c r="S618" s="222">
        <f t="shared" si="18"/>
        <v>0</v>
      </c>
      <c r="T618" s="765">
        <f t="shared" si="19"/>
        <v>0</v>
      </c>
      <c r="U618" s="222" t="s">
        <v>34</v>
      </c>
      <c r="V618" s="1228"/>
      <c r="W618" s="799"/>
    </row>
    <row r="619" spans="1:23" ht="22.95" customHeight="1" x14ac:dyDescent="0.4">
      <c r="A619" s="788">
        <v>618</v>
      </c>
      <c r="B619" s="246" t="s">
        <v>2616</v>
      </c>
      <c r="C619" s="246" t="s">
        <v>24</v>
      </c>
      <c r="D619" s="1134">
        <v>6039</v>
      </c>
      <c r="E619" s="246" t="s">
        <v>3562</v>
      </c>
      <c r="F619" s="246" t="s">
        <v>3563</v>
      </c>
      <c r="G619" s="1381">
        <v>3192</v>
      </c>
      <c r="H619" s="246" t="s">
        <v>2619</v>
      </c>
      <c r="I619" s="246" t="s">
        <v>729</v>
      </c>
      <c r="J619" s="648" t="s">
        <v>30</v>
      </c>
      <c r="K619" s="649" t="s">
        <v>29</v>
      </c>
      <c r="L619" s="1063">
        <v>0.6</v>
      </c>
      <c r="M619" s="1060" t="s">
        <v>2633</v>
      </c>
      <c r="N619" s="1061" t="s">
        <v>2634</v>
      </c>
      <c r="O619" s="1062"/>
      <c r="P619" s="1062">
        <v>42860.330649873424</v>
      </c>
      <c r="Q619" s="1063">
        <v>0.02</v>
      </c>
      <c r="R619" s="1062"/>
      <c r="S619" s="222">
        <f t="shared" si="18"/>
        <v>0</v>
      </c>
      <c r="T619" s="765">
        <f t="shared" si="19"/>
        <v>0</v>
      </c>
      <c r="U619" s="222" t="s">
        <v>34</v>
      </c>
      <c r="V619" s="1228"/>
      <c r="W619" s="799"/>
    </row>
    <row r="620" spans="1:23" ht="22.95" customHeight="1" x14ac:dyDescent="0.4">
      <c r="A620" s="788">
        <v>619</v>
      </c>
      <c r="B620" s="246" t="s">
        <v>2616</v>
      </c>
      <c r="C620" s="246" t="s">
        <v>24</v>
      </c>
      <c r="D620" s="1134">
        <v>6039</v>
      </c>
      <c r="E620" s="246" t="s">
        <v>3562</v>
      </c>
      <c r="F620" s="246" t="s">
        <v>3563</v>
      </c>
      <c r="G620" s="1381">
        <v>3192</v>
      </c>
      <c r="H620" s="246" t="s">
        <v>2619</v>
      </c>
      <c r="I620" s="246" t="s">
        <v>729</v>
      </c>
      <c r="J620" s="648" t="s">
        <v>30</v>
      </c>
      <c r="K620" s="649" t="s">
        <v>29</v>
      </c>
      <c r="L620" s="1063">
        <v>0.6</v>
      </c>
      <c r="M620" s="1060" t="s">
        <v>2635</v>
      </c>
      <c r="N620" s="1061" t="s">
        <v>2636</v>
      </c>
      <c r="O620" s="1062"/>
      <c r="P620" s="1062">
        <v>1822851.8475738494</v>
      </c>
      <c r="Q620" s="1063">
        <v>0.15</v>
      </c>
      <c r="R620" s="1062"/>
      <c r="S620" s="222">
        <f t="shared" si="18"/>
        <v>0</v>
      </c>
      <c r="T620" s="765">
        <f t="shared" si="19"/>
        <v>0</v>
      </c>
      <c r="U620" s="222" t="s">
        <v>34</v>
      </c>
      <c r="V620" s="1228"/>
      <c r="W620" s="799"/>
    </row>
    <row r="621" spans="1:23" ht="22.95" customHeight="1" x14ac:dyDescent="0.4">
      <c r="A621" s="788">
        <v>620</v>
      </c>
      <c r="B621" s="246" t="s">
        <v>2616</v>
      </c>
      <c r="C621" s="246" t="s">
        <v>24</v>
      </c>
      <c r="D621" s="1134">
        <v>6039</v>
      </c>
      <c r="E621" s="246" t="s">
        <v>3562</v>
      </c>
      <c r="F621" s="246" t="s">
        <v>3563</v>
      </c>
      <c r="G621" s="1381">
        <v>3192</v>
      </c>
      <c r="H621" s="246" t="s">
        <v>2619</v>
      </c>
      <c r="I621" s="246" t="s">
        <v>729</v>
      </c>
      <c r="J621" s="648" t="s">
        <v>30</v>
      </c>
      <c r="K621" s="649" t="s">
        <v>29</v>
      </c>
      <c r="L621" s="1063">
        <v>0.6</v>
      </c>
      <c r="M621" s="1060" t="s">
        <v>2637</v>
      </c>
      <c r="N621" s="1061" t="s">
        <v>2638</v>
      </c>
      <c r="O621" s="1062"/>
      <c r="P621" s="1062">
        <v>632149.86058619968</v>
      </c>
      <c r="Q621" s="1063">
        <v>0.1</v>
      </c>
      <c r="R621" s="1062"/>
      <c r="S621" s="222">
        <f t="shared" si="18"/>
        <v>0</v>
      </c>
      <c r="T621" s="765">
        <f t="shared" si="19"/>
        <v>0</v>
      </c>
      <c r="U621" s="222" t="s">
        <v>34</v>
      </c>
      <c r="V621" s="1228"/>
      <c r="W621" s="799"/>
    </row>
    <row r="622" spans="1:23" ht="22.95" customHeight="1" x14ac:dyDescent="0.4">
      <c r="A622" s="788">
        <v>621</v>
      </c>
      <c r="B622" s="246" t="s">
        <v>2616</v>
      </c>
      <c r="C622" s="246" t="s">
        <v>24</v>
      </c>
      <c r="D622" s="1134">
        <v>6039</v>
      </c>
      <c r="E622" s="246" t="s">
        <v>3562</v>
      </c>
      <c r="F622" s="246" t="s">
        <v>3563</v>
      </c>
      <c r="G622" s="1381">
        <v>3192</v>
      </c>
      <c r="H622" s="246" t="s">
        <v>2619</v>
      </c>
      <c r="I622" s="246" t="s">
        <v>729</v>
      </c>
      <c r="J622" s="648" t="s">
        <v>30</v>
      </c>
      <c r="K622" s="649" t="s">
        <v>29</v>
      </c>
      <c r="L622" s="1063">
        <v>0.6</v>
      </c>
      <c r="M622" s="1060" t="s">
        <v>2639</v>
      </c>
      <c r="N622" s="1061" t="s">
        <v>2640</v>
      </c>
      <c r="O622" s="1062"/>
      <c r="P622" s="1062">
        <v>1582673.167066941</v>
      </c>
      <c r="Q622" s="1063">
        <v>0.05</v>
      </c>
      <c r="R622" s="1062"/>
      <c r="S622" s="222">
        <f t="shared" si="18"/>
        <v>0</v>
      </c>
      <c r="T622" s="765">
        <f t="shared" si="19"/>
        <v>0</v>
      </c>
      <c r="U622" s="222" t="s">
        <v>34</v>
      </c>
      <c r="V622" s="1228"/>
      <c r="W622" s="799"/>
    </row>
    <row r="623" spans="1:23" ht="22.95" customHeight="1" x14ac:dyDescent="0.4">
      <c r="A623" s="788">
        <v>622</v>
      </c>
      <c r="B623" s="246" t="s">
        <v>2616</v>
      </c>
      <c r="C623" s="246" t="s">
        <v>24</v>
      </c>
      <c r="D623" s="1134">
        <v>6039</v>
      </c>
      <c r="E623" s="246" t="s">
        <v>3562</v>
      </c>
      <c r="F623" s="246" t="s">
        <v>3563</v>
      </c>
      <c r="G623" s="1381">
        <v>3192</v>
      </c>
      <c r="H623" s="246" t="s">
        <v>2619</v>
      </c>
      <c r="I623" s="246" t="s">
        <v>729</v>
      </c>
      <c r="J623" s="648" t="s">
        <v>30</v>
      </c>
      <c r="K623" s="649" t="s">
        <v>29</v>
      </c>
      <c r="L623" s="1063">
        <v>0.6</v>
      </c>
      <c r="M623" s="1060" t="s">
        <v>2641</v>
      </c>
      <c r="N623" s="1061" t="s">
        <v>2642</v>
      </c>
      <c r="O623" s="1062"/>
      <c r="P623" s="1062">
        <v>52500</v>
      </c>
      <c r="Q623" s="1063">
        <v>0.01</v>
      </c>
      <c r="R623" s="1062"/>
      <c r="S623" s="222">
        <f t="shared" si="18"/>
        <v>0</v>
      </c>
      <c r="T623" s="765">
        <f t="shared" si="19"/>
        <v>0</v>
      </c>
      <c r="U623" s="222" t="s">
        <v>34</v>
      </c>
      <c r="V623" s="1228"/>
      <c r="W623" s="799"/>
    </row>
    <row r="624" spans="1:23" ht="22.95" customHeight="1" x14ac:dyDescent="0.4">
      <c r="A624" s="788">
        <v>623</v>
      </c>
      <c r="B624" s="246" t="s">
        <v>2616</v>
      </c>
      <c r="C624" s="246" t="s">
        <v>24</v>
      </c>
      <c r="D624" s="1134">
        <v>6039</v>
      </c>
      <c r="E624" s="246" t="s">
        <v>3562</v>
      </c>
      <c r="F624" s="246" t="s">
        <v>3563</v>
      </c>
      <c r="G624" s="1381">
        <v>3192</v>
      </c>
      <c r="H624" s="246" t="s">
        <v>2619</v>
      </c>
      <c r="I624" s="246" t="s">
        <v>729</v>
      </c>
      <c r="J624" s="648" t="s">
        <v>30</v>
      </c>
      <c r="K624" s="649" t="s">
        <v>29</v>
      </c>
      <c r="L624" s="1063">
        <v>0.6</v>
      </c>
      <c r="M624" s="1060" t="s">
        <v>2643</v>
      </c>
      <c r="N624" s="1061" t="s">
        <v>2644</v>
      </c>
      <c r="O624" s="1062"/>
      <c r="P624" s="1062">
        <v>28325616.5089917</v>
      </c>
      <c r="Q624" s="1063">
        <v>0.03</v>
      </c>
      <c r="R624" s="1062"/>
      <c r="S624" s="222">
        <f t="shared" si="18"/>
        <v>0</v>
      </c>
      <c r="T624" s="765">
        <f t="shared" si="19"/>
        <v>0</v>
      </c>
      <c r="U624" s="222" t="s">
        <v>34</v>
      </c>
      <c r="V624" s="1228"/>
      <c r="W624" s="799"/>
    </row>
    <row r="625" spans="1:23" ht="22.95" customHeight="1" x14ac:dyDescent="0.4">
      <c r="A625" s="788">
        <v>624</v>
      </c>
      <c r="B625" s="246" t="s">
        <v>2616</v>
      </c>
      <c r="C625" s="246" t="s">
        <v>24</v>
      </c>
      <c r="D625" s="1134">
        <v>6039</v>
      </c>
      <c r="E625" s="246" t="s">
        <v>3562</v>
      </c>
      <c r="F625" s="246" t="s">
        <v>3563</v>
      </c>
      <c r="G625" s="1381">
        <v>3192</v>
      </c>
      <c r="H625" s="246" t="s">
        <v>2619</v>
      </c>
      <c r="I625" s="246" t="s">
        <v>729</v>
      </c>
      <c r="J625" s="648" t="s">
        <v>30</v>
      </c>
      <c r="K625" s="649" t="s">
        <v>29</v>
      </c>
      <c r="L625" s="1063">
        <v>0.6</v>
      </c>
      <c r="M625" s="1060" t="s">
        <v>51</v>
      </c>
      <c r="N625" s="1061" t="s">
        <v>2645</v>
      </c>
      <c r="O625" s="1062"/>
      <c r="P625" s="1062">
        <v>350000</v>
      </c>
      <c r="Q625" s="1063">
        <v>0.01</v>
      </c>
      <c r="R625" s="1062"/>
      <c r="S625" s="222">
        <f t="shared" si="18"/>
        <v>0</v>
      </c>
      <c r="T625" s="765">
        <f t="shared" si="19"/>
        <v>0</v>
      </c>
      <c r="U625" s="222" t="s">
        <v>34</v>
      </c>
      <c r="V625" s="1228"/>
      <c r="W625" s="799"/>
    </row>
    <row r="626" spans="1:23" ht="22.95" customHeight="1" x14ac:dyDescent="0.4">
      <c r="A626" s="788">
        <v>625</v>
      </c>
      <c r="B626" s="246" t="s">
        <v>2616</v>
      </c>
      <c r="C626" s="246" t="s">
        <v>24</v>
      </c>
      <c r="D626" s="1134">
        <v>6039</v>
      </c>
      <c r="E626" s="246" t="s">
        <v>3562</v>
      </c>
      <c r="F626" s="246" t="s">
        <v>3563</v>
      </c>
      <c r="G626" s="1381">
        <v>3192</v>
      </c>
      <c r="H626" s="246" t="s">
        <v>2619</v>
      </c>
      <c r="I626" s="246" t="s">
        <v>729</v>
      </c>
      <c r="J626" s="648" t="s">
        <v>30</v>
      </c>
      <c r="K626" s="649" t="s">
        <v>29</v>
      </c>
      <c r="L626" s="1063">
        <v>0.6</v>
      </c>
      <c r="M626" s="1060" t="s">
        <v>2646</v>
      </c>
      <c r="N626" s="1061" t="s">
        <v>2647</v>
      </c>
      <c r="O626" s="1062"/>
      <c r="P626" s="1062">
        <v>12008.568758934001</v>
      </c>
      <c r="Q626" s="1063">
        <v>0.01</v>
      </c>
      <c r="R626" s="1062"/>
      <c r="S626" s="222">
        <f t="shared" si="18"/>
        <v>0</v>
      </c>
      <c r="T626" s="765">
        <f t="shared" si="19"/>
        <v>0</v>
      </c>
      <c r="U626" s="222" t="s">
        <v>34</v>
      </c>
      <c r="V626" s="1228"/>
      <c r="W626" s="799"/>
    </row>
    <row r="627" spans="1:23" ht="22.95" customHeight="1" x14ac:dyDescent="0.4">
      <c r="A627" s="788">
        <v>626</v>
      </c>
      <c r="B627" s="246" t="s">
        <v>2616</v>
      </c>
      <c r="C627" s="246" t="s">
        <v>24</v>
      </c>
      <c r="D627" s="1134">
        <v>6039</v>
      </c>
      <c r="E627" s="246" t="s">
        <v>3562</v>
      </c>
      <c r="F627" s="246" t="s">
        <v>3563</v>
      </c>
      <c r="G627" s="1381">
        <v>3192</v>
      </c>
      <c r="H627" s="246" t="s">
        <v>2619</v>
      </c>
      <c r="I627" s="246" t="s">
        <v>729</v>
      </c>
      <c r="J627" s="648" t="s">
        <v>30</v>
      </c>
      <c r="K627" s="649" t="s">
        <v>29</v>
      </c>
      <c r="L627" s="1063">
        <v>0.6</v>
      </c>
      <c r="M627" s="1060" t="s">
        <v>2648</v>
      </c>
      <c r="N627" s="1061" t="s">
        <v>2649</v>
      </c>
      <c r="O627" s="799"/>
      <c r="P627" s="1065">
        <v>0.25021096971668699</v>
      </c>
      <c r="Q627" s="1063">
        <v>0.1</v>
      </c>
      <c r="R627" s="1065"/>
      <c r="S627" s="222">
        <f t="shared" si="18"/>
        <v>0</v>
      </c>
      <c r="T627" s="765">
        <f t="shared" si="19"/>
        <v>0</v>
      </c>
      <c r="U627" s="222" t="s">
        <v>34</v>
      </c>
      <c r="V627" s="1228"/>
      <c r="W627" s="799"/>
    </row>
    <row r="628" spans="1:23" ht="22.95" customHeight="1" x14ac:dyDescent="0.4">
      <c r="A628" s="788">
        <v>627</v>
      </c>
      <c r="B628" s="246" t="s">
        <v>2616</v>
      </c>
      <c r="C628" s="246" t="s">
        <v>24</v>
      </c>
      <c r="D628" s="1134">
        <v>6039</v>
      </c>
      <c r="E628" s="246" t="s">
        <v>3562</v>
      </c>
      <c r="F628" s="246" t="s">
        <v>3563</v>
      </c>
      <c r="G628" s="1381">
        <v>3192</v>
      </c>
      <c r="H628" s="246" t="s">
        <v>2619</v>
      </c>
      <c r="I628" s="246" t="s">
        <v>729</v>
      </c>
      <c r="J628" s="648" t="s">
        <v>30</v>
      </c>
      <c r="K628" s="649" t="s">
        <v>29</v>
      </c>
      <c r="L628" s="1063">
        <v>0.6</v>
      </c>
      <c r="M628" s="1060" t="s">
        <v>2650</v>
      </c>
      <c r="N628" s="1061" t="s">
        <v>2651</v>
      </c>
      <c r="O628" s="799"/>
      <c r="P628" s="1065">
        <v>0.12657225245499898</v>
      </c>
      <c r="Q628" s="1063">
        <v>7.0000000000000007E-2</v>
      </c>
      <c r="R628" s="1065"/>
      <c r="S628" s="222">
        <f t="shared" si="18"/>
        <v>0</v>
      </c>
      <c r="T628" s="765">
        <f t="shared" si="19"/>
        <v>0</v>
      </c>
      <c r="U628" s="222" t="s">
        <v>34</v>
      </c>
      <c r="V628" s="1228"/>
      <c r="W628" s="799"/>
    </row>
    <row r="629" spans="1:23" ht="22.95" customHeight="1" x14ac:dyDescent="0.4">
      <c r="A629" s="788">
        <v>628</v>
      </c>
      <c r="B629" s="246" t="s">
        <v>2616</v>
      </c>
      <c r="C629" s="246" t="s">
        <v>24</v>
      </c>
      <c r="D629" s="1485">
        <v>6039</v>
      </c>
      <c r="E629" s="199" t="s">
        <v>3562</v>
      </c>
      <c r="F629" s="303" t="s">
        <v>3563</v>
      </c>
      <c r="G629" s="1170">
        <v>3192</v>
      </c>
      <c r="H629" s="303" t="s">
        <v>2619</v>
      </c>
      <c r="I629" s="649" t="s">
        <v>729</v>
      </c>
      <c r="J629" s="79" t="s">
        <v>58</v>
      </c>
      <c r="K629" s="79" t="s">
        <v>57</v>
      </c>
      <c r="L629" s="1196">
        <v>0.15</v>
      </c>
      <c r="M629" s="840"/>
      <c r="N629" s="757" t="s">
        <v>3564</v>
      </c>
      <c r="O629" s="840"/>
      <c r="P629" s="928">
        <v>3</v>
      </c>
      <c r="Q629" s="1486">
        <v>0.3</v>
      </c>
      <c r="R629" s="928"/>
      <c r="S629" s="647">
        <f t="shared" si="18"/>
        <v>0</v>
      </c>
      <c r="T629" s="764">
        <f t="shared" si="19"/>
        <v>0</v>
      </c>
      <c r="U629" s="79" t="s">
        <v>34</v>
      </c>
      <c r="V629" s="1486"/>
      <c r="W629" s="799"/>
    </row>
    <row r="630" spans="1:23" ht="22.95" customHeight="1" x14ac:dyDescent="0.4">
      <c r="A630" s="788">
        <v>629</v>
      </c>
      <c r="B630" s="246" t="s">
        <v>2616</v>
      </c>
      <c r="C630" s="246" t="s">
        <v>24</v>
      </c>
      <c r="D630" s="1485">
        <v>6039</v>
      </c>
      <c r="E630" s="199" t="s">
        <v>3562</v>
      </c>
      <c r="F630" s="303" t="s">
        <v>3563</v>
      </c>
      <c r="G630" s="1170">
        <v>3192</v>
      </c>
      <c r="H630" s="303" t="s">
        <v>2619</v>
      </c>
      <c r="I630" s="649" t="s">
        <v>729</v>
      </c>
      <c r="J630" s="79" t="s">
        <v>58</v>
      </c>
      <c r="K630" s="79" t="s">
        <v>57</v>
      </c>
      <c r="L630" s="1196">
        <v>0.15</v>
      </c>
      <c r="M630" s="840"/>
      <c r="N630" s="757" t="s">
        <v>3565</v>
      </c>
      <c r="O630" s="840"/>
      <c r="P630" s="928">
        <v>3</v>
      </c>
      <c r="Q630" s="1486">
        <v>0.15</v>
      </c>
      <c r="R630" s="928"/>
      <c r="S630" s="647">
        <f t="shared" si="18"/>
        <v>0</v>
      </c>
      <c r="T630" s="764">
        <f t="shared" si="19"/>
        <v>0</v>
      </c>
      <c r="U630" s="79" t="s">
        <v>34</v>
      </c>
      <c r="V630" s="1203"/>
      <c r="W630" s="799"/>
    </row>
    <row r="631" spans="1:23" ht="22.95" customHeight="1" x14ac:dyDescent="0.4">
      <c r="A631" s="788">
        <v>630</v>
      </c>
      <c r="B631" s="246" t="s">
        <v>2616</v>
      </c>
      <c r="C631" s="246" t="s">
        <v>24</v>
      </c>
      <c r="D631" s="1485">
        <v>6039</v>
      </c>
      <c r="E631" s="199" t="s">
        <v>3562</v>
      </c>
      <c r="F631" s="303" t="s">
        <v>3563</v>
      </c>
      <c r="G631" s="1170">
        <v>3192</v>
      </c>
      <c r="H631" s="303" t="s">
        <v>2619</v>
      </c>
      <c r="I631" s="649" t="s">
        <v>729</v>
      </c>
      <c r="J631" s="79" t="s">
        <v>58</v>
      </c>
      <c r="K631" s="79" t="s">
        <v>57</v>
      </c>
      <c r="L631" s="1196">
        <v>0.15</v>
      </c>
      <c r="M631" s="840"/>
      <c r="N631" s="819" t="s">
        <v>3566</v>
      </c>
      <c r="O631" s="840"/>
      <c r="P631" s="928">
        <v>1</v>
      </c>
      <c r="Q631" s="1486">
        <v>0.15</v>
      </c>
      <c r="R631" s="928"/>
      <c r="S631" s="647">
        <f t="shared" si="18"/>
        <v>0</v>
      </c>
      <c r="T631" s="764">
        <f t="shared" si="19"/>
        <v>0</v>
      </c>
      <c r="U631" s="79" t="s">
        <v>34</v>
      </c>
      <c r="V631" s="1203"/>
      <c r="W631" s="799"/>
    </row>
    <row r="632" spans="1:23" ht="22.95" customHeight="1" x14ac:dyDescent="0.4">
      <c r="A632" s="788">
        <v>631</v>
      </c>
      <c r="B632" s="246" t="s">
        <v>2616</v>
      </c>
      <c r="C632" s="246" t="s">
        <v>24</v>
      </c>
      <c r="D632" s="1485">
        <v>6039</v>
      </c>
      <c r="E632" s="199" t="s">
        <v>3562</v>
      </c>
      <c r="F632" s="303" t="s">
        <v>3563</v>
      </c>
      <c r="G632" s="1170">
        <v>3192</v>
      </c>
      <c r="H632" s="303" t="s">
        <v>2619</v>
      </c>
      <c r="I632" s="649" t="s">
        <v>729</v>
      </c>
      <c r="J632" s="79" t="s">
        <v>58</v>
      </c>
      <c r="K632" s="79" t="s">
        <v>57</v>
      </c>
      <c r="L632" s="1196">
        <v>0.15</v>
      </c>
      <c r="M632" s="840"/>
      <c r="N632" s="819" t="s">
        <v>3567</v>
      </c>
      <c r="O632" s="840"/>
      <c r="P632" s="928">
        <v>3</v>
      </c>
      <c r="Q632" s="1486">
        <v>0.1</v>
      </c>
      <c r="R632" s="928"/>
      <c r="S632" s="647">
        <f t="shared" si="18"/>
        <v>0</v>
      </c>
      <c r="T632" s="764">
        <f t="shared" si="19"/>
        <v>0</v>
      </c>
      <c r="U632" s="79" t="s">
        <v>34</v>
      </c>
      <c r="V632" s="1203"/>
      <c r="W632" s="799"/>
    </row>
    <row r="633" spans="1:23" ht="22.95" customHeight="1" x14ac:dyDescent="0.4">
      <c r="A633" s="788">
        <v>632</v>
      </c>
      <c r="B633" s="246" t="s">
        <v>2616</v>
      </c>
      <c r="C633" s="246" t="s">
        <v>24</v>
      </c>
      <c r="D633" s="1485">
        <v>6039</v>
      </c>
      <c r="E633" s="199" t="s">
        <v>3562</v>
      </c>
      <c r="F633" s="303" t="s">
        <v>3563</v>
      </c>
      <c r="G633" s="1170">
        <v>3192</v>
      </c>
      <c r="H633" s="303" t="s">
        <v>2619</v>
      </c>
      <c r="I633" s="649" t="s">
        <v>729</v>
      </c>
      <c r="J633" s="79" t="s">
        <v>58</v>
      </c>
      <c r="K633" s="79" t="s">
        <v>57</v>
      </c>
      <c r="L633" s="1196">
        <v>0.15</v>
      </c>
      <c r="M633" s="840"/>
      <c r="N633" s="757" t="s">
        <v>3568</v>
      </c>
      <c r="O633" s="840"/>
      <c r="P633" s="928">
        <v>3</v>
      </c>
      <c r="Q633" s="1486">
        <v>0.15</v>
      </c>
      <c r="R633" s="928"/>
      <c r="S633" s="647">
        <f t="shared" si="18"/>
        <v>0</v>
      </c>
      <c r="T633" s="764">
        <f t="shared" si="19"/>
        <v>0</v>
      </c>
      <c r="U633" s="79" t="s">
        <v>34</v>
      </c>
      <c r="V633" s="1203"/>
      <c r="W633" s="799"/>
    </row>
    <row r="634" spans="1:23" ht="22.95" customHeight="1" x14ac:dyDescent="0.4">
      <c r="A634" s="788">
        <v>633</v>
      </c>
      <c r="B634" s="246" t="s">
        <v>2616</v>
      </c>
      <c r="C634" s="246" t="s">
        <v>24</v>
      </c>
      <c r="D634" s="1485">
        <v>6039</v>
      </c>
      <c r="E634" s="199" t="s">
        <v>3562</v>
      </c>
      <c r="F634" s="303" t="s">
        <v>3563</v>
      </c>
      <c r="G634" s="1170">
        <v>3192</v>
      </c>
      <c r="H634" s="303" t="s">
        <v>2619</v>
      </c>
      <c r="I634" s="649" t="s">
        <v>729</v>
      </c>
      <c r="J634" s="79" t="s">
        <v>58</v>
      </c>
      <c r="K634" s="79" t="s">
        <v>57</v>
      </c>
      <c r="L634" s="1196">
        <v>0.15</v>
      </c>
      <c r="M634" s="840"/>
      <c r="N634" s="757" t="s">
        <v>3569</v>
      </c>
      <c r="O634" s="840"/>
      <c r="P634" s="928">
        <v>1</v>
      </c>
      <c r="Q634" s="1486">
        <v>0.15</v>
      </c>
      <c r="R634" s="928"/>
      <c r="S634" s="647">
        <f t="shared" si="18"/>
        <v>0</v>
      </c>
      <c r="T634" s="764">
        <f t="shared" si="19"/>
        <v>0</v>
      </c>
      <c r="U634" s="79" t="s">
        <v>34</v>
      </c>
      <c r="V634" s="1203"/>
      <c r="W634" s="799"/>
    </row>
    <row r="635" spans="1:23" ht="22.95" customHeight="1" x14ac:dyDescent="0.4">
      <c r="A635" s="788">
        <v>634</v>
      </c>
      <c r="B635" s="246" t="s">
        <v>2616</v>
      </c>
      <c r="C635" s="246" t="s">
        <v>24</v>
      </c>
      <c r="D635" s="1485">
        <v>6039</v>
      </c>
      <c r="E635" s="199" t="s">
        <v>3562</v>
      </c>
      <c r="F635" s="303" t="s">
        <v>3563</v>
      </c>
      <c r="G635" s="1170">
        <v>3192</v>
      </c>
      <c r="H635" s="303" t="s">
        <v>2619</v>
      </c>
      <c r="I635" s="649" t="s">
        <v>729</v>
      </c>
      <c r="J635" s="649" t="s">
        <v>111</v>
      </c>
      <c r="K635" s="210" t="s">
        <v>110</v>
      </c>
      <c r="L635" s="1147">
        <v>0.25</v>
      </c>
      <c r="M635" s="799"/>
      <c r="N635" s="767" t="s">
        <v>3570</v>
      </c>
      <c r="O635" s="799"/>
      <c r="P635" s="798">
        <v>2</v>
      </c>
      <c r="Q635" s="1430">
        <v>0.05</v>
      </c>
      <c r="R635" s="798"/>
      <c r="S635" s="222">
        <f t="shared" si="18"/>
        <v>0</v>
      </c>
      <c r="T635" s="765">
        <f t="shared" si="19"/>
        <v>0</v>
      </c>
      <c r="U635" s="649" t="s">
        <v>34</v>
      </c>
      <c r="V635" s="1228"/>
      <c r="W635" s="799"/>
    </row>
    <row r="636" spans="1:23" ht="22.95" customHeight="1" x14ac:dyDescent="0.4">
      <c r="A636" s="788">
        <v>635</v>
      </c>
      <c r="B636" s="246" t="s">
        <v>2616</v>
      </c>
      <c r="C636" s="246" t="s">
        <v>24</v>
      </c>
      <c r="D636" s="1485">
        <v>6039</v>
      </c>
      <c r="E636" s="199" t="s">
        <v>3562</v>
      </c>
      <c r="F636" s="303" t="s">
        <v>3563</v>
      </c>
      <c r="G636" s="1170">
        <v>3192</v>
      </c>
      <c r="H636" s="303" t="s">
        <v>2619</v>
      </c>
      <c r="I636" s="649" t="s">
        <v>729</v>
      </c>
      <c r="J636" s="649" t="s">
        <v>111</v>
      </c>
      <c r="K636" s="210" t="s">
        <v>110</v>
      </c>
      <c r="L636" s="1147">
        <v>0.25</v>
      </c>
      <c r="M636" s="799"/>
      <c r="N636" s="767" t="s">
        <v>3571</v>
      </c>
      <c r="O636" s="799"/>
      <c r="P636" s="798">
        <v>2</v>
      </c>
      <c r="Q636" s="1430">
        <v>0.05</v>
      </c>
      <c r="R636" s="798"/>
      <c r="S636" s="222">
        <f t="shared" si="18"/>
        <v>0</v>
      </c>
      <c r="T636" s="765">
        <f t="shared" si="19"/>
        <v>0</v>
      </c>
      <c r="U636" s="649" t="s">
        <v>34</v>
      </c>
      <c r="V636" s="1228"/>
      <c r="W636" s="799"/>
    </row>
    <row r="637" spans="1:23" ht="22.95" customHeight="1" x14ac:dyDescent="0.4">
      <c r="A637" s="788">
        <v>636</v>
      </c>
      <c r="B637" s="246" t="s">
        <v>2616</v>
      </c>
      <c r="C637" s="246" t="s">
        <v>24</v>
      </c>
      <c r="D637" s="1485">
        <v>6039</v>
      </c>
      <c r="E637" s="199" t="s">
        <v>3562</v>
      </c>
      <c r="F637" s="303" t="s">
        <v>3563</v>
      </c>
      <c r="G637" s="1170">
        <v>3192</v>
      </c>
      <c r="H637" s="303" t="s">
        <v>2619</v>
      </c>
      <c r="I637" s="649" t="s">
        <v>729</v>
      </c>
      <c r="J637" s="649" t="s">
        <v>111</v>
      </c>
      <c r="K637" s="210" t="s">
        <v>110</v>
      </c>
      <c r="L637" s="1147">
        <v>0.25</v>
      </c>
      <c r="M637" s="799"/>
      <c r="N637" s="767" t="s">
        <v>3572</v>
      </c>
      <c r="O637" s="799"/>
      <c r="P637" s="798">
        <v>2</v>
      </c>
      <c r="Q637" s="1430">
        <v>0.1</v>
      </c>
      <c r="R637" s="798"/>
      <c r="S637" s="222">
        <f t="shared" si="18"/>
        <v>0</v>
      </c>
      <c r="T637" s="765">
        <f t="shared" si="19"/>
        <v>0</v>
      </c>
      <c r="U637" s="649" t="s">
        <v>34</v>
      </c>
      <c r="V637" s="1228"/>
      <c r="W637" s="799"/>
    </row>
    <row r="638" spans="1:23" ht="22.95" customHeight="1" x14ac:dyDescent="0.4">
      <c r="A638" s="788">
        <v>637</v>
      </c>
      <c r="B638" s="246" t="s">
        <v>2616</v>
      </c>
      <c r="C638" s="246" t="s">
        <v>24</v>
      </c>
      <c r="D638" s="1485">
        <v>6039</v>
      </c>
      <c r="E638" s="199" t="s">
        <v>3562</v>
      </c>
      <c r="F638" s="303" t="s">
        <v>3563</v>
      </c>
      <c r="G638" s="1170">
        <v>3192</v>
      </c>
      <c r="H638" s="303" t="s">
        <v>2619</v>
      </c>
      <c r="I638" s="649" t="s">
        <v>729</v>
      </c>
      <c r="J638" s="649" t="s">
        <v>111</v>
      </c>
      <c r="K638" s="210" t="s">
        <v>110</v>
      </c>
      <c r="L638" s="1147">
        <v>0.25</v>
      </c>
      <c r="M638" s="799"/>
      <c r="N638" s="767" t="s">
        <v>3573</v>
      </c>
      <c r="O638" s="799"/>
      <c r="P638" s="798">
        <v>4</v>
      </c>
      <c r="Q638" s="1430">
        <v>0.1</v>
      </c>
      <c r="R638" s="798"/>
      <c r="S638" s="222">
        <f t="shared" si="18"/>
        <v>0</v>
      </c>
      <c r="T638" s="765">
        <f t="shared" si="19"/>
        <v>0</v>
      </c>
      <c r="U638" s="649" t="s">
        <v>34</v>
      </c>
      <c r="V638" s="1228"/>
      <c r="W638" s="799"/>
    </row>
    <row r="639" spans="1:23" ht="22.95" customHeight="1" x14ac:dyDescent="0.4">
      <c r="A639" s="788">
        <v>638</v>
      </c>
      <c r="B639" s="246" t="s">
        <v>2616</v>
      </c>
      <c r="C639" s="246" t="s">
        <v>24</v>
      </c>
      <c r="D639" s="1485">
        <v>6039</v>
      </c>
      <c r="E639" s="199" t="s">
        <v>3562</v>
      </c>
      <c r="F639" s="303" t="s">
        <v>3563</v>
      </c>
      <c r="G639" s="1170">
        <v>3192</v>
      </c>
      <c r="H639" s="303" t="s">
        <v>2619</v>
      </c>
      <c r="I639" s="649" t="s">
        <v>729</v>
      </c>
      <c r="J639" s="649" t="s">
        <v>111</v>
      </c>
      <c r="K639" s="210" t="s">
        <v>110</v>
      </c>
      <c r="L639" s="1147">
        <v>0.25</v>
      </c>
      <c r="M639" s="799"/>
      <c r="N639" s="767" t="s">
        <v>3574</v>
      </c>
      <c r="O639" s="799"/>
      <c r="P639" s="798">
        <v>1</v>
      </c>
      <c r="Q639" s="1430">
        <v>0.05</v>
      </c>
      <c r="R639" s="798"/>
      <c r="S639" s="222">
        <f t="shared" si="18"/>
        <v>0</v>
      </c>
      <c r="T639" s="765">
        <f t="shared" si="19"/>
        <v>0</v>
      </c>
      <c r="U639" s="649" t="s">
        <v>34</v>
      </c>
      <c r="V639" s="1228"/>
      <c r="W639" s="799"/>
    </row>
    <row r="640" spans="1:23" ht="22.95" customHeight="1" x14ac:dyDescent="0.4">
      <c r="A640" s="788">
        <v>639</v>
      </c>
      <c r="B640" s="246" t="s">
        <v>2616</v>
      </c>
      <c r="C640" s="246" t="s">
        <v>24</v>
      </c>
      <c r="D640" s="1485">
        <v>6039</v>
      </c>
      <c r="E640" s="199" t="s">
        <v>3562</v>
      </c>
      <c r="F640" s="303" t="s">
        <v>3563</v>
      </c>
      <c r="G640" s="1170">
        <v>3192</v>
      </c>
      <c r="H640" s="303" t="s">
        <v>2619</v>
      </c>
      <c r="I640" s="649" t="s">
        <v>729</v>
      </c>
      <c r="J640" s="649" t="s">
        <v>111</v>
      </c>
      <c r="K640" s="210" t="s">
        <v>110</v>
      </c>
      <c r="L640" s="1147">
        <v>0.25</v>
      </c>
      <c r="M640" s="799"/>
      <c r="N640" s="767" t="s">
        <v>3575</v>
      </c>
      <c r="O640" s="799"/>
      <c r="P640" s="798">
        <v>1</v>
      </c>
      <c r="Q640" s="1430">
        <v>0.1</v>
      </c>
      <c r="R640" s="798"/>
      <c r="S640" s="222">
        <f t="shared" si="18"/>
        <v>0</v>
      </c>
      <c r="T640" s="765">
        <f t="shared" si="19"/>
        <v>0</v>
      </c>
      <c r="U640" s="649" t="s">
        <v>34</v>
      </c>
      <c r="V640" s="1228"/>
      <c r="W640" s="799"/>
    </row>
    <row r="641" spans="1:23" ht="22.95" customHeight="1" x14ac:dyDescent="0.4">
      <c r="A641" s="788">
        <v>640</v>
      </c>
      <c r="B641" s="246" t="s">
        <v>2616</v>
      </c>
      <c r="C641" s="246" t="s">
        <v>24</v>
      </c>
      <c r="D641" s="1485">
        <v>6039</v>
      </c>
      <c r="E641" s="199" t="s">
        <v>3562</v>
      </c>
      <c r="F641" s="303" t="s">
        <v>3563</v>
      </c>
      <c r="G641" s="1170">
        <v>3192</v>
      </c>
      <c r="H641" s="303" t="s">
        <v>2619</v>
      </c>
      <c r="I641" s="649" t="s">
        <v>729</v>
      </c>
      <c r="J641" s="649" t="s">
        <v>111</v>
      </c>
      <c r="K641" s="210" t="s">
        <v>110</v>
      </c>
      <c r="L641" s="1147">
        <v>0.25</v>
      </c>
      <c r="M641" s="799"/>
      <c r="N641" s="767" t="s">
        <v>3576</v>
      </c>
      <c r="O641" s="799"/>
      <c r="P641" s="798">
        <v>1</v>
      </c>
      <c r="Q641" s="1430">
        <v>0.1</v>
      </c>
      <c r="R641" s="798"/>
      <c r="S641" s="222">
        <f t="shared" si="18"/>
        <v>0</v>
      </c>
      <c r="T641" s="765">
        <f t="shared" si="19"/>
        <v>0</v>
      </c>
      <c r="U641" s="649" t="s">
        <v>34</v>
      </c>
      <c r="V641" s="1228"/>
      <c r="W641" s="799"/>
    </row>
    <row r="642" spans="1:23" ht="22.95" customHeight="1" x14ac:dyDescent="0.4">
      <c r="A642" s="788">
        <v>641</v>
      </c>
      <c r="B642" s="246" t="s">
        <v>2616</v>
      </c>
      <c r="C642" s="246" t="s">
        <v>24</v>
      </c>
      <c r="D642" s="1485">
        <v>6039</v>
      </c>
      <c r="E642" s="199" t="s">
        <v>3562</v>
      </c>
      <c r="F642" s="303" t="s">
        <v>3563</v>
      </c>
      <c r="G642" s="1170">
        <v>3192</v>
      </c>
      <c r="H642" s="303" t="s">
        <v>2619</v>
      </c>
      <c r="I642" s="649" t="s">
        <v>729</v>
      </c>
      <c r="J642" s="649" t="s">
        <v>111</v>
      </c>
      <c r="K642" s="210" t="s">
        <v>110</v>
      </c>
      <c r="L642" s="1147">
        <v>0.25</v>
      </c>
      <c r="M642" s="799"/>
      <c r="N642" s="767" t="s">
        <v>3577</v>
      </c>
      <c r="O642" s="799"/>
      <c r="P642" s="798">
        <v>2</v>
      </c>
      <c r="Q642" s="1430">
        <v>0.1</v>
      </c>
      <c r="R642" s="798"/>
      <c r="S642" s="222">
        <f t="shared" ref="S642:S705" si="20">ROUND(IF(OR(P642="",R642=""),0,IF(AND(P642=0,R642=0),1,IF(U642="+",R642/P642,P642/R642))),2)</f>
        <v>0</v>
      </c>
      <c r="T642" s="765">
        <f t="shared" ref="T642:T705" si="21">IF(AND(S642&gt;=60%,S642&lt;100%),S642*((Q642*L642)),IF(S642=100%,((Q642*L642)*S642)*100%,IF(S642&gt;100%,((L642*Q642)*100%)*100%,0)))*100</f>
        <v>0</v>
      </c>
      <c r="U642" s="649" t="s">
        <v>34</v>
      </c>
      <c r="V642" s="1228"/>
      <c r="W642" s="799"/>
    </row>
    <row r="643" spans="1:23" ht="22.95" customHeight="1" x14ac:dyDescent="0.4">
      <c r="A643" s="788">
        <v>642</v>
      </c>
      <c r="B643" s="246" t="s">
        <v>2616</v>
      </c>
      <c r="C643" s="246" t="s">
        <v>24</v>
      </c>
      <c r="D643" s="1485">
        <v>6039</v>
      </c>
      <c r="E643" s="199" t="s">
        <v>3562</v>
      </c>
      <c r="F643" s="303" t="s">
        <v>3563</v>
      </c>
      <c r="G643" s="1170">
        <v>3192</v>
      </c>
      <c r="H643" s="303" t="s">
        <v>2619</v>
      </c>
      <c r="I643" s="649" t="s">
        <v>729</v>
      </c>
      <c r="J643" s="649" t="s">
        <v>111</v>
      </c>
      <c r="K643" s="210" t="s">
        <v>110</v>
      </c>
      <c r="L643" s="1147">
        <v>0.25</v>
      </c>
      <c r="M643" s="799"/>
      <c r="N643" s="767" t="s">
        <v>3578</v>
      </c>
      <c r="O643" s="799"/>
      <c r="P643" s="798">
        <v>1</v>
      </c>
      <c r="Q643" s="1430">
        <v>0.1</v>
      </c>
      <c r="R643" s="798"/>
      <c r="S643" s="222">
        <f t="shared" si="20"/>
        <v>0</v>
      </c>
      <c r="T643" s="765">
        <f t="shared" si="21"/>
        <v>0</v>
      </c>
      <c r="U643" s="649" t="s">
        <v>34</v>
      </c>
      <c r="V643" s="1228"/>
      <c r="W643" s="799"/>
    </row>
    <row r="644" spans="1:23" ht="22.95" customHeight="1" x14ac:dyDescent="0.4">
      <c r="A644" s="788">
        <v>643</v>
      </c>
      <c r="B644" s="246" t="s">
        <v>2616</v>
      </c>
      <c r="C644" s="246" t="s">
        <v>24</v>
      </c>
      <c r="D644" s="1485">
        <v>6039</v>
      </c>
      <c r="E644" s="199" t="s">
        <v>3562</v>
      </c>
      <c r="F644" s="303" t="s">
        <v>3563</v>
      </c>
      <c r="G644" s="1170">
        <v>3192</v>
      </c>
      <c r="H644" s="303" t="s">
        <v>2619</v>
      </c>
      <c r="I644" s="649" t="s">
        <v>729</v>
      </c>
      <c r="J644" s="649" t="s">
        <v>111</v>
      </c>
      <c r="K644" s="210" t="s">
        <v>110</v>
      </c>
      <c r="L644" s="1147">
        <v>0.25</v>
      </c>
      <c r="M644" s="799"/>
      <c r="N644" s="767" t="s">
        <v>3579</v>
      </c>
      <c r="O644" s="799"/>
      <c r="P644" s="798">
        <v>4</v>
      </c>
      <c r="Q644" s="1430">
        <v>0.1</v>
      </c>
      <c r="R644" s="798"/>
      <c r="S644" s="222">
        <f t="shared" si="20"/>
        <v>0</v>
      </c>
      <c r="T644" s="765">
        <f t="shared" si="21"/>
        <v>0</v>
      </c>
      <c r="U644" s="649" t="s">
        <v>34</v>
      </c>
      <c r="V644" s="1228"/>
      <c r="W644" s="799"/>
    </row>
    <row r="645" spans="1:23" ht="22.95" customHeight="1" x14ac:dyDescent="0.4">
      <c r="A645" s="788">
        <v>644</v>
      </c>
      <c r="B645" s="246" t="s">
        <v>2616</v>
      </c>
      <c r="C645" s="246" t="s">
        <v>24</v>
      </c>
      <c r="D645" s="1485">
        <v>6039</v>
      </c>
      <c r="E645" s="199" t="s">
        <v>3562</v>
      </c>
      <c r="F645" s="303" t="s">
        <v>3563</v>
      </c>
      <c r="G645" s="1170">
        <v>3192</v>
      </c>
      <c r="H645" s="303" t="s">
        <v>2619</v>
      </c>
      <c r="I645" s="649" t="s">
        <v>729</v>
      </c>
      <c r="J645" s="649" t="s">
        <v>111</v>
      </c>
      <c r="K645" s="210" t="s">
        <v>110</v>
      </c>
      <c r="L645" s="1147">
        <v>0.25</v>
      </c>
      <c r="M645" s="799"/>
      <c r="N645" s="767" t="s">
        <v>3580</v>
      </c>
      <c r="O645" s="799"/>
      <c r="P645" s="798">
        <v>2</v>
      </c>
      <c r="Q645" s="1430">
        <v>0.1</v>
      </c>
      <c r="R645" s="798"/>
      <c r="S645" s="222">
        <f t="shared" si="20"/>
        <v>0</v>
      </c>
      <c r="T645" s="765">
        <f t="shared" si="21"/>
        <v>0</v>
      </c>
      <c r="U645" s="649" t="s">
        <v>34</v>
      </c>
      <c r="V645" s="1228"/>
      <c r="W645" s="799"/>
    </row>
    <row r="646" spans="1:23" ht="22.95" customHeight="1" x14ac:dyDescent="0.4">
      <c r="A646" s="788">
        <v>645</v>
      </c>
      <c r="B646" s="246" t="s">
        <v>2616</v>
      </c>
      <c r="C646" s="246" t="s">
        <v>24</v>
      </c>
      <c r="D646" s="1485">
        <v>6039</v>
      </c>
      <c r="E646" s="199" t="s">
        <v>3562</v>
      </c>
      <c r="F646" s="303" t="s">
        <v>3563</v>
      </c>
      <c r="G646" s="1170">
        <v>3192</v>
      </c>
      <c r="H646" s="303" t="s">
        <v>2619</v>
      </c>
      <c r="I646" s="649" t="s">
        <v>729</v>
      </c>
      <c r="J646" s="649" t="s">
        <v>111</v>
      </c>
      <c r="K646" s="210" t="s">
        <v>110</v>
      </c>
      <c r="L646" s="1147">
        <v>0.25</v>
      </c>
      <c r="M646" s="799"/>
      <c r="N646" s="767" t="s">
        <v>3581</v>
      </c>
      <c r="O646" s="799"/>
      <c r="P646" s="798">
        <v>4</v>
      </c>
      <c r="Q646" s="1430">
        <v>0.05</v>
      </c>
      <c r="R646" s="798"/>
      <c r="S646" s="222">
        <f t="shared" si="20"/>
        <v>0</v>
      </c>
      <c r="T646" s="765">
        <f t="shared" si="21"/>
        <v>0</v>
      </c>
      <c r="U646" s="649" t="s">
        <v>34</v>
      </c>
      <c r="V646" s="1228"/>
      <c r="W646" s="799"/>
    </row>
    <row r="647" spans="1:23" ht="22.95" customHeight="1" x14ac:dyDescent="0.4">
      <c r="A647" s="788">
        <v>646</v>
      </c>
      <c r="B647" s="236" t="s">
        <v>2616</v>
      </c>
      <c r="C647" s="236" t="s">
        <v>24</v>
      </c>
      <c r="D647" s="1226">
        <v>2489</v>
      </c>
      <c r="E647" s="236" t="s">
        <v>3582</v>
      </c>
      <c r="F647" s="653" t="s">
        <v>3583</v>
      </c>
      <c r="G647" s="1487">
        <v>6039</v>
      </c>
      <c r="H647" s="236" t="s">
        <v>3584</v>
      </c>
      <c r="I647" s="236" t="s">
        <v>729</v>
      </c>
      <c r="J647" s="243" t="s">
        <v>58</v>
      </c>
      <c r="K647" s="243" t="s">
        <v>57</v>
      </c>
      <c r="L647" s="1052">
        <v>0.4</v>
      </c>
      <c r="M647" s="1481"/>
      <c r="N647" s="1481" t="s">
        <v>3585</v>
      </c>
      <c r="O647" s="1481"/>
      <c r="P647" s="855">
        <v>1</v>
      </c>
      <c r="Q647" s="1052">
        <v>0.7</v>
      </c>
      <c r="R647" s="855"/>
      <c r="S647" s="855">
        <f t="shared" si="20"/>
        <v>0</v>
      </c>
      <c r="T647" s="854">
        <f t="shared" si="21"/>
        <v>0</v>
      </c>
      <c r="U647" s="855" t="s">
        <v>34</v>
      </c>
      <c r="V647" s="1488">
        <f>SUM(T647:T653)%</f>
        <v>0</v>
      </c>
      <c r="W647" s="1481"/>
    </row>
    <row r="648" spans="1:23" ht="22.95" customHeight="1" x14ac:dyDescent="0.4">
      <c r="A648" s="788">
        <v>647</v>
      </c>
      <c r="B648" s="246" t="s">
        <v>2616</v>
      </c>
      <c r="C648" s="246" t="s">
        <v>24</v>
      </c>
      <c r="D648" s="1306">
        <v>2489</v>
      </c>
      <c r="E648" s="246" t="s">
        <v>3582</v>
      </c>
      <c r="F648" s="649" t="s">
        <v>3583</v>
      </c>
      <c r="G648" s="1489">
        <v>6039</v>
      </c>
      <c r="H648" s="245" t="s">
        <v>3584</v>
      </c>
      <c r="I648" s="246" t="s">
        <v>729</v>
      </c>
      <c r="J648" s="253" t="s">
        <v>58</v>
      </c>
      <c r="K648" s="253" t="s">
        <v>57</v>
      </c>
      <c r="L648" s="1196">
        <v>0.4</v>
      </c>
      <c r="M648" s="818"/>
      <c r="N648" s="818" t="s">
        <v>3586</v>
      </c>
      <c r="O648" s="818"/>
      <c r="P648" s="206">
        <v>1</v>
      </c>
      <c r="Q648" s="1196">
        <v>0.3</v>
      </c>
      <c r="R648" s="206"/>
      <c r="S648" s="206">
        <f t="shared" si="20"/>
        <v>0</v>
      </c>
      <c r="T648" s="207">
        <f t="shared" si="21"/>
        <v>0</v>
      </c>
      <c r="U648" s="206" t="s">
        <v>34</v>
      </c>
      <c r="V648" s="1203"/>
      <c r="W648" s="866"/>
    </row>
    <row r="649" spans="1:23" ht="22.95" customHeight="1" x14ac:dyDescent="0.4">
      <c r="A649" s="788">
        <v>648</v>
      </c>
      <c r="B649" s="246" t="s">
        <v>2616</v>
      </c>
      <c r="C649" s="246" t="s">
        <v>24</v>
      </c>
      <c r="D649" s="1306">
        <v>2489</v>
      </c>
      <c r="E649" s="246" t="s">
        <v>3582</v>
      </c>
      <c r="F649" s="649" t="s">
        <v>3583</v>
      </c>
      <c r="G649" s="200">
        <v>6039</v>
      </c>
      <c r="H649" s="245" t="s">
        <v>3584</v>
      </c>
      <c r="I649" s="246" t="s">
        <v>729</v>
      </c>
      <c r="J649" s="253" t="s">
        <v>111</v>
      </c>
      <c r="K649" s="253" t="s">
        <v>110</v>
      </c>
      <c r="L649" s="1245">
        <v>0.6</v>
      </c>
      <c r="M649" s="767"/>
      <c r="N649" s="767" t="s">
        <v>3587</v>
      </c>
      <c r="O649" s="767"/>
      <c r="P649" s="262">
        <v>1</v>
      </c>
      <c r="Q649" s="1245">
        <v>0.2</v>
      </c>
      <c r="R649" s="262"/>
      <c r="S649" s="262">
        <f t="shared" si="20"/>
        <v>0</v>
      </c>
      <c r="T649" s="263">
        <f t="shared" si="21"/>
        <v>0</v>
      </c>
      <c r="U649" s="262" t="s">
        <v>34</v>
      </c>
      <c r="V649" s="1228"/>
      <c r="W649" s="767"/>
    </row>
    <row r="650" spans="1:23" ht="22.95" customHeight="1" x14ac:dyDescent="0.4">
      <c r="A650" s="788">
        <v>649</v>
      </c>
      <c r="B650" s="246" t="s">
        <v>2616</v>
      </c>
      <c r="C650" s="246" t="s">
        <v>24</v>
      </c>
      <c r="D650" s="1306">
        <v>2489</v>
      </c>
      <c r="E650" s="246" t="s">
        <v>3582</v>
      </c>
      <c r="F650" s="649" t="s">
        <v>3583</v>
      </c>
      <c r="G650" s="200">
        <v>6039</v>
      </c>
      <c r="H650" s="245" t="s">
        <v>3584</v>
      </c>
      <c r="I650" s="246" t="s">
        <v>729</v>
      </c>
      <c r="J650" s="253" t="s">
        <v>111</v>
      </c>
      <c r="K650" s="253" t="s">
        <v>110</v>
      </c>
      <c r="L650" s="1059">
        <v>0.6</v>
      </c>
      <c r="M650" s="767"/>
      <c r="N650" s="767" t="s">
        <v>3588</v>
      </c>
      <c r="O650" s="767"/>
      <c r="P650" s="262">
        <v>1</v>
      </c>
      <c r="Q650" s="1245">
        <v>0.2</v>
      </c>
      <c r="R650" s="262"/>
      <c r="S650" s="262">
        <f t="shared" si="20"/>
        <v>0</v>
      </c>
      <c r="T650" s="962">
        <f t="shared" si="21"/>
        <v>0</v>
      </c>
      <c r="U650" s="964" t="s">
        <v>34</v>
      </c>
      <c r="V650" s="1228"/>
      <c r="W650" s="767"/>
    </row>
    <row r="651" spans="1:23" ht="22.95" customHeight="1" x14ac:dyDescent="0.4">
      <c r="A651" s="788">
        <v>650</v>
      </c>
      <c r="B651" s="246" t="s">
        <v>2616</v>
      </c>
      <c r="C651" s="246" t="s">
        <v>24</v>
      </c>
      <c r="D651" s="1306">
        <v>2489</v>
      </c>
      <c r="E651" s="246" t="s">
        <v>3582</v>
      </c>
      <c r="F651" s="649" t="s">
        <v>3583</v>
      </c>
      <c r="G651" s="200">
        <v>6039</v>
      </c>
      <c r="H651" s="245" t="s">
        <v>3584</v>
      </c>
      <c r="I651" s="246" t="s">
        <v>729</v>
      </c>
      <c r="J651" s="253" t="s">
        <v>111</v>
      </c>
      <c r="K651" s="253" t="s">
        <v>110</v>
      </c>
      <c r="L651" s="1245">
        <v>0.6</v>
      </c>
      <c r="M651" s="767"/>
      <c r="N651" s="767" t="s">
        <v>3589</v>
      </c>
      <c r="O651" s="767"/>
      <c r="P651" s="262">
        <v>1</v>
      </c>
      <c r="Q651" s="1245">
        <v>0.2</v>
      </c>
      <c r="R651" s="262"/>
      <c r="S651" s="262">
        <f t="shared" si="20"/>
        <v>0</v>
      </c>
      <c r="T651" s="263">
        <f t="shared" si="21"/>
        <v>0</v>
      </c>
      <c r="U651" s="262" t="s">
        <v>34</v>
      </c>
      <c r="V651" s="1228"/>
      <c r="W651" s="767"/>
    </row>
    <row r="652" spans="1:23" ht="22.95" customHeight="1" x14ac:dyDescent="0.4">
      <c r="A652" s="788">
        <v>651</v>
      </c>
      <c r="B652" s="246" t="s">
        <v>2616</v>
      </c>
      <c r="C652" s="246" t="s">
        <v>24</v>
      </c>
      <c r="D652" s="1306">
        <v>2489</v>
      </c>
      <c r="E652" s="246" t="s">
        <v>3582</v>
      </c>
      <c r="F652" s="649" t="s">
        <v>3583</v>
      </c>
      <c r="G652" s="200">
        <v>6039</v>
      </c>
      <c r="H652" s="245" t="s">
        <v>3584</v>
      </c>
      <c r="I652" s="246" t="s">
        <v>729</v>
      </c>
      <c r="J652" s="253" t="s">
        <v>111</v>
      </c>
      <c r="K652" s="253" t="s">
        <v>110</v>
      </c>
      <c r="L652" s="1245">
        <v>0.6</v>
      </c>
      <c r="M652" s="767"/>
      <c r="N652" s="767" t="s">
        <v>3590</v>
      </c>
      <c r="O652" s="767"/>
      <c r="P652" s="262">
        <v>1</v>
      </c>
      <c r="Q652" s="1245">
        <v>0.2</v>
      </c>
      <c r="R652" s="262"/>
      <c r="S652" s="262">
        <f t="shared" si="20"/>
        <v>0</v>
      </c>
      <c r="T652" s="263">
        <f t="shared" si="21"/>
        <v>0</v>
      </c>
      <c r="U652" s="262" t="s">
        <v>34</v>
      </c>
      <c r="V652" s="1228"/>
      <c r="W652" s="767"/>
    </row>
    <row r="653" spans="1:23" ht="22.95" customHeight="1" x14ac:dyDescent="0.4">
      <c r="A653" s="788">
        <v>652</v>
      </c>
      <c r="B653" s="246" t="s">
        <v>2616</v>
      </c>
      <c r="C653" s="246" t="s">
        <v>24</v>
      </c>
      <c r="D653" s="1306">
        <v>2489</v>
      </c>
      <c r="E653" s="246" t="s">
        <v>3582</v>
      </c>
      <c r="F653" s="649" t="s">
        <v>3583</v>
      </c>
      <c r="G653" s="200">
        <v>6039</v>
      </c>
      <c r="H653" s="245" t="s">
        <v>3584</v>
      </c>
      <c r="I653" s="246" t="s">
        <v>729</v>
      </c>
      <c r="J653" s="253" t="s">
        <v>111</v>
      </c>
      <c r="K653" s="253" t="s">
        <v>110</v>
      </c>
      <c r="L653" s="1245">
        <v>0.6</v>
      </c>
      <c r="M653" s="767"/>
      <c r="N653" s="767" t="s">
        <v>3591</v>
      </c>
      <c r="O653" s="767"/>
      <c r="P653" s="262">
        <v>1</v>
      </c>
      <c r="Q653" s="1245">
        <v>0.2</v>
      </c>
      <c r="R653" s="262"/>
      <c r="S653" s="262">
        <f t="shared" si="20"/>
        <v>0</v>
      </c>
      <c r="T653" s="263">
        <f t="shared" si="21"/>
        <v>0</v>
      </c>
      <c r="U653" s="262" t="s">
        <v>34</v>
      </c>
      <c r="V653" s="1228"/>
      <c r="W653" s="767"/>
    </row>
    <row r="654" spans="1:23" ht="22.95" customHeight="1" x14ac:dyDescent="0.4">
      <c r="A654" s="788">
        <v>653</v>
      </c>
      <c r="B654" s="236" t="s">
        <v>2616</v>
      </c>
      <c r="C654" s="236" t="s">
        <v>24</v>
      </c>
      <c r="D654" s="1219">
        <v>3632</v>
      </c>
      <c r="E654" s="236" t="s">
        <v>3592</v>
      </c>
      <c r="F654" s="236" t="s">
        <v>3593</v>
      </c>
      <c r="G654" s="238">
        <v>2489</v>
      </c>
      <c r="H654" s="236" t="s">
        <v>3582</v>
      </c>
      <c r="I654" s="236" t="s">
        <v>729</v>
      </c>
      <c r="J654" s="243" t="s">
        <v>58</v>
      </c>
      <c r="K654" s="243" t="s">
        <v>57</v>
      </c>
      <c r="L654" s="1052">
        <v>0.4</v>
      </c>
      <c r="M654" s="952"/>
      <c r="N654" s="952" t="s">
        <v>3594</v>
      </c>
      <c r="O654" s="952"/>
      <c r="P654" s="966">
        <v>1</v>
      </c>
      <c r="Q654" s="1490">
        <v>0.1</v>
      </c>
      <c r="R654" s="966"/>
      <c r="S654" s="855">
        <f t="shared" si="20"/>
        <v>0</v>
      </c>
      <c r="T654" s="854">
        <f t="shared" si="21"/>
        <v>0</v>
      </c>
      <c r="U654" s="953" t="s">
        <v>34</v>
      </c>
      <c r="V654" s="1488">
        <f>SUM(T654:T670)%</f>
        <v>0</v>
      </c>
      <c r="W654" s="952"/>
    </row>
    <row r="655" spans="1:23" ht="22.95" customHeight="1" x14ac:dyDescent="0.4">
      <c r="A655" s="788">
        <v>654</v>
      </c>
      <c r="B655" s="245" t="s">
        <v>2616</v>
      </c>
      <c r="C655" s="245" t="s">
        <v>24</v>
      </c>
      <c r="D655" s="1491">
        <v>3632</v>
      </c>
      <c r="E655" s="245" t="s">
        <v>3592</v>
      </c>
      <c r="F655" s="245" t="s">
        <v>3593</v>
      </c>
      <c r="G655" s="200">
        <v>2489</v>
      </c>
      <c r="H655" s="245" t="s">
        <v>3582</v>
      </c>
      <c r="I655" s="245" t="s">
        <v>729</v>
      </c>
      <c r="J655" s="210" t="s">
        <v>58</v>
      </c>
      <c r="K655" s="210" t="s">
        <v>57</v>
      </c>
      <c r="L655" s="1067">
        <v>0.4</v>
      </c>
      <c r="M655" s="819"/>
      <c r="N655" s="819" t="s">
        <v>3595</v>
      </c>
      <c r="O655" s="819"/>
      <c r="P655" s="1492">
        <v>1</v>
      </c>
      <c r="Q655" s="1493">
        <v>0.1</v>
      </c>
      <c r="R655" s="1492"/>
      <c r="S655" s="204">
        <f t="shared" si="20"/>
        <v>0</v>
      </c>
      <c r="T655" s="960">
        <f t="shared" si="21"/>
        <v>0</v>
      </c>
      <c r="U655" s="669" t="s">
        <v>34</v>
      </c>
      <c r="V655" s="1494"/>
      <c r="W655" s="767"/>
    </row>
    <row r="656" spans="1:23" ht="22.95" customHeight="1" x14ac:dyDescent="0.4">
      <c r="A656" s="788">
        <v>655</v>
      </c>
      <c r="B656" s="245" t="s">
        <v>2616</v>
      </c>
      <c r="C656" s="245" t="s">
        <v>24</v>
      </c>
      <c r="D656" s="1491">
        <v>3632</v>
      </c>
      <c r="E656" s="245" t="s">
        <v>3592</v>
      </c>
      <c r="F656" s="245" t="s">
        <v>3593</v>
      </c>
      <c r="G656" s="200">
        <v>2489</v>
      </c>
      <c r="H656" s="245" t="s">
        <v>3582</v>
      </c>
      <c r="I656" s="245" t="s">
        <v>729</v>
      </c>
      <c r="J656" s="210" t="s">
        <v>58</v>
      </c>
      <c r="K656" s="210" t="s">
        <v>57</v>
      </c>
      <c r="L656" s="1067">
        <v>0.4</v>
      </c>
      <c r="M656" s="819"/>
      <c r="N656" s="819" t="s">
        <v>3596</v>
      </c>
      <c r="O656" s="819"/>
      <c r="P656" s="1492">
        <v>1</v>
      </c>
      <c r="Q656" s="1493">
        <v>0.05</v>
      </c>
      <c r="R656" s="1492"/>
      <c r="S656" s="204">
        <f t="shared" si="20"/>
        <v>0</v>
      </c>
      <c r="T656" s="960">
        <f t="shared" si="21"/>
        <v>0</v>
      </c>
      <c r="U656" s="669" t="s">
        <v>34</v>
      </c>
      <c r="V656" s="1494"/>
      <c r="W656" s="767"/>
    </row>
    <row r="657" spans="1:23" ht="22.95" customHeight="1" x14ac:dyDescent="0.4">
      <c r="A657" s="788">
        <v>656</v>
      </c>
      <c r="B657" s="245" t="s">
        <v>2616</v>
      </c>
      <c r="C657" s="245" t="s">
        <v>24</v>
      </c>
      <c r="D657" s="1491">
        <v>3632</v>
      </c>
      <c r="E657" s="245" t="s">
        <v>3592</v>
      </c>
      <c r="F657" s="245" t="s">
        <v>3593</v>
      </c>
      <c r="G657" s="200">
        <v>2489</v>
      </c>
      <c r="H657" s="245" t="s">
        <v>3582</v>
      </c>
      <c r="I657" s="245" t="s">
        <v>729</v>
      </c>
      <c r="J657" s="210" t="s">
        <v>58</v>
      </c>
      <c r="K657" s="210" t="s">
        <v>57</v>
      </c>
      <c r="L657" s="1067">
        <v>0.4</v>
      </c>
      <c r="M657" s="819"/>
      <c r="N657" s="819" t="s">
        <v>3597</v>
      </c>
      <c r="O657" s="819"/>
      <c r="P657" s="1492">
        <v>1</v>
      </c>
      <c r="Q657" s="1493">
        <v>0.1</v>
      </c>
      <c r="R657" s="1492"/>
      <c r="S657" s="204">
        <f t="shared" si="20"/>
        <v>0</v>
      </c>
      <c r="T657" s="960">
        <f t="shared" si="21"/>
        <v>0</v>
      </c>
      <c r="U657" s="669" t="s">
        <v>34</v>
      </c>
      <c r="V657" s="1494"/>
      <c r="W657" s="767"/>
    </row>
    <row r="658" spans="1:23" ht="22.95" customHeight="1" x14ac:dyDescent="0.4">
      <c r="A658" s="788">
        <v>657</v>
      </c>
      <c r="B658" s="245" t="s">
        <v>2616</v>
      </c>
      <c r="C658" s="245" t="s">
        <v>24</v>
      </c>
      <c r="D658" s="1491">
        <v>3632</v>
      </c>
      <c r="E658" s="245" t="s">
        <v>3592</v>
      </c>
      <c r="F658" s="245" t="s">
        <v>3593</v>
      </c>
      <c r="G658" s="200">
        <v>2489</v>
      </c>
      <c r="H658" s="245" t="s">
        <v>3582</v>
      </c>
      <c r="I658" s="245" t="s">
        <v>729</v>
      </c>
      <c r="J658" s="210" t="s">
        <v>58</v>
      </c>
      <c r="K658" s="210" t="s">
        <v>57</v>
      </c>
      <c r="L658" s="1067">
        <v>0.4</v>
      </c>
      <c r="M658" s="819"/>
      <c r="N658" s="819" t="s">
        <v>3598</v>
      </c>
      <c r="O658" s="819"/>
      <c r="P658" s="1492">
        <v>1</v>
      </c>
      <c r="Q658" s="1493">
        <v>0.1</v>
      </c>
      <c r="R658" s="1492"/>
      <c r="S658" s="204">
        <f t="shared" si="20"/>
        <v>0</v>
      </c>
      <c r="T658" s="960">
        <f t="shared" si="21"/>
        <v>0</v>
      </c>
      <c r="U658" s="669" t="s">
        <v>34</v>
      </c>
      <c r="V658" s="1494"/>
      <c r="W658" s="767"/>
    </row>
    <row r="659" spans="1:23" ht="22.95" customHeight="1" x14ac:dyDescent="0.4">
      <c r="A659" s="788">
        <v>658</v>
      </c>
      <c r="B659" s="245" t="s">
        <v>2616</v>
      </c>
      <c r="C659" s="245" t="s">
        <v>24</v>
      </c>
      <c r="D659" s="1491">
        <v>3632</v>
      </c>
      <c r="E659" s="245" t="s">
        <v>3592</v>
      </c>
      <c r="F659" s="245" t="s">
        <v>3593</v>
      </c>
      <c r="G659" s="1489">
        <v>2489</v>
      </c>
      <c r="H659" s="245" t="s">
        <v>3582</v>
      </c>
      <c r="I659" s="245" t="s">
        <v>729</v>
      </c>
      <c r="J659" s="210" t="s">
        <v>58</v>
      </c>
      <c r="K659" s="210" t="s">
        <v>57</v>
      </c>
      <c r="L659" s="1067">
        <v>0.4</v>
      </c>
      <c r="M659" s="818"/>
      <c r="N659" s="818" t="s">
        <v>3599</v>
      </c>
      <c r="O659" s="818"/>
      <c r="P659" s="1492">
        <v>1</v>
      </c>
      <c r="Q659" s="1493">
        <v>0.1</v>
      </c>
      <c r="R659" s="1492"/>
      <c r="S659" s="204">
        <f t="shared" si="20"/>
        <v>0</v>
      </c>
      <c r="T659" s="960">
        <f t="shared" si="21"/>
        <v>0</v>
      </c>
      <c r="U659" s="669" t="s">
        <v>34</v>
      </c>
      <c r="V659" s="1494"/>
      <c r="W659" s="866"/>
    </row>
    <row r="660" spans="1:23" ht="22.95" customHeight="1" x14ac:dyDescent="0.4">
      <c r="A660" s="788">
        <v>659</v>
      </c>
      <c r="B660" s="245" t="s">
        <v>2616</v>
      </c>
      <c r="C660" s="245" t="s">
        <v>24</v>
      </c>
      <c r="D660" s="1491">
        <v>3632</v>
      </c>
      <c r="E660" s="245" t="s">
        <v>3592</v>
      </c>
      <c r="F660" s="245" t="s">
        <v>3593</v>
      </c>
      <c r="G660" s="200">
        <v>2489</v>
      </c>
      <c r="H660" s="245" t="s">
        <v>3582</v>
      </c>
      <c r="I660" s="245" t="s">
        <v>729</v>
      </c>
      <c r="J660" s="210" t="s">
        <v>58</v>
      </c>
      <c r="K660" s="210" t="s">
        <v>57</v>
      </c>
      <c r="L660" s="1067">
        <v>0.4</v>
      </c>
      <c r="M660" s="819"/>
      <c r="N660" s="819" t="s">
        <v>3600</v>
      </c>
      <c r="O660" s="819"/>
      <c r="P660" s="1492">
        <v>1</v>
      </c>
      <c r="Q660" s="1493">
        <v>0.1</v>
      </c>
      <c r="R660" s="1492"/>
      <c r="S660" s="204">
        <f t="shared" si="20"/>
        <v>0</v>
      </c>
      <c r="T660" s="960">
        <f t="shared" si="21"/>
        <v>0</v>
      </c>
      <c r="U660" s="669" t="s">
        <v>34</v>
      </c>
      <c r="V660" s="1494"/>
      <c r="W660" s="767"/>
    </row>
    <row r="661" spans="1:23" ht="22.95" customHeight="1" x14ac:dyDescent="0.4">
      <c r="A661" s="788">
        <v>660</v>
      </c>
      <c r="B661" s="245" t="s">
        <v>2616</v>
      </c>
      <c r="C661" s="245" t="s">
        <v>24</v>
      </c>
      <c r="D661" s="1491">
        <v>3632</v>
      </c>
      <c r="E661" s="245" t="s">
        <v>3592</v>
      </c>
      <c r="F661" s="245" t="s">
        <v>3593</v>
      </c>
      <c r="G661" s="200">
        <v>2489</v>
      </c>
      <c r="H661" s="245" t="s">
        <v>3582</v>
      </c>
      <c r="I661" s="245" t="s">
        <v>729</v>
      </c>
      <c r="J661" s="210" t="s">
        <v>58</v>
      </c>
      <c r="K661" s="210" t="s">
        <v>57</v>
      </c>
      <c r="L661" s="1067">
        <v>0.4</v>
      </c>
      <c r="M661" s="819"/>
      <c r="N661" s="819" t="s">
        <v>3601</v>
      </c>
      <c r="O661" s="819"/>
      <c r="P661" s="1492">
        <v>1</v>
      </c>
      <c r="Q661" s="1493">
        <v>0.1</v>
      </c>
      <c r="R661" s="1492"/>
      <c r="S661" s="204">
        <f t="shared" si="20"/>
        <v>0</v>
      </c>
      <c r="T661" s="960">
        <f t="shared" si="21"/>
        <v>0</v>
      </c>
      <c r="U661" s="669" t="s">
        <v>34</v>
      </c>
      <c r="V661" s="1494"/>
      <c r="W661" s="767"/>
    </row>
    <row r="662" spans="1:23" ht="22.95" customHeight="1" x14ac:dyDescent="0.4">
      <c r="A662" s="788">
        <v>661</v>
      </c>
      <c r="B662" s="245" t="s">
        <v>2616</v>
      </c>
      <c r="C662" s="245" t="s">
        <v>24</v>
      </c>
      <c r="D662" s="1491">
        <v>3632</v>
      </c>
      <c r="E662" s="245" t="s">
        <v>3592</v>
      </c>
      <c r="F662" s="245" t="s">
        <v>3593</v>
      </c>
      <c r="G662" s="200">
        <v>2489</v>
      </c>
      <c r="H662" s="245" t="s">
        <v>3582</v>
      </c>
      <c r="I662" s="245" t="s">
        <v>729</v>
      </c>
      <c r="J662" s="210" t="s">
        <v>58</v>
      </c>
      <c r="K662" s="210" t="s">
        <v>57</v>
      </c>
      <c r="L662" s="1067">
        <v>0.4</v>
      </c>
      <c r="M662" s="819"/>
      <c r="N662" s="819" t="s">
        <v>3602</v>
      </c>
      <c r="O662" s="819"/>
      <c r="P662" s="1492">
        <v>1</v>
      </c>
      <c r="Q662" s="1493">
        <v>0.1</v>
      </c>
      <c r="R662" s="1492"/>
      <c r="S662" s="204">
        <f t="shared" si="20"/>
        <v>0</v>
      </c>
      <c r="T662" s="960">
        <f t="shared" si="21"/>
        <v>0</v>
      </c>
      <c r="U662" s="669" t="s">
        <v>34</v>
      </c>
      <c r="V662" s="1494"/>
      <c r="W662" s="767"/>
    </row>
    <row r="663" spans="1:23" ht="22.95" customHeight="1" x14ac:dyDescent="0.4">
      <c r="A663" s="788">
        <v>662</v>
      </c>
      <c r="B663" s="245" t="s">
        <v>2616</v>
      </c>
      <c r="C663" s="245" t="s">
        <v>24</v>
      </c>
      <c r="D663" s="1491">
        <v>3632</v>
      </c>
      <c r="E663" s="245" t="s">
        <v>3592</v>
      </c>
      <c r="F663" s="245" t="s">
        <v>3593</v>
      </c>
      <c r="G663" s="200">
        <v>2489</v>
      </c>
      <c r="H663" s="245" t="s">
        <v>3582</v>
      </c>
      <c r="I663" s="245" t="s">
        <v>729</v>
      </c>
      <c r="J663" s="210" t="s">
        <v>58</v>
      </c>
      <c r="K663" s="210" t="s">
        <v>57</v>
      </c>
      <c r="L663" s="1067">
        <v>0.4</v>
      </c>
      <c r="M663" s="819"/>
      <c r="N663" s="819" t="s">
        <v>3603</v>
      </c>
      <c r="O663" s="819"/>
      <c r="P663" s="1492">
        <v>1</v>
      </c>
      <c r="Q663" s="1493">
        <v>0.05</v>
      </c>
      <c r="R663" s="1492"/>
      <c r="S663" s="204">
        <f t="shared" si="20"/>
        <v>0</v>
      </c>
      <c r="T663" s="960">
        <f t="shared" si="21"/>
        <v>0</v>
      </c>
      <c r="U663" s="669" t="s">
        <v>34</v>
      </c>
      <c r="V663" s="1494"/>
      <c r="W663" s="767"/>
    </row>
    <row r="664" spans="1:23" ht="22.95" customHeight="1" x14ac:dyDescent="0.4">
      <c r="A664" s="788">
        <v>663</v>
      </c>
      <c r="B664" s="245" t="s">
        <v>2616</v>
      </c>
      <c r="C664" s="245" t="s">
        <v>24</v>
      </c>
      <c r="D664" s="1491">
        <v>3632</v>
      </c>
      <c r="E664" s="245" t="s">
        <v>3592</v>
      </c>
      <c r="F664" s="245" t="s">
        <v>3593</v>
      </c>
      <c r="G664" s="200">
        <v>2489</v>
      </c>
      <c r="H664" s="245" t="s">
        <v>3582</v>
      </c>
      <c r="I664" s="245" t="s">
        <v>729</v>
      </c>
      <c r="J664" s="210" t="s">
        <v>58</v>
      </c>
      <c r="K664" s="210" t="s">
        <v>57</v>
      </c>
      <c r="L664" s="1067">
        <v>0.4</v>
      </c>
      <c r="M664" s="819"/>
      <c r="N664" s="819" t="s">
        <v>3604</v>
      </c>
      <c r="O664" s="819"/>
      <c r="P664" s="1492">
        <v>1</v>
      </c>
      <c r="Q664" s="1493">
        <v>0.1</v>
      </c>
      <c r="R664" s="1492"/>
      <c r="S664" s="204">
        <f t="shared" si="20"/>
        <v>0</v>
      </c>
      <c r="T664" s="960">
        <f t="shared" si="21"/>
        <v>0</v>
      </c>
      <c r="U664" s="669" t="s">
        <v>34</v>
      </c>
      <c r="V664" s="1494"/>
      <c r="W664" s="767"/>
    </row>
    <row r="665" spans="1:23" ht="22.95" customHeight="1" x14ac:dyDescent="0.4">
      <c r="A665" s="788">
        <v>664</v>
      </c>
      <c r="B665" s="245" t="s">
        <v>2616</v>
      </c>
      <c r="C665" s="245" t="s">
        <v>24</v>
      </c>
      <c r="D665" s="1491">
        <v>3632</v>
      </c>
      <c r="E665" s="245" t="s">
        <v>3592</v>
      </c>
      <c r="F665" s="245" t="s">
        <v>3593</v>
      </c>
      <c r="G665" s="248">
        <v>2489</v>
      </c>
      <c r="H665" s="245" t="s">
        <v>3582</v>
      </c>
      <c r="I665" s="245" t="s">
        <v>729</v>
      </c>
      <c r="J665" s="253" t="s">
        <v>111</v>
      </c>
      <c r="K665" s="253" t="s">
        <v>110</v>
      </c>
      <c r="L665" s="1059">
        <v>0.6</v>
      </c>
      <c r="M665" s="879"/>
      <c r="N665" s="879" t="s">
        <v>3605</v>
      </c>
      <c r="O665" s="879"/>
      <c r="P665" s="1495">
        <v>1</v>
      </c>
      <c r="Q665" s="1496">
        <v>0.2</v>
      </c>
      <c r="R665" s="1495"/>
      <c r="S665" s="964">
        <f t="shared" si="20"/>
        <v>0</v>
      </c>
      <c r="T665" s="962">
        <f t="shared" si="21"/>
        <v>0</v>
      </c>
      <c r="U665" s="1497" t="s">
        <v>34</v>
      </c>
      <c r="V665" s="1498"/>
      <c r="W665" s="879"/>
    </row>
    <row r="666" spans="1:23" ht="22.95" customHeight="1" x14ac:dyDescent="0.4">
      <c r="A666" s="788">
        <v>665</v>
      </c>
      <c r="B666" s="245" t="s">
        <v>2616</v>
      </c>
      <c r="C666" s="245" t="s">
        <v>24</v>
      </c>
      <c r="D666" s="1491">
        <v>3632</v>
      </c>
      <c r="E666" s="245" t="s">
        <v>3592</v>
      </c>
      <c r="F666" s="245" t="s">
        <v>3593</v>
      </c>
      <c r="G666" s="248">
        <v>2489</v>
      </c>
      <c r="H666" s="245" t="s">
        <v>3582</v>
      </c>
      <c r="I666" s="245" t="s">
        <v>729</v>
      </c>
      <c r="J666" s="253" t="s">
        <v>111</v>
      </c>
      <c r="K666" s="253" t="s">
        <v>110</v>
      </c>
      <c r="L666" s="1059">
        <v>0.6</v>
      </c>
      <c r="M666" s="879"/>
      <c r="N666" s="879" t="s">
        <v>3606</v>
      </c>
      <c r="O666" s="879"/>
      <c r="P666" s="1495">
        <v>1</v>
      </c>
      <c r="Q666" s="1496">
        <v>0.2</v>
      </c>
      <c r="R666" s="1495"/>
      <c r="S666" s="964">
        <f t="shared" si="20"/>
        <v>0</v>
      </c>
      <c r="T666" s="962">
        <f t="shared" si="21"/>
        <v>0</v>
      </c>
      <c r="U666" s="1497" t="s">
        <v>34</v>
      </c>
      <c r="V666" s="1498"/>
      <c r="W666" s="879"/>
    </row>
    <row r="667" spans="1:23" ht="22.95" customHeight="1" x14ac:dyDescent="0.4">
      <c r="A667" s="788">
        <v>666</v>
      </c>
      <c r="B667" s="245" t="s">
        <v>2616</v>
      </c>
      <c r="C667" s="245" t="s">
        <v>24</v>
      </c>
      <c r="D667" s="1491">
        <v>3632</v>
      </c>
      <c r="E667" s="245" t="s">
        <v>3592</v>
      </c>
      <c r="F667" s="245" t="s">
        <v>3593</v>
      </c>
      <c r="G667" s="200">
        <v>2489</v>
      </c>
      <c r="H667" s="245" t="s">
        <v>3582</v>
      </c>
      <c r="I667" s="245" t="s">
        <v>729</v>
      </c>
      <c r="J667" s="253" t="s">
        <v>111</v>
      </c>
      <c r="K667" s="253" t="s">
        <v>110</v>
      </c>
      <c r="L667" s="1059">
        <v>0.6</v>
      </c>
      <c r="M667" s="767"/>
      <c r="N667" s="767" t="s">
        <v>3607</v>
      </c>
      <c r="O667" s="767"/>
      <c r="P667" s="708">
        <v>1</v>
      </c>
      <c r="Q667" s="1145">
        <v>0.15</v>
      </c>
      <c r="R667" s="708"/>
      <c r="S667" s="964">
        <f t="shared" si="20"/>
        <v>0</v>
      </c>
      <c r="T667" s="962">
        <f t="shared" si="21"/>
        <v>0</v>
      </c>
      <c r="U667" s="1497" t="s">
        <v>34</v>
      </c>
      <c r="V667" s="1498"/>
      <c r="W667" s="767"/>
    </row>
    <row r="668" spans="1:23" ht="22.95" customHeight="1" x14ac:dyDescent="0.4">
      <c r="A668" s="788">
        <v>667</v>
      </c>
      <c r="B668" s="245" t="s">
        <v>2616</v>
      </c>
      <c r="C668" s="245" t="s">
        <v>24</v>
      </c>
      <c r="D668" s="1491">
        <v>3632</v>
      </c>
      <c r="E668" s="245" t="s">
        <v>3592</v>
      </c>
      <c r="F668" s="245" t="s">
        <v>3593</v>
      </c>
      <c r="G668" s="200">
        <v>2489</v>
      </c>
      <c r="H668" s="245" t="s">
        <v>3582</v>
      </c>
      <c r="I668" s="245" t="s">
        <v>729</v>
      </c>
      <c r="J668" s="253" t="s">
        <v>111</v>
      </c>
      <c r="K668" s="253" t="s">
        <v>110</v>
      </c>
      <c r="L668" s="1059">
        <v>0.6</v>
      </c>
      <c r="M668" s="767"/>
      <c r="N668" s="767" t="s">
        <v>3608</v>
      </c>
      <c r="O668" s="767"/>
      <c r="P668" s="708">
        <v>1</v>
      </c>
      <c r="Q668" s="1145">
        <v>0.1</v>
      </c>
      <c r="R668" s="708"/>
      <c r="S668" s="964">
        <f t="shared" si="20"/>
        <v>0</v>
      </c>
      <c r="T668" s="962">
        <f t="shared" si="21"/>
        <v>0</v>
      </c>
      <c r="U668" s="1497" t="s">
        <v>34</v>
      </c>
      <c r="V668" s="1498"/>
      <c r="W668" s="767"/>
    </row>
    <row r="669" spans="1:23" ht="22.95" customHeight="1" x14ac:dyDescent="0.4">
      <c r="A669" s="788">
        <v>668</v>
      </c>
      <c r="B669" s="245" t="s">
        <v>2616</v>
      </c>
      <c r="C669" s="245" t="s">
        <v>24</v>
      </c>
      <c r="D669" s="1491">
        <v>3632</v>
      </c>
      <c r="E669" s="245" t="s">
        <v>3592</v>
      </c>
      <c r="F669" s="245" t="s">
        <v>3593</v>
      </c>
      <c r="G669" s="1499">
        <v>2489</v>
      </c>
      <c r="H669" s="245" t="s">
        <v>3582</v>
      </c>
      <c r="I669" s="245" t="s">
        <v>729</v>
      </c>
      <c r="J669" s="253" t="s">
        <v>111</v>
      </c>
      <c r="K669" s="253" t="s">
        <v>110</v>
      </c>
      <c r="L669" s="1059">
        <v>0.6</v>
      </c>
      <c r="M669" s="876"/>
      <c r="N669" s="876" t="s">
        <v>3609</v>
      </c>
      <c r="O669" s="876"/>
      <c r="P669" s="1495">
        <v>1</v>
      </c>
      <c r="Q669" s="1496">
        <v>0.2</v>
      </c>
      <c r="R669" s="1495"/>
      <c r="S669" s="964">
        <f t="shared" si="20"/>
        <v>0</v>
      </c>
      <c r="T669" s="962">
        <f t="shared" si="21"/>
        <v>0</v>
      </c>
      <c r="U669" s="1497" t="s">
        <v>34</v>
      </c>
      <c r="V669" s="1498"/>
      <c r="W669" s="876"/>
    </row>
    <row r="670" spans="1:23" ht="22.95" customHeight="1" x14ac:dyDescent="0.4">
      <c r="A670" s="788">
        <v>669</v>
      </c>
      <c r="B670" s="1150" t="s">
        <v>2616</v>
      </c>
      <c r="C670" s="1150" t="s">
        <v>24</v>
      </c>
      <c r="D670" s="1151">
        <v>3632</v>
      </c>
      <c r="E670" s="1500" t="s">
        <v>3592</v>
      </c>
      <c r="F670" s="1500" t="s">
        <v>3593</v>
      </c>
      <c r="G670" s="1501">
        <v>2489</v>
      </c>
      <c r="H670" s="1500" t="s">
        <v>3582</v>
      </c>
      <c r="I670" s="1500" t="s">
        <v>729</v>
      </c>
      <c r="J670" s="1442" t="s">
        <v>111</v>
      </c>
      <c r="K670" s="1442" t="s">
        <v>110</v>
      </c>
      <c r="L670" s="1502">
        <v>0.6</v>
      </c>
      <c r="M670" s="1503"/>
      <c r="N670" s="1503" t="s">
        <v>3610</v>
      </c>
      <c r="O670" s="1503"/>
      <c r="P670" s="1504">
        <v>1</v>
      </c>
      <c r="Q670" s="1505">
        <v>0.15</v>
      </c>
      <c r="R670" s="1504"/>
      <c r="S670" s="1506">
        <f t="shared" si="20"/>
        <v>0</v>
      </c>
      <c r="T670" s="1507">
        <f t="shared" si="21"/>
        <v>0</v>
      </c>
      <c r="U670" s="1508" t="s">
        <v>34</v>
      </c>
      <c r="V670" s="1509"/>
      <c r="W670" s="1503"/>
    </row>
    <row r="671" spans="1:23" ht="22.95" customHeight="1" x14ac:dyDescent="0.4">
      <c r="A671" s="788">
        <v>670</v>
      </c>
      <c r="B671" s="236" t="s">
        <v>2616</v>
      </c>
      <c r="C671" s="236" t="s">
        <v>24</v>
      </c>
      <c r="D671" s="1219">
        <v>6243</v>
      </c>
      <c r="E671" s="236" t="s">
        <v>3611</v>
      </c>
      <c r="F671" s="236" t="s">
        <v>3612</v>
      </c>
      <c r="G671" s="238">
        <v>3632</v>
      </c>
      <c r="H671" s="236" t="s">
        <v>3592</v>
      </c>
      <c r="I671" s="236" t="s">
        <v>729</v>
      </c>
      <c r="J671" s="243" t="s">
        <v>58</v>
      </c>
      <c r="K671" s="243" t="s">
        <v>57</v>
      </c>
      <c r="L671" s="1052">
        <v>0.6</v>
      </c>
      <c r="M671" s="952"/>
      <c r="N671" s="952" t="s">
        <v>3613</v>
      </c>
      <c r="O671" s="952"/>
      <c r="P671" s="953">
        <v>1</v>
      </c>
      <c r="Q671" s="1490">
        <v>0.15</v>
      </c>
      <c r="R671" s="953"/>
      <c r="S671" s="855">
        <f t="shared" si="20"/>
        <v>0</v>
      </c>
      <c r="T671" s="854">
        <f t="shared" si="21"/>
        <v>0</v>
      </c>
      <c r="U671" s="953" t="s">
        <v>34</v>
      </c>
      <c r="V671" s="1488">
        <f>SUM(T671:T694)%</f>
        <v>0</v>
      </c>
      <c r="W671" s="952"/>
    </row>
    <row r="672" spans="1:23" ht="22.95" customHeight="1" x14ac:dyDescent="0.4">
      <c r="A672" s="788">
        <v>671</v>
      </c>
      <c r="B672" s="199" t="s">
        <v>2616</v>
      </c>
      <c r="C672" s="199" t="s">
        <v>24</v>
      </c>
      <c r="D672" s="1259">
        <v>6243</v>
      </c>
      <c r="E672" s="199" t="s">
        <v>3611</v>
      </c>
      <c r="F672" s="198" t="s">
        <v>3612</v>
      </c>
      <c r="G672" s="679">
        <v>3632</v>
      </c>
      <c r="H672" s="198" t="s">
        <v>3592</v>
      </c>
      <c r="I672" s="199" t="s">
        <v>729</v>
      </c>
      <c r="J672" s="649" t="s">
        <v>58</v>
      </c>
      <c r="K672" s="649" t="s">
        <v>57</v>
      </c>
      <c r="L672" s="1196">
        <v>0.6</v>
      </c>
      <c r="M672" s="757"/>
      <c r="N672" s="757" t="s">
        <v>3614</v>
      </c>
      <c r="O672" s="757"/>
      <c r="P672" s="208">
        <v>1</v>
      </c>
      <c r="Q672" s="1486">
        <v>0.1</v>
      </c>
      <c r="R672" s="208"/>
      <c r="S672" s="206">
        <f t="shared" si="20"/>
        <v>0</v>
      </c>
      <c r="T672" s="207">
        <f t="shared" si="21"/>
        <v>0</v>
      </c>
      <c r="U672" s="208" t="s">
        <v>34</v>
      </c>
      <c r="V672" s="1203"/>
      <c r="W672" s="827"/>
    </row>
    <row r="673" spans="1:23" ht="22.95" customHeight="1" x14ac:dyDescent="0.4">
      <c r="A673" s="788">
        <v>672</v>
      </c>
      <c r="B673" s="199" t="s">
        <v>2616</v>
      </c>
      <c r="C673" s="199" t="s">
        <v>24</v>
      </c>
      <c r="D673" s="1259">
        <v>6243</v>
      </c>
      <c r="E673" s="199" t="s">
        <v>3611</v>
      </c>
      <c r="F673" s="198" t="s">
        <v>3612</v>
      </c>
      <c r="G673" s="679">
        <v>3632</v>
      </c>
      <c r="H673" s="198" t="s">
        <v>3592</v>
      </c>
      <c r="I673" s="199" t="s">
        <v>729</v>
      </c>
      <c r="J673" s="649" t="s">
        <v>58</v>
      </c>
      <c r="K673" s="649" t="s">
        <v>57</v>
      </c>
      <c r="L673" s="1196">
        <v>0.6</v>
      </c>
      <c r="M673" s="757"/>
      <c r="N673" s="757" t="s">
        <v>3615</v>
      </c>
      <c r="O673" s="757"/>
      <c r="P673" s="208">
        <v>1</v>
      </c>
      <c r="Q673" s="1486">
        <v>0.125</v>
      </c>
      <c r="R673" s="208"/>
      <c r="S673" s="206">
        <f t="shared" si="20"/>
        <v>0</v>
      </c>
      <c r="T673" s="207">
        <f t="shared" si="21"/>
        <v>0</v>
      </c>
      <c r="U673" s="208" t="s">
        <v>34</v>
      </c>
      <c r="V673" s="1203"/>
      <c r="W673" s="827"/>
    </row>
    <row r="674" spans="1:23" ht="22.95" customHeight="1" x14ac:dyDescent="0.4">
      <c r="A674" s="788">
        <v>673</v>
      </c>
      <c r="B674" s="199" t="s">
        <v>2616</v>
      </c>
      <c r="C674" s="199" t="s">
        <v>24</v>
      </c>
      <c r="D674" s="1259">
        <v>6243</v>
      </c>
      <c r="E674" s="199" t="s">
        <v>3611</v>
      </c>
      <c r="F674" s="198" t="s">
        <v>3612</v>
      </c>
      <c r="G674" s="679">
        <v>3632</v>
      </c>
      <c r="H674" s="198" t="s">
        <v>3592</v>
      </c>
      <c r="I674" s="199" t="s">
        <v>729</v>
      </c>
      <c r="J674" s="649" t="s">
        <v>58</v>
      </c>
      <c r="K674" s="649" t="s">
        <v>57</v>
      </c>
      <c r="L674" s="1196">
        <v>0.6</v>
      </c>
      <c r="M674" s="757"/>
      <c r="N674" s="757" t="s">
        <v>3616</v>
      </c>
      <c r="O674" s="757"/>
      <c r="P674" s="208">
        <v>1</v>
      </c>
      <c r="Q674" s="1486">
        <v>0.125</v>
      </c>
      <c r="R674" s="208"/>
      <c r="S674" s="206">
        <f t="shared" si="20"/>
        <v>0</v>
      </c>
      <c r="T674" s="207">
        <f t="shared" si="21"/>
        <v>0</v>
      </c>
      <c r="U674" s="208" t="s">
        <v>34</v>
      </c>
      <c r="V674" s="1203"/>
      <c r="W674" s="827"/>
    </row>
    <row r="675" spans="1:23" ht="22.95" customHeight="1" x14ac:dyDescent="0.4">
      <c r="A675" s="788">
        <v>674</v>
      </c>
      <c r="B675" s="199" t="s">
        <v>2616</v>
      </c>
      <c r="C675" s="199" t="s">
        <v>24</v>
      </c>
      <c r="D675" s="1259">
        <v>6243</v>
      </c>
      <c r="E675" s="199" t="s">
        <v>3611</v>
      </c>
      <c r="F675" s="198" t="s">
        <v>3612</v>
      </c>
      <c r="G675" s="679">
        <v>3632</v>
      </c>
      <c r="H675" s="198" t="s">
        <v>3592</v>
      </c>
      <c r="I675" s="199" t="s">
        <v>729</v>
      </c>
      <c r="J675" s="649" t="s">
        <v>58</v>
      </c>
      <c r="K675" s="649" t="s">
        <v>57</v>
      </c>
      <c r="L675" s="1196">
        <v>0.6</v>
      </c>
      <c r="M675" s="757"/>
      <c r="N675" s="757" t="s">
        <v>3617</v>
      </c>
      <c r="O675" s="757"/>
      <c r="P675" s="208">
        <v>1</v>
      </c>
      <c r="Q675" s="1486">
        <v>0.1</v>
      </c>
      <c r="R675" s="208"/>
      <c r="S675" s="206">
        <f t="shared" si="20"/>
        <v>0</v>
      </c>
      <c r="T675" s="207">
        <f t="shared" si="21"/>
        <v>0</v>
      </c>
      <c r="U675" s="208" t="s">
        <v>34</v>
      </c>
      <c r="V675" s="1203"/>
      <c r="W675" s="827"/>
    </row>
    <row r="676" spans="1:23" ht="22.95" customHeight="1" x14ac:dyDescent="0.4">
      <c r="A676" s="788">
        <v>675</v>
      </c>
      <c r="B676" s="199" t="s">
        <v>2616</v>
      </c>
      <c r="C676" s="199" t="s">
        <v>24</v>
      </c>
      <c r="D676" s="1259">
        <v>6243</v>
      </c>
      <c r="E676" s="199" t="s">
        <v>3611</v>
      </c>
      <c r="F676" s="198" t="s">
        <v>3612</v>
      </c>
      <c r="G676" s="679">
        <v>3632</v>
      </c>
      <c r="H676" s="198" t="s">
        <v>3592</v>
      </c>
      <c r="I676" s="199" t="s">
        <v>729</v>
      </c>
      <c r="J676" s="649" t="s">
        <v>58</v>
      </c>
      <c r="K676" s="649" t="s">
        <v>57</v>
      </c>
      <c r="L676" s="1196">
        <v>0.6</v>
      </c>
      <c r="M676" s="757"/>
      <c r="N676" s="757" t="s">
        <v>3618</v>
      </c>
      <c r="O676" s="757"/>
      <c r="P676" s="208">
        <v>1</v>
      </c>
      <c r="Q676" s="1486">
        <v>0.1</v>
      </c>
      <c r="R676" s="208"/>
      <c r="S676" s="206">
        <f t="shared" si="20"/>
        <v>0</v>
      </c>
      <c r="T676" s="207">
        <f t="shared" si="21"/>
        <v>0</v>
      </c>
      <c r="U676" s="208" t="s">
        <v>34</v>
      </c>
      <c r="V676" s="1203"/>
      <c r="W676" s="827"/>
    </row>
    <row r="677" spans="1:23" ht="22.95" customHeight="1" x14ac:dyDescent="0.4">
      <c r="A677" s="788">
        <v>676</v>
      </c>
      <c r="B677" s="199" t="s">
        <v>2616</v>
      </c>
      <c r="C677" s="199" t="s">
        <v>24</v>
      </c>
      <c r="D677" s="1259">
        <v>6243</v>
      </c>
      <c r="E677" s="199" t="s">
        <v>3611</v>
      </c>
      <c r="F677" s="198" t="s">
        <v>3612</v>
      </c>
      <c r="G677" s="679">
        <v>3632</v>
      </c>
      <c r="H677" s="198" t="s">
        <v>3592</v>
      </c>
      <c r="I677" s="199" t="s">
        <v>729</v>
      </c>
      <c r="J677" s="649" t="s">
        <v>58</v>
      </c>
      <c r="K677" s="649" t="s">
        <v>57</v>
      </c>
      <c r="L677" s="1196">
        <v>0.6</v>
      </c>
      <c r="M677" s="757"/>
      <c r="N677" s="757" t="s">
        <v>3619</v>
      </c>
      <c r="O677" s="757"/>
      <c r="P677" s="208">
        <v>1</v>
      </c>
      <c r="Q677" s="1486">
        <v>0.15</v>
      </c>
      <c r="R677" s="208"/>
      <c r="S677" s="206">
        <f t="shared" si="20"/>
        <v>0</v>
      </c>
      <c r="T677" s="207">
        <f t="shared" si="21"/>
        <v>0</v>
      </c>
      <c r="U677" s="208" t="s">
        <v>34</v>
      </c>
      <c r="V677" s="1203"/>
      <c r="W677" s="827"/>
    </row>
    <row r="678" spans="1:23" ht="22.95" customHeight="1" x14ac:dyDescent="0.4">
      <c r="A678" s="788">
        <v>677</v>
      </c>
      <c r="B678" s="199" t="s">
        <v>2616</v>
      </c>
      <c r="C678" s="199" t="s">
        <v>24</v>
      </c>
      <c r="D678" s="1259">
        <v>6243</v>
      </c>
      <c r="E678" s="199" t="s">
        <v>3611</v>
      </c>
      <c r="F678" s="198" t="s">
        <v>3612</v>
      </c>
      <c r="G678" s="679">
        <v>3632</v>
      </c>
      <c r="H678" s="198" t="s">
        <v>3592</v>
      </c>
      <c r="I678" s="199" t="s">
        <v>729</v>
      </c>
      <c r="J678" s="649" t="s">
        <v>58</v>
      </c>
      <c r="K678" s="649" t="s">
        <v>57</v>
      </c>
      <c r="L678" s="1196">
        <v>0.6</v>
      </c>
      <c r="M678" s="757"/>
      <c r="N678" s="757" t="s">
        <v>3620</v>
      </c>
      <c r="O678" s="757"/>
      <c r="P678" s="208">
        <v>1</v>
      </c>
      <c r="Q678" s="1486">
        <v>0.05</v>
      </c>
      <c r="R678" s="208"/>
      <c r="S678" s="206">
        <f t="shared" si="20"/>
        <v>0</v>
      </c>
      <c r="T678" s="207">
        <f t="shared" si="21"/>
        <v>0</v>
      </c>
      <c r="U678" s="208" t="s">
        <v>34</v>
      </c>
      <c r="V678" s="1203"/>
      <c r="W678" s="827"/>
    </row>
    <row r="679" spans="1:23" ht="22.95" customHeight="1" x14ac:dyDescent="0.4">
      <c r="A679" s="788">
        <v>678</v>
      </c>
      <c r="B679" s="199" t="s">
        <v>2616</v>
      </c>
      <c r="C679" s="199" t="s">
        <v>24</v>
      </c>
      <c r="D679" s="1259">
        <v>6243</v>
      </c>
      <c r="E679" s="199" t="s">
        <v>3611</v>
      </c>
      <c r="F679" s="198" t="s">
        <v>3612</v>
      </c>
      <c r="G679" s="679">
        <v>3632</v>
      </c>
      <c r="H679" s="198" t="s">
        <v>3592</v>
      </c>
      <c r="I679" s="199" t="s">
        <v>729</v>
      </c>
      <c r="J679" s="649" t="s">
        <v>58</v>
      </c>
      <c r="K679" s="649" t="s">
        <v>57</v>
      </c>
      <c r="L679" s="1196">
        <v>0.6</v>
      </c>
      <c r="M679" s="757"/>
      <c r="N679" s="757" t="s">
        <v>3621</v>
      </c>
      <c r="O679" s="757"/>
      <c r="P679" s="208">
        <v>1</v>
      </c>
      <c r="Q679" s="1486">
        <v>0.1</v>
      </c>
      <c r="R679" s="208"/>
      <c r="S679" s="206">
        <f t="shared" si="20"/>
        <v>0</v>
      </c>
      <c r="T679" s="207">
        <f t="shared" si="21"/>
        <v>0</v>
      </c>
      <c r="U679" s="208" t="s">
        <v>34</v>
      </c>
      <c r="V679" s="1203"/>
      <c r="W679" s="827"/>
    </row>
    <row r="680" spans="1:23" ht="22.95" customHeight="1" x14ac:dyDescent="0.4">
      <c r="A680" s="788">
        <v>679</v>
      </c>
      <c r="B680" s="199" t="s">
        <v>2616</v>
      </c>
      <c r="C680" s="199" t="s">
        <v>24</v>
      </c>
      <c r="D680" s="1259">
        <v>6243</v>
      </c>
      <c r="E680" s="199" t="s">
        <v>3611</v>
      </c>
      <c r="F680" s="198" t="s">
        <v>3612</v>
      </c>
      <c r="G680" s="679">
        <v>3632</v>
      </c>
      <c r="H680" s="198" t="s">
        <v>3592</v>
      </c>
      <c r="I680" s="199" t="s">
        <v>729</v>
      </c>
      <c r="J680" s="648" t="s">
        <v>111</v>
      </c>
      <c r="K680" s="649" t="s">
        <v>110</v>
      </c>
      <c r="L680" s="1063">
        <v>0.4</v>
      </c>
      <c r="M680" s="827"/>
      <c r="N680" s="827" t="s">
        <v>255</v>
      </c>
      <c r="O680" s="827"/>
      <c r="P680" s="222">
        <v>1</v>
      </c>
      <c r="Q680" s="1063">
        <v>0.05</v>
      </c>
      <c r="R680" s="222"/>
      <c r="S680" s="222">
        <f t="shared" si="20"/>
        <v>0</v>
      </c>
      <c r="T680" s="765">
        <f t="shared" si="21"/>
        <v>0</v>
      </c>
      <c r="U680" s="222" t="s">
        <v>34</v>
      </c>
      <c r="V680" s="1228"/>
      <c r="W680" s="827"/>
    </row>
    <row r="681" spans="1:23" ht="22.95" customHeight="1" x14ac:dyDescent="0.4">
      <c r="A681" s="788">
        <v>680</v>
      </c>
      <c r="B681" s="199" t="s">
        <v>2616</v>
      </c>
      <c r="C681" s="199" t="s">
        <v>24</v>
      </c>
      <c r="D681" s="1259">
        <v>6243</v>
      </c>
      <c r="E681" s="199" t="s">
        <v>3611</v>
      </c>
      <c r="F681" s="198" t="s">
        <v>3612</v>
      </c>
      <c r="G681" s="679">
        <v>3632</v>
      </c>
      <c r="H681" s="198" t="s">
        <v>3592</v>
      </c>
      <c r="I681" s="199" t="s">
        <v>729</v>
      </c>
      <c r="J681" s="648" t="s">
        <v>111</v>
      </c>
      <c r="K681" s="649" t="s">
        <v>110</v>
      </c>
      <c r="L681" s="1063">
        <v>0.4</v>
      </c>
      <c r="M681" s="827"/>
      <c r="N681" s="827" t="s">
        <v>768</v>
      </c>
      <c r="O681" s="827"/>
      <c r="P681" s="222">
        <v>1</v>
      </c>
      <c r="Q681" s="1063">
        <v>0.05</v>
      </c>
      <c r="R681" s="222"/>
      <c r="S681" s="222">
        <f t="shared" si="20"/>
        <v>0</v>
      </c>
      <c r="T681" s="765">
        <f t="shared" si="21"/>
        <v>0</v>
      </c>
      <c r="U681" s="222" t="s">
        <v>34</v>
      </c>
      <c r="V681" s="1228"/>
      <c r="W681" s="827"/>
    </row>
    <row r="682" spans="1:23" ht="22.95" customHeight="1" x14ac:dyDescent="0.4">
      <c r="A682" s="788">
        <v>681</v>
      </c>
      <c r="B682" s="199" t="s">
        <v>2616</v>
      </c>
      <c r="C682" s="199" t="s">
        <v>24</v>
      </c>
      <c r="D682" s="1259">
        <v>6243</v>
      </c>
      <c r="E682" s="199" t="s">
        <v>3611</v>
      </c>
      <c r="F682" s="198" t="s">
        <v>3612</v>
      </c>
      <c r="G682" s="679">
        <v>3632</v>
      </c>
      <c r="H682" s="198" t="s">
        <v>3592</v>
      </c>
      <c r="I682" s="199" t="s">
        <v>729</v>
      </c>
      <c r="J682" s="648" t="s">
        <v>111</v>
      </c>
      <c r="K682" s="649" t="s">
        <v>110</v>
      </c>
      <c r="L682" s="1063">
        <v>0.4</v>
      </c>
      <c r="M682" s="827"/>
      <c r="N682" s="827" t="s">
        <v>769</v>
      </c>
      <c r="O682" s="827"/>
      <c r="P682" s="222">
        <v>1</v>
      </c>
      <c r="Q682" s="1063">
        <v>0.05</v>
      </c>
      <c r="R682" s="222"/>
      <c r="S682" s="222">
        <f t="shared" si="20"/>
        <v>0</v>
      </c>
      <c r="T682" s="765">
        <f t="shared" si="21"/>
        <v>0</v>
      </c>
      <c r="U682" s="222" t="s">
        <v>34</v>
      </c>
      <c r="V682" s="1228"/>
      <c r="W682" s="827"/>
    </row>
    <row r="683" spans="1:23" ht="22.95" customHeight="1" x14ac:dyDescent="0.4">
      <c r="A683" s="788">
        <v>682</v>
      </c>
      <c r="B683" s="199" t="s">
        <v>2616</v>
      </c>
      <c r="C683" s="199" t="s">
        <v>24</v>
      </c>
      <c r="D683" s="1259">
        <v>6243</v>
      </c>
      <c r="E683" s="199" t="s">
        <v>3611</v>
      </c>
      <c r="F683" s="198" t="s">
        <v>3612</v>
      </c>
      <c r="G683" s="679">
        <v>3632</v>
      </c>
      <c r="H683" s="198" t="s">
        <v>3592</v>
      </c>
      <c r="I683" s="199" t="s">
        <v>729</v>
      </c>
      <c r="J683" s="648" t="s">
        <v>111</v>
      </c>
      <c r="K683" s="649" t="s">
        <v>110</v>
      </c>
      <c r="L683" s="1063">
        <v>0.4</v>
      </c>
      <c r="M683" s="827"/>
      <c r="N683" s="827" t="s">
        <v>770</v>
      </c>
      <c r="O683" s="827"/>
      <c r="P683" s="222">
        <v>1</v>
      </c>
      <c r="Q683" s="1063">
        <v>0.15</v>
      </c>
      <c r="R683" s="222"/>
      <c r="S683" s="222">
        <f t="shared" si="20"/>
        <v>0</v>
      </c>
      <c r="T683" s="765">
        <f t="shared" si="21"/>
        <v>0</v>
      </c>
      <c r="U683" s="222" t="s">
        <v>34</v>
      </c>
      <c r="V683" s="1228"/>
      <c r="W683" s="827"/>
    </row>
    <row r="684" spans="1:23" ht="22.95" customHeight="1" x14ac:dyDescent="0.4">
      <c r="A684" s="788">
        <v>683</v>
      </c>
      <c r="B684" s="199" t="s">
        <v>2616</v>
      </c>
      <c r="C684" s="199" t="s">
        <v>24</v>
      </c>
      <c r="D684" s="1259">
        <v>6243</v>
      </c>
      <c r="E684" s="199" t="s">
        <v>3611</v>
      </c>
      <c r="F684" s="198" t="s">
        <v>3612</v>
      </c>
      <c r="G684" s="679">
        <v>3632</v>
      </c>
      <c r="H684" s="198" t="s">
        <v>3592</v>
      </c>
      <c r="I684" s="199" t="s">
        <v>729</v>
      </c>
      <c r="J684" s="648" t="s">
        <v>111</v>
      </c>
      <c r="K684" s="649" t="s">
        <v>110</v>
      </c>
      <c r="L684" s="1063">
        <v>0.4</v>
      </c>
      <c r="M684" s="827"/>
      <c r="N684" s="827" t="s">
        <v>254</v>
      </c>
      <c r="O684" s="827"/>
      <c r="P684" s="222">
        <v>1</v>
      </c>
      <c r="Q684" s="1063">
        <v>0.1</v>
      </c>
      <c r="R684" s="222"/>
      <c r="S684" s="222">
        <f t="shared" si="20"/>
        <v>0</v>
      </c>
      <c r="T684" s="765">
        <f t="shared" si="21"/>
        <v>0</v>
      </c>
      <c r="U684" s="222" t="s">
        <v>34</v>
      </c>
      <c r="V684" s="1228"/>
      <c r="W684" s="827"/>
    </row>
    <row r="685" spans="1:23" ht="22.95" customHeight="1" x14ac:dyDescent="0.4">
      <c r="A685" s="788">
        <v>684</v>
      </c>
      <c r="B685" s="246" t="s">
        <v>2616</v>
      </c>
      <c r="C685" s="246" t="s">
        <v>24</v>
      </c>
      <c r="D685" s="1134">
        <v>6243</v>
      </c>
      <c r="E685" s="246" t="s">
        <v>3611</v>
      </c>
      <c r="F685" s="245" t="s">
        <v>3612</v>
      </c>
      <c r="G685" s="679">
        <v>3632</v>
      </c>
      <c r="H685" s="245" t="s">
        <v>3592</v>
      </c>
      <c r="I685" s="246" t="s">
        <v>729</v>
      </c>
      <c r="J685" s="648" t="s">
        <v>111</v>
      </c>
      <c r="K685" s="649" t="s">
        <v>110</v>
      </c>
      <c r="L685" s="1063">
        <v>0.4</v>
      </c>
      <c r="M685" s="827"/>
      <c r="N685" s="827" t="s">
        <v>771</v>
      </c>
      <c r="O685" s="827"/>
      <c r="P685" s="222">
        <v>1</v>
      </c>
      <c r="Q685" s="1063">
        <v>0.05</v>
      </c>
      <c r="R685" s="222"/>
      <c r="S685" s="222">
        <f t="shared" si="20"/>
        <v>0</v>
      </c>
      <c r="T685" s="765">
        <f t="shared" si="21"/>
        <v>0</v>
      </c>
      <c r="U685" s="222" t="s">
        <v>34</v>
      </c>
      <c r="V685" s="1228"/>
      <c r="W685" s="827"/>
    </row>
    <row r="686" spans="1:23" ht="22.95" customHeight="1" x14ac:dyDescent="0.4">
      <c r="A686" s="788">
        <v>685</v>
      </c>
      <c r="B686" s="246" t="s">
        <v>2616</v>
      </c>
      <c r="C686" s="246" t="s">
        <v>24</v>
      </c>
      <c r="D686" s="1134">
        <v>6243</v>
      </c>
      <c r="E686" s="246" t="s">
        <v>3611</v>
      </c>
      <c r="F686" s="245" t="s">
        <v>3612</v>
      </c>
      <c r="G686" s="679">
        <v>3632</v>
      </c>
      <c r="H686" s="245" t="s">
        <v>3592</v>
      </c>
      <c r="I686" s="246" t="s">
        <v>729</v>
      </c>
      <c r="J686" s="648" t="s">
        <v>111</v>
      </c>
      <c r="K686" s="649" t="s">
        <v>110</v>
      </c>
      <c r="L686" s="1063">
        <v>0.4</v>
      </c>
      <c r="M686" s="827"/>
      <c r="N686" s="827" t="s">
        <v>772</v>
      </c>
      <c r="O686" s="827"/>
      <c r="P686" s="222">
        <v>1</v>
      </c>
      <c r="Q686" s="1063">
        <v>0.1</v>
      </c>
      <c r="R686" s="222"/>
      <c r="S686" s="222">
        <f t="shared" si="20"/>
        <v>0</v>
      </c>
      <c r="T686" s="765">
        <f t="shared" si="21"/>
        <v>0</v>
      </c>
      <c r="U686" s="222" t="s">
        <v>34</v>
      </c>
      <c r="V686" s="1228"/>
      <c r="W686" s="827"/>
    </row>
    <row r="687" spans="1:23" ht="22.95" customHeight="1" x14ac:dyDescent="0.4">
      <c r="A687" s="788">
        <v>686</v>
      </c>
      <c r="B687" s="246" t="s">
        <v>2616</v>
      </c>
      <c r="C687" s="246" t="s">
        <v>24</v>
      </c>
      <c r="D687" s="1134">
        <v>6243</v>
      </c>
      <c r="E687" s="246" t="s">
        <v>3611</v>
      </c>
      <c r="F687" s="245" t="s">
        <v>3612</v>
      </c>
      <c r="G687" s="679">
        <v>3632</v>
      </c>
      <c r="H687" s="245" t="s">
        <v>3592</v>
      </c>
      <c r="I687" s="246" t="s">
        <v>729</v>
      </c>
      <c r="J687" s="648" t="s">
        <v>111</v>
      </c>
      <c r="K687" s="649" t="s">
        <v>110</v>
      </c>
      <c r="L687" s="1063">
        <v>0.4</v>
      </c>
      <c r="M687" s="827"/>
      <c r="N687" s="827" t="s">
        <v>773</v>
      </c>
      <c r="O687" s="827"/>
      <c r="P687" s="222">
        <v>1</v>
      </c>
      <c r="Q687" s="1063">
        <v>0.05</v>
      </c>
      <c r="R687" s="222"/>
      <c r="S687" s="222">
        <f t="shared" si="20"/>
        <v>0</v>
      </c>
      <c r="T687" s="765">
        <f t="shared" si="21"/>
        <v>0</v>
      </c>
      <c r="U687" s="222" t="s">
        <v>34</v>
      </c>
      <c r="V687" s="1228"/>
      <c r="W687" s="827"/>
    </row>
    <row r="688" spans="1:23" ht="22.95" customHeight="1" x14ac:dyDescent="0.4">
      <c r="A688" s="788">
        <v>687</v>
      </c>
      <c r="B688" s="246" t="s">
        <v>2616</v>
      </c>
      <c r="C688" s="246" t="s">
        <v>24</v>
      </c>
      <c r="D688" s="1134">
        <v>6243</v>
      </c>
      <c r="E688" s="246" t="s">
        <v>3611</v>
      </c>
      <c r="F688" s="245" t="s">
        <v>3612</v>
      </c>
      <c r="G688" s="679">
        <v>3632</v>
      </c>
      <c r="H688" s="245" t="s">
        <v>3592</v>
      </c>
      <c r="I688" s="246" t="s">
        <v>729</v>
      </c>
      <c r="J688" s="648" t="s">
        <v>111</v>
      </c>
      <c r="K688" s="649" t="s">
        <v>110</v>
      </c>
      <c r="L688" s="1063">
        <v>0.4</v>
      </c>
      <c r="M688" s="827"/>
      <c r="N688" s="827" t="s">
        <v>774</v>
      </c>
      <c r="O688" s="827"/>
      <c r="P688" s="222">
        <v>1</v>
      </c>
      <c r="Q688" s="1063">
        <v>0.05</v>
      </c>
      <c r="R688" s="222"/>
      <c r="S688" s="222">
        <f t="shared" si="20"/>
        <v>0</v>
      </c>
      <c r="T688" s="765">
        <f t="shared" si="21"/>
        <v>0</v>
      </c>
      <c r="U688" s="222" t="s">
        <v>34</v>
      </c>
      <c r="V688" s="1228"/>
      <c r="W688" s="827"/>
    </row>
    <row r="689" spans="1:23" ht="22.95" customHeight="1" x14ac:dyDescent="0.4">
      <c r="A689" s="788">
        <v>688</v>
      </c>
      <c r="B689" s="246" t="s">
        <v>2616</v>
      </c>
      <c r="C689" s="246" t="s">
        <v>24</v>
      </c>
      <c r="D689" s="1134">
        <v>6243</v>
      </c>
      <c r="E689" s="246" t="s">
        <v>3611</v>
      </c>
      <c r="F689" s="245" t="s">
        <v>3612</v>
      </c>
      <c r="G689" s="679">
        <v>3632</v>
      </c>
      <c r="H689" s="245" t="s">
        <v>3592</v>
      </c>
      <c r="I689" s="246" t="s">
        <v>729</v>
      </c>
      <c r="J689" s="648" t="s">
        <v>111</v>
      </c>
      <c r="K689" s="649" t="s">
        <v>110</v>
      </c>
      <c r="L689" s="1063">
        <v>0.4</v>
      </c>
      <c r="M689" s="827"/>
      <c r="N689" s="827" t="s">
        <v>775</v>
      </c>
      <c r="O689" s="827"/>
      <c r="P689" s="222">
        <v>1</v>
      </c>
      <c r="Q689" s="1063">
        <v>0.05</v>
      </c>
      <c r="R689" s="222"/>
      <c r="S689" s="222">
        <f t="shared" si="20"/>
        <v>0</v>
      </c>
      <c r="T689" s="765">
        <f t="shared" si="21"/>
        <v>0</v>
      </c>
      <c r="U689" s="222" t="s">
        <v>34</v>
      </c>
      <c r="V689" s="1228"/>
      <c r="W689" s="827"/>
    </row>
    <row r="690" spans="1:23" ht="22.95" customHeight="1" x14ac:dyDescent="0.4">
      <c r="A690" s="788">
        <v>689</v>
      </c>
      <c r="B690" s="246" t="s">
        <v>2616</v>
      </c>
      <c r="C690" s="246" t="s">
        <v>24</v>
      </c>
      <c r="D690" s="1134">
        <v>6243</v>
      </c>
      <c r="E690" s="246" t="s">
        <v>3611</v>
      </c>
      <c r="F690" s="245" t="s">
        <v>3612</v>
      </c>
      <c r="G690" s="679">
        <v>3632</v>
      </c>
      <c r="H690" s="245" t="s">
        <v>3592</v>
      </c>
      <c r="I690" s="246" t="s">
        <v>729</v>
      </c>
      <c r="J690" s="648" t="s">
        <v>111</v>
      </c>
      <c r="K690" s="649" t="s">
        <v>110</v>
      </c>
      <c r="L690" s="1063">
        <v>0.4</v>
      </c>
      <c r="M690" s="827"/>
      <c r="N690" s="827" t="s">
        <v>776</v>
      </c>
      <c r="O690" s="827"/>
      <c r="P690" s="222">
        <v>1</v>
      </c>
      <c r="Q690" s="1063">
        <v>0.1</v>
      </c>
      <c r="R690" s="222"/>
      <c r="S690" s="222">
        <f t="shared" si="20"/>
        <v>0</v>
      </c>
      <c r="T690" s="765">
        <f t="shared" si="21"/>
        <v>0</v>
      </c>
      <c r="U690" s="222" t="s">
        <v>34</v>
      </c>
      <c r="V690" s="1228"/>
      <c r="W690" s="827"/>
    </row>
    <row r="691" spans="1:23" ht="22.95" customHeight="1" x14ac:dyDescent="0.4">
      <c r="A691" s="788">
        <v>690</v>
      </c>
      <c r="B691" s="246" t="s">
        <v>2616</v>
      </c>
      <c r="C691" s="246" t="s">
        <v>24</v>
      </c>
      <c r="D691" s="1134">
        <v>6243</v>
      </c>
      <c r="E691" s="246" t="s">
        <v>3611</v>
      </c>
      <c r="F691" s="245" t="s">
        <v>3612</v>
      </c>
      <c r="G691" s="679">
        <v>3632</v>
      </c>
      <c r="H691" s="245" t="s">
        <v>3592</v>
      </c>
      <c r="I691" s="246" t="s">
        <v>729</v>
      </c>
      <c r="J691" s="648" t="s">
        <v>111</v>
      </c>
      <c r="K691" s="649" t="s">
        <v>110</v>
      </c>
      <c r="L691" s="1063">
        <v>0.4</v>
      </c>
      <c r="M691" s="827"/>
      <c r="N691" s="827" t="s">
        <v>251</v>
      </c>
      <c r="O691" s="827"/>
      <c r="P691" s="222">
        <v>1</v>
      </c>
      <c r="Q691" s="1063">
        <v>0.05</v>
      </c>
      <c r="R691" s="222"/>
      <c r="S691" s="222">
        <f t="shared" si="20"/>
        <v>0</v>
      </c>
      <c r="T691" s="765">
        <f t="shared" si="21"/>
        <v>0</v>
      </c>
      <c r="U691" s="222" t="s">
        <v>34</v>
      </c>
      <c r="V691" s="1228"/>
      <c r="W691" s="827"/>
    </row>
    <row r="692" spans="1:23" ht="22.95" customHeight="1" x14ac:dyDescent="0.4">
      <c r="A692" s="788">
        <v>691</v>
      </c>
      <c r="B692" s="246" t="s">
        <v>2616</v>
      </c>
      <c r="C692" s="246" t="s">
        <v>24</v>
      </c>
      <c r="D692" s="1134">
        <v>6243</v>
      </c>
      <c r="E692" s="246" t="s">
        <v>3611</v>
      </c>
      <c r="F692" s="245" t="s">
        <v>3612</v>
      </c>
      <c r="G692" s="679">
        <v>3632</v>
      </c>
      <c r="H692" s="245" t="s">
        <v>3592</v>
      </c>
      <c r="I692" s="246" t="s">
        <v>729</v>
      </c>
      <c r="J692" s="648" t="s">
        <v>111</v>
      </c>
      <c r="K692" s="649" t="s">
        <v>110</v>
      </c>
      <c r="L692" s="1063">
        <v>0.4</v>
      </c>
      <c r="M692" s="827"/>
      <c r="N692" s="827" t="s">
        <v>252</v>
      </c>
      <c r="O692" s="827"/>
      <c r="P692" s="222">
        <v>1</v>
      </c>
      <c r="Q692" s="1063">
        <v>0.05</v>
      </c>
      <c r="R692" s="222"/>
      <c r="S692" s="222">
        <f t="shared" si="20"/>
        <v>0</v>
      </c>
      <c r="T692" s="765">
        <f t="shared" si="21"/>
        <v>0</v>
      </c>
      <c r="U692" s="222" t="s">
        <v>34</v>
      </c>
      <c r="V692" s="1228"/>
      <c r="W692" s="827"/>
    </row>
    <row r="693" spans="1:23" ht="22.95" customHeight="1" x14ac:dyDescent="0.4">
      <c r="A693" s="788">
        <v>692</v>
      </c>
      <c r="B693" s="246" t="s">
        <v>2616</v>
      </c>
      <c r="C693" s="246" t="s">
        <v>24</v>
      </c>
      <c r="D693" s="1134">
        <v>6243</v>
      </c>
      <c r="E693" s="246" t="s">
        <v>3611</v>
      </c>
      <c r="F693" s="245" t="s">
        <v>3612</v>
      </c>
      <c r="G693" s="679">
        <v>3632</v>
      </c>
      <c r="H693" s="245" t="s">
        <v>3592</v>
      </c>
      <c r="I693" s="246" t="s">
        <v>729</v>
      </c>
      <c r="J693" s="648" t="s">
        <v>111</v>
      </c>
      <c r="K693" s="649" t="s">
        <v>110</v>
      </c>
      <c r="L693" s="1063">
        <v>0.4</v>
      </c>
      <c r="M693" s="827"/>
      <c r="N693" s="827" t="s">
        <v>777</v>
      </c>
      <c r="O693" s="827"/>
      <c r="P693" s="222">
        <v>1</v>
      </c>
      <c r="Q693" s="1063">
        <v>0.05</v>
      </c>
      <c r="R693" s="222"/>
      <c r="S693" s="222">
        <f t="shared" si="20"/>
        <v>0</v>
      </c>
      <c r="T693" s="765">
        <f t="shared" si="21"/>
        <v>0</v>
      </c>
      <c r="U693" s="222" t="s">
        <v>34</v>
      </c>
      <c r="V693" s="1228"/>
      <c r="W693" s="827"/>
    </row>
    <row r="694" spans="1:23" ht="22.95" customHeight="1" x14ac:dyDescent="0.4">
      <c r="A694" s="788">
        <v>693</v>
      </c>
      <c r="B694" s="246" t="s">
        <v>2616</v>
      </c>
      <c r="C694" s="246" t="s">
        <v>24</v>
      </c>
      <c r="D694" s="1134">
        <v>6243</v>
      </c>
      <c r="E694" s="246" t="s">
        <v>3611</v>
      </c>
      <c r="F694" s="245" t="s">
        <v>3612</v>
      </c>
      <c r="G694" s="679">
        <v>3632</v>
      </c>
      <c r="H694" s="245" t="s">
        <v>3592</v>
      </c>
      <c r="I694" s="246" t="s">
        <v>729</v>
      </c>
      <c r="J694" s="648" t="s">
        <v>111</v>
      </c>
      <c r="K694" s="649" t="s">
        <v>110</v>
      </c>
      <c r="L694" s="1063">
        <v>0.4</v>
      </c>
      <c r="M694" s="827"/>
      <c r="N694" s="827" t="s">
        <v>253</v>
      </c>
      <c r="O694" s="827"/>
      <c r="P694" s="222">
        <v>1</v>
      </c>
      <c r="Q694" s="1063">
        <v>0.05</v>
      </c>
      <c r="R694" s="222"/>
      <c r="S694" s="222">
        <f t="shared" si="20"/>
        <v>0</v>
      </c>
      <c r="T694" s="765">
        <f t="shared" si="21"/>
        <v>0</v>
      </c>
      <c r="U694" s="222" t="s">
        <v>34</v>
      </c>
      <c r="V694" s="1228"/>
      <c r="W694" s="827"/>
    </row>
    <row r="695" spans="1:23" ht="22.95" customHeight="1" x14ac:dyDescent="0.4">
      <c r="A695" s="788">
        <v>694</v>
      </c>
      <c r="B695" s="236" t="s">
        <v>2616</v>
      </c>
      <c r="C695" s="236" t="s">
        <v>24</v>
      </c>
      <c r="D695" s="1219">
        <v>5153</v>
      </c>
      <c r="E695" s="236" t="s">
        <v>3622</v>
      </c>
      <c r="F695" s="236" t="s">
        <v>3612</v>
      </c>
      <c r="G695" s="238">
        <v>3632</v>
      </c>
      <c r="H695" s="236" t="s">
        <v>3592</v>
      </c>
      <c r="I695" s="236" t="s">
        <v>729</v>
      </c>
      <c r="J695" s="243" t="s">
        <v>58</v>
      </c>
      <c r="K695" s="243" t="s">
        <v>57</v>
      </c>
      <c r="L695" s="1052">
        <v>0.6</v>
      </c>
      <c r="M695" s="952"/>
      <c r="N695" s="952" t="s">
        <v>3613</v>
      </c>
      <c r="O695" s="952"/>
      <c r="P695" s="953">
        <v>1</v>
      </c>
      <c r="Q695" s="1490">
        <v>0.15</v>
      </c>
      <c r="R695" s="953"/>
      <c r="S695" s="855">
        <f t="shared" si="20"/>
        <v>0</v>
      </c>
      <c r="T695" s="854">
        <f t="shared" si="21"/>
        <v>0</v>
      </c>
      <c r="U695" s="855" t="s">
        <v>34</v>
      </c>
      <c r="V695" s="1488">
        <f>SUM(T695:T719)%</f>
        <v>0</v>
      </c>
      <c r="W695" s="952"/>
    </row>
    <row r="696" spans="1:23" ht="22.95" customHeight="1" x14ac:dyDescent="0.4">
      <c r="A696" s="788">
        <v>695</v>
      </c>
      <c r="B696" s="246" t="s">
        <v>2616</v>
      </c>
      <c r="C696" s="246" t="s">
        <v>24</v>
      </c>
      <c r="D696" s="1134">
        <v>5153</v>
      </c>
      <c r="E696" s="246" t="s">
        <v>3622</v>
      </c>
      <c r="F696" s="245" t="s">
        <v>3612</v>
      </c>
      <c r="G696" s="679">
        <v>3632</v>
      </c>
      <c r="H696" s="245" t="s">
        <v>3592</v>
      </c>
      <c r="I696" s="246" t="s">
        <v>729</v>
      </c>
      <c r="J696" s="649" t="s">
        <v>58</v>
      </c>
      <c r="K696" s="649" t="s">
        <v>57</v>
      </c>
      <c r="L696" s="1196">
        <v>0.6</v>
      </c>
      <c r="M696" s="757"/>
      <c r="N696" s="757" t="s">
        <v>3623</v>
      </c>
      <c r="O696" s="757"/>
      <c r="P696" s="208">
        <v>1</v>
      </c>
      <c r="Q696" s="1486">
        <v>0.1</v>
      </c>
      <c r="R696" s="208"/>
      <c r="S696" s="206">
        <f t="shared" si="20"/>
        <v>0</v>
      </c>
      <c r="T696" s="207">
        <f t="shared" si="21"/>
        <v>0</v>
      </c>
      <c r="U696" s="647" t="s">
        <v>34</v>
      </c>
      <c r="V696" s="1203"/>
      <c r="W696" s="827"/>
    </row>
    <row r="697" spans="1:23" ht="22.95" customHeight="1" x14ac:dyDescent="0.4">
      <c r="A697" s="788">
        <v>696</v>
      </c>
      <c r="B697" s="246" t="s">
        <v>2616</v>
      </c>
      <c r="C697" s="246" t="s">
        <v>24</v>
      </c>
      <c r="D697" s="1134">
        <v>5153</v>
      </c>
      <c r="E697" s="246" t="s">
        <v>3622</v>
      </c>
      <c r="F697" s="245" t="s">
        <v>3612</v>
      </c>
      <c r="G697" s="679">
        <v>3632</v>
      </c>
      <c r="H697" s="245" t="s">
        <v>3592</v>
      </c>
      <c r="I697" s="246" t="s">
        <v>729</v>
      </c>
      <c r="J697" s="649" t="s">
        <v>58</v>
      </c>
      <c r="K697" s="649" t="s">
        <v>57</v>
      </c>
      <c r="L697" s="1196">
        <v>0.6</v>
      </c>
      <c r="M697" s="757"/>
      <c r="N697" s="757" t="s">
        <v>3624</v>
      </c>
      <c r="O697" s="757"/>
      <c r="P697" s="208">
        <v>1</v>
      </c>
      <c r="Q697" s="1486">
        <v>0.1</v>
      </c>
      <c r="R697" s="208"/>
      <c r="S697" s="206">
        <f t="shared" si="20"/>
        <v>0</v>
      </c>
      <c r="T697" s="207">
        <f t="shared" si="21"/>
        <v>0</v>
      </c>
      <c r="U697" s="647" t="s">
        <v>34</v>
      </c>
      <c r="V697" s="1203"/>
      <c r="W697" s="827"/>
    </row>
    <row r="698" spans="1:23" ht="22.95" customHeight="1" x14ac:dyDescent="0.4">
      <c r="A698" s="788">
        <v>697</v>
      </c>
      <c r="B698" s="246" t="s">
        <v>2616</v>
      </c>
      <c r="C698" s="246" t="s">
        <v>24</v>
      </c>
      <c r="D698" s="1134">
        <v>5153</v>
      </c>
      <c r="E698" s="246" t="s">
        <v>3622</v>
      </c>
      <c r="F698" s="245" t="s">
        <v>3612</v>
      </c>
      <c r="G698" s="679">
        <v>3632</v>
      </c>
      <c r="H698" s="245" t="s">
        <v>3592</v>
      </c>
      <c r="I698" s="246" t="s">
        <v>729</v>
      </c>
      <c r="J698" s="649" t="s">
        <v>58</v>
      </c>
      <c r="K698" s="649" t="s">
        <v>57</v>
      </c>
      <c r="L698" s="1196">
        <v>0.6</v>
      </c>
      <c r="M698" s="757"/>
      <c r="N698" s="757" t="s">
        <v>3625</v>
      </c>
      <c r="O698" s="757"/>
      <c r="P698" s="208">
        <v>1</v>
      </c>
      <c r="Q698" s="1486">
        <v>0.1</v>
      </c>
      <c r="R698" s="208"/>
      <c r="S698" s="206">
        <f t="shared" si="20"/>
        <v>0</v>
      </c>
      <c r="T698" s="207">
        <f t="shared" si="21"/>
        <v>0</v>
      </c>
      <c r="U698" s="647" t="s">
        <v>34</v>
      </c>
      <c r="V698" s="1203"/>
      <c r="W698" s="827"/>
    </row>
    <row r="699" spans="1:23" ht="22.95" customHeight="1" x14ac:dyDescent="0.4">
      <c r="A699" s="788">
        <v>698</v>
      </c>
      <c r="B699" s="246" t="s">
        <v>2616</v>
      </c>
      <c r="C699" s="246" t="s">
        <v>24</v>
      </c>
      <c r="D699" s="1134">
        <v>5153</v>
      </c>
      <c r="E699" s="246" t="s">
        <v>3622</v>
      </c>
      <c r="F699" s="245" t="s">
        <v>3612</v>
      </c>
      <c r="G699" s="679">
        <v>3632</v>
      </c>
      <c r="H699" s="245" t="s">
        <v>3592</v>
      </c>
      <c r="I699" s="246" t="s">
        <v>729</v>
      </c>
      <c r="J699" s="649" t="s">
        <v>58</v>
      </c>
      <c r="K699" s="649" t="s">
        <v>57</v>
      </c>
      <c r="L699" s="1196">
        <v>0.6</v>
      </c>
      <c r="M699" s="757"/>
      <c r="N699" s="757" t="s">
        <v>3626</v>
      </c>
      <c r="O699" s="757"/>
      <c r="P699" s="208">
        <v>1</v>
      </c>
      <c r="Q699" s="1486">
        <v>0.1</v>
      </c>
      <c r="R699" s="208"/>
      <c r="S699" s="206">
        <f t="shared" si="20"/>
        <v>0</v>
      </c>
      <c r="T699" s="207">
        <f t="shared" si="21"/>
        <v>0</v>
      </c>
      <c r="U699" s="647" t="s">
        <v>34</v>
      </c>
      <c r="V699" s="1203"/>
      <c r="W699" s="827"/>
    </row>
    <row r="700" spans="1:23" ht="22.95" customHeight="1" x14ac:dyDescent="0.4">
      <c r="A700" s="788">
        <v>699</v>
      </c>
      <c r="B700" s="246" t="s">
        <v>2616</v>
      </c>
      <c r="C700" s="246" t="s">
        <v>24</v>
      </c>
      <c r="D700" s="1134">
        <v>5153</v>
      </c>
      <c r="E700" s="246" t="s">
        <v>3622</v>
      </c>
      <c r="F700" s="245" t="s">
        <v>3612</v>
      </c>
      <c r="G700" s="679">
        <v>3632</v>
      </c>
      <c r="H700" s="245" t="s">
        <v>3592</v>
      </c>
      <c r="I700" s="246" t="s">
        <v>729</v>
      </c>
      <c r="J700" s="649" t="s">
        <v>58</v>
      </c>
      <c r="K700" s="649" t="s">
        <v>57</v>
      </c>
      <c r="L700" s="1196">
        <v>0.6</v>
      </c>
      <c r="M700" s="757"/>
      <c r="N700" s="757" t="s">
        <v>3627</v>
      </c>
      <c r="O700" s="757"/>
      <c r="P700" s="208">
        <v>1</v>
      </c>
      <c r="Q700" s="1486">
        <v>0.1</v>
      </c>
      <c r="R700" s="208"/>
      <c r="S700" s="206">
        <f t="shared" si="20"/>
        <v>0</v>
      </c>
      <c r="T700" s="207">
        <f t="shared" si="21"/>
        <v>0</v>
      </c>
      <c r="U700" s="647" t="s">
        <v>34</v>
      </c>
      <c r="V700" s="1203"/>
      <c r="W700" s="827"/>
    </row>
    <row r="701" spans="1:23" ht="22.95" customHeight="1" x14ac:dyDescent="0.4">
      <c r="A701" s="788">
        <v>700</v>
      </c>
      <c r="B701" s="246" t="s">
        <v>2616</v>
      </c>
      <c r="C701" s="246" t="s">
        <v>24</v>
      </c>
      <c r="D701" s="1134">
        <v>5153</v>
      </c>
      <c r="E701" s="246" t="s">
        <v>3622</v>
      </c>
      <c r="F701" s="245" t="s">
        <v>3612</v>
      </c>
      <c r="G701" s="679">
        <v>3632</v>
      </c>
      <c r="H701" s="245" t="s">
        <v>3592</v>
      </c>
      <c r="I701" s="246" t="s">
        <v>729</v>
      </c>
      <c r="J701" s="649" t="s">
        <v>58</v>
      </c>
      <c r="K701" s="649" t="s">
        <v>57</v>
      </c>
      <c r="L701" s="1196">
        <v>0.6</v>
      </c>
      <c r="M701" s="757"/>
      <c r="N701" s="757" t="s">
        <v>3628</v>
      </c>
      <c r="O701" s="757"/>
      <c r="P701" s="208">
        <v>1</v>
      </c>
      <c r="Q701" s="1486">
        <v>0.1</v>
      </c>
      <c r="R701" s="208"/>
      <c r="S701" s="206">
        <f t="shared" si="20"/>
        <v>0</v>
      </c>
      <c r="T701" s="207">
        <f t="shared" si="21"/>
        <v>0</v>
      </c>
      <c r="U701" s="647" t="s">
        <v>34</v>
      </c>
      <c r="V701" s="1203"/>
      <c r="W701" s="827"/>
    </row>
    <row r="702" spans="1:23" ht="22.95" customHeight="1" x14ac:dyDescent="0.4">
      <c r="A702" s="788">
        <v>701</v>
      </c>
      <c r="B702" s="246" t="s">
        <v>2616</v>
      </c>
      <c r="C702" s="246" t="s">
        <v>24</v>
      </c>
      <c r="D702" s="1134">
        <v>5153</v>
      </c>
      <c r="E702" s="246" t="s">
        <v>3622</v>
      </c>
      <c r="F702" s="245" t="s">
        <v>3612</v>
      </c>
      <c r="G702" s="679">
        <v>3632</v>
      </c>
      <c r="H702" s="245" t="s">
        <v>3592</v>
      </c>
      <c r="I702" s="246" t="s">
        <v>729</v>
      </c>
      <c r="J702" s="649" t="s">
        <v>58</v>
      </c>
      <c r="K702" s="649" t="s">
        <v>57</v>
      </c>
      <c r="L702" s="1196">
        <v>0.6</v>
      </c>
      <c r="M702" s="757"/>
      <c r="N702" s="757" t="s">
        <v>3629</v>
      </c>
      <c r="O702" s="757"/>
      <c r="P702" s="208">
        <v>1</v>
      </c>
      <c r="Q702" s="1486">
        <v>0.1</v>
      </c>
      <c r="R702" s="208"/>
      <c r="S702" s="206">
        <f t="shared" si="20"/>
        <v>0</v>
      </c>
      <c r="T702" s="207">
        <f t="shared" si="21"/>
        <v>0</v>
      </c>
      <c r="U702" s="647" t="s">
        <v>34</v>
      </c>
      <c r="V702" s="1203"/>
      <c r="W702" s="827"/>
    </row>
    <row r="703" spans="1:23" ht="22.95" customHeight="1" x14ac:dyDescent="0.4">
      <c r="A703" s="788">
        <v>702</v>
      </c>
      <c r="B703" s="246" t="s">
        <v>2616</v>
      </c>
      <c r="C703" s="246" t="s">
        <v>24</v>
      </c>
      <c r="D703" s="1134">
        <v>5153</v>
      </c>
      <c r="E703" s="246" t="s">
        <v>3622</v>
      </c>
      <c r="F703" s="245" t="s">
        <v>3612</v>
      </c>
      <c r="G703" s="679">
        <v>3632</v>
      </c>
      <c r="H703" s="245" t="s">
        <v>3592</v>
      </c>
      <c r="I703" s="246" t="s">
        <v>729</v>
      </c>
      <c r="J703" s="649" t="s">
        <v>58</v>
      </c>
      <c r="K703" s="649" t="s">
        <v>57</v>
      </c>
      <c r="L703" s="1196">
        <v>0.6</v>
      </c>
      <c r="M703" s="757"/>
      <c r="N703" s="757" t="s">
        <v>3630</v>
      </c>
      <c r="O703" s="757"/>
      <c r="P703" s="208">
        <v>1</v>
      </c>
      <c r="Q703" s="1486">
        <v>0.1</v>
      </c>
      <c r="R703" s="208"/>
      <c r="S703" s="206">
        <f t="shared" si="20"/>
        <v>0</v>
      </c>
      <c r="T703" s="207">
        <f t="shared" si="21"/>
        <v>0</v>
      </c>
      <c r="U703" s="647" t="s">
        <v>34</v>
      </c>
      <c r="V703" s="1203"/>
      <c r="W703" s="827"/>
    </row>
    <row r="704" spans="1:23" ht="22.95" customHeight="1" x14ac:dyDescent="0.4">
      <c r="A704" s="788">
        <v>703</v>
      </c>
      <c r="B704" s="246" t="s">
        <v>2616</v>
      </c>
      <c r="C704" s="246" t="s">
        <v>24</v>
      </c>
      <c r="D704" s="1134">
        <v>5153</v>
      </c>
      <c r="E704" s="246" t="s">
        <v>3622</v>
      </c>
      <c r="F704" s="245" t="s">
        <v>3612</v>
      </c>
      <c r="G704" s="679">
        <v>3632</v>
      </c>
      <c r="H704" s="245" t="s">
        <v>3592</v>
      </c>
      <c r="I704" s="246" t="s">
        <v>729</v>
      </c>
      <c r="J704" s="649" t="s">
        <v>58</v>
      </c>
      <c r="K704" s="649" t="s">
        <v>57</v>
      </c>
      <c r="L704" s="1196">
        <v>0.6</v>
      </c>
      <c r="M704" s="757"/>
      <c r="N704" s="757" t="s">
        <v>3631</v>
      </c>
      <c r="O704" s="757"/>
      <c r="P704" s="208">
        <v>1</v>
      </c>
      <c r="Q704" s="1486">
        <v>0.05</v>
      </c>
      <c r="R704" s="208"/>
      <c r="S704" s="206">
        <f t="shared" si="20"/>
        <v>0</v>
      </c>
      <c r="T704" s="207">
        <f t="shared" si="21"/>
        <v>0</v>
      </c>
      <c r="U704" s="647" t="s">
        <v>34</v>
      </c>
      <c r="V704" s="1203"/>
      <c r="W704" s="827"/>
    </row>
    <row r="705" spans="1:23" ht="22.95" customHeight="1" x14ac:dyDescent="0.4">
      <c r="A705" s="788">
        <v>704</v>
      </c>
      <c r="B705" s="199" t="s">
        <v>2616</v>
      </c>
      <c r="C705" s="199" t="s">
        <v>24</v>
      </c>
      <c r="D705" s="1259">
        <v>5153</v>
      </c>
      <c r="E705" s="199" t="s">
        <v>3622</v>
      </c>
      <c r="F705" s="198" t="s">
        <v>3612</v>
      </c>
      <c r="G705" s="679">
        <v>3632</v>
      </c>
      <c r="H705" s="198" t="s">
        <v>3592</v>
      </c>
      <c r="I705" s="199" t="s">
        <v>729</v>
      </c>
      <c r="J705" s="648" t="s">
        <v>111</v>
      </c>
      <c r="K705" s="649" t="s">
        <v>110</v>
      </c>
      <c r="L705" s="1063">
        <v>0.4</v>
      </c>
      <c r="M705" s="827"/>
      <c r="N705" s="827" t="s">
        <v>255</v>
      </c>
      <c r="O705" s="827"/>
      <c r="P705" s="222">
        <v>1</v>
      </c>
      <c r="Q705" s="1063">
        <v>0.05</v>
      </c>
      <c r="R705" s="222"/>
      <c r="S705" s="222">
        <f t="shared" si="20"/>
        <v>0</v>
      </c>
      <c r="T705" s="765">
        <f t="shared" si="21"/>
        <v>0</v>
      </c>
      <c r="U705" s="222" t="s">
        <v>34</v>
      </c>
      <c r="V705" s="1228"/>
      <c r="W705" s="827"/>
    </row>
    <row r="706" spans="1:23" ht="22.95" customHeight="1" x14ac:dyDescent="0.4">
      <c r="A706" s="788">
        <v>705</v>
      </c>
      <c r="B706" s="199" t="s">
        <v>2616</v>
      </c>
      <c r="C706" s="199" t="s">
        <v>24</v>
      </c>
      <c r="D706" s="1259">
        <v>5153</v>
      </c>
      <c r="E706" s="199" t="s">
        <v>3622</v>
      </c>
      <c r="F706" s="198" t="s">
        <v>3612</v>
      </c>
      <c r="G706" s="679">
        <v>3632</v>
      </c>
      <c r="H706" s="198" t="s">
        <v>3592</v>
      </c>
      <c r="I706" s="199" t="s">
        <v>729</v>
      </c>
      <c r="J706" s="648" t="s">
        <v>111</v>
      </c>
      <c r="K706" s="649" t="s">
        <v>110</v>
      </c>
      <c r="L706" s="1063">
        <v>0.4</v>
      </c>
      <c r="M706" s="827"/>
      <c r="N706" s="827" t="s">
        <v>768</v>
      </c>
      <c r="O706" s="827"/>
      <c r="P706" s="222">
        <v>1</v>
      </c>
      <c r="Q706" s="1063">
        <v>0.05</v>
      </c>
      <c r="R706" s="222"/>
      <c r="S706" s="222">
        <f t="shared" ref="S706:S769" si="22">ROUND(IF(OR(P706="",R706=""),0,IF(AND(P706=0,R706=0),1,IF(U706="+",R706/P706,P706/R706))),2)</f>
        <v>0</v>
      </c>
      <c r="T706" s="765">
        <f t="shared" ref="T706:T769" si="23">IF(AND(S706&gt;=60%,S706&lt;100%),S706*((Q706*L706)),IF(S706=100%,((Q706*L706)*S706)*100%,IF(S706&gt;100%,((L706*Q706)*100%)*100%,0)))*100</f>
        <v>0</v>
      </c>
      <c r="U706" s="222" t="s">
        <v>34</v>
      </c>
      <c r="V706" s="1228"/>
      <c r="W706" s="827"/>
    </row>
    <row r="707" spans="1:23" ht="22.95" customHeight="1" x14ac:dyDescent="0.4">
      <c r="A707" s="788">
        <v>706</v>
      </c>
      <c r="B707" s="199" t="s">
        <v>2616</v>
      </c>
      <c r="C707" s="199" t="s">
        <v>24</v>
      </c>
      <c r="D707" s="1259">
        <v>5153</v>
      </c>
      <c r="E707" s="199" t="s">
        <v>3622</v>
      </c>
      <c r="F707" s="198" t="s">
        <v>3612</v>
      </c>
      <c r="G707" s="679">
        <v>3632</v>
      </c>
      <c r="H707" s="198" t="s">
        <v>3592</v>
      </c>
      <c r="I707" s="199" t="s">
        <v>729</v>
      </c>
      <c r="J707" s="648" t="s">
        <v>111</v>
      </c>
      <c r="K707" s="649" t="s">
        <v>110</v>
      </c>
      <c r="L707" s="1063">
        <v>0.4</v>
      </c>
      <c r="M707" s="827"/>
      <c r="N707" s="827" t="s">
        <v>769</v>
      </c>
      <c r="O707" s="827"/>
      <c r="P707" s="222">
        <v>1</v>
      </c>
      <c r="Q707" s="1063">
        <v>0.05</v>
      </c>
      <c r="R707" s="222"/>
      <c r="S707" s="222">
        <f t="shared" si="22"/>
        <v>0</v>
      </c>
      <c r="T707" s="765">
        <f t="shared" si="23"/>
        <v>0</v>
      </c>
      <c r="U707" s="222" t="s">
        <v>34</v>
      </c>
      <c r="V707" s="1228"/>
      <c r="W707" s="827"/>
    </row>
    <row r="708" spans="1:23" ht="22.95" customHeight="1" x14ac:dyDescent="0.4">
      <c r="A708" s="788">
        <v>707</v>
      </c>
      <c r="B708" s="199" t="s">
        <v>2616</v>
      </c>
      <c r="C708" s="199" t="s">
        <v>24</v>
      </c>
      <c r="D708" s="1259">
        <v>5153</v>
      </c>
      <c r="E708" s="199" t="s">
        <v>3622</v>
      </c>
      <c r="F708" s="198" t="s">
        <v>3612</v>
      </c>
      <c r="G708" s="679">
        <v>3632</v>
      </c>
      <c r="H708" s="198" t="s">
        <v>3592</v>
      </c>
      <c r="I708" s="199" t="s">
        <v>729</v>
      </c>
      <c r="J708" s="648" t="s">
        <v>111</v>
      </c>
      <c r="K708" s="649" t="s">
        <v>110</v>
      </c>
      <c r="L708" s="1063">
        <v>0.4</v>
      </c>
      <c r="M708" s="827"/>
      <c r="N708" s="827" t="s">
        <v>770</v>
      </c>
      <c r="O708" s="827"/>
      <c r="P708" s="222">
        <v>1</v>
      </c>
      <c r="Q708" s="1063">
        <v>0.15</v>
      </c>
      <c r="R708" s="222"/>
      <c r="S708" s="222">
        <f t="shared" si="22"/>
        <v>0</v>
      </c>
      <c r="T708" s="765">
        <f t="shared" si="23"/>
        <v>0</v>
      </c>
      <c r="U708" s="222" t="s">
        <v>34</v>
      </c>
      <c r="V708" s="1228"/>
      <c r="W708" s="827"/>
    </row>
    <row r="709" spans="1:23" ht="22.95" customHeight="1" x14ac:dyDescent="0.4">
      <c r="A709" s="788">
        <v>708</v>
      </c>
      <c r="B709" s="199" t="s">
        <v>2616</v>
      </c>
      <c r="C709" s="199" t="s">
        <v>24</v>
      </c>
      <c r="D709" s="1259">
        <v>5153</v>
      </c>
      <c r="E709" s="199" t="s">
        <v>3622</v>
      </c>
      <c r="F709" s="198" t="s">
        <v>3612</v>
      </c>
      <c r="G709" s="679">
        <v>3632</v>
      </c>
      <c r="H709" s="198" t="s">
        <v>3592</v>
      </c>
      <c r="I709" s="199" t="s">
        <v>729</v>
      </c>
      <c r="J709" s="648" t="s">
        <v>111</v>
      </c>
      <c r="K709" s="649" t="s">
        <v>110</v>
      </c>
      <c r="L709" s="1063">
        <v>0.4</v>
      </c>
      <c r="M709" s="827"/>
      <c r="N709" s="827" t="s">
        <v>254</v>
      </c>
      <c r="O709" s="827"/>
      <c r="P709" s="222">
        <v>1</v>
      </c>
      <c r="Q709" s="1063">
        <v>0.1</v>
      </c>
      <c r="R709" s="222"/>
      <c r="S709" s="222">
        <f t="shared" si="22"/>
        <v>0</v>
      </c>
      <c r="T709" s="765">
        <f t="shared" si="23"/>
        <v>0</v>
      </c>
      <c r="U709" s="222" t="s">
        <v>34</v>
      </c>
      <c r="V709" s="1228"/>
      <c r="W709" s="827"/>
    </row>
    <row r="710" spans="1:23" ht="22.95" customHeight="1" x14ac:dyDescent="0.4">
      <c r="A710" s="788">
        <v>709</v>
      </c>
      <c r="B710" s="246" t="s">
        <v>2616</v>
      </c>
      <c r="C710" s="246" t="s">
        <v>24</v>
      </c>
      <c r="D710" s="1134">
        <v>5153</v>
      </c>
      <c r="E710" s="246" t="s">
        <v>3622</v>
      </c>
      <c r="F710" s="245" t="s">
        <v>3612</v>
      </c>
      <c r="G710" s="679">
        <v>3632</v>
      </c>
      <c r="H710" s="245" t="s">
        <v>3592</v>
      </c>
      <c r="I710" s="246" t="s">
        <v>729</v>
      </c>
      <c r="J710" s="648" t="s">
        <v>111</v>
      </c>
      <c r="K710" s="649" t="s">
        <v>110</v>
      </c>
      <c r="L710" s="1063">
        <v>0.4</v>
      </c>
      <c r="M710" s="827"/>
      <c r="N710" s="827" t="s">
        <v>771</v>
      </c>
      <c r="O710" s="827"/>
      <c r="P710" s="222">
        <v>1</v>
      </c>
      <c r="Q710" s="1063">
        <v>0.05</v>
      </c>
      <c r="R710" s="222"/>
      <c r="S710" s="222">
        <f t="shared" si="22"/>
        <v>0</v>
      </c>
      <c r="T710" s="765">
        <f t="shared" si="23"/>
        <v>0</v>
      </c>
      <c r="U710" s="222" t="s">
        <v>34</v>
      </c>
      <c r="V710" s="1228"/>
      <c r="W710" s="827"/>
    </row>
    <row r="711" spans="1:23" ht="22.95" customHeight="1" x14ac:dyDescent="0.4">
      <c r="A711" s="788">
        <v>710</v>
      </c>
      <c r="B711" s="246" t="s">
        <v>2616</v>
      </c>
      <c r="C711" s="246" t="s">
        <v>24</v>
      </c>
      <c r="D711" s="1134">
        <v>5153</v>
      </c>
      <c r="E711" s="246" t="s">
        <v>3622</v>
      </c>
      <c r="F711" s="245" t="s">
        <v>3612</v>
      </c>
      <c r="G711" s="679">
        <v>3632</v>
      </c>
      <c r="H711" s="245" t="s">
        <v>3592</v>
      </c>
      <c r="I711" s="246" t="s">
        <v>729</v>
      </c>
      <c r="J711" s="648" t="s">
        <v>111</v>
      </c>
      <c r="K711" s="649" t="s">
        <v>110</v>
      </c>
      <c r="L711" s="1063">
        <v>0.4</v>
      </c>
      <c r="M711" s="827"/>
      <c r="N711" s="827" t="s">
        <v>772</v>
      </c>
      <c r="O711" s="827"/>
      <c r="P711" s="222">
        <v>1</v>
      </c>
      <c r="Q711" s="1063">
        <v>0.1</v>
      </c>
      <c r="R711" s="222"/>
      <c r="S711" s="222">
        <f t="shared" si="22"/>
        <v>0</v>
      </c>
      <c r="T711" s="765">
        <f t="shared" si="23"/>
        <v>0</v>
      </c>
      <c r="U711" s="222" t="s">
        <v>34</v>
      </c>
      <c r="V711" s="1228"/>
      <c r="W711" s="827"/>
    </row>
    <row r="712" spans="1:23" ht="22.95" customHeight="1" x14ac:dyDescent="0.4">
      <c r="A712" s="788">
        <v>711</v>
      </c>
      <c r="B712" s="246" t="s">
        <v>2616</v>
      </c>
      <c r="C712" s="246" t="s">
        <v>24</v>
      </c>
      <c r="D712" s="1134">
        <v>5153</v>
      </c>
      <c r="E712" s="246" t="s">
        <v>3622</v>
      </c>
      <c r="F712" s="245" t="s">
        <v>3612</v>
      </c>
      <c r="G712" s="679">
        <v>3632</v>
      </c>
      <c r="H712" s="245" t="s">
        <v>3592</v>
      </c>
      <c r="I712" s="246" t="s">
        <v>729</v>
      </c>
      <c r="J712" s="648" t="s">
        <v>111</v>
      </c>
      <c r="K712" s="649" t="s">
        <v>110</v>
      </c>
      <c r="L712" s="1063">
        <v>0.4</v>
      </c>
      <c r="M712" s="827"/>
      <c r="N712" s="827" t="s">
        <v>773</v>
      </c>
      <c r="O712" s="827"/>
      <c r="P712" s="222">
        <v>1</v>
      </c>
      <c r="Q712" s="1063">
        <v>0.05</v>
      </c>
      <c r="R712" s="222"/>
      <c r="S712" s="222">
        <f t="shared" si="22"/>
        <v>0</v>
      </c>
      <c r="T712" s="765">
        <f t="shared" si="23"/>
        <v>0</v>
      </c>
      <c r="U712" s="222" t="s">
        <v>34</v>
      </c>
      <c r="V712" s="1228"/>
      <c r="W712" s="827"/>
    </row>
    <row r="713" spans="1:23" ht="22.95" customHeight="1" x14ac:dyDescent="0.4">
      <c r="A713" s="788">
        <v>712</v>
      </c>
      <c r="B713" s="246" t="s">
        <v>2616</v>
      </c>
      <c r="C713" s="246" t="s">
        <v>24</v>
      </c>
      <c r="D713" s="1134">
        <v>5153</v>
      </c>
      <c r="E713" s="246" t="s">
        <v>3622</v>
      </c>
      <c r="F713" s="245" t="s">
        <v>3612</v>
      </c>
      <c r="G713" s="679">
        <v>3632</v>
      </c>
      <c r="H713" s="245" t="s">
        <v>3592</v>
      </c>
      <c r="I713" s="246" t="s">
        <v>729</v>
      </c>
      <c r="J713" s="648" t="s">
        <v>111</v>
      </c>
      <c r="K713" s="649" t="s">
        <v>110</v>
      </c>
      <c r="L713" s="1063">
        <v>0.4</v>
      </c>
      <c r="M713" s="827"/>
      <c r="N713" s="827" t="s">
        <v>774</v>
      </c>
      <c r="O713" s="827"/>
      <c r="P713" s="222">
        <v>1</v>
      </c>
      <c r="Q713" s="1063">
        <v>0.05</v>
      </c>
      <c r="R713" s="222"/>
      <c r="S713" s="222">
        <f t="shared" si="22"/>
        <v>0</v>
      </c>
      <c r="T713" s="765">
        <f t="shared" si="23"/>
        <v>0</v>
      </c>
      <c r="U713" s="222" t="s">
        <v>34</v>
      </c>
      <c r="V713" s="1228"/>
      <c r="W713" s="827"/>
    </row>
    <row r="714" spans="1:23" ht="22.95" customHeight="1" x14ac:dyDescent="0.4">
      <c r="A714" s="788">
        <v>713</v>
      </c>
      <c r="B714" s="246" t="s">
        <v>2616</v>
      </c>
      <c r="C714" s="246" t="s">
        <v>24</v>
      </c>
      <c r="D714" s="1134">
        <v>5153</v>
      </c>
      <c r="E714" s="246" t="s">
        <v>3622</v>
      </c>
      <c r="F714" s="245" t="s">
        <v>3612</v>
      </c>
      <c r="G714" s="679">
        <v>3632</v>
      </c>
      <c r="H714" s="245" t="s">
        <v>3592</v>
      </c>
      <c r="I714" s="246" t="s">
        <v>729</v>
      </c>
      <c r="J714" s="648" t="s">
        <v>111</v>
      </c>
      <c r="K714" s="649" t="s">
        <v>110</v>
      </c>
      <c r="L714" s="1063">
        <v>0.4</v>
      </c>
      <c r="M714" s="827"/>
      <c r="N714" s="827" t="s">
        <v>775</v>
      </c>
      <c r="O714" s="827"/>
      <c r="P714" s="222">
        <v>1</v>
      </c>
      <c r="Q714" s="1063">
        <v>0.05</v>
      </c>
      <c r="R714" s="222"/>
      <c r="S714" s="222">
        <f t="shared" si="22"/>
        <v>0</v>
      </c>
      <c r="T714" s="765">
        <f t="shared" si="23"/>
        <v>0</v>
      </c>
      <c r="U714" s="222" t="s">
        <v>34</v>
      </c>
      <c r="V714" s="1228"/>
      <c r="W714" s="827"/>
    </row>
    <row r="715" spans="1:23" ht="22.95" customHeight="1" x14ac:dyDescent="0.4">
      <c r="A715" s="788">
        <v>714</v>
      </c>
      <c r="B715" s="246" t="s">
        <v>2616</v>
      </c>
      <c r="C715" s="246" t="s">
        <v>24</v>
      </c>
      <c r="D715" s="1134">
        <v>5153</v>
      </c>
      <c r="E715" s="246" t="s">
        <v>3622</v>
      </c>
      <c r="F715" s="245" t="s">
        <v>3612</v>
      </c>
      <c r="G715" s="679">
        <v>3632</v>
      </c>
      <c r="H715" s="245" t="s">
        <v>3592</v>
      </c>
      <c r="I715" s="246" t="s">
        <v>729</v>
      </c>
      <c r="J715" s="648" t="s">
        <v>111</v>
      </c>
      <c r="K715" s="649" t="s">
        <v>110</v>
      </c>
      <c r="L715" s="1063">
        <v>0.4</v>
      </c>
      <c r="M715" s="827"/>
      <c r="N715" s="827" t="s">
        <v>776</v>
      </c>
      <c r="O715" s="827"/>
      <c r="P715" s="222">
        <v>1</v>
      </c>
      <c r="Q715" s="1063">
        <v>0.1</v>
      </c>
      <c r="R715" s="222"/>
      <c r="S715" s="222">
        <f t="shared" si="22"/>
        <v>0</v>
      </c>
      <c r="T715" s="765">
        <f t="shared" si="23"/>
        <v>0</v>
      </c>
      <c r="U715" s="222" t="s">
        <v>34</v>
      </c>
      <c r="V715" s="1228"/>
      <c r="W715" s="827"/>
    </row>
    <row r="716" spans="1:23" ht="22.95" customHeight="1" x14ac:dyDescent="0.4">
      <c r="A716" s="788">
        <v>715</v>
      </c>
      <c r="B716" s="246" t="s">
        <v>2616</v>
      </c>
      <c r="C716" s="246" t="s">
        <v>24</v>
      </c>
      <c r="D716" s="1134">
        <v>5153</v>
      </c>
      <c r="E716" s="246" t="s">
        <v>3622</v>
      </c>
      <c r="F716" s="245" t="s">
        <v>3612</v>
      </c>
      <c r="G716" s="679">
        <v>3632</v>
      </c>
      <c r="H716" s="245" t="s">
        <v>3592</v>
      </c>
      <c r="I716" s="246" t="s">
        <v>729</v>
      </c>
      <c r="J716" s="648" t="s">
        <v>111</v>
      </c>
      <c r="K716" s="649" t="s">
        <v>110</v>
      </c>
      <c r="L716" s="1063">
        <v>0.4</v>
      </c>
      <c r="M716" s="827"/>
      <c r="N716" s="827" t="s">
        <v>251</v>
      </c>
      <c r="O716" s="827"/>
      <c r="P716" s="222">
        <v>1</v>
      </c>
      <c r="Q716" s="1063">
        <v>0.05</v>
      </c>
      <c r="R716" s="222"/>
      <c r="S716" s="222">
        <f t="shared" si="22"/>
        <v>0</v>
      </c>
      <c r="T716" s="765">
        <f t="shared" si="23"/>
        <v>0</v>
      </c>
      <c r="U716" s="222" t="s">
        <v>34</v>
      </c>
      <c r="V716" s="1228"/>
      <c r="W716" s="827"/>
    </row>
    <row r="717" spans="1:23" ht="22.95" customHeight="1" x14ac:dyDescent="0.4">
      <c r="A717" s="788">
        <v>716</v>
      </c>
      <c r="B717" s="246" t="s">
        <v>2616</v>
      </c>
      <c r="C717" s="246" t="s">
        <v>24</v>
      </c>
      <c r="D717" s="1134">
        <v>5153</v>
      </c>
      <c r="E717" s="246" t="s">
        <v>3622</v>
      </c>
      <c r="F717" s="245" t="s">
        <v>3612</v>
      </c>
      <c r="G717" s="679">
        <v>3632</v>
      </c>
      <c r="H717" s="245" t="s">
        <v>3592</v>
      </c>
      <c r="I717" s="246" t="s">
        <v>729</v>
      </c>
      <c r="J717" s="648" t="s">
        <v>111</v>
      </c>
      <c r="K717" s="649" t="s">
        <v>110</v>
      </c>
      <c r="L717" s="1063">
        <v>0.4</v>
      </c>
      <c r="M717" s="827"/>
      <c r="N717" s="827" t="s">
        <v>252</v>
      </c>
      <c r="O717" s="827"/>
      <c r="P717" s="222">
        <v>1</v>
      </c>
      <c r="Q717" s="1063">
        <v>0.05</v>
      </c>
      <c r="R717" s="222"/>
      <c r="S717" s="222">
        <f t="shared" si="22"/>
        <v>0</v>
      </c>
      <c r="T717" s="765">
        <f t="shared" si="23"/>
        <v>0</v>
      </c>
      <c r="U717" s="222" t="s">
        <v>34</v>
      </c>
      <c r="V717" s="1228"/>
      <c r="W717" s="827"/>
    </row>
    <row r="718" spans="1:23" ht="22.95" customHeight="1" x14ac:dyDescent="0.4">
      <c r="A718" s="788">
        <v>717</v>
      </c>
      <c r="B718" s="246" t="s">
        <v>2616</v>
      </c>
      <c r="C718" s="246" t="s">
        <v>24</v>
      </c>
      <c r="D718" s="1134">
        <v>5153</v>
      </c>
      <c r="E718" s="246" t="s">
        <v>3622</v>
      </c>
      <c r="F718" s="245" t="s">
        <v>3612</v>
      </c>
      <c r="G718" s="679">
        <v>3632</v>
      </c>
      <c r="H718" s="245" t="s">
        <v>3592</v>
      </c>
      <c r="I718" s="246" t="s">
        <v>729</v>
      </c>
      <c r="J718" s="648" t="s">
        <v>111</v>
      </c>
      <c r="K718" s="649" t="s">
        <v>110</v>
      </c>
      <c r="L718" s="1063">
        <v>0.4</v>
      </c>
      <c r="M718" s="827"/>
      <c r="N718" s="827" t="s">
        <v>777</v>
      </c>
      <c r="O718" s="827"/>
      <c r="P718" s="222">
        <v>1</v>
      </c>
      <c r="Q718" s="1063">
        <v>0.05</v>
      </c>
      <c r="R718" s="222"/>
      <c r="S718" s="222">
        <f t="shared" si="22"/>
        <v>0</v>
      </c>
      <c r="T718" s="765">
        <f t="shared" si="23"/>
        <v>0</v>
      </c>
      <c r="U718" s="222" t="s">
        <v>34</v>
      </c>
      <c r="V718" s="1228"/>
      <c r="W718" s="827"/>
    </row>
    <row r="719" spans="1:23" ht="22.95" customHeight="1" x14ac:dyDescent="0.4">
      <c r="A719" s="788">
        <v>718</v>
      </c>
      <c r="B719" s="246" t="s">
        <v>2616</v>
      </c>
      <c r="C719" s="246" t="s">
        <v>24</v>
      </c>
      <c r="D719" s="1134">
        <v>5153</v>
      </c>
      <c r="E719" s="246" t="s">
        <v>3622</v>
      </c>
      <c r="F719" s="245" t="s">
        <v>3612</v>
      </c>
      <c r="G719" s="679">
        <v>3632</v>
      </c>
      <c r="H719" s="245" t="s">
        <v>3592</v>
      </c>
      <c r="I719" s="246" t="s">
        <v>729</v>
      </c>
      <c r="J719" s="648" t="s">
        <v>111</v>
      </c>
      <c r="K719" s="649" t="s">
        <v>110</v>
      </c>
      <c r="L719" s="1063">
        <v>0.4</v>
      </c>
      <c r="M719" s="827"/>
      <c r="N719" s="827" t="s">
        <v>253</v>
      </c>
      <c r="O719" s="827"/>
      <c r="P719" s="222">
        <v>1</v>
      </c>
      <c r="Q719" s="1063">
        <v>0.05</v>
      </c>
      <c r="R719" s="222"/>
      <c r="S719" s="222">
        <f t="shared" si="22"/>
        <v>0</v>
      </c>
      <c r="T719" s="765">
        <f t="shared" si="23"/>
        <v>0</v>
      </c>
      <c r="U719" s="222" t="s">
        <v>34</v>
      </c>
      <c r="V719" s="1228"/>
      <c r="W719" s="827"/>
    </row>
    <row r="720" spans="1:23" ht="22.95" customHeight="1" x14ac:dyDescent="0.4">
      <c r="A720" s="788">
        <v>719</v>
      </c>
      <c r="B720" s="236" t="s">
        <v>2616</v>
      </c>
      <c r="C720" s="236" t="s">
        <v>24</v>
      </c>
      <c r="D720" s="1219">
        <v>3842</v>
      </c>
      <c r="E720" s="236" t="s">
        <v>3632</v>
      </c>
      <c r="F720" s="236" t="s">
        <v>3612</v>
      </c>
      <c r="G720" s="238">
        <v>3632</v>
      </c>
      <c r="H720" s="236" t="s">
        <v>3592</v>
      </c>
      <c r="I720" s="236" t="s">
        <v>729</v>
      </c>
      <c r="J720" s="243" t="s">
        <v>58</v>
      </c>
      <c r="K720" s="243" t="s">
        <v>57</v>
      </c>
      <c r="L720" s="1052">
        <v>0.6</v>
      </c>
      <c r="M720" s="952"/>
      <c r="N720" s="952" t="s">
        <v>3613</v>
      </c>
      <c r="O720" s="952"/>
      <c r="P720" s="953">
        <v>1</v>
      </c>
      <c r="Q720" s="1490">
        <v>0.15</v>
      </c>
      <c r="R720" s="953"/>
      <c r="S720" s="855">
        <f t="shared" si="22"/>
        <v>0</v>
      </c>
      <c r="T720" s="854">
        <f t="shared" si="23"/>
        <v>0</v>
      </c>
      <c r="U720" s="953" t="s">
        <v>34</v>
      </c>
      <c r="V720" s="1488">
        <f>SUM(T720:T743)%</f>
        <v>0</v>
      </c>
      <c r="W720" s="952"/>
    </row>
    <row r="721" spans="1:23" ht="22.95" customHeight="1" x14ac:dyDescent="0.4">
      <c r="A721" s="788">
        <v>720</v>
      </c>
      <c r="B721" s="245" t="s">
        <v>2616</v>
      </c>
      <c r="C721" s="245" t="s">
        <v>24</v>
      </c>
      <c r="D721" s="1491">
        <v>3842</v>
      </c>
      <c r="E721" s="245" t="s">
        <v>3632</v>
      </c>
      <c r="F721" s="245" t="s">
        <v>3612</v>
      </c>
      <c r="G721" s="248">
        <v>3632</v>
      </c>
      <c r="H721" s="245" t="s">
        <v>3592</v>
      </c>
      <c r="I721" s="245" t="s">
        <v>729</v>
      </c>
      <c r="J721" s="253" t="s">
        <v>58</v>
      </c>
      <c r="K721" s="253" t="s">
        <v>57</v>
      </c>
      <c r="L721" s="1067">
        <v>0.6</v>
      </c>
      <c r="M721" s="819"/>
      <c r="N721" s="819" t="s">
        <v>3633</v>
      </c>
      <c r="O721" s="819"/>
      <c r="P721" s="669">
        <v>1</v>
      </c>
      <c r="Q721" s="1493">
        <v>0.1</v>
      </c>
      <c r="R721" s="669"/>
      <c r="S721" s="204">
        <f t="shared" si="22"/>
        <v>0</v>
      </c>
      <c r="T721" s="960">
        <f t="shared" si="23"/>
        <v>0</v>
      </c>
      <c r="U721" s="669" t="s">
        <v>34</v>
      </c>
      <c r="V721" s="1494"/>
      <c r="W721" s="879"/>
    </row>
    <row r="722" spans="1:23" ht="22.95" customHeight="1" x14ac:dyDescent="0.4">
      <c r="A722" s="788">
        <v>721</v>
      </c>
      <c r="B722" s="245" t="s">
        <v>2616</v>
      </c>
      <c r="C722" s="245" t="s">
        <v>24</v>
      </c>
      <c r="D722" s="1491">
        <v>3842</v>
      </c>
      <c r="E722" s="245" t="s">
        <v>3632</v>
      </c>
      <c r="F722" s="245" t="s">
        <v>3612</v>
      </c>
      <c r="G722" s="248">
        <v>3632</v>
      </c>
      <c r="H722" s="245" t="s">
        <v>3592</v>
      </c>
      <c r="I722" s="245" t="s">
        <v>729</v>
      </c>
      <c r="J722" s="253" t="s">
        <v>58</v>
      </c>
      <c r="K722" s="253" t="s">
        <v>57</v>
      </c>
      <c r="L722" s="1067">
        <v>0.6</v>
      </c>
      <c r="M722" s="819"/>
      <c r="N722" s="819" t="s">
        <v>3634</v>
      </c>
      <c r="O722" s="819"/>
      <c r="P722" s="669">
        <v>1</v>
      </c>
      <c r="Q722" s="1493">
        <v>0.125</v>
      </c>
      <c r="R722" s="669"/>
      <c r="S722" s="204">
        <f t="shared" si="22"/>
        <v>0</v>
      </c>
      <c r="T722" s="960">
        <f t="shared" si="23"/>
        <v>0</v>
      </c>
      <c r="U722" s="669" t="s">
        <v>34</v>
      </c>
      <c r="V722" s="1494"/>
      <c r="W722" s="879"/>
    </row>
    <row r="723" spans="1:23" ht="22.95" customHeight="1" x14ac:dyDescent="0.4">
      <c r="A723" s="788">
        <v>722</v>
      </c>
      <c r="B723" s="245" t="s">
        <v>2616</v>
      </c>
      <c r="C723" s="245" t="s">
        <v>24</v>
      </c>
      <c r="D723" s="1491">
        <v>3842</v>
      </c>
      <c r="E723" s="245" t="s">
        <v>3632</v>
      </c>
      <c r="F723" s="245" t="s">
        <v>3612</v>
      </c>
      <c r="G723" s="248">
        <v>3632</v>
      </c>
      <c r="H723" s="245" t="s">
        <v>3592</v>
      </c>
      <c r="I723" s="245" t="s">
        <v>729</v>
      </c>
      <c r="J723" s="253" t="s">
        <v>58</v>
      </c>
      <c r="K723" s="253" t="s">
        <v>57</v>
      </c>
      <c r="L723" s="1067">
        <v>0.6</v>
      </c>
      <c r="M723" s="819"/>
      <c r="N723" s="819" t="s">
        <v>3635</v>
      </c>
      <c r="O723" s="819"/>
      <c r="P723" s="669">
        <v>1</v>
      </c>
      <c r="Q723" s="1493">
        <v>0.125</v>
      </c>
      <c r="R723" s="669"/>
      <c r="S723" s="204">
        <f t="shared" si="22"/>
        <v>0</v>
      </c>
      <c r="T723" s="960">
        <f t="shared" si="23"/>
        <v>0</v>
      </c>
      <c r="U723" s="669" t="s">
        <v>34</v>
      </c>
      <c r="V723" s="1494"/>
      <c r="W723" s="879"/>
    </row>
    <row r="724" spans="1:23" ht="22.95" customHeight="1" x14ac:dyDescent="0.4">
      <c r="A724" s="788">
        <v>723</v>
      </c>
      <c r="B724" s="245" t="s">
        <v>2616</v>
      </c>
      <c r="C724" s="245" t="s">
        <v>24</v>
      </c>
      <c r="D724" s="1491">
        <v>3842</v>
      </c>
      <c r="E724" s="245" t="s">
        <v>3632</v>
      </c>
      <c r="F724" s="245" t="s">
        <v>3612</v>
      </c>
      <c r="G724" s="248">
        <v>3632</v>
      </c>
      <c r="H724" s="245" t="s">
        <v>3592</v>
      </c>
      <c r="I724" s="245" t="s">
        <v>729</v>
      </c>
      <c r="J724" s="253" t="s">
        <v>58</v>
      </c>
      <c r="K724" s="253" t="s">
        <v>57</v>
      </c>
      <c r="L724" s="1067">
        <v>0.6</v>
      </c>
      <c r="M724" s="819"/>
      <c r="N724" s="819" t="s">
        <v>3636</v>
      </c>
      <c r="O724" s="819"/>
      <c r="P724" s="669">
        <v>1</v>
      </c>
      <c r="Q724" s="1493">
        <v>0.1</v>
      </c>
      <c r="R724" s="669"/>
      <c r="S724" s="204">
        <f t="shared" si="22"/>
        <v>0</v>
      </c>
      <c r="T724" s="960">
        <f t="shared" si="23"/>
        <v>0</v>
      </c>
      <c r="U724" s="669" t="s">
        <v>34</v>
      </c>
      <c r="V724" s="1494"/>
      <c r="W724" s="879"/>
    </row>
    <row r="725" spans="1:23" ht="22.95" customHeight="1" x14ac:dyDescent="0.4">
      <c r="A725" s="788">
        <v>724</v>
      </c>
      <c r="B725" s="245" t="s">
        <v>2616</v>
      </c>
      <c r="C725" s="245" t="s">
        <v>24</v>
      </c>
      <c r="D725" s="1491">
        <v>3842</v>
      </c>
      <c r="E725" s="245" t="s">
        <v>3632</v>
      </c>
      <c r="F725" s="245" t="s">
        <v>3612</v>
      </c>
      <c r="G725" s="248">
        <v>3632</v>
      </c>
      <c r="H725" s="245" t="s">
        <v>3592</v>
      </c>
      <c r="I725" s="245" t="s">
        <v>729</v>
      </c>
      <c r="J725" s="253" t="s">
        <v>58</v>
      </c>
      <c r="K725" s="253" t="s">
        <v>57</v>
      </c>
      <c r="L725" s="1067">
        <v>0.6</v>
      </c>
      <c r="M725" s="819"/>
      <c r="N725" s="819" t="s">
        <v>3637</v>
      </c>
      <c r="O725" s="819"/>
      <c r="P725" s="669">
        <v>1</v>
      </c>
      <c r="Q725" s="1493">
        <v>0.1</v>
      </c>
      <c r="R725" s="669"/>
      <c r="S725" s="204">
        <f t="shared" si="22"/>
        <v>0</v>
      </c>
      <c r="T725" s="960">
        <f t="shared" si="23"/>
        <v>0</v>
      </c>
      <c r="U725" s="669" t="s">
        <v>34</v>
      </c>
      <c r="V725" s="1494"/>
      <c r="W725" s="879"/>
    </row>
    <row r="726" spans="1:23" ht="22.95" customHeight="1" x14ac:dyDescent="0.4">
      <c r="A726" s="788">
        <v>725</v>
      </c>
      <c r="B726" s="245" t="s">
        <v>2616</v>
      </c>
      <c r="C726" s="245" t="s">
        <v>24</v>
      </c>
      <c r="D726" s="1491">
        <v>3842</v>
      </c>
      <c r="E726" s="245" t="s">
        <v>3632</v>
      </c>
      <c r="F726" s="245" t="s">
        <v>3612</v>
      </c>
      <c r="G726" s="248">
        <v>3632</v>
      </c>
      <c r="H726" s="245" t="s">
        <v>3592</v>
      </c>
      <c r="I726" s="245" t="s">
        <v>729</v>
      </c>
      <c r="J726" s="253" t="s">
        <v>58</v>
      </c>
      <c r="K726" s="253" t="s">
        <v>57</v>
      </c>
      <c r="L726" s="1067">
        <v>0.6</v>
      </c>
      <c r="M726" s="819"/>
      <c r="N726" s="819" t="s">
        <v>3638</v>
      </c>
      <c r="O726" s="819"/>
      <c r="P726" s="669">
        <v>1</v>
      </c>
      <c r="Q726" s="1493">
        <v>0.1</v>
      </c>
      <c r="R726" s="669"/>
      <c r="S726" s="204">
        <f t="shared" si="22"/>
        <v>0</v>
      </c>
      <c r="T726" s="960">
        <f t="shared" si="23"/>
        <v>0</v>
      </c>
      <c r="U726" s="669" t="s">
        <v>34</v>
      </c>
      <c r="V726" s="1494"/>
      <c r="W726" s="879"/>
    </row>
    <row r="727" spans="1:23" ht="22.95" customHeight="1" x14ac:dyDescent="0.4">
      <c r="A727" s="788">
        <v>726</v>
      </c>
      <c r="B727" s="245" t="s">
        <v>2616</v>
      </c>
      <c r="C727" s="245" t="s">
        <v>24</v>
      </c>
      <c r="D727" s="1491">
        <v>3842</v>
      </c>
      <c r="E727" s="245" t="s">
        <v>3632</v>
      </c>
      <c r="F727" s="245" t="s">
        <v>3612</v>
      </c>
      <c r="G727" s="248">
        <v>3632</v>
      </c>
      <c r="H727" s="245" t="s">
        <v>3592</v>
      </c>
      <c r="I727" s="245" t="s">
        <v>729</v>
      </c>
      <c r="J727" s="253" t="s">
        <v>58</v>
      </c>
      <c r="K727" s="253" t="s">
        <v>57</v>
      </c>
      <c r="L727" s="1067">
        <v>0.6</v>
      </c>
      <c r="M727" s="819"/>
      <c r="N727" s="819" t="s">
        <v>3639</v>
      </c>
      <c r="O727" s="819"/>
      <c r="P727" s="669">
        <v>1</v>
      </c>
      <c r="Q727" s="1493">
        <v>0.1</v>
      </c>
      <c r="R727" s="669"/>
      <c r="S727" s="204">
        <f t="shared" si="22"/>
        <v>0</v>
      </c>
      <c r="T727" s="960">
        <f t="shared" si="23"/>
        <v>0</v>
      </c>
      <c r="U727" s="669" t="s">
        <v>34</v>
      </c>
      <c r="V727" s="1494"/>
      <c r="W727" s="879"/>
    </row>
    <row r="728" spans="1:23" ht="22.95" customHeight="1" x14ac:dyDescent="0.4">
      <c r="A728" s="788">
        <v>727</v>
      </c>
      <c r="B728" s="245" t="s">
        <v>2616</v>
      </c>
      <c r="C728" s="245" t="s">
        <v>24</v>
      </c>
      <c r="D728" s="1491">
        <v>3842</v>
      </c>
      <c r="E728" s="245" t="s">
        <v>3632</v>
      </c>
      <c r="F728" s="245" t="s">
        <v>3612</v>
      </c>
      <c r="G728" s="248">
        <v>3632</v>
      </c>
      <c r="H728" s="245" t="s">
        <v>3592</v>
      </c>
      <c r="I728" s="245" t="s">
        <v>729</v>
      </c>
      <c r="J728" s="253" t="s">
        <v>58</v>
      </c>
      <c r="K728" s="253" t="s">
        <v>57</v>
      </c>
      <c r="L728" s="1067">
        <v>0.6</v>
      </c>
      <c r="M728" s="819"/>
      <c r="N728" s="819" t="s">
        <v>3596</v>
      </c>
      <c r="O728" s="819"/>
      <c r="P728" s="669">
        <v>1</v>
      </c>
      <c r="Q728" s="1493">
        <v>0.1</v>
      </c>
      <c r="R728" s="669"/>
      <c r="S728" s="204">
        <f t="shared" si="22"/>
        <v>0</v>
      </c>
      <c r="T728" s="960">
        <f t="shared" si="23"/>
        <v>0</v>
      </c>
      <c r="U728" s="669" t="s">
        <v>34</v>
      </c>
      <c r="V728" s="1494"/>
      <c r="W728" s="879"/>
    </row>
    <row r="729" spans="1:23" ht="22.95" customHeight="1" x14ac:dyDescent="0.4">
      <c r="A729" s="788">
        <v>728</v>
      </c>
      <c r="B729" s="245" t="s">
        <v>2616</v>
      </c>
      <c r="C729" s="245" t="s">
        <v>24</v>
      </c>
      <c r="D729" s="1491">
        <v>3842</v>
      </c>
      <c r="E729" s="245" t="s">
        <v>3632</v>
      </c>
      <c r="F729" s="245" t="s">
        <v>3612</v>
      </c>
      <c r="G729" s="200">
        <v>3632</v>
      </c>
      <c r="H729" s="245" t="s">
        <v>3592</v>
      </c>
      <c r="I729" s="245" t="s">
        <v>729</v>
      </c>
      <c r="J729" s="253" t="s">
        <v>111</v>
      </c>
      <c r="K729" s="210" t="s">
        <v>110</v>
      </c>
      <c r="L729" s="1145">
        <v>0.4</v>
      </c>
      <c r="M729" s="767"/>
      <c r="N729" s="767" t="s">
        <v>255</v>
      </c>
      <c r="O729" s="767"/>
      <c r="P729" s="650">
        <v>1</v>
      </c>
      <c r="Q729" s="1145">
        <v>0.05</v>
      </c>
      <c r="R729" s="650"/>
      <c r="S729" s="650">
        <f t="shared" si="22"/>
        <v>0</v>
      </c>
      <c r="T729" s="701">
        <f t="shared" si="23"/>
        <v>0</v>
      </c>
      <c r="U729" s="650" t="s">
        <v>34</v>
      </c>
      <c r="V729" s="1510"/>
      <c r="W729" s="767"/>
    </row>
    <row r="730" spans="1:23" ht="22.95" customHeight="1" x14ac:dyDescent="0.4">
      <c r="A730" s="788">
        <v>729</v>
      </c>
      <c r="B730" s="245" t="s">
        <v>2616</v>
      </c>
      <c r="C730" s="245" t="s">
        <v>24</v>
      </c>
      <c r="D730" s="1491">
        <v>3842</v>
      </c>
      <c r="E730" s="245" t="s">
        <v>3632</v>
      </c>
      <c r="F730" s="245" t="s">
        <v>3612</v>
      </c>
      <c r="G730" s="200">
        <v>3632</v>
      </c>
      <c r="H730" s="245" t="s">
        <v>3592</v>
      </c>
      <c r="I730" s="245" t="s">
        <v>729</v>
      </c>
      <c r="J730" s="253" t="s">
        <v>111</v>
      </c>
      <c r="K730" s="210" t="s">
        <v>110</v>
      </c>
      <c r="L730" s="1145">
        <v>0.4</v>
      </c>
      <c r="M730" s="767"/>
      <c r="N730" s="767" t="s">
        <v>768</v>
      </c>
      <c r="O730" s="767"/>
      <c r="P730" s="650">
        <v>1</v>
      </c>
      <c r="Q730" s="1145">
        <v>0.05</v>
      </c>
      <c r="R730" s="650"/>
      <c r="S730" s="650">
        <f t="shared" si="22"/>
        <v>0</v>
      </c>
      <c r="T730" s="701">
        <f t="shared" si="23"/>
        <v>0</v>
      </c>
      <c r="U730" s="650" t="s">
        <v>34</v>
      </c>
      <c r="V730" s="1510"/>
      <c r="W730" s="767"/>
    </row>
    <row r="731" spans="1:23" ht="22.95" customHeight="1" x14ac:dyDescent="0.4">
      <c r="A731" s="788">
        <v>730</v>
      </c>
      <c r="B731" s="245" t="s">
        <v>2616</v>
      </c>
      <c r="C731" s="245" t="s">
        <v>24</v>
      </c>
      <c r="D731" s="1491">
        <v>3842</v>
      </c>
      <c r="E731" s="245" t="s">
        <v>3632</v>
      </c>
      <c r="F731" s="245" t="s">
        <v>3612</v>
      </c>
      <c r="G731" s="200">
        <v>3632</v>
      </c>
      <c r="H731" s="245" t="s">
        <v>3592</v>
      </c>
      <c r="I731" s="245" t="s">
        <v>729</v>
      </c>
      <c r="J731" s="253" t="s">
        <v>111</v>
      </c>
      <c r="K731" s="210" t="s">
        <v>110</v>
      </c>
      <c r="L731" s="1145">
        <v>0.4</v>
      </c>
      <c r="M731" s="767"/>
      <c r="N731" s="767" t="s">
        <v>769</v>
      </c>
      <c r="O731" s="767"/>
      <c r="P731" s="650">
        <v>1</v>
      </c>
      <c r="Q731" s="1145">
        <v>0.05</v>
      </c>
      <c r="R731" s="650"/>
      <c r="S731" s="650">
        <f t="shared" si="22"/>
        <v>0</v>
      </c>
      <c r="T731" s="701">
        <f t="shared" si="23"/>
        <v>0</v>
      </c>
      <c r="U731" s="650" t="s">
        <v>34</v>
      </c>
      <c r="V731" s="1510"/>
      <c r="W731" s="767"/>
    </row>
    <row r="732" spans="1:23" ht="22.95" customHeight="1" x14ac:dyDescent="0.4">
      <c r="A732" s="788">
        <v>731</v>
      </c>
      <c r="B732" s="245" t="s">
        <v>2616</v>
      </c>
      <c r="C732" s="245" t="s">
        <v>24</v>
      </c>
      <c r="D732" s="1491">
        <v>3842</v>
      </c>
      <c r="E732" s="245" t="s">
        <v>3632</v>
      </c>
      <c r="F732" s="245" t="s">
        <v>3612</v>
      </c>
      <c r="G732" s="200">
        <v>3632</v>
      </c>
      <c r="H732" s="245" t="s">
        <v>3592</v>
      </c>
      <c r="I732" s="245" t="s">
        <v>729</v>
      </c>
      <c r="J732" s="253" t="s">
        <v>111</v>
      </c>
      <c r="K732" s="210" t="s">
        <v>110</v>
      </c>
      <c r="L732" s="1145">
        <v>0.4</v>
      </c>
      <c r="M732" s="767"/>
      <c r="N732" s="767" t="s">
        <v>770</v>
      </c>
      <c r="O732" s="767"/>
      <c r="P732" s="650">
        <v>1</v>
      </c>
      <c r="Q732" s="1145">
        <v>0.15</v>
      </c>
      <c r="R732" s="650"/>
      <c r="S732" s="650">
        <f t="shared" si="22"/>
        <v>0</v>
      </c>
      <c r="T732" s="701">
        <f t="shared" si="23"/>
        <v>0</v>
      </c>
      <c r="U732" s="650" t="s">
        <v>34</v>
      </c>
      <c r="V732" s="1510"/>
      <c r="W732" s="767"/>
    </row>
    <row r="733" spans="1:23" ht="22.95" customHeight="1" x14ac:dyDescent="0.4">
      <c r="A733" s="788">
        <v>732</v>
      </c>
      <c r="B733" s="245" t="s">
        <v>2616</v>
      </c>
      <c r="C733" s="245" t="s">
        <v>24</v>
      </c>
      <c r="D733" s="1491">
        <v>3842</v>
      </c>
      <c r="E733" s="245" t="s">
        <v>3632</v>
      </c>
      <c r="F733" s="245" t="s">
        <v>3612</v>
      </c>
      <c r="G733" s="200">
        <v>3632</v>
      </c>
      <c r="H733" s="245" t="s">
        <v>3592</v>
      </c>
      <c r="I733" s="245" t="s">
        <v>729</v>
      </c>
      <c r="J733" s="253" t="s">
        <v>111</v>
      </c>
      <c r="K733" s="210" t="s">
        <v>110</v>
      </c>
      <c r="L733" s="1145">
        <v>0.4</v>
      </c>
      <c r="M733" s="767"/>
      <c r="N733" s="767" t="s">
        <v>254</v>
      </c>
      <c r="O733" s="767"/>
      <c r="P733" s="650">
        <v>1</v>
      </c>
      <c r="Q733" s="1145">
        <v>0.1</v>
      </c>
      <c r="R733" s="650"/>
      <c r="S733" s="650">
        <f t="shared" si="22"/>
        <v>0</v>
      </c>
      <c r="T733" s="701">
        <f t="shared" si="23"/>
        <v>0</v>
      </c>
      <c r="U733" s="650" t="s">
        <v>34</v>
      </c>
      <c r="V733" s="1510"/>
      <c r="W733" s="767"/>
    </row>
    <row r="734" spans="1:23" ht="22.95" customHeight="1" x14ac:dyDescent="0.4">
      <c r="A734" s="788">
        <v>733</v>
      </c>
      <c r="B734" s="245" t="s">
        <v>2616</v>
      </c>
      <c r="C734" s="245" t="s">
        <v>24</v>
      </c>
      <c r="D734" s="1491">
        <v>3842</v>
      </c>
      <c r="E734" s="245" t="s">
        <v>3632</v>
      </c>
      <c r="F734" s="245" t="s">
        <v>3612</v>
      </c>
      <c r="G734" s="200">
        <v>3632</v>
      </c>
      <c r="H734" s="245" t="s">
        <v>3592</v>
      </c>
      <c r="I734" s="245" t="s">
        <v>729</v>
      </c>
      <c r="J734" s="253" t="s">
        <v>111</v>
      </c>
      <c r="K734" s="210" t="s">
        <v>110</v>
      </c>
      <c r="L734" s="1145">
        <v>0.4</v>
      </c>
      <c r="M734" s="767"/>
      <c r="N734" s="767" t="s">
        <v>771</v>
      </c>
      <c r="O734" s="767"/>
      <c r="P734" s="650">
        <v>1</v>
      </c>
      <c r="Q734" s="1145">
        <v>0.05</v>
      </c>
      <c r="R734" s="650"/>
      <c r="S734" s="650">
        <f t="shared" si="22"/>
        <v>0</v>
      </c>
      <c r="T734" s="701">
        <f t="shared" si="23"/>
        <v>0</v>
      </c>
      <c r="U734" s="650" t="s">
        <v>34</v>
      </c>
      <c r="V734" s="1510"/>
      <c r="W734" s="767"/>
    </row>
    <row r="735" spans="1:23" ht="22.95" customHeight="1" x14ac:dyDescent="0.4">
      <c r="A735" s="788">
        <v>734</v>
      </c>
      <c r="B735" s="245" t="s">
        <v>2616</v>
      </c>
      <c r="C735" s="245" t="s">
        <v>24</v>
      </c>
      <c r="D735" s="1491">
        <v>3842</v>
      </c>
      <c r="E735" s="245" t="s">
        <v>3632</v>
      </c>
      <c r="F735" s="245" t="s">
        <v>3612</v>
      </c>
      <c r="G735" s="200">
        <v>3632</v>
      </c>
      <c r="H735" s="245" t="s">
        <v>3592</v>
      </c>
      <c r="I735" s="245" t="s">
        <v>729</v>
      </c>
      <c r="J735" s="253" t="s">
        <v>111</v>
      </c>
      <c r="K735" s="210" t="s">
        <v>110</v>
      </c>
      <c r="L735" s="1145">
        <v>0.4</v>
      </c>
      <c r="M735" s="767"/>
      <c r="N735" s="767" t="s">
        <v>772</v>
      </c>
      <c r="O735" s="767"/>
      <c r="P735" s="650">
        <v>1</v>
      </c>
      <c r="Q735" s="1145">
        <v>0.1</v>
      </c>
      <c r="R735" s="650"/>
      <c r="S735" s="650">
        <f t="shared" si="22"/>
        <v>0</v>
      </c>
      <c r="T735" s="701">
        <f t="shared" si="23"/>
        <v>0</v>
      </c>
      <c r="U735" s="650" t="s">
        <v>34</v>
      </c>
      <c r="V735" s="1510"/>
      <c r="W735" s="767"/>
    </row>
    <row r="736" spans="1:23" ht="22.95" customHeight="1" x14ac:dyDescent="0.4">
      <c r="A736" s="788">
        <v>735</v>
      </c>
      <c r="B736" s="245" t="s">
        <v>2616</v>
      </c>
      <c r="C736" s="245" t="s">
        <v>24</v>
      </c>
      <c r="D736" s="1491">
        <v>3842</v>
      </c>
      <c r="E736" s="245" t="s">
        <v>3632</v>
      </c>
      <c r="F736" s="245" t="s">
        <v>3612</v>
      </c>
      <c r="G736" s="200">
        <v>3632</v>
      </c>
      <c r="H736" s="245" t="s">
        <v>3592</v>
      </c>
      <c r="I736" s="245" t="s">
        <v>729</v>
      </c>
      <c r="J736" s="253" t="s">
        <v>111</v>
      </c>
      <c r="K736" s="210" t="s">
        <v>110</v>
      </c>
      <c r="L736" s="1145">
        <v>0.4</v>
      </c>
      <c r="M736" s="767"/>
      <c r="N736" s="767" t="s">
        <v>773</v>
      </c>
      <c r="O736" s="767"/>
      <c r="P736" s="650">
        <v>1</v>
      </c>
      <c r="Q736" s="1145">
        <v>0.05</v>
      </c>
      <c r="R736" s="650"/>
      <c r="S736" s="650">
        <f t="shared" si="22"/>
        <v>0</v>
      </c>
      <c r="T736" s="701">
        <f t="shared" si="23"/>
        <v>0</v>
      </c>
      <c r="U736" s="650" t="s">
        <v>34</v>
      </c>
      <c r="V736" s="1510"/>
      <c r="W736" s="767"/>
    </row>
    <row r="737" spans="1:23" ht="22.95" customHeight="1" x14ac:dyDescent="0.4">
      <c r="A737" s="788">
        <v>736</v>
      </c>
      <c r="B737" s="245" t="s">
        <v>2616</v>
      </c>
      <c r="C737" s="245" t="s">
        <v>24</v>
      </c>
      <c r="D737" s="1491">
        <v>3842</v>
      </c>
      <c r="E737" s="245" t="s">
        <v>3632</v>
      </c>
      <c r="F737" s="245" t="s">
        <v>3612</v>
      </c>
      <c r="G737" s="200">
        <v>3632</v>
      </c>
      <c r="H737" s="245" t="s">
        <v>3592</v>
      </c>
      <c r="I737" s="245" t="s">
        <v>729</v>
      </c>
      <c r="J737" s="253" t="s">
        <v>111</v>
      </c>
      <c r="K737" s="210" t="s">
        <v>110</v>
      </c>
      <c r="L737" s="1145">
        <v>0.4</v>
      </c>
      <c r="M737" s="767"/>
      <c r="N737" s="767" t="s">
        <v>774</v>
      </c>
      <c r="O737" s="767"/>
      <c r="P737" s="650">
        <v>1</v>
      </c>
      <c r="Q737" s="1145">
        <v>0.05</v>
      </c>
      <c r="R737" s="650"/>
      <c r="S737" s="650">
        <f t="shared" si="22"/>
        <v>0</v>
      </c>
      <c r="T737" s="701">
        <f t="shared" si="23"/>
        <v>0</v>
      </c>
      <c r="U737" s="650" t="s">
        <v>34</v>
      </c>
      <c r="V737" s="1510"/>
      <c r="W737" s="767"/>
    </row>
    <row r="738" spans="1:23" ht="22.95" customHeight="1" x14ac:dyDescent="0.4">
      <c r="A738" s="788">
        <v>737</v>
      </c>
      <c r="B738" s="245" t="s">
        <v>2616</v>
      </c>
      <c r="C738" s="245" t="s">
        <v>24</v>
      </c>
      <c r="D738" s="1491">
        <v>3842</v>
      </c>
      <c r="E738" s="245" t="s">
        <v>3632</v>
      </c>
      <c r="F738" s="245" t="s">
        <v>3612</v>
      </c>
      <c r="G738" s="200">
        <v>3632</v>
      </c>
      <c r="H738" s="245" t="s">
        <v>3592</v>
      </c>
      <c r="I738" s="245" t="s">
        <v>729</v>
      </c>
      <c r="J738" s="253" t="s">
        <v>111</v>
      </c>
      <c r="K738" s="210" t="s">
        <v>110</v>
      </c>
      <c r="L738" s="1145">
        <v>0.4</v>
      </c>
      <c r="M738" s="767"/>
      <c r="N738" s="767" t="s">
        <v>775</v>
      </c>
      <c r="O738" s="767"/>
      <c r="P738" s="650">
        <v>1</v>
      </c>
      <c r="Q738" s="1145">
        <v>0.05</v>
      </c>
      <c r="R738" s="650"/>
      <c r="S738" s="650">
        <f t="shared" si="22"/>
        <v>0</v>
      </c>
      <c r="T738" s="701">
        <f t="shared" si="23"/>
        <v>0</v>
      </c>
      <c r="U738" s="650" t="s">
        <v>34</v>
      </c>
      <c r="V738" s="1510"/>
      <c r="W738" s="767"/>
    </row>
    <row r="739" spans="1:23" ht="22.95" customHeight="1" x14ac:dyDescent="0.4">
      <c r="A739" s="788">
        <v>738</v>
      </c>
      <c r="B739" s="245" t="s">
        <v>2616</v>
      </c>
      <c r="C739" s="245" t="s">
        <v>24</v>
      </c>
      <c r="D739" s="1491">
        <v>3842</v>
      </c>
      <c r="E739" s="245" t="s">
        <v>3632</v>
      </c>
      <c r="F739" s="245" t="s">
        <v>3612</v>
      </c>
      <c r="G739" s="200">
        <v>3632</v>
      </c>
      <c r="H739" s="245" t="s">
        <v>3592</v>
      </c>
      <c r="I739" s="245" t="s">
        <v>729</v>
      </c>
      <c r="J739" s="253" t="s">
        <v>111</v>
      </c>
      <c r="K739" s="210" t="s">
        <v>110</v>
      </c>
      <c r="L739" s="1145">
        <v>0.4</v>
      </c>
      <c r="M739" s="767"/>
      <c r="N739" s="767" t="s">
        <v>776</v>
      </c>
      <c r="O739" s="767"/>
      <c r="P739" s="650">
        <v>1</v>
      </c>
      <c r="Q739" s="1145">
        <v>0.1</v>
      </c>
      <c r="R739" s="650"/>
      <c r="S739" s="650">
        <f t="shared" si="22"/>
        <v>0</v>
      </c>
      <c r="T739" s="701">
        <f t="shared" si="23"/>
        <v>0</v>
      </c>
      <c r="U739" s="650" t="s">
        <v>34</v>
      </c>
      <c r="V739" s="1510"/>
      <c r="W739" s="767"/>
    </row>
    <row r="740" spans="1:23" ht="22.95" customHeight="1" x14ac:dyDescent="0.4">
      <c r="A740" s="788">
        <v>739</v>
      </c>
      <c r="B740" s="245" t="s">
        <v>2616</v>
      </c>
      <c r="C740" s="245" t="s">
        <v>24</v>
      </c>
      <c r="D740" s="1491">
        <v>3842</v>
      </c>
      <c r="E740" s="245" t="s">
        <v>3632</v>
      </c>
      <c r="F740" s="245" t="s">
        <v>3612</v>
      </c>
      <c r="G740" s="200">
        <v>3632</v>
      </c>
      <c r="H740" s="245" t="s">
        <v>3592</v>
      </c>
      <c r="I740" s="245" t="s">
        <v>729</v>
      </c>
      <c r="J740" s="253" t="s">
        <v>111</v>
      </c>
      <c r="K740" s="210" t="s">
        <v>110</v>
      </c>
      <c r="L740" s="1145">
        <v>0.4</v>
      </c>
      <c r="M740" s="767"/>
      <c r="N740" s="767" t="s">
        <v>251</v>
      </c>
      <c r="O740" s="767"/>
      <c r="P740" s="650">
        <v>1</v>
      </c>
      <c r="Q740" s="1145">
        <v>0.05</v>
      </c>
      <c r="R740" s="650"/>
      <c r="S740" s="650">
        <f t="shared" si="22"/>
        <v>0</v>
      </c>
      <c r="T740" s="701">
        <f t="shared" si="23"/>
        <v>0</v>
      </c>
      <c r="U740" s="650" t="s">
        <v>34</v>
      </c>
      <c r="V740" s="1498"/>
      <c r="W740" s="767"/>
    </row>
    <row r="741" spans="1:23" ht="22.95" customHeight="1" x14ac:dyDescent="0.4">
      <c r="A741" s="788">
        <v>740</v>
      </c>
      <c r="B741" s="245" t="s">
        <v>2616</v>
      </c>
      <c r="C741" s="245" t="s">
        <v>24</v>
      </c>
      <c r="D741" s="1491">
        <v>3842</v>
      </c>
      <c r="E741" s="245" t="s">
        <v>3632</v>
      </c>
      <c r="F741" s="245" t="s">
        <v>3612</v>
      </c>
      <c r="G741" s="200">
        <v>3632</v>
      </c>
      <c r="H741" s="245" t="s">
        <v>3592</v>
      </c>
      <c r="I741" s="245" t="s">
        <v>729</v>
      </c>
      <c r="J741" s="253" t="s">
        <v>111</v>
      </c>
      <c r="K741" s="210" t="s">
        <v>110</v>
      </c>
      <c r="L741" s="1145">
        <v>0.4</v>
      </c>
      <c r="M741" s="767"/>
      <c r="N741" s="767" t="s">
        <v>252</v>
      </c>
      <c r="O741" s="767"/>
      <c r="P741" s="650">
        <v>1</v>
      </c>
      <c r="Q741" s="1145">
        <v>0.05</v>
      </c>
      <c r="R741" s="650"/>
      <c r="S741" s="650">
        <f t="shared" si="22"/>
        <v>0</v>
      </c>
      <c r="T741" s="701">
        <f t="shared" si="23"/>
        <v>0</v>
      </c>
      <c r="U741" s="650" t="s">
        <v>34</v>
      </c>
      <c r="V741" s="1498"/>
      <c r="W741" s="767"/>
    </row>
    <row r="742" spans="1:23" ht="22.95" customHeight="1" x14ac:dyDescent="0.4">
      <c r="A742" s="788">
        <v>741</v>
      </c>
      <c r="B742" s="245" t="s">
        <v>2616</v>
      </c>
      <c r="C742" s="245" t="s">
        <v>24</v>
      </c>
      <c r="D742" s="1491">
        <v>3842</v>
      </c>
      <c r="E742" s="245" t="s">
        <v>3632</v>
      </c>
      <c r="F742" s="245" t="s">
        <v>3612</v>
      </c>
      <c r="G742" s="200">
        <v>3632</v>
      </c>
      <c r="H742" s="245" t="s">
        <v>3592</v>
      </c>
      <c r="I742" s="245" t="s">
        <v>729</v>
      </c>
      <c r="J742" s="253" t="s">
        <v>111</v>
      </c>
      <c r="K742" s="210" t="s">
        <v>110</v>
      </c>
      <c r="L742" s="1145">
        <v>0.4</v>
      </c>
      <c r="M742" s="767"/>
      <c r="N742" s="767" t="s">
        <v>777</v>
      </c>
      <c r="O742" s="767"/>
      <c r="P742" s="650">
        <v>1</v>
      </c>
      <c r="Q742" s="1145">
        <v>0.05</v>
      </c>
      <c r="R742" s="650"/>
      <c r="S742" s="650">
        <f t="shared" si="22"/>
        <v>0</v>
      </c>
      <c r="T742" s="701">
        <f t="shared" si="23"/>
        <v>0</v>
      </c>
      <c r="U742" s="650" t="s">
        <v>34</v>
      </c>
      <c r="V742" s="1498"/>
      <c r="W742" s="767"/>
    </row>
    <row r="743" spans="1:23" ht="22.95" customHeight="1" x14ac:dyDescent="0.4">
      <c r="A743" s="788">
        <v>742</v>
      </c>
      <c r="B743" s="245" t="s">
        <v>2616</v>
      </c>
      <c r="C743" s="245" t="s">
        <v>24</v>
      </c>
      <c r="D743" s="1491">
        <v>3842</v>
      </c>
      <c r="E743" s="245" t="s">
        <v>3632</v>
      </c>
      <c r="F743" s="245" t="s">
        <v>3612</v>
      </c>
      <c r="G743" s="200">
        <v>3632</v>
      </c>
      <c r="H743" s="245" t="s">
        <v>3592</v>
      </c>
      <c r="I743" s="245" t="s">
        <v>729</v>
      </c>
      <c r="J743" s="253" t="s">
        <v>111</v>
      </c>
      <c r="K743" s="210" t="s">
        <v>110</v>
      </c>
      <c r="L743" s="1145">
        <v>0.4</v>
      </c>
      <c r="M743" s="767"/>
      <c r="N743" s="767" t="s">
        <v>253</v>
      </c>
      <c r="O743" s="767"/>
      <c r="P743" s="650">
        <v>1</v>
      </c>
      <c r="Q743" s="1145">
        <v>0.05</v>
      </c>
      <c r="R743" s="650"/>
      <c r="S743" s="650">
        <f t="shared" si="22"/>
        <v>0</v>
      </c>
      <c r="T743" s="701">
        <f t="shared" si="23"/>
        <v>0</v>
      </c>
      <c r="U743" s="650" t="s">
        <v>34</v>
      </c>
      <c r="V743" s="1498"/>
      <c r="W743" s="767"/>
    </row>
    <row r="744" spans="1:23" ht="22.95" customHeight="1" x14ac:dyDescent="0.4">
      <c r="A744" s="788">
        <v>743</v>
      </c>
      <c r="B744" s="187" t="s">
        <v>2616</v>
      </c>
      <c r="C744" s="187" t="s">
        <v>24</v>
      </c>
      <c r="D744" s="1130">
        <v>5888</v>
      </c>
      <c r="E744" s="187" t="s">
        <v>3640</v>
      </c>
      <c r="F744" s="236" t="s">
        <v>3612</v>
      </c>
      <c r="G744" s="674">
        <v>3632</v>
      </c>
      <c r="H744" s="236" t="s">
        <v>3592</v>
      </c>
      <c r="I744" s="187" t="s">
        <v>729</v>
      </c>
      <c r="J744" s="653" t="s">
        <v>58</v>
      </c>
      <c r="K744" s="653" t="s">
        <v>57</v>
      </c>
      <c r="L744" s="1193">
        <v>0.6</v>
      </c>
      <c r="M744" s="749"/>
      <c r="N744" s="749" t="s">
        <v>3613</v>
      </c>
      <c r="O744" s="749"/>
      <c r="P744" s="197">
        <v>1</v>
      </c>
      <c r="Q744" s="1511">
        <v>0.15</v>
      </c>
      <c r="R744" s="197"/>
      <c r="S744" s="195">
        <f t="shared" si="22"/>
        <v>0</v>
      </c>
      <c r="T744" s="196">
        <f t="shared" si="23"/>
        <v>0</v>
      </c>
      <c r="U744" s="197" t="s">
        <v>34</v>
      </c>
      <c r="V744" s="1488">
        <f>SUM(T744:T765)%</f>
        <v>0</v>
      </c>
      <c r="W744" s="749"/>
    </row>
    <row r="745" spans="1:23" ht="22.95" customHeight="1" x14ac:dyDescent="0.4">
      <c r="A745" s="788">
        <v>744</v>
      </c>
      <c r="B745" s="199" t="s">
        <v>2616</v>
      </c>
      <c r="C745" s="199" t="s">
        <v>24</v>
      </c>
      <c r="D745" s="1259">
        <v>5888</v>
      </c>
      <c r="E745" s="199" t="s">
        <v>3640</v>
      </c>
      <c r="F745" s="198" t="s">
        <v>3612</v>
      </c>
      <c r="G745" s="679">
        <v>3632</v>
      </c>
      <c r="H745" s="198" t="s">
        <v>3592</v>
      </c>
      <c r="I745" s="199" t="s">
        <v>729</v>
      </c>
      <c r="J745" s="649" t="s">
        <v>58</v>
      </c>
      <c r="K745" s="649" t="s">
        <v>57</v>
      </c>
      <c r="L745" s="1196">
        <v>0.6</v>
      </c>
      <c r="M745" s="757"/>
      <c r="N745" s="757" t="s">
        <v>3641</v>
      </c>
      <c r="O745" s="757"/>
      <c r="P745" s="208">
        <v>1</v>
      </c>
      <c r="Q745" s="1486">
        <v>0.2</v>
      </c>
      <c r="R745" s="208"/>
      <c r="S745" s="206">
        <f t="shared" si="22"/>
        <v>0</v>
      </c>
      <c r="T745" s="207">
        <f t="shared" si="23"/>
        <v>0</v>
      </c>
      <c r="U745" s="208" t="s">
        <v>34</v>
      </c>
      <c r="V745" s="1203"/>
      <c r="W745" s="827"/>
    </row>
    <row r="746" spans="1:23" ht="22.95" customHeight="1" x14ac:dyDescent="0.4">
      <c r="A746" s="788">
        <v>745</v>
      </c>
      <c r="B746" s="199" t="s">
        <v>2616</v>
      </c>
      <c r="C746" s="199" t="s">
        <v>24</v>
      </c>
      <c r="D746" s="1259">
        <v>5888</v>
      </c>
      <c r="E746" s="199" t="s">
        <v>3640</v>
      </c>
      <c r="F746" s="198" t="s">
        <v>3612</v>
      </c>
      <c r="G746" s="679">
        <v>3632</v>
      </c>
      <c r="H746" s="198" t="s">
        <v>3592</v>
      </c>
      <c r="I746" s="199" t="s">
        <v>729</v>
      </c>
      <c r="J746" s="649" t="s">
        <v>58</v>
      </c>
      <c r="K746" s="649" t="s">
        <v>57</v>
      </c>
      <c r="L746" s="1196">
        <v>0.6</v>
      </c>
      <c r="M746" s="757"/>
      <c r="N746" s="757" t="s">
        <v>3642</v>
      </c>
      <c r="O746" s="757"/>
      <c r="P746" s="208">
        <v>1</v>
      </c>
      <c r="Q746" s="1486">
        <v>0.15</v>
      </c>
      <c r="R746" s="208"/>
      <c r="S746" s="206">
        <f t="shared" si="22"/>
        <v>0</v>
      </c>
      <c r="T746" s="207">
        <f t="shared" si="23"/>
        <v>0</v>
      </c>
      <c r="U746" s="208" t="s">
        <v>34</v>
      </c>
      <c r="V746" s="1203"/>
      <c r="W746" s="827"/>
    </row>
    <row r="747" spans="1:23" ht="22.95" customHeight="1" x14ac:dyDescent="0.4">
      <c r="A747" s="788">
        <v>746</v>
      </c>
      <c r="B747" s="199" t="s">
        <v>2616</v>
      </c>
      <c r="C747" s="199" t="s">
        <v>24</v>
      </c>
      <c r="D747" s="1259">
        <v>5888</v>
      </c>
      <c r="E747" s="199" t="s">
        <v>3640</v>
      </c>
      <c r="F747" s="198" t="s">
        <v>3612</v>
      </c>
      <c r="G747" s="679">
        <v>3632</v>
      </c>
      <c r="H747" s="198" t="s">
        <v>3592</v>
      </c>
      <c r="I747" s="199" t="s">
        <v>729</v>
      </c>
      <c r="J747" s="649" t="s">
        <v>58</v>
      </c>
      <c r="K747" s="649" t="s">
        <v>57</v>
      </c>
      <c r="L747" s="1196">
        <v>0.6</v>
      </c>
      <c r="M747" s="757"/>
      <c r="N747" s="757" t="s">
        <v>3643</v>
      </c>
      <c r="O747" s="757"/>
      <c r="P747" s="208">
        <v>1</v>
      </c>
      <c r="Q747" s="1486">
        <v>0.1</v>
      </c>
      <c r="R747" s="208"/>
      <c r="S747" s="206">
        <f t="shared" si="22"/>
        <v>0</v>
      </c>
      <c r="T747" s="207">
        <f t="shared" si="23"/>
        <v>0</v>
      </c>
      <c r="U747" s="208" t="s">
        <v>34</v>
      </c>
      <c r="V747" s="1203"/>
      <c r="W747" s="827"/>
    </row>
    <row r="748" spans="1:23" ht="22.95" customHeight="1" x14ac:dyDescent="0.4">
      <c r="A748" s="788">
        <v>747</v>
      </c>
      <c r="B748" s="199" t="s">
        <v>2616</v>
      </c>
      <c r="C748" s="199" t="s">
        <v>24</v>
      </c>
      <c r="D748" s="1259">
        <v>5888</v>
      </c>
      <c r="E748" s="199" t="s">
        <v>3640</v>
      </c>
      <c r="F748" s="198" t="s">
        <v>3612</v>
      </c>
      <c r="G748" s="679">
        <v>3632</v>
      </c>
      <c r="H748" s="198" t="s">
        <v>3592</v>
      </c>
      <c r="I748" s="199" t="s">
        <v>729</v>
      </c>
      <c r="J748" s="649" t="s">
        <v>58</v>
      </c>
      <c r="K748" s="649" t="s">
        <v>57</v>
      </c>
      <c r="L748" s="1196">
        <v>0.6</v>
      </c>
      <c r="M748" s="757"/>
      <c r="N748" s="757" t="s">
        <v>3644</v>
      </c>
      <c r="O748" s="757"/>
      <c r="P748" s="208">
        <v>1</v>
      </c>
      <c r="Q748" s="1486">
        <v>0.1</v>
      </c>
      <c r="R748" s="208"/>
      <c r="S748" s="206">
        <f t="shared" si="22"/>
        <v>0</v>
      </c>
      <c r="T748" s="207">
        <f t="shared" si="23"/>
        <v>0</v>
      </c>
      <c r="U748" s="208" t="s">
        <v>34</v>
      </c>
      <c r="V748" s="1203"/>
      <c r="W748" s="827"/>
    </row>
    <row r="749" spans="1:23" ht="22.95" customHeight="1" x14ac:dyDescent="0.4">
      <c r="A749" s="788">
        <v>748</v>
      </c>
      <c r="B749" s="199" t="s">
        <v>2616</v>
      </c>
      <c r="C749" s="199" t="s">
        <v>24</v>
      </c>
      <c r="D749" s="1259">
        <v>5888</v>
      </c>
      <c r="E749" s="199" t="s">
        <v>3640</v>
      </c>
      <c r="F749" s="198" t="s">
        <v>3612</v>
      </c>
      <c r="G749" s="679">
        <v>3632</v>
      </c>
      <c r="H749" s="198" t="s">
        <v>3592</v>
      </c>
      <c r="I749" s="199" t="s">
        <v>729</v>
      </c>
      <c r="J749" s="649" t="s">
        <v>58</v>
      </c>
      <c r="K749" s="649" t="s">
        <v>57</v>
      </c>
      <c r="L749" s="1196">
        <v>0.6</v>
      </c>
      <c r="M749" s="757"/>
      <c r="N749" s="757" t="s">
        <v>3645</v>
      </c>
      <c r="O749" s="757"/>
      <c r="P749" s="208">
        <v>1</v>
      </c>
      <c r="Q749" s="1486">
        <v>0.2</v>
      </c>
      <c r="R749" s="208"/>
      <c r="S749" s="206">
        <f t="shared" si="22"/>
        <v>0</v>
      </c>
      <c r="T749" s="207">
        <f t="shared" si="23"/>
        <v>0</v>
      </c>
      <c r="U749" s="208" t="s">
        <v>34</v>
      </c>
      <c r="V749" s="1203"/>
      <c r="W749" s="827"/>
    </row>
    <row r="750" spans="1:23" ht="22.95" customHeight="1" x14ac:dyDescent="0.4">
      <c r="A750" s="788">
        <v>749</v>
      </c>
      <c r="B750" s="199" t="s">
        <v>2616</v>
      </c>
      <c r="C750" s="199" t="s">
        <v>24</v>
      </c>
      <c r="D750" s="1259">
        <v>5888</v>
      </c>
      <c r="E750" s="199" t="s">
        <v>3640</v>
      </c>
      <c r="F750" s="198" t="s">
        <v>3612</v>
      </c>
      <c r="G750" s="679">
        <v>3632</v>
      </c>
      <c r="H750" s="198" t="s">
        <v>3592</v>
      </c>
      <c r="I750" s="199" t="s">
        <v>729</v>
      </c>
      <c r="J750" s="649" t="s">
        <v>58</v>
      </c>
      <c r="K750" s="649" t="s">
        <v>57</v>
      </c>
      <c r="L750" s="1196">
        <v>0.6</v>
      </c>
      <c r="M750" s="757"/>
      <c r="N750" s="757" t="s">
        <v>3646</v>
      </c>
      <c r="O750" s="757"/>
      <c r="P750" s="208">
        <v>1</v>
      </c>
      <c r="Q750" s="1486">
        <v>0.1</v>
      </c>
      <c r="R750" s="208"/>
      <c r="S750" s="206">
        <f t="shared" si="22"/>
        <v>0</v>
      </c>
      <c r="T750" s="207">
        <f t="shared" si="23"/>
        <v>0</v>
      </c>
      <c r="U750" s="208" t="s">
        <v>34</v>
      </c>
      <c r="V750" s="1203"/>
      <c r="W750" s="827"/>
    </row>
    <row r="751" spans="1:23" ht="22.95" customHeight="1" x14ac:dyDescent="0.4">
      <c r="A751" s="788">
        <v>750</v>
      </c>
      <c r="B751" s="199" t="s">
        <v>2616</v>
      </c>
      <c r="C751" s="199" t="s">
        <v>24</v>
      </c>
      <c r="D751" s="1259">
        <v>5888</v>
      </c>
      <c r="E751" s="199" t="s">
        <v>3640</v>
      </c>
      <c r="F751" s="198" t="s">
        <v>3612</v>
      </c>
      <c r="G751" s="679">
        <v>3632</v>
      </c>
      <c r="H751" s="198" t="s">
        <v>3592</v>
      </c>
      <c r="I751" s="199" t="s">
        <v>729</v>
      </c>
      <c r="J751" s="648" t="s">
        <v>111</v>
      </c>
      <c r="K751" s="649" t="s">
        <v>110</v>
      </c>
      <c r="L751" s="1063">
        <v>0.4</v>
      </c>
      <c r="M751" s="827"/>
      <c r="N751" s="827" t="s">
        <v>255</v>
      </c>
      <c r="O751" s="827"/>
      <c r="P751" s="222">
        <v>1</v>
      </c>
      <c r="Q751" s="1063">
        <v>0.05</v>
      </c>
      <c r="R751" s="222"/>
      <c r="S751" s="222">
        <f t="shared" si="22"/>
        <v>0</v>
      </c>
      <c r="T751" s="765">
        <f t="shared" si="23"/>
        <v>0</v>
      </c>
      <c r="U751" s="222" t="s">
        <v>34</v>
      </c>
      <c r="V751" s="1228"/>
      <c r="W751" s="827"/>
    </row>
    <row r="752" spans="1:23" ht="22.95" customHeight="1" x14ac:dyDescent="0.4">
      <c r="A752" s="788">
        <v>751</v>
      </c>
      <c r="B752" s="199" t="s">
        <v>2616</v>
      </c>
      <c r="C752" s="199" t="s">
        <v>24</v>
      </c>
      <c r="D752" s="1259">
        <v>5888</v>
      </c>
      <c r="E752" s="199" t="s">
        <v>3640</v>
      </c>
      <c r="F752" s="198" t="s">
        <v>3612</v>
      </c>
      <c r="G752" s="679">
        <v>3632</v>
      </c>
      <c r="H752" s="198" t="s">
        <v>3592</v>
      </c>
      <c r="I752" s="199" t="s">
        <v>729</v>
      </c>
      <c r="J752" s="648" t="s">
        <v>111</v>
      </c>
      <c r="K752" s="649" t="s">
        <v>110</v>
      </c>
      <c r="L752" s="1063">
        <v>0.4</v>
      </c>
      <c r="M752" s="827"/>
      <c r="N752" s="827" t="s">
        <v>768</v>
      </c>
      <c r="O752" s="827"/>
      <c r="P752" s="222">
        <v>1</v>
      </c>
      <c r="Q752" s="1063">
        <v>0.05</v>
      </c>
      <c r="R752" s="222"/>
      <c r="S752" s="222">
        <f t="shared" si="22"/>
        <v>0</v>
      </c>
      <c r="T752" s="765">
        <f t="shared" si="23"/>
        <v>0</v>
      </c>
      <c r="U752" s="222" t="s">
        <v>34</v>
      </c>
      <c r="V752" s="1228"/>
      <c r="W752" s="827"/>
    </row>
    <row r="753" spans="1:23" ht="22.95" customHeight="1" x14ac:dyDescent="0.4">
      <c r="A753" s="788">
        <v>752</v>
      </c>
      <c r="B753" s="199" t="s">
        <v>2616</v>
      </c>
      <c r="C753" s="199" t="s">
        <v>24</v>
      </c>
      <c r="D753" s="1259">
        <v>5888</v>
      </c>
      <c r="E753" s="199" t="s">
        <v>3640</v>
      </c>
      <c r="F753" s="198" t="s">
        <v>3612</v>
      </c>
      <c r="G753" s="679">
        <v>3632</v>
      </c>
      <c r="H753" s="198" t="s">
        <v>3592</v>
      </c>
      <c r="I753" s="199" t="s">
        <v>729</v>
      </c>
      <c r="J753" s="648" t="s">
        <v>111</v>
      </c>
      <c r="K753" s="649" t="s">
        <v>110</v>
      </c>
      <c r="L753" s="1063">
        <v>0.4</v>
      </c>
      <c r="M753" s="827"/>
      <c r="N753" s="827" t="s">
        <v>769</v>
      </c>
      <c r="O753" s="827"/>
      <c r="P753" s="222">
        <v>1</v>
      </c>
      <c r="Q753" s="1063">
        <v>0.05</v>
      </c>
      <c r="R753" s="222"/>
      <c r="S753" s="222">
        <f t="shared" si="22"/>
        <v>0</v>
      </c>
      <c r="T753" s="765">
        <f t="shared" si="23"/>
        <v>0</v>
      </c>
      <c r="U753" s="222" t="s">
        <v>34</v>
      </c>
      <c r="V753" s="1228"/>
      <c r="W753" s="827"/>
    </row>
    <row r="754" spans="1:23" ht="22.95" customHeight="1" x14ac:dyDescent="0.4">
      <c r="A754" s="788">
        <v>753</v>
      </c>
      <c r="B754" s="199" t="s">
        <v>2616</v>
      </c>
      <c r="C754" s="199" t="s">
        <v>24</v>
      </c>
      <c r="D754" s="1259">
        <v>5888</v>
      </c>
      <c r="E754" s="199" t="s">
        <v>3640</v>
      </c>
      <c r="F754" s="198" t="s">
        <v>3612</v>
      </c>
      <c r="G754" s="679">
        <v>3632</v>
      </c>
      <c r="H754" s="198" t="s">
        <v>3592</v>
      </c>
      <c r="I754" s="199" t="s">
        <v>729</v>
      </c>
      <c r="J754" s="648" t="s">
        <v>111</v>
      </c>
      <c r="K754" s="649" t="s">
        <v>110</v>
      </c>
      <c r="L754" s="1063">
        <v>0.4</v>
      </c>
      <c r="M754" s="827"/>
      <c r="N754" s="827" t="s">
        <v>770</v>
      </c>
      <c r="O754" s="827"/>
      <c r="P754" s="222">
        <v>1</v>
      </c>
      <c r="Q754" s="1063">
        <v>0.15</v>
      </c>
      <c r="R754" s="222"/>
      <c r="S754" s="222">
        <f t="shared" si="22"/>
        <v>0</v>
      </c>
      <c r="T754" s="765">
        <f t="shared" si="23"/>
        <v>0</v>
      </c>
      <c r="U754" s="222" t="s">
        <v>34</v>
      </c>
      <c r="V754" s="1228"/>
      <c r="W754" s="827"/>
    </row>
    <row r="755" spans="1:23" ht="22.95" customHeight="1" x14ac:dyDescent="0.4">
      <c r="A755" s="788">
        <v>754</v>
      </c>
      <c r="B755" s="199" t="s">
        <v>2616</v>
      </c>
      <c r="C755" s="199" t="s">
        <v>24</v>
      </c>
      <c r="D755" s="1259">
        <v>5888</v>
      </c>
      <c r="E755" s="199" t="s">
        <v>3640</v>
      </c>
      <c r="F755" s="198" t="s">
        <v>3612</v>
      </c>
      <c r="G755" s="679">
        <v>3632</v>
      </c>
      <c r="H755" s="198" t="s">
        <v>3592</v>
      </c>
      <c r="I755" s="199" t="s">
        <v>729</v>
      </c>
      <c r="J755" s="648" t="s">
        <v>111</v>
      </c>
      <c r="K755" s="649" t="s">
        <v>110</v>
      </c>
      <c r="L755" s="1063">
        <v>0.4</v>
      </c>
      <c r="M755" s="827"/>
      <c r="N755" s="827" t="s">
        <v>254</v>
      </c>
      <c r="O755" s="827"/>
      <c r="P755" s="222">
        <v>1</v>
      </c>
      <c r="Q755" s="1063">
        <v>0.1</v>
      </c>
      <c r="R755" s="222"/>
      <c r="S755" s="222">
        <f t="shared" si="22"/>
        <v>0</v>
      </c>
      <c r="T755" s="765">
        <f t="shared" si="23"/>
        <v>0</v>
      </c>
      <c r="U755" s="222" t="s">
        <v>34</v>
      </c>
      <c r="V755" s="1228"/>
      <c r="W755" s="827"/>
    </row>
    <row r="756" spans="1:23" ht="22.95" customHeight="1" x14ac:dyDescent="0.4">
      <c r="A756" s="788">
        <v>755</v>
      </c>
      <c r="B756" s="199" t="s">
        <v>2616</v>
      </c>
      <c r="C756" s="199" t="s">
        <v>24</v>
      </c>
      <c r="D756" s="1259">
        <v>5888</v>
      </c>
      <c r="E756" s="199" t="s">
        <v>3640</v>
      </c>
      <c r="F756" s="198" t="s">
        <v>3612</v>
      </c>
      <c r="G756" s="679">
        <v>3632</v>
      </c>
      <c r="H756" s="198" t="s">
        <v>3592</v>
      </c>
      <c r="I756" s="199" t="s">
        <v>729</v>
      </c>
      <c r="J756" s="648" t="s">
        <v>111</v>
      </c>
      <c r="K756" s="649" t="s">
        <v>110</v>
      </c>
      <c r="L756" s="1063">
        <v>0.4</v>
      </c>
      <c r="M756" s="827"/>
      <c r="N756" s="827" t="s">
        <v>771</v>
      </c>
      <c r="O756" s="827"/>
      <c r="P756" s="222">
        <v>1</v>
      </c>
      <c r="Q756" s="1063">
        <v>0.05</v>
      </c>
      <c r="R756" s="222"/>
      <c r="S756" s="222">
        <f t="shared" si="22"/>
        <v>0</v>
      </c>
      <c r="T756" s="765">
        <f t="shared" si="23"/>
        <v>0</v>
      </c>
      <c r="U756" s="222" t="s">
        <v>34</v>
      </c>
      <c r="V756" s="1228"/>
      <c r="W756" s="827"/>
    </row>
    <row r="757" spans="1:23" ht="22.95" customHeight="1" x14ac:dyDescent="0.4">
      <c r="A757" s="788">
        <v>756</v>
      </c>
      <c r="B757" s="199" t="s">
        <v>2616</v>
      </c>
      <c r="C757" s="199" t="s">
        <v>24</v>
      </c>
      <c r="D757" s="1259">
        <v>5888</v>
      </c>
      <c r="E757" s="199" t="s">
        <v>3640</v>
      </c>
      <c r="F757" s="198" t="s">
        <v>3612</v>
      </c>
      <c r="G757" s="679">
        <v>3632</v>
      </c>
      <c r="H757" s="198" t="s">
        <v>3592</v>
      </c>
      <c r="I757" s="199" t="s">
        <v>729</v>
      </c>
      <c r="J757" s="648" t="s">
        <v>111</v>
      </c>
      <c r="K757" s="649" t="s">
        <v>110</v>
      </c>
      <c r="L757" s="1063">
        <v>0.4</v>
      </c>
      <c r="M757" s="827"/>
      <c r="N757" s="827" t="s">
        <v>772</v>
      </c>
      <c r="O757" s="827"/>
      <c r="P757" s="222">
        <v>1</v>
      </c>
      <c r="Q757" s="1063">
        <v>0.1</v>
      </c>
      <c r="R757" s="222"/>
      <c r="S757" s="222">
        <f t="shared" si="22"/>
        <v>0</v>
      </c>
      <c r="T757" s="765">
        <f t="shared" si="23"/>
        <v>0</v>
      </c>
      <c r="U757" s="222" t="s">
        <v>34</v>
      </c>
      <c r="V757" s="1228"/>
      <c r="W757" s="827"/>
    </row>
    <row r="758" spans="1:23" ht="22.95" customHeight="1" x14ac:dyDescent="0.4">
      <c r="A758" s="788">
        <v>757</v>
      </c>
      <c r="B758" s="199" t="s">
        <v>2616</v>
      </c>
      <c r="C758" s="199" t="s">
        <v>24</v>
      </c>
      <c r="D758" s="1259">
        <v>5888</v>
      </c>
      <c r="E758" s="199" t="s">
        <v>3640</v>
      </c>
      <c r="F758" s="198" t="s">
        <v>3612</v>
      </c>
      <c r="G758" s="679">
        <v>3632</v>
      </c>
      <c r="H758" s="198" t="s">
        <v>3592</v>
      </c>
      <c r="I758" s="199" t="s">
        <v>729</v>
      </c>
      <c r="J758" s="648" t="s">
        <v>111</v>
      </c>
      <c r="K758" s="649" t="s">
        <v>110</v>
      </c>
      <c r="L758" s="1063">
        <v>0.4</v>
      </c>
      <c r="M758" s="827"/>
      <c r="N758" s="827" t="s">
        <v>773</v>
      </c>
      <c r="O758" s="827"/>
      <c r="P758" s="222">
        <v>1</v>
      </c>
      <c r="Q758" s="1063">
        <v>0.05</v>
      </c>
      <c r="R758" s="222"/>
      <c r="S758" s="222">
        <f t="shared" si="22"/>
        <v>0</v>
      </c>
      <c r="T758" s="765">
        <f t="shared" si="23"/>
        <v>0</v>
      </c>
      <c r="U758" s="222" t="s">
        <v>34</v>
      </c>
      <c r="V758" s="1228"/>
      <c r="W758" s="827"/>
    </row>
    <row r="759" spans="1:23" ht="22.95" customHeight="1" x14ac:dyDescent="0.4">
      <c r="A759" s="788">
        <v>758</v>
      </c>
      <c r="B759" s="199" t="s">
        <v>2616</v>
      </c>
      <c r="C759" s="199" t="s">
        <v>24</v>
      </c>
      <c r="D759" s="1259">
        <v>5888</v>
      </c>
      <c r="E759" s="199" t="s">
        <v>3640</v>
      </c>
      <c r="F759" s="198" t="s">
        <v>3612</v>
      </c>
      <c r="G759" s="679">
        <v>3632</v>
      </c>
      <c r="H759" s="198" t="s">
        <v>3592</v>
      </c>
      <c r="I759" s="199" t="s">
        <v>729</v>
      </c>
      <c r="J759" s="648" t="s">
        <v>111</v>
      </c>
      <c r="K759" s="649" t="s">
        <v>110</v>
      </c>
      <c r="L759" s="1063">
        <v>0.4</v>
      </c>
      <c r="M759" s="827"/>
      <c r="N759" s="827" t="s">
        <v>774</v>
      </c>
      <c r="O759" s="827"/>
      <c r="P759" s="222">
        <v>1</v>
      </c>
      <c r="Q759" s="1063">
        <v>0.05</v>
      </c>
      <c r="R759" s="222"/>
      <c r="S759" s="222">
        <f t="shared" si="22"/>
        <v>0</v>
      </c>
      <c r="T759" s="765">
        <f t="shared" si="23"/>
        <v>0</v>
      </c>
      <c r="U759" s="222" t="s">
        <v>34</v>
      </c>
      <c r="V759" s="1228"/>
      <c r="W759" s="827"/>
    </row>
    <row r="760" spans="1:23" ht="22.95" customHeight="1" x14ac:dyDescent="0.4">
      <c r="A760" s="788">
        <v>759</v>
      </c>
      <c r="B760" s="199" t="s">
        <v>2616</v>
      </c>
      <c r="C760" s="199" t="s">
        <v>24</v>
      </c>
      <c r="D760" s="1259">
        <v>5888</v>
      </c>
      <c r="E760" s="199" t="s">
        <v>3640</v>
      </c>
      <c r="F760" s="198" t="s">
        <v>3612</v>
      </c>
      <c r="G760" s="679">
        <v>3632</v>
      </c>
      <c r="H760" s="198" t="s">
        <v>3592</v>
      </c>
      <c r="I760" s="199" t="s">
        <v>729</v>
      </c>
      <c r="J760" s="648" t="s">
        <v>111</v>
      </c>
      <c r="K760" s="649" t="s">
        <v>110</v>
      </c>
      <c r="L760" s="1063">
        <v>0.4</v>
      </c>
      <c r="M760" s="827"/>
      <c r="N760" s="827" t="s">
        <v>775</v>
      </c>
      <c r="O760" s="827"/>
      <c r="P760" s="222">
        <v>1</v>
      </c>
      <c r="Q760" s="1063">
        <v>0.05</v>
      </c>
      <c r="R760" s="222"/>
      <c r="S760" s="222">
        <f t="shared" si="22"/>
        <v>0</v>
      </c>
      <c r="T760" s="765">
        <f t="shared" si="23"/>
        <v>0</v>
      </c>
      <c r="U760" s="222" t="s">
        <v>34</v>
      </c>
      <c r="V760" s="1228"/>
      <c r="W760" s="827"/>
    </row>
    <row r="761" spans="1:23" ht="22.95" customHeight="1" x14ac:dyDescent="0.4">
      <c r="A761" s="788">
        <v>760</v>
      </c>
      <c r="B761" s="199" t="s">
        <v>2616</v>
      </c>
      <c r="C761" s="199" t="s">
        <v>24</v>
      </c>
      <c r="D761" s="1259">
        <v>5888</v>
      </c>
      <c r="E761" s="199" t="s">
        <v>3640</v>
      </c>
      <c r="F761" s="198" t="s">
        <v>3612</v>
      </c>
      <c r="G761" s="679">
        <v>3632</v>
      </c>
      <c r="H761" s="198" t="s">
        <v>3592</v>
      </c>
      <c r="I761" s="199" t="s">
        <v>729</v>
      </c>
      <c r="J761" s="648" t="s">
        <v>111</v>
      </c>
      <c r="K761" s="649" t="s">
        <v>110</v>
      </c>
      <c r="L761" s="1063">
        <v>0.4</v>
      </c>
      <c r="M761" s="827"/>
      <c r="N761" s="827" t="s">
        <v>776</v>
      </c>
      <c r="O761" s="827"/>
      <c r="P761" s="222">
        <v>1</v>
      </c>
      <c r="Q761" s="1063">
        <v>0.1</v>
      </c>
      <c r="R761" s="222"/>
      <c r="S761" s="222">
        <f t="shared" si="22"/>
        <v>0</v>
      </c>
      <c r="T761" s="765">
        <f t="shared" si="23"/>
        <v>0</v>
      </c>
      <c r="U761" s="222" t="s">
        <v>34</v>
      </c>
      <c r="V761" s="1228"/>
      <c r="W761" s="827"/>
    </row>
    <row r="762" spans="1:23" ht="22.95" customHeight="1" x14ac:dyDescent="0.4">
      <c r="A762" s="788">
        <v>761</v>
      </c>
      <c r="B762" s="199" t="s">
        <v>2616</v>
      </c>
      <c r="C762" s="199" t="s">
        <v>24</v>
      </c>
      <c r="D762" s="1259">
        <v>5888</v>
      </c>
      <c r="E762" s="199" t="s">
        <v>3640</v>
      </c>
      <c r="F762" s="198" t="s">
        <v>3612</v>
      </c>
      <c r="G762" s="679">
        <v>3632</v>
      </c>
      <c r="H762" s="198" t="s">
        <v>3592</v>
      </c>
      <c r="I762" s="199" t="s">
        <v>729</v>
      </c>
      <c r="J762" s="648" t="s">
        <v>111</v>
      </c>
      <c r="K762" s="649" t="s">
        <v>110</v>
      </c>
      <c r="L762" s="1063">
        <v>0.4</v>
      </c>
      <c r="M762" s="827"/>
      <c r="N762" s="827" t="s">
        <v>251</v>
      </c>
      <c r="O762" s="827"/>
      <c r="P762" s="222">
        <v>1</v>
      </c>
      <c r="Q762" s="1063">
        <v>0.05</v>
      </c>
      <c r="R762" s="222"/>
      <c r="S762" s="222">
        <f t="shared" si="22"/>
        <v>0</v>
      </c>
      <c r="T762" s="765">
        <f t="shared" si="23"/>
        <v>0</v>
      </c>
      <c r="U762" s="222" t="s">
        <v>34</v>
      </c>
      <c r="V762" s="1228"/>
      <c r="W762" s="827"/>
    </row>
    <row r="763" spans="1:23" ht="22.95" customHeight="1" x14ac:dyDescent="0.4">
      <c r="A763" s="788">
        <v>762</v>
      </c>
      <c r="B763" s="199" t="s">
        <v>2616</v>
      </c>
      <c r="C763" s="199" t="s">
        <v>24</v>
      </c>
      <c r="D763" s="1259">
        <v>5888</v>
      </c>
      <c r="E763" s="199" t="s">
        <v>3640</v>
      </c>
      <c r="F763" s="198" t="s">
        <v>3612</v>
      </c>
      <c r="G763" s="679">
        <v>3632</v>
      </c>
      <c r="H763" s="198" t="s">
        <v>3592</v>
      </c>
      <c r="I763" s="199" t="s">
        <v>729</v>
      </c>
      <c r="J763" s="648" t="s">
        <v>111</v>
      </c>
      <c r="K763" s="649" t="s">
        <v>110</v>
      </c>
      <c r="L763" s="1063">
        <v>0.4</v>
      </c>
      <c r="M763" s="827"/>
      <c r="N763" s="827" t="s">
        <v>252</v>
      </c>
      <c r="O763" s="827"/>
      <c r="P763" s="222">
        <v>1</v>
      </c>
      <c r="Q763" s="1063">
        <v>0.05</v>
      </c>
      <c r="R763" s="222"/>
      <c r="S763" s="222">
        <f t="shared" si="22"/>
        <v>0</v>
      </c>
      <c r="T763" s="765">
        <f t="shared" si="23"/>
        <v>0</v>
      </c>
      <c r="U763" s="222" t="s">
        <v>34</v>
      </c>
      <c r="V763" s="1228"/>
      <c r="W763" s="827"/>
    </row>
    <row r="764" spans="1:23" ht="22.95" customHeight="1" x14ac:dyDescent="0.4">
      <c r="A764" s="788">
        <v>763</v>
      </c>
      <c r="B764" s="199" t="s">
        <v>2616</v>
      </c>
      <c r="C764" s="199" t="s">
        <v>24</v>
      </c>
      <c r="D764" s="1259">
        <v>5888</v>
      </c>
      <c r="E764" s="199" t="s">
        <v>3640</v>
      </c>
      <c r="F764" s="198" t="s">
        <v>3612</v>
      </c>
      <c r="G764" s="679">
        <v>3632</v>
      </c>
      <c r="H764" s="198" t="s">
        <v>3592</v>
      </c>
      <c r="I764" s="199" t="s">
        <v>729</v>
      </c>
      <c r="J764" s="648" t="s">
        <v>111</v>
      </c>
      <c r="K764" s="649" t="s">
        <v>110</v>
      </c>
      <c r="L764" s="1063">
        <v>0.4</v>
      </c>
      <c r="M764" s="827"/>
      <c r="N764" s="827" t="s">
        <v>777</v>
      </c>
      <c r="O764" s="827"/>
      <c r="P764" s="222">
        <v>1</v>
      </c>
      <c r="Q764" s="1063">
        <v>0.05</v>
      </c>
      <c r="R764" s="222"/>
      <c r="S764" s="222">
        <f t="shared" si="22"/>
        <v>0</v>
      </c>
      <c r="T764" s="765">
        <f t="shared" si="23"/>
        <v>0</v>
      </c>
      <c r="U764" s="222" t="s">
        <v>34</v>
      </c>
      <c r="V764" s="1228"/>
      <c r="W764" s="827"/>
    </row>
    <row r="765" spans="1:23" ht="22.95" customHeight="1" x14ac:dyDescent="0.4">
      <c r="A765" s="788">
        <v>764</v>
      </c>
      <c r="B765" s="246" t="s">
        <v>2616</v>
      </c>
      <c r="C765" s="246" t="s">
        <v>24</v>
      </c>
      <c r="D765" s="1134">
        <v>5888</v>
      </c>
      <c r="E765" s="246" t="s">
        <v>3640</v>
      </c>
      <c r="F765" s="245" t="s">
        <v>3612</v>
      </c>
      <c r="G765" s="679">
        <v>3632</v>
      </c>
      <c r="H765" s="245" t="s">
        <v>3592</v>
      </c>
      <c r="I765" s="246" t="s">
        <v>729</v>
      </c>
      <c r="J765" s="648" t="s">
        <v>111</v>
      </c>
      <c r="K765" s="649" t="s">
        <v>110</v>
      </c>
      <c r="L765" s="1063">
        <v>0.4</v>
      </c>
      <c r="M765" s="827"/>
      <c r="N765" s="827" t="s">
        <v>253</v>
      </c>
      <c r="O765" s="827"/>
      <c r="P765" s="222">
        <v>1</v>
      </c>
      <c r="Q765" s="1063">
        <v>0.05</v>
      </c>
      <c r="R765" s="222"/>
      <c r="S765" s="222">
        <f t="shared" si="22"/>
        <v>0</v>
      </c>
      <c r="T765" s="765">
        <f t="shared" si="23"/>
        <v>0</v>
      </c>
      <c r="U765" s="222" t="s">
        <v>34</v>
      </c>
      <c r="V765" s="1228"/>
      <c r="W765" s="827"/>
    </row>
    <row r="766" spans="1:23" ht="22.95" customHeight="1" x14ac:dyDescent="0.4">
      <c r="A766" s="788">
        <v>765</v>
      </c>
      <c r="B766" s="236" t="s">
        <v>2616</v>
      </c>
      <c r="C766" s="236" t="s">
        <v>24</v>
      </c>
      <c r="D766" s="1219">
        <v>3795</v>
      </c>
      <c r="E766" s="236" t="s">
        <v>3647</v>
      </c>
      <c r="F766" s="236" t="s">
        <v>3612</v>
      </c>
      <c r="G766" s="238">
        <v>3632</v>
      </c>
      <c r="H766" s="236" t="s">
        <v>3592</v>
      </c>
      <c r="I766" s="236" t="s">
        <v>729</v>
      </c>
      <c r="J766" s="243" t="s">
        <v>58</v>
      </c>
      <c r="K766" s="243" t="s">
        <v>57</v>
      </c>
      <c r="L766" s="1052">
        <v>0.6</v>
      </c>
      <c r="M766" s="952"/>
      <c r="N766" s="952" t="s">
        <v>3613</v>
      </c>
      <c r="O766" s="952"/>
      <c r="P766" s="953">
        <v>1</v>
      </c>
      <c r="Q766" s="1490">
        <v>0.15</v>
      </c>
      <c r="R766" s="953"/>
      <c r="S766" s="855">
        <f t="shared" si="22"/>
        <v>0</v>
      </c>
      <c r="T766" s="854">
        <f t="shared" si="23"/>
        <v>0</v>
      </c>
      <c r="U766" s="953" t="s">
        <v>34</v>
      </c>
      <c r="V766" s="1488">
        <f>SUM(T766:T786)%</f>
        <v>0</v>
      </c>
      <c r="W766" s="952"/>
    </row>
    <row r="767" spans="1:23" ht="22.95" customHeight="1" x14ac:dyDescent="0.4">
      <c r="A767" s="788">
        <v>766</v>
      </c>
      <c r="B767" s="245" t="s">
        <v>2616</v>
      </c>
      <c r="C767" s="245" t="s">
        <v>24</v>
      </c>
      <c r="D767" s="1491">
        <v>3795</v>
      </c>
      <c r="E767" s="245" t="s">
        <v>3647</v>
      </c>
      <c r="F767" s="245" t="s">
        <v>3612</v>
      </c>
      <c r="G767" s="200">
        <v>3632</v>
      </c>
      <c r="H767" s="245" t="s">
        <v>3592</v>
      </c>
      <c r="I767" s="245" t="s">
        <v>729</v>
      </c>
      <c r="J767" s="253" t="s">
        <v>58</v>
      </c>
      <c r="K767" s="210" t="s">
        <v>57</v>
      </c>
      <c r="L767" s="1067">
        <v>0.6</v>
      </c>
      <c r="M767" s="819"/>
      <c r="N767" s="819" t="s">
        <v>3648</v>
      </c>
      <c r="O767" s="819"/>
      <c r="P767" s="669">
        <v>1</v>
      </c>
      <c r="Q767" s="1493">
        <v>0.25</v>
      </c>
      <c r="R767" s="669"/>
      <c r="S767" s="204">
        <f t="shared" si="22"/>
        <v>0</v>
      </c>
      <c r="T767" s="960">
        <f t="shared" si="23"/>
        <v>0</v>
      </c>
      <c r="U767" s="669" t="s">
        <v>34</v>
      </c>
      <c r="V767" s="1494"/>
      <c r="W767" s="767"/>
    </row>
    <row r="768" spans="1:23" ht="22.95" customHeight="1" x14ac:dyDescent="0.4">
      <c r="A768" s="788">
        <v>767</v>
      </c>
      <c r="B768" s="245" t="s">
        <v>2616</v>
      </c>
      <c r="C768" s="245" t="s">
        <v>24</v>
      </c>
      <c r="D768" s="1491">
        <v>3795</v>
      </c>
      <c r="E768" s="245" t="s">
        <v>3647</v>
      </c>
      <c r="F768" s="245" t="s">
        <v>3612</v>
      </c>
      <c r="G768" s="200">
        <v>3632</v>
      </c>
      <c r="H768" s="245" t="s">
        <v>3592</v>
      </c>
      <c r="I768" s="245" t="s">
        <v>729</v>
      </c>
      <c r="J768" s="253" t="s">
        <v>58</v>
      </c>
      <c r="K768" s="210" t="s">
        <v>57</v>
      </c>
      <c r="L768" s="1067">
        <v>0.6</v>
      </c>
      <c r="M768" s="819"/>
      <c r="N768" s="819" t="s">
        <v>3649</v>
      </c>
      <c r="O768" s="819"/>
      <c r="P768" s="669">
        <v>1</v>
      </c>
      <c r="Q768" s="1493">
        <v>0.15</v>
      </c>
      <c r="R768" s="669"/>
      <c r="S768" s="204">
        <f t="shared" si="22"/>
        <v>0</v>
      </c>
      <c r="T768" s="960">
        <f t="shared" si="23"/>
        <v>0</v>
      </c>
      <c r="U768" s="669" t="s">
        <v>34</v>
      </c>
      <c r="V768" s="1494"/>
      <c r="W768" s="767"/>
    </row>
    <row r="769" spans="1:23" ht="22.95" customHeight="1" x14ac:dyDescent="0.4">
      <c r="A769" s="788">
        <v>768</v>
      </c>
      <c r="B769" s="245" t="s">
        <v>2616</v>
      </c>
      <c r="C769" s="245" t="s">
        <v>24</v>
      </c>
      <c r="D769" s="1491">
        <v>3795</v>
      </c>
      <c r="E769" s="245" t="s">
        <v>3647</v>
      </c>
      <c r="F769" s="245" t="s">
        <v>3612</v>
      </c>
      <c r="G769" s="200">
        <v>3632</v>
      </c>
      <c r="H769" s="245" t="s">
        <v>3592</v>
      </c>
      <c r="I769" s="245" t="s">
        <v>729</v>
      </c>
      <c r="J769" s="253" t="s">
        <v>58</v>
      </c>
      <c r="K769" s="210" t="s">
        <v>57</v>
      </c>
      <c r="L769" s="1067">
        <v>0.6</v>
      </c>
      <c r="M769" s="819"/>
      <c r="N769" s="819" t="s">
        <v>3650</v>
      </c>
      <c r="O769" s="819"/>
      <c r="P769" s="669">
        <v>1</v>
      </c>
      <c r="Q769" s="1493">
        <v>0.2</v>
      </c>
      <c r="R769" s="669"/>
      <c r="S769" s="204">
        <f t="shared" si="22"/>
        <v>0</v>
      </c>
      <c r="T769" s="960">
        <f t="shared" si="23"/>
        <v>0</v>
      </c>
      <c r="U769" s="669" t="s">
        <v>34</v>
      </c>
      <c r="V769" s="1494"/>
      <c r="W769" s="767"/>
    </row>
    <row r="770" spans="1:23" ht="22.95" customHeight="1" x14ac:dyDescent="0.4">
      <c r="A770" s="788">
        <v>769</v>
      </c>
      <c r="B770" s="245" t="s">
        <v>2616</v>
      </c>
      <c r="C770" s="245" t="s">
        <v>24</v>
      </c>
      <c r="D770" s="1491">
        <v>3795</v>
      </c>
      <c r="E770" s="245" t="s">
        <v>3647</v>
      </c>
      <c r="F770" s="245" t="s">
        <v>3612</v>
      </c>
      <c r="G770" s="200">
        <v>3632</v>
      </c>
      <c r="H770" s="245" t="s">
        <v>3592</v>
      </c>
      <c r="I770" s="245" t="s">
        <v>729</v>
      </c>
      <c r="J770" s="253" t="s">
        <v>58</v>
      </c>
      <c r="K770" s="210" t="s">
        <v>57</v>
      </c>
      <c r="L770" s="1067">
        <v>0.6</v>
      </c>
      <c r="M770" s="819"/>
      <c r="N770" s="819" t="s">
        <v>3651</v>
      </c>
      <c r="O770" s="819"/>
      <c r="P770" s="669">
        <v>1</v>
      </c>
      <c r="Q770" s="1493">
        <v>0.15</v>
      </c>
      <c r="R770" s="669"/>
      <c r="S770" s="204">
        <f t="shared" ref="S770:S833" si="24">ROUND(IF(OR(P770="",R770=""),0,IF(AND(P770=0,R770=0),1,IF(U770="+",R770/P770,P770/R770))),2)</f>
        <v>0</v>
      </c>
      <c r="T770" s="960">
        <f t="shared" ref="T770:T833" si="25">IF(AND(S770&gt;=60%,S770&lt;100%),S770*((Q770*L770)),IF(S770=100%,((Q770*L770)*S770)*100%,IF(S770&gt;100%,((L770*Q770)*100%)*100%,0)))*100</f>
        <v>0</v>
      </c>
      <c r="U770" s="669" t="s">
        <v>34</v>
      </c>
      <c r="V770" s="1494"/>
      <c r="W770" s="767"/>
    </row>
    <row r="771" spans="1:23" ht="22.95" customHeight="1" x14ac:dyDescent="0.4">
      <c r="A771" s="788">
        <v>770</v>
      </c>
      <c r="B771" s="245" t="s">
        <v>2616</v>
      </c>
      <c r="C771" s="245" t="s">
        <v>24</v>
      </c>
      <c r="D771" s="1491">
        <v>3795</v>
      </c>
      <c r="E771" s="245" t="s">
        <v>3647</v>
      </c>
      <c r="F771" s="245" t="s">
        <v>3612</v>
      </c>
      <c r="G771" s="200">
        <v>3632</v>
      </c>
      <c r="H771" s="245" t="s">
        <v>3592</v>
      </c>
      <c r="I771" s="245" t="s">
        <v>729</v>
      </c>
      <c r="J771" s="253" t="s">
        <v>58</v>
      </c>
      <c r="K771" s="210" t="s">
        <v>57</v>
      </c>
      <c r="L771" s="1067">
        <v>0.6</v>
      </c>
      <c r="M771" s="819"/>
      <c r="N771" s="819" t="s">
        <v>3652</v>
      </c>
      <c r="O771" s="819"/>
      <c r="P771" s="669">
        <v>1</v>
      </c>
      <c r="Q771" s="1493">
        <v>0.1</v>
      </c>
      <c r="R771" s="669"/>
      <c r="S771" s="204">
        <f t="shared" si="24"/>
        <v>0</v>
      </c>
      <c r="T771" s="960">
        <f t="shared" si="25"/>
        <v>0</v>
      </c>
      <c r="U771" s="669" t="s">
        <v>34</v>
      </c>
      <c r="V771" s="1494"/>
      <c r="W771" s="767"/>
    </row>
    <row r="772" spans="1:23" ht="22.95" customHeight="1" x14ac:dyDescent="0.4">
      <c r="A772" s="788">
        <v>771</v>
      </c>
      <c r="B772" s="245" t="s">
        <v>2616</v>
      </c>
      <c r="C772" s="245" t="s">
        <v>24</v>
      </c>
      <c r="D772" s="1491">
        <v>3795</v>
      </c>
      <c r="E772" s="245" t="s">
        <v>3647</v>
      </c>
      <c r="F772" s="245" t="s">
        <v>3612</v>
      </c>
      <c r="G772" s="200">
        <v>3632</v>
      </c>
      <c r="H772" s="245" t="s">
        <v>3592</v>
      </c>
      <c r="I772" s="245" t="s">
        <v>729</v>
      </c>
      <c r="J772" s="253" t="s">
        <v>111</v>
      </c>
      <c r="K772" s="210" t="s">
        <v>110</v>
      </c>
      <c r="L772" s="1145">
        <v>0.4</v>
      </c>
      <c r="M772" s="767"/>
      <c r="N772" s="767" t="s">
        <v>255</v>
      </c>
      <c r="O772" s="767"/>
      <c r="P772" s="650">
        <v>1</v>
      </c>
      <c r="Q772" s="1145">
        <v>0.05</v>
      </c>
      <c r="R772" s="650"/>
      <c r="S772" s="650">
        <f t="shared" si="24"/>
        <v>0</v>
      </c>
      <c r="T772" s="701">
        <f t="shared" si="25"/>
        <v>0</v>
      </c>
      <c r="U772" s="650" t="s">
        <v>34</v>
      </c>
      <c r="V772" s="1498"/>
      <c r="W772" s="767"/>
    </row>
    <row r="773" spans="1:23" ht="22.95" customHeight="1" x14ac:dyDescent="0.4">
      <c r="A773" s="788">
        <v>772</v>
      </c>
      <c r="B773" s="245" t="s">
        <v>2616</v>
      </c>
      <c r="C773" s="245" t="s">
        <v>24</v>
      </c>
      <c r="D773" s="1491">
        <v>3795</v>
      </c>
      <c r="E773" s="245" t="s">
        <v>3647</v>
      </c>
      <c r="F773" s="245" t="s">
        <v>3612</v>
      </c>
      <c r="G773" s="200">
        <v>3632</v>
      </c>
      <c r="H773" s="245" t="s">
        <v>3592</v>
      </c>
      <c r="I773" s="245" t="s">
        <v>729</v>
      </c>
      <c r="J773" s="253" t="s">
        <v>111</v>
      </c>
      <c r="K773" s="210" t="s">
        <v>110</v>
      </c>
      <c r="L773" s="1145">
        <v>0.4</v>
      </c>
      <c r="M773" s="767"/>
      <c r="N773" s="767" t="s">
        <v>768</v>
      </c>
      <c r="O773" s="767"/>
      <c r="P773" s="650">
        <v>1</v>
      </c>
      <c r="Q773" s="1145">
        <v>0.05</v>
      </c>
      <c r="R773" s="650"/>
      <c r="S773" s="650">
        <f t="shared" si="24"/>
        <v>0</v>
      </c>
      <c r="T773" s="701">
        <f t="shared" si="25"/>
        <v>0</v>
      </c>
      <c r="U773" s="650" t="s">
        <v>34</v>
      </c>
      <c r="V773" s="1498"/>
      <c r="W773" s="767"/>
    </row>
    <row r="774" spans="1:23" ht="22.95" customHeight="1" x14ac:dyDescent="0.4">
      <c r="A774" s="788">
        <v>773</v>
      </c>
      <c r="B774" s="245" t="s">
        <v>2616</v>
      </c>
      <c r="C774" s="245" t="s">
        <v>24</v>
      </c>
      <c r="D774" s="1491">
        <v>3795</v>
      </c>
      <c r="E774" s="245" t="s">
        <v>3647</v>
      </c>
      <c r="F774" s="245" t="s">
        <v>3612</v>
      </c>
      <c r="G774" s="200">
        <v>3632</v>
      </c>
      <c r="H774" s="245" t="s">
        <v>3592</v>
      </c>
      <c r="I774" s="245" t="s">
        <v>729</v>
      </c>
      <c r="J774" s="253" t="s">
        <v>111</v>
      </c>
      <c r="K774" s="210" t="s">
        <v>110</v>
      </c>
      <c r="L774" s="1145">
        <v>0.4</v>
      </c>
      <c r="M774" s="767"/>
      <c r="N774" s="767" t="s">
        <v>769</v>
      </c>
      <c r="O774" s="767"/>
      <c r="P774" s="650">
        <v>1</v>
      </c>
      <c r="Q774" s="1145">
        <v>0.05</v>
      </c>
      <c r="R774" s="650"/>
      <c r="S774" s="650">
        <f t="shared" si="24"/>
        <v>0</v>
      </c>
      <c r="T774" s="701">
        <f t="shared" si="25"/>
        <v>0</v>
      </c>
      <c r="U774" s="650" t="s">
        <v>34</v>
      </c>
      <c r="V774" s="1498"/>
      <c r="W774" s="767"/>
    </row>
    <row r="775" spans="1:23" ht="22.95" customHeight="1" x14ac:dyDescent="0.4">
      <c r="A775" s="788">
        <v>774</v>
      </c>
      <c r="B775" s="245" t="s">
        <v>2616</v>
      </c>
      <c r="C775" s="245" t="s">
        <v>24</v>
      </c>
      <c r="D775" s="1491">
        <v>3795</v>
      </c>
      <c r="E775" s="245" t="s">
        <v>3647</v>
      </c>
      <c r="F775" s="245" t="s">
        <v>3612</v>
      </c>
      <c r="G775" s="200">
        <v>3632</v>
      </c>
      <c r="H775" s="245" t="s">
        <v>3592</v>
      </c>
      <c r="I775" s="245" t="s">
        <v>729</v>
      </c>
      <c r="J775" s="253" t="s">
        <v>111</v>
      </c>
      <c r="K775" s="210" t="s">
        <v>110</v>
      </c>
      <c r="L775" s="1145">
        <v>0.4</v>
      </c>
      <c r="M775" s="767"/>
      <c r="N775" s="767" t="s">
        <v>770</v>
      </c>
      <c r="O775" s="767"/>
      <c r="P775" s="650">
        <v>1</v>
      </c>
      <c r="Q775" s="1145">
        <v>0.15</v>
      </c>
      <c r="R775" s="650"/>
      <c r="S775" s="650">
        <f t="shared" si="24"/>
        <v>0</v>
      </c>
      <c r="T775" s="701">
        <f t="shared" si="25"/>
        <v>0</v>
      </c>
      <c r="U775" s="650" t="s">
        <v>34</v>
      </c>
      <c r="V775" s="1498"/>
      <c r="W775" s="767"/>
    </row>
    <row r="776" spans="1:23" ht="22.95" customHeight="1" x14ac:dyDescent="0.4">
      <c r="A776" s="788">
        <v>775</v>
      </c>
      <c r="B776" s="245" t="s">
        <v>2616</v>
      </c>
      <c r="C776" s="245" t="s">
        <v>24</v>
      </c>
      <c r="D776" s="1491">
        <v>3795</v>
      </c>
      <c r="E776" s="245" t="s">
        <v>3647</v>
      </c>
      <c r="F776" s="245" t="s">
        <v>3612</v>
      </c>
      <c r="G776" s="200">
        <v>3632</v>
      </c>
      <c r="H776" s="245" t="s">
        <v>3592</v>
      </c>
      <c r="I776" s="245" t="s">
        <v>729</v>
      </c>
      <c r="J776" s="253" t="s">
        <v>111</v>
      </c>
      <c r="K776" s="210" t="s">
        <v>110</v>
      </c>
      <c r="L776" s="1145">
        <v>0.4</v>
      </c>
      <c r="M776" s="767"/>
      <c r="N776" s="767" t="s">
        <v>254</v>
      </c>
      <c r="O776" s="767"/>
      <c r="P776" s="650">
        <v>1</v>
      </c>
      <c r="Q776" s="1145">
        <v>0.1</v>
      </c>
      <c r="R776" s="650"/>
      <c r="S776" s="650">
        <f t="shared" si="24"/>
        <v>0</v>
      </c>
      <c r="T776" s="701">
        <f t="shared" si="25"/>
        <v>0</v>
      </c>
      <c r="U776" s="650" t="s">
        <v>34</v>
      </c>
      <c r="V776" s="1498"/>
      <c r="W776" s="767"/>
    </row>
    <row r="777" spans="1:23" ht="22.95" customHeight="1" x14ac:dyDescent="0.4">
      <c r="A777" s="788">
        <v>776</v>
      </c>
      <c r="B777" s="245" t="s">
        <v>2616</v>
      </c>
      <c r="C777" s="245" t="s">
        <v>24</v>
      </c>
      <c r="D777" s="1491">
        <v>3795</v>
      </c>
      <c r="E777" s="245" t="s">
        <v>3647</v>
      </c>
      <c r="F777" s="245" t="s">
        <v>3612</v>
      </c>
      <c r="G777" s="200">
        <v>3632</v>
      </c>
      <c r="H777" s="245" t="s">
        <v>3592</v>
      </c>
      <c r="I777" s="245" t="s">
        <v>729</v>
      </c>
      <c r="J777" s="253" t="s">
        <v>111</v>
      </c>
      <c r="K777" s="210" t="s">
        <v>110</v>
      </c>
      <c r="L777" s="1145">
        <v>0.4</v>
      </c>
      <c r="M777" s="767"/>
      <c r="N777" s="767" t="s">
        <v>771</v>
      </c>
      <c r="O777" s="767"/>
      <c r="P777" s="650">
        <v>1</v>
      </c>
      <c r="Q777" s="1145">
        <v>0.05</v>
      </c>
      <c r="R777" s="650"/>
      <c r="S777" s="650">
        <f t="shared" si="24"/>
        <v>0</v>
      </c>
      <c r="T777" s="701">
        <f t="shared" si="25"/>
        <v>0</v>
      </c>
      <c r="U777" s="650" t="s">
        <v>34</v>
      </c>
      <c r="V777" s="1498"/>
      <c r="W777" s="767"/>
    </row>
    <row r="778" spans="1:23" ht="22.95" customHeight="1" x14ac:dyDescent="0.4">
      <c r="A778" s="788">
        <v>777</v>
      </c>
      <c r="B778" s="245" t="s">
        <v>2616</v>
      </c>
      <c r="C778" s="245" t="s">
        <v>24</v>
      </c>
      <c r="D778" s="1491">
        <v>3795</v>
      </c>
      <c r="E778" s="245" t="s">
        <v>3647</v>
      </c>
      <c r="F778" s="245" t="s">
        <v>3612</v>
      </c>
      <c r="G778" s="200">
        <v>3632</v>
      </c>
      <c r="H778" s="245" t="s">
        <v>3592</v>
      </c>
      <c r="I778" s="245" t="s">
        <v>729</v>
      </c>
      <c r="J778" s="253" t="s">
        <v>111</v>
      </c>
      <c r="K778" s="210" t="s">
        <v>110</v>
      </c>
      <c r="L778" s="1145">
        <v>0.4</v>
      </c>
      <c r="M778" s="767"/>
      <c r="N778" s="767" t="s">
        <v>772</v>
      </c>
      <c r="O778" s="767"/>
      <c r="P778" s="650">
        <v>1</v>
      </c>
      <c r="Q778" s="1145">
        <v>0.1</v>
      </c>
      <c r="R778" s="650"/>
      <c r="S778" s="650">
        <f t="shared" si="24"/>
        <v>0</v>
      </c>
      <c r="T778" s="701">
        <f t="shared" si="25"/>
        <v>0</v>
      </c>
      <c r="U778" s="650" t="s">
        <v>34</v>
      </c>
      <c r="V778" s="1498"/>
      <c r="W778" s="767"/>
    </row>
    <row r="779" spans="1:23" ht="22.95" customHeight="1" x14ac:dyDescent="0.4">
      <c r="A779" s="788">
        <v>778</v>
      </c>
      <c r="B779" s="245" t="s">
        <v>2616</v>
      </c>
      <c r="C779" s="245" t="s">
        <v>24</v>
      </c>
      <c r="D779" s="1491">
        <v>3795</v>
      </c>
      <c r="E779" s="245" t="s">
        <v>3647</v>
      </c>
      <c r="F779" s="245" t="s">
        <v>3612</v>
      </c>
      <c r="G779" s="200">
        <v>3632</v>
      </c>
      <c r="H779" s="245" t="s">
        <v>3592</v>
      </c>
      <c r="I779" s="245" t="s">
        <v>729</v>
      </c>
      <c r="J779" s="253" t="s">
        <v>111</v>
      </c>
      <c r="K779" s="210" t="s">
        <v>110</v>
      </c>
      <c r="L779" s="1145">
        <v>0.4</v>
      </c>
      <c r="M779" s="767"/>
      <c r="N779" s="767" t="s">
        <v>773</v>
      </c>
      <c r="O779" s="767"/>
      <c r="P779" s="650">
        <v>1</v>
      </c>
      <c r="Q779" s="1145">
        <v>0.05</v>
      </c>
      <c r="R779" s="650"/>
      <c r="S779" s="650">
        <f t="shared" si="24"/>
        <v>0</v>
      </c>
      <c r="T779" s="701">
        <f t="shared" si="25"/>
        <v>0</v>
      </c>
      <c r="U779" s="650" t="s">
        <v>34</v>
      </c>
      <c r="V779" s="1498"/>
      <c r="W779" s="767"/>
    </row>
    <row r="780" spans="1:23" ht="22.95" customHeight="1" x14ac:dyDescent="0.4">
      <c r="A780" s="788">
        <v>779</v>
      </c>
      <c r="B780" s="245" t="s">
        <v>2616</v>
      </c>
      <c r="C780" s="245" t="s">
        <v>24</v>
      </c>
      <c r="D780" s="1491">
        <v>3795</v>
      </c>
      <c r="E780" s="245" t="s">
        <v>3647</v>
      </c>
      <c r="F780" s="245" t="s">
        <v>3612</v>
      </c>
      <c r="G780" s="200">
        <v>3632</v>
      </c>
      <c r="H780" s="245" t="s">
        <v>3592</v>
      </c>
      <c r="I780" s="245" t="s">
        <v>729</v>
      </c>
      <c r="J780" s="253" t="s">
        <v>111</v>
      </c>
      <c r="K780" s="210" t="s">
        <v>110</v>
      </c>
      <c r="L780" s="1145">
        <v>0.4</v>
      </c>
      <c r="M780" s="767"/>
      <c r="N780" s="767" t="s">
        <v>774</v>
      </c>
      <c r="O780" s="767"/>
      <c r="P780" s="650">
        <v>1</v>
      </c>
      <c r="Q780" s="1145">
        <v>0.05</v>
      </c>
      <c r="R780" s="650"/>
      <c r="S780" s="650">
        <f t="shared" si="24"/>
        <v>0</v>
      </c>
      <c r="T780" s="701">
        <f t="shared" si="25"/>
        <v>0</v>
      </c>
      <c r="U780" s="650" t="s">
        <v>34</v>
      </c>
      <c r="V780" s="1498"/>
      <c r="W780" s="767"/>
    </row>
    <row r="781" spans="1:23" ht="22.95" customHeight="1" x14ac:dyDescent="0.4">
      <c r="A781" s="788">
        <v>780</v>
      </c>
      <c r="B781" s="245" t="s">
        <v>2616</v>
      </c>
      <c r="C781" s="245" t="s">
        <v>24</v>
      </c>
      <c r="D781" s="1491">
        <v>3795</v>
      </c>
      <c r="E781" s="245" t="s">
        <v>3647</v>
      </c>
      <c r="F781" s="245" t="s">
        <v>3612</v>
      </c>
      <c r="G781" s="200">
        <v>3632</v>
      </c>
      <c r="H781" s="245" t="s">
        <v>3592</v>
      </c>
      <c r="I781" s="245" t="s">
        <v>729</v>
      </c>
      <c r="J781" s="253" t="s">
        <v>111</v>
      </c>
      <c r="K781" s="210" t="s">
        <v>110</v>
      </c>
      <c r="L781" s="1145">
        <v>0.4</v>
      </c>
      <c r="M781" s="767"/>
      <c r="N781" s="767" t="s">
        <v>775</v>
      </c>
      <c r="O781" s="767"/>
      <c r="P781" s="650">
        <v>1</v>
      </c>
      <c r="Q781" s="1145">
        <v>0.05</v>
      </c>
      <c r="R781" s="650"/>
      <c r="S781" s="650">
        <f t="shared" si="24"/>
        <v>0</v>
      </c>
      <c r="T781" s="701">
        <f t="shared" si="25"/>
        <v>0</v>
      </c>
      <c r="U781" s="650" t="s">
        <v>34</v>
      </c>
      <c r="V781" s="1498"/>
      <c r="W781" s="767"/>
    </row>
    <row r="782" spans="1:23" ht="22.95" customHeight="1" x14ac:dyDescent="0.4">
      <c r="A782" s="788">
        <v>781</v>
      </c>
      <c r="B782" s="245" t="s">
        <v>2616</v>
      </c>
      <c r="C782" s="245" t="s">
        <v>24</v>
      </c>
      <c r="D782" s="1491">
        <v>3795</v>
      </c>
      <c r="E782" s="245" t="s">
        <v>3647</v>
      </c>
      <c r="F782" s="245" t="s">
        <v>3612</v>
      </c>
      <c r="G782" s="200">
        <v>3632</v>
      </c>
      <c r="H782" s="245" t="s">
        <v>3592</v>
      </c>
      <c r="I782" s="245" t="s">
        <v>729</v>
      </c>
      <c r="J782" s="253" t="s">
        <v>111</v>
      </c>
      <c r="K782" s="210" t="s">
        <v>110</v>
      </c>
      <c r="L782" s="1145">
        <v>0.4</v>
      </c>
      <c r="M782" s="767"/>
      <c r="N782" s="767" t="s">
        <v>776</v>
      </c>
      <c r="O782" s="767"/>
      <c r="P782" s="650">
        <v>1</v>
      </c>
      <c r="Q782" s="1145">
        <v>0.1</v>
      </c>
      <c r="R782" s="650"/>
      <c r="S782" s="650">
        <f t="shared" si="24"/>
        <v>0</v>
      </c>
      <c r="T782" s="701">
        <f t="shared" si="25"/>
        <v>0</v>
      </c>
      <c r="U782" s="650" t="s">
        <v>34</v>
      </c>
      <c r="V782" s="1498"/>
      <c r="W782" s="767"/>
    </row>
    <row r="783" spans="1:23" ht="22.95" customHeight="1" x14ac:dyDescent="0.4">
      <c r="A783" s="788">
        <v>782</v>
      </c>
      <c r="B783" s="245" t="s">
        <v>2616</v>
      </c>
      <c r="C783" s="245" t="s">
        <v>24</v>
      </c>
      <c r="D783" s="1491">
        <v>3795</v>
      </c>
      <c r="E783" s="245" t="s">
        <v>3647</v>
      </c>
      <c r="F783" s="245" t="s">
        <v>3612</v>
      </c>
      <c r="G783" s="200">
        <v>3632</v>
      </c>
      <c r="H783" s="245" t="s">
        <v>3592</v>
      </c>
      <c r="I783" s="245" t="s">
        <v>729</v>
      </c>
      <c r="J783" s="253" t="s">
        <v>111</v>
      </c>
      <c r="K783" s="210" t="s">
        <v>110</v>
      </c>
      <c r="L783" s="1145">
        <v>0.4</v>
      </c>
      <c r="M783" s="767"/>
      <c r="N783" s="767" t="s">
        <v>251</v>
      </c>
      <c r="O783" s="767"/>
      <c r="P783" s="650">
        <v>1</v>
      </c>
      <c r="Q783" s="1145">
        <v>0.05</v>
      </c>
      <c r="R783" s="650"/>
      <c r="S783" s="650">
        <f t="shared" si="24"/>
        <v>0</v>
      </c>
      <c r="T783" s="701">
        <f t="shared" si="25"/>
        <v>0</v>
      </c>
      <c r="U783" s="650" t="s">
        <v>34</v>
      </c>
      <c r="V783" s="1498"/>
      <c r="W783" s="767"/>
    </row>
    <row r="784" spans="1:23" ht="22.95" customHeight="1" x14ac:dyDescent="0.4">
      <c r="A784" s="788">
        <v>783</v>
      </c>
      <c r="B784" s="245" t="s">
        <v>2616</v>
      </c>
      <c r="C784" s="245" t="s">
        <v>24</v>
      </c>
      <c r="D784" s="1491">
        <v>3795</v>
      </c>
      <c r="E784" s="245" t="s">
        <v>3647</v>
      </c>
      <c r="F784" s="245" t="s">
        <v>3612</v>
      </c>
      <c r="G784" s="200">
        <v>3632</v>
      </c>
      <c r="H784" s="245" t="s">
        <v>3592</v>
      </c>
      <c r="I784" s="245" t="s">
        <v>729</v>
      </c>
      <c r="J784" s="253" t="s">
        <v>111</v>
      </c>
      <c r="K784" s="210" t="s">
        <v>110</v>
      </c>
      <c r="L784" s="1145">
        <v>0.4</v>
      </c>
      <c r="M784" s="767"/>
      <c r="N784" s="767" t="s">
        <v>252</v>
      </c>
      <c r="O784" s="767"/>
      <c r="P784" s="650">
        <v>1</v>
      </c>
      <c r="Q784" s="1145">
        <v>0.05</v>
      </c>
      <c r="R784" s="650"/>
      <c r="S784" s="650">
        <f t="shared" si="24"/>
        <v>0</v>
      </c>
      <c r="T784" s="701">
        <f t="shared" si="25"/>
        <v>0</v>
      </c>
      <c r="U784" s="650" t="s">
        <v>34</v>
      </c>
      <c r="V784" s="1498"/>
      <c r="W784" s="767"/>
    </row>
    <row r="785" spans="1:23" ht="22.95" customHeight="1" x14ac:dyDescent="0.4">
      <c r="A785" s="788">
        <v>784</v>
      </c>
      <c r="B785" s="245" t="s">
        <v>2616</v>
      </c>
      <c r="C785" s="245" t="s">
        <v>24</v>
      </c>
      <c r="D785" s="1491">
        <v>3795</v>
      </c>
      <c r="E785" s="245" t="s">
        <v>3647</v>
      </c>
      <c r="F785" s="245" t="s">
        <v>3612</v>
      </c>
      <c r="G785" s="200">
        <v>3632</v>
      </c>
      <c r="H785" s="245" t="s">
        <v>3592</v>
      </c>
      <c r="I785" s="245" t="s">
        <v>729</v>
      </c>
      <c r="J785" s="253" t="s">
        <v>111</v>
      </c>
      <c r="K785" s="210" t="s">
        <v>110</v>
      </c>
      <c r="L785" s="1145">
        <v>0.4</v>
      </c>
      <c r="M785" s="767"/>
      <c r="N785" s="767" t="s">
        <v>777</v>
      </c>
      <c r="O785" s="767"/>
      <c r="P785" s="650">
        <v>1</v>
      </c>
      <c r="Q785" s="1145">
        <v>0.05</v>
      </c>
      <c r="R785" s="650"/>
      <c r="S785" s="650">
        <f t="shared" si="24"/>
        <v>0</v>
      </c>
      <c r="T785" s="701">
        <f t="shared" si="25"/>
        <v>0</v>
      </c>
      <c r="U785" s="650" t="s">
        <v>34</v>
      </c>
      <c r="V785" s="1498"/>
      <c r="W785" s="767"/>
    </row>
    <row r="786" spans="1:23" ht="22.95" customHeight="1" x14ac:dyDescent="0.4">
      <c r="A786" s="788">
        <v>785</v>
      </c>
      <c r="B786" s="245" t="s">
        <v>2616</v>
      </c>
      <c r="C786" s="245" t="s">
        <v>24</v>
      </c>
      <c r="D786" s="1491">
        <v>3795</v>
      </c>
      <c r="E786" s="245" t="s">
        <v>3647</v>
      </c>
      <c r="F786" s="245" t="s">
        <v>3612</v>
      </c>
      <c r="G786" s="200">
        <v>3632</v>
      </c>
      <c r="H786" s="245" t="s">
        <v>3592</v>
      </c>
      <c r="I786" s="245" t="s">
        <v>729</v>
      </c>
      <c r="J786" s="253" t="s">
        <v>111</v>
      </c>
      <c r="K786" s="210" t="s">
        <v>110</v>
      </c>
      <c r="L786" s="1145">
        <v>0.4</v>
      </c>
      <c r="M786" s="767"/>
      <c r="N786" s="767" t="s">
        <v>253</v>
      </c>
      <c r="O786" s="767"/>
      <c r="P786" s="650">
        <v>1</v>
      </c>
      <c r="Q786" s="1145">
        <v>0.05</v>
      </c>
      <c r="R786" s="650"/>
      <c r="S786" s="650">
        <f t="shared" si="24"/>
        <v>0</v>
      </c>
      <c r="T786" s="701">
        <f t="shared" si="25"/>
        <v>0</v>
      </c>
      <c r="U786" s="650" t="s">
        <v>34</v>
      </c>
      <c r="V786" s="1498"/>
      <c r="W786" s="767"/>
    </row>
    <row r="787" spans="1:23" ht="22.95" customHeight="1" x14ac:dyDescent="0.4">
      <c r="A787" s="788">
        <v>786</v>
      </c>
      <c r="B787" s="187" t="s">
        <v>2616</v>
      </c>
      <c r="C787" s="187" t="s">
        <v>24</v>
      </c>
      <c r="D787" s="1200">
        <v>2479</v>
      </c>
      <c r="E787" s="187" t="s">
        <v>3653</v>
      </c>
      <c r="F787" s="187" t="s">
        <v>3654</v>
      </c>
      <c r="G787" s="238">
        <v>6039</v>
      </c>
      <c r="H787" s="236" t="s">
        <v>3584</v>
      </c>
      <c r="I787" s="187" t="s">
        <v>729</v>
      </c>
      <c r="J787" s="243" t="s">
        <v>58</v>
      </c>
      <c r="K787" s="243" t="s">
        <v>57</v>
      </c>
      <c r="L787" s="1193">
        <v>0.4</v>
      </c>
      <c r="M787" s="952"/>
      <c r="N787" s="952" t="s">
        <v>3655</v>
      </c>
      <c r="O787" s="952"/>
      <c r="P787" s="195">
        <v>1</v>
      </c>
      <c r="Q787" s="1193">
        <v>0.3</v>
      </c>
      <c r="R787" s="195"/>
      <c r="S787" s="195">
        <f t="shared" si="24"/>
        <v>0</v>
      </c>
      <c r="T787" s="196">
        <f t="shared" si="25"/>
        <v>0</v>
      </c>
      <c r="U787" s="195" t="s">
        <v>34</v>
      </c>
      <c r="V787" s="1488">
        <f>SUM(T787:T794)/100</f>
        <v>0</v>
      </c>
      <c r="W787" s="952"/>
    </row>
    <row r="788" spans="1:23" ht="22.95" customHeight="1" x14ac:dyDescent="0.4">
      <c r="A788" s="788">
        <v>787</v>
      </c>
      <c r="B788" s="246" t="s">
        <v>2616</v>
      </c>
      <c r="C788" s="246" t="s">
        <v>24</v>
      </c>
      <c r="D788" s="1363">
        <v>2479</v>
      </c>
      <c r="E788" s="246" t="s">
        <v>3653</v>
      </c>
      <c r="F788" s="246" t="s">
        <v>3654</v>
      </c>
      <c r="G788" s="200">
        <v>6039</v>
      </c>
      <c r="H788" s="245" t="s">
        <v>3584</v>
      </c>
      <c r="I788" s="246" t="s">
        <v>729</v>
      </c>
      <c r="J788" s="253" t="s">
        <v>58</v>
      </c>
      <c r="K788" s="253" t="s">
        <v>57</v>
      </c>
      <c r="L788" s="1196">
        <v>0.4</v>
      </c>
      <c r="M788" s="819"/>
      <c r="N788" s="819" t="s">
        <v>3656</v>
      </c>
      <c r="O788" s="819"/>
      <c r="P788" s="206">
        <v>1</v>
      </c>
      <c r="Q788" s="1196">
        <v>0.35</v>
      </c>
      <c r="R788" s="206"/>
      <c r="S788" s="206">
        <f t="shared" si="24"/>
        <v>0</v>
      </c>
      <c r="T788" s="207">
        <f t="shared" si="25"/>
        <v>0</v>
      </c>
      <c r="U788" s="206" t="s">
        <v>34</v>
      </c>
      <c r="V788" s="1203"/>
      <c r="W788" s="767"/>
    </row>
    <row r="789" spans="1:23" ht="22.95" customHeight="1" x14ac:dyDescent="0.4">
      <c r="A789" s="788">
        <v>788</v>
      </c>
      <c r="B789" s="246" t="s">
        <v>2616</v>
      </c>
      <c r="C789" s="246" t="s">
        <v>24</v>
      </c>
      <c r="D789" s="1306">
        <v>2479</v>
      </c>
      <c r="E789" s="246" t="s">
        <v>3653</v>
      </c>
      <c r="F789" s="246" t="s">
        <v>3654</v>
      </c>
      <c r="G789" s="200">
        <v>6039</v>
      </c>
      <c r="H789" s="245" t="s">
        <v>3584</v>
      </c>
      <c r="I789" s="246" t="s">
        <v>729</v>
      </c>
      <c r="J789" s="253" t="s">
        <v>58</v>
      </c>
      <c r="K789" s="253" t="s">
        <v>57</v>
      </c>
      <c r="L789" s="1196">
        <v>0.4</v>
      </c>
      <c r="M789" s="819"/>
      <c r="N789" s="819" t="s">
        <v>3657</v>
      </c>
      <c r="O789" s="819"/>
      <c r="P789" s="206">
        <v>1</v>
      </c>
      <c r="Q789" s="1196">
        <v>0.35</v>
      </c>
      <c r="R789" s="206"/>
      <c r="S789" s="206">
        <f t="shared" si="24"/>
        <v>0</v>
      </c>
      <c r="T789" s="207">
        <f t="shared" si="25"/>
        <v>0</v>
      </c>
      <c r="U789" s="206" t="s">
        <v>34</v>
      </c>
      <c r="V789" s="1203"/>
      <c r="W789" s="767"/>
    </row>
    <row r="790" spans="1:23" ht="22.95" customHeight="1" x14ac:dyDescent="0.4">
      <c r="A790" s="788">
        <v>789</v>
      </c>
      <c r="B790" s="246" t="s">
        <v>2616</v>
      </c>
      <c r="C790" s="246" t="s">
        <v>24</v>
      </c>
      <c r="D790" s="1306">
        <v>2479</v>
      </c>
      <c r="E790" s="246" t="s">
        <v>3653</v>
      </c>
      <c r="F790" s="246" t="s">
        <v>3654</v>
      </c>
      <c r="G790" s="200">
        <v>6039</v>
      </c>
      <c r="H790" s="245" t="s">
        <v>3584</v>
      </c>
      <c r="I790" s="246" t="s">
        <v>729</v>
      </c>
      <c r="J790" s="253" t="s">
        <v>111</v>
      </c>
      <c r="K790" s="253" t="s">
        <v>110</v>
      </c>
      <c r="L790" s="1245">
        <v>0.6</v>
      </c>
      <c r="M790" s="767"/>
      <c r="N790" s="767" t="s">
        <v>3587</v>
      </c>
      <c r="O790" s="767"/>
      <c r="P790" s="262">
        <v>1</v>
      </c>
      <c r="Q790" s="1245">
        <v>0.2</v>
      </c>
      <c r="R790" s="262"/>
      <c r="S790" s="262">
        <f t="shared" si="24"/>
        <v>0</v>
      </c>
      <c r="T790" s="263">
        <f t="shared" si="25"/>
        <v>0</v>
      </c>
      <c r="U790" s="262" t="s">
        <v>34</v>
      </c>
      <c r="V790" s="1228"/>
      <c r="W790" s="767"/>
    </row>
    <row r="791" spans="1:23" ht="22.95" customHeight="1" x14ac:dyDescent="0.4">
      <c r="A791" s="788">
        <v>790</v>
      </c>
      <c r="B791" s="246" t="s">
        <v>2616</v>
      </c>
      <c r="C791" s="246" t="s">
        <v>24</v>
      </c>
      <c r="D791" s="1363">
        <v>2479</v>
      </c>
      <c r="E791" s="246" t="s">
        <v>3653</v>
      </c>
      <c r="F791" s="246" t="s">
        <v>3654</v>
      </c>
      <c r="G791" s="200">
        <v>6039</v>
      </c>
      <c r="H791" s="245" t="s">
        <v>3584</v>
      </c>
      <c r="I791" s="246" t="s">
        <v>729</v>
      </c>
      <c r="J791" s="253" t="s">
        <v>111</v>
      </c>
      <c r="K791" s="253" t="s">
        <v>110</v>
      </c>
      <c r="L791" s="1245">
        <v>0.6</v>
      </c>
      <c r="M791" s="767"/>
      <c r="N791" s="767" t="s">
        <v>3658</v>
      </c>
      <c r="O791" s="767"/>
      <c r="P791" s="262">
        <v>1</v>
      </c>
      <c r="Q791" s="1245">
        <v>0.2</v>
      </c>
      <c r="R791" s="262"/>
      <c r="S791" s="262">
        <f t="shared" si="24"/>
        <v>0</v>
      </c>
      <c r="T791" s="263">
        <f t="shared" si="25"/>
        <v>0</v>
      </c>
      <c r="U791" s="262" t="s">
        <v>34</v>
      </c>
      <c r="V791" s="1228"/>
      <c r="W791" s="767"/>
    </row>
    <row r="792" spans="1:23" ht="22.95" customHeight="1" x14ac:dyDescent="0.4">
      <c r="A792" s="788">
        <v>791</v>
      </c>
      <c r="B792" s="246" t="s">
        <v>2616</v>
      </c>
      <c r="C792" s="246" t="s">
        <v>24</v>
      </c>
      <c r="D792" s="1363">
        <v>2479</v>
      </c>
      <c r="E792" s="246" t="s">
        <v>3653</v>
      </c>
      <c r="F792" s="246" t="s">
        <v>3654</v>
      </c>
      <c r="G792" s="200">
        <v>6039</v>
      </c>
      <c r="H792" s="245" t="s">
        <v>3584</v>
      </c>
      <c r="I792" s="246" t="s">
        <v>729</v>
      </c>
      <c r="J792" s="253" t="s">
        <v>111</v>
      </c>
      <c r="K792" s="253" t="s">
        <v>110</v>
      </c>
      <c r="L792" s="1245">
        <v>0.6</v>
      </c>
      <c r="M792" s="767"/>
      <c r="N792" s="767" t="s">
        <v>3659</v>
      </c>
      <c r="O792" s="767"/>
      <c r="P792" s="262">
        <v>1</v>
      </c>
      <c r="Q792" s="1245">
        <v>0.2</v>
      </c>
      <c r="R792" s="262"/>
      <c r="S792" s="262">
        <f t="shared" si="24"/>
        <v>0</v>
      </c>
      <c r="T792" s="263">
        <f t="shared" si="25"/>
        <v>0</v>
      </c>
      <c r="U792" s="262" t="s">
        <v>34</v>
      </c>
      <c r="V792" s="1228"/>
      <c r="W792" s="767"/>
    </row>
    <row r="793" spans="1:23" ht="22.95" customHeight="1" x14ac:dyDescent="0.4">
      <c r="A793" s="788">
        <v>792</v>
      </c>
      <c r="B793" s="246" t="s">
        <v>2616</v>
      </c>
      <c r="C793" s="246" t="s">
        <v>24</v>
      </c>
      <c r="D793" s="1306">
        <v>2479</v>
      </c>
      <c r="E793" s="246" t="s">
        <v>3653</v>
      </c>
      <c r="F793" s="246" t="s">
        <v>3654</v>
      </c>
      <c r="G793" s="200">
        <v>6039</v>
      </c>
      <c r="H793" s="245" t="s">
        <v>3584</v>
      </c>
      <c r="I793" s="246" t="s">
        <v>729</v>
      </c>
      <c r="J793" s="253" t="s">
        <v>111</v>
      </c>
      <c r="K793" s="253" t="s">
        <v>110</v>
      </c>
      <c r="L793" s="1245">
        <v>0.6</v>
      </c>
      <c r="M793" s="767"/>
      <c r="N793" s="767" t="s">
        <v>3660</v>
      </c>
      <c r="O793" s="767"/>
      <c r="P793" s="262">
        <v>1</v>
      </c>
      <c r="Q793" s="1245">
        <v>0.2</v>
      </c>
      <c r="R793" s="262"/>
      <c r="S793" s="262">
        <f t="shared" si="24"/>
        <v>0</v>
      </c>
      <c r="T793" s="263">
        <f t="shared" si="25"/>
        <v>0</v>
      </c>
      <c r="U793" s="262" t="s">
        <v>34</v>
      </c>
      <c r="V793" s="1228"/>
      <c r="W793" s="767"/>
    </row>
    <row r="794" spans="1:23" ht="22.95" customHeight="1" x14ac:dyDescent="0.4">
      <c r="A794" s="788">
        <v>793</v>
      </c>
      <c r="B794" s="246" t="s">
        <v>2616</v>
      </c>
      <c r="C794" s="246" t="s">
        <v>24</v>
      </c>
      <c r="D794" s="1306">
        <v>2479</v>
      </c>
      <c r="E794" s="246" t="s">
        <v>3653</v>
      </c>
      <c r="F794" s="246" t="s">
        <v>3654</v>
      </c>
      <c r="G794" s="200">
        <v>6039</v>
      </c>
      <c r="H794" s="245" t="s">
        <v>3584</v>
      </c>
      <c r="I794" s="246" t="s">
        <v>729</v>
      </c>
      <c r="J794" s="253" t="s">
        <v>111</v>
      </c>
      <c r="K794" s="253" t="s">
        <v>110</v>
      </c>
      <c r="L794" s="1245">
        <v>0.6</v>
      </c>
      <c r="M794" s="767"/>
      <c r="N794" s="767" t="s">
        <v>3661</v>
      </c>
      <c r="O794" s="767"/>
      <c r="P794" s="262">
        <v>1</v>
      </c>
      <c r="Q794" s="1245">
        <v>0.2</v>
      </c>
      <c r="R794" s="262"/>
      <c r="S794" s="262">
        <f t="shared" si="24"/>
        <v>0</v>
      </c>
      <c r="T794" s="263">
        <f t="shared" si="25"/>
        <v>0</v>
      </c>
      <c r="U794" s="262" t="s">
        <v>34</v>
      </c>
      <c r="V794" s="1228"/>
      <c r="W794" s="767"/>
    </row>
    <row r="795" spans="1:23" ht="22.95" customHeight="1" x14ac:dyDescent="0.4">
      <c r="A795" s="788">
        <v>794</v>
      </c>
      <c r="B795" s="236" t="s">
        <v>2616</v>
      </c>
      <c r="C795" s="236" t="s">
        <v>24</v>
      </c>
      <c r="D795" s="1219">
        <v>3006</v>
      </c>
      <c r="E795" s="236" t="s">
        <v>3662</v>
      </c>
      <c r="F795" s="236" t="s">
        <v>3663</v>
      </c>
      <c r="G795" s="238">
        <v>2479</v>
      </c>
      <c r="H795" s="236" t="s">
        <v>3653</v>
      </c>
      <c r="I795" s="236" t="s">
        <v>729</v>
      </c>
      <c r="J795" s="243" t="s">
        <v>58</v>
      </c>
      <c r="K795" s="243" t="s">
        <v>57</v>
      </c>
      <c r="L795" s="1052">
        <v>0.4</v>
      </c>
      <c r="M795" s="952"/>
      <c r="N795" s="952" t="s">
        <v>3664</v>
      </c>
      <c r="O795" s="952"/>
      <c r="P795" s="953">
        <v>1</v>
      </c>
      <c r="Q795" s="1490">
        <v>0.1</v>
      </c>
      <c r="R795" s="953"/>
      <c r="S795" s="855">
        <f t="shared" si="24"/>
        <v>0</v>
      </c>
      <c r="T795" s="854">
        <f t="shared" si="25"/>
        <v>0</v>
      </c>
      <c r="U795" s="953" t="s">
        <v>34</v>
      </c>
      <c r="V795" s="1488">
        <f>SUM(T795:T807)%</f>
        <v>0</v>
      </c>
      <c r="W795" s="952"/>
    </row>
    <row r="796" spans="1:23" ht="22.95" customHeight="1" x14ac:dyDescent="0.4">
      <c r="A796" s="788">
        <v>795</v>
      </c>
      <c r="B796" s="246" t="s">
        <v>2616</v>
      </c>
      <c r="C796" s="246" t="s">
        <v>24</v>
      </c>
      <c r="D796" s="1134">
        <v>3006</v>
      </c>
      <c r="E796" s="246" t="s">
        <v>3662</v>
      </c>
      <c r="F796" s="245" t="s">
        <v>3663</v>
      </c>
      <c r="G796" s="679">
        <v>2479</v>
      </c>
      <c r="H796" s="246" t="s">
        <v>3653</v>
      </c>
      <c r="I796" s="246" t="s">
        <v>729</v>
      </c>
      <c r="J796" s="649" t="s">
        <v>58</v>
      </c>
      <c r="K796" s="649" t="s">
        <v>57</v>
      </c>
      <c r="L796" s="1196">
        <v>0.4</v>
      </c>
      <c r="M796" s="757"/>
      <c r="N796" s="757" t="s">
        <v>3665</v>
      </c>
      <c r="O796" s="757"/>
      <c r="P796" s="208">
        <v>1</v>
      </c>
      <c r="Q796" s="1486">
        <v>0.15</v>
      </c>
      <c r="R796" s="208"/>
      <c r="S796" s="206">
        <f t="shared" si="24"/>
        <v>0</v>
      </c>
      <c r="T796" s="207">
        <f t="shared" si="25"/>
        <v>0</v>
      </c>
      <c r="U796" s="208" t="s">
        <v>34</v>
      </c>
      <c r="V796" s="1203"/>
      <c r="W796" s="827"/>
    </row>
    <row r="797" spans="1:23" ht="22.95" customHeight="1" x14ac:dyDescent="0.4">
      <c r="A797" s="788">
        <v>796</v>
      </c>
      <c r="B797" s="246" t="s">
        <v>2616</v>
      </c>
      <c r="C797" s="246" t="s">
        <v>24</v>
      </c>
      <c r="D797" s="1134">
        <v>3006</v>
      </c>
      <c r="E797" s="246" t="s">
        <v>3662</v>
      </c>
      <c r="F797" s="245" t="s">
        <v>3663</v>
      </c>
      <c r="G797" s="679">
        <v>2479</v>
      </c>
      <c r="H797" s="246" t="s">
        <v>3653</v>
      </c>
      <c r="I797" s="246" t="s">
        <v>729</v>
      </c>
      <c r="J797" s="649" t="s">
        <v>58</v>
      </c>
      <c r="K797" s="649" t="s">
        <v>57</v>
      </c>
      <c r="L797" s="1067">
        <v>0.4</v>
      </c>
      <c r="M797" s="757"/>
      <c r="N797" s="757" t="s">
        <v>3666</v>
      </c>
      <c r="O797" s="757"/>
      <c r="P797" s="669">
        <v>1</v>
      </c>
      <c r="Q797" s="1493">
        <v>0.1</v>
      </c>
      <c r="R797" s="669"/>
      <c r="S797" s="204">
        <f t="shared" si="24"/>
        <v>0</v>
      </c>
      <c r="T797" s="960">
        <f t="shared" si="25"/>
        <v>0</v>
      </c>
      <c r="U797" s="669" t="s">
        <v>34</v>
      </c>
      <c r="V797" s="1203"/>
      <c r="W797" s="827"/>
    </row>
    <row r="798" spans="1:23" ht="22.95" customHeight="1" x14ac:dyDescent="0.4">
      <c r="A798" s="788">
        <v>797</v>
      </c>
      <c r="B798" s="246" t="s">
        <v>2616</v>
      </c>
      <c r="C798" s="246" t="s">
        <v>24</v>
      </c>
      <c r="D798" s="1134">
        <v>3006</v>
      </c>
      <c r="E798" s="246" t="s">
        <v>3662</v>
      </c>
      <c r="F798" s="245" t="s">
        <v>3663</v>
      </c>
      <c r="G798" s="679">
        <v>2479</v>
      </c>
      <c r="H798" s="246" t="s">
        <v>3653</v>
      </c>
      <c r="I798" s="246" t="s">
        <v>729</v>
      </c>
      <c r="J798" s="649" t="s">
        <v>58</v>
      </c>
      <c r="K798" s="649" t="s">
        <v>57</v>
      </c>
      <c r="L798" s="1067">
        <v>0.4</v>
      </c>
      <c r="M798" s="757"/>
      <c r="N798" s="757" t="s">
        <v>3667</v>
      </c>
      <c r="O798" s="757"/>
      <c r="P798" s="669">
        <v>1</v>
      </c>
      <c r="Q798" s="1493">
        <v>0.1</v>
      </c>
      <c r="R798" s="669"/>
      <c r="S798" s="204">
        <f t="shared" si="24"/>
        <v>0</v>
      </c>
      <c r="T798" s="960">
        <f t="shared" si="25"/>
        <v>0</v>
      </c>
      <c r="U798" s="669" t="s">
        <v>34</v>
      </c>
      <c r="V798" s="1203"/>
      <c r="W798" s="827"/>
    </row>
    <row r="799" spans="1:23" ht="22.95" customHeight="1" x14ac:dyDescent="0.4">
      <c r="A799" s="788">
        <v>798</v>
      </c>
      <c r="B799" s="246" t="s">
        <v>2616</v>
      </c>
      <c r="C799" s="246" t="s">
        <v>24</v>
      </c>
      <c r="D799" s="1134">
        <v>3006</v>
      </c>
      <c r="E799" s="246" t="s">
        <v>3662</v>
      </c>
      <c r="F799" s="245" t="s">
        <v>3663</v>
      </c>
      <c r="G799" s="679">
        <v>2479</v>
      </c>
      <c r="H799" s="246" t="s">
        <v>3653</v>
      </c>
      <c r="I799" s="246" t="s">
        <v>729</v>
      </c>
      <c r="J799" s="649" t="s">
        <v>58</v>
      </c>
      <c r="K799" s="649" t="s">
        <v>57</v>
      </c>
      <c r="L799" s="1067">
        <v>0.4</v>
      </c>
      <c r="M799" s="757"/>
      <c r="N799" s="757" t="s">
        <v>3668</v>
      </c>
      <c r="O799" s="757"/>
      <c r="P799" s="669">
        <v>1</v>
      </c>
      <c r="Q799" s="1493">
        <v>0.1</v>
      </c>
      <c r="R799" s="669"/>
      <c r="S799" s="204">
        <f t="shared" si="24"/>
        <v>0</v>
      </c>
      <c r="T799" s="960">
        <f t="shared" si="25"/>
        <v>0</v>
      </c>
      <c r="U799" s="669" t="s">
        <v>34</v>
      </c>
      <c r="V799" s="1203"/>
      <c r="W799" s="827"/>
    </row>
    <row r="800" spans="1:23" ht="22.95" customHeight="1" x14ac:dyDescent="0.4">
      <c r="A800" s="788">
        <v>799</v>
      </c>
      <c r="B800" s="246" t="s">
        <v>2616</v>
      </c>
      <c r="C800" s="246" t="s">
        <v>24</v>
      </c>
      <c r="D800" s="1134">
        <v>3006</v>
      </c>
      <c r="E800" s="246" t="s">
        <v>3662</v>
      </c>
      <c r="F800" s="245" t="s">
        <v>3663</v>
      </c>
      <c r="G800" s="679">
        <v>2479</v>
      </c>
      <c r="H800" s="246" t="s">
        <v>3653</v>
      </c>
      <c r="I800" s="246" t="s">
        <v>729</v>
      </c>
      <c r="J800" s="649" t="s">
        <v>58</v>
      </c>
      <c r="K800" s="649" t="s">
        <v>57</v>
      </c>
      <c r="L800" s="1067">
        <v>0.4</v>
      </c>
      <c r="M800" s="757"/>
      <c r="N800" s="757" t="s">
        <v>3669</v>
      </c>
      <c r="O800" s="757"/>
      <c r="P800" s="669">
        <v>1</v>
      </c>
      <c r="Q800" s="1493">
        <v>0.1</v>
      </c>
      <c r="R800" s="669"/>
      <c r="S800" s="204">
        <f t="shared" si="24"/>
        <v>0</v>
      </c>
      <c r="T800" s="960">
        <f t="shared" si="25"/>
        <v>0</v>
      </c>
      <c r="U800" s="669" t="s">
        <v>34</v>
      </c>
      <c r="V800" s="1203"/>
      <c r="W800" s="827"/>
    </row>
    <row r="801" spans="1:23" ht="22.95" customHeight="1" x14ac:dyDescent="0.4">
      <c r="A801" s="788">
        <v>800</v>
      </c>
      <c r="B801" s="246" t="s">
        <v>2616</v>
      </c>
      <c r="C801" s="246" t="s">
        <v>24</v>
      </c>
      <c r="D801" s="1134">
        <v>3006</v>
      </c>
      <c r="E801" s="246" t="s">
        <v>3662</v>
      </c>
      <c r="F801" s="245" t="s">
        <v>3663</v>
      </c>
      <c r="G801" s="679">
        <v>2479</v>
      </c>
      <c r="H801" s="246" t="s">
        <v>3653</v>
      </c>
      <c r="I801" s="246" t="s">
        <v>729</v>
      </c>
      <c r="J801" s="649" t="s">
        <v>58</v>
      </c>
      <c r="K801" s="649" t="s">
        <v>57</v>
      </c>
      <c r="L801" s="1067">
        <v>0.4</v>
      </c>
      <c r="M801" s="757"/>
      <c r="N801" s="757" t="s">
        <v>3670</v>
      </c>
      <c r="O801" s="757"/>
      <c r="P801" s="669">
        <v>1</v>
      </c>
      <c r="Q801" s="1493">
        <v>0.1</v>
      </c>
      <c r="R801" s="669"/>
      <c r="S801" s="204">
        <f t="shared" si="24"/>
        <v>0</v>
      </c>
      <c r="T801" s="960">
        <f t="shared" si="25"/>
        <v>0</v>
      </c>
      <c r="U801" s="669" t="s">
        <v>34</v>
      </c>
      <c r="V801" s="1203"/>
      <c r="W801" s="827"/>
    </row>
    <row r="802" spans="1:23" ht="22.95" customHeight="1" x14ac:dyDescent="0.4">
      <c r="A802" s="788">
        <v>801</v>
      </c>
      <c r="B802" s="246" t="s">
        <v>2616</v>
      </c>
      <c r="C802" s="246" t="s">
        <v>24</v>
      </c>
      <c r="D802" s="1134">
        <v>3006</v>
      </c>
      <c r="E802" s="246" t="s">
        <v>3662</v>
      </c>
      <c r="F802" s="245" t="s">
        <v>3663</v>
      </c>
      <c r="G802" s="679">
        <v>2479</v>
      </c>
      <c r="H802" s="246" t="s">
        <v>3653</v>
      </c>
      <c r="I802" s="246" t="s">
        <v>729</v>
      </c>
      <c r="J802" s="649" t="s">
        <v>58</v>
      </c>
      <c r="K802" s="649" t="s">
        <v>57</v>
      </c>
      <c r="L802" s="1067">
        <v>0.4</v>
      </c>
      <c r="M802" s="757"/>
      <c r="N802" s="757" t="s">
        <v>3671</v>
      </c>
      <c r="O802" s="757"/>
      <c r="P802" s="669">
        <v>1</v>
      </c>
      <c r="Q802" s="1493">
        <v>0.05</v>
      </c>
      <c r="R802" s="669"/>
      <c r="S802" s="204">
        <f t="shared" si="24"/>
        <v>0</v>
      </c>
      <c r="T802" s="960">
        <f t="shared" si="25"/>
        <v>0</v>
      </c>
      <c r="U802" s="669" t="s">
        <v>34</v>
      </c>
      <c r="V802" s="1203"/>
      <c r="W802" s="827"/>
    </row>
    <row r="803" spans="1:23" ht="22.95" customHeight="1" x14ac:dyDescent="0.4">
      <c r="A803" s="788">
        <v>802</v>
      </c>
      <c r="B803" s="246" t="s">
        <v>2616</v>
      </c>
      <c r="C803" s="246" t="s">
        <v>24</v>
      </c>
      <c r="D803" s="1134">
        <v>3006</v>
      </c>
      <c r="E803" s="246" t="s">
        <v>3662</v>
      </c>
      <c r="F803" s="245" t="s">
        <v>3663</v>
      </c>
      <c r="G803" s="679">
        <v>2479</v>
      </c>
      <c r="H803" s="246" t="s">
        <v>3653</v>
      </c>
      <c r="I803" s="246" t="s">
        <v>729</v>
      </c>
      <c r="J803" s="649" t="s">
        <v>58</v>
      </c>
      <c r="K803" s="649" t="s">
        <v>57</v>
      </c>
      <c r="L803" s="1067">
        <v>0.4</v>
      </c>
      <c r="M803" s="757"/>
      <c r="N803" s="757" t="s">
        <v>3672</v>
      </c>
      <c r="O803" s="757"/>
      <c r="P803" s="669">
        <v>1</v>
      </c>
      <c r="Q803" s="1493">
        <v>0.1</v>
      </c>
      <c r="R803" s="669"/>
      <c r="S803" s="204">
        <f t="shared" si="24"/>
        <v>0</v>
      </c>
      <c r="T803" s="960">
        <f t="shared" si="25"/>
        <v>0</v>
      </c>
      <c r="U803" s="669" t="s">
        <v>34</v>
      </c>
      <c r="V803" s="1203"/>
      <c r="W803" s="827"/>
    </row>
    <row r="804" spans="1:23" ht="22.95" customHeight="1" x14ac:dyDescent="0.4">
      <c r="A804" s="788">
        <v>803</v>
      </c>
      <c r="B804" s="246" t="s">
        <v>2616</v>
      </c>
      <c r="C804" s="246" t="s">
        <v>24</v>
      </c>
      <c r="D804" s="1134">
        <v>3006</v>
      </c>
      <c r="E804" s="246" t="s">
        <v>3662</v>
      </c>
      <c r="F804" s="245" t="s">
        <v>3663</v>
      </c>
      <c r="G804" s="679">
        <v>2479</v>
      </c>
      <c r="H804" s="246" t="s">
        <v>3653</v>
      </c>
      <c r="I804" s="246" t="s">
        <v>729</v>
      </c>
      <c r="J804" s="649" t="s">
        <v>58</v>
      </c>
      <c r="K804" s="649" t="s">
        <v>57</v>
      </c>
      <c r="L804" s="1067">
        <v>0.4</v>
      </c>
      <c r="M804" s="757"/>
      <c r="N804" s="757" t="s">
        <v>3673</v>
      </c>
      <c r="O804" s="757"/>
      <c r="P804" s="669">
        <v>1</v>
      </c>
      <c r="Q804" s="1493">
        <v>0.1</v>
      </c>
      <c r="R804" s="669"/>
      <c r="S804" s="204">
        <f t="shared" si="24"/>
        <v>0</v>
      </c>
      <c r="T804" s="960">
        <f t="shared" si="25"/>
        <v>0</v>
      </c>
      <c r="U804" s="669" t="s">
        <v>34</v>
      </c>
      <c r="V804" s="1203"/>
      <c r="W804" s="827"/>
    </row>
    <row r="805" spans="1:23" ht="22.95" customHeight="1" x14ac:dyDescent="0.4">
      <c r="A805" s="788">
        <v>804</v>
      </c>
      <c r="B805" s="246" t="s">
        <v>2616</v>
      </c>
      <c r="C805" s="246" t="s">
        <v>24</v>
      </c>
      <c r="D805" s="1134">
        <v>3006</v>
      </c>
      <c r="E805" s="246" t="s">
        <v>3662</v>
      </c>
      <c r="F805" s="245" t="s">
        <v>3663</v>
      </c>
      <c r="G805" s="679">
        <v>2479</v>
      </c>
      <c r="H805" s="246" t="s">
        <v>3653</v>
      </c>
      <c r="I805" s="246" t="s">
        <v>729</v>
      </c>
      <c r="J805" s="649" t="s">
        <v>111</v>
      </c>
      <c r="K805" s="649" t="s">
        <v>110</v>
      </c>
      <c r="L805" s="1145">
        <v>0.6</v>
      </c>
      <c r="M805" s="827"/>
      <c r="N805" s="827" t="s">
        <v>3674</v>
      </c>
      <c r="O805" s="827"/>
      <c r="P805" s="1272">
        <v>1</v>
      </c>
      <c r="Q805" s="1512">
        <v>0.25</v>
      </c>
      <c r="R805" s="1272"/>
      <c r="S805" s="650">
        <f t="shared" si="24"/>
        <v>0</v>
      </c>
      <c r="T805" s="701">
        <f t="shared" si="25"/>
        <v>0</v>
      </c>
      <c r="U805" s="1272" t="s">
        <v>34</v>
      </c>
      <c r="V805" s="1228"/>
      <c r="W805" s="827"/>
    </row>
    <row r="806" spans="1:23" ht="22.95" customHeight="1" x14ac:dyDescent="0.4">
      <c r="A806" s="788">
        <v>805</v>
      </c>
      <c r="B806" s="246" t="s">
        <v>2616</v>
      </c>
      <c r="C806" s="246" t="s">
        <v>24</v>
      </c>
      <c r="D806" s="1134">
        <v>3006</v>
      </c>
      <c r="E806" s="246" t="s">
        <v>3662</v>
      </c>
      <c r="F806" s="245" t="s">
        <v>3663</v>
      </c>
      <c r="G806" s="679">
        <v>2479</v>
      </c>
      <c r="H806" s="246" t="s">
        <v>3653</v>
      </c>
      <c r="I806" s="246" t="s">
        <v>729</v>
      </c>
      <c r="J806" s="649" t="s">
        <v>111</v>
      </c>
      <c r="K806" s="649" t="s">
        <v>110</v>
      </c>
      <c r="L806" s="1145">
        <v>0.6</v>
      </c>
      <c r="M806" s="827"/>
      <c r="N806" s="827" t="s">
        <v>3675</v>
      </c>
      <c r="O806" s="827"/>
      <c r="P806" s="1272">
        <v>1</v>
      </c>
      <c r="Q806" s="1512">
        <v>0.5</v>
      </c>
      <c r="R806" s="1272"/>
      <c r="S806" s="650">
        <f t="shared" si="24"/>
        <v>0</v>
      </c>
      <c r="T806" s="701">
        <f t="shared" si="25"/>
        <v>0</v>
      </c>
      <c r="U806" s="1272" t="s">
        <v>34</v>
      </c>
      <c r="V806" s="1228"/>
      <c r="W806" s="827"/>
    </row>
    <row r="807" spans="1:23" ht="22.95" customHeight="1" x14ac:dyDescent="0.4">
      <c r="A807" s="788">
        <v>806</v>
      </c>
      <c r="B807" s="246" t="s">
        <v>2616</v>
      </c>
      <c r="C807" s="246" t="s">
        <v>24</v>
      </c>
      <c r="D807" s="1134">
        <v>3006</v>
      </c>
      <c r="E807" s="246" t="s">
        <v>3662</v>
      </c>
      <c r="F807" s="245" t="s">
        <v>3663</v>
      </c>
      <c r="G807" s="679">
        <v>2479</v>
      </c>
      <c r="H807" s="246" t="s">
        <v>3653</v>
      </c>
      <c r="I807" s="246" t="s">
        <v>729</v>
      </c>
      <c r="J807" s="649" t="s">
        <v>111</v>
      </c>
      <c r="K807" s="649" t="s">
        <v>110</v>
      </c>
      <c r="L807" s="1145">
        <v>0.6</v>
      </c>
      <c r="M807" s="827"/>
      <c r="N807" s="827" t="s">
        <v>3676</v>
      </c>
      <c r="O807" s="827"/>
      <c r="P807" s="1272">
        <v>1</v>
      </c>
      <c r="Q807" s="1512">
        <v>0.25</v>
      </c>
      <c r="R807" s="1272"/>
      <c r="S807" s="650">
        <f t="shared" si="24"/>
        <v>0</v>
      </c>
      <c r="T807" s="701">
        <f t="shared" si="25"/>
        <v>0</v>
      </c>
      <c r="U807" s="1272" t="s">
        <v>34</v>
      </c>
      <c r="V807" s="1228"/>
      <c r="W807" s="827"/>
    </row>
    <row r="808" spans="1:23" ht="22.95" customHeight="1" x14ac:dyDescent="0.4">
      <c r="A808" s="788">
        <v>807</v>
      </c>
      <c r="B808" s="236" t="s">
        <v>2616</v>
      </c>
      <c r="C808" s="236" t="s">
        <v>24</v>
      </c>
      <c r="D808" s="1226">
        <v>2390</v>
      </c>
      <c r="E808" s="236" t="s">
        <v>3677</v>
      </c>
      <c r="F808" s="236" t="s">
        <v>3678</v>
      </c>
      <c r="G808" s="238">
        <v>6039</v>
      </c>
      <c r="H808" s="236" t="s">
        <v>3584</v>
      </c>
      <c r="I808" s="236" t="s">
        <v>729</v>
      </c>
      <c r="J808" s="243" t="s">
        <v>58</v>
      </c>
      <c r="K808" s="243" t="s">
        <v>57</v>
      </c>
      <c r="L808" s="1052">
        <v>0.4</v>
      </c>
      <c r="M808" s="952"/>
      <c r="N808" s="952" t="s">
        <v>3679</v>
      </c>
      <c r="O808" s="952"/>
      <c r="P808" s="855">
        <v>1</v>
      </c>
      <c r="Q808" s="1052">
        <v>0.3</v>
      </c>
      <c r="R808" s="855"/>
      <c r="S808" s="855">
        <f t="shared" si="24"/>
        <v>0</v>
      </c>
      <c r="T808" s="854">
        <f t="shared" si="25"/>
        <v>0</v>
      </c>
      <c r="U808" s="855" t="s">
        <v>34</v>
      </c>
      <c r="V808" s="1488">
        <f>SUM(T808:T816)%</f>
        <v>0</v>
      </c>
      <c r="W808" s="952"/>
    </row>
    <row r="809" spans="1:23" ht="22.95" customHeight="1" x14ac:dyDescent="0.4">
      <c r="A809" s="788">
        <v>808</v>
      </c>
      <c r="B809" s="246" t="s">
        <v>2616</v>
      </c>
      <c r="C809" s="246" t="s">
        <v>24</v>
      </c>
      <c r="D809" s="1134">
        <v>2390</v>
      </c>
      <c r="E809" s="246" t="s">
        <v>3677</v>
      </c>
      <c r="F809" s="245" t="s">
        <v>3678</v>
      </c>
      <c r="G809" s="248">
        <v>6039</v>
      </c>
      <c r="H809" s="245" t="s">
        <v>3584</v>
      </c>
      <c r="I809" s="246" t="s">
        <v>729</v>
      </c>
      <c r="J809" s="253" t="s">
        <v>58</v>
      </c>
      <c r="K809" s="253" t="s">
        <v>57</v>
      </c>
      <c r="L809" s="1196">
        <v>0.4</v>
      </c>
      <c r="M809" s="819"/>
      <c r="N809" s="819" t="s">
        <v>3680</v>
      </c>
      <c r="O809" s="819"/>
      <c r="P809" s="206">
        <v>1</v>
      </c>
      <c r="Q809" s="1196">
        <v>0.35</v>
      </c>
      <c r="R809" s="206"/>
      <c r="S809" s="206">
        <f t="shared" si="24"/>
        <v>0</v>
      </c>
      <c r="T809" s="207">
        <f t="shared" si="25"/>
        <v>0</v>
      </c>
      <c r="U809" s="206" t="s">
        <v>34</v>
      </c>
      <c r="V809" s="1203"/>
      <c r="W809" s="879"/>
    </row>
    <row r="810" spans="1:23" ht="22.95" customHeight="1" x14ac:dyDescent="0.4">
      <c r="A810" s="788">
        <v>809</v>
      </c>
      <c r="B810" s="246" t="s">
        <v>2616</v>
      </c>
      <c r="C810" s="246" t="s">
        <v>24</v>
      </c>
      <c r="D810" s="1134">
        <v>2390</v>
      </c>
      <c r="E810" s="246" t="s">
        <v>3677</v>
      </c>
      <c r="F810" s="245" t="s">
        <v>3678</v>
      </c>
      <c r="G810" s="248">
        <v>6039</v>
      </c>
      <c r="H810" s="245" t="s">
        <v>3584</v>
      </c>
      <c r="I810" s="246" t="s">
        <v>729</v>
      </c>
      <c r="J810" s="253" t="s">
        <v>58</v>
      </c>
      <c r="K810" s="253" t="s">
        <v>57</v>
      </c>
      <c r="L810" s="1196">
        <v>0.4</v>
      </c>
      <c r="M810" s="819"/>
      <c r="N810" s="819" t="s">
        <v>3681</v>
      </c>
      <c r="O810" s="819"/>
      <c r="P810" s="206">
        <v>1</v>
      </c>
      <c r="Q810" s="1196">
        <v>0.35</v>
      </c>
      <c r="R810" s="206"/>
      <c r="S810" s="206">
        <f t="shared" si="24"/>
        <v>0</v>
      </c>
      <c r="T810" s="207">
        <f t="shared" si="25"/>
        <v>0</v>
      </c>
      <c r="U810" s="206" t="s">
        <v>34</v>
      </c>
      <c r="V810" s="1203"/>
      <c r="W810" s="879"/>
    </row>
    <row r="811" spans="1:23" ht="22.95" customHeight="1" x14ac:dyDescent="0.4">
      <c r="A811" s="788">
        <v>810</v>
      </c>
      <c r="B811" s="246" t="s">
        <v>2616</v>
      </c>
      <c r="C811" s="246" t="s">
        <v>24</v>
      </c>
      <c r="D811" s="1134">
        <v>2390</v>
      </c>
      <c r="E811" s="246" t="s">
        <v>3677</v>
      </c>
      <c r="F811" s="245" t="s">
        <v>3678</v>
      </c>
      <c r="G811" s="200">
        <v>6039</v>
      </c>
      <c r="H811" s="245" t="s">
        <v>3584</v>
      </c>
      <c r="I811" s="246" t="s">
        <v>729</v>
      </c>
      <c r="J811" s="253" t="s">
        <v>111</v>
      </c>
      <c r="K811" s="253" t="s">
        <v>110</v>
      </c>
      <c r="L811" s="1245">
        <v>0.6</v>
      </c>
      <c r="M811" s="767"/>
      <c r="N811" s="767" t="s">
        <v>3682</v>
      </c>
      <c r="O811" s="767"/>
      <c r="P811" s="262">
        <v>1</v>
      </c>
      <c r="Q811" s="1245">
        <v>0.25</v>
      </c>
      <c r="R811" s="262"/>
      <c r="S811" s="262">
        <f t="shared" si="24"/>
        <v>0</v>
      </c>
      <c r="T811" s="263">
        <f t="shared" si="25"/>
        <v>0</v>
      </c>
      <c r="U811" s="262" t="s">
        <v>34</v>
      </c>
      <c r="V811" s="1228"/>
      <c r="W811" s="767"/>
    </row>
    <row r="812" spans="1:23" ht="22.95" customHeight="1" x14ac:dyDescent="0.4">
      <c r="A812" s="788">
        <v>811</v>
      </c>
      <c r="B812" s="246" t="s">
        <v>2616</v>
      </c>
      <c r="C812" s="246" t="s">
        <v>24</v>
      </c>
      <c r="D812" s="1134">
        <v>2390</v>
      </c>
      <c r="E812" s="246" t="s">
        <v>3677</v>
      </c>
      <c r="F812" s="245" t="s">
        <v>3678</v>
      </c>
      <c r="G812" s="248">
        <v>6039</v>
      </c>
      <c r="H812" s="245" t="s">
        <v>3584</v>
      </c>
      <c r="I812" s="246" t="s">
        <v>729</v>
      </c>
      <c r="J812" s="253" t="s">
        <v>111</v>
      </c>
      <c r="K812" s="253" t="s">
        <v>110</v>
      </c>
      <c r="L812" s="1245">
        <v>0.6</v>
      </c>
      <c r="M812" s="879"/>
      <c r="N812" s="879" t="s">
        <v>3683</v>
      </c>
      <c r="O812" s="879"/>
      <c r="P812" s="262">
        <v>1</v>
      </c>
      <c r="Q812" s="1245">
        <v>0.2</v>
      </c>
      <c r="R812" s="262"/>
      <c r="S812" s="262">
        <f t="shared" si="24"/>
        <v>0</v>
      </c>
      <c r="T812" s="263">
        <f t="shared" si="25"/>
        <v>0</v>
      </c>
      <c r="U812" s="262" t="s">
        <v>34</v>
      </c>
      <c r="V812" s="1228"/>
      <c r="W812" s="879"/>
    </row>
    <row r="813" spans="1:23" ht="22.95" customHeight="1" x14ac:dyDescent="0.4">
      <c r="A813" s="788">
        <v>812</v>
      </c>
      <c r="B813" s="246" t="s">
        <v>2616</v>
      </c>
      <c r="C813" s="246" t="s">
        <v>24</v>
      </c>
      <c r="D813" s="1134">
        <v>2390</v>
      </c>
      <c r="E813" s="246" t="s">
        <v>3677</v>
      </c>
      <c r="F813" s="245" t="s">
        <v>3678</v>
      </c>
      <c r="G813" s="248">
        <v>6039</v>
      </c>
      <c r="H813" s="245" t="s">
        <v>3584</v>
      </c>
      <c r="I813" s="246" t="s">
        <v>729</v>
      </c>
      <c r="J813" s="253" t="s">
        <v>111</v>
      </c>
      <c r="K813" s="253" t="s">
        <v>110</v>
      </c>
      <c r="L813" s="1245">
        <v>0.6</v>
      </c>
      <c r="M813" s="879"/>
      <c r="N813" s="879" t="s">
        <v>3684</v>
      </c>
      <c r="O813" s="879"/>
      <c r="P813" s="262">
        <v>1</v>
      </c>
      <c r="Q813" s="1245">
        <v>0.1</v>
      </c>
      <c r="R813" s="262"/>
      <c r="S813" s="262">
        <f t="shared" si="24"/>
        <v>0</v>
      </c>
      <c r="T813" s="263">
        <f t="shared" si="25"/>
        <v>0</v>
      </c>
      <c r="U813" s="262" t="s">
        <v>34</v>
      </c>
      <c r="V813" s="1228"/>
      <c r="W813" s="879"/>
    </row>
    <row r="814" spans="1:23" ht="22.95" customHeight="1" x14ac:dyDescent="0.4">
      <c r="A814" s="788">
        <v>813</v>
      </c>
      <c r="B814" s="246" t="s">
        <v>2616</v>
      </c>
      <c r="C814" s="246" t="s">
        <v>24</v>
      </c>
      <c r="D814" s="1134">
        <v>2390</v>
      </c>
      <c r="E814" s="246" t="s">
        <v>3677</v>
      </c>
      <c r="F814" s="245" t="s">
        <v>3678</v>
      </c>
      <c r="G814" s="248">
        <v>6039</v>
      </c>
      <c r="H814" s="245" t="s">
        <v>3584</v>
      </c>
      <c r="I814" s="246" t="s">
        <v>729</v>
      </c>
      <c r="J814" s="253" t="s">
        <v>111</v>
      </c>
      <c r="K814" s="253" t="s">
        <v>110</v>
      </c>
      <c r="L814" s="1059">
        <v>0.6</v>
      </c>
      <c r="M814" s="879"/>
      <c r="N814" s="879" t="s">
        <v>3685</v>
      </c>
      <c r="O814" s="879"/>
      <c r="P814" s="262">
        <v>1</v>
      </c>
      <c r="Q814" s="1245">
        <v>0.1</v>
      </c>
      <c r="R814" s="262"/>
      <c r="S814" s="964">
        <f t="shared" si="24"/>
        <v>0</v>
      </c>
      <c r="T814" s="962">
        <f t="shared" si="25"/>
        <v>0</v>
      </c>
      <c r="U814" s="964" t="s">
        <v>34</v>
      </c>
      <c r="V814" s="1228"/>
      <c r="W814" s="879"/>
    </row>
    <row r="815" spans="1:23" ht="22.95" customHeight="1" x14ac:dyDescent="0.4">
      <c r="A815" s="788">
        <v>814</v>
      </c>
      <c r="B815" s="246" t="s">
        <v>2616</v>
      </c>
      <c r="C815" s="246" t="s">
        <v>24</v>
      </c>
      <c r="D815" s="1134">
        <v>2390</v>
      </c>
      <c r="E815" s="246" t="s">
        <v>3677</v>
      </c>
      <c r="F815" s="245" t="s">
        <v>3678</v>
      </c>
      <c r="G815" s="248">
        <v>6039</v>
      </c>
      <c r="H815" s="245" t="s">
        <v>3584</v>
      </c>
      <c r="I815" s="246" t="s">
        <v>729</v>
      </c>
      <c r="J815" s="253" t="s">
        <v>111</v>
      </c>
      <c r="K815" s="253" t="s">
        <v>110</v>
      </c>
      <c r="L815" s="1245">
        <v>0.6</v>
      </c>
      <c r="M815" s="879"/>
      <c r="N815" s="879" t="s">
        <v>3686</v>
      </c>
      <c r="O815" s="879"/>
      <c r="P815" s="262">
        <v>1</v>
      </c>
      <c r="Q815" s="1245">
        <v>0.15</v>
      </c>
      <c r="R815" s="262"/>
      <c r="S815" s="262">
        <f t="shared" si="24"/>
        <v>0</v>
      </c>
      <c r="T815" s="263">
        <f t="shared" si="25"/>
        <v>0</v>
      </c>
      <c r="U815" s="262" t="s">
        <v>34</v>
      </c>
      <c r="V815" s="1228"/>
      <c r="W815" s="879"/>
    </row>
    <row r="816" spans="1:23" ht="22.95" customHeight="1" x14ac:dyDescent="0.4">
      <c r="A816" s="788">
        <v>815</v>
      </c>
      <c r="B816" s="246" t="s">
        <v>2616</v>
      </c>
      <c r="C816" s="246" t="s">
        <v>24</v>
      </c>
      <c r="D816" s="1134">
        <v>2390</v>
      </c>
      <c r="E816" s="246" t="s">
        <v>3677</v>
      </c>
      <c r="F816" s="245" t="s">
        <v>3678</v>
      </c>
      <c r="G816" s="248">
        <v>6039</v>
      </c>
      <c r="H816" s="245" t="s">
        <v>3584</v>
      </c>
      <c r="I816" s="246" t="s">
        <v>729</v>
      </c>
      <c r="J816" s="253" t="s">
        <v>111</v>
      </c>
      <c r="K816" s="253" t="s">
        <v>110</v>
      </c>
      <c r="L816" s="1245">
        <v>0.6</v>
      </c>
      <c r="M816" s="879"/>
      <c r="N816" s="879" t="s">
        <v>3687</v>
      </c>
      <c r="O816" s="879"/>
      <c r="P816" s="262">
        <v>1</v>
      </c>
      <c r="Q816" s="1245">
        <v>0.2</v>
      </c>
      <c r="R816" s="262"/>
      <c r="S816" s="262">
        <f t="shared" si="24"/>
        <v>0</v>
      </c>
      <c r="T816" s="263">
        <f t="shared" si="25"/>
        <v>0</v>
      </c>
      <c r="U816" s="262" t="s">
        <v>34</v>
      </c>
      <c r="V816" s="1228"/>
      <c r="W816" s="879"/>
    </row>
    <row r="817" spans="1:23" ht="22.95" customHeight="1" x14ac:dyDescent="0.4">
      <c r="A817" s="788">
        <v>816</v>
      </c>
      <c r="B817" s="187" t="s">
        <v>2616</v>
      </c>
      <c r="C817" s="187" t="s">
        <v>24</v>
      </c>
      <c r="D817" s="1130">
        <v>3619</v>
      </c>
      <c r="E817" s="187" t="s">
        <v>3688</v>
      </c>
      <c r="F817" s="236" t="s">
        <v>3689</v>
      </c>
      <c r="G817" s="674">
        <v>3006</v>
      </c>
      <c r="H817" s="236" t="s">
        <v>3662</v>
      </c>
      <c r="I817" s="187" t="s">
        <v>729</v>
      </c>
      <c r="J817" s="653" t="s">
        <v>58</v>
      </c>
      <c r="K817" s="653" t="s">
        <v>57</v>
      </c>
      <c r="L817" s="1193">
        <v>0.6</v>
      </c>
      <c r="M817" s="749"/>
      <c r="N817" s="749" t="s">
        <v>3690</v>
      </c>
      <c r="O817" s="749"/>
      <c r="P817" s="197">
        <v>1</v>
      </c>
      <c r="Q817" s="1511">
        <v>0.25</v>
      </c>
      <c r="R817" s="197"/>
      <c r="S817" s="195">
        <f t="shared" si="24"/>
        <v>0</v>
      </c>
      <c r="T817" s="196">
        <f t="shared" si="25"/>
        <v>0</v>
      </c>
      <c r="U817" s="197" t="s">
        <v>34</v>
      </c>
      <c r="V817" s="1488">
        <f>SUM(T817:T835)%</f>
        <v>0</v>
      </c>
      <c r="W817" s="749"/>
    </row>
    <row r="818" spans="1:23" ht="22.95" customHeight="1" x14ac:dyDescent="0.4">
      <c r="A818" s="788">
        <v>817</v>
      </c>
      <c r="B818" s="246" t="s">
        <v>2616</v>
      </c>
      <c r="C818" s="246" t="s">
        <v>24</v>
      </c>
      <c r="D818" s="1134">
        <v>3619</v>
      </c>
      <c r="E818" s="246" t="s">
        <v>3688</v>
      </c>
      <c r="F818" s="245" t="s">
        <v>3689</v>
      </c>
      <c r="G818" s="679">
        <v>3006</v>
      </c>
      <c r="H818" s="245" t="s">
        <v>3662</v>
      </c>
      <c r="I818" s="246" t="s">
        <v>729</v>
      </c>
      <c r="J818" s="648" t="s">
        <v>58</v>
      </c>
      <c r="K818" s="649" t="s">
        <v>57</v>
      </c>
      <c r="L818" s="1196">
        <v>0.6</v>
      </c>
      <c r="M818" s="757"/>
      <c r="N818" s="757" t="s">
        <v>3691</v>
      </c>
      <c r="O818" s="757"/>
      <c r="P818" s="208">
        <v>1</v>
      </c>
      <c r="Q818" s="1486">
        <v>0.25</v>
      </c>
      <c r="R818" s="208"/>
      <c r="S818" s="206">
        <f t="shared" si="24"/>
        <v>0</v>
      </c>
      <c r="T818" s="207">
        <f t="shared" si="25"/>
        <v>0</v>
      </c>
      <c r="U818" s="208" t="s">
        <v>34</v>
      </c>
      <c r="V818" s="1203"/>
      <c r="W818" s="827"/>
    </row>
    <row r="819" spans="1:23" ht="22.95" customHeight="1" x14ac:dyDescent="0.4">
      <c r="A819" s="788">
        <v>818</v>
      </c>
      <c r="B819" s="246" t="s">
        <v>2616</v>
      </c>
      <c r="C819" s="246" t="s">
        <v>24</v>
      </c>
      <c r="D819" s="1134">
        <v>3619</v>
      </c>
      <c r="E819" s="246" t="s">
        <v>3688</v>
      </c>
      <c r="F819" s="245" t="s">
        <v>3689</v>
      </c>
      <c r="G819" s="679">
        <v>3006</v>
      </c>
      <c r="H819" s="245" t="s">
        <v>3662</v>
      </c>
      <c r="I819" s="246" t="s">
        <v>729</v>
      </c>
      <c r="J819" s="648" t="s">
        <v>58</v>
      </c>
      <c r="K819" s="649" t="s">
        <v>57</v>
      </c>
      <c r="L819" s="1196">
        <v>0.6</v>
      </c>
      <c r="M819" s="757"/>
      <c r="N819" s="757" t="s">
        <v>3692</v>
      </c>
      <c r="O819" s="757"/>
      <c r="P819" s="208">
        <v>1</v>
      </c>
      <c r="Q819" s="1486">
        <v>0.25</v>
      </c>
      <c r="R819" s="208"/>
      <c r="S819" s="206">
        <f t="shared" si="24"/>
        <v>0</v>
      </c>
      <c r="T819" s="207">
        <f t="shared" si="25"/>
        <v>0</v>
      </c>
      <c r="U819" s="208" t="s">
        <v>34</v>
      </c>
      <c r="V819" s="1203"/>
      <c r="W819" s="827"/>
    </row>
    <row r="820" spans="1:23" ht="22.95" customHeight="1" x14ac:dyDescent="0.4">
      <c r="A820" s="788">
        <v>819</v>
      </c>
      <c r="B820" s="246" t="s">
        <v>2616</v>
      </c>
      <c r="C820" s="246" t="s">
        <v>24</v>
      </c>
      <c r="D820" s="1134">
        <v>3619</v>
      </c>
      <c r="E820" s="246" t="s">
        <v>3688</v>
      </c>
      <c r="F820" s="245" t="s">
        <v>3689</v>
      </c>
      <c r="G820" s="679">
        <v>3006</v>
      </c>
      <c r="H820" s="245" t="s">
        <v>3662</v>
      </c>
      <c r="I820" s="246" t="s">
        <v>729</v>
      </c>
      <c r="J820" s="648" t="s">
        <v>58</v>
      </c>
      <c r="K820" s="649" t="s">
        <v>57</v>
      </c>
      <c r="L820" s="1196">
        <v>0.6</v>
      </c>
      <c r="M820" s="757"/>
      <c r="N820" s="757" t="s">
        <v>3693</v>
      </c>
      <c r="O820" s="757"/>
      <c r="P820" s="208">
        <v>1</v>
      </c>
      <c r="Q820" s="1486">
        <v>0.25</v>
      </c>
      <c r="R820" s="208"/>
      <c r="S820" s="206">
        <f t="shared" si="24"/>
        <v>0</v>
      </c>
      <c r="T820" s="207">
        <f t="shared" si="25"/>
        <v>0</v>
      </c>
      <c r="U820" s="208" t="s">
        <v>34</v>
      </c>
      <c r="V820" s="1203"/>
      <c r="W820" s="827"/>
    </row>
    <row r="821" spans="1:23" ht="22.95" customHeight="1" x14ac:dyDescent="0.4">
      <c r="A821" s="788">
        <v>820</v>
      </c>
      <c r="B821" s="246" t="s">
        <v>2616</v>
      </c>
      <c r="C821" s="246" t="s">
        <v>24</v>
      </c>
      <c r="D821" s="1134">
        <v>3619</v>
      </c>
      <c r="E821" s="246" t="s">
        <v>3688</v>
      </c>
      <c r="F821" s="245" t="s">
        <v>3689</v>
      </c>
      <c r="G821" s="679">
        <v>3006</v>
      </c>
      <c r="H821" s="245" t="s">
        <v>3662</v>
      </c>
      <c r="I821" s="246" t="s">
        <v>729</v>
      </c>
      <c r="J821" s="648" t="s">
        <v>111</v>
      </c>
      <c r="K821" s="649" t="s">
        <v>110</v>
      </c>
      <c r="L821" s="1063">
        <v>0.4</v>
      </c>
      <c r="M821" s="827"/>
      <c r="N821" s="827" t="s">
        <v>255</v>
      </c>
      <c r="O821" s="827"/>
      <c r="P821" s="222">
        <v>1</v>
      </c>
      <c r="Q821" s="1063">
        <v>0.05</v>
      </c>
      <c r="R821" s="222"/>
      <c r="S821" s="222">
        <f t="shared" si="24"/>
        <v>0</v>
      </c>
      <c r="T821" s="765">
        <f t="shared" si="25"/>
        <v>0</v>
      </c>
      <c r="U821" s="222" t="s">
        <v>34</v>
      </c>
      <c r="V821" s="1228"/>
      <c r="W821" s="827"/>
    </row>
    <row r="822" spans="1:23" ht="22.95" customHeight="1" x14ac:dyDescent="0.4">
      <c r="A822" s="788">
        <v>821</v>
      </c>
      <c r="B822" s="246" t="s">
        <v>2616</v>
      </c>
      <c r="C822" s="246" t="s">
        <v>24</v>
      </c>
      <c r="D822" s="1134">
        <v>3619</v>
      </c>
      <c r="E822" s="246" t="s">
        <v>3688</v>
      </c>
      <c r="F822" s="245" t="s">
        <v>3689</v>
      </c>
      <c r="G822" s="679">
        <v>3006</v>
      </c>
      <c r="H822" s="245" t="s">
        <v>3662</v>
      </c>
      <c r="I822" s="246" t="s">
        <v>729</v>
      </c>
      <c r="J822" s="648" t="s">
        <v>111</v>
      </c>
      <c r="K822" s="649" t="s">
        <v>110</v>
      </c>
      <c r="L822" s="1063">
        <v>0.4</v>
      </c>
      <c r="M822" s="827"/>
      <c r="N822" s="827" t="s">
        <v>768</v>
      </c>
      <c r="O822" s="827"/>
      <c r="P822" s="222">
        <v>1</v>
      </c>
      <c r="Q822" s="1063">
        <v>0.05</v>
      </c>
      <c r="R822" s="222"/>
      <c r="S822" s="222">
        <f t="shared" si="24"/>
        <v>0</v>
      </c>
      <c r="T822" s="765">
        <f t="shared" si="25"/>
        <v>0</v>
      </c>
      <c r="U822" s="222" t="s">
        <v>34</v>
      </c>
      <c r="V822" s="1228"/>
      <c r="W822" s="827"/>
    </row>
    <row r="823" spans="1:23" ht="22.95" customHeight="1" x14ac:dyDescent="0.4">
      <c r="A823" s="788">
        <v>822</v>
      </c>
      <c r="B823" s="246" t="s">
        <v>2616</v>
      </c>
      <c r="C823" s="246" t="s">
        <v>24</v>
      </c>
      <c r="D823" s="1134">
        <v>3619</v>
      </c>
      <c r="E823" s="246" t="s">
        <v>3688</v>
      </c>
      <c r="F823" s="245" t="s">
        <v>3689</v>
      </c>
      <c r="G823" s="679">
        <v>3006</v>
      </c>
      <c r="H823" s="245" t="s">
        <v>3662</v>
      </c>
      <c r="I823" s="246" t="s">
        <v>729</v>
      </c>
      <c r="J823" s="648" t="s">
        <v>111</v>
      </c>
      <c r="K823" s="649" t="s">
        <v>110</v>
      </c>
      <c r="L823" s="1063">
        <v>0.4</v>
      </c>
      <c r="M823" s="827"/>
      <c r="N823" s="827" t="s">
        <v>769</v>
      </c>
      <c r="O823" s="827"/>
      <c r="P823" s="222">
        <v>1</v>
      </c>
      <c r="Q823" s="1063">
        <v>0.05</v>
      </c>
      <c r="R823" s="222"/>
      <c r="S823" s="222">
        <f t="shared" si="24"/>
        <v>0</v>
      </c>
      <c r="T823" s="765">
        <f t="shared" si="25"/>
        <v>0</v>
      </c>
      <c r="U823" s="222" t="s">
        <v>34</v>
      </c>
      <c r="V823" s="1228"/>
      <c r="W823" s="827"/>
    </row>
    <row r="824" spans="1:23" ht="22.95" customHeight="1" x14ac:dyDescent="0.4">
      <c r="A824" s="788">
        <v>823</v>
      </c>
      <c r="B824" s="246" t="s">
        <v>2616</v>
      </c>
      <c r="C824" s="246" t="s">
        <v>24</v>
      </c>
      <c r="D824" s="1134">
        <v>3619</v>
      </c>
      <c r="E824" s="246" t="s">
        <v>3688</v>
      </c>
      <c r="F824" s="245" t="s">
        <v>3689</v>
      </c>
      <c r="G824" s="679">
        <v>3006</v>
      </c>
      <c r="H824" s="245" t="s">
        <v>3662</v>
      </c>
      <c r="I824" s="246" t="s">
        <v>729</v>
      </c>
      <c r="J824" s="648" t="s">
        <v>111</v>
      </c>
      <c r="K824" s="649" t="s">
        <v>110</v>
      </c>
      <c r="L824" s="1063">
        <v>0.4</v>
      </c>
      <c r="M824" s="827"/>
      <c r="N824" s="827" t="s">
        <v>770</v>
      </c>
      <c r="O824" s="827"/>
      <c r="P824" s="222">
        <v>1</v>
      </c>
      <c r="Q824" s="1063">
        <v>0.15</v>
      </c>
      <c r="R824" s="222"/>
      <c r="S824" s="222">
        <f t="shared" si="24"/>
        <v>0</v>
      </c>
      <c r="T824" s="765">
        <f t="shared" si="25"/>
        <v>0</v>
      </c>
      <c r="U824" s="222" t="s">
        <v>34</v>
      </c>
      <c r="V824" s="1228"/>
      <c r="W824" s="827"/>
    </row>
    <row r="825" spans="1:23" ht="22.95" customHeight="1" x14ac:dyDescent="0.4">
      <c r="A825" s="788">
        <v>824</v>
      </c>
      <c r="B825" s="246" t="s">
        <v>2616</v>
      </c>
      <c r="C825" s="246" t="s">
        <v>24</v>
      </c>
      <c r="D825" s="1134">
        <v>3619</v>
      </c>
      <c r="E825" s="246" t="s">
        <v>3688</v>
      </c>
      <c r="F825" s="245" t="s">
        <v>3689</v>
      </c>
      <c r="G825" s="679">
        <v>3006</v>
      </c>
      <c r="H825" s="245" t="s">
        <v>3662</v>
      </c>
      <c r="I825" s="246" t="s">
        <v>729</v>
      </c>
      <c r="J825" s="648" t="s">
        <v>111</v>
      </c>
      <c r="K825" s="649" t="s">
        <v>110</v>
      </c>
      <c r="L825" s="1063">
        <v>0.4</v>
      </c>
      <c r="M825" s="827"/>
      <c r="N825" s="827" t="s">
        <v>254</v>
      </c>
      <c r="O825" s="827"/>
      <c r="P825" s="222">
        <v>1</v>
      </c>
      <c r="Q825" s="1063">
        <v>0.1</v>
      </c>
      <c r="R825" s="222"/>
      <c r="S825" s="222">
        <f t="shared" si="24"/>
        <v>0</v>
      </c>
      <c r="T825" s="765">
        <f t="shared" si="25"/>
        <v>0</v>
      </c>
      <c r="U825" s="222" t="s">
        <v>34</v>
      </c>
      <c r="V825" s="1228"/>
      <c r="W825" s="827"/>
    </row>
    <row r="826" spans="1:23" ht="22.95" customHeight="1" x14ac:dyDescent="0.4">
      <c r="A826" s="788">
        <v>825</v>
      </c>
      <c r="B826" s="246" t="s">
        <v>2616</v>
      </c>
      <c r="C826" s="246" t="s">
        <v>24</v>
      </c>
      <c r="D826" s="1134">
        <v>3619</v>
      </c>
      <c r="E826" s="246" t="s">
        <v>3688</v>
      </c>
      <c r="F826" s="245" t="s">
        <v>3689</v>
      </c>
      <c r="G826" s="679">
        <v>3006</v>
      </c>
      <c r="H826" s="245" t="s">
        <v>3662</v>
      </c>
      <c r="I826" s="246" t="s">
        <v>729</v>
      </c>
      <c r="J826" s="648" t="s">
        <v>111</v>
      </c>
      <c r="K826" s="649" t="s">
        <v>110</v>
      </c>
      <c r="L826" s="1063">
        <v>0.4</v>
      </c>
      <c r="M826" s="827"/>
      <c r="N826" s="827" t="s">
        <v>771</v>
      </c>
      <c r="O826" s="827"/>
      <c r="P826" s="222">
        <v>1</v>
      </c>
      <c r="Q826" s="1063">
        <v>0.05</v>
      </c>
      <c r="R826" s="222"/>
      <c r="S826" s="222">
        <f t="shared" si="24"/>
        <v>0</v>
      </c>
      <c r="T826" s="765">
        <f t="shared" si="25"/>
        <v>0</v>
      </c>
      <c r="U826" s="222" t="s">
        <v>34</v>
      </c>
      <c r="V826" s="1228"/>
      <c r="W826" s="827"/>
    </row>
    <row r="827" spans="1:23" ht="22.95" customHeight="1" x14ac:dyDescent="0.4">
      <c r="A827" s="788">
        <v>826</v>
      </c>
      <c r="B827" s="246" t="s">
        <v>2616</v>
      </c>
      <c r="C827" s="246" t="s">
        <v>24</v>
      </c>
      <c r="D827" s="1134">
        <v>3619</v>
      </c>
      <c r="E827" s="246" t="s">
        <v>3688</v>
      </c>
      <c r="F827" s="245" t="s">
        <v>3689</v>
      </c>
      <c r="G827" s="679">
        <v>3006</v>
      </c>
      <c r="H827" s="245" t="s">
        <v>3662</v>
      </c>
      <c r="I827" s="246" t="s">
        <v>729</v>
      </c>
      <c r="J827" s="648" t="s">
        <v>111</v>
      </c>
      <c r="K827" s="649" t="s">
        <v>110</v>
      </c>
      <c r="L827" s="1063">
        <v>0.4</v>
      </c>
      <c r="M827" s="827"/>
      <c r="N827" s="827" t="s">
        <v>772</v>
      </c>
      <c r="O827" s="827"/>
      <c r="P827" s="222">
        <v>1</v>
      </c>
      <c r="Q827" s="1063">
        <v>0.1</v>
      </c>
      <c r="R827" s="222"/>
      <c r="S827" s="222">
        <f t="shared" si="24"/>
        <v>0</v>
      </c>
      <c r="T827" s="765">
        <f t="shared" si="25"/>
        <v>0</v>
      </c>
      <c r="U827" s="222" t="s">
        <v>34</v>
      </c>
      <c r="V827" s="1228"/>
      <c r="W827" s="827"/>
    </row>
    <row r="828" spans="1:23" ht="22.95" customHeight="1" x14ac:dyDescent="0.4">
      <c r="A828" s="788">
        <v>827</v>
      </c>
      <c r="B828" s="246" t="s">
        <v>2616</v>
      </c>
      <c r="C828" s="246" t="s">
        <v>24</v>
      </c>
      <c r="D828" s="1134">
        <v>3619</v>
      </c>
      <c r="E828" s="246" t="s">
        <v>3688</v>
      </c>
      <c r="F828" s="245" t="s">
        <v>3689</v>
      </c>
      <c r="G828" s="679">
        <v>3006</v>
      </c>
      <c r="H828" s="245" t="s">
        <v>3662</v>
      </c>
      <c r="I828" s="246" t="s">
        <v>729</v>
      </c>
      <c r="J828" s="648" t="s">
        <v>111</v>
      </c>
      <c r="K828" s="649" t="s">
        <v>110</v>
      </c>
      <c r="L828" s="1063">
        <v>0.4</v>
      </c>
      <c r="M828" s="827"/>
      <c r="N828" s="827" t="s">
        <v>773</v>
      </c>
      <c r="O828" s="827"/>
      <c r="P828" s="222">
        <v>1</v>
      </c>
      <c r="Q828" s="1063">
        <v>0.05</v>
      </c>
      <c r="R828" s="222"/>
      <c r="S828" s="222">
        <f t="shared" si="24"/>
        <v>0</v>
      </c>
      <c r="T828" s="765">
        <f t="shared" si="25"/>
        <v>0</v>
      </c>
      <c r="U828" s="222" t="s">
        <v>34</v>
      </c>
      <c r="V828" s="1228"/>
      <c r="W828" s="827"/>
    </row>
    <row r="829" spans="1:23" ht="22.95" customHeight="1" x14ac:dyDescent="0.4">
      <c r="A829" s="788">
        <v>828</v>
      </c>
      <c r="B829" s="246" t="s">
        <v>2616</v>
      </c>
      <c r="C829" s="246" t="s">
        <v>24</v>
      </c>
      <c r="D829" s="1134">
        <v>3619</v>
      </c>
      <c r="E829" s="246" t="s">
        <v>3688</v>
      </c>
      <c r="F829" s="245" t="s">
        <v>3689</v>
      </c>
      <c r="G829" s="679">
        <v>3006</v>
      </c>
      <c r="H829" s="245" t="s">
        <v>3662</v>
      </c>
      <c r="I829" s="246" t="s">
        <v>729</v>
      </c>
      <c r="J829" s="648" t="s">
        <v>111</v>
      </c>
      <c r="K829" s="649" t="s">
        <v>110</v>
      </c>
      <c r="L829" s="1063">
        <v>0.4</v>
      </c>
      <c r="M829" s="827"/>
      <c r="N829" s="827" t="s">
        <v>774</v>
      </c>
      <c r="O829" s="827"/>
      <c r="P829" s="222">
        <v>1</v>
      </c>
      <c r="Q829" s="1063">
        <v>0.05</v>
      </c>
      <c r="R829" s="222"/>
      <c r="S829" s="222">
        <f t="shared" si="24"/>
        <v>0</v>
      </c>
      <c r="T829" s="765">
        <f t="shared" si="25"/>
        <v>0</v>
      </c>
      <c r="U829" s="222" t="s">
        <v>34</v>
      </c>
      <c r="V829" s="1228"/>
      <c r="W829" s="827"/>
    </row>
    <row r="830" spans="1:23" ht="22.95" customHeight="1" x14ac:dyDescent="0.4">
      <c r="A830" s="788">
        <v>829</v>
      </c>
      <c r="B830" s="246" t="s">
        <v>2616</v>
      </c>
      <c r="C830" s="246" t="s">
        <v>24</v>
      </c>
      <c r="D830" s="1134">
        <v>3619</v>
      </c>
      <c r="E830" s="246" t="s">
        <v>3688</v>
      </c>
      <c r="F830" s="245" t="s">
        <v>3689</v>
      </c>
      <c r="G830" s="679">
        <v>3006</v>
      </c>
      <c r="H830" s="245" t="s">
        <v>3662</v>
      </c>
      <c r="I830" s="246" t="s">
        <v>729</v>
      </c>
      <c r="J830" s="648" t="s">
        <v>111</v>
      </c>
      <c r="K830" s="649" t="s">
        <v>110</v>
      </c>
      <c r="L830" s="1063">
        <v>0.4</v>
      </c>
      <c r="M830" s="827"/>
      <c r="N830" s="827" t="s">
        <v>775</v>
      </c>
      <c r="O830" s="827"/>
      <c r="P830" s="222">
        <v>1</v>
      </c>
      <c r="Q830" s="1063">
        <v>0.05</v>
      </c>
      <c r="R830" s="222"/>
      <c r="S830" s="222">
        <f t="shared" si="24"/>
        <v>0</v>
      </c>
      <c r="T830" s="765">
        <f t="shared" si="25"/>
        <v>0</v>
      </c>
      <c r="U830" s="222" t="s">
        <v>34</v>
      </c>
      <c r="V830" s="1228"/>
      <c r="W830" s="827"/>
    </row>
    <row r="831" spans="1:23" ht="22.95" customHeight="1" x14ac:dyDescent="0.4">
      <c r="A831" s="788">
        <v>830</v>
      </c>
      <c r="B831" s="246" t="s">
        <v>2616</v>
      </c>
      <c r="C831" s="246" t="s">
        <v>24</v>
      </c>
      <c r="D831" s="1134">
        <v>3619</v>
      </c>
      <c r="E831" s="246" t="s">
        <v>3688</v>
      </c>
      <c r="F831" s="245" t="s">
        <v>3689</v>
      </c>
      <c r="G831" s="679">
        <v>3006</v>
      </c>
      <c r="H831" s="245" t="s">
        <v>3662</v>
      </c>
      <c r="I831" s="246" t="s">
        <v>729</v>
      </c>
      <c r="J831" s="648" t="s">
        <v>111</v>
      </c>
      <c r="K831" s="649" t="s">
        <v>110</v>
      </c>
      <c r="L831" s="1063">
        <v>0.4</v>
      </c>
      <c r="M831" s="827"/>
      <c r="N831" s="827" t="s">
        <v>776</v>
      </c>
      <c r="O831" s="827"/>
      <c r="P831" s="222">
        <v>1</v>
      </c>
      <c r="Q831" s="1063">
        <v>0.1</v>
      </c>
      <c r="R831" s="222"/>
      <c r="S831" s="222">
        <f t="shared" si="24"/>
        <v>0</v>
      </c>
      <c r="T831" s="765">
        <f t="shared" si="25"/>
        <v>0</v>
      </c>
      <c r="U831" s="222" t="s">
        <v>34</v>
      </c>
      <c r="V831" s="1228"/>
      <c r="W831" s="827"/>
    </row>
    <row r="832" spans="1:23" ht="22.95" customHeight="1" x14ac:dyDescent="0.4">
      <c r="A832" s="788">
        <v>831</v>
      </c>
      <c r="B832" s="246" t="s">
        <v>2616</v>
      </c>
      <c r="C832" s="246" t="s">
        <v>24</v>
      </c>
      <c r="D832" s="1134">
        <v>3619</v>
      </c>
      <c r="E832" s="246" t="s">
        <v>3688</v>
      </c>
      <c r="F832" s="245" t="s">
        <v>3689</v>
      </c>
      <c r="G832" s="679">
        <v>3006</v>
      </c>
      <c r="H832" s="245" t="s">
        <v>3662</v>
      </c>
      <c r="I832" s="246" t="s">
        <v>729</v>
      </c>
      <c r="J832" s="648" t="s">
        <v>111</v>
      </c>
      <c r="K832" s="649" t="s">
        <v>110</v>
      </c>
      <c r="L832" s="1063">
        <v>0.4</v>
      </c>
      <c r="M832" s="827"/>
      <c r="N832" s="827" t="s">
        <v>251</v>
      </c>
      <c r="O832" s="827"/>
      <c r="P832" s="222">
        <v>1</v>
      </c>
      <c r="Q832" s="1063">
        <v>0.05</v>
      </c>
      <c r="R832" s="222"/>
      <c r="S832" s="222">
        <f t="shared" si="24"/>
        <v>0</v>
      </c>
      <c r="T832" s="765">
        <f t="shared" si="25"/>
        <v>0</v>
      </c>
      <c r="U832" s="222" t="s">
        <v>34</v>
      </c>
      <c r="V832" s="1228"/>
      <c r="W832" s="827"/>
    </row>
    <row r="833" spans="1:23" ht="22.95" customHeight="1" x14ac:dyDescent="0.4">
      <c r="A833" s="788">
        <v>832</v>
      </c>
      <c r="B833" s="246" t="s">
        <v>2616</v>
      </c>
      <c r="C833" s="246" t="s">
        <v>24</v>
      </c>
      <c r="D833" s="1134">
        <v>3619</v>
      </c>
      <c r="E833" s="246" t="s">
        <v>3688</v>
      </c>
      <c r="F833" s="245" t="s">
        <v>3689</v>
      </c>
      <c r="G833" s="679">
        <v>3006</v>
      </c>
      <c r="H833" s="245" t="s">
        <v>3662</v>
      </c>
      <c r="I833" s="246" t="s">
        <v>729</v>
      </c>
      <c r="J833" s="648" t="s">
        <v>111</v>
      </c>
      <c r="K833" s="649" t="s">
        <v>110</v>
      </c>
      <c r="L833" s="1063">
        <v>0.4</v>
      </c>
      <c r="M833" s="827"/>
      <c r="N833" s="827" t="s">
        <v>252</v>
      </c>
      <c r="O833" s="827"/>
      <c r="P833" s="222">
        <v>1</v>
      </c>
      <c r="Q833" s="1063">
        <v>0.05</v>
      </c>
      <c r="R833" s="222"/>
      <c r="S833" s="222">
        <f t="shared" si="24"/>
        <v>0</v>
      </c>
      <c r="T833" s="765">
        <f t="shared" si="25"/>
        <v>0</v>
      </c>
      <c r="U833" s="222" t="s">
        <v>34</v>
      </c>
      <c r="V833" s="1228"/>
      <c r="W833" s="827"/>
    </row>
    <row r="834" spans="1:23" ht="22.95" customHeight="1" x14ac:dyDescent="0.4">
      <c r="A834" s="788">
        <v>833</v>
      </c>
      <c r="B834" s="246" t="s">
        <v>2616</v>
      </c>
      <c r="C834" s="246" t="s">
        <v>24</v>
      </c>
      <c r="D834" s="1134">
        <v>3619</v>
      </c>
      <c r="E834" s="246" t="s">
        <v>3688</v>
      </c>
      <c r="F834" s="245" t="s">
        <v>3689</v>
      </c>
      <c r="G834" s="679">
        <v>3006</v>
      </c>
      <c r="H834" s="245" t="s">
        <v>3662</v>
      </c>
      <c r="I834" s="246" t="s">
        <v>729</v>
      </c>
      <c r="J834" s="648" t="s">
        <v>111</v>
      </c>
      <c r="K834" s="649" t="s">
        <v>110</v>
      </c>
      <c r="L834" s="1063">
        <v>0.4</v>
      </c>
      <c r="M834" s="827"/>
      <c r="N834" s="827" t="s">
        <v>777</v>
      </c>
      <c r="O834" s="827"/>
      <c r="P834" s="222">
        <v>1</v>
      </c>
      <c r="Q834" s="1063">
        <v>0.05</v>
      </c>
      <c r="R834" s="222"/>
      <c r="S834" s="222">
        <f t="shared" ref="S834:S897" si="26">ROUND(IF(OR(P834="",R834=""),0,IF(AND(P834=0,R834=0),1,IF(U834="+",R834/P834,P834/R834))),2)</f>
        <v>0</v>
      </c>
      <c r="T834" s="765">
        <f t="shared" ref="T834:T897" si="27">IF(AND(S834&gt;=60%,S834&lt;100%),S834*((Q834*L834)),IF(S834=100%,((Q834*L834)*S834)*100%,IF(S834&gt;100%,((L834*Q834)*100%)*100%,0)))*100</f>
        <v>0</v>
      </c>
      <c r="U834" s="222" t="s">
        <v>34</v>
      </c>
      <c r="V834" s="1228"/>
      <c r="W834" s="827"/>
    </row>
    <row r="835" spans="1:23" ht="22.95" customHeight="1" x14ac:dyDescent="0.4">
      <c r="A835" s="788">
        <v>834</v>
      </c>
      <c r="B835" s="246" t="s">
        <v>2616</v>
      </c>
      <c r="C835" s="246" t="s">
        <v>24</v>
      </c>
      <c r="D835" s="1134">
        <v>3619</v>
      </c>
      <c r="E835" s="246" t="s">
        <v>3688</v>
      </c>
      <c r="F835" s="245" t="s">
        <v>3689</v>
      </c>
      <c r="G835" s="679">
        <v>3006</v>
      </c>
      <c r="H835" s="245" t="s">
        <v>3662</v>
      </c>
      <c r="I835" s="246" t="s">
        <v>729</v>
      </c>
      <c r="J835" s="648" t="s">
        <v>111</v>
      </c>
      <c r="K835" s="649" t="s">
        <v>110</v>
      </c>
      <c r="L835" s="1063">
        <v>0.4</v>
      </c>
      <c r="M835" s="827"/>
      <c r="N835" s="827" t="s">
        <v>253</v>
      </c>
      <c r="O835" s="827"/>
      <c r="P835" s="222">
        <v>1</v>
      </c>
      <c r="Q835" s="1063">
        <v>0.05</v>
      </c>
      <c r="R835" s="222"/>
      <c r="S835" s="222">
        <f t="shared" si="26"/>
        <v>0</v>
      </c>
      <c r="T835" s="765">
        <f t="shared" si="27"/>
        <v>0</v>
      </c>
      <c r="U835" s="222" t="s">
        <v>34</v>
      </c>
      <c r="V835" s="1228"/>
      <c r="W835" s="827"/>
    </row>
    <row r="836" spans="1:23" ht="22.95" customHeight="1" x14ac:dyDescent="0.4">
      <c r="A836" s="788">
        <v>835</v>
      </c>
      <c r="B836" s="187" t="s">
        <v>2616</v>
      </c>
      <c r="C836" s="187" t="s">
        <v>24</v>
      </c>
      <c r="D836" s="1130">
        <v>3491</v>
      </c>
      <c r="E836" s="187" t="s">
        <v>3694</v>
      </c>
      <c r="F836" s="236" t="s">
        <v>3689</v>
      </c>
      <c r="G836" s="674">
        <v>3006</v>
      </c>
      <c r="H836" s="236" t="s">
        <v>3662</v>
      </c>
      <c r="I836" s="187" t="s">
        <v>729</v>
      </c>
      <c r="J836" s="653" t="s">
        <v>58</v>
      </c>
      <c r="K836" s="653" t="s">
        <v>57</v>
      </c>
      <c r="L836" s="1193">
        <v>0.6</v>
      </c>
      <c r="M836" s="749"/>
      <c r="N836" s="749" t="s">
        <v>3695</v>
      </c>
      <c r="O836" s="749"/>
      <c r="P836" s="197">
        <v>1</v>
      </c>
      <c r="Q836" s="1511">
        <v>0.35</v>
      </c>
      <c r="R836" s="197"/>
      <c r="S836" s="195">
        <f t="shared" si="26"/>
        <v>0</v>
      </c>
      <c r="T836" s="196">
        <f t="shared" si="27"/>
        <v>0</v>
      </c>
      <c r="U836" s="197" t="s">
        <v>34</v>
      </c>
      <c r="V836" s="1488">
        <f>SUM(T836:T855)%</f>
        <v>0</v>
      </c>
      <c r="W836" s="749"/>
    </row>
    <row r="837" spans="1:23" ht="22.95" customHeight="1" x14ac:dyDescent="0.4">
      <c r="A837" s="788">
        <v>836</v>
      </c>
      <c r="B837" s="246" t="s">
        <v>2616</v>
      </c>
      <c r="C837" s="246" t="s">
        <v>24</v>
      </c>
      <c r="D837" s="1134">
        <v>3491</v>
      </c>
      <c r="E837" s="246" t="s">
        <v>3694</v>
      </c>
      <c r="F837" s="245" t="s">
        <v>3689</v>
      </c>
      <c r="G837" s="679">
        <v>3006</v>
      </c>
      <c r="H837" s="245" t="s">
        <v>3662</v>
      </c>
      <c r="I837" s="246" t="s">
        <v>729</v>
      </c>
      <c r="J837" s="649" t="s">
        <v>58</v>
      </c>
      <c r="K837" s="649" t="s">
        <v>57</v>
      </c>
      <c r="L837" s="1196">
        <v>0.6</v>
      </c>
      <c r="M837" s="757"/>
      <c r="N837" s="757" t="s">
        <v>3696</v>
      </c>
      <c r="O837" s="757"/>
      <c r="P837" s="208">
        <v>1</v>
      </c>
      <c r="Q837" s="1486">
        <v>0.15</v>
      </c>
      <c r="R837" s="208"/>
      <c r="S837" s="206">
        <f t="shared" si="26"/>
        <v>0</v>
      </c>
      <c r="T837" s="207">
        <f t="shared" si="27"/>
        <v>0</v>
      </c>
      <c r="U837" s="208" t="s">
        <v>34</v>
      </c>
      <c r="V837" s="1203"/>
      <c r="W837" s="827"/>
    </row>
    <row r="838" spans="1:23" ht="22.95" customHeight="1" x14ac:dyDescent="0.4">
      <c r="A838" s="788">
        <v>837</v>
      </c>
      <c r="B838" s="246" t="s">
        <v>2616</v>
      </c>
      <c r="C838" s="246" t="s">
        <v>24</v>
      </c>
      <c r="D838" s="1134">
        <v>3491</v>
      </c>
      <c r="E838" s="246" t="s">
        <v>3694</v>
      </c>
      <c r="F838" s="245" t="s">
        <v>3689</v>
      </c>
      <c r="G838" s="679">
        <v>3006</v>
      </c>
      <c r="H838" s="245" t="s">
        <v>3662</v>
      </c>
      <c r="I838" s="246" t="s">
        <v>729</v>
      </c>
      <c r="J838" s="649" t="s">
        <v>58</v>
      </c>
      <c r="K838" s="649" t="s">
        <v>57</v>
      </c>
      <c r="L838" s="1196">
        <v>0.6</v>
      </c>
      <c r="M838" s="757"/>
      <c r="N838" s="757" t="s">
        <v>3697</v>
      </c>
      <c r="O838" s="757"/>
      <c r="P838" s="208">
        <v>1</v>
      </c>
      <c r="Q838" s="1486">
        <v>0.15</v>
      </c>
      <c r="R838" s="208"/>
      <c r="S838" s="206">
        <f t="shared" si="26"/>
        <v>0</v>
      </c>
      <c r="T838" s="207">
        <f t="shared" si="27"/>
        <v>0</v>
      </c>
      <c r="U838" s="208" t="s">
        <v>34</v>
      </c>
      <c r="V838" s="1203"/>
      <c r="W838" s="827"/>
    </row>
    <row r="839" spans="1:23" ht="22.95" customHeight="1" x14ac:dyDescent="0.4">
      <c r="A839" s="788">
        <v>838</v>
      </c>
      <c r="B839" s="246" t="s">
        <v>2616</v>
      </c>
      <c r="C839" s="246" t="s">
        <v>24</v>
      </c>
      <c r="D839" s="1134">
        <v>3491</v>
      </c>
      <c r="E839" s="246" t="s">
        <v>3694</v>
      </c>
      <c r="F839" s="245" t="s">
        <v>3689</v>
      </c>
      <c r="G839" s="679">
        <v>3006</v>
      </c>
      <c r="H839" s="245" t="s">
        <v>3662</v>
      </c>
      <c r="I839" s="246" t="s">
        <v>729</v>
      </c>
      <c r="J839" s="649" t="s">
        <v>58</v>
      </c>
      <c r="K839" s="649" t="s">
        <v>57</v>
      </c>
      <c r="L839" s="1196">
        <v>0.6</v>
      </c>
      <c r="M839" s="757"/>
      <c r="N839" s="757" t="s">
        <v>3698</v>
      </c>
      <c r="O839" s="757"/>
      <c r="P839" s="208">
        <v>1</v>
      </c>
      <c r="Q839" s="1486">
        <v>0.15</v>
      </c>
      <c r="R839" s="208"/>
      <c r="S839" s="206">
        <f t="shared" si="26"/>
        <v>0</v>
      </c>
      <c r="T839" s="207">
        <f t="shared" si="27"/>
        <v>0</v>
      </c>
      <c r="U839" s="208" t="s">
        <v>34</v>
      </c>
      <c r="V839" s="1203"/>
      <c r="W839" s="827"/>
    </row>
    <row r="840" spans="1:23" ht="22.95" customHeight="1" x14ac:dyDescent="0.4">
      <c r="A840" s="788">
        <v>839</v>
      </c>
      <c r="B840" s="246" t="s">
        <v>2616</v>
      </c>
      <c r="C840" s="246" t="s">
        <v>24</v>
      </c>
      <c r="D840" s="1134">
        <v>3491</v>
      </c>
      <c r="E840" s="246" t="s">
        <v>3694</v>
      </c>
      <c r="F840" s="245" t="s">
        <v>3689</v>
      </c>
      <c r="G840" s="679">
        <v>3006</v>
      </c>
      <c r="H840" s="245" t="s">
        <v>3662</v>
      </c>
      <c r="I840" s="246" t="s">
        <v>729</v>
      </c>
      <c r="J840" s="649" t="s">
        <v>58</v>
      </c>
      <c r="K840" s="649" t="s">
        <v>57</v>
      </c>
      <c r="L840" s="1196">
        <v>0.6</v>
      </c>
      <c r="M840" s="757"/>
      <c r="N840" s="757" t="s">
        <v>3699</v>
      </c>
      <c r="O840" s="757"/>
      <c r="P840" s="208">
        <v>1</v>
      </c>
      <c r="Q840" s="1486">
        <v>0.2</v>
      </c>
      <c r="R840" s="208"/>
      <c r="S840" s="206">
        <f t="shared" si="26"/>
        <v>0</v>
      </c>
      <c r="T840" s="207">
        <f t="shared" si="27"/>
        <v>0</v>
      </c>
      <c r="U840" s="208" t="s">
        <v>34</v>
      </c>
      <c r="V840" s="1203"/>
      <c r="W840" s="827"/>
    </row>
    <row r="841" spans="1:23" ht="22.95" customHeight="1" x14ac:dyDescent="0.4">
      <c r="A841" s="788">
        <v>840</v>
      </c>
      <c r="B841" s="246" t="s">
        <v>2616</v>
      </c>
      <c r="C841" s="246" t="s">
        <v>24</v>
      </c>
      <c r="D841" s="1134">
        <v>3491</v>
      </c>
      <c r="E841" s="246" t="s">
        <v>3694</v>
      </c>
      <c r="F841" s="245" t="s">
        <v>3689</v>
      </c>
      <c r="G841" s="679">
        <v>3006</v>
      </c>
      <c r="H841" s="245" t="s">
        <v>3662</v>
      </c>
      <c r="I841" s="246" t="s">
        <v>729</v>
      </c>
      <c r="J841" s="649" t="s">
        <v>111</v>
      </c>
      <c r="K841" s="649" t="s">
        <v>110</v>
      </c>
      <c r="L841" s="1063">
        <v>0.4</v>
      </c>
      <c r="M841" s="827"/>
      <c r="N841" s="827" t="s">
        <v>255</v>
      </c>
      <c r="O841" s="827"/>
      <c r="P841" s="222">
        <v>1</v>
      </c>
      <c r="Q841" s="1063">
        <v>0.05</v>
      </c>
      <c r="R841" s="222"/>
      <c r="S841" s="222">
        <f t="shared" si="26"/>
        <v>0</v>
      </c>
      <c r="T841" s="765">
        <f t="shared" si="27"/>
        <v>0</v>
      </c>
      <c r="U841" s="222" t="s">
        <v>34</v>
      </c>
      <c r="V841" s="1228"/>
      <c r="W841" s="827"/>
    </row>
    <row r="842" spans="1:23" ht="22.95" customHeight="1" x14ac:dyDescent="0.4">
      <c r="A842" s="788">
        <v>841</v>
      </c>
      <c r="B842" s="246" t="s">
        <v>2616</v>
      </c>
      <c r="C842" s="246" t="s">
        <v>24</v>
      </c>
      <c r="D842" s="1134">
        <v>3491</v>
      </c>
      <c r="E842" s="246" t="s">
        <v>3694</v>
      </c>
      <c r="F842" s="245" t="s">
        <v>3689</v>
      </c>
      <c r="G842" s="679">
        <v>3006</v>
      </c>
      <c r="H842" s="245" t="s">
        <v>3662</v>
      </c>
      <c r="I842" s="246" t="s">
        <v>729</v>
      </c>
      <c r="J842" s="649" t="s">
        <v>111</v>
      </c>
      <c r="K842" s="649" t="s">
        <v>110</v>
      </c>
      <c r="L842" s="1063">
        <v>0.4</v>
      </c>
      <c r="M842" s="827"/>
      <c r="N842" s="827" t="s">
        <v>768</v>
      </c>
      <c r="O842" s="827"/>
      <c r="P842" s="222">
        <v>1</v>
      </c>
      <c r="Q842" s="1063">
        <v>0.05</v>
      </c>
      <c r="R842" s="222"/>
      <c r="S842" s="222">
        <f t="shared" si="26"/>
        <v>0</v>
      </c>
      <c r="T842" s="765">
        <f t="shared" si="27"/>
        <v>0</v>
      </c>
      <c r="U842" s="222" t="s">
        <v>34</v>
      </c>
      <c r="V842" s="1228"/>
      <c r="W842" s="827"/>
    </row>
    <row r="843" spans="1:23" ht="22.95" customHeight="1" x14ac:dyDescent="0.4">
      <c r="A843" s="788">
        <v>842</v>
      </c>
      <c r="B843" s="246" t="s">
        <v>2616</v>
      </c>
      <c r="C843" s="246" t="s">
        <v>24</v>
      </c>
      <c r="D843" s="1134">
        <v>3491</v>
      </c>
      <c r="E843" s="246" t="s">
        <v>3694</v>
      </c>
      <c r="F843" s="245" t="s">
        <v>3689</v>
      </c>
      <c r="G843" s="679">
        <v>3006</v>
      </c>
      <c r="H843" s="245" t="s">
        <v>3662</v>
      </c>
      <c r="I843" s="246" t="s">
        <v>729</v>
      </c>
      <c r="J843" s="648" t="s">
        <v>111</v>
      </c>
      <c r="K843" s="649" t="s">
        <v>110</v>
      </c>
      <c r="L843" s="1063">
        <v>0.4</v>
      </c>
      <c r="M843" s="827"/>
      <c r="N843" s="827" t="s">
        <v>769</v>
      </c>
      <c r="O843" s="827"/>
      <c r="P843" s="222">
        <v>1</v>
      </c>
      <c r="Q843" s="1063">
        <v>0.05</v>
      </c>
      <c r="R843" s="222"/>
      <c r="S843" s="222">
        <f t="shared" si="26"/>
        <v>0</v>
      </c>
      <c r="T843" s="765">
        <f t="shared" si="27"/>
        <v>0</v>
      </c>
      <c r="U843" s="222" t="s">
        <v>34</v>
      </c>
      <c r="V843" s="1228"/>
      <c r="W843" s="827"/>
    </row>
    <row r="844" spans="1:23" ht="22.95" customHeight="1" x14ac:dyDescent="0.4">
      <c r="A844" s="788">
        <v>843</v>
      </c>
      <c r="B844" s="246" t="s">
        <v>2616</v>
      </c>
      <c r="C844" s="246" t="s">
        <v>24</v>
      </c>
      <c r="D844" s="1134">
        <v>3491</v>
      </c>
      <c r="E844" s="246" t="s">
        <v>3694</v>
      </c>
      <c r="F844" s="245" t="s">
        <v>3689</v>
      </c>
      <c r="G844" s="679">
        <v>3006</v>
      </c>
      <c r="H844" s="245" t="s">
        <v>3662</v>
      </c>
      <c r="I844" s="246" t="s">
        <v>729</v>
      </c>
      <c r="J844" s="648" t="s">
        <v>111</v>
      </c>
      <c r="K844" s="649" t="s">
        <v>110</v>
      </c>
      <c r="L844" s="1063">
        <v>0.4</v>
      </c>
      <c r="M844" s="827"/>
      <c r="N844" s="827" t="s">
        <v>770</v>
      </c>
      <c r="O844" s="827"/>
      <c r="P844" s="222">
        <v>1</v>
      </c>
      <c r="Q844" s="1063">
        <v>0.15</v>
      </c>
      <c r="R844" s="222"/>
      <c r="S844" s="222">
        <f t="shared" si="26"/>
        <v>0</v>
      </c>
      <c r="T844" s="765">
        <f t="shared" si="27"/>
        <v>0</v>
      </c>
      <c r="U844" s="222" t="s">
        <v>34</v>
      </c>
      <c r="V844" s="1228"/>
      <c r="W844" s="827"/>
    </row>
    <row r="845" spans="1:23" ht="22.95" customHeight="1" x14ac:dyDescent="0.4">
      <c r="A845" s="788">
        <v>844</v>
      </c>
      <c r="B845" s="246" t="s">
        <v>2616</v>
      </c>
      <c r="C845" s="246" t="s">
        <v>24</v>
      </c>
      <c r="D845" s="1134">
        <v>3491</v>
      </c>
      <c r="E845" s="246" t="s">
        <v>3694</v>
      </c>
      <c r="F845" s="245" t="s">
        <v>3689</v>
      </c>
      <c r="G845" s="679">
        <v>3006</v>
      </c>
      <c r="H845" s="245" t="s">
        <v>3662</v>
      </c>
      <c r="I845" s="246" t="s">
        <v>729</v>
      </c>
      <c r="J845" s="648" t="s">
        <v>111</v>
      </c>
      <c r="K845" s="649" t="s">
        <v>110</v>
      </c>
      <c r="L845" s="1063">
        <v>0.4</v>
      </c>
      <c r="M845" s="827"/>
      <c r="N845" s="827" t="s">
        <v>254</v>
      </c>
      <c r="O845" s="827"/>
      <c r="P845" s="222">
        <v>1</v>
      </c>
      <c r="Q845" s="1063">
        <v>0.1</v>
      </c>
      <c r="R845" s="222"/>
      <c r="S845" s="222">
        <f t="shared" si="26"/>
        <v>0</v>
      </c>
      <c r="T845" s="765">
        <f t="shared" si="27"/>
        <v>0</v>
      </c>
      <c r="U845" s="222" t="s">
        <v>34</v>
      </c>
      <c r="V845" s="1228"/>
      <c r="W845" s="827"/>
    </row>
    <row r="846" spans="1:23" ht="22.95" customHeight="1" x14ac:dyDescent="0.4">
      <c r="A846" s="788">
        <v>845</v>
      </c>
      <c r="B846" s="246" t="s">
        <v>2616</v>
      </c>
      <c r="C846" s="246" t="s">
        <v>24</v>
      </c>
      <c r="D846" s="1134">
        <v>3491</v>
      </c>
      <c r="E846" s="246" t="s">
        <v>3694</v>
      </c>
      <c r="F846" s="245" t="s">
        <v>3689</v>
      </c>
      <c r="G846" s="679">
        <v>3006</v>
      </c>
      <c r="H846" s="245" t="s">
        <v>3662</v>
      </c>
      <c r="I846" s="246" t="s">
        <v>729</v>
      </c>
      <c r="J846" s="648" t="s">
        <v>111</v>
      </c>
      <c r="K846" s="649" t="s">
        <v>110</v>
      </c>
      <c r="L846" s="1063">
        <v>0.4</v>
      </c>
      <c r="M846" s="827"/>
      <c r="N846" s="827" t="s">
        <v>771</v>
      </c>
      <c r="O846" s="827"/>
      <c r="P846" s="222">
        <v>1</v>
      </c>
      <c r="Q846" s="1063">
        <v>0.05</v>
      </c>
      <c r="R846" s="222"/>
      <c r="S846" s="222">
        <f t="shared" si="26"/>
        <v>0</v>
      </c>
      <c r="T846" s="765">
        <f t="shared" si="27"/>
        <v>0</v>
      </c>
      <c r="U846" s="222" t="s">
        <v>34</v>
      </c>
      <c r="V846" s="1228"/>
      <c r="W846" s="827"/>
    </row>
    <row r="847" spans="1:23" ht="22.95" customHeight="1" x14ac:dyDescent="0.4">
      <c r="A847" s="788">
        <v>846</v>
      </c>
      <c r="B847" s="246" t="s">
        <v>2616</v>
      </c>
      <c r="C847" s="246" t="s">
        <v>24</v>
      </c>
      <c r="D847" s="1134">
        <v>3491</v>
      </c>
      <c r="E847" s="246" t="s">
        <v>3694</v>
      </c>
      <c r="F847" s="245" t="s">
        <v>3689</v>
      </c>
      <c r="G847" s="679">
        <v>3006</v>
      </c>
      <c r="H847" s="245" t="s">
        <v>3662</v>
      </c>
      <c r="I847" s="246" t="s">
        <v>729</v>
      </c>
      <c r="J847" s="648" t="s">
        <v>111</v>
      </c>
      <c r="K847" s="649" t="s">
        <v>110</v>
      </c>
      <c r="L847" s="1063">
        <v>0.4</v>
      </c>
      <c r="M847" s="827"/>
      <c r="N847" s="827" t="s">
        <v>772</v>
      </c>
      <c r="O847" s="827"/>
      <c r="P847" s="222">
        <v>1</v>
      </c>
      <c r="Q847" s="1063">
        <v>0.1</v>
      </c>
      <c r="R847" s="222"/>
      <c r="S847" s="222">
        <f t="shared" si="26"/>
        <v>0</v>
      </c>
      <c r="T847" s="765">
        <f t="shared" si="27"/>
        <v>0</v>
      </c>
      <c r="U847" s="222" t="s">
        <v>34</v>
      </c>
      <c r="V847" s="1228"/>
      <c r="W847" s="827"/>
    </row>
    <row r="848" spans="1:23" ht="22.95" customHeight="1" x14ac:dyDescent="0.4">
      <c r="A848" s="788">
        <v>847</v>
      </c>
      <c r="B848" s="246" t="s">
        <v>2616</v>
      </c>
      <c r="C848" s="246" t="s">
        <v>24</v>
      </c>
      <c r="D848" s="1134">
        <v>3491</v>
      </c>
      <c r="E848" s="246" t="s">
        <v>3694</v>
      </c>
      <c r="F848" s="245" t="s">
        <v>3689</v>
      </c>
      <c r="G848" s="679">
        <v>3006</v>
      </c>
      <c r="H848" s="245" t="s">
        <v>3662</v>
      </c>
      <c r="I848" s="246" t="s">
        <v>729</v>
      </c>
      <c r="J848" s="648" t="s">
        <v>111</v>
      </c>
      <c r="K848" s="649" t="s">
        <v>110</v>
      </c>
      <c r="L848" s="1063">
        <v>0.4</v>
      </c>
      <c r="M848" s="827"/>
      <c r="N848" s="827" t="s">
        <v>773</v>
      </c>
      <c r="O848" s="827"/>
      <c r="P848" s="222">
        <v>1</v>
      </c>
      <c r="Q848" s="1063">
        <v>0.05</v>
      </c>
      <c r="R848" s="222"/>
      <c r="S848" s="222">
        <f t="shared" si="26"/>
        <v>0</v>
      </c>
      <c r="T848" s="765">
        <f t="shared" si="27"/>
        <v>0</v>
      </c>
      <c r="U848" s="222" t="s">
        <v>34</v>
      </c>
      <c r="V848" s="1228"/>
      <c r="W848" s="827"/>
    </row>
    <row r="849" spans="1:23" ht="22.95" customHeight="1" x14ac:dyDescent="0.4">
      <c r="A849" s="788">
        <v>848</v>
      </c>
      <c r="B849" s="246" t="s">
        <v>2616</v>
      </c>
      <c r="C849" s="246" t="s">
        <v>24</v>
      </c>
      <c r="D849" s="1134">
        <v>3491</v>
      </c>
      <c r="E849" s="246" t="s">
        <v>3694</v>
      </c>
      <c r="F849" s="245" t="s">
        <v>3689</v>
      </c>
      <c r="G849" s="679">
        <v>3006</v>
      </c>
      <c r="H849" s="245" t="s">
        <v>3662</v>
      </c>
      <c r="I849" s="246" t="s">
        <v>729</v>
      </c>
      <c r="J849" s="648" t="s">
        <v>111</v>
      </c>
      <c r="K849" s="649" t="s">
        <v>110</v>
      </c>
      <c r="L849" s="1063">
        <v>0.4</v>
      </c>
      <c r="M849" s="827"/>
      <c r="N849" s="827" t="s">
        <v>774</v>
      </c>
      <c r="O849" s="827"/>
      <c r="P849" s="222">
        <v>1</v>
      </c>
      <c r="Q849" s="1063">
        <v>0.05</v>
      </c>
      <c r="R849" s="222"/>
      <c r="S849" s="222">
        <f t="shared" si="26"/>
        <v>0</v>
      </c>
      <c r="T849" s="765">
        <f t="shared" si="27"/>
        <v>0</v>
      </c>
      <c r="U849" s="222" t="s">
        <v>34</v>
      </c>
      <c r="V849" s="1228"/>
      <c r="W849" s="827"/>
    </row>
    <row r="850" spans="1:23" ht="22.95" customHeight="1" x14ac:dyDescent="0.4">
      <c r="A850" s="788">
        <v>849</v>
      </c>
      <c r="B850" s="246" t="s">
        <v>2616</v>
      </c>
      <c r="C850" s="246" t="s">
        <v>24</v>
      </c>
      <c r="D850" s="1134">
        <v>3491</v>
      </c>
      <c r="E850" s="246" t="s">
        <v>3694</v>
      </c>
      <c r="F850" s="245" t="s">
        <v>3689</v>
      </c>
      <c r="G850" s="679">
        <v>3006</v>
      </c>
      <c r="H850" s="245" t="s">
        <v>3662</v>
      </c>
      <c r="I850" s="246" t="s">
        <v>729</v>
      </c>
      <c r="J850" s="648" t="s">
        <v>111</v>
      </c>
      <c r="K850" s="649" t="s">
        <v>110</v>
      </c>
      <c r="L850" s="1063">
        <v>0.4</v>
      </c>
      <c r="M850" s="827"/>
      <c r="N850" s="827" t="s">
        <v>775</v>
      </c>
      <c r="O850" s="827"/>
      <c r="P850" s="222">
        <v>1</v>
      </c>
      <c r="Q850" s="1063">
        <v>0.05</v>
      </c>
      <c r="R850" s="222"/>
      <c r="S850" s="222">
        <f t="shared" si="26"/>
        <v>0</v>
      </c>
      <c r="T850" s="765">
        <f t="shared" si="27"/>
        <v>0</v>
      </c>
      <c r="U850" s="222" t="s">
        <v>34</v>
      </c>
      <c r="V850" s="1228"/>
      <c r="W850" s="827"/>
    </row>
    <row r="851" spans="1:23" ht="22.95" customHeight="1" x14ac:dyDescent="0.4">
      <c r="A851" s="788">
        <v>850</v>
      </c>
      <c r="B851" s="246" t="s">
        <v>2616</v>
      </c>
      <c r="C851" s="246" t="s">
        <v>24</v>
      </c>
      <c r="D851" s="1134">
        <v>3491</v>
      </c>
      <c r="E851" s="246" t="s">
        <v>3694</v>
      </c>
      <c r="F851" s="245" t="s">
        <v>3689</v>
      </c>
      <c r="G851" s="679">
        <v>3006</v>
      </c>
      <c r="H851" s="245" t="s">
        <v>3662</v>
      </c>
      <c r="I851" s="246" t="s">
        <v>729</v>
      </c>
      <c r="J851" s="648" t="s">
        <v>111</v>
      </c>
      <c r="K851" s="649" t="s">
        <v>110</v>
      </c>
      <c r="L851" s="1063">
        <v>0.4</v>
      </c>
      <c r="M851" s="827"/>
      <c r="N851" s="827" t="s">
        <v>776</v>
      </c>
      <c r="O851" s="827"/>
      <c r="P851" s="222">
        <v>1</v>
      </c>
      <c r="Q851" s="1063">
        <v>0.1</v>
      </c>
      <c r="R851" s="222"/>
      <c r="S851" s="222">
        <f t="shared" si="26"/>
        <v>0</v>
      </c>
      <c r="T851" s="765">
        <f t="shared" si="27"/>
        <v>0</v>
      </c>
      <c r="U851" s="222" t="s">
        <v>34</v>
      </c>
      <c r="V851" s="1228"/>
      <c r="W851" s="827"/>
    </row>
    <row r="852" spans="1:23" ht="22.95" customHeight="1" x14ac:dyDescent="0.4">
      <c r="A852" s="788">
        <v>851</v>
      </c>
      <c r="B852" s="246" t="s">
        <v>2616</v>
      </c>
      <c r="C852" s="246" t="s">
        <v>24</v>
      </c>
      <c r="D852" s="1134">
        <v>3491</v>
      </c>
      <c r="E852" s="246" t="s">
        <v>3694</v>
      </c>
      <c r="F852" s="245" t="s">
        <v>3689</v>
      </c>
      <c r="G852" s="679">
        <v>3006</v>
      </c>
      <c r="H852" s="245" t="s">
        <v>3662</v>
      </c>
      <c r="I852" s="246" t="s">
        <v>729</v>
      </c>
      <c r="J852" s="648" t="s">
        <v>111</v>
      </c>
      <c r="K852" s="649" t="s">
        <v>110</v>
      </c>
      <c r="L852" s="1063">
        <v>0.4</v>
      </c>
      <c r="M852" s="827"/>
      <c r="N852" s="827" t="s">
        <v>251</v>
      </c>
      <c r="O852" s="827"/>
      <c r="P852" s="222">
        <v>1</v>
      </c>
      <c r="Q852" s="1063">
        <v>0.05</v>
      </c>
      <c r="R852" s="222"/>
      <c r="S852" s="222">
        <f t="shared" si="26"/>
        <v>0</v>
      </c>
      <c r="T852" s="765">
        <f t="shared" si="27"/>
        <v>0</v>
      </c>
      <c r="U852" s="222" t="s">
        <v>34</v>
      </c>
      <c r="V852" s="1228"/>
      <c r="W852" s="827"/>
    </row>
    <row r="853" spans="1:23" ht="22.95" customHeight="1" x14ac:dyDescent="0.4">
      <c r="A853" s="788">
        <v>852</v>
      </c>
      <c r="B853" s="246" t="s">
        <v>2616</v>
      </c>
      <c r="C853" s="246" t="s">
        <v>24</v>
      </c>
      <c r="D853" s="1134">
        <v>3491</v>
      </c>
      <c r="E853" s="246" t="s">
        <v>3694</v>
      </c>
      <c r="F853" s="245" t="s">
        <v>3689</v>
      </c>
      <c r="G853" s="679">
        <v>3006</v>
      </c>
      <c r="H853" s="245" t="s">
        <v>3662</v>
      </c>
      <c r="I853" s="246" t="s">
        <v>729</v>
      </c>
      <c r="J853" s="648" t="s">
        <v>111</v>
      </c>
      <c r="K853" s="649" t="s">
        <v>110</v>
      </c>
      <c r="L853" s="1063">
        <v>0.4</v>
      </c>
      <c r="M853" s="827"/>
      <c r="N853" s="827" t="s">
        <v>252</v>
      </c>
      <c r="O853" s="827"/>
      <c r="P853" s="222">
        <v>1</v>
      </c>
      <c r="Q853" s="1063">
        <v>0.05</v>
      </c>
      <c r="R853" s="222"/>
      <c r="S853" s="222">
        <f t="shared" si="26"/>
        <v>0</v>
      </c>
      <c r="T853" s="765">
        <f t="shared" si="27"/>
        <v>0</v>
      </c>
      <c r="U853" s="222" t="s">
        <v>34</v>
      </c>
      <c r="V853" s="1228"/>
      <c r="W853" s="827"/>
    </row>
    <row r="854" spans="1:23" ht="22.95" customHeight="1" x14ac:dyDescent="0.4">
      <c r="A854" s="788">
        <v>853</v>
      </c>
      <c r="B854" s="246" t="s">
        <v>2616</v>
      </c>
      <c r="C854" s="246" t="s">
        <v>24</v>
      </c>
      <c r="D854" s="1134">
        <v>3491</v>
      </c>
      <c r="E854" s="246" t="s">
        <v>3694</v>
      </c>
      <c r="F854" s="245" t="s">
        <v>3689</v>
      </c>
      <c r="G854" s="679">
        <v>3006</v>
      </c>
      <c r="H854" s="245" t="s">
        <v>3662</v>
      </c>
      <c r="I854" s="246" t="s">
        <v>729</v>
      </c>
      <c r="J854" s="648" t="s">
        <v>111</v>
      </c>
      <c r="K854" s="649" t="s">
        <v>110</v>
      </c>
      <c r="L854" s="1063">
        <v>0.4</v>
      </c>
      <c r="M854" s="827"/>
      <c r="N854" s="827" t="s">
        <v>777</v>
      </c>
      <c r="O854" s="827"/>
      <c r="P854" s="222">
        <v>1</v>
      </c>
      <c r="Q854" s="1063">
        <v>0.05</v>
      </c>
      <c r="R854" s="222"/>
      <c r="S854" s="222">
        <f t="shared" si="26"/>
        <v>0</v>
      </c>
      <c r="T854" s="765">
        <f t="shared" si="27"/>
        <v>0</v>
      </c>
      <c r="U854" s="222" t="s">
        <v>34</v>
      </c>
      <c r="V854" s="1228"/>
      <c r="W854" s="827"/>
    </row>
    <row r="855" spans="1:23" ht="22.95" customHeight="1" x14ac:dyDescent="0.4">
      <c r="A855" s="788">
        <v>854</v>
      </c>
      <c r="B855" s="246" t="s">
        <v>2616</v>
      </c>
      <c r="C855" s="246" t="s">
        <v>24</v>
      </c>
      <c r="D855" s="1134">
        <v>3491</v>
      </c>
      <c r="E855" s="246" t="s">
        <v>3694</v>
      </c>
      <c r="F855" s="245" t="s">
        <v>3689</v>
      </c>
      <c r="G855" s="679">
        <v>3006</v>
      </c>
      <c r="H855" s="245" t="s">
        <v>3662</v>
      </c>
      <c r="I855" s="246" t="s">
        <v>729</v>
      </c>
      <c r="J855" s="648" t="s">
        <v>111</v>
      </c>
      <c r="K855" s="649" t="s">
        <v>110</v>
      </c>
      <c r="L855" s="1063">
        <v>0.4</v>
      </c>
      <c r="M855" s="827"/>
      <c r="N855" s="827" t="s">
        <v>253</v>
      </c>
      <c r="O855" s="827"/>
      <c r="P855" s="222">
        <v>1</v>
      </c>
      <c r="Q855" s="1063">
        <v>0.05</v>
      </c>
      <c r="R855" s="222"/>
      <c r="S855" s="222">
        <f t="shared" si="26"/>
        <v>0</v>
      </c>
      <c r="T855" s="765">
        <f t="shared" si="27"/>
        <v>0</v>
      </c>
      <c r="U855" s="222" t="s">
        <v>34</v>
      </c>
      <c r="V855" s="1228"/>
      <c r="W855" s="827"/>
    </row>
    <row r="856" spans="1:23" ht="22.95" customHeight="1" x14ac:dyDescent="0.4">
      <c r="A856" s="788">
        <v>855</v>
      </c>
      <c r="B856" s="187" t="s">
        <v>2616</v>
      </c>
      <c r="C856" s="187" t="s">
        <v>24</v>
      </c>
      <c r="D856" s="1130">
        <v>5864</v>
      </c>
      <c r="E856" s="187" t="s">
        <v>3700</v>
      </c>
      <c r="F856" s="236" t="s">
        <v>3689</v>
      </c>
      <c r="G856" s="674">
        <v>3006</v>
      </c>
      <c r="H856" s="236" t="s">
        <v>3662</v>
      </c>
      <c r="I856" s="187" t="s">
        <v>729</v>
      </c>
      <c r="J856" s="653" t="s">
        <v>58</v>
      </c>
      <c r="K856" s="649" t="s">
        <v>57</v>
      </c>
      <c r="L856" s="1196">
        <v>0.6</v>
      </c>
      <c r="M856" s="749"/>
      <c r="N856" s="749" t="s">
        <v>3701</v>
      </c>
      <c r="O856" s="1513"/>
      <c r="P856" s="644">
        <v>1</v>
      </c>
      <c r="Q856" s="1054">
        <v>0.95</v>
      </c>
      <c r="R856" s="644"/>
      <c r="S856" s="644">
        <f t="shared" si="26"/>
        <v>0</v>
      </c>
      <c r="T856" s="834">
        <f t="shared" si="27"/>
        <v>0</v>
      </c>
      <c r="U856" s="644" t="s">
        <v>34</v>
      </c>
      <c r="V856" s="1488">
        <f>SUM(T856:T872)%</f>
        <v>0</v>
      </c>
      <c r="W856" s="749"/>
    </row>
    <row r="857" spans="1:23" ht="22.95" customHeight="1" x14ac:dyDescent="0.4">
      <c r="A857" s="788">
        <v>856</v>
      </c>
      <c r="B857" s="246" t="s">
        <v>2616</v>
      </c>
      <c r="C857" s="246" t="s">
        <v>24</v>
      </c>
      <c r="D857" s="1134">
        <v>5864</v>
      </c>
      <c r="E857" s="246" t="s">
        <v>3700</v>
      </c>
      <c r="F857" s="245" t="s">
        <v>3689</v>
      </c>
      <c r="G857" s="679">
        <v>3006</v>
      </c>
      <c r="H857" s="245" t="s">
        <v>3662</v>
      </c>
      <c r="I857" s="246" t="s">
        <v>729</v>
      </c>
      <c r="J857" s="649" t="s">
        <v>58</v>
      </c>
      <c r="K857" s="649" t="s">
        <v>57</v>
      </c>
      <c r="L857" s="1196">
        <v>0.6</v>
      </c>
      <c r="M857" s="757"/>
      <c r="N857" s="757" t="s">
        <v>3702</v>
      </c>
      <c r="O857" s="1514"/>
      <c r="P857" s="647">
        <v>1</v>
      </c>
      <c r="Q857" s="1201">
        <v>0.05</v>
      </c>
      <c r="R857" s="647"/>
      <c r="S857" s="647">
        <f t="shared" si="26"/>
        <v>0</v>
      </c>
      <c r="T857" s="764">
        <f t="shared" si="27"/>
        <v>0</v>
      </c>
      <c r="U857" s="647" t="s">
        <v>34</v>
      </c>
      <c r="V857" s="1203"/>
      <c r="W857" s="827"/>
    </row>
    <row r="858" spans="1:23" ht="22.95" customHeight="1" x14ac:dyDescent="0.4">
      <c r="A858" s="788">
        <v>857</v>
      </c>
      <c r="B858" s="246" t="s">
        <v>2616</v>
      </c>
      <c r="C858" s="246" t="s">
        <v>24</v>
      </c>
      <c r="D858" s="1134">
        <v>5864</v>
      </c>
      <c r="E858" s="246" t="s">
        <v>3700</v>
      </c>
      <c r="F858" s="245" t="s">
        <v>3689</v>
      </c>
      <c r="G858" s="946">
        <v>3006</v>
      </c>
      <c r="H858" s="245" t="s">
        <v>3662</v>
      </c>
      <c r="I858" s="246" t="s">
        <v>729</v>
      </c>
      <c r="J858" s="648" t="s">
        <v>111</v>
      </c>
      <c r="K858" s="648" t="s">
        <v>110</v>
      </c>
      <c r="L858" s="1209">
        <v>0.4</v>
      </c>
      <c r="M858" s="1469"/>
      <c r="N858" s="1469" t="s">
        <v>255</v>
      </c>
      <c r="O858" s="1469"/>
      <c r="P858" s="874">
        <v>1</v>
      </c>
      <c r="Q858" s="1209">
        <v>0.05</v>
      </c>
      <c r="R858" s="874"/>
      <c r="S858" s="874">
        <f t="shared" si="26"/>
        <v>0</v>
      </c>
      <c r="T858" s="845">
        <f t="shared" si="27"/>
        <v>0</v>
      </c>
      <c r="U858" s="874" t="s">
        <v>34</v>
      </c>
      <c r="W858" s="1469"/>
    </row>
    <row r="859" spans="1:23" ht="22.95" customHeight="1" x14ac:dyDescent="0.4">
      <c r="A859" s="788">
        <v>858</v>
      </c>
      <c r="B859" s="246" t="s">
        <v>2616</v>
      </c>
      <c r="C859" s="246" t="s">
        <v>24</v>
      </c>
      <c r="D859" s="1134">
        <v>5864</v>
      </c>
      <c r="E859" s="246" t="s">
        <v>3700</v>
      </c>
      <c r="F859" s="245" t="s">
        <v>3689</v>
      </c>
      <c r="G859" s="679">
        <v>3006</v>
      </c>
      <c r="H859" s="198" t="s">
        <v>3662</v>
      </c>
      <c r="I859" s="199" t="s">
        <v>729</v>
      </c>
      <c r="J859" s="649" t="s">
        <v>111</v>
      </c>
      <c r="K859" s="649" t="s">
        <v>110</v>
      </c>
      <c r="L859" s="1063">
        <v>0.4</v>
      </c>
      <c r="M859" s="827"/>
      <c r="N859" s="827" t="s">
        <v>768</v>
      </c>
      <c r="O859" s="827"/>
      <c r="P859" s="222">
        <v>1</v>
      </c>
      <c r="Q859" s="1063">
        <v>0.05</v>
      </c>
      <c r="R859" s="222"/>
      <c r="S859" s="222">
        <f t="shared" si="26"/>
        <v>0</v>
      </c>
      <c r="T859" s="765">
        <f t="shared" si="27"/>
        <v>0</v>
      </c>
      <c r="U859" s="222" t="s">
        <v>34</v>
      </c>
      <c r="V859" s="1228"/>
      <c r="W859" s="827"/>
    </row>
    <row r="860" spans="1:23" ht="22.95" customHeight="1" x14ac:dyDescent="0.4">
      <c r="A860" s="788">
        <v>859</v>
      </c>
      <c r="B860" s="246" t="s">
        <v>2616</v>
      </c>
      <c r="C860" s="246" t="s">
        <v>24</v>
      </c>
      <c r="D860" s="1134">
        <v>5864</v>
      </c>
      <c r="E860" s="246" t="s">
        <v>3700</v>
      </c>
      <c r="F860" s="245" t="s">
        <v>3689</v>
      </c>
      <c r="G860" s="679">
        <v>3006</v>
      </c>
      <c r="H860" s="198" t="s">
        <v>3662</v>
      </c>
      <c r="I860" s="199" t="s">
        <v>729</v>
      </c>
      <c r="J860" s="649" t="s">
        <v>111</v>
      </c>
      <c r="K860" s="649" t="s">
        <v>110</v>
      </c>
      <c r="L860" s="1063">
        <v>0.4</v>
      </c>
      <c r="M860" s="827"/>
      <c r="N860" s="827" t="s">
        <v>769</v>
      </c>
      <c r="O860" s="827"/>
      <c r="P860" s="222">
        <v>1</v>
      </c>
      <c r="Q860" s="1063">
        <v>0.05</v>
      </c>
      <c r="R860" s="222"/>
      <c r="S860" s="222">
        <f t="shared" si="26"/>
        <v>0</v>
      </c>
      <c r="T860" s="765">
        <f t="shared" si="27"/>
        <v>0</v>
      </c>
      <c r="U860" s="222" t="s">
        <v>34</v>
      </c>
      <c r="V860" s="1228"/>
      <c r="W860" s="827"/>
    </row>
    <row r="861" spans="1:23" ht="22.95" customHeight="1" x14ac:dyDescent="0.4">
      <c r="A861" s="788">
        <v>860</v>
      </c>
      <c r="B861" s="246" t="s">
        <v>2616</v>
      </c>
      <c r="C861" s="246" t="s">
        <v>24</v>
      </c>
      <c r="D861" s="1134">
        <v>5864</v>
      </c>
      <c r="E861" s="246" t="s">
        <v>3700</v>
      </c>
      <c r="F861" s="245" t="s">
        <v>3689</v>
      </c>
      <c r="G861" s="679">
        <v>3006</v>
      </c>
      <c r="H861" s="198" t="s">
        <v>3662</v>
      </c>
      <c r="I861" s="199" t="s">
        <v>729</v>
      </c>
      <c r="J861" s="649" t="s">
        <v>111</v>
      </c>
      <c r="K861" s="649" t="s">
        <v>110</v>
      </c>
      <c r="L861" s="1063">
        <v>0.4</v>
      </c>
      <c r="M861" s="827"/>
      <c r="N861" s="827" t="s">
        <v>770</v>
      </c>
      <c r="O861" s="827"/>
      <c r="P861" s="222">
        <v>1</v>
      </c>
      <c r="Q861" s="1063">
        <v>0.15</v>
      </c>
      <c r="R861" s="222"/>
      <c r="S861" s="222">
        <f t="shared" si="26"/>
        <v>0</v>
      </c>
      <c r="T861" s="765">
        <f t="shared" si="27"/>
        <v>0</v>
      </c>
      <c r="U861" s="222" t="s">
        <v>34</v>
      </c>
      <c r="V861" s="1228"/>
      <c r="W861" s="827"/>
    </row>
    <row r="862" spans="1:23" ht="22.95" customHeight="1" x14ac:dyDescent="0.4">
      <c r="A862" s="788">
        <v>861</v>
      </c>
      <c r="B862" s="246" t="s">
        <v>2616</v>
      </c>
      <c r="C862" s="246" t="s">
        <v>24</v>
      </c>
      <c r="D862" s="1134">
        <v>5864</v>
      </c>
      <c r="E862" s="246" t="s">
        <v>3700</v>
      </c>
      <c r="F862" s="245" t="s">
        <v>3689</v>
      </c>
      <c r="G862" s="679">
        <v>3006</v>
      </c>
      <c r="H862" s="245" t="s">
        <v>3662</v>
      </c>
      <c r="I862" s="246" t="s">
        <v>729</v>
      </c>
      <c r="J862" s="648" t="s">
        <v>111</v>
      </c>
      <c r="K862" s="649" t="s">
        <v>110</v>
      </c>
      <c r="L862" s="1063">
        <v>0.4</v>
      </c>
      <c r="M862" s="827"/>
      <c r="N862" s="827" t="s">
        <v>254</v>
      </c>
      <c r="O862" s="827"/>
      <c r="P862" s="222">
        <v>1</v>
      </c>
      <c r="Q862" s="1063">
        <v>0.1</v>
      </c>
      <c r="R862" s="222"/>
      <c r="S862" s="222">
        <f t="shared" si="26"/>
        <v>0</v>
      </c>
      <c r="T862" s="765">
        <f t="shared" si="27"/>
        <v>0</v>
      </c>
      <c r="U862" s="222" t="s">
        <v>34</v>
      </c>
      <c r="V862" s="1228"/>
      <c r="W862" s="827"/>
    </row>
    <row r="863" spans="1:23" ht="22.95" customHeight="1" x14ac:dyDescent="0.4">
      <c r="A863" s="788">
        <v>862</v>
      </c>
      <c r="B863" s="246" t="s">
        <v>2616</v>
      </c>
      <c r="C863" s="246" t="s">
        <v>24</v>
      </c>
      <c r="D863" s="1134">
        <v>5864</v>
      </c>
      <c r="E863" s="246" t="s">
        <v>3700</v>
      </c>
      <c r="F863" s="245" t="s">
        <v>3689</v>
      </c>
      <c r="G863" s="679">
        <v>3006</v>
      </c>
      <c r="H863" s="245" t="s">
        <v>3662</v>
      </c>
      <c r="I863" s="246" t="s">
        <v>729</v>
      </c>
      <c r="J863" s="648" t="s">
        <v>111</v>
      </c>
      <c r="K863" s="649" t="s">
        <v>110</v>
      </c>
      <c r="L863" s="1063">
        <v>0.4</v>
      </c>
      <c r="M863" s="827"/>
      <c r="N863" s="827" t="s">
        <v>771</v>
      </c>
      <c r="O863" s="827"/>
      <c r="P863" s="222">
        <v>1</v>
      </c>
      <c r="Q863" s="1063">
        <v>0.05</v>
      </c>
      <c r="R863" s="222"/>
      <c r="S863" s="222">
        <f t="shared" si="26"/>
        <v>0</v>
      </c>
      <c r="T863" s="765">
        <f t="shared" si="27"/>
        <v>0</v>
      </c>
      <c r="U863" s="222" t="s">
        <v>34</v>
      </c>
      <c r="V863" s="1228"/>
      <c r="W863" s="827"/>
    </row>
    <row r="864" spans="1:23" ht="22.95" customHeight="1" x14ac:dyDescent="0.4">
      <c r="A864" s="788">
        <v>863</v>
      </c>
      <c r="B864" s="246" t="s">
        <v>2616</v>
      </c>
      <c r="C864" s="246" t="s">
        <v>24</v>
      </c>
      <c r="D864" s="1134">
        <v>5864</v>
      </c>
      <c r="E864" s="246" t="s">
        <v>3700</v>
      </c>
      <c r="F864" s="245" t="s">
        <v>3689</v>
      </c>
      <c r="G864" s="679">
        <v>3006</v>
      </c>
      <c r="H864" s="245" t="s">
        <v>3662</v>
      </c>
      <c r="I864" s="246" t="s">
        <v>729</v>
      </c>
      <c r="J864" s="648" t="s">
        <v>111</v>
      </c>
      <c r="K864" s="649" t="s">
        <v>110</v>
      </c>
      <c r="L864" s="1063">
        <v>0.4</v>
      </c>
      <c r="M864" s="827"/>
      <c r="N864" s="827" t="s">
        <v>772</v>
      </c>
      <c r="O864" s="827"/>
      <c r="P864" s="222">
        <v>1</v>
      </c>
      <c r="Q864" s="1063">
        <v>0.1</v>
      </c>
      <c r="R864" s="222"/>
      <c r="S864" s="222">
        <f t="shared" si="26"/>
        <v>0</v>
      </c>
      <c r="T864" s="765">
        <f t="shared" si="27"/>
        <v>0</v>
      </c>
      <c r="U864" s="222" t="s">
        <v>34</v>
      </c>
      <c r="V864" s="1228"/>
      <c r="W864" s="827"/>
    </row>
    <row r="865" spans="1:23" ht="22.95" customHeight="1" x14ac:dyDescent="0.4">
      <c r="A865" s="788">
        <v>864</v>
      </c>
      <c r="B865" s="246" t="s">
        <v>2616</v>
      </c>
      <c r="C865" s="246" t="s">
        <v>24</v>
      </c>
      <c r="D865" s="1134">
        <v>5864</v>
      </c>
      <c r="E865" s="246" t="s">
        <v>3700</v>
      </c>
      <c r="F865" s="245" t="s">
        <v>3689</v>
      </c>
      <c r="G865" s="679">
        <v>3006</v>
      </c>
      <c r="H865" s="245" t="s">
        <v>3662</v>
      </c>
      <c r="I865" s="246" t="s">
        <v>729</v>
      </c>
      <c r="J865" s="648" t="s">
        <v>111</v>
      </c>
      <c r="K865" s="649" t="s">
        <v>110</v>
      </c>
      <c r="L865" s="1063">
        <v>0.4</v>
      </c>
      <c r="M865" s="827"/>
      <c r="N865" s="827" t="s">
        <v>773</v>
      </c>
      <c r="O865" s="827"/>
      <c r="P865" s="222">
        <v>1</v>
      </c>
      <c r="Q865" s="1063">
        <v>0.05</v>
      </c>
      <c r="R865" s="222"/>
      <c r="S865" s="222">
        <f t="shared" si="26"/>
        <v>0</v>
      </c>
      <c r="T865" s="765">
        <f t="shared" si="27"/>
        <v>0</v>
      </c>
      <c r="U865" s="222" t="s">
        <v>34</v>
      </c>
      <c r="V865" s="1228"/>
      <c r="W865" s="827"/>
    </row>
    <row r="866" spans="1:23" ht="22.95" customHeight="1" x14ac:dyDescent="0.4">
      <c r="A866" s="788">
        <v>865</v>
      </c>
      <c r="B866" s="246" t="s">
        <v>2616</v>
      </c>
      <c r="C866" s="246" t="s">
        <v>24</v>
      </c>
      <c r="D866" s="1134">
        <v>5864</v>
      </c>
      <c r="E866" s="246" t="s">
        <v>3700</v>
      </c>
      <c r="F866" s="245" t="s">
        <v>3689</v>
      </c>
      <c r="G866" s="679">
        <v>3006</v>
      </c>
      <c r="H866" s="245" t="s">
        <v>3662</v>
      </c>
      <c r="I866" s="246" t="s">
        <v>729</v>
      </c>
      <c r="J866" s="648" t="s">
        <v>111</v>
      </c>
      <c r="K866" s="649" t="s">
        <v>110</v>
      </c>
      <c r="L866" s="1063">
        <v>0.4</v>
      </c>
      <c r="M866" s="827"/>
      <c r="N866" s="827" t="s">
        <v>774</v>
      </c>
      <c r="O866" s="827"/>
      <c r="P866" s="222">
        <v>1</v>
      </c>
      <c r="Q866" s="1063">
        <v>0.05</v>
      </c>
      <c r="R866" s="222"/>
      <c r="S866" s="222">
        <f t="shared" si="26"/>
        <v>0</v>
      </c>
      <c r="T866" s="765">
        <f t="shared" si="27"/>
        <v>0</v>
      </c>
      <c r="U866" s="222" t="s">
        <v>34</v>
      </c>
      <c r="V866" s="1228"/>
      <c r="W866" s="827"/>
    </row>
    <row r="867" spans="1:23" ht="22.95" customHeight="1" x14ac:dyDescent="0.4">
      <c r="A867" s="788">
        <v>866</v>
      </c>
      <c r="B867" s="246" t="s">
        <v>2616</v>
      </c>
      <c r="C867" s="246" t="s">
        <v>24</v>
      </c>
      <c r="D867" s="1134">
        <v>5864</v>
      </c>
      <c r="E867" s="246" t="s">
        <v>3700</v>
      </c>
      <c r="F867" s="245" t="s">
        <v>3689</v>
      </c>
      <c r="G867" s="679">
        <v>3006</v>
      </c>
      <c r="H867" s="245" t="s">
        <v>3662</v>
      </c>
      <c r="I867" s="246" t="s">
        <v>729</v>
      </c>
      <c r="J867" s="648" t="s">
        <v>111</v>
      </c>
      <c r="K867" s="649" t="s">
        <v>110</v>
      </c>
      <c r="L867" s="1063">
        <v>0.4</v>
      </c>
      <c r="M867" s="827"/>
      <c r="N867" s="827" t="s">
        <v>775</v>
      </c>
      <c r="O867" s="827"/>
      <c r="P867" s="222">
        <v>1</v>
      </c>
      <c r="Q867" s="1063">
        <v>0.05</v>
      </c>
      <c r="R867" s="222"/>
      <c r="S867" s="222">
        <f t="shared" si="26"/>
        <v>0</v>
      </c>
      <c r="T867" s="765">
        <f t="shared" si="27"/>
        <v>0</v>
      </c>
      <c r="U867" s="222" t="s">
        <v>34</v>
      </c>
      <c r="V867" s="1228"/>
      <c r="W867" s="827"/>
    </row>
    <row r="868" spans="1:23" ht="22.95" customHeight="1" x14ac:dyDescent="0.4">
      <c r="A868" s="788">
        <v>867</v>
      </c>
      <c r="B868" s="246" t="s">
        <v>2616</v>
      </c>
      <c r="C868" s="246" t="s">
        <v>24</v>
      </c>
      <c r="D868" s="1134">
        <v>5864</v>
      </c>
      <c r="E868" s="246" t="s">
        <v>3700</v>
      </c>
      <c r="F868" s="245" t="s">
        <v>3689</v>
      </c>
      <c r="G868" s="679">
        <v>3006</v>
      </c>
      <c r="H868" s="245" t="s">
        <v>3662</v>
      </c>
      <c r="I868" s="246" t="s">
        <v>729</v>
      </c>
      <c r="J868" s="648" t="s">
        <v>111</v>
      </c>
      <c r="K868" s="649" t="s">
        <v>110</v>
      </c>
      <c r="L868" s="1063">
        <v>0.4</v>
      </c>
      <c r="M868" s="827"/>
      <c r="N868" s="827" t="s">
        <v>776</v>
      </c>
      <c r="O868" s="827"/>
      <c r="P868" s="222">
        <v>1</v>
      </c>
      <c r="Q868" s="1063">
        <v>0.1</v>
      </c>
      <c r="R868" s="222"/>
      <c r="S868" s="222">
        <f t="shared" si="26"/>
        <v>0</v>
      </c>
      <c r="T868" s="765">
        <f t="shared" si="27"/>
        <v>0</v>
      </c>
      <c r="U868" s="222" t="s">
        <v>34</v>
      </c>
      <c r="V868" s="1228"/>
      <c r="W868" s="827"/>
    </row>
    <row r="869" spans="1:23" ht="22.95" customHeight="1" x14ac:dyDescent="0.4">
      <c r="A869" s="788">
        <v>868</v>
      </c>
      <c r="B869" s="246" t="s">
        <v>2616</v>
      </c>
      <c r="C869" s="246" t="s">
        <v>24</v>
      </c>
      <c r="D869" s="1134">
        <v>5864</v>
      </c>
      <c r="E869" s="246" t="s">
        <v>3700</v>
      </c>
      <c r="F869" s="245" t="s">
        <v>3689</v>
      </c>
      <c r="G869" s="679">
        <v>3006</v>
      </c>
      <c r="H869" s="245" t="s">
        <v>3662</v>
      </c>
      <c r="I869" s="246" t="s">
        <v>729</v>
      </c>
      <c r="J869" s="648" t="s">
        <v>111</v>
      </c>
      <c r="K869" s="649" t="s">
        <v>110</v>
      </c>
      <c r="L869" s="1063">
        <v>0.4</v>
      </c>
      <c r="M869" s="827"/>
      <c r="N869" s="827" t="s">
        <v>251</v>
      </c>
      <c r="O869" s="827"/>
      <c r="P869" s="222">
        <v>1</v>
      </c>
      <c r="Q869" s="1063">
        <v>0.05</v>
      </c>
      <c r="R869" s="222"/>
      <c r="S869" s="222">
        <f t="shared" si="26"/>
        <v>0</v>
      </c>
      <c r="T869" s="765">
        <f t="shared" si="27"/>
        <v>0</v>
      </c>
      <c r="U869" s="222" t="s">
        <v>34</v>
      </c>
      <c r="V869" s="1228"/>
      <c r="W869" s="827"/>
    </row>
    <row r="870" spans="1:23" ht="22.95" customHeight="1" x14ac:dyDescent="0.4">
      <c r="A870" s="788">
        <v>869</v>
      </c>
      <c r="B870" s="246" t="s">
        <v>2616</v>
      </c>
      <c r="C870" s="246" t="s">
        <v>24</v>
      </c>
      <c r="D870" s="1134">
        <v>5864</v>
      </c>
      <c r="E870" s="246" t="s">
        <v>3700</v>
      </c>
      <c r="F870" s="245" t="s">
        <v>3689</v>
      </c>
      <c r="G870" s="679">
        <v>3006</v>
      </c>
      <c r="H870" s="245" t="s">
        <v>3662</v>
      </c>
      <c r="I870" s="246" t="s">
        <v>729</v>
      </c>
      <c r="J870" s="648" t="s">
        <v>111</v>
      </c>
      <c r="K870" s="649" t="s">
        <v>110</v>
      </c>
      <c r="L870" s="1063">
        <v>0.4</v>
      </c>
      <c r="M870" s="827"/>
      <c r="N870" s="827" t="s">
        <v>252</v>
      </c>
      <c r="O870" s="827"/>
      <c r="P870" s="222">
        <v>1</v>
      </c>
      <c r="Q870" s="1063">
        <v>0.05</v>
      </c>
      <c r="R870" s="222"/>
      <c r="S870" s="222">
        <f t="shared" si="26"/>
        <v>0</v>
      </c>
      <c r="T870" s="765">
        <f t="shared" si="27"/>
        <v>0</v>
      </c>
      <c r="U870" s="222" t="s">
        <v>34</v>
      </c>
      <c r="V870" s="1228"/>
      <c r="W870" s="827"/>
    </row>
    <row r="871" spans="1:23" ht="22.95" customHeight="1" x14ac:dyDescent="0.4">
      <c r="A871" s="788">
        <v>870</v>
      </c>
      <c r="B871" s="246" t="s">
        <v>2616</v>
      </c>
      <c r="C871" s="246" t="s">
        <v>24</v>
      </c>
      <c r="D871" s="1134">
        <v>5864</v>
      </c>
      <c r="E871" s="246" t="s">
        <v>3700</v>
      </c>
      <c r="F871" s="245" t="s">
        <v>3689</v>
      </c>
      <c r="G871" s="679">
        <v>3006</v>
      </c>
      <c r="H871" s="245" t="s">
        <v>3662</v>
      </c>
      <c r="I871" s="246" t="s">
        <v>729</v>
      </c>
      <c r="J871" s="648" t="s">
        <v>111</v>
      </c>
      <c r="K871" s="649" t="s">
        <v>110</v>
      </c>
      <c r="L871" s="1063">
        <v>0.4</v>
      </c>
      <c r="M871" s="827"/>
      <c r="N871" s="827" t="s">
        <v>777</v>
      </c>
      <c r="O871" s="827"/>
      <c r="P871" s="222">
        <v>1</v>
      </c>
      <c r="Q871" s="1063">
        <v>0.05</v>
      </c>
      <c r="R871" s="222"/>
      <c r="S871" s="222">
        <f t="shared" si="26"/>
        <v>0</v>
      </c>
      <c r="T871" s="765">
        <f t="shared" si="27"/>
        <v>0</v>
      </c>
      <c r="U871" s="222" t="s">
        <v>34</v>
      </c>
      <c r="V871" s="1228"/>
      <c r="W871" s="827"/>
    </row>
    <row r="872" spans="1:23" ht="22.95" customHeight="1" x14ac:dyDescent="0.4">
      <c r="A872" s="788">
        <v>871</v>
      </c>
      <c r="B872" s="246" t="s">
        <v>2616</v>
      </c>
      <c r="C872" s="246" t="s">
        <v>24</v>
      </c>
      <c r="D872" s="1134">
        <v>5864</v>
      </c>
      <c r="E872" s="246" t="s">
        <v>3700</v>
      </c>
      <c r="F872" s="245" t="s">
        <v>3689</v>
      </c>
      <c r="G872" s="679">
        <v>3006</v>
      </c>
      <c r="H872" s="245" t="s">
        <v>3662</v>
      </c>
      <c r="I872" s="246" t="s">
        <v>729</v>
      </c>
      <c r="J872" s="648" t="s">
        <v>111</v>
      </c>
      <c r="K872" s="649" t="s">
        <v>110</v>
      </c>
      <c r="L872" s="1063">
        <v>0.4</v>
      </c>
      <c r="M872" s="827"/>
      <c r="N872" s="827" t="s">
        <v>253</v>
      </c>
      <c r="O872" s="827"/>
      <c r="P872" s="222">
        <v>1</v>
      </c>
      <c r="Q872" s="1063">
        <v>0.05</v>
      </c>
      <c r="R872" s="222"/>
      <c r="S872" s="222">
        <f t="shared" si="26"/>
        <v>0</v>
      </c>
      <c r="T872" s="765">
        <f t="shared" si="27"/>
        <v>0</v>
      </c>
      <c r="U872" s="222" t="s">
        <v>34</v>
      </c>
      <c r="V872" s="1228"/>
      <c r="W872" s="827"/>
    </row>
    <row r="873" spans="1:23" ht="22.95" customHeight="1" x14ac:dyDescent="0.4">
      <c r="A873" s="788">
        <v>872</v>
      </c>
      <c r="B873" s="236" t="s">
        <v>2616</v>
      </c>
      <c r="C873" s="236" t="s">
        <v>24</v>
      </c>
      <c r="D873" s="1219">
        <v>5863</v>
      </c>
      <c r="E873" s="236" t="s">
        <v>3703</v>
      </c>
      <c r="F873" s="236" t="s">
        <v>3689</v>
      </c>
      <c r="G873" s="238">
        <v>3006</v>
      </c>
      <c r="H873" s="236" t="s">
        <v>3662</v>
      </c>
      <c r="I873" s="236" t="s">
        <v>729</v>
      </c>
      <c r="J873" s="243" t="s">
        <v>58</v>
      </c>
      <c r="K873" s="243" t="s">
        <v>57</v>
      </c>
      <c r="L873" s="1052">
        <v>0.6</v>
      </c>
      <c r="M873" s="952"/>
      <c r="N873" s="952" t="s">
        <v>3704</v>
      </c>
      <c r="O873" s="952"/>
      <c r="P873" s="953">
        <v>1</v>
      </c>
      <c r="Q873" s="1490">
        <v>0.2</v>
      </c>
      <c r="R873" s="953"/>
      <c r="S873" s="855">
        <f t="shared" si="26"/>
        <v>0</v>
      </c>
      <c r="T873" s="854">
        <f t="shared" si="27"/>
        <v>0</v>
      </c>
      <c r="U873" s="953" t="s">
        <v>34</v>
      </c>
      <c r="V873" s="1488">
        <f>SUM(T873:T890)%</f>
        <v>0</v>
      </c>
      <c r="W873" s="952"/>
    </row>
    <row r="874" spans="1:23" ht="22.95" customHeight="1" x14ac:dyDescent="0.4">
      <c r="A874" s="788">
        <v>873</v>
      </c>
      <c r="B874" s="199" t="s">
        <v>2616</v>
      </c>
      <c r="C874" s="199" t="s">
        <v>24</v>
      </c>
      <c r="D874" s="1259">
        <v>5863</v>
      </c>
      <c r="E874" s="199" t="s">
        <v>3703</v>
      </c>
      <c r="F874" s="198" t="s">
        <v>3689</v>
      </c>
      <c r="G874" s="679">
        <v>3006</v>
      </c>
      <c r="H874" s="198" t="s">
        <v>3662</v>
      </c>
      <c r="I874" s="199" t="s">
        <v>729</v>
      </c>
      <c r="J874" s="649" t="s">
        <v>58</v>
      </c>
      <c r="K874" s="649" t="s">
        <v>57</v>
      </c>
      <c r="L874" s="1196">
        <v>0.6</v>
      </c>
      <c r="M874" s="757"/>
      <c r="N874" s="757" t="s">
        <v>3705</v>
      </c>
      <c r="O874" s="757"/>
      <c r="P874" s="208">
        <v>1</v>
      </c>
      <c r="Q874" s="1486">
        <v>0.5</v>
      </c>
      <c r="R874" s="208"/>
      <c r="S874" s="206">
        <f t="shared" si="26"/>
        <v>0</v>
      </c>
      <c r="T874" s="207">
        <f t="shared" si="27"/>
        <v>0</v>
      </c>
      <c r="U874" s="208" t="s">
        <v>34</v>
      </c>
      <c r="V874" s="1203"/>
      <c r="W874" s="827"/>
    </row>
    <row r="875" spans="1:23" ht="22.95" customHeight="1" x14ac:dyDescent="0.4">
      <c r="A875" s="788">
        <v>874</v>
      </c>
      <c r="B875" s="199" t="s">
        <v>2616</v>
      </c>
      <c r="C875" s="199" t="s">
        <v>24</v>
      </c>
      <c r="D875" s="1259">
        <v>5863</v>
      </c>
      <c r="E875" s="199" t="s">
        <v>3703</v>
      </c>
      <c r="F875" s="198" t="s">
        <v>3689</v>
      </c>
      <c r="G875" s="679">
        <v>3006</v>
      </c>
      <c r="H875" s="198" t="s">
        <v>3662</v>
      </c>
      <c r="I875" s="199" t="s">
        <v>729</v>
      </c>
      <c r="J875" s="649" t="s">
        <v>58</v>
      </c>
      <c r="K875" s="649" t="s">
        <v>57</v>
      </c>
      <c r="L875" s="1196">
        <v>0.6</v>
      </c>
      <c r="M875" s="757"/>
      <c r="N875" s="757" t="s">
        <v>3706</v>
      </c>
      <c r="O875" s="757"/>
      <c r="P875" s="208">
        <v>1</v>
      </c>
      <c r="Q875" s="1486">
        <v>0.3</v>
      </c>
      <c r="R875" s="208"/>
      <c r="S875" s="206">
        <f t="shared" si="26"/>
        <v>0</v>
      </c>
      <c r="T875" s="207">
        <f t="shared" si="27"/>
        <v>0</v>
      </c>
      <c r="U875" s="208" t="s">
        <v>34</v>
      </c>
      <c r="V875" s="1203"/>
      <c r="W875" s="827"/>
    </row>
    <row r="876" spans="1:23" ht="22.95" customHeight="1" x14ac:dyDescent="0.4">
      <c r="A876" s="788">
        <v>875</v>
      </c>
      <c r="B876" s="246" t="s">
        <v>2616</v>
      </c>
      <c r="C876" s="246" t="s">
        <v>24</v>
      </c>
      <c r="D876" s="1134">
        <v>5863</v>
      </c>
      <c r="E876" s="246" t="s">
        <v>3703</v>
      </c>
      <c r="F876" s="245" t="s">
        <v>3689</v>
      </c>
      <c r="G876" s="679">
        <v>3006</v>
      </c>
      <c r="H876" s="245" t="s">
        <v>3662</v>
      </c>
      <c r="I876" s="246" t="s">
        <v>729</v>
      </c>
      <c r="J876" s="649" t="s">
        <v>111</v>
      </c>
      <c r="K876" s="649" t="s">
        <v>110</v>
      </c>
      <c r="L876" s="1063">
        <v>0.4</v>
      </c>
      <c r="M876" s="827"/>
      <c r="N876" s="827" t="s">
        <v>255</v>
      </c>
      <c r="O876" s="827"/>
      <c r="P876" s="222">
        <v>1</v>
      </c>
      <c r="Q876" s="1063">
        <v>0.05</v>
      </c>
      <c r="R876" s="222"/>
      <c r="S876" s="222">
        <f t="shared" si="26"/>
        <v>0</v>
      </c>
      <c r="T876" s="765">
        <f t="shared" si="27"/>
        <v>0</v>
      </c>
      <c r="U876" s="222" t="s">
        <v>34</v>
      </c>
      <c r="V876" s="1228"/>
      <c r="W876" s="827"/>
    </row>
    <row r="877" spans="1:23" ht="22.95" customHeight="1" x14ac:dyDescent="0.4">
      <c r="A877" s="788">
        <v>876</v>
      </c>
      <c r="B877" s="246" t="s">
        <v>2616</v>
      </c>
      <c r="C877" s="246" t="s">
        <v>24</v>
      </c>
      <c r="D877" s="1134">
        <v>5863</v>
      </c>
      <c r="E877" s="246" t="s">
        <v>3703</v>
      </c>
      <c r="F877" s="245" t="s">
        <v>3689</v>
      </c>
      <c r="G877" s="679">
        <v>3006</v>
      </c>
      <c r="H877" s="245" t="s">
        <v>3662</v>
      </c>
      <c r="I877" s="246" t="s">
        <v>729</v>
      </c>
      <c r="J877" s="649" t="s">
        <v>111</v>
      </c>
      <c r="K877" s="649" t="s">
        <v>110</v>
      </c>
      <c r="L877" s="1063">
        <v>0.4</v>
      </c>
      <c r="M877" s="827"/>
      <c r="N877" s="827" t="s">
        <v>768</v>
      </c>
      <c r="O877" s="827"/>
      <c r="P877" s="222">
        <v>1</v>
      </c>
      <c r="Q877" s="1063">
        <v>0.05</v>
      </c>
      <c r="R877" s="222"/>
      <c r="S877" s="222">
        <f t="shared" si="26"/>
        <v>0</v>
      </c>
      <c r="T877" s="765">
        <f t="shared" si="27"/>
        <v>0</v>
      </c>
      <c r="U877" s="222" t="s">
        <v>34</v>
      </c>
      <c r="V877" s="1228"/>
      <c r="W877" s="827"/>
    </row>
    <row r="878" spans="1:23" ht="22.95" customHeight="1" x14ac:dyDescent="0.4">
      <c r="A878" s="788">
        <v>877</v>
      </c>
      <c r="B878" s="246" t="s">
        <v>2616</v>
      </c>
      <c r="C878" s="246" t="s">
        <v>24</v>
      </c>
      <c r="D878" s="1134">
        <v>5863</v>
      </c>
      <c r="E878" s="246" t="s">
        <v>3703</v>
      </c>
      <c r="F878" s="245" t="s">
        <v>3689</v>
      </c>
      <c r="G878" s="679">
        <v>3006</v>
      </c>
      <c r="H878" s="245" t="s">
        <v>3662</v>
      </c>
      <c r="I878" s="246" t="s">
        <v>729</v>
      </c>
      <c r="J878" s="649" t="s">
        <v>111</v>
      </c>
      <c r="K878" s="649" t="s">
        <v>110</v>
      </c>
      <c r="L878" s="1063">
        <v>0.4</v>
      </c>
      <c r="M878" s="827"/>
      <c r="N878" s="827" t="s">
        <v>769</v>
      </c>
      <c r="O878" s="827"/>
      <c r="P878" s="222">
        <v>1</v>
      </c>
      <c r="Q878" s="1063">
        <v>0.05</v>
      </c>
      <c r="R878" s="222"/>
      <c r="S878" s="222">
        <f t="shared" si="26"/>
        <v>0</v>
      </c>
      <c r="T878" s="765">
        <f t="shared" si="27"/>
        <v>0</v>
      </c>
      <c r="U878" s="222" t="s">
        <v>34</v>
      </c>
      <c r="V878" s="1228"/>
      <c r="W878" s="827"/>
    </row>
    <row r="879" spans="1:23" ht="22.95" customHeight="1" x14ac:dyDescent="0.4">
      <c r="A879" s="788">
        <v>878</v>
      </c>
      <c r="B879" s="246" t="s">
        <v>2616</v>
      </c>
      <c r="C879" s="246" t="s">
        <v>24</v>
      </c>
      <c r="D879" s="1134">
        <v>5863</v>
      </c>
      <c r="E879" s="246" t="s">
        <v>3703</v>
      </c>
      <c r="F879" s="245" t="s">
        <v>3689</v>
      </c>
      <c r="G879" s="679">
        <v>3006</v>
      </c>
      <c r="H879" s="245" t="s">
        <v>3662</v>
      </c>
      <c r="I879" s="246" t="s">
        <v>729</v>
      </c>
      <c r="J879" s="649" t="s">
        <v>111</v>
      </c>
      <c r="K879" s="649" t="s">
        <v>110</v>
      </c>
      <c r="L879" s="1063">
        <v>0.4</v>
      </c>
      <c r="M879" s="827"/>
      <c r="N879" s="827" t="s">
        <v>770</v>
      </c>
      <c r="O879" s="827"/>
      <c r="P879" s="222">
        <v>1</v>
      </c>
      <c r="Q879" s="1063">
        <v>0.15</v>
      </c>
      <c r="R879" s="222"/>
      <c r="S879" s="222">
        <f t="shared" si="26"/>
        <v>0</v>
      </c>
      <c r="T879" s="765">
        <f t="shared" si="27"/>
        <v>0</v>
      </c>
      <c r="U879" s="222" t="s">
        <v>34</v>
      </c>
      <c r="V879" s="1228"/>
      <c r="W879" s="827"/>
    </row>
    <row r="880" spans="1:23" ht="22.95" customHeight="1" x14ac:dyDescent="0.4">
      <c r="A880" s="788">
        <v>879</v>
      </c>
      <c r="B880" s="246" t="s">
        <v>2616</v>
      </c>
      <c r="C880" s="246" t="s">
        <v>24</v>
      </c>
      <c r="D880" s="1134">
        <v>5863</v>
      </c>
      <c r="E880" s="246" t="s">
        <v>3703</v>
      </c>
      <c r="F880" s="245" t="s">
        <v>3689</v>
      </c>
      <c r="G880" s="679">
        <v>3006</v>
      </c>
      <c r="H880" s="245" t="s">
        <v>3662</v>
      </c>
      <c r="I880" s="246" t="s">
        <v>729</v>
      </c>
      <c r="J880" s="648" t="s">
        <v>111</v>
      </c>
      <c r="K880" s="649" t="s">
        <v>110</v>
      </c>
      <c r="L880" s="1063">
        <v>0.4</v>
      </c>
      <c r="M880" s="827"/>
      <c r="N880" s="827" t="s">
        <v>254</v>
      </c>
      <c r="O880" s="827"/>
      <c r="P880" s="222">
        <v>1</v>
      </c>
      <c r="Q880" s="1063">
        <v>0.1</v>
      </c>
      <c r="R880" s="222"/>
      <c r="S880" s="222">
        <f t="shared" si="26"/>
        <v>0</v>
      </c>
      <c r="T880" s="765">
        <f t="shared" si="27"/>
        <v>0</v>
      </c>
      <c r="U880" s="222" t="s">
        <v>34</v>
      </c>
      <c r="V880" s="1228"/>
      <c r="W880" s="827"/>
    </row>
    <row r="881" spans="1:23" ht="22.95" customHeight="1" x14ac:dyDescent="0.4">
      <c r="A881" s="788">
        <v>880</v>
      </c>
      <c r="B881" s="246" t="s">
        <v>2616</v>
      </c>
      <c r="C881" s="246" t="s">
        <v>24</v>
      </c>
      <c r="D881" s="1134">
        <v>5863</v>
      </c>
      <c r="E881" s="246" t="s">
        <v>3703</v>
      </c>
      <c r="F881" s="245" t="s">
        <v>3689</v>
      </c>
      <c r="G881" s="679">
        <v>3006</v>
      </c>
      <c r="H881" s="245" t="s">
        <v>3662</v>
      </c>
      <c r="I881" s="246" t="s">
        <v>729</v>
      </c>
      <c r="J881" s="648" t="s">
        <v>111</v>
      </c>
      <c r="K881" s="649" t="s">
        <v>110</v>
      </c>
      <c r="L881" s="1063">
        <v>0.4</v>
      </c>
      <c r="M881" s="827"/>
      <c r="N881" s="827" t="s">
        <v>771</v>
      </c>
      <c r="O881" s="827"/>
      <c r="P881" s="222">
        <v>1</v>
      </c>
      <c r="Q881" s="1063">
        <v>0.05</v>
      </c>
      <c r="R881" s="222"/>
      <c r="S881" s="222">
        <f t="shared" si="26"/>
        <v>0</v>
      </c>
      <c r="T881" s="765">
        <f t="shared" si="27"/>
        <v>0</v>
      </c>
      <c r="U881" s="222" t="s">
        <v>34</v>
      </c>
      <c r="V881" s="1228"/>
      <c r="W881" s="827"/>
    </row>
    <row r="882" spans="1:23" ht="22.95" customHeight="1" x14ac:dyDescent="0.4">
      <c r="A882" s="788">
        <v>881</v>
      </c>
      <c r="B882" s="246" t="s">
        <v>2616</v>
      </c>
      <c r="C882" s="246" t="s">
        <v>24</v>
      </c>
      <c r="D882" s="1134">
        <v>5863</v>
      </c>
      <c r="E882" s="246" t="s">
        <v>3703</v>
      </c>
      <c r="F882" s="245" t="s">
        <v>3689</v>
      </c>
      <c r="G882" s="679">
        <v>3006</v>
      </c>
      <c r="H882" s="245" t="s">
        <v>3662</v>
      </c>
      <c r="I882" s="246" t="s">
        <v>729</v>
      </c>
      <c r="J882" s="648" t="s">
        <v>111</v>
      </c>
      <c r="K882" s="649" t="s">
        <v>110</v>
      </c>
      <c r="L882" s="1063">
        <v>0.4</v>
      </c>
      <c r="M882" s="827"/>
      <c r="N882" s="827" t="s">
        <v>772</v>
      </c>
      <c r="O882" s="827"/>
      <c r="P882" s="222">
        <v>1</v>
      </c>
      <c r="Q882" s="1063">
        <v>0.1</v>
      </c>
      <c r="R882" s="222"/>
      <c r="S882" s="222">
        <f t="shared" si="26"/>
        <v>0</v>
      </c>
      <c r="T882" s="765">
        <f t="shared" si="27"/>
        <v>0</v>
      </c>
      <c r="U882" s="222" t="s">
        <v>34</v>
      </c>
      <c r="V882" s="1228"/>
      <c r="W882" s="827"/>
    </row>
    <row r="883" spans="1:23" ht="22.95" customHeight="1" x14ac:dyDescent="0.4">
      <c r="A883" s="788">
        <v>882</v>
      </c>
      <c r="B883" s="246" t="s">
        <v>2616</v>
      </c>
      <c r="C883" s="246" t="s">
        <v>24</v>
      </c>
      <c r="D883" s="1134">
        <v>5863</v>
      </c>
      <c r="E883" s="246" t="s">
        <v>3703</v>
      </c>
      <c r="F883" s="245" t="s">
        <v>3689</v>
      </c>
      <c r="G883" s="679">
        <v>3006</v>
      </c>
      <c r="H883" s="245" t="s">
        <v>3662</v>
      </c>
      <c r="I883" s="246" t="s">
        <v>729</v>
      </c>
      <c r="J883" s="648" t="s">
        <v>111</v>
      </c>
      <c r="K883" s="649" t="s">
        <v>110</v>
      </c>
      <c r="L883" s="1063">
        <v>0.4</v>
      </c>
      <c r="M883" s="827"/>
      <c r="N883" s="827" t="s">
        <v>773</v>
      </c>
      <c r="O883" s="827"/>
      <c r="P883" s="222">
        <v>1</v>
      </c>
      <c r="Q883" s="1063">
        <v>0.05</v>
      </c>
      <c r="R883" s="222"/>
      <c r="S883" s="222">
        <f t="shared" si="26"/>
        <v>0</v>
      </c>
      <c r="T883" s="765">
        <f t="shared" si="27"/>
        <v>0</v>
      </c>
      <c r="U883" s="222" t="s">
        <v>34</v>
      </c>
      <c r="V883" s="1228"/>
      <c r="W883" s="827"/>
    </row>
    <row r="884" spans="1:23" ht="22.95" customHeight="1" x14ac:dyDescent="0.4">
      <c r="A884" s="788">
        <v>883</v>
      </c>
      <c r="B884" s="246" t="s">
        <v>2616</v>
      </c>
      <c r="C884" s="246" t="s">
        <v>24</v>
      </c>
      <c r="D884" s="1134">
        <v>5863</v>
      </c>
      <c r="E884" s="246" t="s">
        <v>3703</v>
      </c>
      <c r="F884" s="245" t="s">
        <v>3689</v>
      </c>
      <c r="G884" s="679">
        <v>3006</v>
      </c>
      <c r="H884" s="245" t="s">
        <v>3662</v>
      </c>
      <c r="I884" s="246" t="s">
        <v>729</v>
      </c>
      <c r="J884" s="648" t="s">
        <v>111</v>
      </c>
      <c r="K884" s="649" t="s">
        <v>110</v>
      </c>
      <c r="L884" s="1063">
        <v>0.4</v>
      </c>
      <c r="M884" s="827"/>
      <c r="N884" s="827" t="s">
        <v>774</v>
      </c>
      <c r="O884" s="827"/>
      <c r="P884" s="222">
        <v>1</v>
      </c>
      <c r="Q884" s="1063">
        <v>0.05</v>
      </c>
      <c r="R884" s="222"/>
      <c r="S884" s="222">
        <f t="shared" si="26"/>
        <v>0</v>
      </c>
      <c r="T884" s="765">
        <f t="shared" si="27"/>
        <v>0</v>
      </c>
      <c r="U884" s="222" t="s">
        <v>34</v>
      </c>
      <c r="V884" s="1228"/>
      <c r="W884" s="827"/>
    </row>
    <row r="885" spans="1:23" ht="22.95" customHeight="1" x14ac:dyDescent="0.4">
      <c r="A885" s="788">
        <v>884</v>
      </c>
      <c r="B885" s="246" t="s">
        <v>2616</v>
      </c>
      <c r="C885" s="246" t="s">
        <v>24</v>
      </c>
      <c r="D885" s="1134">
        <v>5863</v>
      </c>
      <c r="E885" s="246" t="s">
        <v>3703</v>
      </c>
      <c r="F885" s="245" t="s">
        <v>3689</v>
      </c>
      <c r="G885" s="679">
        <v>3006</v>
      </c>
      <c r="H885" s="245" t="s">
        <v>3662</v>
      </c>
      <c r="I885" s="246" t="s">
        <v>729</v>
      </c>
      <c r="J885" s="648" t="s">
        <v>111</v>
      </c>
      <c r="K885" s="649" t="s">
        <v>110</v>
      </c>
      <c r="L885" s="1063">
        <v>0.4</v>
      </c>
      <c r="M885" s="827"/>
      <c r="N885" s="827" t="s">
        <v>775</v>
      </c>
      <c r="O885" s="827"/>
      <c r="P885" s="222">
        <v>1</v>
      </c>
      <c r="Q885" s="1063">
        <v>0.05</v>
      </c>
      <c r="R885" s="222"/>
      <c r="S885" s="222">
        <f t="shared" si="26"/>
        <v>0</v>
      </c>
      <c r="T885" s="765">
        <f t="shared" si="27"/>
        <v>0</v>
      </c>
      <c r="U885" s="222" t="s">
        <v>34</v>
      </c>
      <c r="V885" s="1228"/>
      <c r="W885" s="827"/>
    </row>
    <row r="886" spans="1:23" ht="22.95" customHeight="1" x14ac:dyDescent="0.4">
      <c r="A886" s="788">
        <v>885</v>
      </c>
      <c r="B886" s="246" t="s">
        <v>2616</v>
      </c>
      <c r="C886" s="246" t="s">
        <v>24</v>
      </c>
      <c r="D886" s="1134">
        <v>5863</v>
      </c>
      <c r="E886" s="246" t="s">
        <v>3703</v>
      </c>
      <c r="F886" s="245" t="s">
        <v>3689</v>
      </c>
      <c r="G886" s="679">
        <v>3006</v>
      </c>
      <c r="H886" s="245" t="s">
        <v>3662</v>
      </c>
      <c r="I886" s="246" t="s">
        <v>729</v>
      </c>
      <c r="J886" s="648" t="s">
        <v>111</v>
      </c>
      <c r="K886" s="649" t="s">
        <v>110</v>
      </c>
      <c r="L886" s="1063">
        <v>0.4</v>
      </c>
      <c r="M886" s="827"/>
      <c r="N886" s="827" t="s">
        <v>776</v>
      </c>
      <c r="O886" s="827"/>
      <c r="P886" s="222">
        <v>1</v>
      </c>
      <c r="Q886" s="1063">
        <v>0.1</v>
      </c>
      <c r="R886" s="222"/>
      <c r="S886" s="222">
        <f t="shared" si="26"/>
        <v>0</v>
      </c>
      <c r="T886" s="765">
        <f t="shared" si="27"/>
        <v>0</v>
      </c>
      <c r="U886" s="222" t="s">
        <v>34</v>
      </c>
      <c r="V886" s="1228"/>
      <c r="W886" s="827"/>
    </row>
    <row r="887" spans="1:23" ht="22.95" customHeight="1" x14ac:dyDescent="0.4">
      <c r="A887" s="788">
        <v>886</v>
      </c>
      <c r="B887" s="246" t="s">
        <v>2616</v>
      </c>
      <c r="C887" s="246" t="s">
        <v>24</v>
      </c>
      <c r="D887" s="1134">
        <v>5863</v>
      </c>
      <c r="E887" s="246" t="s">
        <v>3703</v>
      </c>
      <c r="F887" s="245" t="s">
        <v>3689</v>
      </c>
      <c r="G887" s="679">
        <v>3006</v>
      </c>
      <c r="H887" s="245" t="s">
        <v>3662</v>
      </c>
      <c r="I887" s="246" t="s">
        <v>729</v>
      </c>
      <c r="J887" s="648" t="s">
        <v>111</v>
      </c>
      <c r="K887" s="649" t="s">
        <v>110</v>
      </c>
      <c r="L887" s="1063">
        <v>0.4</v>
      </c>
      <c r="M887" s="827"/>
      <c r="N887" s="827" t="s">
        <v>251</v>
      </c>
      <c r="O887" s="827"/>
      <c r="P887" s="222">
        <v>1</v>
      </c>
      <c r="Q887" s="1063">
        <v>0.05</v>
      </c>
      <c r="R887" s="222"/>
      <c r="S887" s="222">
        <f t="shared" si="26"/>
        <v>0</v>
      </c>
      <c r="T887" s="765">
        <f t="shared" si="27"/>
        <v>0</v>
      </c>
      <c r="U887" s="222" t="s">
        <v>34</v>
      </c>
      <c r="V887" s="1228"/>
      <c r="W887" s="827"/>
    </row>
    <row r="888" spans="1:23" ht="22.95" customHeight="1" x14ac:dyDescent="0.4">
      <c r="A888" s="788">
        <v>887</v>
      </c>
      <c r="B888" s="246" t="s">
        <v>2616</v>
      </c>
      <c r="C888" s="246" t="s">
        <v>24</v>
      </c>
      <c r="D888" s="1134">
        <v>5863</v>
      </c>
      <c r="E888" s="246" t="s">
        <v>3703</v>
      </c>
      <c r="F888" s="245" t="s">
        <v>3689</v>
      </c>
      <c r="G888" s="679">
        <v>3006</v>
      </c>
      <c r="H888" s="245" t="s">
        <v>3662</v>
      </c>
      <c r="I888" s="246" t="s">
        <v>729</v>
      </c>
      <c r="J888" s="648" t="s">
        <v>111</v>
      </c>
      <c r="K888" s="649" t="s">
        <v>110</v>
      </c>
      <c r="L888" s="1063">
        <v>0.4</v>
      </c>
      <c r="M888" s="827"/>
      <c r="N888" s="827" t="s">
        <v>252</v>
      </c>
      <c r="O888" s="827"/>
      <c r="P888" s="222">
        <v>1</v>
      </c>
      <c r="Q888" s="1063">
        <v>0.05</v>
      </c>
      <c r="R888" s="222"/>
      <c r="S888" s="222">
        <f t="shared" si="26"/>
        <v>0</v>
      </c>
      <c r="T888" s="765">
        <f t="shared" si="27"/>
        <v>0</v>
      </c>
      <c r="U888" s="222" t="s">
        <v>34</v>
      </c>
      <c r="V888" s="1228"/>
      <c r="W888" s="827"/>
    </row>
    <row r="889" spans="1:23" ht="22.95" customHeight="1" x14ac:dyDescent="0.4">
      <c r="A889" s="788">
        <v>888</v>
      </c>
      <c r="B889" s="246" t="s">
        <v>2616</v>
      </c>
      <c r="C889" s="246" t="s">
        <v>24</v>
      </c>
      <c r="D889" s="1134">
        <v>5863</v>
      </c>
      <c r="E889" s="246" t="s">
        <v>3703</v>
      </c>
      <c r="F889" s="245" t="s">
        <v>3689</v>
      </c>
      <c r="G889" s="679">
        <v>3006</v>
      </c>
      <c r="H889" s="245" t="s">
        <v>3662</v>
      </c>
      <c r="I889" s="246" t="s">
        <v>729</v>
      </c>
      <c r="J889" s="648" t="s">
        <v>111</v>
      </c>
      <c r="K889" s="649" t="s">
        <v>110</v>
      </c>
      <c r="L889" s="1063">
        <v>0.4</v>
      </c>
      <c r="M889" s="827"/>
      <c r="N889" s="827" t="s">
        <v>777</v>
      </c>
      <c r="O889" s="827"/>
      <c r="P889" s="222">
        <v>1</v>
      </c>
      <c r="Q889" s="1063">
        <v>0.05</v>
      </c>
      <c r="R889" s="222"/>
      <c r="S889" s="222">
        <f t="shared" si="26"/>
        <v>0</v>
      </c>
      <c r="T889" s="765">
        <f t="shared" si="27"/>
        <v>0</v>
      </c>
      <c r="U889" s="222" t="s">
        <v>34</v>
      </c>
      <c r="V889" s="1228"/>
      <c r="W889" s="827"/>
    </row>
    <row r="890" spans="1:23" ht="22.95" customHeight="1" x14ac:dyDescent="0.4">
      <c r="A890" s="788">
        <v>889</v>
      </c>
      <c r="B890" s="246" t="s">
        <v>2616</v>
      </c>
      <c r="C890" s="246" t="s">
        <v>24</v>
      </c>
      <c r="D890" s="1134">
        <v>5863</v>
      </c>
      <c r="E890" s="246" t="s">
        <v>3703</v>
      </c>
      <c r="F890" s="245" t="s">
        <v>3689</v>
      </c>
      <c r="G890" s="679">
        <v>3006</v>
      </c>
      <c r="H890" s="245" t="s">
        <v>3662</v>
      </c>
      <c r="I890" s="246" t="s">
        <v>729</v>
      </c>
      <c r="J890" s="648" t="s">
        <v>111</v>
      </c>
      <c r="K890" s="649" t="s">
        <v>110</v>
      </c>
      <c r="L890" s="1063">
        <v>0.4</v>
      </c>
      <c r="M890" s="827"/>
      <c r="N890" s="827" t="s">
        <v>253</v>
      </c>
      <c r="O890" s="827"/>
      <c r="P890" s="222">
        <v>1</v>
      </c>
      <c r="Q890" s="1063">
        <v>0.05</v>
      </c>
      <c r="R890" s="222"/>
      <c r="S890" s="222">
        <f t="shared" si="26"/>
        <v>0</v>
      </c>
      <c r="T890" s="765">
        <f t="shared" si="27"/>
        <v>0</v>
      </c>
      <c r="U890" s="222" t="s">
        <v>34</v>
      </c>
      <c r="V890" s="1228"/>
      <c r="W890" s="827"/>
    </row>
    <row r="891" spans="1:23" ht="22.95" customHeight="1" x14ac:dyDescent="0.4">
      <c r="A891" s="788">
        <v>890</v>
      </c>
      <c r="B891" s="187" t="s">
        <v>2616</v>
      </c>
      <c r="C891" s="187" t="s">
        <v>24</v>
      </c>
      <c r="D891" s="1130">
        <v>3592</v>
      </c>
      <c r="E891" s="187" t="s">
        <v>3707</v>
      </c>
      <c r="F891" s="187" t="s">
        <v>3689</v>
      </c>
      <c r="G891" s="674">
        <v>3006</v>
      </c>
      <c r="H891" s="187" t="s">
        <v>3708</v>
      </c>
      <c r="I891" s="187" t="s">
        <v>729</v>
      </c>
      <c r="J891" s="653" t="s">
        <v>58</v>
      </c>
      <c r="K891" s="653" t="s">
        <v>57</v>
      </c>
      <c r="L891" s="1052">
        <v>0.6</v>
      </c>
      <c r="M891" s="749"/>
      <c r="N891" s="749" t="s">
        <v>3709</v>
      </c>
      <c r="O891" s="749"/>
      <c r="P891" s="953">
        <v>1</v>
      </c>
      <c r="Q891" s="1052">
        <v>0.5</v>
      </c>
      <c r="R891" s="953"/>
      <c r="S891" s="855">
        <f t="shared" si="26"/>
        <v>0</v>
      </c>
      <c r="T891" s="854">
        <f t="shared" si="27"/>
        <v>0</v>
      </c>
      <c r="U891" s="855" t="s">
        <v>34</v>
      </c>
      <c r="V891" s="1488">
        <f>SUM(T891:T907)%</f>
        <v>0</v>
      </c>
      <c r="W891" s="749"/>
    </row>
    <row r="892" spans="1:23" ht="22.95" customHeight="1" x14ac:dyDescent="0.4">
      <c r="A892" s="788">
        <v>891</v>
      </c>
      <c r="B892" s="199" t="s">
        <v>2616</v>
      </c>
      <c r="C892" s="199" t="s">
        <v>24</v>
      </c>
      <c r="D892" s="1259">
        <v>3592</v>
      </c>
      <c r="E892" s="199" t="s">
        <v>3707</v>
      </c>
      <c r="F892" s="199" t="s">
        <v>3689</v>
      </c>
      <c r="G892" s="679">
        <v>3006</v>
      </c>
      <c r="H892" s="199" t="s">
        <v>3708</v>
      </c>
      <c r="I892" s="199" t="s">
        <v>729</v>
      </c>
      <c r="J892" s="649" t="s">
        <v>58</v>
      </c>
      <c r="K892" s="649" t="s">
        <v>57</v>
      </c>
      <c r="L892" s="1067">
        <v>0.6</v>
      </c>
      <c r="M892" s="757"/>
      <c r="N892" s="757" t="s">
        <v>3710</v>
      </c>
      <c r="O892" s="757"/>
      <c r="P892" s="669">
        <v>1</v>
      </c>
      <c r="Q892" s="1067">
        <v>0.5</v>
      </c>
      <c r="R892" s="669"/>
      <c r="S892" s="204">
        <f t="shared" si="26"/>
        <v>0</v>
      </c>
      <c r="T892" s="960">
        <f t="shared" si="27"/>
        <v>0</v>
      </c>
      <c r="U892" s="204" t="s">
        <v>34</v>
      </c>
      <c r="V892" s="1203"/>
      <c r="W892" s="827"/>
    </row>
    <row r="893" spans="1:23" ht="22.95" customHeight="1" x14ac:dyDescent="0.4">
      <c r="A893" s="788">
        <v>892</v>
      </c>
      <c r="B893" s="199" t="s">
        <v>2616</v>
      </c>
      <c r="C893" s="199" t="s">
        <v>24</v>
      </c>
      <c r="D893" s="1259">
        <v>3592</v>
      </c>
      <c r="E893" s="199" t="s">
        <v>3707</v>
      </c>
      <c r="F893" s="199" t="s">
        <v>3689</v>
      </c>
      <c r="G893" s="679">
        <v>3006</v>
      </c>
      <c r="H893" s="199" t="s">
        <v>3708</v>
      </c>
      <c r="I893" s="199" t="s">
        <v>729</v>
      </c>
      <c r="J893" s="648" t="s">
        <v>111</v>
      </c>
      <c r="K893" s="649" t="s">
        <v>110</v>
      </c>
      <c r="L893" s="1063">
        <v>0.4</v>
      </c>
      <c r="M893" s="827"/>
      <c r="N893" s="827" t="s">
        <v>255</v>
      </c>
      <c r="O893" s="827"/>
      <c r="P893" s="222">
        <v>1</v>
      </c>
      <c r="Q893" s="1063">
        <v>0.05</v>
      </c>
      <c r="R893" s="222"/>
      <c r="S893" s="222">
        <f t="shared" si="26"/>
        <v>0</v>
      </c>
      <c r="T893" s="765">
        <f t="shared" si="27"/>
        <v>0</v>
      </c>
      <c r="U893" s="222" t="s">
        <v>34</v>
      </c>
      <c r="V893" s="1228"/>
      <c r="W893" s="827"/>
    </row>
    <row r="894" spans="1:23" ht="22.95" customHeight="1" x14ac:dyDescent="0.4">
      <c r="A894" s="788">
        <v>893</v>
      </c>
      <c r="B894" s="199" t="s">
        <v>2616</v>
      </c>
      <c r="C894" s="199" t="s">
        <v>24</v>
      </c>
      <c r="D894" s="1259">
        <v>3592</v>
      </c>
      <c r="E894" s="199" t="s">
        <v>3707</v>
      </c>
      <c r="F894" s="199" t="s">
        <v>3689</v>
      </c>
      <c r="G894" s="679">
        <v>3006</v>
      </c>
      <c r="H894" s="199" t="s">
        <v>3708</v>
      </c>
      <c r="I894" s="199" t="s">
        <v>729</v>
      </c>
      <c r="J894" s="648" t="s">
        <v>111</v>
      </c>
      <c r="K894" s="649" t="s">
        <v>110</v>
      </c>
      <c r="L894" s="1063">
        <v>0.4</v>
      </c>
      <c r="M894" s="827"/>
      <c r="N894" s="827" t="s">
        <v>768</v>
      </c>
      <c r="O894" s="827"/>
      <c r="P894" s="222">
        <v>1</v>
      </c>
      <c r="Q894" s="1063">
        <v>0.05</v>
      </c>
      <c r="R894" s="222"/>
      <c r="S894" s="222">
        <f t="shared" si="26"/>
        <v>0</v>
      </c>
      <c r="T894" s="765">
        <f t="shared" si="27"/>
        <v>0</v>
      </c>
      <c r="U894" s="222" t="s">
        <v>34</v>
      </c>
      <c r="V894" s="1228"/>
      <c r="W894" s="827"/>
    </row>
    <row r="895" spans="1:23" ht="22.95" customHeight="1" x14ac:dyDescent="0.4">
      <c r="A895" s="788">
        <v>894</v>
      </c>
      <c r="B895" s="199" t="s">
        <v>2616</v>
      </c>
      <c r="C895" s="199" t="s">
        <v>24</v>
      </c>
      <c r="D895" s="1259">
        <v>3592</v>
      </c>
      <c r="E895" s="199" t="s">
        <v>3707</v>
      </c>
      <c r="F895" s="199" t="s">
        <v>3689</v>
      </c>
      <c r="G895" s="679">
        <v>3006</v>
      </c>
      <c r="H895" s="199" t="s">
        <v>3708</v>
      </c>
      <c r="I895" s="199" t="s">
        <v>729</v>
      </c>
      <c r="J895" s="648" t="s">
        <v>111</v>
      </c>
      <c r="K895" s="649" t="s">
        <v>110</v>
      </c>
      <c r="L895" s="1063">
        <v>0.4</v>
      </c>
      <c r="M895" s="827"/>
      <c r="N895" s="827" t="s">
        <v>769</v>
      </c>
      <c r="O895" s="827"/>
      <c r="P895" s="222">
        <v>1</v>
      </c>
      <c r="Q895" s="1063">
        <v>0.05</v>
      </c>
      <c r="R895" s="222"/>
      <c r="S895" s="222">
        <f t="shared" si="26"/>
        <v>0</v>
      </c>
      <c r="T895" s="765">
        <f t="shared" si="27"/>
        <v>0</v>
      </c>
      <c r="U895" s="222" t="s">
        <v>34</v>
      </c>
      <c r="V895" s="1228"/>
      <c r="W895" s="827"/>
    </row>
    <row r="896" spans="1:23" ht="22.95" customHeight="1" x14ac:dyDescent="0.4">
      <c r="A896" s="788">
        <v>895</v>
      </c>
      <c r="B896" s="199" t="s">
        <v>2616</v>
      </c>
      <c r="C896" s="199" t="s">
        <v>24</v>
      </c>
      <c r="D896" s="1259">
        <v>3592</v>
      </c>
      <c r="E896" s="199" t="s">
        <v>3707</v>
      </c>
      <c r="F896" s="199" t="s">
        <v>3689</v>
      </c>
      <c r="G896" s="679">
        <v>3006</v>
      </c>
      <c r="H896" s="199" t="s">
        <v>3708</v>
      </c>
      <c r="I896" s="199" t="s">
        <v>729</v>
      </c>
      <c r="J896" s="648" t="s">
        <v>111</v>
      </c>
      <c r="K896" s="649" t="s">
        <v>110</v>
      </c>
      <c r="L896" s="1063">
        <v>0.4</v>
      </c>
      <c r="M896" s="827"/>
      <c r="N896" s="827" t="s">
        <v>770</v>
      </c>
      <c r="O896" s="827"/>
      <c r="P896" s="222">
        <v>1</v>
      </c>
      <c r="Q896" s="1063">
        <v>0.15</v>
      </c>
      <c r="R896" s="222"/>
      <c r="S896" s="222">
        <f t="shared" si="26"/>
        <v>0</v>
      </c>
      <c r="T896" s="765">
        <f t="shared" si="27"/>
        <v>0</v>
      </c>
      <c r="U896" s="222" t="s">
        <v>34</v>
      </c>
      <c r="V896" s="1228"/>
      <c r="W896" s="827"/>
    </row>
    <row r="897" spans="1:23" ht="22.95" customHeight="1" x14ac:dyDescent="0.4">
      <c r="A897" s="788">
        <v>896</v>
      </c>
      <c r="B897" s="199" t="s">
        <v>2616</v>
      </c>
      <c r="C897" s="199" t="s">
        <v>24</v>
      </c>
      <c r="D897" s="1259">
        <v>3592</v>
      </c>
      <c r="E897" s="199" t="s">
        <v>3707</v>
      </c>
      <c r="F897" s="199" t="s">
        <v>3689</v>
      </c>
      <c r="G897" s="679">
        <v>3006</v>
      </c>
      <c r="H897" s="199" t="s">
        <v>3708</v>
      </c>
      <c r="I897" s="199" t="s">
        <v>729</v>
      </c>
      <c r="J897" s="648" t="s">
        <v>111</v>
      </c>
      <c r="K897" s="649" t="s">
        <v>110</v>
      </c>
      <c r="L897" s="1063">
        <v>0.4</v>
      </c>
      <c r="M897" s="827"/>
      <c r="N897" s="827" t="s">
        <v>254</v>
      </c>
      <c r="O897" s="827"/>
      <c r="P897" s="222">
        <v>1</v>
      </c>
      <c r="Q897" s="1063">
        <v>0.1</v>
      </c>
      <c r="R897" s="222"/>
      <c r="S897" s="222">
        <f t="shared" si="26"/>
        <v>0</v>
      </c>
      <c r="T897" s="765">
        <f t="shared" si="27"/>
        <v>0</v>
      </c>
      <c r="U897" s="222" t="s">
        <v>34</v>
      </c>
      <c r="V897" s="1228"/>
      <c r="W897" s="827"/>
    </row>
    <row r="898" spans="1:23" ht="22.95" customHeight="1" x14ac:dyDescent="0.4">
      <c r="A898" s="788">
        <v>897</v>
      </c>
      <c r="B898" s="199" t="s">
        <v>2616</v>
      </c>
      <c r="C898" s="199" t="s">
        <v>24</v>
      </c>
      <c r="D898" s="1259">
        <v>3592</v>
      </c>
      <c r="E898" s="199" t="s">
        <v>3707</v>
      </c>
      <c r="F898" s="199" t="s">
        <v>3689</v>
      </c>
      <c r="G898" s="679">
        <v>3006</v>
      </c>
      <c r="H898" s="199" t="s">
        <v>3708</v>
      </c>
      <c r="I898" s="199" t="s">
        <v>729</v>
      </c>
      <c r="J898" s="648" t="s">
        <v>111</v>
      </c>
      <c r="K898" s="649" t="s">
        <v>110</v>
      </c>
      <c r="L898" s="1063">
        <v>0.4</v>
      </c>
      <c r="M898" s="827"/>
      <c r="N898" s="827" t="s">
        <v>771</v>
      </c>
      <c r="O898" s="827"/>
      <c r="P898" s="222">
        <v>1</v>
      </c>
      <c r="Q898" s="1063">
        <v>0.05</v>
      </c>
      <c r="R898" s="222"/>
      <c r="S898" s="222">
        <f t="shared" ref="S898:S961" si="28">ROUND(IF(OR(P898="",R898=""),0,IF(AND(P898=0,R898=0),1,IF(U898="+",R898/P898,P898/R898))),2)</f>
        <v>0</v>
      </c>
      <c r="T898" s="765">
        <f t="shared" ref="T898:T961" si="29">IF(AND(S898&gt;=60%,S898&lt;100%),S898*((Q898*L898)),IF(S898=100%,((Q898*L898)*S898)*100%,IF(S898&gt;100%,((L898*Q898)*100%)*100%,0)))*100</f>
        <v>0</v>
      </c>
      <c r="U898" s="222" t="s">
        <v>34</v>
      </c>
      <c r="V898" s="1228"/>
      <c r="W898" s="827"/>
    </row>
    <row r="899" spans="1:23" ht="22.95" customHeight="1" x14ac:dyDescent="0.4">
      <c r="A899" s="788">
        <v>898</v>
      </c>
      <c r="B899" s="199" t="s">
        <v>2616</v>
      </c>
      <c r="C899" s="199" t="s">
        <v>24</v>
      </c>
      <c r="D899" s="1259">
        <v>3592</v>
      </c>
      <c r="E899" s="199" t="s">
        <v>3707</v>
      </c>
      <c r="F899" s="199" t="s">
        <v>3689</v>
      </c>
      <c r="G899" s="679">
        <v>3006</v>
      </c>
      <c r="H899" s="199" t="s">
        <v>3708</v>
      </c>
      <c r="I899" s="199" t="s">
        <v>729</v>
      </c>
      <c r="J899" s="648" t="s">
        <v>111</v>
      </c>
      <c r="K899" s="649" t="s">
        <v>110</v>
      </c>
      <c r="L899" s="1063">
        <v>0.4</v>
      </c>
      <c r="M899" s="827"/>
      <c r="N899" s="827" t="s">
        <v>772</v>
      </c>
      <c r="O899" s="827"/>
      <c r="P899" s="222">
        <v>1</v>
      </c>
      <c r="Q899" s="1063">
        <v>0.1</v>
      </c>
      <c r="R899" s="222"/>
      <c r="S899" s="222">
        <f t="shared" si="28"/>
        <v>0</v>
      </c>
      <c r="T899" s="765">
        <f t="shared" si="29"/>
        <v>0</v>
      </c>
      <c r="U899" s="222" t="s">
        <v>34</v>
      </c>
      <c r="V899" s="1228"/>
      <c r="W899" s="827"/>
    </row>
    <row r="900" spans="1:23" ht="22.95" customHeight="1" x14ac:dyDescent="0.4">
      <c r="A900" s="788">
        <v>899</v>
      </c>
      <c r="B900" s="199" t="s">
        <v>2616</v>
      </c>
      <c r="C900" s="199" t="s">
        <v>24</v>
      </c>
      <c r="D900" s="1259">
        <v>3592</v>
      </c>
      <c r="E900" s="199" t="s">
        <v>3707</v>
      </c>
      <c r="F900" s="199" t="s">
        <v>3689</v>
      </c>
      <c r="G900" s="679">
        <v>3006</v>
      </c>
      <c r="H900" s="199" t="s">
        <v>3708</v>
      </c>
      <c r="I900" s="199" t="s">
        <v>729</v>
      </c>
      <c r="J900" s="648" t="s">
        <v>111</v>
      </c>
      <c r="K900" s="649" t="s">
        <v>110</v>
      </c>
      <c r="L900" s="1063">
        <v>0.4</v>
      </c>
      <c r="M900" s="827"/>
      <c r="N900" s="827" t="s">
        <v>773</v>
      </c>
      <c r="O900" s="827"/>
      <c r="P900" s="222">
        <v>1</v>
      </c>
      <c r="Q900" s="1063">
        <v>0.05</v>
      </c>
      <c r="R900" s="222"/>
      <c r="S900" s="222">
        <f t="shared" si="28"/>
        <v>0</v>
      </c>
      <c r="T900" s="765">
        <f t="shared" si="29"/>
        <v>0</v>
      </c>
      <c r="U900" s="222" t="s">
        <v>34</v>
      </c>
      <c r="V900" s="1228"/>
      <c r="W900" s="827"/>
    </row>
    <row r="901" spans="1:23" ht="22.95" customHeight="1" x14ac:dyDescent="0.4">
      <c r="A901" s="788">
        <v>900</v>
      </c>
      <c r="B901" s="199" t="s">
        <v>2616</v>
      </c>
      <c r="C901" s="199" t="s">
        <v>24</v>
      </c>
      <c r="D901" s="1259">
        <v>3592</v>
      </c>
      <c r="E901" s="199" t="s">
        <v>3707</v>
      </c>
      <c r="F901" s="199" t="s">
        <v>3689</v>
      </c>
      <c r="G901" s="679">
        <v>3006</v>
      </c>
      <c r="H901" s="199" t="s">
        <v>3708</v>
      </c>
      <c r="I901" s="199" t="s">
        <v>729</v>
      </c>
      <c r="J901" s="648" t="s">
        <v>111</v>
      </c>
      <c r="K901" s="649" t="s">
        <v>110</v>
      </c>
      <c r="L901" s="1063">
        <v>0.4</v>
      </c>
      <c r="M901" s="827"/>
      <c r="N901" s="827" t="s">
        <v>774</v>
      </c>
      <c r="O901" s="827"/>
      <c r="P901" s="222">
        <v>1</v>
      </c>
      <c r="Q901" s="1063">
        <v>0.05</v>
      </c>
      <c r="R901" s="222"/>
      <c r="S901" s="222">
        <f t="shared" si="28"/>
        <v>0</v>
      </c>
      <c r="T901" s="765">
        <f t="shared" si="29"/>
        <v>0</v>
      </c>
      <c r="U901" s="222" t="s">
        <v>34</v>
      </c>
      <c r="V901" s="1228"/>
      <c r="W901" s="827"/>
    </row>
    <row r="902" spans="1:23" ht="22.95" customHeight="1" x14ac:dyDescent="0.4">
      <c r="A902" s="788">
        <v>901</v>
      </c>
      <c r="B902" s="199" t="s">
        <v>2616</v>
      </c>
      <c r="C902" s="199" t="s">
        <v>24</v>
      </c>
      <c r="D902" s="1259">
        <v>3592</v>
      </c>
      <c r="E902" s="199" t="s">
        <v>3707</v>
      </c>
      <c r="F902" s="199" t="s">
        <v>3689</v>
      </c>
      <c r="G902" s="679">
        <v>3006</v>
      </c>
      <c r="H902" s="199" t="s">
        <v>3708</v>
      </c>
      <c r="I902" s="199" t="s">
        <v>729</v>
      </c>
      <c r="J902" s="648" t="s">
        <v>111</v>
      </c>
      <c r="K902" s="649" t="s">
        <v>110</v>
      </c>
      <c r="L902" s="1063">
        <v>0.4</v>
      </c>
      <c r="M902" s="827"/>
      <c r="N902" s="827" t="s">
        <v>775</v>
      </c>
      <c r="O902" s="827"/>
      <c r="P902" s="222">
        <v>1</v>
      </c>
      <c r="Q902" s="1063">
        <v>0.05</v>
      </c>
      <c r="R902" s="222"/>
      <c r="S902" s="222">
        <f t="shared" si="28"/>
        <v>0</v>
      </c>
      <c r="T902" s="765">
        <f t="shared" si="29"/>
        <v>0</v>
      </c>
      <c r="U902" s="222" t="s">
        <v>34</v>
      </c>
      <c r="V902" s="1228"/>
      <c r="W902" s="827"/>
    </row>
    <row r="903" spans="1:23" ht="22.95" customHeight="1" x14ac:dyDescent="0.4">
      <c r="A903" s="788">
        <v>902</v>
      </c>
      <c r="B903" s="199" t="s">
        <v>2616</v>
      </c>
      <c r="C903" s="199" t="s">
        <v>24</v>
      </c>
      <c r="D903" s="1259">
        <v>3592</v>
      </c>
      <c r="E903" s="199" t="s">
        <v>3707</v>
      </c>
      <c r="F903" s="199" t="s">
        <v>3689</v>
      </c>
      <c r="G903" s="679">
        <v>3006</v>
      </c>
      <c r="H903" s="199" t="s">
        <v>3708</v>
      </c>
      <c r="I903" s="199" t="s">
        <v>729</v>
      </c>
      <c r="J903" s="648" t="s">
        <v>111</v>
      </c>
      <c r="K903" s="649" t="s">
        <v>110</v>
      </c>
      <c r="L903" s="1063">
        <v>0.4</v>
      </c>
      <c r="M903" s="827"/>
      <c r="N903" s="827" t="s">
        <v>776</v>
      </c>
      <c r="O903" s="827"/>
      <c r="P903" s="222">
        <v>1</v>
      </c>
      <c r="Q903" s="1063">
        <v>0.1</v>
      </c>
      <c r="R903" s="222"/>
      <c r="S903" s="222">
        <f t="shared" si="28"/>
        <v>0</v>
      </c>
      <c r="T903" s="765">
        <f t="shared" si="29"/>
        <v>0</v>
      </c>
      <c r="U903" s="222" t="s">
        <v>34</v>
      </c>
      <c r="V903" s="1228"/>
      <c r="W903" s="827"/>
    </row>
    <row r="904" spans="1:23" ht="22.95" customHeight="1" x14ac:dyDescent="0.4">
      <c r="A904" s="788">
        <v>903</v>
      </c>
      <c r="B904" s="199" t="s">
        <v>2616</v>
      </c>
      <c r="C904" s="199" t="s">
        <v>24</v>
      </c>
      <c r="D904" s="1259">
        <v>3592</v>
      </c>
      <c r="E904" s="199" t="s">
        <v>3707</v>
      </c>
      <c r="F904" s="199" t="s">
        <v>3689</v>
      </c>
      <c r="G904" s="679">
        <v>3006</v>
      </c>
      <c r="H904" s="199" t="s">
        <v>3708</v>
      </c>
      <c r="I904" s="199" t="s">
        <v>729</v>
      </c>
      <c r="J904" s="648" t="s">
        <v>111</v>
      </c>
      <c r="K904" s="649" t="s">
        <v>110</v>
      </c>
      <c r="L904" s="1063">
        <v>0.4</v>
      </c>
      <c r="M904" s="827"/>
      <c r="N904" s="827" t="s">
        <v>251</v>
      </c>
      <c r="O904" s="827"/>
      <c r="P904" s="222">
        <v>1</v>
      </c>
      <c r="Q904" s="1063">
        <v>0.05</v>
      </c>
      <c r="R904" s="222"/>
      <c r="S904" s="222">
        <f t="shared" si="28"/>
        <v>0</v>
      </c>
      <c r="T904" s="765">
        <f t="shared" si="29"/>
        <v>0</v>
      </c>
      <c r="U904" s="222" t="s">
        <v>34</v>
      </c>
      <c r="V904" s="1228"/>
      <c r="W904" s="827"/>
    </row>
    <row r="905" spans="1:23" ht="22.95" customHeight="1" x14ac:dyDescent="0.4">
      <c r="A905" s="788">
        <v>904</v>
      </c>
      <c r="B905" s="199" t="s">
        <v>2616</v>
      </c>
      <c r="C905" s="199" t="s">
        <v>24</v>
      </c>
      <c r="D905" s="1259">
        <v>3592</v>
      </c>
      <c r="E905" s="199" t="s">
        <v>3707</v>
      </c>
      <c r="F905" s="199" t="s">
        <v>3689</v>
      </c>
      <c r="G905" s="679">
        <v>3006</v>
      </c>
      <c r="H905" s="199" t="s">
        <v>3708</v>
      </c>
      <c r="I905" s="199" t="s">
        <v>729</v>
      </c>
      <c r="J905" s="648" t="s">
        <v>111</v>
      </c>
      <c r="K905" s="649" t="s">
        <v>110</v>
      </c>
      <c r="L905" s="1063">
        <v>0.4</v>
      </c>
      <c r="M905" s="827"/>
      <c r="N905" s="827" t="s">
        <v>252</v>
      </c>
      <c r="O905" s="827"/>
      <c r="P905" s="222">
        <v>1</v>
      </c>
      <c r="Q905" s="1063">
        <v>0.05</v>
      </c>
      <c r="R905" s="222"/>
      <c r="S905" s="222">
        <f t="shared" si="28"/>
        <v>0</v>
      </c>
      <c r="T905" s="765">
        <f t="shared" si="29"/>
        <v>0</v>
      </c>
      <c r="U905" s="222" t="s">
        <v>34</v>
      </c>
      <c r="V905" s="1228"/>
      <c r="W905" s="827"/>
    </row>
    <row r="906" spans="1:23" ht="22.95" customHeight="1" x14ac:dyDescent="0.4">
      <c r="A906" s="788">
        <v>905</v>
      </c>
      <c r="B906" s="199" t="s">
        <v>2616</v>
      </c>
      <c r="C906" s="199" t="s">
        <v>24</v>
      </c>
      <c r="D906" s="1259">
        <v>3592</v>
      </c>
      <c r="E906" s="199" t="s">
        <v>3707</v>
      </c>
      <c r="F906" s="199" t="s">
        <v>3689</v>
      </c>
      <c r="G906" s="679">
        <v>3006</v>
      </c>
      <c r="H906" s="199" t="s">
        <v>3708</v>
      </c>
      <c r="I906" s="199" t="s">
        <v>729</v>
      </c>
      <c r="J906" s="648" t="s">
        <v>111</v>
      </c>
      <c r="K906" s="649" t="s">
        <v>110</v>
      </c>
      <c r="L906" s="1063">
        <v>0.4</v>
      </c>
      <c r="M906" s="827"/>
      <c r="N906" s="827" t="s">
        <v>777</v>
      </c>
      <c r="O906" s="827"/>
      <c r="P906" s="222">
        <v>1</v>
      </c>
      <c r="Q906" s="1063">
        <v>0.05</v>
      </c>
      <c r="R906" s="222"/>
      <c r="S906" s="222">
        <f t="shared" si="28"/>
        <v>0</v>
      </c>
      <c r="T906" s="765">
        <f t="shared" si="29"/>
        <v>0</v>
      </c>
      <c r="U906" s="222" t="s">
        <v>34</v>
      </c>
      <c r="V906" s="1228"/>
      <c r="W906" s="827"/>
    </row>
    <row r="907" spans="1:23" ht="22.95" customHeight="1" x14ac:dyDescent="0.4">
      <c r="A907" s="788">
        <v>906</v>
      </c>
      <c r="B907" s="199" t="s">
        <v>2616</v>
      </c>
      <c r="C907" s="199" t="s">
        <v>24</v>
      </c>
      <c r="D907" s="1259">
        <v>3592</v>
      </c>
      <c r="E907" s="199" t="s">
        <v>3707</v>
      </c>
      <c r="F907" s="199" t="s">
        <v>3689</v>
      </c>
      <c r="G907" s="679">
        <v>3006</v>
      </c>
      <c r="H907" s="199" t="s">
        <v>3708</v>
      </c>
      <c r="I907" s="199" t="s">
        <v>729</v>
      </c>
      <c r="J907" s="648" t="s">
        <v>111</v>
      </c>
      <c r="K907" s="649" t="s">
        <v>110</v>
      </c>
      <c r="L907" s="1063">
        <v>0.4</v>
      </c>
      <c r="M907" s="827"/>
      <c r="N907" s="827" t="s">
        <v>253</v>
      </c>
      <c r="O907" s="827"/>
      <c r="P907" s="222">
        <v>1</v>
      </c>
      <c r="Q907" s="1063">
        <v>0.05</v>
      </c>
      <c r="R907" s="222"/>
      <c r="S907" s="222">
        <f t="shared" si="28"/>
        <v>0</v>
      </c>
      <c r="T907" s="765">
        <f t="shared" si="29"/>
        <v>0</v>
      </c>
      <c r="U907" s="222" t="s">
        <v>34</v>
      </c>
      <c r="V907" s="1228"/>
      <c r="W907" s="827"/>
    </row>
    <row r="908" spans="1:23" ht="22.95" customHeight="1" x14ac:dyDescent="0.4">
      <c r="A908" s="788">
        <v>907</v>
      </c>
      <c r="B908" s="243" t="s">
        <v>2616</v>
      </c>
      <c r="C908" s="243" t="s">
        <v>24</v>
      </c>
      <c r="D908" s="1226">
        <v>3020</v>
      </c>
      <c r="E908" s="236" t="s">
        <v>3711</v>
      </c>
      <c r="F908" s="236" t="s">
        <v>3712</v>
      </c>
      <c r="G908" s="1516">
        <v>2437</v>
      </c>
      <c r="H908" s="236" t="s">
        <v>3713</v>
      </c>
      <c r="I908" s="236" t="s">
        <v>729</v>
      </c>
      <c r="J908" s="243" t="s">
        <v>58</v>
      </c>
      <c r="K908" s="243" t="s">
        <v>57</v>
      </c>
      <c r="L908" s="1052">
        <v>0.6</v>
      </c>
      <c r="M908" s="1517"/>
      <c r="N908" s="1517" t="s">
        <v>3714</v>
      </c>
      <c r="O908" s="1517"/>
      <c r="P908" s="966">
        <v>1</v>
      </c>
      <c r="Q908" s="1490">
        <v>0.1</v>
      </c>
      <c r="R908" s="966"/>
      <c r="S908" s="855">
        <f t="shared" si="28"/>
        <v>0</v>
      </c>
      <c r="T908" s="854">
        <f t="shared" si="29"/>
        <v>0</v>
      </c>
      <c r="U908" s="953" t="s">
        <v>34</v>
      </c>
      <c r="V908" s="1488">
        <f>SUM(T908:T927)%</f>
        <v>0</v>
      </c>
      <c r="W908" s="1517"/>
    </row>
    <row r="909" spans="1:23" ht="22.95" customHeight="1" x14ac:dyDescent="0.4">
      <c r="A909" s="788">
        <v>908</v>
      </c>
      <c r="B909" s="253" t="s">
        <v>2616</v>
      </c>
      <c r="C909" s="253" t="s">
        <v>24</v>
      </c>
      <c r="D909" s="1518">
        <v>3020</v>
      </c>
      <c r="E909" s="245" t="s">
        <v>3711</v>
      </c>
      <c r="F909" s="245" t="s">
        <v>3712</v>
      </c>
      <c r="G909" s="200">
        <v>2437</v>
      </c>
      <c r="H909" s="245" t="s">
        <v>3713</v>
      </c>
      <c r="I909" s="245" t="s">
        <v>729</v>
      </c>
      <c r="J909" s="210" t="s">
        <v>58</v>
      </c>
      <c r="K909" s="210" t="s">
        <v>57</v>
      </c>
      <c r="L909" s="1067">
        <v>0.6</v>
      </c>
      <c r="M909" s="1519"/>
      <c r="N909" s="1519" t="s">
        <v>3715</v>
      </c>
      <c r="O909" s="1519"/>
      <c r="P909" s="1492">
        <v>1</v>
      </c>
      <c r="Q909" s="1493">
        <v>0.05</v>
      </c>
      <c r="R909" s="1492"/>
      <c r="S909" s="204">
        <f t="shared" si="28"/>
        <v>0</v>
      </c>
      <c r="T909" s="960">
        <f t="shared" si="29"/>
        <v>0</v>
      </c>
      <c r="U909" s="669" t="s">
        <v>34</v>
      </c>
      <c r="V909" s="1494"/>
      <c r="W909" s="1520"/>
    </row>
    <row r="910" spans="1:23" ht="22.95" customHeight="1" x14ac:dyDescent="0.4">
      <c r="A910" s="788">
        <v>909</v>
      </c>
      <c r="B910" s="253" t="s">
        <v>2616</v>
      </c>
      <c r="C910" s="253" t="s">
        <v>24</v>
      </c>
      <c r="D910" s="1518">
        <v>3020</v>
      </c>
      <c r="E910" s="245" t="s">
        <v>3711</v>
      </c>
      <c r="F910" s="245" t="s">
        <v>3712</v>
      </c>
      <c r="G910" s="200">
        <v>2437</v>
      </c>
      <c r="H910" s="245" t="s">
        <v>3713</v>
      </c>
      <c r="I910" s="245" t="s">
        <v>729</v>
      </c>
      <c r="J910" s="210" t="s">
        <v>58</v>
      </c>
      <c r="K910" s="210" t="s">
        <v>57</v>
      </c>
      <c r="L910" s="1067">
        <v>0.6</v>
      </c>
      <c r="M910" s="1519"/>
      <c r="N910" s="1519" t="s">
        <v>3716</v>
      </c>
      <c r="O910" s="1519"/>
      <c r="P910" s="1492">
        <v>1</v>
      </c>
      <c r="Q910" s="1493">
        <v>0.05</v>
      </c>
      <c r="R910" s="1492"/>
      <c r="S910" s="204">
        <f t="shared" si="28"/>
        <v>0</v>
      </c>
      <c r="T910" s="960">
        <f t="shared" si="29"/>
        <v>0</v>
      </c>
      <c r="U910" s="669" t="s">
        <v>34</v>
      </c>
      <c r="V910" s="1494"/>
      <c r="W910" s="1520"/>
    </row>
    <row r="911" spans="1:23" ht="22.95" customHeight="1" x14ac:dyDescent="0.4">
      <c r="A911" s="788">
        <v>910</v>
      </c>
      <c r="B911" s="253" t="s">
        <v>2616</v>
      </c>
      <c r="C911" s="253" t="s">
        <v>24</v>
      </c>
      <c r="D911" s="1518">
        <v>3020</v>
      </c>
      <c r="E911" s="245" t="s">
        <v>3711</v>
      </c>
      <c r="F911" s="245" t="s">
        <v>3712</v>
      </c>
      <c r="G911" s="200">
        <v>2437</v>
      </c>
      <c r="H911" s="245" t="s">
        <v>3713</v>
      </c>
      <c r="I911" s="245" t="s">
        <v>729</v>
      </c>
      <c r="J911" s="210" t="s">
        <v>58</v>
      </c>
      <c r="K911" s="210" t="s">
        <v>57</v>
      </c>
      <c r="L911" s="1067">
        <v>0.6</v>
      </c>
      <c r="M911" s="1519"/>
      <c r="N911" s="1519" t="s">
        <v>3717</v>
      </c>
      <c r="O911" s="1519"/>
      <c r="P911" s="1492">
        <v>1</v>
      </c>
      <c r="Q911" s="1493">
        <v>0.1</v>
      </c>
      <c r="R911" s="1492"/>
      <c r="S911" s="204">
        <f t="shared" si="28"/>
        <v>0</v>
      </c>
      <c r="T911" s="960">
        <f t="shared" si="29"/>
        <v>0</v>
      </c>
      <c r="U911" s="669" t="s">
        <v>34</v>
      </c>
      <c r="V911" s="1494"/>
      <c r="W911" s="1520"/>
    </row>
    <row r="912" spans="1:23" ht="22.95" customHeight="1" x14ac:dyDescent="0.4">
      <c r="A912" s="788">
        <v>911</v>
      </c>
      <c r="B912" s="253" t="s">
        <v>2616</v>
      </c>
      <c r="C912" s="253" t="s">
        <v>24</v>
      </c>
      <c r="D912" s="1518">
        <v>3020</v>
      </c>
      <c r="E912" s="245" t="s">
        <v>3711</v>
      </c>
      <c r="F912" s="245" t="s">
        <v>3712</v>
      </c>
      <c r="G912" s="200">
        <v>2437</v>
      </c>
      <c r="H912" s="245" t="s">
        <v>3713</v>
      </c>
      <c r="I912" s="245" t="s">
        <v>729</v>
      </c>
      <c r="J912" s="210" t="s">
        <v>58</v>
      </c>
      <c r="K912" s="210" t="s">
        <v>57</v>
      </c>
      <c r="L912" s="1067">
        <v>0.6</v>
      </c>
      <c r="M912" s="1519"/>
      <c r="N912" s="1519" t="s">
        <v>3718</v>
      </c>
      <c r="O912" s="1519"/>
      <c r="P912" s="1492">
        <v>1</v>
      </c>
      <c r="Q912" s="1493">
        <v>0.05</v>
      </c>
      <c r="R912" s="1492"/>
      <c r="S912" s="204">
        <f t="shared" si="28"/>
        <v>0</v>
      </c>
      <c r="T912" s="960">
        <f t="shared" si="29"/>
        <v>0</v>
      </c>
      <c r="U912" s="669" t="s">
        <v>34</v>
      </c>
      <c r="V912" s="1494"/>
      <c r="W912" s="1520"/>
    </row>
    <row r="913" spans="1:23" ht="22.95" customHeight="1" x14ac:dyDescent="0.4">
      <c r="A913" s="788">
        <v>912</v>
      </c>
      <c r="B913" s="253" t="s">
        <v>2616</v>
      </c>
      <c r="C913" s="253" t="s">
        <v>24</v>
      </c>
      <c r="D913" s="1518">
        <v>3020</v>
      </c>
      <c r="E913" s="245" t="s">
        <v>3711</v>
      </c>
      <c r="F913" s="245" t="s">
        <v>3712</v>
      </c>
      <c r="G913" s="200">
        <v>2437</v>
      </c>
      <c r="H913" s="245" t="s">
        <v>3713</v>
      </c>
      <c r="I913" s="245" t="s">
        <v>729</v>
      </c>
      <c r="J913" s="210" t="s">
        <v>58</v>
      </c>
      <c r="K913" s="210" t="s">
        <v>57</v>
      </c>
      <c r="L913" s="1067">
        <v>0.6</v>
      </c>
      <c r="M913" s="1519"/>
      <c r="N913" s="1519" t="s">
        <v>3719</v>
      </c>
      <c r="O913" s="1519"/>
      <c r="P913" s="1492">
        <v>1</v>
      </c>
      <c r="Q913" s="1493">
        <v>0.1</v>
      </c>
      <c r="R913" s="1492"/>
      <c r="S913" s="204">
        <f t="shared" si="28"/>
        <v>0</v>
      </c>
      <c r="T913" s="960">
        <f t="shared" si="29"/>
        <v>0</v>
      </c>
      <c r="U913" s="669" t="s">
        <v>34</v>
      </c>
      <c r="V913" s="1494"/>
      <c r="W913" s="1520"/>
    </row>
    <row r="914" spans="1:23" ht="22.95" customHeight="1" x14ac:dyDescent="0.4">
      <c r="A914" s="788">
        <v>913</v>
      </c>
      <c r="B914" s="253" t="s">
        <v>2616</v>
      </c>
      <c r="C914" s="253" t="s">
        <v>24</v>
      </c>
      <c r="D914" s="1518">
        <v>3020</v>
      </c>
      <c r="E914" s="245" t="s">
        <v>3711</v>
      </c>
      <c r="F914" s="245" t="s">
        <v>3712</v>
      </c>
      <c r="G914" s="200">
        <v>2437</v>
      </c>
      <c r="H914" s="245" t="s">
        <v>3713</v>
      </c>
      <c r="I914" s="245" t="s">
        <v>729</v>
      </c>
      <c r="J914" s="210" t="s">
        <v>58</v>
      </c>
      <c r="K914" s="210" t="s">
        <v>57</v>
      </c>
      <c r="L914" s="1067">
        <v>0.6</v>
      </c>
      <c r="M914" s="1519"/>
      <c r="N914" s="1519" t="s">
        <v>3720</v>
      </c>
      <c r="O914" s="1519"/>
      <c r="P914" s="1492">
        <v>1</v>
      </c>
      <c r="Q914" s="1493">
        <v>0.1</v>
      </c>
      <c r="R914" s="1492"/>
      <c r="S914" s="204">
        <f t="shared" si="28"/>
        <v>0</v>
      </c>
      <c r="T914" s="960">
        <f t="shared" si="29"/>
        <v>0</v>
      </c>
      <c r="U914" s="669" t="s">
        <v>34</v>
      </c>
      <c r="V914" s="1494"/>
      <c r="W914" s="1520"/>
    </row>
    <row r="915" spans="1:23" ht="22.95" customHeight="1" x14ac:dyDescent="0.4">
      <c r="A915" s="788">
        <v>914</v>
      </c>
      <c r="B915" s="253" t="s">
        <v>2616</v>
      </c>
      <c r="C915" s="253" t="s">
        <v>24</v>
      </c>
      <c r="D915" s="1518">
        <v>3020</v>
      </c>
      <c r="E915" s="245" t="s">
        <v>3711</v>
      </c>
      <c r="F915" s="245" t="s">
        <v>3712</v>
      </c>
      <c r="G915" s="200">
        <v>2437</v>
      </c>
      <c r="H915" s="245" t="s">
        <v>3713</v>
      </c>
      <c r="I915" s="245" t="s">
        <v>729</v>
      </c>
      <c r="J915" s="210" t="s">
        <v>58</v>
      </c>
      <c r="K915" s="210" t="s">
        <v>57</v>
      </c>
      <c r="L915" s="1067">
        <v>0.6</v>
      </c>
      <c r="M915" s="1519"/>
      <c r="N915" s="1519" t="s">
        <v>3721</v>
      </c>
      <c r="O915" s="1519"/>
      <c r="P915" s="1492">
        <v>1</v>
      </c>
      <c r="Q915" s="1493">
        <v>0.1</v>
      </c>
      <c r="R915" s="1492"/>
      <c r="S915" s="204">
        <f t="shared" si="28"/>
        <v>0</v>
      </c>
      <c r="T915" s="960">
        <f t="shared" si="29"/>
        <v>0</v>
      </c>
      <c r="U915" s="669" t="s">
        <v>34</v>
      </c>
      <c r="V915" s="1494"/>
      <c r="W915" s="1520"/>
    </row>
    <row r="916" spans="1:23" ht="22.95" customHeight="1" x14ac:dyDescent="0.4">
      <c r="A916" s="788">
        <v>915</v>
      </c>
      <c r="B916" s="253" t="s">
        <v>2616</v>
      </c>
      <c r="C916" s="253" t="s">
        <v>24</v>
      </c>
      <c r="D916" s="1518">
        <v>3020</v>
      </c>
      <c r="E916" s="245" t="s">
        <v>3711</v>
      </c>
      <c r="F916" s="245" t="s">
        <v>3712</v>
      </c>
      <c r="G916" s="200">
        <v>2437</v>
      </c>
      <c r="H916" s="245" t="s">
        <v>3713</v>
      </c>
      <c r="I916" s="245" t="s">
        <v>729</v>
      </c>
      <c r="J916" s="210" t="s">
        <v>58</v>
      </c>
      <c r="K916" s="210" t="s">
        <v>57</v>
      </c>
      <c r="L916" s="1067">
        <v>0.6</v>
      </c>
      <c r="M916" s="1519"/>
      <c r="N916" s="1519" t="s">
        <v>3722</v>
      </c>
      <c r="O916" s="1519"/>
      <c r="P916" s="1492">
        <v>1</v>
      </c>
      <c r="Q916" s="1493">
        <v>0.05</v>
      </c>
      <c r="R916" s="1492"/>
      <c r="S916" s="204">
        <f t="shared" si="28"/>
        <v>0</v>
      </c>
      <c r="T916" s="960">
        <f t="shared" si="29"/>
        <v>0</v>
      </c>
      <c r="U916" s="669" t="s">
        <v>34</v>
      </c>
      <c r="V916" s="1494"/>
      <c r="W916" s="1520"/>
    </row>
    <row r="917" spans="1:23" ht="22.95" customHeight="1" x14ac:dyDescent="0.4">
      <c r="A917" s="788">
        <v>916</v>
      </c>
      <c r="B917" s="253" t="s">
        <v>2616</v>
      </c>
      <c r="C917" s="253" t="s">
        <v>24</v>
      </c>
      <c r="D917" s="1518">
        <v>3020</v>
      </c>
      <c r="E917" s="245" t="s">
        <v>3711</v>
      </c>
      <c r="F917" s="245" t="s">
        <v>3712</v>
      </c>
      <c r="G917" s="200">
        <v>2437</v>
      </c>
      <c r="H917" s="245" t="s">
        <v>3713</v>
      </c>
      <c r="I917" s="245" t="s">
        <v>729</v>
      </c>
      <c r="J917" s="210" t="s">
        <v>58</v>
      </c>
      <c r="K917" s="210" t="s">
        <v>57</v>
      </c>
      <c r="L917" s="1067">
        <v>0.6</v>
      </c>
      <c r="M917" s="1519"/>
      <c r="N917" s="1519" t="s">
        <v>3723</v>
      </c>
      <c r="O917" s="1519"/>
      <c r="P917" s="1492">
        <v>1</v>
      </c>
      <c r="Q917" s="1493">
        <v>0.05</v>
      </c>
      <c r="R917" s="1492"/>
      <c r="S917" s="204">
        <f t="shared" si="28"/>
        <v>0</v>
      </c>
      <c r="T917" s="960">
        <f t="shared" si="29"/>
        <v>0</v>
      </c>
      <c r="U917" s="669" t="s">
        <v>34</v>
      </c>
      <c r="V917" s="1494"/>
      <c r="W917" s="1520"/>
    </row>
    <row r="918" spans="1:23" ht="22.95" customHeight="1" x14ac:dyDescent="0.4">
      <c r="A918" s="788">
        <v>917</v>
      </c>
      <c r="B918" s="253" t="s">
        <v>2616</v>
      </c>
      <c r="C918" s="253" t="s">
        <v>24</v>
      </c>
      <c r="D918" s="1518">
        <v>3020</v>
      </c>
      <c r="E918" s="245" t="s">
        <v>3711</v>
      </c>
      <c r="F918" s="245" t="s">
        <v>3712</v>
      </c>
      <c r="G918" s="200">
        <v>2437</v>
      </c>
      <c r="H918" s="245" t="s">
        <v>3713</v>
      </c>
      <c r="I918" s="245" t="s">
        <v>729</v>
      </c>
      <c r="J918" s="210" t="s">
        <v>58</v>
      </c>
      <c r="K918" s="210" t="s">
        <v>57</v>
      </c>
      <c r="L918" s="1067">
        <v>0.6</v>
      </c>
      <c r="M918" s="1519"/>
      <c r="N918" s="1519" t="s">
        <v>3724</v>
      </c>
      <c r="O918" s="1519"/>
      <c r="P918" s="1492">
        <v>1</v>
      </c>
      <c r="Q918" s="1493">
        <v>0.05</v>
      </c>
      <c r="R918" s="1492"/>
      <c r="S918" s="204">
        <f t="shared" si="28"/>
        <v>0</v>
      </c>
      <c r="T918" s="960">
        <f t="shared" si="29"/>
        <v>0</v>
      </c>
      <c r="U918" s="669" t="s">
        <v>34</v>
      </c>
      <c r="V918" s="1494"/>
      <c r="W918" s="1520"/>
    </row>
    <row r="919" spans="1:23" ht="22.95" customHeight="1" x14ac:dyDescent="0.4">
      <c r="A919" s="788">
        <v>918</v>
      </c>
      <c r="B919" s="253" t="s">
        <v>2616</v>
      </c>
      <c r="C919" s="253" t="s">
        <v>24</v>
      </c>
      <c r="D919" s="1518">
        <v>3020</v>
      </c>
      <c r="E919" s="245" t="s">
        <v>3711</v>
      </c>
      <c r="F919" s="245" t="s">
        <v>3712</v>
      </c>
      <c r="G919" s="248">
        <v>2437</v>
      </c>
      <c r="H919" s="245" t="s">
        <v>3713</v>
      </c>
      <c r="I919" s="245" t="s">
        <v>729</v>
      </c>
      <c r="J919" s="210" t="s">
        <v>58</v>
      </c>
      <c r="K919" s="210" t="s">
        <v>57</v>
      </c>
      <c r="L919" s="1067">
        <v>0.6</v>
      </c>
      <c r="M919" s="819"/>
      <c r="N919" s="819" t="s">
        <v>3725</v>
      </c>
      <c r="O919" s="819"/>
      <c r="P919" s="1492">
        <v>1</v>
      </c>
      <c r="Q919" s="1493">
        <v>0.05</v>
      </c>
      <c r="R919" s="1492"/>
      <c r="S919" s="204">
        <f t="shared" si="28"/>
        <v>0</v>
      </c>
      <c r="T919" s="960">
        <f t="shared" si="29"/>
        <v>0</v>
      </c>
      <c r="U919" s="669" t="s">
        <v>34</v>
      </c>
      <c r="V919" s="1494"/>
      <c r="W919" s="879"/>
    </row>
    <row r="920" spans="1:23" ht="22.95" customHeight="1" x14ac:dyDescent="0.4">
      <c r="A920" s="788">
        <v>919</v>
      </c>
      <c r="B920" s="253" t="s">
        <v>2616</v>
      </c>
      <c r="C920" s="253" t="s">
        <v>24</v>
      </c>
      <c r="D920" s="1518">
        <v>3020</v>
      </c>
      <c r="E920" s="245" t="s">
        <v>3711</v>
      </c>
      <c r="F920" s="245" t="s">
        <v>3712</v>
      </c>
      <c r="G920" s="248">
        <v>2437</v>
      </c>
      <c r="H920" s="245" t="s">
        <v>3713</v>
      </c>
      <c r="I920" s="245" t="s">
        <v>729</v>
      </c>
      <c r="J920" s="210" t="s">
        <v>58</v>
      </c>
      <c r="K920" s="210" t="s">
        <v>57</v>
      </c>
      <c r="L920" s="1067">
        <v>0.6</v>
      </c>
      <c r="M920" s="819"/>
      <c r="N920" s="819" t="s">
        <v>3726</v>
      </c>
      <c r="O920" s="819"/>
      <c r="P920" s="1492">
        <v>1</v>
      </c>
      <c r="Q920" s="1493">
        <v>0.05</v>
      </c>
      <c r="R920" s="1492"/>
      <c r="S920" s="204">
        <f t="shared" si="28"/>
        <v>0</v>
      </c>
      <c r="T920" s="960">
        <f t="shared" si="29"/>
        <v>0</v>
      </c>
      <c r="U920" s="669" t="s">
        <v>34</v>
      </c>
      <c r="V920" s="1494"/>
      <c r="W920" s="879"/>
    </row>
    <row r="921" spans="1:23" ht="22.95" customHeight="1" x14ac:dyDescent="0.4">
      <c r="A921" s="788">
        <v>920</v>
      </c>
      <c r="B921" s="253" t="s">
        <v>2616</v>
      </c>
      <c r="C921" s="253" t="s">
        <v>24</v>
      </c>
      <c r="D921" s="1518">
        <v>3020</v>
      </c>
      <c r="E921" s="245" t="s">
        <v>3711</v>
      </c>
      <c r="F921" s="245" t="s">
        <v>3712</v>
      </c>
      <c r="G921" s="248">
        <v>2437</v>
      </c>
      <c r="H921" s="245" t="s">
        <v>3713</v>
      </c>
      <c r="I921" s="245" t="s">
        <v>729</v>
      </c>
      <c r="J921" s="210" t="s">
        <v>58</v>
      </c>
      <c r="K921" s="210" t="s">
        <v>57</v>
      </c>
      <c r="L921" s="1067">
        <v>0.6</v>
      </c>
      <c r="M921" s="819"/>
      <c r="N921" s="819" t="s">
        <v>3727</v>
      </c>
      <c r="O921" s="819"/>
      <c r="P921" s="1492">
        <v>1</v>
      </c>
      <c r="Q921" s="1493">
        <v>0.05</v>
      </c>
      <c r="R921" s="1492"/>
      <c r="S921" s="204">
        <f t="shared" si="28"/>
        <v>0</v>
      </c>
      <c r="T921" s="960">
        <f t="shared" si="29"/>
        <v>0</v>
      </c>
      <c r="U921" s="669"/>
      <c r="V921" s="1494"/>
      <c r="W921" s="879"/>
    </row>
    <row r="922" spans="1:23" ht="22.95" customHeight="1" x14ac:dyDescent="0.4">
      <c r="A922" s="788">
        <v>921</v>
      </c>
      <c r="B922" s="253" t="s">
        <v>2616</v>
      </c>
      <c r="C922" s="253" t="s">
        <v>24</v>
      </c>
      <c r="D922" s="1518">
        <v>3020</v>
      </c>
      <c r="E922" s="245" t="s">
        <v>3711</v>
      </c>
      <c r="F922" s="245" t="s">
        <v>3712</v>
      </c>
      <c r="G922" s="200">
        <v>2437</v>
      </c>
      <c r="H922" s="245" t="s">
        <v>3713</v>
      </c>
      <c r="I922" s="245" t="s">
        <v>729</v>
      </c>
      <c r="J922" s="210" t="s">
        <v>58</v>
      </c>
      <c r="K922" s="210" t="s">
        <v>57</v>
      </c>
      <c r="L922" s="1067">
        <v>0.6</v>
      </c>
      <c r="M922" s="1519"/>
      <c r="N922" s="1519" t="s">
        <v>3728</v>
      </c>
      <c r="O922" s="1519"/>
      <c r="P922" s="1492">
        <v>1</v>
      </c>
      <c r="Q922" s="1493">
        <v>0.05</v>
      </c>
      <c r="R922" s="1492"/>
      <c r="S922" s="204">
        <f t="shared" si="28"/>
        <v>0</v>
      </c>
      <c r="T922" s="960">
        <f t="shared" si="29"/>
        <v>0</v>
      </c>
      <c r="U922" s="669" t="s">
        <v>34</v>
      </c>
      <c r="V922" s="1494"/>
      <c r="W922" s="1520"/>
    </row>
    <row r="923" spans="1:23" ht="22.95" customHeight="1" x14ac:dyDescent="0.4">
      <c r="A923" s="788">
        <v>922</v>
      </c>
      <c r="B923" s="253" t="s">
        <v>2616</v>
      </c>
      <c r="C923" s="253" t="s">
        <v>24</v>
      </c>
      <c r="D923" s="1518">
        <v>3020</v>
      </c>
      <c r="E923" s="245" t="s">
        <v>3711</v>
      </c>
      <c r="F923" s="245" t="s">
        <v>3712</v>
      </c>
      <c r="G923" s="200">
        <v>2437</v>
      </c>
      <c r="H923" s="245" t="s">
        <v>3713</v>
      </c>
      <c r="I923" s="245" t="s">
        <v>729</v>
      </c>
      <c r="J923" s="210" t="s">
        <v>111</v>
      </c>
      <c r="K923" s="210" t="s">
        <v>110</v>
      </c>
      <c r="L923" s="1145">
        <v>0.4</v>
      </c>
      <c r="M923" s="767"/>
      <c r="N923" s="767" t="s">
        <v>3729</v>
      </c>
      <c r="O923" s="767"/>
      <c r="P923" s="708">
        <v>1</v>
      </c>
      <c r="Q923" s="1512">
        <v>0.3</v>
      </c>
      <c r="R923" s="708"/>
      <c r="S923" s="650">
        <f t="shared" si="28"/>
        <v>0</v>
      </c>
      <c r="T923" s="701">
        <f t="shared" si="29"/>
        <v>0</v>
      </c>
      <c r="U923" s="1272" t="s">
        <v>34</v>
      </c>
      <c r="V923" s="1498"/>
      <c r="W923" s="767"/>
    </row>
    <row r="924" spans="1:23" ht="22.95" customHeight="1" x14ac:dyDescent="0.4">
      <c r="A924" s="788">
        <v>923</v>
      </c>
      <c r="B924" s="253" t="s">
        <v>2616</v>
      </c>
      <c r="C924" s="253" t="s">
        <v>24</v>
      </c>
      <c r="D924" s="1518">
        <v>3020</v>
      </c>
      <c r="E924" s="245" t="s">
        <v>3711</v>
      </c>
      <c r="F924" s="245" t="s">
        <v>3712</v>
      </c>
      <c r="G924" s="200">
        <v>2437</v>
      </c>
      <c r="H924" s="245" t="s">
        <v>3713</v>
      </c>
      <c r="I924" s="245" t="s">
        <v>729</v>
      </c>
      <c r="J924" s="210" t="s">
        <v>111</v>
      </c>
      <c r="K924" s="210" t="s">
        <v>110</v>
      </c>
      <c r="L924" s="1145">
        <v>0.4</v>
      </c>
      <c r="M924" s="767"/>
      <c r="N924" s="767" t="s">
        <v>3730</v>
      </c>
      <c r="O924" s="767"/>
      <c r="P924" s="708">
        <v>1</v>
      </c>
      <c r="Q924" s="1512">
        <v>0.1</v>
      </c>
      <c r="R924" s="708"/>
      <c r="S924" s="650">
        <f t="shared" si="28"/>
        <v>0</v>
      </c>
      <c r="T924" s="701">
        <f t="shared" si="29"/>
        <v>0</v>
      </c>
      <c r="U924" s="1272" t="s">
        <v>34</v>
      </c>
      <c r="V924" s="1498"/>
      <c r="W924" s="767"/>
    </row>
    <row r="925" spans="1:23" ht="22.95" customHeight="1" x14ac:dyDescent="0.4">
      <c r="A925" s="788">
        <v>924</v>
      </c>
      <c r="B925" s="253" t="s">
        <v>2616</v>
      </c>
      <c r="C925" s="253" t="s">
        <v>24</v>
      </c>
      <c r="D925" s="1518">
        <v>3020</v>
      </c>
      <c r="E925" s="245" t="s">
        <v>3711</v>
      </c>
      <c r="F925" s="245" t="s">
        <v>3712</v>
      </c>
      <c r="G925" s="1489">
        <v>2437</v>
      </c>
      <c r="H925" s="245" t="s">
        <v>3713</v>
      </c>
      <c r="I925" s="245" t="s">
        <v>729</v>
      </c>
      <c r="J925" s="210" t="s">
        <v>111</v>
      </c>
      <c r="K925" s="210" t="s">
        <v>110</v>
      </c>
      <c r="L925" s="1145">
        <v>0.4</v>
      </c>
      <c r="M925" s="866"/>
      <c r="N925" s="866" t="s">
        <v>3731</v>
      </c>
      <c r="O925" s="866"/>
      <c r="P925" s="708">
        <v>1</v>
      </c>
      <c r="Q925" s="1512">
        <v>0.2</v>
      </c>
      <c r="R925" s="708"/>
      <c r="S925" s="650">
        <f t="shared" si="28"/>
        <v>0</v>
      </c>
      <c r="T925" s="701">
        <f t="shared" si="29"/>
        <v>0</v>
      </c>
      <c r="U925" s="1272" t="s">
        <v>34</v>
      </c>
      <c r="V925" s="1498"/>
      <c r="W925" s="866"/>
    </row>
    <row r="926" spans="1:23" ht="22.95" customHeight="1" x14ac:dyDescent="0.4">
      <c r="A926" s="788">
        <v>925</v>
      </c>
      <c r="B926" s="253" t="s">
        <v>2616</v>
      </c>
      <c r="C926" s="253" t="s">
        <v>24</v>
      </c>
      <c r="D926" s="1518">
        <v>3020</v>
      </c>
      <c r="E926" s="245" t="s">
        <v>3711</v>
      </c>
      <c r="F926" s="245" t="s">
        <v>3712</v>
      </c>
      <c r="G926" s="200">
        <v>2437</v>
      </c>
      <c r="H926" s="245" t="s">
        <v>3713</v>
      </c>
      <c r="I926" s="245" t="s">
        <v>729</v>
      </c>
      <c r="J926" s="210" t="s">
        <v>111</v>
      </c>
      <c r="K926" s="210" t="s">
        <v>110</v>
      </c>
      <c r="L926" s="1145">
        <v>0.4</v>
      </c>
      <c r="M926" s="767"/>
      <c r="N926" s="767" t="s">
        <v>3732</v>
      </c>
      <c r="O926" s="767"/>
      <c r="P926" s="708">
        <v>1</v>
      </c>
      <c r="Q926" s="1512">
        <v>0.2</v>
      </c>
      <c r="R926" s="708"/>
      <c r="S926" s="650">
        <f t="shared" si="28"/>
        <v>0</v>
      </c>
      <c r="T926" s="701">
        <f t="shared" si="29"/>
        <v>0</v>
      </c>
      <c r="U926" s="1272" t="s">
        <v>34</v>
      </c>
      <c r="V926" s="1498"/>
      <c r="W926" s="767"/>
    </row>
    <row r="927" spans="1:23" ht="22.95" customHeight="1" x14ac:dyDescent="0.4">
      <c r="A927" s="788">
        <v>926</v>
      </c>
      <c r="B927" s="253" t="s">
        <v>2616</v>
      </c>
      <c r="C927" s="253" t="s">
        <v>24</v>
      </c>
      <c r="D927" s="1518">
        <v>3020</v>
      </c>
      <c r="E927" s="245" t="s">
        <v>3711</v>
      </c>
      <c r="F927" s="245" t="s">
        <v>3712</v>
      </c>
      <c r="G927" s="248">
        <v>2437</v>
      </c>
      <c r="H927" s="245" t="s">
        <v>3713</v>
      </c>
      <c r="I927" s="245" t="s">
        <v>729</v>
      </c>
      <c r="J927" s="253" t="s">
        <v>111</v>
      </c>
      <c r="K927" s="253" t="s">
        <v>110</v>
      </c>
      <c r="L927" s="1059">
        <v>0.4</v>
      </c>
      <c r="M927" s="879"/>
      <c r="N927" s="879" t="s">
        <v>3733</v>
      </c>
      <c r="O927" s="879"/>
      <c r="P927" s="1495">
        <v>1</v>
      </c>
      <c r="Q927" s="1496">
        <v>0.2</v>
      </c>
      <c r="R927" s="1495"/>
      <c r="S927" s="964">
        <f t="shared" si="28"/>
        <v>0</v>
      </c>
      <c r="T927" s="962">
        <f t="shared" si="29"/>
        <v>0</v>
      </c>
      <c r="U927" s="1497" t="s">
        <v>34</v>
      </c>
      <c r="V927" s="1498"/>
      <c r="W927" s="879"/>
    </row>
    <row r="928" spans="1:23" ht="22.95" customHeight="1" x14ac:dyDescent="0.4">
      <c r="A928" s="788">
        <v>927</v>
      </c>
      <c r="B928" s="653" t="s">
        <v>2616</v>
      </c>
      <c r="C928" s="653" t="s">
        <v>24</v>
      </c>
      <c r="D928" s="1200">
        <v>4045</v>
      </c>
      <c r="E928" s="187" t="s">
        <v>3734</v>
      </c>
      <c r="F928" s="236" t="s">
        <v>3735</v>
      </c>
      <c r="G928" s="674">
        <v>3020</v>
      </c>
      <c r="H928" s="236" t="s">
        <v>3711</v>
      </c>
      <c r="I928" s="187" t="s">
        <v>729</v>
      </c>
      <c r="J928" s="653" t="s">
        <v>58</v>
      </c>
      <c r="K928" s="653" t="s">
        <v>57</v>
      </c>
      <c r="L928" s="1054">
        <v>0.6</v>
      </c>
      <c r="M928" s="749"/>
      <c r="N928" s="749" t="s">
        <v>3736</v>
      </c>
      <c r="O928" s="749"/>
      <c r="P928" s="644">
        <v>1</v>
      </c>
      <c r="Q928" s="1054">
        <v>0.8</v>
      </c>
      <c r="R928" s="644"/>
      <c r="S928" s="644">
        <f t="shared" si="28"/>
        <v>0</v>
      </c>
      <c r="T928" s="834">
        <f t="shared" si="29"/>
        <v>0</v>
      </c>
      <c r="U928" s="644" t="s">
        <v>34</v>
      </c>
      <c r="V928" s="1488">
        <f>SUM(T928:T945)%</f>
        <v>0</v>
      </c>
      <c r="W928" s="749"/>
    </row>
    <row r="929" spans="1:23" ht="22.95" customHeight="1" x14ac:dyDescent="0.4">
      <c r="A929" s="788">
        <v>928</v>
      </c>
      <c r="B929" s="648" t="s">
        <v>2616</v>
      </c>
      <c r="C929" s="648" t="s">
        <v>24</v>
      </c>
      <c r="D929" s="1306">
        <v>4045</v>
      </c>
      <c r="E929" s="246" t="s">
        <v>3734</v>
      </c>
      <c r="F929" s="245" t="s">
        <v>3735</v>
      </c>
      <c r="G929" s="946">
        <v>3020</v>
      </c>
      <c r="H929" s="245" t="s">
        <v>3711</v>
      </c>
      <c r="I929" s="246" t="s">
        <v>729</v>
      </c>
      <c r="J929" s="648" t="s">
        <v>58</v>
      </c>
      <c r="K929" s="649" t="s">
        <v>57</v>
      </c>
      <c r="L929" s="1201">
        <v>0.6</v>
      </c>
      <c r="M929" s="757"/>
      <c r="N929" s="757" t="s">
        <v>3737</v>
      </c>
      <c r="O929" s="757"/>
      <c r="P929" s="647">
        <v>1</v>
      </c>
      <c r="Q929" s="1201">
        <v>0.1</v>
      </c>
      <c r="R929" s="647"/>
      <c r="S929" s="647">
        <f t="shared" si="28"/>
        <v>0</v>
      </c>
      <c r="T929" s="764">
        <f t="shared" si="29"/>
        <v>0</v>
      </c>
      <c r="U929" s="647" t="s">
        <v>34</v>
      </c>
      <c r="V929" s="1203"/>
      <c r="W929" s="1469"/>
    </row>
    <row r="930" spans="1:23" ht="22.95" customHeight="1" x14ac:dyDescent="0.4">
      <c r="A930" s="788">
        <v>929</v>
      </c>
      <c r="B930" s="648" t="s">
        <v>2616</v>
      </c>
      <c r="C930" s="648" t="s">
        <v>24</v>
      </c>
      <c r="D930" s="1306">
        <v>4045</v>
      </c>
      <c r="E930" s="246" t="s">
        <v>3734</v>
      </c>
      <c r="F930" s="245" t="s">
        <v>3735</v>
      </c>
      <c r="G930" s="946">
        <v>3020</v>
      </c>
      <c r="H930" s="245" t="s">
        <v>3711</v>
      </c>
      <c r="I930" s="246" t="s">
        <v>729</v>
      </c>
      <c r="J930" s="648" t="s">
        <v>58</v>
      </c>
      <c r="K930" s="648" t="s">
        <v>57</v>
      </c>
      <c r="L930" s="1196">
        <v>0.6</v>
      </c>
      <c r="M930" s="757"/>
      <c r="N930" s="757" t="s">
        <v>3738</v>
      </c>
      <c r="O930" s="757"/>
      <c r="P930" s="208">
        <v>1</v>
      </c>
      <c r="Q930" s="1486">
        <v>0.1</v>
      </c>
      <c r="R930" s="208"/>
      <c r="S930" s="206">
        <f t="shared" si="28"/>
        <v>0</v>
      </c>
      <c r="T930" s="207">
        <f t="shared" si="29"/>
        <v>0</v>
      </c>
      <c r="U930" s="208" t="s">
        <v>34</v>
      </c>
      <c r="V930" s="1203"/>
      <c r="W930" s="1469"/>
    </row>
    <row r="931" spans="1:23" ht="22.95" customHeight="1" x14ac:dyDescent="0.4">
      <c r="A931" s="788">
        <v>930</v>
      </c>
      <c r="B931" s="648" t="s">
        <v>2616</v>
      </c>
      <c r="C931" s="648" t="s">
        <v>24</v>
      </c>
      <c r="D931" s="1306">
        <v>4045</v>
      </c>
      <c r="E931" s="246" t="s">
        <v>3734</v>
      </c>
      <c r="F931" s="245" t="s">
        <v>3735</v>
      </c>
      <c r="G931" s="679">
        <v>3020</v>
      </c>
      <c r="H931" s="245" t="s">
        <v>3711</v>
      </c>
      <c r="I931" s="246" t="s">
        <v>729</v>
      </c>
      <c r="J931" s="648" t="s">
        <v>111</v>
      </c>
      <c r="K931" s="649" t="s">
        <v>110</v>
      </c>
      <c r="L931" s="1063">
        <v>0.4</v>
      </c>
      <c r="M931" s="827"/>
      <c r="N931" s="827" t="s">
        <v>255</v>
      </c>
      <c r="O931" s="827"/>
      <c r="P931" s="222">
        <v>1</v>
      </c>
      <c r="Q931" s="1063">
        <v>0.05</v>
      </c>
      <c r="R931" s="222"/>
      <c r="S931" s="222">
        <f t="shared" si="28"/>
        <v>0</v>
      </c>
      <c r="T931" s="765">
        <f t="shared" si="29"/>
        <v>0</v>
      </c>
      <c r="U931" s="222" t="s">
        <v>34</v>
      </c>
      <c r="V931" s="1211"/>
      <c r="W931" s="827"/>
    </row>
    <row r="932" spans="1:23" ht="22.95" customHeight="1" x14ac:dyDescent="0.4">
      <c r="A932" s="788">
        <v>931</v>
      </c>
      <c r="B932" s="648" t="s">
        <v>2616</v>
      </c>
      <c r="C932" s="648" t="s">
        <v>24</v>
      </c>
      <c r="D932" s="1306">
        <v>4045</v>
      </c>
      <c r="E932" s="246" t="s">
        <v>3734</v>
      </c>
      <c r="F932" s="245" t="s">
        <v>3735</v>
      </c>
      <c r="G932" s="679">
        <v>3020</v>
      </c>
      <c r="H932" s="245" t="s">
        <v>3711</v>
      </c>
      <c r="I932" s="246" t="s">
        <v>729</v>
      </c>
      <c r="J932" s="648" t="s">
        <v>111</v>
      </c>
      <c r="K932" s="649" t="s">
        <v>110</v>
      </c>
      <c r="L932" s="1063">
        <v>0.4</v>
      </c>
      <c r="M932" s="827"/>
      <c r="N932" s="827" t="s">
        <v>768</v>
      </c>
      <c r="O932" s="827"/>
      <c r="P932" s="222">
        <v>1</v>
      </c>
      <c r="Q932" s="1063">
        <v>0.05</v>
      </c>
      <c r="R932" s="222"/>
      <c r="S932" s="222">
        <f t="shared" si="28"/>
        <v>0</v>
      </c>
      <c r="T932" s="765">
        <f t="shared" si="29"/>
        <v>0</v>
      </c>
      <c r="U932" s="222" t="s">
        <v>34</v>
      </c>
      <c r="V932" s="1211"/>
      <c r="W932" s="827"/>
    </row>
    <row r="933" spans="1:23" ht="22.95" customHeight="1" x14ac:dyDescent="0.4">
      <c r="A933" s="788">
        <v>932</v>
      </c>
      <c r="B933" s="648" t="s">
        <v>2616</v>
      </c>
      <c r="C933" s="648" t="s">
        <v>24</v>
      </c>
      <c r="D933" s="1306">
        <v>4045</v>
      </c>
      <c r="E933" s="246" t="s">
        <v>3734</v>
      </c>
      <c r="F933" s="245" t="s">
        <v>3735</v>
      </c>
      <c r="G933" s="679">
        <v>3020</v>
      </c>
      <c r="H933" s="245" t="s">
        <v>3711</v>
      </c>
      <c r="I933" s="246" t="s">
        <v>729</v>
      </c>
      <c r="J933" s="648" t="s">
        <v>111</v>
      </c>
      <c r="K933" s="649" t="s">
        <v>110</v>
      </c>
      <c r="L933" s="1063">
        <v>0.4</v>
      </c>
      <c r="M933" s="827"/>
      <c r="N933" s="827" t="s">
        <v>769</v>
      </c>
      <c r="O933" s="827"/>
      <c r="P933" s="222">
        <v>1</v>
      </c>
      <c r="Q933" s="1063">
        <v>0.05</v>
      </c>
      <c r="R933" s="222"/>
      <c r="S933" s="222">
        <f t="shared" si="28"/>
        <v>0</v>
      </c>
      <c r="T933" s="765">
        <f t="shared" si="29"/>
        <v>0</v>
      </c>
      <c r="U933" s="222" t="s">
        <v>34</v>
      </c>
      <c r="V933" s="1211"/>
      <c r="W933" s="827"/>
    </row>
    <row r="934" spans="1:23" ht="22.95" customHeight="1" x14ac:dyDescent="0.4">
      <c r="A934" s="788">
        <v>933</v>
      </c>
      <c r="B934" s="648" t="s">
        <v>2616</v>
      </c>
      <c r="C934" s="648" t="s">
        <v>24</v>
      </c>
      <c r="D934" s="1306">
        <v>4045</v>
      </c>
      <c r="E934" s="246" t="s">
        <v>3734</v>
      </c>
      <c r="F934" s="245" t="s">
        <v>3735</v>
      </c>
      <c r="G934" s="679">
        <v>3020</v>
      </c>
      <c r="H934" s="245" t="s">
        <v>3711</v>
      </c>
      <c r="I934" s="246" t="s">
        <v>729</v>
      </c>
      <c r="J934" s="648" t="s">
        <v>111</v>
      </c>
      <c r="K934" s="649" t="s">
        <v>110</v>
      </c>
      <c r="L934" s="1063">
        <v>0.4</v>
      </c>
      <c r="M934" s="827"/>
      <c r="N934" s="827" t="s">
        <v>770</v>
      </c>
      <c r="O934" s="827"/>
      <c r="P934" s="222">
        <v>1</v>
      </c>
      <c r="Q934" s="1063">
        <v>0.15</v>
      </c>
      <c r="R934" s="222"/>
      <c r="S934" s="222">
        <f t="shared" si="28"/>
        <v>0</v>
      </c>
      <c r="T934" s="765">
        <f t="shared" si="29"/>
        <v>0</v>
      </c>
      <c r="U934" s="222" t="s">
        <v>34</v>
      </c>
      <c r="V934" s="1211"/>
      <c r="W934" s="827"/>
    </row>
    <row r="935" spans="1:23" ht="22.95" customHeight="1" x14ac:dyDescent="0.4">
      <c r="A935" s="788">
        <v>934</v>
      </c>
      <c r="B935" s="648" t="s">
        <v>2616</v>
      </c>
      <c r="C935" s="648" t="s">
        <v>24</v>
      </c>
      <c r="D935" s="1306">
        <v>4045</v>
      </c>
      <c r="E935" s="246" t="s">
        <v>3734</v>
      </c>
      <c r="F935" s="245" t="s">
        <v>3735</v>
      </c>
      <c r="G935" s="679">
        <v>3020</v>
      </c>
      <c r="H935" s="245" t="s">
        <v>3711</v>
      </c>
      <c r="I935" s="246" t="s">
        <v>729</v>
      </c>
      <c r="J935" s="648" t="s">
        <v>111</v>
      </c>
      <c r="K935" s="649" t="s">
        <v>110</v>
      </c>
      <c r="L935" s="1063">
        <v>0.4</v>
      </c>
      <c r="M935" s="827"/>
      <c r="N935" s="827" t="s">
        <v>254</v>
      </c>
      <c r="O935" s="827"/>
      <c r="P935" s="222">
        <v>1</v>
      </c>
      <c r="Q935" s="1063">
        <v>0.1</v>
      </c>
      <c r="R935" s="222"/>
      <c r="S935" s="222">
        <f t="shared" si="28"/>
        <v>0</v>
      </c>
      <c r="T935" s="765">
        <f t="shared" si="29"/>
        <v>0</v>
      </c>
      <c r="U935" s="222" t="s">
        <v>34</v>
      </c>
      <c r="V935" s="1211"/>
      <c r="W935" s="827"/>
    </row>
    <row r="936" spans="1:23" ht="22.95" customHeight="1" x14ac:dyDescent="0.4">
      <c r="A936" s="788">
        <v>935</v>
      </c>
      <c r="B936" s="648" t="s">
        <v>2616</v>
      </c>
      <c r="C936" s="648" t="s">
        <v>24</v>
      </c>
      <c r="D936" s="1306">
        <v>4045</v>
      </c>
      <c r="E936" s="246" t="s">
        <v>3734</v>
      </c>
      <c r="F936" s="245" t="s">
        <v>3735</v>
      </c>
      <c r="G936" s="679">
        <v>3020</v>
      </c>
      <c r="H936" s="245" t="s">
        <v>3711</v>
      </c>
      <c r="I936" s="246" t="s">
        <v>729</v>
      </c>
      <c r="J936" s="648" t="s">
        <v>111</v>
      </c>
      <c r="K936" s="649" t="s">
        <v>110</v>
      </c>
      <c r="L936" s="1063">
        <v>0.4</v>
      </c>
      <c r="M936" s="827"/>
      <c r="N936" s="827" t="s">
        <v>771</v>
      </c>
      <c r="O936" s="827"/>
      <c r="P936" s="222">
        <v>1</v>
      </c>
      <c r="Q936" s="1063">
        <v>0.05</v>
      </c>
      <c r="R936" s="222"/>
      <c r="S936" s="222">
        <f t="shared" si="28"/>
        <v>0</v>
      </c>
      <c r="T936" s="765">
        <f t="shared" si="29"/>
        <v>0</v>
      </c>
      <c r="U936" s="222" t="s">
        <v>34</v>
      </c>
      <c r="V936" s="1211"/>
      <c r="W936" s="827"/>
    </row>
    <row r="937" spans="1:23" ht="22.95" customHeight="1" x14ac:dyDescent="0.4">
      <c r="A937" s="788">
        <v>936</v>
      </c>
      <c r="B937" s="648" t="s">
        <v>2616</v>
      </c>
      <c r="C937" s="648" t="s">
        <v>24</v>
      </c>
      <c r="D937" s="1306">
        <v>4045</v>
      </c>
      <c r="E937" s="246" t="s">
        <v>3734</v>
      </c>
      <c r="F937" s="245" t="s">
        <v>3735</v>
      </c>
      <c r="G937" s="679">
        <v>3020</v>
      </c>
      <c r="H937" s="245" t="s">
        <v>3711</v>
      </c>
      <c r="I937" s="246" t="s">
        <v>729</v>
      </c>
      <c r="J937" s="648" t="s">
        <v>111</v>
      </c>
      <c r="K937" s="649" t="s">
        <v>110</v>
      </c>
      <c r="L937" s="1063">
        <v>0.4</v>
      </c>
      <c r="M937" s="827"/>
      <c r="N937" s="827" t="s">
        <v>772</v>
      </c>
      <c r="O937" s="827"/>
      <c r="P937" s="222">
        <v>1</v>
      </c>
      <c r="Q937" s="1063">
        <v>0.1</v>
      </c>
      <c r="R937" s="222"/>
      <c r="S937" s="222">
        <f t="shared" si="28"/>
        <v>0</v>
      </c>
      <c r="T937" s="765">
        <f t="shared" si="29"/>
        <v>0</v>
      </c>
      <c r="U937" s="222" t="s">
        <v>34</v>
      </c>
      <c r="V937" s="1211"/>
      <c r="W937" s="827"/>
    </row>
    <row r="938" spans="1:23" ht="22.95" customHeight="1" x14ac:dyDescent="0.4">
      <c r="A938" s="788">
        <v>937</v>
      </c>
      <c r="B938" s="648" t="s">
        <v>2616</v>
      </c>
      <c r="C938" s="648" t="s">
        <v>24</v>
      </c>
      <c r="D938" s="1306">
        <v>4045</v>
      </c>
      <c r="E938" s="246" t="s">
        <v>3734</v>
      </c>
      <c r="F938" s="245" t="s">
        <v>3735</v>
      </c>
      <c r="G938" s="679">
        <v>3020</v>
      </c>
      <c r="H938" s="245" t="s">
        <v>3711</v>
      </c>
      <c r="I938" s="246" t="s">
        <v>729</v>
      </c>
      <c r="J938" s="648" t="s">
        <v>111</v>
      </c>
      <c r="K938" s="649" t="s">
        <v>110</v>
      </c>
      <c r="L938" s="1063">
        <v>0.4</v>
      </c>
      <c r="M938" s="827"/>
      <c r="N938" s="827" t="s">
        <v>773</v>
      </c>
      <c r="O938" s="827"/>
      <c r="P938" s="222">
        <v>1</v>
      </c>
      <c r="Q938" s="1063">
        <v>0.05</v>
      </c>
      <c r="R938" s="222"/>
      <c r="S938" s="222">
        <f t="shared" si="28"/>
        <v>0</v>
      </c>
      <c r="T938" s="765">
        <f t="shared" si="29"/>
        <v>0</v>
      </c>
      <c r="U938" s="222" t="s">
        <v>34</v>
      </c>
      <c r="V938" s="1211"/>
      <c r="W938" s="827"/>
    </row>
    <row r="939" spans="1:23" ht="22.95" customHeight="1" x14ac:dyDescent="0.4">
      <c r="A939" s="788">
        <v>938</v>
      </c>
      <c r="B939" s="648" t="s">
        <v>2616</v>
      </c>
      <c r="C939" s="648" t="s">
        <v>24</v>
      </c>
      <c r="D939" s="1306">
        <v>4045</v>
      </c>
      <c r="E939" s="246" t="s">
        <v>3734</v>
      </c>
      <c r="F939" s="245" t="s">
        <v>3735</v>
      </c>
      <c r="G939" s="679">
        <v>3020</v>
      </c>
      <c r="H939" s="245" t="s">
        <v>3711</v>
      </c>
      <c r="I939" s="246" t="s">
        <v>729</v>
      </c>
      <c r="J939" s="648" t="s">
        <v>111</v>
      </c>
      <c r="K939" s="649" t="s">
        <v>110</v>
      </c>
      <c r="L939" s="1063">
        <v>0.4</v>
      </c>
      <c r="M939" s="827"/>
      <c r="N939" s="827" t="s">
        <v>774</v>
      </c>
      <c r="O939" s="827"/>
      <c r="P939" s="222">
        <v>1</v>
      </c>
      <c r="Q939" s="1063">
        <v>0.05</v>
      </c>
      <c r="R939" s="222"/>
      <c r="S939" s="222">
        <f t="shared" si="28"/>
        <v>0</v>
      </c>
      <c r="T939" s="765">
        <f t="shared" si="29"/>
        <v>0</v>
      </c>
      <c r="U939" s="222" t="s">
        <v>34</v>
      </c>
      <c r="V939" s="1211"/>
      <c r="W939" s="827"/>
    </row>
    <row r="940" spans="1:23" ht="22.95" customHeight="1" x14ac:dyDescent="0.4">
      <c r="A940" s="788">
        <v>939</v>
      </c>
      <c r="B940" s="648" t="s">
        <v>2616</v>
      </c>
      <c r="C940" s="648" t="s">
        <v>24</v>
      </c>
      <c r="D940" s="1306">
        <v>4045</v>
      </c>
      <c r="E940" s="246" t="s">
        <v>3734</v>
      </c>
      <c r="F940" s="245" t="s">
        <v>3735</v>
      </c>
      <c r="G940" s="679">
        <v>3020</v>
      </c>
      <c r="H940" s="245" t="s">
        <v>3711</v>
      </c>
      <c r="I940" s="246" t="s">
        <v>729</v>
      </c>
      <c r="J940" s="648" t="s">
        <v>111</v>
      </c>
      <c r="K940" s="649" t="s">
        <v>110</v>
      </c>
      <c r="L940" s="1063">
        <v>0.4</v>
      </c>
      <c r="M940" s="827"/>
      <c r="N940" s="827" t="s">
        <v>775</v>
      </c>
      <c r="O940" s="827"/>
      <c r="P940" s="222">
        <v>1</v>
      </c>
      <c r="Q940" s="1063">
        <v>0.05</v>
      </c>
      <c r="R940" s="222"/>
      <c r="S940" s="222">
        <f t="shared" si="28"/>
        <v>0</v>
      </c>
      <c r="T940" s="765">
        <f t="shared" si="29"/>
        <v>0</v>
      </c>
      <c r="U940" s="222" t="s">
        <v>34</v>
      </c>
      <c r="V940" s="1211"/>
      <c r="W940" s="827"/>
    </row>
    <row r="941" spans="1:23" ht="22.95" customHeight="1" x14ac:dyDescent="0.4">
      <c r="A941" s="788">
        <v>940</v>
      </c>
      <c r="B941" s="648" t="s">
        <v>2616</v>
      </c>
      <c r="C941" s="648" t="s">
        <v>24</v>
      </c>
      <c r="D941" s="1306">
        <v>4045</v>
      </c>
      <c r="E941" s="246" t="s">
        <v>3734</v>
      </c>
      <c r="F941" s="245" t="s">
        <v>3735</v>
      </c>
      <c r="G941" s="679">
        <v>3020</v>
      </c>
      <c r="H941" s="245" t="s">
        <v>3711</v>
      </c>
      <c r="I941" s="246" t="s">
        <v>729</v>
      </c>
      <c r="J941" s="648" t="s">
        <v>111</v>
      </c>
      <c r="K941" s="649" t="s">
        <v>110</v>
      </c>
      <c r="L941" s="1063">
        <v>0.4</v>
      </c>
      <c r="M941" s="827"/>
      <c r="N941" s="827" t="s">
        <v>776</v>
      </c>
      <c r="O941" s="827"/>
      <c r="P941" s="222">
        <v>1</v>
      </c>
      <c r="Q941" s="1063">
        <v>0.1</v>
      </c>
      <c r="R941" s="222"/>
      <c r="S941" s="222">
        <f t="shared" si="28"/>
        <v>0</v>
      </c>
      <c r="T941" s="765">
        <f t="shared" si="29"/>
        <v>0</v>
      </c>
      <c r="U941" s="222" t="s">
        <v>34</v>
      </c>
      <c r="V941" s="1211"/>
      <c r="W941" s="827"/>
    </row>
    <row r="942" spans="1:23" ht="22.95" customHeight="1" x14ac:dyDescent="0.4">
      <c r="A942" s="788">
        <v>941</v>
      </c>
      <c r="B942" s="648" t="s">
        <v>2616</v>
      </c>
      <c r="C942" s="648" t="s">
        <v>24</v>
      </c>
      <c r="D942" s="1306">
        <v>4045</v>
      </c>
      <c r="E942" s="246" t="s">
        <v>3734</v>
      </c>
      <c r="F942" s="245" t="s">
        <v>3735</v>
      </c>
      <c r="G942" s="679">
        <v>3020</v>
      </c>
      <c r="H942" s="245" t="s">
        <v>3711</v>
      </c>
      <c r="I942" s="246" t="s">
        <v>729</v>
      </c>
      <c r="J942" s="648" t="s">
        <v>111</v>
      </c>
      <c r="K942" s="649" t="s">
        <v>110</v>
      </c>
      <c r="L942" s="1063">
        <v>0.4</v>
      </c>
      <c r="M942" s="827"/>
      <c r="N942" s="827" t="s">
        <v>251</v>
      </c>
      <c r="O942" s="827"/>
      <c r="P942" s="222">
        <v>1</v>
      </c>
      <c r="Q942" s="1063">
        <v>0.05</v>
      </c>
      <c r="R942" s="222"/>
      <c r="S942" s="222">
        <f t="shared" si="28"/>
        <v>0</v>
      </c>
      <c r="T942" s="765">
        <f t="shared" si="29"/>
        <v>0</v>
      </c>
      <c r="U942" s="222" t="s">
        <v>34</v>
      </c>
      <c r="V942" s="1228"/>
      <c r="W942" s="827"/>
    </row>
    <row r="943" spans="1:23" ht="22.95" customHeight="1" x14ac:dyDescent="0.4">
      <c r="A943" s="788">
        <v>942</v>
      </c>
      <c r="B943" s="648" t="s">
        <v>2616</v>
      </c>
      <c r="C943" s="648" t="s">
        <v>24</v>
      </c>
      <c r="D943" s="1306">
        <v>4045</v>
      </c>
      <c r="E943" s="246" t="s">
        <v>3734</v>
      </c>
      <c r="F943" s="245" t="s">
        <v>3735</v>
      </c>
      <c r="G943" s="679">
        <v>3020</v>
      </c>
      <c r="H943" s="245" t="s">
        <v>3711</v>
      </c>
      <c r="I943" s="246" t="s">
        <v>729</v>
      </c>
      <c r="J943" s="648" t="s">
        <v>111</v>
      </c>
      <c r="K943" s="649" t="s">
        <v>110</v>
      </c>
      <c r="L943" s="1063">
        <v>0.4</v>
      </c>
      <c r="M943" s="827"/>
      <c r="N943" s="827" t="s">
        <v>252</v>
      </c>
      <c r="O943" s="827"/>
      <c r="P943" s="222">
        <v>1</v>
      </c>
      <c r="Q943" s="1063">
        <v>0.05</v>
      </c>
      <c r="R943" s="222"/>
      <c r="S943" s="222">
        <f t="shared" si="28"/>
        <v>0</v>
      </c>
      <c r="T943" s="765">
        <f t="shared" si="29"/>
        <v>0</v>
      </c>
      <c r="U943" s="222" t="s">
        <v>34</v>
      </c>
      <c r="V943" s="1228"/>
      <c r="W943" s="827"/>
    </row>
    <row r="944" spans="1:23" ht="22.95" customHeight="1" x14ac:dyDescent="0.4">
      <c r="A944" s="788">
        <v>943</v>
      </c>
      <c r="B944" s="648" t="s">
        <v>2616</v>
      </c>
      <c r="C944" s="648" t="s">
        <v>24</v>
      </c>
      <c r="D944" s="1306">
        <v>4045</v>
      </c>
      <c r="E944" s="246" t="s">
        <v>3734</v>
      </c>
      <c r="F944" s="245" t="s">
        <v>3735</v>
      </c>
      <c r="G944" s="679">
        <v>3020</v>
      </c>
      <c r="H944" s="245" t="s">
        <v>3711</v>
      </c>
      <c r="I944" s="246" t="s">
        <v>729</v>
      </c>
      <c r="J944" s="648" t="s">
        <v>111</v>
      </c>
      <c r="K944" s="649" t="s">
        <v>110</v>
      </c>
      <c r="L944" s="1063">
        <v>0.4</v>
      </c>
      <c r="M944" s="827"/>
      <c r="N944" s="827" t="s">
        <v>777</v>
      </c>
      <c r="O944" s="827"/>
      <c r="P944" s="222">
        <v>1</v>
      </c>
      <c r="Q944" s="1063">
        <v>0.05</v>
      </c>
      <c r="R944" s="222"/>
      <c r="S944" s="222">
        <f t="shared" si="28"/>
        <v>0</v>
      </c>
      <c r="T944" s="765">
        <f t="shared" si="29"/>
        <v>0</v>
      </c>
      <c r="U944" s="222" t="s">
        <v>34</v>
      </c>
      <c r="V944" s="1228"/>
      <c r="W944" s="827"/>
    </row>
    <row r="945" spans="1:23" ht="22.95" customHeight="1" x14ac:dyDescent="0.4">
      <c r="A945" s="788">
        <v>944</v>
      </c>
      <c r="B945" s="648" t="s">
        <v>2616</v>
      </c>
      <c r="C945" s="648" t="s">
        <v>24</v>
      </c>
      <c r="D945" s="1306">
        <v>4045</v>
      </c>
      <c r="E945" s="246" t="s">
        <v>3734</v>
      </c>
      <c r="F945" s="245" t="s">
        <v>3735</v>
      </c>
      <c r="G945" s="679">
        <v>3020</v>
      </c>
      <c r="H945" s="245" t="s">
        <v>3711</v>
      </c>
      <c r="I945" s="246" t="s">
        <v>729</v>
      </c>
      <c r="J945" s="648" t="s">
        <v>111</v>
      </c>
      <c r="K945" s="649" t="s">
        <v>110</v>
      </c>
      <c r="L945" s="1063">
        <v>0.4</v>
      </c>
      <c r="M945" s="827"/>
      <c r="N945" s="827" t="s">
        <v>253</v>
      </c>
      <c r="O945" s="827"/>
      <c r="P945" s="222">
        <v>1</v>
      </c>
      <c r="Q945" s="1063">
        <v>0.05</v>
      </c>
      <c r="R945" s="222"/>
      <c r="S945" s="222">
        <f t="shared" si="28"/>
        <v>0</v>
      </c>
      <c r="T945" s="765">
        <f t="shared" si="29"/>
        <v>0</v>
      </c>
      <c r="U945" s="222" t="s">
        <v>34</v>
      </c>
      <c r="V945" s="1228"/>
      <c r="W945" s="827"/>
    </row>
    <row r="946" spans="1:23" ht="22.95" customHeight="1" x14ac:dyDescent="0.4">
      <c r="A946" s="788">
        <v>945</v>
      </c>
      <c r="B946" s="653" t="s">
        <v>2616</v>
      </c>
      <c r="C946" s="653" t="s">
        <v>24</v>
      </c>
      <c r="D946" s="1200">
        <v>3478</v>
      </c>
      <c r="E946" s="187" t="s">
        <v>3739</v>
      </c>
      <c r="F946" s="236" t="s">
        <v>3735</v>
      </c>
      <c r="G946" s="674">
        <v>3020</v>
      </c>
      <c r="H946" s="236" t="s">
        <v>3711</v>
      </c>
      <c r="I946" s="187" t="s">
        <v>729</v>
      </c>
      <c r="J946" s="653" t="s">
        <v>58</v>
      </c>
      <c r="K946" s="653" t="s">
        <v>57</v>
      </c>
      <c r="L946" s="1193">
        <v>0.6</v>
      </c>
      <c r="M946" s="749"/>
      <c r="N946" s="749" t="s">
        <v>3740</v>
      </c>
      <c r="O946" s="749"/>
      <c r="P946" s="197">
        <v>1</v>
      </c>
      <c r="Q946" s="1511">
        <v>0.15</v>
      </c>
      <c r="R946" s="197"/>
      <c r="S946" s="195">
        <f t="shared" si="28"/>
        <v>0</v>
      </c>
      <c r="T946" s="196">
        <f t="shared" si="29"/>
        <v>0</v>
      </c>
      <c r="U946" s="197" t="s">
        <v>34</v>
      </c>
      <c r="V946" s="1488">
        <f>SUM(T946:T970)%</f>
        <v>0</v>
      </c>
      <c r="W946" s="749"/>
    </row>
    <row r="947" spans="1:23" ht="22.95" customHeight="1" x14ac:dyDescent="0.4">
      <c r="A947" s="788">
        <v>946</v>
      </c>
      <c r="B947" s="648" t="s">
        <v>2616</v>
      </c>
      <c r="C947" s="648" t="s">
        <v>24</v>
      </c>
      <c r="D947" s="1306">
        <v>3478</v>
      </c>
      <c r="E947" s="246" t="s">
        <v>3739</v>
      </c>
      <c r="F947" s="245" t="s">
        <v>3735</v>
      </c>
      <c r="G947" s="946">
        <v>3020</v>
      </c>
      <c r="H947" s="245" t="s">
        <v>3711</v>
      </c>
      <c r="I947" s="246" t="s">
        <v>729</v>
      </c>
      <c r="J947" s="648" t="s">
        <v>58</v>
      </c>
      <c r="K947" s="648" t="s">
        <v>57</v>
      </c>
      <c r="L947" s="1196">
        <v>0.6</v>
      </c>
      <c r="M947" s="757"/>
      <c r="N947" s="757" t="s">
        <v>3741</v>
      </c>
      <c r="O947" s="757"/>
      <c r="P947" s="208">
        <v>1</v>
      </c>
      <c r="Q947" s="1486">
        <v>0.1</v>
      </c>
      <c r="R947" s="208"/>
      <c r="S947" s="206">
        <f t="shared" si="28"/>
        <v>0</v>
      </c>
      <c r="T947" s="207">
        <f t="shared" si="29"/>
        <v>0</v>
      </c>
      <c r="U947" s="208" t="s">
        <v>34</v>
      </c>
      <c r="V947" s="1203"/>
      <c r="W947" s="1469"/>
    </row>
    <row r="948" spans="1:23" ht="22.95" customHeight="1" x14ac:dyDescent="0.4">
      <c r="A948" s="788">
        <v>947</v>
      </c>
      <c r="B948" s="648" t="s">
        <v>2616</v>
      </c>
      <c r="C948" s="648" t="s">
        <v>24</v>
      </c>
      <c r="D948" s="1306">
        <v>3478</v>
      </c>
      <c r="E948" s="246" t="s">
        <v>3739</v>
      </c>
      <c r="F948" s="245" t="s">
        <v>3735</v>
      </c>
      <c r="G948" s="946">
        <v>3020</v>
      </c>
      <c r="H948" s="245" t="s">
        <v>3711</v>
      </c>
      <c r="I948" s="246" t="s">
        <v>729</v>
      </c>
      <c r="J948" s="648" t="s">
        <v>58</v>
      </c>
      <c r="K948" s="648" t="s">
        <v>57</v>
      </c>
      <c r="L948" s="1196">
        <v>0.6</v>
      </c>
      <c r="M948" s="757"/>
      <c r="N948" s="757" t="s">
        <v>3742</v>
      </c>
      <c r="O948" s="757"/>
      <c r="P948" s="208">
        <v>1</v>
      </c>
      <c r="Q948" s="1486">
        <v>0.1</v>
      </c>
      <c r="R948" s="208"/>
      <c r="S948" s="206">
        <f t="shared" si="28"/>
        <v>0</v>
      </c>
      <c r="T948" s="207">
        <f t="shared" si="29"/>
        <v>0</v>
      </c>
      <c r="U948" s="208" t="s">
        <v>34</v>
      </c>
      <c r="V948" s="1203"/>
      <c r="W948" s="1469"/>
    </row>
    <row r="949" spans="1:23" ht="22.95" customHeight="1" x14ac:dyDescent="0.4">
      <c r="A949" s="788">
        <v>948</v>
      </c>
      <c r="B949" s="648" t="s">
        <v>2616</v>
      </c>
      <c r="C949" s="648" t="s">
        <v>24</v>
      </c>
      <c r="D949" s="1306">
        <v>3478</v>
      </c>
      <c r="E949" s="246" t="s">
        <v>3739</v>
      </c>
      <c r="F949" s="245" t="s">
        <v>3735</v>
      </c>
      <c r="G949" s="946">
        <v>3020</v>
      </c>
      <c r="H949" s="245" t="s">
        <v>3711</v>
      </c>
      <c r="I949" s="246" t="s">
        <v>729</v>
      </c>
      <c r="J949" s="648" t="s">
        <v>58</v>
      </c>
      <c r="K949" s="648" t="s">
        <v>57</v>
      </c>
      <c r="L949" s="1196">
        <v>0.6</v>
      </c>
      <c r="M949" s="757"/>
      <c r="N949" s="757" t="s">
        <v>3743</v>
      </c>
      <c r="O949" s="757"/>
      <c r="P949" s="208">
        <v>1</v>
      </c>
      <c r="Q949" s="1486">
        <v>0.1</v>
      </c>
      <c r="R949" s="208"/>
      <c r="S949" s="206">
        <f t="shared" si="28"/>
        <v>0</v>
      </c>
      <c r="T949" s="207">
        <f t="shared" si="29"/>
        <v>0</v>
      </c>
      <c r="U949" s="208" t="s">
        <v>34</v>
      </c>
      <c r="V949" s="1203"/>
      <c r="W949" s="1469"/>
    </row>
    <row r="950" spans="1:23" ht="22.95" customHeight="1" x14ac:dyDescent="0.4">
      <c r="A950" s="788">
        <v>949</v>
      </c>
      <c r="B950" s="648" t="s">
        <v>2616</v>
      </c>
      <c r="C950" s="648" t="s">
        <v>24</v>
      </c>
      <c r="D950" s="1306">
        <v>3478</v>
      </c>
      <c r="E950" s="246" t="s">
        <v>3739</v>
      </c>
      <c r="F950" s="245" t="s">
        <v>3735</v>
      </c>
      <c r="G950" s="946">
        <v>3020</v>
      </c>
      <c r="H950" s="245" t="s">
        <v>3711</v>
      </c>
      <c r="I950" s="246" t="s">
        <v>729</v>
      </c>
      <c r="J950" s="648" t="s">
        <v>58</v>
      </c>
      <c r="K950" s="648" t="s">
        <v>57</v>
      </c>
      <c r="L950" s="1196">
        <v>0.6</v>
      </c>
      <c r="M950" s="757"/>
      <c r="N950" s="757" t="s">
        <v>3744</v>
      </c>
      <c r="O950" s="757"/>
      <c r="P950" s="208">
        <v>1</v>
      </c>
      <c r="Q950" s="1486">
        <v>0.1</v>
      </c>
      <c r="R950" s="208"/>
      <c r="S950" s="206">
        <f t="shared" si="28"/>
        <v>0</v>
      </c>
      <c r="T950" s="207">
        <f t="shared" si="29"/>
        <v>0</v>
      </c>
      <c r="U950" s="208" t="s">
        <v>34</v>
      </c>
      <c r="V950" s="1203"/>
      <c r="W950" s="1469"/>
    </row>
    <row r="951" spans="1:23" ht="22.95" customHeight="1" x14ac:dyDescent="0.4">
      <c r="A951" s="788">
        <v>950</v>
      </c>
      <c r="B951" s="648" t="s">
        <v>2616</v>
      </c>
      <c r="C951" s="648" t="s">
        <v>24</v>
      </c>
      <c r="D951" s="1306">
        <v>3478</v>
      </c>
      <c r="E951" s="246" t="s">
        <v>3739</v>
      </c>
      <c r="F951" s="245" t="s">
        <v>3735</v>
      </c>
      <c r="G951" s="946">
        <v>3020</v>
      </c>
      <c r="H951" s="245" t="s">
        <v>3711</v>
      </c>
      <c r="I951" s="246" t="s">
        <v>729</v>
      </c>
      <c r="J951" s="648" t="s">
        <v>58</v>
      </c>
      <c r="K951" s="648" t="s">
        <v>57</v>
      </c>
      <c r="L951" s="1196">
        <v>0.6</v>
      </c>
      <c r="M951" s="757"/>
      <c r="N951" s="757" t="s">
        <v>3745</v>
      </c>
      <c r="O951" s="757"/>
      <c r="P951" s="208">
        <v>1</v>
      </c>
      <c r="Q951" s="1486">
        <v>0.1</v>
      </c>
      <c r="R951" s="208"/>
      <c r="S951" s="206">
        <f t="shared" si="28"/>
        <v>0</v>
      </c>
      <c r="T951" s="207">
        <f t="shared" si="29"/>
        <v>0</v>
      </c>
      <c r="U951" s="208" t="s">
        <v>34</v>
      </c>
      <c r="V951" s="1203"/>
      <c r="W951" s="1469"/>
    </row>
    <row r="952" spans="1:23" ht="22.95" customHeight="1" x14ac:dyDescent="0.4">
      <c r="A952" s="788">
        <v>951</v>
      </c>
      <c r="B952" s="648" t="s">
        <v>2616</v>
      </c>
      <c r="C952" s="648" t="s">
        <v>24</v>
      </c>
      <c r="D952" s="1306">
        <v>3478</v>
      </c>
      <c r="E952" s="246" t="s">
        <v>3739</v>
      </c>
      <c r="F952" s="245" t="s">
        <v>3735</v>
      </c>
      <c r="G952" s="679">
        <v>3020</v>
      </c>
      <c r="H952" s="245" t="s">
        <v>3711</v>
      </c>
      <c r="I952" s="246" t="s">
        <v>729</v>
      </c>
      <c r="J952" s="648" t="s">
        <v>58</v>
      </c>
      <c r="K952" s="648" t="s">
        <v>57</v>
      </c>
      <c r="L952" s="1196">
        <v>0.6</v>
      </c>
      <c r="M952" s="1438"/>
      <c r="N952" s="1438" t="s">
        <v>3717</v>
      </c>
      <c r="O952" s="1438"/>
      <c r="P952" s="208">
        <v>1</v>
      </c>
      <c r="Q952" s="1486">
        <v>0.1</v>
      </c>
      <c r="R952" s="208"/>
      <c r="S952" s="206">
        <f t="shared" si="28"/>
        <v>0</v>
      </c>
      <c r="T952" s="207">
        <f t="shared" si="29"/>
        <v>0</v>
      </c>
      <c r="U952" s="208" t="s">
        <v>34</v>
      </c>
      <c r="V952" s="1203"/>
      <c r="W952" s="1439"/>
    </row>
    <row r="953" spans="1:23" ht="22.95" customHeight="1" x14ac:dyDescent="0.4">
      <c r="A953" s="788">
        <v>952</v>
      </c>
      <c r="B953" s="648" t="s">
        <v>2616</v>
      </c>
      <c r="C953" s="648" t="s">
        <v>24</v>
      </c>
      <c r="D953" s="1306">
        <v>3478</v>
      </c>
      <c r="E953" s="246" t="s">
        <v>3739</v>
      </c>
      <c r="F953" s="245" t="s">
        <v>3735</v>
      </c>
      <c r="G953" s="679">
        <v>3020</v>
      </c>
      <c r="H953" s="245" t="s">
        <v>3711</v>
      </c>
      <c r="I953" s="246" t="s">
        <v>729</v>
      </c>
      <c r="J953" s="648" t="s">
        <v>58</v>
      </c>
      <c r="K953" s="648" t="s">
        <v>57</v>
      </c>
      <c r="L953" s="1196">
        <v>0.6</v>
      </c>
      <c r="M953" s="1438"/>
      <c r="N953" s="1438" t="s">
        <v>3722</v>
      </c>
      <c r="O953" s="1438"/>
      <c r="P953" s="208">
        <v>1</v>
      </c>
      <c r="Q953" s="1486">
        <v>0.15</v>
      </c>
      <c r="R953" s="208"/>
      <c r="S953" s="206">
        <f t="shared" si="28"/>
        <v>0</v>
      </c>
      <c r="T953" s="207">
        <f t="shared" si="29"/>
        <v>0</v>
      </c>
      <c r="U953" s="208" t="s">
        <v>34</v>
      </c>
      <c r="V953" s="1203"/>
      <c r="W953" s="1439"/>
    </row>
    <row r="954" spans="1:23" ht="22.95" customHeight="1" x14ac:dyDescent="0.4">
      <c r="A954" s="788">
        <v>953</v>
      </c>
      <c r="B954" s="648" t="s">
        <v>2616</v>
      </c>
      <c r="C954" s="648" t="s">
        <v>24</v>
      </c>
      <c r="D954" s="1306">
        <v>3478</v>
      </c>
      <c r="E954" s="246" t="s">
        <v>3739</v>
      </c>
      <c r="F954" s="245" t="s">
        <v>3735</v>
      </c>
      <c r="G954" s="679">
        <v>3020</v>
      </c>
      <c r="H954" s="245" t="s">
        <v>3711</v>
      </c>
      <c r="I954" s="246" t="s">
        <v>729</v>
      </c>
      <c r="J954" s="648" t="s">
        <v>58</v>
      </c>
      <c r="K954" s="648" t="s">
        <v>57</v>
      </c>
      <c r="L954" s="1196">
        <v>0.6</v>
      </c>
      <c r="M954" s="1438"/>
      <c r="N954" s="1438" t="s">
        <v>3723</v>
      </c>
      <c r="O954" s="1438"/>
      <c r="P954" s="208">
        <v>1</v>
      </c>
      <c r="Q954" s="1486">
        <v>0.05</v>
      </c>
      <c r="R954" s="208"/>
      <c r="S954" s="206">
        <f t="shared" si="28"/>
        <v>0</v>
      </c>
      <c r="T954" s="207">
        <f t="shared" si="29"/>
        <v>0</v>
      </c>
      <c r="U954" s="208" t="s">
        <v>34</v>
      </c>
      <c r="V954" s="1203"/>
      <c r="W954" s="1439"/>
    </row>
    <row r="955" spans="1:23" ht="22.95" customHeight="1" x14ac:dyDescent="0.4">
      <c r="A955" s="788">
        <v>954</v>
      </c>
      <c r="B955" s="648" t="s">
        <v>2616</v>
      </c>
      <c r="C955" s="648" t="s">
        <v>24</v>
      </c>
      <c r="D955" s="1306">
        <v>3478</v>
      </c>
      <c r="E955" s="246" t="s">
        <v>3739</v>
      </c>
      <c r="F955" s="245" t="s">
        <v>3735</v>
      </c>
      <c r="G955" s="679">
        <v>3020</v>
      </c>
      <c r="H955" s="245" t="s">
        <v>3711</v>
      </c>
      <c r="I955" s="246" t="s">
        <v>729</v>
      </c>
      <c r="J955" s="648" t="s">
        <v>58</v>
      </c>
      <c r="K955" s="648" t="s">
        <v>57</v>
      </c>
      <c r="L955" s="1196">
        <v>0.6</v>
      </c>
      <c r="M955" s="1438"/>
      <c r="N955" s="1438" t="s">
        <v>3715</v>
      </c>
      <c r="O955" s="1438"/>
      <c r="P955" s="208">
        <v>1</v>
      </c>
      <c r="Q955" s="1486">
        <v>0.05</v>
      </c>
      <c r="R955" s="208"/>
      <c r="S955" s="206">
        <f t="shared" si="28"/>
        <v>0</v>
      </c>
      <c r="T955" s="207">
        <f t="shared" si="29"/>
        <v>0</v>
      </c>
      <c r="U955" s="208" t="s">
        <v>34</v>
      </c>
      <c r="V955" s="1203"/>
      <c r="W955" s="1439"/>
    </row>
    <row r="956" spans="1:23" ht="22.95" customHeight="1" x14ac:dyDescent="0.4">
      <c r="A956" s="788">
        <v>955</v>
      </c>
      <c r="B956" s="648" t="s">
        <v>2616</v>
      </c>
      <c r="C956" s="648" t="s">
        <v>24</v>
      </c>
      <c r="D956" s="1306">
        <v>3478</v>
      </c>
      <c r="E956" s="246" t="s">
        <v>3739</v>
      </c>
      <c r="F956" s="245" t="s">
        <v>3735</v>
      </c>
      <c r="G956" s="679">
        <v>3020</v>
      </c>
      <c r="H956" s="245" t="s">
        <v>3711</v>
      </c>
      <c r="I956" s="246" t="s">
        <v>729</v>
      </c>
      <c r="J956" s="648" t="s">
        <v>111</v>
      </c>
      <c r="K956" s="649" t="s">
        <v>110</v>
      </c>
      <c r="L956" s="1063">
        <v>0.4</v>
      </c>
      <c r="M956" s="827"/>
      <c r="N956" s="827" t="s">
        <v>255</v>
      </c>
      <c r="O956" s="827"/>
      <c r="P956" s="222">
        <v>1</v>
      </c>
      <c r="Q956" s="1063">
        <v>0.05</v>
      </c>
      <c r="R956" s="222"/>
      <c r="S956" s="222">
        <f t="shared" si="28"/>
        <v>0</v>
      </c>
      <c r="T956" s="765">
        <f t="shared" si="29"/>
        <v>0</v>
      </c>
      <c r="U956" s="222" t="s">
        <v>34</v>
      </c>
      <c r="V956" s="1211"/>
      <c r="W956" s="827"/>
    </row>
    <row r="957" spans="1:23" ht="22.95" customHeight="1" x14ac:dyDescent="0.4">
      <c r="A957" s="788">
        <v>956</v>
      </c>
      <c r="B957" s="648" t="s">
        <v>2616</v>
      </c>
      <c r="C957" s="648" t="s">
        <v>24</v>
      </c>
      <c r="D957" s="1306">
        <v>3478</v>
      </c>
      <c r="E957" s="246" t="s">
        <v>3739</v>
      </c>
      <c r="F957" s="245" t="s">
        <v>3735</v>
      </c>
      <c r="G957" s="679">
        <v>3020</v>
      </c>
      <c r="H957" s="245" t="s">
        <v>3711</v>
      </c>
      <c r="I957" s="246" t="s">
        <v>729</v>
      </c>
      <c r="J957" s="648" t="s">
        <v>111</v>
      </c>
      <c r="K957" s="649" t="s">
        <v>110</v>
      </c>
      <c r="L957" s="1063">
        <v>0.4</v>
      </c>
      <c r="M957" s="827"/>
      <c r="N957" s="827" t="s">
        <v>768</v>
      </c>
      <c r="O957" s="827"/>
      <c r="P957" s="222">
        <v>1</v>
      </c>
      <c r="Q957" s="1063">
        <v>0.05</v>
      </c>
      <c r="R957" s="222"/>
      <c r="S957" s="222">
        <f t="shared" si="28"/>
        <v>0</v>
      </c>
      <c r="T957" s="765">
        <f t="shared" si="29"/>
        <v>0</v>
      </c>
      <c r="U957" s="222" t="s">
        <v>34</v>
      </c>
      <c r="V957" s="1211"/>
      <c r="W957" s="827"/>
    </row>
    <row r="958" spans="1:23" ht="22.95" customHeight="1" x14ac:dyDescent="0.4">
      <c r="A958" s="788">
        <v>957</v>
      </c>
      <c r="B958" s="648" t="s">
        <v>2616</v>
      </c>
      <c r="C958" s="648" t="s">
        <v>24</v>
      </c>
      <c r="D958" s="1306">
        <v>3478</v>
      </c>
      <c r="E958" s="246" t="s">
        <v>3739</v>
      </c>
      <c r="F958" s="245" t="s">
        <v>3735</v>
      </c>
      <c r="G958" s="679">
        <v>3020</v>
      </c>
      <c r="H958" s="245" t="s">
        <v>3711</v>
      </c>
      <c r="I958" s="246" t="s">
        <v>729</v>
      </c>
      <c r="J958" s="648" t="s">
        <v>111</v>
      </c>
      <c r="K958" s="649" t="s">
        <v>110</v>
      </c>
      <c r="L958" s="1063">
        <v>0.4</v>
      </c>
      <c r="M958" s="827"/>
      <c r="N958" s="827" t="s">
        <v>769</v>
      </c>
      <c r="O958" s="827"/>
      <c r="P958" s="222">
        <v>1</v>
      </c>
      <c r="Q958" s="1063">
        <v>0.05</v>
      </c>
      <c r="R958" s="222"/>
      <c r="S958" s="222">
        <f t="shared" si="28"/>
        <v>0</v>
      </c>
      <c r="T958" s="765">
        <f t="shared" si="29"/>
        <v>0</v>
      </c>
      <c r="U958" s="222" t="s">
        <v>34</v>
      </c>
      <c r="V958" s="1211"/>
      <c r="W958" s="827"/>
    </row>
    <row r="959" spans="1:23" ht="22.95" customHeight="1" x14ac:dyDescent="0.4">
      <c r="A959" s="788">
        <v>958</v>
      </c>
      <c r="B959" s="648" t="s">
        <v>2616</v>
      </c>
      <c r="C959" s="648" t="s">
        <v>24</v>
      </c>
      <c r="D959" s="1306">
        <v>3478</v>
      </c>
      <c r="E959" s="246" t="s">
        <v>3739</v>
      </c>
      <c r="F959" s="245" t="s">
        <v>3735</v>
      </c>
      <c r="G959" s="679">
        <v>3020</v>
      </c>
      <c r="H959" s="245" t="s">
        <v>3711</v>
      </c>
      <c r="I959" s="246" t="s">
        <v>729</v>
      </c>
      <c r="J959" s="648" t="s">
        <v>111</v>
      </c>
      <c r="K959" s="649" t="s">
        <v>110</v>
      </c>
      <c r="L959" s="1063">
        <v>0.4</v>
      </c>
      <c r="M959" s="827"/>
      <c r="N959" s="827" t="s">
        <v>770</v>
      </c>
      <c r="O959" s="827"/>
      <c r="P959" s="222">
        <v>1</v>
      </c>
      <c r="Q959" s="1063">
        <v>0.15</v>
      </c>
      <c r="R959" s="222"/>
      <c r="S959" s="222">
        <f t="shared" si="28"/>
        <v>0</v>
      </c>
      <c r="T959" s="765">
        <f t="shared" si="29"/>
        <v>0</v>
      </c>
      <c r="U959" s="222" t="s">
        <v>34</v>
      </c>
      <c r="V959" s="1211"/>
      <c r="W959" s="827"/>
    </row>
    <row r="960" spans="1:23" ht="22.95" customHeight="1" x14ac:dyDescent="0.4">
      <c r="A960" s="788">
        <v>959</v>
      </c>
      <c r="B960" s="648" t="s">
        <v>2616</v>
      </c>
      <c r="C960" s="648" t="s">
        <v>24</v>
      </c>
      <c r="D960" s="1306">
        <v>3478</v>
      </c>
      <c r="E960" s="246" t="s">
        <v>3739</v>
      </c>
      <c r="F960" s="245" t="s">
        <v>3735</v>
      </c>
      <c r="G960" s="679">
        <v>3020</v>
      </c>
      <c r="H960" s="245" t="s">
        <v>3711</v>
      </c>
      <c r="I960" s="246" t="s">
        <v>729</v>
      </c>
      <c r="J960" s="648" t="s">
        <v>111</v>
      </c>
      <c r="K960" s="649" t="s">
        <v>110</v>
      </c>
      <c r="L960" s="1063">
        <v>0.4</v>
      </c>
      <c r="M960" s="827"/>
      <c r="N960" s="827" t="s">
        <v>254</v>
      </c>
      <c r="O960" s="827"/>
      <c r="P960" s="222">
        <v>1</v>
      </c>
      <c r="Q960" s="1063">
        <v>0.1</v>
      </c>
      <c r="R960" s="222"/>
      <c r="S960" s="222">
        <f t="shared" si="28"/>
        <v>0</v>
      </c>
      <c r="T960" s="765">
        <f t="shared" si="29"/>
        <v>0</v>
      </c>
      <c r="U960" s="222" t="s">
        <v>34</v>
      </c>
      <c r="V960" s="1211"/>
      <c r="W960" s="827"/>
    </row>
    <row r="961" spans="1:23" ht="22.95" customHeight="1" x14ac:dyDescent="0.4">
      <c r="A961" s="788">
        <v>960</v>
      </c>
      <c r="B961" s="648" t="s">
        <v>2616</v>
      </c>
      <c r="C961" s="648" t="s">
        <v>24</v>
      </c>
      <c r="D961" s="1306">
        <v>3478</v>
      </c>
      <c r="E961" s="246" t="s">
        <v>3739</v>
      </c>
      <c r="F961" s="245" t="s">
        <v>3735</v>
      </c>
      <c r="G961" s="679">
        <v>3020</v>
      </c>
      <c r="H961" s="245" t="s">
        <v>3711</v>
      </c>
      <c r="I961" s="246" t="s">
        <v>729</v>
      </c>
      <c r="J961" s="648" t="s">
        <v>111</v>
      </c>
      <c r="K961" s="649" t="s">
        <v>110</v>
      </c>
      <c r="L961" s="1063">
        <v>0.4</v>
      </c>
      <c r="M961" s="827"/>
      <c r="N961" s="827" t="s">
        <v>771</v>
      </c>
      <c r="O961" s="827"/>
      <c r="P961" s="222">
        <v>1</v>
      </c>
      <c r="Q961" s="1063">
        <v>0.05</v>
      </c>
      <c r="R961" s="222"/>
      <c r="S961" s="222">
        <f t="shared" si="28"/>
        <v>0</v>
      </c>
      <c r="T961" s="765">
        <f t="shared" si="29"/>
        <v>0</v>
      </c>
      <c r="U961" s="222" t="s">
        <v>34</v>
      </c>
      <c r="V961" s="1211"/>
      <c r="W961" s="827"/>
    </row>
    <row r="962" spans="1:23" ht="22.95" customHeight="1" x14ac:dyDescent="0.4">
      <c r="A962" s="788">
        <v>961</v>
      </c>
      <c r="B962" s="648" t="s">
        <v>2616</v>
      </c>
      <c r="C962" s="648" t="s">
        <v>24</v>
      </c>
      <c r="D962" s="1306">
        <v>3478</v>
      </c>
      <c r="E962" s="246" t="s">
        <v>3739</v>
      </c>
      <c r="F962" s="245" t="s">
        <v>3735</v>
      </c>
      <c r="G962" s="679">
        <v>3020</v>
      </c>
      <c r="H962" s="245" t="s">
        <v>3711</v>
      </c>
      <c r="I962" s="246" t="s">
        <v>729</v>
      </c>
      <c r="J962" s="648" t="s">
        <v>111</v>
      </c>
      <c r="K962" s="649" t="s">
        <v>110</v>
      </c>
      <c r="L962" s="1063">
        <v>0.4</v>
      </c>
      <c r="M962" s="827"/>
      <c r="N962" s="827" t="s">
        <v>772</v>
      </c>
      <c r="O962" s="827"/>
      <c r="P962" s="222">
        <v>1</v>
      </c>
      <c r="Q962" s="1063">
        <v>0.1</v>
      </c>
      <c r="R962" s="222"/>
      <c r="S962" s="222">
        <f t="shared" ref="S962:S1025" si="30">ROUND(IF(OR(P962="",R962=""),0,IF(AND(P962=0,R962=0),1,IF(U962="+",R962/P962,P962/R962))),2)</f>
        <v>0</v>
      </c>
      <c r="T962" s="765">
        <f t="shared" ref="T962:T1025" si="31">IF(AND(S962&gt;=60%,S962&lt;100%),S962*((Q962*L962)),IF(S962=100%,((Q962*L962)*S962)*100%,IF(S962&gt;100%,((L962*Q962)*100%)*100%,0)))*100</f>
        <v>0</v>
      </c>
      <c r="U962" s="222" t="s">
        <v>34</v>
      </c>
      <c r="V962" s="1211"/>
      <c r="W962" s="827"/>
    </row>
    <row r="963" spans="1:23" ht="22.95" customHeight="1" x14ac:dyDescent="0.4">
      <c r="A963" s="788">
        <v>962</v>
      </c>
      <c r="B963" s="648" t="s">
        <v>2616</v>
      </c>
      <c r="C963" s="648" t="s">
        <v>24</v>
      </c>
      <c r="D963" s="1306">
        <v>3478</v>
      </c>
      <c r="E963" s="246" t="s">
        <v>3739</v>
      </c>
      <c r="F963" s="245" t="s">
        <v>3735</v>
      </c>
      <c r="G963" s="679">
        <v>3020</v>
      </c>
      <c r="H963" s="245" t="s">
        <v>3711</v>
      </c>
      <c r="I963" s="246" t="s">
        <v>729</v>
      </c>
      <c r="J963" s="648" t="s">
        <v>111</v>
      </c>
      <c r="K963" s="649" t="s">
        <v>110</v>
      </c>
      <c r="L963" s="1063">
        <v>0.4</v>
      </c>
      <c r="M963" s="827"/>
      <c r="N963" s="827" t="s">
        <v>773</v>
      </c>
      <c r="O963" s="827"/>
      <c r="P963" s="222">
        <v>1</v>
      </c>
      <c r="Q963" s="1063">
        <v>0.05</v>
      </c>
      <c r="R963" s="222"/>
      <c r="S963" s="222">
        <f t="shared" si="30"/>
        <v>0</v>
      </c>
      <c r="T963" s="765">
        <f t="shared" si="31"/>
        <v>0</v>
      </c>
      <c r="U963" s="222" t="s">
        <v>34</v>
      </c>
      <c r="V963" s="1211"/>
      <c r="W963" s="827"/>
    </row>
    <row r="964" spans="1:23" ht="22.95" customHeight="1" x14ac:dyDescent="0.4">
      <c r="A964" s="788">
        <v>963</v>
      </c>
      <c r="B964" s="648" t="s">
        <v>2616</v>
      </c>
      <c r="C964" s="648" t="s">
        <v>24</v>
      </c>
      <c r="D964" s="1306">
        <v>3478</v>
      </c>
      <c r="E964" s="246" t="s">
        <v>3739</v>
      </c>
      <c r="F964" s="245" t="s">
        <v>3735</v>
      </c>
      <c r="G964" s="679">
        <v>3020</v>
      </c>
      <c r="H964" s="245" t="s">
        <v>3711</v>
      </c>
      <c r="I964" s="246" t="s">
        <v>729</v>
      </c>
      <c r="J964" s="648" t="s">
        <v>111</v>
      </c>
      <c r="K964" s="649" t="s">
        <v>110</v>
      </c>
      <c r="L964" s="1063">
        <v>0.4</v>
      </c>
      <c r="M964" s="827"/>
      <c r="N964" s="827" t="s">
        <v>774</v>
      </c>
      <c r="O964" s="827"/>
      <c r="P964" s="222">
        <v>1</v>
      </c>
      <c r="Q964" s="1063">
        <v>0.05</v>
      </c>
      <c r="R964" s="222"/>
      <c r="S964" s="222">
        <f t="shared" si="30"/>
        <v>0</v>
      </c>
      <c r="T964" s="765">
        <f t="shared" si="31"/>
        <v>0</v>
      </c>
      <c r="U964" s="222" t="s">
        <v>34</v>
      </c>
      <c r="V964" s="1211"/>
      <c r="W964" s="827"/>
    </row>
    <row r="965" spans="1:23" ht="22.95" customHeight="1" x14ac:dyDescent="0.4">
      <c r="A965" s="788">
        <v>964</v>
      </c>
      <c r="B965" s="648" t="s">
        <v>2616</v>
      </c>
      <c r="C965" s="648" t="s">
        <v>24</v>
      </c>
      <c r="D965" s="1306">
        <v>3478</v>
      </c>
      <c r="E965" s="246" t="s">
        <v>3739</v>
      </c>
      <c r="F965" s="245" t="s">
        <v>3735</v>
      </c>
      <c r="G965" s="679">
        <v>3020</v>
      </c>
      <c r="H965" s="245" t="s">
        <v>3711</v>
      </c>
      <c r="I965" s="246" t="s">
        <v>729</v>
      </c>
      <c r="J965" s="648" t="s">
        <v>111</v>
      </c>
      <c r="K965" s="649" t="s">
        <v>110</v>
      </c>
      <c r="L965" s="1063">
        <v>0.4</v>
      </c>
      <c r="M965" s="827"/>
      <c r="N965" s="827" t="s">
        <v>775</v>
      </c>
      <c r="O965" s="827"/>
      <c r="P965" s="222">
        <v>1</v>
      </c>
      <c r="Q965" s="1063">
        <v>0.05</v>
      </c>
      <c r="R965" s="222"/>
      <c r="S965" s="222">
        <f t="shared" si="30"/>
        <v>0</v>
      </c>
      <c r="T965" s="765">
        <f t="shared" si="31"/>
        <v>0</v>
      </c>
      <c r="U965" s="222" t="s">
        <v>34</v>
      </c>
      <c r="V965" s="1211"/>
      <c r="W965" s="827"/>
    </row>
    <row r="966" spans="1:23" ht="22.95" customHeight="1" x14ac:dyDescent="0.4">
      <c r="A966" s="788">
        <v>965</v>
      </c>
      <c r="B966" s="648" t="s">
        <v>2616</v>
      </c>
      <c r="C966" s="648" t="s">
        <v>24</v>
      </c>
      <c r="D966" s="1306">
        <v>3478</v>
      </c>
      <c r="E966" s="246" t="s">
        <v>3739</v>
      </c>
      <c r="F966" s="245" t="s">
        <v>3735</v>
      </c>
      <c r="G966" s="679">
        <v>3020</v>
      </c>
      <c r="H966" s="245" t="s">
        <v>3711</v>
      </c>
      <c r="I966" s="246" t="s">
        <v>729</v>
      </c>
      <c r="J966" s="648" t="s">
        <v>111</v>
      </c>
      <c r="K966" s="649" t="s">
        <v>110</v>
      </c>
      <c r="L966" s="1063">
        <v>0.4</v>
      </c>
      <c r="M966" s="827"/>
      <c r="N966" s="827" t="s">
        <v>776</v>
      </c>
      <c r="O966" s="827"/>
      <c r="P966" s="222">
        <v>1</v>
      </c>
      <c r="Q966" s="1063">
        <v>0.1</v>
      </c>
      <c r="R966" s="222"/>
      <c r="S966" s="222">
        <f t="shared" si="30"/>
        <v>0</v>
      </c>
      <c r="T966" s="765">
        <f t="shared" si="31"/>
        <v>0</v>
      </c>
      <c r="U966" s="222" t="s">
        <v>34</v>
      </c>
      <c r="V966" s="1211"/>
      <c r="W966" s="827"/>
    </row>
    <row r="967" spans="1:23" ht="22.95" customHeight="1" x14ac:dyDescent="0.4">
      <c r="A967" s="788">
        <v>966</v>
      </c>
      <c r="B967" s="648" t="s">
        <v>2616</v>
      </c>
      <c r="C967" s="648" t="s">
        <v>24</v>
      </c>
      <c r="D967" s="1306">
        <v>3478</v>
      </c>
      <c r="E967" s="246" t="s">
        <v>3739</v>
      </c>
      <c r="F967" s="245" t="s">
        <v>3735</v>
      </c>
      <c r="G967" s="679">
        <v>3020</v>
      </c>
      <c r="H967" s="245" t="s">
        <v>3711</v>
      </c>
      <c r="I967" s="246" t="s">
        <v>729</v>
      </c>
      <c r="J967" s="648" t="s">
        <v>111</v>
      </c>
      <c r="K967" s="649" t="s">
        <v>110</v>
      </c>
      <c r="L967" s="1063">
        <v>0.4</v>
      </c>
      <c r="M967" s="827"/>
      <c r="N967" s="827" t="s">
        <v>251</v>
      </c>
      <c r="O967" s="827"/>
      <c r="P967" s="222">
        <v>1</v>
      </c>
      <c r="Q967" s="1063">
        <v>0.05</v>
      </c>
      <c r="R967" s="222"/>
      <c r="S967" s="222">
        <f t="shared" si="30"/>
        <v>0</v>
      </c>
      <c r="T967" s="765">
        <f t="shared" si="31"/>
        <v>0</v>
      </c>
      <c r="U967" s="222" t="s">
        <v>34</v>
      </c>
      <c r="V967" s="1228"/>
      <c r="W967" s="827"/>
    </row>
    <row r="968" spans="1:23" ht="22.95" customHeight="1" x14ac:dyDescent="0.4">
      <c r="A968" s="788">
        <v>967</v>
      </c>
      <c r="B968" s="648" t="s">
        <v>2616</v>
      </c>
      <c r="C968" s="648" t="s">
        <v>24</v>
      </c>
      <c r="D968" s="1306">
        <v>3478</v>
      </c>
      <c r="E968" s="246" t="s">
        <v>3739</v>
      </c>
      <c r="F968" s="245" t="s">
        <v>3735</v>
      </c>
      <c r="G968" s="679">
        <v>3020</v>
      </c>
      <c r="H968" s="245" t="s">
        <v>3711</v>
      </c>
      <c r="I968" s="246" t="s">
        <v>729</v>
      </c>
      <c r="J968" s="648" t="s">
        <v>111</v>
      </c>
      <c r="K968" s="649" t="s">
        <v>110</v>
      </c>
      <c r="L968" s="1063">
        <v>0.4</v>
      </c>
      <c r="M968" s="827"/>
      <c r="N968" s="827" t="s">
        <v>252</v>
      </c>
      <c r="O968" s="827"/>
      <c r="P968" s="222">
        <v>1</v>
      </c>
      <c r="Q968" s="1063">
        <v>0.05</v>
      </c>
      <c r="R968" s="222"/>
      <c r="S968" s="222">
        <f t="shared" si="30"/>
        <v>0</v>
      </c>
      <c r="T968" s="765">
        <f t="shared" si="31"/>
        <v>0</v>
      </c>
      <c r="U968" s="222" t="s">
        <v>34</v>
      </c>
      <c r="V968" s="1228"/>
      <c r="W968" s="827"/>
    </row>
    <row r="969" spans="1:23" ht="22.95" customHeight="1" x14ac:dyDescent="0.4">
      <c r="A969" s="788">
        <v>968</v>
      </c>
      <c r="B969" s="648" t="s">
        <v>2616</v>
      </c>
      <c r="C969" s="648" t="s">
        <v>24</v>
      </c>
      <c r="D969" s="1306">
        <v>3478</v>
      </c>
      <c r="E969" s="246" t="s">
        <v>3739</v>
      </c>
      <c r="F969" s="245" t="s">
        <v>3735</v>
      </c>
      <c r="G969" s="679">
        <v>3020</v>
      </c>
      <c r="H969" s="245" t="s">
        <v>3711</v>
      </c>
      <c r="I969" s="246" t="s">
        <v>729</v>
      </c>
      <c r="J969" s="648" t="s">
        <v>111</v>
      </c>
      <c r="K969" s="649" t="s">
        <v>110</v>
      </c>
      <c r="L969" s="1063">
        <v>0.4</v>
      </c>
      <c r="M969" s="827"/>
      <c r="N969" s="827" t="s">
        <v>777</v>
      </c>
      <c r="O969" s="827"/>
      <c r="P969" s="222">
        <v>1</v>
      </c>
      <c r="Q969" s="1063">
        <v>0.05</v>
      </c>
      <c r="R969" s="222"/>
      <c r="S969" s="222">
        <f t="shared" si="30"/>
        <v>0</v>
      </c>
      <c r="T969" s="765">
        <f t="shared" si="31"/>
        <v>0</v>
      </c>
      <c r="U969" s="222" t="s">
        <v>34</v>
      </c>
      <c r="V969" s="1228"/>
      <c r="W969" s="827"/>
    </row>
    <row r="970" spans="1:23" ht="22.95" customHeight="1" x14ac:dyDescent="0.4">
      <c r="A970" s="788">
        <v>969</v>
      </c>
      <c r="B970" s="648" t="s">
        <v>2616</v>
      </c>
      <c r="C970" s="648" t="s">
        <v>24</v>
      </c>
      <c r="D970" s="1306">
        <v>3478</v>
      </c>
      <c r="E970" s="246" t="s">
        <v>3739</v>
      </c>
      <c r="F970" s="245" t="s">
        <v>3735</v>
      </c>
      <c r="G970" s="679">
        <v>3020</v>
      </c>
      <c r="H970" s="245" t="s">
        <v>3711</v>
      </c>
      <c r="I970" s="246" t="s">
        <v>729</v>
      </c>
      <c r="J970" s="648" t="s">
        <v>111</v>
      </c>
      <c r="K970" s="649" t="s">
        <v>110</v>
      </c>
      <c r="L970" s="1063">
        <v>0.4</v>
      </c>
      <c r="M970" s="827"/>
      <c r="N970" s="827" t="s">
        <v>253</v>
      </c>
      <c r="O970" s="827"/>
      <c r="P970" s="222">
        <v>1</v>
      </c>
      <c r="Q970" s="1063">
        <v>0.05</v>
      </c>
      <c r="R970" s="222"/>
      <c r="S970" s="222">
        <f t="shared" si="30"/>
        <v>0</v>
      </c>
      <c r="T970" s="765">
        <f t="shared" si="31"/>
        <v>0</v>
      </c>
      <c r="U970" s="222" t="s">
        <v>34</v>
      </c>
      <c r="V970" s="1228"/>
      <c r="W970" s="827"/>
    </row>
    <row r="971" spans="1:23" ht="22.95" customHeight="1" x14ac:dyDescent="0.4">
      <c r="A971" s="788">
        <v>970</v>
      </c>
      <c r="B971" s="236" t="s">
        <v>2616</v>
      </c>
      <c r="C971" s="236" t="s">
        <v>24</v>
      </c>
      <c r="D971" s="1219">
        <v>3383</v>
      </c>
      <c r="E971" s="236" t="s">
        <v>3746</v>
      </c>
      <c r="F971" s="236" t="s">
        <v>3735</v>
      </c>
      <c r="G971" s="238">
        <v>3020</v>
      </c>
      <c r="H971" s="236" t="s">
        <v>3711</v>
      </c>
      <c r="I971" s="236" t="s">
        <v>729</v>
      </c>
      <c r="J971" s="243" t="s">
        <v>58</v>
      </c>
      <c r="K971" s="243" t="s">
        <v>57</v>
      </c>
      <c r="L971" s="1052">
        <v>0.6</v>
      </c>
      <c r="M971" s="952"/>
      <c r="N971" s="952" t="s">
        <v>3747</v>
      </c>
      <c r="O971" s="952"/>
      <c r="P971" s="953">
        <v>1</v>
      </c>
      <c r="Q971" s="1490">
        <v>0.15</v>
      </c>
      <c r="R971" s="953"/>
      <c r="S971" s="855">
        <f t="shared" si="30"/>
        <v>0</v>
      </c>
      <c r="T971" s="854">
        <f t="shared" si="31"/>
        <v>0</v>
      </c>
      <c r="U971" s="953" t="s">
        <v>34</v>
      </c>
      <c r="V971" s="1488">
        <f>SUM(T971:T997)%</f>
        <v>0</v>
      </c>
      <c r="W971" s="952"/>
    </row>
    <row r="972" spans="1:23" ht="22.95" customHeight="1" x14ac:dyDescent="0.4">
      <c r="A972" s="788">
        <v>971</v>
      </c>
      <c r="B972" s="246" t="s">
        <v>2616</v>
      </c>
      <c r="C972" s="246" t="s">
        <v>24</v>
      </c>
      <c r="D972" s="1134">
        <v>3383</v>
      </c>
      <c r="E972" s="246" t="s">
        <v>3746</v>
      </c>
      <c r="F972" s="245" t="s">
        <v>3735</v>
      </c>
      <c r="G972" s="946">
        <v>3020</v>
      </c>
      <c r="H972" s="245" t="s">
        <v>3711</v>
      </c>
      <c r="I972" s="246" t="s">
        <v>729</v>
      </c>
      <c r="J972" s="648" t="s">
        <v>58</v>
      </c>
      <c r="K972" s="648" t="s">
        <v>57</v>
      </c>
      <c r="L972" s="1196">
        <v>0.6</v>
      </c>
      <c r="M972" s="757"/>
      <c r="N972" s="757" t="s">
        <v>3748</v>
      </c>
      <c r="O972" s="757"/>
      <c r="P972" s="208">
        <v>1</v>
      </c>
      <c r="Q972" s="1486">
        <v>0.05</v>
      </c>
      <c r="R972" s="208"/>
      <c r="S972" s="206">
        <f t="shared" si="30"/>
        <v>0</v>
      </c>
      <c r="T972" s="207">
        <f t="shared" si="31"/>
        <v>0</v>
      </c>
      <c r="U972" s="208" t="s">
        <v>34</v>
      </c>
      <c r="V972" s="1203"/>
      <c r="W972" s="1469"/>
    </row>
    <row r="973" spans="1:23" ht="22.95" customHeight="1" x14ac:dyDescent="0.4">
      <c r="A973" s="788">
        <v>972</v>
      </c>
      <c r="B973" s="246" t="s">
        <v>2616</v>
      </c>
      <c r="C973" s="246" t="s">
        <v>24</v>
      </c>
      <c r="D973" s="1134">
        <v>3383</v>
      </c>
      <c r="E973" s="246" t="s">
        <v>3746</v>
      </c>
      <c r="F973" s="245" t="s">
        <v>3735</v>
      </c>
      <c r="G973" s="946">
        <v>3020</v>
      </c>
      <c r="H973" s="245" t="s">
        <v>3711</v>
      </c>
      <c r="I973" s="246" t="s">
        <v>729</v>
      </c>
      <c r="J973" s="648" t="s">
        <v>58</v>
      </c>
      <c r="K973" s="648" t="s">
        <v>57</v>
      </c>
      <c r="L973" s="1196">
        <v>0.6</v>
      </c>
      <c r="M973" s="757"/>
      <c r="N973" s="757" t="s">
        <v>3749</v>
      </c>
      <c r="O973" s="757"/>
      <c r="P973" s="208">
        <v>1</v>
      </c>
      <c r="Q973" s="1486">
        <v>0.05</v>
      </c>
      <c r="R973" s="208"/>
      <c r="S973" s="206">
        <f t="shared" si="30"/>
        <v>0</v>
      </c>
      <c r="T973" s="207">
        <f t="shared" si="31"/>
        <v>0</v>
      </c>
      <c r="U973" s="208" t="s">
        <v>34</v>
      </c>
      <c r="V973" s="1203"/>
      <c r="W973" s="1469"/>
    </row>
    <row r="974" spans="1:23" ht="22.95" customHeight="1" x14ac:dyDescent="0.4">
      <c r="A974" s="788">
        <v>973</v>
      </c>
      <c r="B974" s="246" t="s">
        <v>2616</v>
      </c>
      <c r="C974" s="246" t="s">
        <v>24</v>
      </c>
      <c r="D974" s="1134">
        <v>3383</v>
      </c>
      <c r="E974" s="246" t="s">
        <v>3746</v>
      </c>
      <c r="F974" s="245" t="s">
        <v>3735</v>
      </c>
      <c r="G974" s="946">
        <v>3020</v>
      </c>
      <c r="H974" s="245" t="s">
        <v>3711</v>
      </c>
      <c r="I974" s="246" t="s">
        <v>729</v>
      </c>
      <c r="J974" s="648" t="s">
        <v>58</v>
      </c>
      <c r="K974" s="648" t="s">
        <v>57</v>
      </c>
      <c r="L974" s="1196">
        <v>0.6</v>
      </c>
      <c r="M974" s="757"/>
      <c r="N974" s="757" t="s">
        <v>3743</v>
      </c>
      <c r="O974" s="757"/>
      <c r="P974" s="208">
        <v>1</v>
      </c>
      <c r="Q974" s="1486">
        <v>0.1</v>
      </c>
      <c r="R974" s="208"/>
      <c r="S974" s="206">
        <f t="shared" si="30"/>
        <v>0</v>
      </c>
      <c r="T974" s="207">
        <f t="shared" si="31"/>
        <v>0</v>
      </c>
      <c r="U974" s="208" t="s">
        <v>34</v>
      </c>
      <c r="V974" s="1203"/>
      <c r="W974" s="1469"/>
    </row>
    <row r="975" spans="1:23" ht="22.95" customHeight="1" x14ac:dyDescent="0.4">
      <c r="A975" s="788">
        <v>974</v>
      </c>
      <c r="B975" s="246" t="s">
        <v>2616</v>
      </c>
      <c r="C975" s="246" t="s">
        <v>24</v>
      </c>
      <c r="D975" s="1134">
        <v>3383</v>
      </c>
      <c r="E975" s="246" t="s">
        <v>3746</v>
      </c>
      <c r="F975" s="245" t="s">
        <v>3735</v>
      </c>
      <c r="G975" s="946">
        <v>3020</v>
      </c>
      <c r="H975" s="245" t="s">
        <v>3711</v>
      </c>
      <c r="I975" s="246" t="s">
        <v>729</v>
      </c>
      <c r="J975" s="648" t="s">
        <v>58</v>
      </c>
      <c r="K975" s="648" t="s">
        <v>57</v>
      </c>
      <c r="L975" s="1196">
        <v>0.6</v>
      </c>
      <c r="M975" s="757"/>
      <c r="N975" s="757" t="s">
        <v>3750</v>
      </c>
      <c r="O975" s="757"/>
      <c r="P975" s="208">
        <v>1</v>
      </c>
      <c r="Q975" s="1486">
        <v>0.15</v>
      </c>
      <c r="R975" s="208"/>
      <c r="S975" s="206">
        <f t="shared" si="30"/>
        <v>0</v>
      </c>
      <c r="T975" s="207">
        <f t="shared" si="31"/>
        <v>0</v>
      </c>
      <c r="U975" s="208" t="s">
        <v>34</v>
      </c>
      <c r="V975" s="1203"/>
      <c r="W975" s="1469"/>
    </row>
    <row r="976" spans="1:23" ht="22.95" customHeight="1" x14ac:dyDescent="0.4">
      <c r="A976" s="788">
        <v>975</v>
      </c>
      <c r="B976" s="246" t="s">
        <v>2616</v>
      </c>
      <c r="C976" s="246" t="s">
        <v>24</v>
      </c>
      <c r="D976" s="1134">
        <v>3383</v>
      </c>
      <c r="E976" s="246" t="s">
        <v>3746</v>
      </c>
      <c r="F976" s="245" t="s">
        <v>3735</v>
      </c>
      <c r="G976" s="946">
        <v>3020</v>
      </c>
      <c r="H976" s="245" t="s">
        <v>3711</v>
      </c>
      <c r="I976" s="246" t="s">
        <v>729</v>
      </c>
      <c r="J976" s="648" t="s">
        <v>58</v>
      </c>
      <c r="K976" s="648" t="s">
        <v>57</v>
      </c>
      <c r="L976" s="1196">
        <v>0.6</v>
      </c>
      <c r="M976" s="757"/>
      <c r="N976" s="757" t="s">
        <v>3751</v>
      </c>
      <c r="O976" s="757"/>
      <c r="P976" s="208">
        <v>1</v>
      </c>
      <c r="Q976" s="1486">
        <v>0.05</v>
      </c>
      <c r="R976" s="208"/>
      <c r="S976" s="206">
        <f t="shared" si="30"/>
        <v>0</v>
      </c>
      <c r="T976" s="207">
        <f t="shared" si="31"/>
        <v>0</v>
      </c>
      <c r="U976" s="208" t="s">
        <v>34</v>
      </c>
      <c r="V976" s="1203"/>
      <c r="W976" s="1469"/>
    </row>
    <row r="977" spans="1:23" ht="22.95" customHeight="1" x14ac:dyDescent="0.4">
      <c r="A977" s="788">
        <v>976</v>
      </c>
      <c r="B977" s="246" t="s">
        <v>2616</v>
      </c>
      <c r="C977" s="246" t="s">
        <v>24</v>
      </c>
      <c r="D977" s="1134">
        <v>3383</v>
      </c>
      <c r="E977" s="246" t="s">
        <v>3746</v>
      </c>
      <c r="F977" s="245" t="s">
        <v>3735</v>
      </c>
      <c r="G977" s="946">
        <v>3020</v>
      </c>
      <c r="H977" s="245" t="s">
        <v>3711</v>
      </c>
      <c r="I977" s="246" t="s">
        <v>729</v>
      </c>
      <c r="J977" s="648" t="s">
        <v>58</v>
      </c>
      <c r="K977" s="648" t="s">
        <v>57</v>
      </c>
      <c r="L977" s="1196">
        <v>0.6</v>
      </c>
      <c r="M977" s="757"/>
      <c r="N977" s="757" t="s">
        <v>3752</v>
      </c>
      <c r="O977" s="757"/>
      <c r="P977" s="208">
        <v>1</v>
      </c>
      <c r="Q977" s="1486">
        <v>0.05</v>
      </c>
      <c r="R977" s="208"/>
      <c r="S977" s="206">
        <f t="shared" si="30"/>
        <v>0</v>
      </c>
      <c r="T977" s="207">
        <f t="shared" si="31"/>
        <v>0</v>
      </c>
      <c r="U977" s="208" t="s">
        <v>34</v>
      </c>
      <c r="V977" s="1203"/>
      <c r="W977" s="1469"/>
    </row>
    <row r="978" spans="1:23" ht="22.95" customHeight="1" x14ac:dyDescent="0.4">
      <c r="A978" s="788">
        <v>977</v>
      </c>
      <c r="B978" s="246" t="s">
        <v>2616</v>
      </c>
      <c r="C978" s="246" t="s">
        <v>24</v>
      </c>
      <c r="D978" s="1134">
        <v>3383</v>
      </c>
      <c r="E978" s="246" t="s">
        <v>3746</v>
      </c>
      <c r="F978" s="245" t="s">
        <v>3735</v>
      </c>
      <c r="G978" s="679">
        <v>3020</v>
      </c>
      <c r="H978" s="245" t="s">
        <v>3711</v>
      </c>
      <c r="I978" s="246" t="s">
        <v>729</v>
      </c>
      <c r="J978" s="648" t="s">
        <v>58</v>
      </c>
      <c r="K978" s="648" t="s">
        <v>57</v>
      </c>
      <c r="L978" s="1196">
        <v>0.6</v>
      </c>
      <c r="M978" s="1438"/>
      <c r="N978" s="1438" t="s">
        <v>3716</v>
      </c>
      <c r="O978" s="1438"/>
      <c r="P978" s="208">
        <v>1</v>
      </c>
      <c r="Q978" s="1486">
        <v>0.05</v>
      </c>
      <c r="R978" s="208"/>
      <c r="S978" s="206">
        <f t="shared" si="30"/>
        <v>0</v>
      </c>
      <c r="T978" s="207">
        <f t="shared" si="31"/>
        <v>0</v>
      </c>
      <c r="U978" s="208" t="s">
        <v>34</v>
      </c>
      <c r="V978" s="1203"/>
      <c r="W978" s="1439"/>
    </row>
    <row r="979" spans="1:23" ht="22.95" customHeight="1" x14ac:dyDescent="0.4">
      <c r="A979" s="788">
        <v>978</v>
      </c>
      <c r="B979" s="246" t="s">
        <v>2616</v>
      </c>
      <c r="C979" s="246" t="s">
        <v>24</v>
      </c>
      <c r="D979" s="1134">
        <v>3383</v>
      </c>
      <c r="E979" s="246" t="s">
        <v>3746</v>
      </c>
      <c r="F979" s="245" t="s">
        <v>3735</v>
      </c>
      <c r="G979" s="946">
        <v>3020</v>
      </c>
      <c r="H979" s="245" t="s">
        <v>3711</v>
      </c>
      <c r="I979" s="246" t="s">
        <v>729</v>
      </c>
      <c r="J979" s="648" t="s">
        <v>58</v>
      </c>
      <c r="K979" s="648" t="s">
        <v>57</v>
      </c>
      <c r="L979" s="1196">
        <v>0.6</v>
      </c>
      <c r="M979" s="757"/>
      <c r="N979" s="757" t="s">
        <v>3753</v>
      </c>
      <c r="O979" s="757"/>
      <c r="P979" s="208">
        <v>1</v>
      </c>
      <c r="Q979" s="1486">
        <v>0.05</v>
      </c>
      <c r="R979" s="208"/>
      <c r="S979" s="206">
        <f t="shared" si="30"/>
        <v>0</v>
      </c>
      <c r="T979" s="207">
        <f t="shared" si="31"/>
        <v>0</v>
      </c>
      <c r="U979" s="208" t="s">
        <v>34</v>
      </c>
      <c r="V979" s="1203"/>
      <c r="W979" s="1469"/>
    </row>
    <row r="980" spans="1:23" ht="22.95" customHeight="1" x14ac:dyDescent="0.4">
      <c r="A980" s="788">
        <v>979</v>
      </c>
      <c r="B980" s="246" t="s">
        <v>2616</v>
      </c>
      <c r="C980" s="246" t="s">
        <v>24</v>
      </c>
      <c r="D980" s="1134">
        <v>3383</v>
      </c>
      <c r="E980" s="246" t="s">
        <v>3746</v>
      </c>
      <c r="F980" s="245" t="s">
        <v>3735</v>
      </c>
      <c r="G980" s="946">
        <v>3020</v>
      </c>
      <c r="H980" s="245" t="s">
        <v>3711</v>
      </c>
      <c r="I980" s="246" t="s">
        <v>729</v>
      </c>
      <c r="J980" s="648" t="s">
        <v>58</v>
      </c>
      <c r="K980" s="648" t="s">
        <v>57</v>
      </c>
      <c r="L980" s="1196">
        <v>0.6</v>
      </c>
      <c r="M980" s="757"/>
      <c r="N980" s="757" t="s">
        <v>3725</v>
      </c>
      <c r="O980" s="757"/>
      <c r="P980" s="208">
        <v>1</v>
      </c>
      <c r="Q980" s="1486">
        <v>0.1</v>
      </c>
      <c r="R980" s="208"/>
      <c r="S980" s="206">
        <f t="shared" si="30"/>
        <v>0</v>
      </c>
      <c r="T980" s="207">
        <f t="shared" si="31"/>
        <v>0</v>
      </c>
      <c r="U980" s="208" t="s">
        <v>34</v>
      </c>
      <c r="V980" s="1203"/>
      <c r="W980" s="1469"/>
    </row>
    <row r="981" spans="1:23" ht="22.95" customHeight="1" x14ac:dyDescent="0.4">
      <c r="A981" s="788">
        <v>980</v>
      </c>
      <c r="B981" s="246" t="s">
        <v>2616</v>
      </c>
      <c r="C981" s="246" t="s">
        <v>24</v>
      </c>
      <c r="D981" s="1134">
        <v>3383</v>
      </c>
      <c r="E981" s="246" t="s">
        <v>3746</v>
      </c>
      <c r="F981" s="245" t="s">
        <v>3735</v>
      </c>
      <c r="G981" s="946">
        <v>3020</v>
      </c>
      <c r="H981" s="245" t="s">
        <v>3711</v>
      </c>
      <c r="I981" s="246" t="s">
        <v>729</v>
      </c>
      <c r="J981" s="648" t="s">
        <v>58</v>
      </c>
      <c r="K981" s="648" t="s">
        <v>57</v>
      </c>
      <c r="L981" s="1196">
        <v>0.6</v>
      </c>
      <c r="M981" s="757"/>
      <c r="N981" s="757" t="s">
        <v>3754</v>
      </c>
      <c r="O981" s="757"/>
      <c r="P981" s="208">
        <v>1</v>
      </c>
      <c r="Q981" s="1486">
        <v>0.1</v>
      </c>
      <c r="R981" s="208"/>
      <c r="S981" s="206">
        <f t="shared" si="30"/>
        <v>0</v>
      </c>
      <c r="T981" s="207">
        <f t="shared" si="31"/>
        <v>0</v>
      </c>
      <c r="U981" s="208" t="s">
        <v>34</v>
      </c>
      <c r="V981" s="1203"/>
      <c r="W981" s="1469"/>
    </row>
    <row r="982" spans="1:23" ht="22.95" customHeight="1" x14ac:dyDescent="0.4">
      <c r="A982" s="788">
        <v>981</v>
      </c>
      <c r="B982" s="246" t="s">
        <v>2616</v>
      </c>
      <c r="C982" s="246" t="s">
        <v>24</v>
      </c>
      <c r="D982" s="1134">
        <v>3383</v>
      </c>
      <c r="E982" s="246" t="s">
        <v>3746</v>
      </c>
      <c r="F982" s="245" t="s">
        <v>3735</v>
      </c>
      <c r="G982" s="946">
        <v>3020</v>
      </c>
      <c r="H982" s="245" t="s">
        <v>3711</v>
      </c>
      <c r="I982" s="246" t="s">
        <v>729</v>
      </c>
      <c r="J982" s="648" t="s">
        <v>58</v>
      </c>
      <c r="K982" s="648" t="s">
        <v>57</v>
      </c>
      <c r="L982" s="1196">
        <v>0.6</v>
      </c>
      <c r="M982" s="757"/>
      <c r="N982" s="757" t="s">
        <v>3755</v>
      </c>
      <c r="O982" s="757"/>
      <c r="P982" s="208">
        <v>1</v>
      </c>
      <c r="Q982" s="1486">
        <v>0.1</v>
      </c>
      <c r="R982" s="208"/>
      <c r="S982" s="206">
        <f t="shared" si="30"/>
        <v>0</v>
      </c>
      <c r="T982" s="207">
        <f t="shared" si="31"/>
        <v>0</v>
      </c>
      <c r="U982" s="208" t="s">
        <v>34</v>
      </c>
      <c r="V982" s="1203"/>
      <c r="W982" s="1469"/>
    </row>
    <row r="983" spans="1:23" ht="22.95" customHeight="1" x14ac:dyDescent="0.4">
      <c r="A983" s="788">
        <v>982</v>
      </c>
      <c r="B983" s="246" t="s">
        <v>2616</v>
      </c>
      <c r="C983" s="246" t="s">
        <v>24</v>
      </c>
      <c r="D983" s="1134">
        <v>3383</v>
      </c>
      <c r="E983" s="246" t="s">
        <v>3746</v>
      </c>
      <c r="F983" s="245" t="s">
        <v>3735</v>
      </c>
      <c r="G983" s="679">
        <v>3020</v>
      </c>
      <c r="H983" s="245" t="s">
        <v>3711</v>
      </c>
      <c r="I983" s="246" t="s">
        <v>729</v>
      </c>
      <c r="J983" s="648" t="s">
        <v>111</v>
      </c>
      <c r="K983" s="649" t="s">
        <v>110</v>
      </c>
      <c r="L983" s="1063">
        <v>0.4</v>
      </c>
      <c r="M983" s="827"/>
      <c r="N983" s="827" t="s">
        <v>255</v>
      </c>
      <c r="O983" s="827"/>
      <c r="P983" s="222">
        <v>1</v>
      </c>
      <c r="Q983" s="1063">
        <v>0.05</v>
      </c>
      <c r="R983" s="222"/>
      <c r="S983" s="222">
        <f t="shared" si="30"/>
        <v>0</v>
      </c>
      <c r="T983" s="765">
        <f t="shared" si="31"/>
        <v>0</v>
      </c>
      <c r="U983" s="222" t="s">
        <v>34</v>
      </c>
      <c r="V983" s="1211"/>
      <c r="W983" s="827"/>
    </row>
    <row r="984" spans="1:23" ht="22.95" customHeight="1" x14ac:dyDescent="0.4">
      <c r="A984" s="788">
        <v>983</v>
      </c>
      <c r="B984" s="246" t="s">
        <v>2616</v>
      </c>
      <c r="C984" s="246" t="s">
        <v>24</v>
      </c>
      <c r="D984" s="1134">
        <v>3383</v>
      </c>
      <c r="E984" s="246" t="s">
        <v>3746</v>
      </c>
      <c r="F984" s="245" t="s">
        <v>3735</v>
      </c>
      <c r="G984" s="679">
        <v>3020</v>
      </c>
      <c r="H984" s="245" t="s">
        <v>3711</v>
      </c>
      <c r="I984" s="246" t="s">
        <v>729</v>
      </c>
      <c r="J984" s="648" t="s">
        <v>111</v>
      </c>
      <c r="K984" s="649" t="s">
        <v>110</v>
      </c>
      <c r="L984" s="1063">
        <v>0.4</v>
      </c>
      <c r="M984" s="827"/>
      <c r="N984" s="827" t="s">
        <v>768</v>
      </c>
      <c r="O984" s="827"/>
      <c r="P984" s="222">
        <v>1</v>
      </c>
      <c r="Q984" s="1063">
        <v>0.05</v>
      </c>
      <c r="R984" s="222"/>
      <c r="S984" s="222">
        <f t="shared" si="30"/>
        <v>0</v>
      </c>
      <c r="T984" s="765">
        <f t="shared" si="31"/>
        <v>0</v>
      </c>
      <c r="U984" s="222" t="s">
        <v>34</v>
      </c>
      <c r="V984" s="1211"/>
      <c r="W984" s="827"/>
    </row>
    <row r="985" spans="1:23" ht="22.95" customHeight="1" x14ac:dyDescent="0.4">
      <c r="A985" s="788">
        <v>984</v>
      </c>
      <c r="B985" s="246" t="s">
        <v>2616</v>
      </c>
      <c r="C985" s="246" t="s">
        <v>24</v>
      </c>
      <c r="D985" s="1134">
        <v>3383</v>
      </c>
      <c r="E985" s="246" t="s">
        <v>3746</v>
      </c>
      <c r="F985" s="245" t="s">
        <v>3735</v>
      </c>
      <c r="G985" s="679">
        <v>3020</v>
      </c>
      <c r="H985" s="245" t="s">
        <v>3711</v>
      </c>
      <c r="I985" s="246" t="s">
        <v>729</v>
      </c>
      <c r="J985" s="648" t="s">
        <v>111</v>
      </c>
      <c r="K985" s="649" t="s">
        <v>110</v>
      </c>
      <c r="L985" s="1063">
        <v>0.4</v>
      </c>
      <c r="M985" s="827"/>
      <c r="N985" s="827" t="s">
        <v>769</v>
      </c>
      <c r="O985" s="827"/>
      <c r="P985" s="222">
        <v>1</v>
      </c>
      <c r="Q985" s="1063">
        <v>0.05</v>
      </c>
      <c r="R985" s="222"/>
      <c r="S985" s="222">
        <f t="shared" si="30"/>
        <v>0</v>
      </c>
      <c r="T985" s="765">
        <f t="shared" si="31"/>
        <v>0</v>
      </c>
      <c r="U985" s="222" t="s">
        <v>34</v>
      </c>
      <c r="V985" s="1211"/>
      <c r="W985" s="827"/>
    </row>
    <row r="986" spans="1:23" ht="22.95" customHeight="1" x14ac:dyDescent="0.4">
      <c r="A986" s="788">
        <v>985</v>
      </c>
      <c r="B986" s="246" t="s">
        <v>2616</v>
      </c>
      <c r="C986" s="246" t="s">
        <v>24</v>
      </c>
      <c r="D986" s="1134">
        <v>3383</v>
      </c>
      <c r="E986" s="246" t="s">
        <v>3746</v>
      </c>
      <c r="F986" s="245" t="s">
        <v>3735</v>
      </c>
      <c r="G986" s="679">
        <v>3020</v>
      </c>
      <c r="H986" s="245" t="s">
        <v>3711</v>
      </c>
      <c r="I986" s="246" t="s">
        <v>729</v>
      </c>
      <c r="J986" s="648" t="s">
        <v>111</v>
      </c>
      <c r="K986" s="649" t="s">
        <v>110</v>
      </c>
      <c r="L986" s="1063">
        <v>0.4</v>
      </c>
      <c r="M986" s="827"/>
      <c r="N986" s="827" t="s">
        <v>770</v>
      </c>
      <c r="O986" s="827"/>
      <c r="P986" s="222">
        <v>1</v>
      </c>
      <c r="Q986" s="1063">
        <v>0.15</v>
      </c>
      <c r="R986" s="222"/>
      <c r="S986" s="222">
        <f t="shared" si="30"/>
        <v>0</v>
      </c>
      <c r="T986" s="765">
        <f t="shared" si="31"/>
        <v>0</v>
      </c>
      <c r="U986" s="222" t="s">
        <v>34</v>
      </c>
      <c r="V986" s="1211"/>
      <c r="W986" s="827"/>
    </row>
    <row r="987" spans="1:23" ht="22.95" customHeight="1" x14ac:dyDescent="0.4">
      <c r="A987" s="788">
        <v>986</v>
      </c>
      <c r="B987" s="246" t="s">
        <v>2616</v>
      </c>
      <c r="C987" s="246" t="s">
        <v>24</v>
      </c>
      <c r="D987" s="1134">
        <v>3383</v>
      </c>
      <c r="E987" s="246" t="s">
        <v>3746</v>
      </c>
      <c r="F987" s="245" t="s">
        <v>3735</v>
      </c>
      <c r="G987" s="679">
        <v>3020</v>
      </c>
      <c r="H987" s="245" t="s">
        <v>3711</v>
      </c>
      <c r="I987" s="246" t="s">
        <v>729</v>
      </c>
      <c r="J987" s="648" t="s">
        <v>111</v>
      </c>
      <c r="K987" s="649" t="s">
        <v>110</v>
      </c>
      <c r="L987" s="1063">
        <v>0.4</v>
      </c>
      <c r="M987" s="827"/>
      <c r="N987" s="827" t="s">
        <v>254</v>
      </c>
      <c r="O987" s="827"/>
      <c r="P987" s="222">
        <v>1</v>
      </c>
      <c r="Q987" s="1063">
        <v>0.1</v>
      </c>
      <c r="R987" s="222"/>
      <c r="S987" s="222">
        <f t="shared" si="30"/>
        <v>0</v>
      </c>
      <c r="T987" s="765">
        <f t="shared" si="31"/>
        <v>0</v>
      </c>
      <c r="U987" s="222" t="s">
        <v>34</v>
      </c>
      <c r="V987" s="1211"/>
      <c r="W987" s="827"/>
    </row>
    <row r="988" spans="1:23" ht="22.95" customHeight="1" x14ac:dyDescent="0.4">
      <c r="A988" s="788">
        <v>987</v>
      </c>
      <c r="B988" s="246" t="s">
        <v>2616</v>
      </c>
      <c r="C988" s="246" t="s">
        <v>24</v>
      </c>
      <c r="D988" s="1134">
        <v>3383</v>
      </c>
      <c r="E988" s="246" t="s">
        <v>3746</v>
      </c>
      <c r="F988" s="245" t="s">
        <v>3735</v>
      </c>
      <c r="G988" s="679">
        <v>3020</v>
      </c>
      <c r="H988" s="245" t="s">
        <v>3711</v>
      </c>
      <c r="I988" s="246" t="s">
        <v>729</v>
      </c>
      <c r="J988" s="648" t="s">
        <v>111</v>
      </c>
      <c r="K988" s="649" t="s">
        <v>110</v>
      </c>
      <c r="L988" s="1063">
        <v>0.4</v>
      </c>
      <c r="M988" s="827"/>
      <c r="N988" s="827" t="s">
        <v>771</v>
      </c>
      <c r="O988" s="827"/>
      <c r="P988" s="222">
        <v>1</v>
      </c>
      <c r="Q988" s="1063">
        <v>0.05</v>
      </c>
      <c r="R988" s="222"/>
      <c r="S988" s="222">
        <f t="shared" si="30"/>
        <v>0</v>
      </c>
      <c r="T988" s="765">
        <f t="shared" si="31"/>
        <v>0</v>
      </c>
      <c r="U988" s="222" t="s">
        <v>34</v>
      </c>
      <c r="V988" s="1211"/>
      <c r="W988" s="827"/>
    </row>
    <row r="989" spans="1:23" ht="22.95" customHeight="1" x14ac:dyDescent="0.4">
      <c r="A989" s="788">
        <v>988</v>
      </c>
      <c r="B989" s="246" t="s">
        <v>2616</v>
      </c>
      <c r="C989" s="246" t="s">
        <v>24</v>
      </c>
      <c r="D989" s="1134">
        <v>3383</v>
      </c>
      <c r="E989" s="246" t="s">
        <v>3746</v>
      </c>
      <c r="F989" s="245" t="s">
        <v>3735</v>
      </c>
      <c r="G989" s="679">
        <v>3020</v>
      </c>
      <c r="H989" s="245" t="s">
        <v>3711</v>
      </c>
      <c r="I989" s="246" t="s">
        <v>729</v>
      </c>
      <c r="J989" s="648" t="s">
        <v>111</v>
      </c>
      <c r="K989" s="649" t="s">
        <v>110</v>
      </c>
      <c r="L989" s="1063">
        <v>0.4</v>
      </c>
      <c r="M989" s="827"/>
      <c r="N989" s="827" t="s">
        <v>772</v>
      </c>
      <c r="O989" s="827"/>
      <c r="P989" s="222">
        <v>1</v>
      </c>
      <c r="Q989" s="1063">
        <v>0.1</v>
      </c>
      <c r="R989" s="222"/>
      <c r="S989" s="222">
        <f t="shared" si="30"/>
        <v>0</v>
      </c>
      <c r="T989" s="765">
        <f t="shared" si="31"/>
        <v>0</v>
      </c>
      <c r="U989" s="222" t="s">
        <v>34</v>
      </c>
      <c r="V989" s="1211"/>
      <c r="W989" s="827"/>
    </row>
    <row r="990" spans="1:23" ht="22.95" customHeight="1" x14ac:dyDescent="0.4">
      <c r="A990" s="788">
        <v>989</v>
      </c>
      <c r="B990" s="246" t="s">
        <v>2616</v>
      </c>
      <c r="C990" s="246" t="s">
        <v>24</v>
      </c>
      <c r="D990" s="1134">
        <v>3383</v>
      </c>
      <c r="E990" s="246" t="s">
        <v>3746</v>
      </c>
      <c r="F990" s="245" t="s">
        <v>3735</v>
      </c>
      <c r="G990" s="679">
        <v>3020</v>
      </c>
      <c r="H990" s="245" t="s">
        <v>3711</v>
      </c>
      <c r="I990" s="246" t="s">
        <v>729</v>
      </c>
      <c r="J990" s="648" t="s">
        <v>111</v>
      </c>
      <c r="K990" s="649" t="s">
        <v>110</v>
      </c>
      <c r="L990" s="1063">
        <v>0.4</v>
      </c>
      <c r="M990" s="827"/>
      <c r="N990" s="827" t="s">
        <v>773</v>
      </c>
      <c r="O990" s="827"/>
      <c r="P990" s="222">
        <v>1</v>
      </c>
      <c r="Q990" s="1063">
        <v>0.05</v>
      </c>
      <c r="R990" s="222"/>
      <c r="S990" s="222">
        <f t="shared" si="30"/>
        <v>0</v>
      </c>
      <c r="T990" s="765">
        <f t="shared" si="31"/>
        <v>0</v>
      </c>
      <c r="U990" s="222" t="s">
        <v>34</v>
      </c>
      <c r="V990" s="1211"/>
      <c r="W990" s="827"/>
    </row>
    <row r="991" spans="1:23" ht="22.95" customHeight="1" x14ac:dyDescent="0.4">
      <c r="A991" s="788">
        <v>990</v>
      </c>
      <c r="B991" s="246" t="s">
        <v>2616</v>
      </c>
      <c r="C991" s="246" t="s">
        <v>24</v>
      </c>
      <c r="D991" s="1134">
        <v>3383</v>
      </c>
      <c r="E991" s="246" t="s">
        <v>3746</v>
      </c>
      <c r="F991" s="245" t="s">
        <v>3735</v>
      </c>
      <c r="G991" s="679">
        <v>3020</v>
      </c>
      <c r="H991" s="245" t="s">
        <v>3711</v>
      </c>
      <c r="I991" s="246" t="s">
        <v>729</v>
      </c>
      <c r="J991" s="648" t="s">
        <v>111</v>
      </c>
      <c r="K991" s="649" t="s">
        <v>110</v>
      </c>
      <c r="L991" s="1063">
        <v>0.4</v>
      </c>
      <c r="M991" s="827"/>
      <c r="N991" s="827" t="s">
        <v>774</v>
      </c>
      <c r="O991" s="827"/>
      <c r="P991" s="222">
        <v>1</v>
      </c>
      <c r="Q991" s="1063">
        <v>0.05</v>
      </c>
      <c r="R991" s="222"/>
      <c r="S991" s="222">
        <f t="shared" si="30"/>
        <v>0</v>
      </c>
      <c r="T991" s="765">
        <f t="shared" si="31"/>
        <v>0</v>
      </c>
      <c r="U991" s="222" t="s">
        <v>34</v>
      </c>
      <c r="V991" s="1211"/>
      <c r="W991" s="827"/>
    </row>
    <row r="992" spans="1:23" ht="22.95" customHeight="1" x14ac:dyDescent="0.4">
      <c r="A992" s="788">
        <v>991</v>
      </c>
      <c r="B992" s="246" t="s">
        <v>2616</v>
      </c>
      <c r="C992" s="246" t="s">
        <v>24</v>
      </c>
      <c r="D992" s="1134">
        <v>3383</v>
      </c>
      <c r="E992" s="246" t="s">
        <v>3746</v>
      </c>
      <c r="F992" s="245" t="s">
        <v>3735</v>
      </c>
      <c r="G992" s="679">
        <v>3020</v>
      </c>
      <c r="H992" s="245" t="s">
        <v>3711</v>
      </c>
      <c r="I992" s="246" t="s">
        <v>729</v>
      </c>
      <c r="J992" s="648" t="s">
        <v>111</v>
      </c>
      <c r="K992" s="649" t="s">
        <v>110</v>
      </c>
      <c r="L992" s="1063">
        <v>0.4</v>
      </c>
      <c r="M992" s="827"/>
      <c r="N992" s="827" t="s">
        <v>775</v>
      </c>
      <c r="O992" s="827"/>
      <c r="P992" s="222">
        <v>1</v>
      </c>
      <c r="Q992" s="1063">
        <v>0.05</v>
      </c>
      <c r="R992" s="222"/>
      <c r="S992" s="222">
        <f t="shared" si="30"/>
        <v>0</v>
      </c>
      <c r="T992" s="765">
        <f t="shared" si="31"/>
        <v>0</v>
      </c>
      <c r="U992" s="222" t="s">
        <v>34</v>
      </c>
      <c r="V992" s="1211"/>
      <c r="W992" s="827"/>
    </row>
    <row r="993" spans="1:23" ht="22.95" customHeight="1" x14ac:dyDescent="0.4">
      <c r="A993" s="788">
        <v>992</v>
      </c>
      <c r="B993" s="246" t="s">
        <v>2616</v>
      </c>
      <c r="C993" s="246" t="s">
        <v>24</v>
      </c>
      <c r="D993" s="1134">
        <v>3383</v>
      </c>
      <c r="E993" s="246" t="s">
        <v>3746</v>
      </c>
      <c r="F993" s="245" t="s">
        <v>3735</v>
      </c>
      <c r="G993" s="679">
        <v>3020</v>
      </c>
      <c r="H993" s="245" t="s">
        <v>3711</v>
      </c>
      <c r="I993" s="246" t="s">
        <v>729</v>
      </c>
      <c r="J993" s="648" t="s">
        <v>111</v>
      </c>
      <c r="K993" s="649" t="s">
        <v>110</v>
      </c>
      <c r="L993" s="1063">
        <v>0.4</v>
      </c>
      <c r="M993" s="827"/>
      <c r="N993" s="827" t="s">
        <v>776</v>
      </c>
      <c r="O993" s="827"/>
      <c r="P993" s="222">
        <v>1</v>
      </c>
      <c r="Q993" s="1063">
        <v>0.1</v>
      </c>
      <c r="R993" s="222"/>
      <c r="S993" s="222">
        <f t="shared" si="30"/>
        <v>0</v>
      </c>
      <c r="T993" s="765">
        <f t="shared" si="31"/>
        <v>0</v>
      </c>
      <c r="U993" s="222" t="s">
        <v>34</v>
      </c>
      <c r="V993" s="1211"/>
      <c r="W993" s="827"/>
    </row>
    <row r="994" spans="1:23" ht="22.95" customHeight="1" x14ac:dyDescent="0.4">
      <c r="A994" s="788">
        <v>993</v>
      </c>
      <c r="B994" s="246" t="s">
        <v>2616</v>
      </c>
      <c r="C994" s="246" t="s">
        <v>24</v>
      </c>
      <c r="D994" s="1134">
        <v>3383</v>
      </c>
      <c r="E994" s="246" t="s">
        <v>3746</v>
      </c>
      <c r="F994" s="245" t="s">
        <v>3735</v>
      </c>
      <c r="G994" s="679">
        <v>3020</v>
      </c>
      <c r="H994" s="245" t="s">
        <v>3711</v>
      </c>
      <c r="I994" s="246" t="s">
        <v>729</v>
      </c>
      <c r="J994" s="648" t="s">
        <v>111</v>
      </c>
      <c r="K994" s="649" t="s">
        <v>110</v>
      </c>
      <c r="L994" s="1063">
        <v>0.4</v>
      </c>
      <c r="M994" s="827"/>
      <c r="N994" s="827" t="s">
        <v>251</v>
      </c>
      <c r="O994" s="827"/>
      <c r="P994" s="222">
        <v>1</v>
      </c>
      <c r="Q994" s="1063">
        <v>0.05</v>
      </c>
      <c r="R994" s="222"/>
      <c r="S994" s="222">
        <f t="shared" si="30"/>
        <v>0</v>
      </c>
      <c r="T994" s="765">
        <f t="shared" si="31"/>
        <v>0</v>
      </c>
      <c r="U994" s="222" t="s">
        <v>34</v>
      </c>
      <c r="V994" s="1228"/>
      <c r="W994" s="827"/>
    </row>
    <row r="995" spans="1:23" ht="22.95" customHeight="1" x14ac:dyDescent="0.4">
      <c r="A995" s="788">
        <v>994</v>
      </c>
      <c r="B995" s="246" t="s">
        <v>2616</v>
      </c>
      <c r="C995" s="246" t="s">
        <v>24</v>
      </c>
      <c r="D995" s="1134">
        <v>3383</v>
      </c>
      <c r="E995" s="246" t="s">
        <v>3746</v>
      </c>
      <c r="F995" s="245" t="s">
        <v>3735</v>
      </c>
      <c r="G995" s="679">
        <v>3020</v>
      </c>
      <c r="H995" s="245" t="s">
        <v>3711</v>
      </c>
      <c r="I995" s="246" t="s">
        <v>729</v>
      </c>
      <c r="J995" s="648" t="s">
        <v>111</v>
      </c>
      <c r="K995" s="649" t="s">
        <v>110</v>
      </c>
      <c r="L995" s="1063">
        <v>0.4</v>
      </c>
      <c r="M995" s="827"/>
      <c r="N995" s="827" t="s">
        <v>252</v>
      </c>
      <c r="O995" s="827"/>
      <c r="P995" s="222">
        <v>1</v>
      </c>
      <c r="Q995" s="1063">
        <v>0.05</v>
      </c>
      <c r="R995" s="222"/>
      <c r="S995" s="222">
        <f t="shared" si="30"/>
        <v>0</v>
      </c>
      <c r="T995" s="765">
        <f t="shared" si="31"/>
        <v>0</v>
      </c>
      <c r="U995" s="222" t="s">
        <v>34</v>
      </c>
      <c r="V995" s="1228"/>
      <c r="W995" s="827"/>
    </row>
    <row r="996" spans="1:23" ht="22.95" customHeight="1" x14ac:dyDescent="0.4">
      <c r="A996" s="788">
        <v>995</v>
      </c>
      <c r="B996" s="246" t="s">
        <v>2616</v>
      </c>
      <c r="C996" s="246" t="s">
        <v>24</v>
      </c>
      <c r="D996" s="1134">
        <v>3383</v>
      </c>
      <c r="E996" s="246" t="s">
        <v>3746</v>
      </c>
      <c r="F996" s="245" t="s">
        <v>3735</v>
      </c>
      <c r="G996" s="679">
        <v>3020</v>
      </c>
      <c r="H996" s="245" t="s">
        <v>3711</v>
      </c>
      <c r="I996" s="246" t="s">
        <v>729</v>
      </c>
      <c r="J996" s="648" t="s">
        <v>111</v>
      </c>
      <c r="K996" s="649" t="s">
        <v>110</v>
      </c>
      <c r="L996" s="1063">
        <v>0.4</v>
      </c>
      <c r="M996" s="827"/>
      <c r="N996" s="827" t="s">
        <v>777</v>
      </c>
      <c r="O996" s="827"/>
      <c r="P996" s="222">
        <v>1</v>
      </c>
      <c r="Q996" s="1063">
        <v>0.05</v>
      </c>
      <c r="R996" s="222"/>
      <c r="S996" s="222">
        <f t="shared" si="30"/>
        <v>0</v>
      </c>
      <c r="T996" s="765">
        <f t="shared" si="31"/>
        <v>0</v>
      </c>
      <c r="U996" s="222" t="s">
        <v>34</v>
      </c>
      <c r="V996" s="1228"/>
      <c r="W996" s="827"/>
    </row>
    <row r="997" spans="1:23" ht="22.95" customHeight="1" x14ac:dyDescent="0.4">
      <c r="A997" s="788">
        <v>996</v>
      </c>
      <c r="B997" s="246" t="s">
        <v>2616</v>
      </c>
      <c r="C997" s="246" t="s">
        <v>24</v>
      </c>
      <c r="D997" s="1134">
        <v>3383</v>
      </c>
      <c r="E997" s="246" t="s">
        <v>3746</v>
      </c>
      <c r="F997" s="245" t="s">
        <v>3735</v>
      </c>
      <c r="G997" s="679">
        <v>3020</v>
      </c>
      <c r="H997" s="245" t="s">
        <v>3711</v>
      </c>
      <c r="I997" s="246" t="s">
        <v>729</v>
      </c>
      <c r="J997" s="648" t="s">
        <v>111</v>
      </c>
      <c r="K997" s="649" t="s">
        <v>110</v>
      </c>
      <c r="L997" s="1063">
        <v>0.4</v>
      </c>
      <c r="M997" s="827"/>
      <c r="N997" s="827" t="s">
        <v>253</v>
      </c>
      <c r="O997" s="827"/>
      <c r="P997" s="222">
        <v>1</v>
      </c>
      <c r="Q997" s="1063">
        <v>0.05</v>
      </c>
      <c r="R997" s="222"/>
      <c r="S997" s="222">
        <f t="shared" si="30"/>
        <v>0</v>
      </c>
      <c r="T997" s="765">
        <f t="shared" si="31"/>
        <v>0</v>
      </c>
      <c r="U997" s="222" t="s">
        <v>34</v>
      </c>
      <c r="V997" s="1228"/>
      <c r="W997" s="827"/>
    </row>
    <row r="998" spans="1:23" ht="22.95" customHeight="1" x14ac:dyDescent="0.4">
      <c r="A998" s="788">
        <v>997</v>
      </c>
      <c r="B998" s="653" t="s">
        <v>2616</v>
      </c>
      <c r="C998" s="653" t="s">
        <v>24</v>
      </c>
      <c r="D998" s="1200">
        <v>2515</v>
      </c>
      <c r="E998" s="187" t="s">
        <v>3756</v>
      </c>
      <c r="F998" s="236" t="s">
        <v>3757</v>
      </c>
      <c r="G998" s="674">
        <v>6039</v>
      </c>
      <c r="H998" s="236" t="s">
        <v>3584</v>
      </c>
      <c r="I998" s="187" t="s">
        <v>729</v>
      </c>
      <c r="J998" s="653" t="s">
        <v>58</v>
      </c>
      <c r="K998" s="653" t="s">
        <v>57</v>
      </c>
      <c r="L998" s="1193">
        <v>0.4</v>
      </c>
      <c r="M998" s="749"/>
      <c r="N998" s="749" t="s">
        <v>3758</v>
      </c>
      <c r="O998" s="749"/>
      <c r="P998" s="1521">
        <v>1</v>
      </c>
      <c r="Q998" s="1511">
        <v>0.05</v>
      </c>
      <c r="R998" s="1521"/>
      <c r="S998" s="195">
        <f t="shared" si="30"/>
        <v>0</v>
      </c>
      <c r="T998" s="196">
        <f t="shared" si="31"/>
        <v>0</v>
      </c>
      <c r="U998" s="197" t="s">
        <v>34</v>
      </c>
      <c r="V998" s="1488">
        <f>SUM(T998:T1016)%</f>
        <v>0</v>
      </c>
      <c r="W998" s="749"/>
    </row>
    <row r="999" spans="1:23" ht="22.95" customHeight="1" x14ac:dyDescent="0.4">
      <c r="A999" s="788">
        <v>998</v>
      </c>
      <c r="B999" s="648" t="s">
        <v>2616</v>
      </c>
      <c r="C999" s="648" t="s">
        <v>24</v>
      </c>
      <c r="D999" s="1306">
        <v>2515</v>
      </c>
      <c r="E999" s="246" t="s">
        <v>3756</v>
      </c>
      <c r="F999" s="245" t="s">
        <v>3757</v>
      </c>
      <c r="G999" s="946">
        <v>6039</v>
      </c>
      <c r="H999" s="245" t="s">
        <v>3584</v>
      </c>
      <c r="I999" s="246" t="s">
        <v>729</v>
      </c>
      <c r="J999" s="648" t="s">
        <v>58</v>
      </c>
      <c r="K999" s="648" t="s">
        <v>57</v>
      </c>
      <c r="L999" s="1196">
        <v>0.4</v>
      </c>
      <c r="M999" s="757"/>
      <c r="N999" s="757" t="s">
        <v>3759</v>
      </c>
      <c r="O999" s="757"/>
      <c r="P999" s="935">
        <v>1</v>
      </c>
      <c r="Q999" s="1486">
        <v>0.05</v>
      </c>
      <c r="R999" s="935"/>
      <c r="S999" s="206">
        <f t="shared" si="30"/>
        <v>0</v>
      </c>
      <c r="T999" s="207">
        <f t="shared" si="31"/>
        <v>0</v>
      </c>
      <c r="U999" s="208" t="s">
        <v>34</v>
      </c>
      <c r="V999" s="1203"/>
      <c r="W999" s="1469"/>
    </row>
    <row r="1000" spans="1:23" ht="22.95" customHeight="1" x14ac:dyDescent="0.4">
      <c r="A1000" s="788">
        <v>999</v>
      </c>
      <c r="B1000" s="648" t="s">
        <v>2616</v>
      </c>
      <c r="C1000" s="648" t="s">
        <v>24</v>
      </c>
      <c r="D1000" s="1306">
        <v>2515</v>
      </c>
      <c r="E1000" s="246" t="s">
        <v>3756</v>
      </c>
      <c r="F1000" s="245" t="s">
        <v>3757</v>
      </c>
      <c r="G1000" s="946">
        <v>6039</v>
      </c>
      <c r="H1000" s="245" t="s">
        <v>3584</v>
      </c>
      <c r="I1000" s="246" t="s">
        <v>729</v>
      </c>
      <c r="J1000" s="648" t="s">
        <v>58</v>
      </c>
      <c r="K1000" s="648" t="s">
        <v>57</v>
      </c>
      <c r="L1000" s="1196">
        <v>0.4</v>
      </c>
      <c r="M1000" s="757"/>
      <c r="N1000" s="757" t="s">
        <v>3760</v>
      </c>
      <c r="O1000" s="757"/>
      <c r="P1000" s="935">
        <v>1</v>
      </c>
      <c r="Q1000" s="1486">
        <v>0.1</v>
      </c>
      <c r="R1000" s="935"/>
      <c r="S1000" s="206">
        <f t="shared" si="30"/>
        <v>0</v>
      </c>
      <c r="T1000" s="207">
        <f t="shared" si="31"/>
        <v>0</v>
      </c>
      <c r="U1000" s="208" t="s">
        <v>34</v>
      </c>
      <c r="V1000" s="1203"/>
      <c r="W1000" s="1469"/>
    </row>
    <row r="1001" spans="1:23" ht="22.95" customHeight="1" x14ac:dyDescent="0.4">
      <c r="A1001" s="788">
        <v>1000</v>
      </c>
      <c r="B1001" s="648" t="s">
        <v>2616</v>
      </c>
      <c r="C1001" s="648" t="s">
        <v>24</v>
      </c>
      <c r="D1001" s="1306">
        <v>2515</v>
      </c>
      <c r="E1001" s="246" t="s">
        <v>3756</v>
      </c>
      <c r="F1001" s="245" t="s">
        <v>3757</v>
      </c>
      <c r="G1001" s="946">
        <v>6039</v>
      </c>
      <c r="H1001" s="245" t="s">
        <v>3584</v>
      </c>
      <c r="I1001" s="246" t="s">
        <v>729</v>
      </c>
      <c r="J1001" s="648" t="s">
        <v>58</v>
      </c>
      <c r="K1001" s="648" t="s">
        <v>57</v>
      </c>
      <c r="L1001" s="1196">
        <v>0.4</v>
      </c>
      <c r="M1001" s="757"/>
      <c r="N1001" s="757" t="s">
        <v>3761</v>
      </c>
      <c r="O1001" s="757"/>
      <c r="P1001" s="935">
        <v>1</v>
      </c>
      <c r="Q1001" s="1486">
        <v>0.15</v>
      </c>
      <c r="R1001" s="935"/>
      <c r="S1001" s="206">
        <f t="shared" si="30"/>
        <v>0</v>
      </c>
      <c r="T1001" s="207">
        <f t="shared" si="31"/>
        <v>0</v>
      </c>
      <c r="U1001" s="208" t="s">
        <v>34</v>
      </c>
      <c r="V1001" s="1203"/>
      <c r="W1001" s="1469"/>
    </row>
    <row r="1002" spans="1:23" ht="22.95" customHeight="1" x14ac:dyDescent="0.4">
      <c r="A1002" s="788">
        <v>1001</v>
      </c>
      <c r="B1002" s="648" t="s">
        <v>2616</v>
      </c>
      <c r="C1002" s="648" t="s">
        <v>24</v>
      </c>
      <c r="D1002" s="1306">
        <v>2515</v>
      </c>
      <c r="E1002" s="246" t="s">
        <v>3756</v>
      </c>
      <c r="F1002" s="245" t="s">
        <v>3757</v>
      </c>
      <c r="G1002" s="946">
        <v>6039</v>
      </c>
      <c r="H1002" s="245" t="s">
        <v>3584</v>
      </c>
      <c r="I1002" s="246" t="s">
        <v>729</v>
      </c>
      <c r="J1002" s="648" t="s">
        <v>58</v>
      </c>
      <c r="K1002" s="648" t="s">
        <v>57</v>
      </c>
      <c r="L1002" s="1196">
        <v>0.4</v>
      </c>
      <c r="M1002" s="757"/>
      <c r="N1002" s="757" t="s">
        <v>3762</v>
      </c>
      <c r="O1002" s="757"/>
      <c r="P1002" s="935">
        <v>1</v>
      </c>
      <c r="Q1002" s="1486">
        <v>0.15</v>
      </c>
      <c r="R1002" s="935"/>
      <c r="S1002" s="206">
        <f t="shared" si="30"/>
        <v>0</v>
      </c>
      <c r="T1002" s="207">
        <f t="shared" si="31"/>
        <v>0</v>
      </c>
      <c r="U1002" s="208" t="s">
        <v>34</v>
      </c>
      <c r="V1002" s="1203"/>
      <c r="W1002" s="1469"/>
    </row>
    <row r="1003" spans="1:23" ht="22.95" customHeight="1" x14ac:dyDescent="0.4">
      <c r="A1003" s="788">
        <v>1002</v>
      </c>
      <c r="B1003" s="648" t="s">
        <v>2616</v>
      </c>
      <c r="C1003" s="648" t="s">
        <v>24</v>
      </c>
      <c r="D1003" s="1306">
        <v>2515</v>
      </c>
      <c r="E1003" s="246" t="s">
        <v>3756</v>
      </c>
      <c r="F1003" s="245" t="s">
        <v>3757</v>
      </c>
      <c r="G1003" s="946">
        <v>6039</v>
      </c>
      <c r="H1003" s="245" t="s">
        <v>3584</v>
      </c>
      <c r="I1003" s="246" t="s">
        <v>729</v>
      </c>
      <c r="J1003" s="648" t="s">
        <v>58</v>
      </c>
      <c r="K1003" s="648" t="s">
        <v>57</v>
      </c>
      <c r="L1003" s="1196">
        <v>0.4</v>
      </c>
      <c r="M1003" s="757"/>
      <c r="N1003" s="757" t="s">
        <v>3763</v>
      </c>
      <c r="O1003" s="757"/>
      <c r="P1003" s="935">
        <v>1</v>
      </c>
      <c r="Q1003" s="1486">
        <v>0.1</v>
      </c>
      <c r="R1003" s="935"/>
      <c r="S1003" s="206">
        <f t="shared" si="30"/>
        <v>0</v>
      </c>
      <c r="T1003" s="207">
        <f t="shared" si="31"/>
        <v>0</v>
      </c>
      <c r="U1003" s="208" t="s">
        <v>34</v>
      </c>
      <c r="V1003" s="1203"/>
      <c r="W1003" s="1469"/>
    </row>
    <row r="1004" spans="1:23" ht="22.95" customHeight="1" x14ac:dyDescent="0.4">
      <c r="A1004" s="788">
        <v>1003</v>
      </c>
      <c r="B1004" s="648" t="s">
        <v>2616</v>
      </c>
      <c r="C1004" s="648" t="s">
        <v>24</v>
      </c>
      <c r="D1004" s="1306">
        <v>2515</v>
      </c>
      <c r="E1004" s="246" t="s">
        <v>3756</v>
      </c>
      <c r="F1004" s="245" t="s">
        <v>3757</v>
      </c>
      <c r="G1004" s="946">
        <v>6039</v>
      </c>
      <c r="H1004" s="245" t="s">
        <v>3584</v>
      </c>
      <c r="I1004" s="246" t="s">
        <v>729</v>
      </c>
      <c r="J1004" s="648" t="s">
        <v>58</v>
      </c>
      <c r="K1004" s="648" t="s">
        <v>57</v>
      </c>
      <c r="L1004" s="1196">
        <v>0.4</v>
      </c>
      <c r="M1004" s="757"/>
      <c r="N1004" s="757" t="s">
        <v>3764</v>
      </c>
      <c r="O1004" s="757"/>
      <c r="P1004" s="935">
        <v>1</v>
      </c>
      <c r="Q1004" s="1486">
        <v>0.1</v>
      </c>
      <c r="R1004" s="935"/>
      <c r="S1004" s="206">
        <f t="shared" si="30"/>
        <v>0</v>
      </c>
      <c r="T1004" s="207">
        <f t="shared" si="31"/>
        <v>0</v>
      </c>
      <c r="U1004" s="208" t="s">
        <v>34</v>
      </c>
      <c r="V1004" s="1203"/>
      <c r="W1004" s="1469"/>
    </row>
    <row r="1005" spans="1:23" ht="22.95" customHeight="1" x14ac:dyDescent="0.4">
      <c r="A1005" s="788">
        <v>1004</v>
      </c>
      <c r="B1005" s="648" t="s">
        <v>2616</v>
      </c>
      <c r="C1005" s="648" t="s">
        <v>24</v>
      </c>
      <c r="D1005" s="1306">
        <v>2515</v>
      </c>
      <c r="E1005" s="246" t="s">
        <v>3756</v>
      </c>
      <c r="F1005" s="245" t="s">
        <v>3757</v>
      </c>
      <c r="G1005" s="946">
        <v>6039</v>
      </c>
      <c r="H1005" s="245" t="s">
        <v>3584</v>
      </c>
      <c r="I1005" s="246" t="s">
        <v>729</v>
      </c>
      <c r="J1005" s="648" t="s">
        <v>58</v>
      </c>
      <c r="K1005" s="648" t="s">
        <v>57</v>
      </c>
      <c r="L1005" s="1196">
        <v>0.4</v>
      </c>
      <c r="M1005" s="757"/>
      <c r="N1005" s="757" t="s">
        <v>3765</v>
      </c>
      <c r="O1005" s="757"/>
      <c r="P1005" s="935">
        <v>1</v>
      </c>
      <c r="Q1005" s="1486">
        <v>0.1</v>
      </c>
      <c r="R1005" s="935"/>
      <c r="S1005" s="206">
        <f t="shared" si="30"/>
        <v>0</v>
      </c>
      <c r="T1005" s="207">
        <f t="shared" si="31"/>
        <v>0</v>
      </c>
      <c r="U1005" s="208" t="s">
        <v>34</v>
      </c>
      <c r="V1005" s="1203"/>
      <c r="W1005" s="1469"/>
    </row>
    <row r="1006" spans="1:23" ht="22.95" customHeight="1" x14ac:dyDescent="0.4">
      <c r="A1006" s="788">
        <v>1005</v>
      </c>
      <c r="B1006" s="648" t="s">
        <v>2616</v>
      </c>
      <c r="C1006" s="648" t="s">
        <v>24</v>
      </c>
      <c r="D1006" s="1306">
        <v>2515</v>
      </c>
      <c r="E1006" s="246" t="s">
        <v>3756</v>
      </c>
      <c r="F1006" s="245" t="s">
        <v>3757</v>
      </c>
      <c r="G1006" s="946">
        <v>6039</v>
      </c>
      <c r="H1006" s="245" t="s">
        <v>3584</v>
      </c>
      <c r="I1006" s="246" t="s">
        <v>729</v>
      </c>
      <c r="J1006" s="648" t="s">
        <v>58</v>
      </c>
      <c r="K1006" s="648" t="s">
        <v>57</v>
      </c>
      <c r="L1006" s="1196">
        <v>0.4</v>
      </c>
      <c r="M1006" s="757"/>
      <c r="N1006" s="757" t="s">
        <v>3766</v>
      </c>
      <c r="O1006" s="757"/>
      <c r="P1006" s="935">
        <v>1</v>
      </c>
      <c r="Q1006" s="1486">
        <v>0.1</v>
      </c>
      <c r="R1006" s="935"/>
      <c r="S1006" s="206">
        <f t="shared" si="30"/>
        <v>0</v>
      </c>
      <c r="T1006" s="207">
        <f t="shared" si="31"/>
        <v>0</v>
      </c>
      <c r="U1006" s="208" t="s">
        <v>34</v>
      </c>
      <c r="V1006" s="1203"/>
      <c r="W1006" s="1469"/>
    </row>
    <row r="1007" spans="1:23" ht="22.95" customHeight="1" x14ac:dyDescent="0.4">
      <c r="A1007" s="788">
        <v>1006</v>
      </c>
      <c r="B1007" s="648" t="s">
        <v>2616</v>
      </c>
      <c r="C1007" s="648" t="s">
        <v>24</v>
      </c>
      <c r="D1007" s="1306">
        <v>2515</v>
      </c>
      <c r="E1007" s="246" t="s">
        <v>3756</v>
      </c>
      <c r="F1007" s="245" t="s">
        <v>3757</v>
      </c>
      <c r="G1007" s="946">
        <v>6039</v>
      </c>
      <c r="H1007" s="245" t="s">
        <v>3584</v>
      </c>
      <c r="I1007" s="246" t="s">
        <v>729</v>
      </c>
      <c r="J1007" s="648" t="s">
        <v>58</v>
      </c>
      <c r="K1007" s="648" t="s">
        <v>57</v>
      </c>
      <c r="L1007" s="1196">
        <v>0.4</v>
      </c>
      <c r="M1007" s="757"/>
      <c r="N1007" s="757" t="s">
        <v>3767</v>
      </c>
      <c r="O1007" s="757"/>
      <c r="P1007" s="935">
        <v>1</v>
      </c>
      <c r="Q1007" s="1486">
        <v>0.1</v>
      </c>
      <c r="R1007" s="935"/>
      <c r="S1007" s="206">
        <f t="shared" si="30"/>
        <v>0</v>
      </c>
      <c r="T1007" s="207">
        <f t="shared" si="31"/>
        <v>0</v>
      </c>
      <c r="U1007" s="208" t="s">
        <v>34</v>
      </c>
      <c r="V1007" s="1203"/>
      <c r="W1007" s="1469"/>
    </row>
    <row r="1008" spans="1:23" ht="22.95" customHeight="1" x14ac:dyDescent="0.4">
      <c r="A1008" s="788">
        <v>1007</v>
      </c>
      <c r="B1008" s="648" t="s">
        <v>2616</v>
      </c>
      <c r="C1008" s="648" t="s">
        <v>24</v>
      </c>
      <c r="D1008" s="1306">
        <v>2515</v>
      </c>
      <c r="E1008" s="246" t="s">
        <v>3756</v>
      </c>
      <c r="F1008" s="245" t="s">
        <v>3757</v>
      </c>
      <c r="G1008" s="248">
        <v>6039</v>
      </c>
      <c r="H1008" s="245" t="s">
        <v>3584</v>
      </c>
      <c r="I1008" s="246" t="s">
        <v>729</v>
      </c>
      <c r="J1008" s="253" t="s">
        <v>111</v>
      </c>
      <c r="K1008" s="253" t="s">
        <v>110</v>
      </c>
      <c r="L1008" s="1059">
        <v>0.6</v>
      </c>
      <c r="M1008" s="879"/>
      <c r="N1008" s="879" t="s">
        <v>3768</v>
      </c>
      <c r="O1008" s="879"/>
      <c r="P1008" s="1522">
        <v>1</v>
      </c>
      <c r="Q1008" s="1496">
        <v>0.1</v>
      </c>
      <c r="R1008" s="1522"/>
      <c r="S1008" s="964">
        <f t="shared" si="30"/>
        <v>0</v>
      </c>
      <c r="T1008" s="962">
        <f t="shared" si="31"/>
        <v>0</v>
      </c>
      <c r="U1008" s="1497" t="s">
        <v>34</v>
      </c>
      <c r="V1008" s="1228"/>
      <c r="W1008" s="879"/>
    </row>
    <row r="1009" spans="1:23" ht="22.95" customHeight="1" x14ac:dyDescent="0.4">
      <c r="A1009" s="788">
        <v>1008</v>
      </c>
      <c r="B1009" s="648" t="s">
        <v>2616</v>
      </c>
      <c r="C1009" s="648" t="s">
        <v>24</v>
      </c>
      <c r="D1009" s="1306">
        <v>2515</v>
      </c>
      <c r="E1009" s="246" t="s">
        <v>3756</v>
      </c>
      <c r="F1009" s="245" t="s">
        <v>3757</v>
      </c>
      <c r="G1009" s="248">
        <v>6039</v>
      </c>
      <c r="H1009" s="245" t="s">
        <v>3584</v>
      </c>
      <c r="I1009" s="246" t="s">
        <v>729</v>
      </c>
      <c r="J1009" s="253" t="s">
        <v>111</v>
      </c>
      <c r="K1009" s="253" t="s">
        <v>110</v>
      </c>
      <c r="L1009" s="1059">
        <v>0.6</v>
      </c>
      <c r="M1009" s="879"/>
      <c r="N1009" s="879" t="s">
        <v>3575</v>
      </c>
      <c r="O1009" s="879"/>
      <c r="P1009" s="1522">
        <v>1</v>
      </c>
      <c r="Q1009" s="1496">
        <v>0.1</v>
      </c>
      <c r="R1009" s="1522"/>
      <c r="S1009" s="964">
        <f t="shared" si="30"/>
        <v>0</v>
      </c>
      <c r="T1009" s="962">
        <f t="shared" si="31"/>
        <v>0</v>
      </c>
      <c r="U1009" s="1497" t="s">
        <v>34</v>
      </c>
      <c r="V1009" s="1228"/>
      <c r="W1009" s="879"/>
    </row>
    <row r="1010" spans="1:23" ht="22.95" customHeight="1" x14ac:dyDescent="0.4">
      <c r="A1010" s="788">
        <v>1009</v>
      </c>
      <c r="B1010" s="648" t="s">
        <v>2616</v>
      </c>
      <c r="C1010" s="648" t="s">
        <v>24</v>
      </c>
      <c r="D1010" s="1306">
        <v>2515</v>
      </c>
      <c r="E1010" s="246" t="s">
        <v>3756</v>
      </c>
      <c r="F1010" s="245" t="s">
        <v>3757</v>
      </c>
      <c r="G1010" s="248">
        <v>6039</v>
      </c>
      <c r="H1010" s="245" t="s">
        <v>3584</v>
      </c>
      <c r="I1010" s="246" t="s">
        <v>729</v>
      </c>
      <c r="J1010" s="253" t="s">
        <v>111</v>
      </c>
      <c r="K1010" s="253" t="s">
        <v>110</v>
      </c>
      <c r="L1010" s="1059">
        <v>0.6</v>
      </c>
      <c r="M1010" s="879"/>
      <c r="N1010" s="879" t="s">
        <v>3578</v>
      </c>
      <c r="O1010" s="879"/>
      <c r="P1010" s="1522">
        <v>1</v>
      </c>
      <c r="Q1010" s="1496">
        <v>0.1</v>
      </c>
      <c r="R1010" s="1522"/>
      <c r="S1010" s="964">
        <f t="shared" si="30"/>
        <v>0</v>
      </c>
      <c r="T1010" s="962">
        <f t="shared" si="31"/>
        <v>0</v>
      </c>
      <c r="U1010" s="1497" t="s">
        <v>34</v>
      </c>
      <c r="V1010" s="1228"/>
      <c r="W1010" s="879"/>
    </row>
    <row r="1011" spans="1:23" ht="22.95" customHeight="1" x14ac:dyDescent="0.4">
      <c r="A1011" s="788">
        <v>1010</v>
      </c>
      <c r="B1011" s="648" t="s">
        <v>2616</v>
      </c>
      <c r="C1011" s="648" t="s">
        <v>24</v>
      </c>
      <c r="D1011" s="1306">
        <v>2515</v>
      </c>
      <c r="E1011" s="246" t="s">
        <v>3756</v>
      </c>
      <c r="F1011" s="245" t="s">
        <v>3757</v>
      </c>
      <c r="G1011" s="248">
        <v>6039</v>
      </c>
      <c r="H1011" s="245" t="s">
        <v>3584</v>
      </c>
      <c r="I1011" s="246" t="s">
        <v>729</v>
      </c>
      <c r="J1011" s="253" t="s">
        <v>111</v>
      </c>
      <c r="K1011" s="253" t="s">
        <v>110</v>
      </c>
      <c r="L1011" s="1059">
        <v>0.6</v>
      </c>
      <c r="M1011" s="879"/>
      <c r="N1011" s="879" t="s">
        <v>3769</v>
      </c>
      <c r="O1011" s="879"/>
      <c r="P1011" s="1522">
        <v>1</v>
      </c>
      <c r="Q1011" s="1496">
        <v>0.15</v>
      </c>
      <c r="R1011" s="1522"/>
      <c r="S1011" s="964">
        <f t="shared" si="30"/>
        <v>0</v>
      </c>
      <c r="T1011" s="962">
        <f t="shared" si="31"/>
        <v>0</v>
      </c>
      <c r="U1011" s="1497" t="s">
        <v>34</v>
      </c>
      <c r="V1011" s="1228"/>
      <c r="W1011" s="879"/>
    </row>
    <row r="1012" spans="1:23" ht="22.95" customHeight="1" x14ac:dyDescent="0.4">
      <c r="A1012" s="788">
        <v>1011</v>
      </c>
      <c r="B1012" s="648" t="s">
        <v>2616</v>
      </c>
      <c r="C1012" s="648" t="s">
        <v>24</v>
      </c>
      <c r="D1012" s="1306">
        <v>2515</v>
      </c>
      <c r="E1012" s="246" t="s">
        <v>3756</v>
      </c>
      <c r="F1012" s="245" t="s">
        <v>3757</v>
      </c>
      <c r="G1012" s="248">
        <v>6039</v>
      </c>
      <c r="H1012" s="245" t="s">
        <v>3584</v>
      </c>
      <c r="I1012" s="246" t="s">
        <v>729</v>
      </c>
      <c r="J1012" s="253" t="s">
        <v>111</v>
      </c>
      <c r="K1012" s="253" t="s">
        <v>110</v>
      </c>
      <c r="L1012" s="1059">
        <v>0.6</v>
      </c>
      <c r="M1012" s="879"/>
      <c r="N1012" s="879" t="s">
        <v>3577</v>
      </c>
      <c r="O1012" s="879"/>
      <c r="P1012" s="1522">
        <v>1</v>
      </c>
      <c r="Q1012" s="1496">
        <v>0.1</v>
      </c>
      <c r="R1012" s="1522"/>
      <c r="S1012" s="964">
        <f t="shared" si="30"/>
        <v>0</v>
      </c>
      <c r="T1012" s="962">
        <f t="shared" si="31"/>
        <v>0</v>
      </c>
      <c r="U1012" s="1497" t="s">
        <v>34</v>
      </c>
      <c r="V1012" s="1228"/>
      <c r="W1012" s="879"/>
    </row>
    <row r="1013" spans="1:23" ht="22.95" customHeight="1" x14ac:dyDescent="0.4">
      <c r="A1013" s="788">
        <v>1012</v>
      </c>
      <c r="B1013" s="648" t="s">
        <v>2616</v>
      </c>
      <c r="C1013" s="648" t="s">
        <v>24</v>
      </c>
      <c r="D1013" s="1306">
        <v>2515</v>
      </c>
      <c r="E1013" s="246" t="s">
        <v>3756</v>
      </c>
      <c r="F1013" s="245" t="s">
        <v>3757</v>
      </c>
      <c r="G1013" s="248">
        <v>6039</v>
      </c>
      <c r="H1013" s="245" t="s">
        <v>3584</v>
      </c>
      <c r="I1013" s="246" t="s">
        <v>729</v>
      </c>
      <c r="J1013" s="253" t="s">
        <v>111</v>
      </c>
      <c r="K1013" s="253" t="s">
        <v>110</v>
      </c>
      <c r="L1013" s="1059">
        <v>0.6</v>
      </c>
      <c r="M1013" s="879"/>
      <c r="N1013" s="879" t="s">
        <v>3576</v>
      </c>
      <c r="O1013" s="879"/>
      <c r="P1013" s="1522">
        <v>1</v>
      </c>
      <c r="Q1013" s="1496">
        <v>0.1</v>
      </c>
      <c r="R1013" s="1522"/>
      <c r="S1013" s="964">
        <f t="shared" si="30"/>
        <v>0</v>
      </c>
      <c r="T1013" s="962">
        <f t="shared" si="31"/>
        <v>0</v>
      </c>
      <c r="U1013" s="1497" t="s">
        <v>34</v>
      </c>
      <c r="V1013" s="1228"/>
      <c r="W1013" s="879"/>
    </row>
    <row r="1014" spans="1:23" ht="22.95" customHeight="1" x14ac:dyDescent="0.4">
      <c r="A1014" s="788">
        <v>1013</v>
      </c>
      <c r="B1014" s="648" t="s">
        <v>2616</v>
      </c>
      <c r="C1014" s="648" t="s">
        <v>24</v>
      </c>
      <c r="D1014" s="1306">
        <v>2515</v>
      </c>
      <c r="E1014" s="246" t="s">
        <v>3756</v>
      </c>
      <c r="F1014" s="245" t="s">
        <v>3757</v>
      </c>
      <c r="G1014" s="679">
        <v>6039</v>
      </c>
      <c r="H1014" s="246" t="s">
        <v>3584</v>
      </c>
      <c r="I1014" s="246" t="s">
        <v>729</v>
      </c>
      <c r="J1014" s="648" t="s">
        <v>111</v>
      </c>
      <c r="K1014" s="649" t="s">
        <v>110</v>
      </c>
      <c r="L1014" s="1063">
        <v>0.6</v>
      </c>
      <c r="M1014" s="827"/>
      <c r="N1014" s="827" t="s">
        <v>3770</v>
      </c>
      <c r="O1014" s="827"/>
      <c r="P1014" s="222">
        <v>1</v>
      </c>
      <c r="Q1014" s="1063">
        <v>0.15</v>
      </c>
      <c r="R1014" s="222"/>
      <c r="S1014" s="222">
        <f t="shared" si="30"/>
        <v>0</v>
      </c>
      <c r="T1014" s="765">
        <f t="shared" si="31"/>
        <v>0</v>
      </c>
      <c r="U1014" s="222" t="s">
        <v>34</v>
      </c>
      <c r="V1014" s="1228"/>
      <c r="W1014" s="827"/>
    </row>
    <row r="1015" spans="1:23" ht="22.95" customHeight="1" x14ac:dyDescent="0.4">
      <c r="A1015" s="788">
        <v>1014</v>
      </c>
      <c r="B1015" s="648" t="s">
        <v>2616</v>
      </c>
      <c r="C1015" s="648" t="s">
        <v>24</v>
      </c>
      <c r="D1015" s="1306">
        <v>2515</v>
      </c>
      <c r="E1015" s="246" t="s">
        <v>3756</v>
      </c>
      <c r="F1015" s="245" t="s">
        <v>3757</v>
      </c>
      <c r="G1015" s="679">
        <v>6039</v>
      </c>
      <c r="H1015" s="246" t="s">
        <v>3584</v>
      </c>
      <c r="I1015" s="246" t="s">
        <v>729</v>
      </c>
      <c r="J1015" s="648" t="s">
        <v>111</v>
      </c>
      <c r="K1015" s="649" t="s">
        <v>110</v>
      </c>
      <c r="L1015" s="1063">
        <v>0.6</v>
      </c>
      <c r="M1015" s="827"/>
      <c r="N1015" s="827" t="s">
        <v>3771</v>
      </c>
      <c r="O1015" s="827"/>
      <c r="P1015" s="222">
        <v>1</v>
      </c>
      <c r="Q1015" s="1063">
        <v>0.1</v>
      </c>
      <c r="R1015" s="222"/>
      <c r="S1015" s="222">
        <f t="shared" si="30"/>
        <v>0</v>
      </c>
      <c r="T1015" s="765">
        <f t="shared" si="31"/>
        <v>0</v>
      </c>
      <c r="U1015" s="222" t="s">
        <v>34</v>
      </c>
      <c r="V1015" s="1228"/>
      <c r="W1015" s="827"/>
    </row>
    <row r="1016" spans="1:23" ht="22.95" customHeight="1" x14ac:dyDescent="0.4">
      <c r="A1016" s="788">
        <v>1015</v>
      </c>
      <c r="B1016" s="648" t="s">
        <v>2616</v>
      </c>
      <c r="C1016" s="648" t="s">
        <v>24</v>
      </c>
      <c r="D1016" s="1306">
        <v>2515</v>
      </c>
      <c r="E1016" s="246" t="s">
        <v>3756</v>
      </c>
      <c r="F1016" s="245" t="s">
        <v>3757</v>
      </c>
      <c r="G1016" s="679">
        <v>6039</v>
      </c>
      <c r="H1016" s="246" t="s">
        <v>3584</v>
      </c>
      <c r="I1016" s="246" t="s">
        <v>729</v>
      </c>
      <c r="J1016" s="648" t="s">
        <v>111</v>
      </c>
      <c r="K1016" s="649" t="s">
        <v>110</v>
      </c>
      <c r="L1016" s="1063">
        <v>0.6</v>
      </c>
      <c r="M1016" s="827"/>
      <c r="N1016" s="827" t="s">
        <v>3772</v>
      </c>
      <c r="O1016" s="827"/>
      <c r="P1016" s="222">
        <v>1</v>
      </c>
      <c r="Q1016" s="1063">
        <v>0.1</v>
      </c>
      <c r="R1016" s="222"/>
      <c r="S1016" s="222">
        <f t="shared" si="30"/>
        <v>0</v>
      </c>
      <c r="T1016" s="765">
        <f t="shared" si="31"/>
        <v>0</v>
      </c>
      <c r="U1016" s="222" t="s">
        <v>34</v>
      </c>
      <c r="V1016" s="1228"/>
      <c r="W1016" s="827"/>
    </row>
    <row r="1017" spans="1:23" ht="22.95" customHeight="1" x14ac:dyDescent="0.4">
      <c r="A1017" s="788">
        <v>1016</v>
      </c>
      <c r="B1017" s="187" t="s">
        <v>2616</v>
      </c>
      <c r="C1017" s="187" t="s">
        <v>24</v>
      </c>
      <c r="D1017" s="1130">
        <v>2047</v>
      </c>
      <c r="E1017" s="187" t="s">
        <v>3773</v>
      </c>
      <c r="F1017" s="187" t="s">
        <v>3735</v>
      </c>
      <c r="G1017" s="674">
        <v>2437</v>
      </c>
      <c r="H1017" s="187" t="s">
        <v>3774</v>
      </c>
      <c r="I1017" s="187" t="s">
        <v>729</v>
      </c>
      <c r="J1017" s="653" t="s">
        <v>58</v>
      </c>
      <c r="K1017" s="653" t="s">
        <v>57</v>
      </c>
      <c r="L1017" s="1054">
        <v>0.6</v>
      </c>
      <c r="M1017" s="749"/>
      <c r="N1017" s="749" t="s">
        <v>3775</v>
      </c>
      <c r="O1017" s="749"/>
      <c r="P1017" s="644">
        <v>1</v>
      </c>
      <c r="Q1017" s="1054">
        <v>0.2</v>
      </c>
      <c r="R1017" s="644"/>
      <c r="S1017" s="644">
        <f t="shared" si="30"/>
        <v>0</v>
      </c>
      <c r="T1017" s="834">
        <f t="shared" si="31"/>
        <v>0</v>
      </c>
      <c r="U1017" s="644" t="s">
        <v>34</v>
      </c>
      <c r="V1017" s="1488">
        <f>SUM(T1017:T1043)%</f>
        <v>0</v>
      </c>
      <c r="W1017" s="749"/>
    </row>
    <row r="1018" spans="1:23" ht="22.95" customHeight="1" x14ac:dyDescent="0.4">
      <c r="A1018" s="788">
        <v>1017</v>
      </c>
      <c r="B1018" s="246" t="s">
        <v>2616</v>
      </c>
      <c r="C1018" s="246" t="s">
        <v>24</v>
      </c>
      <c r="D1018" s="1134">
        <v>2047</v>
      </c>
      <c r="E1018" s="246" t="s">
        <v>3773</v>
      </c>
      <c r="F1018" s="246" t="s">
        <v>3735</v>
      </c>
      <c r="G1018" s="679">
        <v>2437</v>
      </c>
      <c r="H1018" s="246" t="s">
        <v>3774</v>
      </c>
      <c r="I1018" s="246" t="s">
        <v>729</v>
      </c>
      <c r="J1018" s="648" t="s">
        <v>58</v>
      </c>
      <c r="K1018" s="649" t="s">
        <v>57</v>
      </c>
      <c r="L1018" s="1201">
        <v>0.6</v>
      </c>
      <c r="M1018" s="757"/>
      <c r="N1018" s="757" t="s">
        <v>3776</v>
      </c>
      <c r="O1018" s="757"/>
      <c r="P1018" s="647">
        <v>1</v>
      </c>
      <c r="Q1018" s="1201">
        <v>0.05</v>
      </c>
      <c r="R1018" s="647"/>
      <c r="S1018" s="647">
        <f t="shared" si="30"/>
        <v>0</v>
      </c>
      <c r="T1018" s="764">
        <f t="shared" si="31"/>
        <v>0</v>
      </c>
      <c r="U1018" s="647" t="s">
        <v>34</v>
      </c>
      <c r="V1018" s="1203"/>
      <c r="W1018" s="827"/>
    </row>
    <row r="1019" spans="1:23" ht="22.95" customHeight="1" x14ac:dyDescent="0.4">
      <c r="A1019" s="788">
        <v>1018</v>
      </c>
      <c r="B1019" s="246" t="s">
        <v>2616</v>
      </c>
      <c r="C1019" s="246" t="s">
        <v>24</v>
      </c>
      <c r="D1019" s="1134">
        <v>2047</v>
      </c>
      <c r="E1019" s="246" t="s">
        <v>3773</v>
      </c>
      <c r="F1019" s="246" t="s">
        <v>3735</v>
      </c>
      <c r="G1019" s="679">
        <v>2437</v>
      </c>
      <c r="H1019" s="246" t="s">
        <v>3774</v>
      </c>
      <c r="I1019" s="246" t="s">
        <v>729</v>
      </c>
      <c r="J1019" s="648" t="s">
        <v>58</v>
      </c>
      <c r="K1019" s="649" t="s">
        <v>57</v>
      </c>
      <c r="L1019" s="1201">
        <v>0.6</v>
      </c>
      <c r="M1019" s="757"/>
      <c r="N1019" s="757" t="s">
        <v>3777</v>
      </c>
      <c r="O1019" s="757"/>
      <c r="P1019" s="647">
        <v>1</v>
      </c>
      <c r="Q1019" s="1201">
        <v>0.1</v>
      </c>
      <c r="R1019" s="647"/>
      <c r="S1019" s="647">
        <f t="shared" si="30"/>
        <v>0</v>
      </c>
      <c r="T1019" s="764">
        <f t="shared" si="31"/>
        <v>0</v>
      </c>
      <c r="U1019" s="647" t="s">
        <v>34</v>
      </c>
      <c r="V1019" s="1203"/>
      <c r="W1019" s="827"/>
    </row>
    <row r="1020" spans="1:23" ht="22.95" customHeight="1" x14ac:dyDescent="0.4">
      <c r="A1020" s="788">
        <v>1019</v>
      </c>
      <c r="B1020" s="246" t="s">
        <v>2616</v>
      </c>
      <c r="C1020" s="246" t="s">
        <v>24</v>
      </c>
      <c r="D1020" s="1134">
        <v>2047</v>
      </c>
      <c r="E1020" s="246" t="s">
        <v>3773</v>
      </c>
      <c r="F1020" s="246" t="s">
        <v>3735</v>
      </c>
      <c r="G1020" s="679">
        <v>2437</v>
      </c>
      <c r="H1020" s="246" t="s">
        <v>3774</v>
      </c>
      <c r="I1020" s="246" t="s">
        <v>729</v>
      </c>
      <c r="J1020" s="648" t="s">
        <v>58</v>
      </c>
      <c r="K1020" s="649" t="s">
        <v>57</v>
      </c>
      <c r="L1020" s="1201">
        <v>0.6</v>
      </c>
      <c r="M1020" s="757"/>
      <c r="N1020" s="757" t="s">
        <v>3778</v>
      </c>
      <c r="O1020" s="757"/>
      <c r="P1020" s="647">
        <v>1</v>
      </c>
      <c r="Q1020" s="1201">
        <v>0.05</v>
      </c>
      <c r="R1020" s="647"/>
      <c r="S1020" s="647">
        <f t="shared" si="30"/>
        <v>0</v>
      </c>
      <c r="T1020" s="764">
        <f t="shared" si="31"/>
        <v>0</v>
      </c>
      <c r="U1020" s="647" t="s">
        <v>34</v>
      </c>
      <c r="V1020" s="1203"/>
      <c r="W1020" s="827"/>
    </row>
    <row r="1021" spans="1:23" ht="22.95" customHeight="1" x14ac:dyDescent="0.4">
      <c r="A1021" s="788">
        <v>1020</v>
      </c>
      <c r="B1021" s="246" t="s">
        <v>2616</v>
      </c>
      <c r="C1021" s="246" t="s">
        <v>24</v>
      </c>
      <c r="D1021" s="1134">
        <v>2047</v>
      </c>
      <c r="E1021" s="246" t="s">
        <v>3773</v>
      </c>
      <c r="F1021" s="246" t="s">
        <v>3735</v>
      </c>
      <c r="G1021" s="679">
        <v>2437</v>
      </c>
      <c r="H1021" s="246" t="s">
        <v>3774</v>
      </c>
      <c r="I1021" s="246" t="s">
        <v>729</v>
      </c>
      <c r="J1021" s="648" t="s">
        <v>58</v>
      </c>
      <c r="K1021" s="649" t="s">
        <v>57</v>
      </c>
      <c r="L1021" s="1201">
        <v>0.6</v>
      </c>
      <c r="M1021" s="757"/>
      <c r="N1021" s="757" t="s">
        <v>3779</v>
      </c>
      <c r="O1021" s="757"/>
      <c r="P1021" s="647">
        <v>1</v>
      </c>
      <c r="Q1021" s="1201">
        <v>0.1</v>
      </c>
      <c r="R1021" s="647"/>
      <c r="S1021" s="647">
        <f t="shared" si="30"/>
        <v>0</v>
      </c>
      <c r="T1021" s="764">
        <f t="shared" si="31"/>
        <v>0</v>
      </c>
      <c r="U1021" s="647" t="s">
        <v>34</v>
      </c>
      <c r="V1021" s="1203"/>
      <c r="W1021" s="827"/>
    </row>
    <row r="1022" spans="1:23" ht="22.95" customHeight="1" x14ac:dyDescent="0.4">
      <c r="A1022" s="788">
        <v>1021</v>
      </c>
      <c r="B1022" s="246" t="s">
        <v>2616</v>
      </c>
      <c r="C1022" s="246" t="s">
        <v>24</v>
      </c>
      <c r="D1022" s="1134">
        <v>2047</v>
      </c>
      <c r="E1022" s="246" t="s">
        <v>3773</v>
      </c>
      <c r="F1022" s="246" t="s">
        <v>3735</v>
      </c>
      <c r="G1022" s="679">
        <v>2437</v>
      </c>
      <c r="H1022" s="246" t="s">
        <v>3774</v>
      </c>
      <c r="I1022" s="246" t="s">
        <v>729</v>
      </c>
      <c r="J1022" s="648" t="s">
        <v>58</v>
      </c>
      <c r="K1022" s="649" t="s">
        <v>57</v>
      </c>
      <c r="L1022" s="1201">
        <v>0.6</v>
      </c>
      <c r="M1022" s="757"/>
      <c r="N1022" s="757" t="s">
        <v>3780</v>
      </c>
      <c r="O1022" s="757"/>
      <c r="P1022" s="647">
        <v>1</v>
      </c>
      <c r="Q1022" s="1201">
        <v>0.05</v>
      </c>
      <c r="R1022" s="647"/>
      <c r="S1022" s="647">
        <f t="shared" si="30"/>
        <v>0</v>
      </c>
      <c r="T1022" s="764">
        <f t="shared" si="31"/>
        <v>0</v>
      </c>
      <c r="U1022" s="647" t="s">
        <v>34</v>
      </c>
      <c r="V1022" s="1203"/>
      <c r="W1022" s="827"/>
    </row>
    <row r="1023" spans="1:23" ht="22.95" customHeight="1" x14ac:dyDescent="0.4">
      <c r="A1023" s="788">
        <v>1022</v>
      </c>
      <c r="B1023" s="246" t="s">
        <v>2616</v>
      </c>
      <c r="C1023" s="246" t="s">
        <v>24</v>
      </c>
      <c r="D1023" s="1134">
        <v>2047</v>
      </c>
      <c r="E1023" s="246" t="s">
        <v>3773</v>
      </c>
      <c r="F1023" s="246" t="s">
        <v>3735</v>
      </c>
      <c r="G1023" s="679">
        <v>2437</v>
      </c>
      <c r="H1023" s="246" t="s">
        <v>3774</v>
      </c>
      <c r="I1023" s="246" t="s">
        <v>729</v>
      </c>
      <c r="J1023" s="648" t="s">
        <v>58</v>
      </c>
      <c r="K1023" s="649" t="s">
        <v>57</v>
      </c>
      <c r="L1023" s="1201">
        <v>0.6</v>
      </c>
      <c r="M1023" s="757"/>
      <c r="N1023" s="757" t="s">
        <v>3781</v>
      </c>
      <c r="O1023" s="757"/>
      <c r="P1023" s="647">
        <v>1</v>
      </c>
      <c r="Q1023" s="1201">
        <v>0.05</v>
      </c>
      <c r="R1023" s="647"/>
      <c r="S1023" s="647">
        <f t="shared" si="30"/>
        <v>0</v>
      </c>
      <c r="T1023" s="764">
        <f t="shared" si="31"/>
        <v>0</v>
      </c>
      <c r="U1023" s="647" t="s">
        <v>34</v>
      </c>
      <c r="V1023" s="1203"/>
      <c r="W1023" s="827"/>
    </row>
    <row r="1024" spans="1:23" ht="22.95" customHeight="1" x14ac:dyDescent="0.4">
      <c r="A1024" s="788">
        <v>1023</v>
      </c>
      <c r="B1024" s="246" t="s">
        <v>2616</v>
      </c>
      <c r="C1024" s="246" t="s">
        <v>24</v>
      </c>
      <c r="D1024" s="1134">
        <v>2047</v>
      </c>
      <c r="E1024" s="246" t="s">
        <v>3773</v>
      </c>
      <c r="F1024" s="246" t="s">
        <v>3735</v>
      </c>
      <c r="G1024" s="679">
        <v>2437</v>
      </c>
      <c r="H1024" s="246" t="s">
        <v>3774</v>
      </c>
      <c r="I1024" s="246" t="s">
        <v>729</v>
      </c>
      <c r="J1024" s="648" t="s">
        <v>58</v>
      </c>
      <c r="K1024" s="649" t="s">
        <v>57</v>
      </c>
      <c r="L1024" s="1201">
        <v>0.6</v>
      </c>
      <c r="M1024" s="757"/>
      <c r="N1024" s="757" t="s">
        <v>3782</v>
      </c>
      <c r="O1024" s="757"/>
      <c r="P1024" s="647">
        <v>1</v>
      </c>
      <c r="Q1024" s="1201">
        <v>0.1</v>
      </c>
      <c r="R1024" s="647"/>
      <c r="S1024" s="647">
        <f t="shared" si="30"/>
        <v>0</v>
      </c>
      <c r="T1024" s="764">
        <f t="shared" si="31"/>
        <v>0</v>
      </c>
      <c r="U1024" s="647" t="s">
        <v>34</v>
      </c>
      <c r="V1024" s="1203"/>
      <c r="W1024" s="827"/>
    </row>
    <row r="1025" spans="1:23" ht="22.95" customHeight="1" x14ac:dyDescent="0.4">
      <c r="A1025" s="788">
        <v>1024</v>
      </c>
      <c r="B1025" s="246" t="s">
        <v>2616</v>
      </c>
      <c r="C1025" s="246" t="s">
        <v>24</v>
      </c>
      <c r="D1025" s="1134">
        <v>2047</v>
      </c>
      <c r="E1025" s="246" t="s">
        <v>3773</v>
      </c>
      <c r="F1025" s="246" t="s">
        <v>3735</v>
      </c>
      <c r="G1025" s="679">
        <v>2437</v>
      </c>
      <c r="H1025" s="246" t="s">
        <v>3774</v>
      </c>
      <c r="I1025" s="246" t="s">
        <v>729</v>
      </c>
      <c r="J1025" s="648" t="s">
        <v>58</v>
      </c>
      <c r="K1025" s="649" t="s">
        <v>57</v>
      </c>
      <c r="L1025" s="1201">
        <v>0.6</v>
      </c>
      <c r="M1025" s="757"/>
      <c r="N1025" s="757" t="s">
        <v>3783</v>
      </c>
      <c r="O1025" s="757"/>
      <c r="P1025" s="647">
        <v>1</v>
      </c>
      <c r="Q1025" s="1201">
        <v>0.05</v>
      </c>
      <c r="R1025" s="647"/>
      <c r="S1025" s="647">
        <f t="shared" si="30"/>
        <v>0</v>
      </c>
      <c r="T1025" s="764">
        <f t="shared" si="31"/>
        <v>0</v>
      </c>
      <c r="U1025" s="647" t="s">
        <v>34</v>
      </c>
      <c r="V1025" s="1203"/>
      <c r="W1025" s="827"/>
    </row>
    <row r="1026" spans="1:23" ht="22.95" customHeight="1" x14ac:dyDescent="0.4">
      <c r="A1026" s="788">
        <v>1025</v>
      </c>
      <c r="B1026" s="246" t="s">
        <v>2616</v>
      </c>
      <c r="C1026" s="246" t="s">
        <v>24</v>
      </c>
      <c r="D1026" s="1134">
        <v>2047</v>
      </c>
      <c r="E1026" s="246" t="s">
        <v>3773</v>
      </c>
      <c r="F1026" s="246" t="s">
        <v>3735</v>
      </c>
      <c r="G1026" s="1523">
        <v>2437</v>
      </c>
      <c r="H1026" s="246" t="s">
        <v>3774</v>
      </c>
      <c r="I1026" s="246" t="s">
        <v>729</v>
      </c>
      <c r="J1026" s="648" t="s">
        <v>58</v>
      </c>
      <c r="K1026" s="649" t="s">
        <v>57</v>
      </c>
      <c r="L1026" s="1201">
        <v>0.6</v>
      </c>
      <c r="M1026" s="858"/>
      <c r="N1026" s="858" t="s">
        <v>3784</v>
      </c>
      <c r="O1026" s="858"/>
      <c r="P1026" s="647">
        <v>1</v>
      </c>
      <c r="Q1026" s="1201">
        <v>0.15</v>
      </c>
      <c r="R1026" s="647"/>
      <c r="S1026" s="647">
        <f t="shared" ref="S1026:S1089" si="32">ROUND(IF(OR(P1026="",R1026=""),0,IF(AND(P1026=0,R1026=0),1,IF(U1026="+",R1026/P1026,P1026/R1026))),2)</f>
        <v>0</v>
      </c>
      <c r="T1026" s="764">
        <f t="shared" ref="T1026:T1089" si="33">IF(AND(S1026&gt;=60%,S1026&lt;100%),S1026*((Q1026*L1026)),IF(S1026=100%,((Q1026*L1026)*S1026)*100%,IF(S1026&gt;100%,((L1026*Q1026)*100%)*100%,0)))*100</f>
        <v>0</v>
      </c>
      <c r="U1026" s="647" t="s">
        <v>34</v>
      </c>
      <c r="V1026" s="1203"/>
      <c r="W1026" s="1061"/>
    </row>
    <row r="1027" spans="1:23" ht="22.95" customHeight="1" x14ac:dyDescent="0.4">
      <c r="A1027" s="788">
        <v>1026</v>
      </c>
      <c r="B1027" s="246" t="s">
        <v>2616</v>
      </c>
      <c r="C1027" s="246" t="s">
        <v>24</v>
      </c>
      <c r="D1027" s="1134">
        <v>2047</v>
      </c>
      <c r="E1027" s="246" t="s">
        <v>3773</v>
      </c>
      <c r="F1027" s="246" t="s">
        <v>3735</v>
      </c>
      <c r="G1027" s="679">
        <v>2437</v>
      </c>
      <c r="H1027" s="246" t="s">
        <v>3774</v>
      </c>
      <c r="I1027" s="246" t="s">
        <v>729</v>
      </c>
      <c r="J1027" s="648" t="s">
        <v>58</v>
      </c>
      <c r="K1027" s="649" t="s">
        <v>57</v>
      </c>
      <c r="L1027" s="1201">
        <v>0.6</v>
      </c>
      <c r="M1027" s="757"/>
      <c r="N1027" s="757" t="s">
        <v>3785</v>
      </c>
      <c r="O1027" s="757"/>
      <c r="P1027" s="647">
        <v>1</v>
      </c>
      <c r="Q1027" s="1201">
        <v>0.05</v>
      </c>
      <c r="R1027" s="647"/>
      <c r="S1027" s="647">
        <f t="shared" si="32"/>
        <v>0</v>
      </c>
      <c r="T1027" s="764">
        <f t="shared" si="33"/>
        <v>0</v>
      </c>
      <c r="U1027" s="647" t="s">
        <v>34</v>
      </c>
      <c r="V1027" s="1203"/>
      <c r="W1027" s="827"/>
    </row>
    <row r="1028" spans="1:23" ht="22.95" customHeight="1" x14ac:dyDescent="0.4">
      <c r="A1028" s="788">
        <v>1027</v>
      </c>
      <c r="B1028" s="246" t="s">
        <v>2616</v>
      </c>
      <c r="C1028" s="246" t="s">
        <v>24</v>
      </c>
      <c r="D1028" s="1134">
        <v>2047</v>
      </c>
      <c r="E1028" s="246" t="s">
        <v>3773</v>
      </c>
      <c r="F1028" s="246" t="s">
        <v>3735</v>
      </c>
      <c r="G1028" s="679">
        <v>2437</v>
      </c>
      <c r="H1028" s="246" t="s">
        <v>3774</v>
      </c>
      <c r="I1028" s="246" t="s">
        <v>729</v>
      </c>
      <c r="J1028" s="648" t="s">
        <v>58</v>
      </c>
      <c r="K1028" s="649" t="s">
        <v>57</v>
      </c>
      <c r="L1028" s="1201">
        <v>0.6</v>
      </c>
      <c r="M1028" s="757"/>
      <c r="N1028" s="757" t="s">
        <v>3786</v>
      </c>
      <c r="O1028" s="757"/>
      <c r="P1028" s="647">
        <v>1</v>
      </c>
      <c r="Q1028" s="1201">
        <v>0.05</v>
      </c>
      <c r="R1028" s="647"/>
      <c r="S1028" s="647">
        <f t="shared" si="32"/>
        <v>0</v>
      </c>
      <c r="T1028" s="764">
        <f t="shared" si="33"/>
        <v>0</v>
      </c>
      <c r="U1028" s="647" t="s">
        <v>34</v>
      </c>
      <c r="V1028" s="1203"/>
      <c r="W1028" s="827"/>
    </row>
    <row r="1029" spans="1:23" ht="22.95" customHeight="1" x14ac:dyDescent="0.4">
      <c r="A1029" s="788">
        <v>1028</v>
      </c>
      <c r="B1029" s="246" t="s">
        <v>2616</v>
      </c>
      <c r="C1029" s="246" t="s">
        <v>24</v>
      </c>
      <c r="D1029" s="1134">
        <v>2047</v>
      </c>
      <c r="E1029" s="246" t="s">
        <v>3773</v>
      </c>
      <c r="F1029" s="246" t="s">
        <v>3735</v>
      </c>
      <c r="G1029" s="679">
        <v>2437</v>
      </c>
      <c r="H1029" s="246" t="s">
        <v>3774</v>
      </c>
      <c r="I1029" s="246" t="s">
        <v>729</v>
      </c>
      <c r="J1029" s="246" t="s">
        <v>111</v>
      </c>
      <c r="K1029" s="649" t="s">
        <v>110</v>
      </c>
      <c r="L1029" s="1063">
        <v>0.4</v>
      </c>
      <c r="M1029" s="827"/>
      <c r="N1029" s="827" t="s">
        <v>255</v>
      </c>
      <c r="O1029" s="827"/>
      <c r="P1029" s="222">
        <v>1</v>
      </c>
      <c r="Q1029" s="1063">
        <v>0.05</v>
      </c>
      <c r="R1029" s="222"/>
      <c r="S1029" s="222">
        <f t="shared" si="32"/>
        <v>0</v>
      </c>
      <c r="T1029" s="765">
        <f t="shared" si="33"/>
        <v>0</v>
      </c>
      <c r="U1029" s="222" t="s">
        <v>34</v>
      </c>
      <c r="V1029" s="1228"/>
      <c r="W1029" s="827"/>
    </row>
    <row r="1030" spans="1:23" ht="22.95" customHeight="1" x14ac:dyDescent="0.4">
      <c r="A1030" s="788">
        <v>1029</v>
      </c>
      <c r="B1030" s="246" t="s">
        <v>2616</v>
      </c>
      <c r="C1030" s="246" t="s">
        <v>24</v>
      </c>
      <c r="D1030" s="1134">
        <v>2047</v>
      </c>
      <c r="E1030" s="246" t="s">
        <v>3773</v>
      </c>
      <c r="F1030" s="246" t="s">
        <v>3735</v>
      </c>
      <c r="G1030" s="679">
        <v>2437</v>
      </c>
      <c r="H1030" s="246" t="s">
        <v>3774</v>
      </c>
      <c r="I1030" s="246" t="s">
        <v>729</v>
      </c>
      <c r="J1030" s="246" t="s">
        <v>111</v>
      </c>
      <c r="K1030" s="649" t="s">
        <v>110</v>
      </c>
      <c r="L1030" s="1063">
        <v>0.4</v>
      </c>
      <c r="M1030" s="827"/>
      <c r="N1030" s="827" t="s">
        <v>768</v>
      </c>
      <c r="O1030" s="827"/>
      <c r="P1030" s="222">
        <v>1</v>
      </c>
      <c r="Q1030" s="1063">
        <v>0.05</v>
      </c>
      <c r="R1030" s="222"/>
      <c r="S1030" s="222">
        <f t="shared" si="32"/>
        <v>0</v>
      </c>
      <c r="T1030" s="765">
        <f t="shared" si="33"/>
        <v>0</v>
      </c>
      <c r="U1030" s="222" t="s">
        <v>34</v>
      </c>
      <c r="V1030" s="1228"/>
      <c r="W1030" s="827"/>
    </row>
    <row r="1031" spans="1:23" ht="22.95" customHeight="1" x14ac:dyDescent="0.4">
      <c r="A1031" s="788">
        <v>1030</v>
      </c>
      <c r="B1031" s="246" t="s">
        <v>2616</v>
      </c>
      <c r="C1031" s="246" t="s">
        <v>24</v>
      </c>
      <c r="D1031" s="1134">
        <v>2047</v>
      </c>
      <c r="E1031" s="246" t="s">
        <v>3773</v>
      </c>
      <c r="F1031" s="246" t="s">
        <v>3735</v>
      </c>
      <c r="G1031" s="679">
        <v>2437</v>
      </c>
      <c r="H1031" s="246" t="s">
        <v>3774</v>
      </c>
      <c r="I1031" s="246" t="s">
        <v>729</v>
      </c>
      <c r="J1031" s="246" t="s">
        <v>111</v>
      </c>
      <c r="K1031" s="649" t="s">
        <v>110</v>
      </c>
      <c r="L1031" s="1063">
        <v>0.4</v>
      </c>
      <c r="M1031" s="827"/>
      <c r="N1031" s="827" t="s">
        <v>769</v>
      </c>
      <c r="O1031" s="827"/>
      <c r="P1031" s="222">
        <v>1</v>
      </c>
      <c r="Q1031" s="1063">
        <v>0.05</v>
      </c>
      <c r="R1031" s="222"/>
      <c r="S1031" s="222">
        <f t="shared" si="32"/>
        <v>0</v>
      </c>
      <c r="T1031" s="765">
        <f t="shared" si="33"/>
        <v>0</v>
      </c>
      <c r="U1031" s="222" t="s">
        <v>34</v>
      </c>
      <c r="V1031" s="1228"/>
      <c r="W1031" s="827"/>
    </row>
    <row r="1032" spans="1:23" ht="22.95" customHeight="1" x14ac:dyDescent="0.4">
      <c r="A1032" s="788">
        <v>1031</v>
      </c>
      <c r="B1032" s="246" t="s">
        <v>2616</v>
      </c>
      <c r="C1032" s="246" t="s">
        <v>24</v>
      </c>
      <c r="D1032" s="1134">
        <v>2047</v>
      </c>
      <c r="E1032" s="246" t="s">
        <v>3773</v>
      </c>
      <c r="F1032" s="246" t="s">
        <v>3735</v>
      </c>
      <c r="G1032" s="679">
        <v>2437</v>
      </c>
      <c r="H1032" s="246" t="s">
        <v>3774</v>
      </c>
      <c r="I1032" s="246" t="s">
        <v>729</v>
      </c>
      <c r="J1032" s="246" t="s">
        <v>111</v>
      </c>
      <c r="K1032" s="649" t="s">
        <v>110</v>
      </c>
      <c r="L1032" s="1063">
        <v>0.4</v>
      </c>
      <c r="M1032" s="827"/>
      <c r="N1032" s="827" t="s">
        <v>770</v>
      </c>
      <c r="O1032" s="827"/>
      <c r="P1032" s="222">
        <v>1</v>
      </c>
      <c r="Q1032" s="1063">
        <v>0.15</v>
      </c>
      <c r="R1032" s="222"/>
      <c r="S1032" s="222">
        <f t="shared" si="32"/>
        <v>0</v>
      </c>
      <c r="T1032" s="765">
        <f t="shared" si="33"/>
        <v>0</v>
      </c>
      <c r="U1032" s="222" t="s">
        <v>34</v>
      </c>
      <c r="V1032" s="1228"/>
      <c r="W1032" s="827"/>
    </row>
    <row r="1033" spans="1:23" ht="22.95" customHeight="1" x14ac:dyDescent="0.4">
      <c r="A1033" s="788">
        <v>1032</v>
      </c>
      <c r="B1033" s="246" t="s">
        <v>2616</v>
      </c>
      <c r="C1033" s="246" t="s">
        <v>24</v>
      </c>
      <c r="D1033" s="1134">
        <v>2047</v>
      </c>
      <c r="E1033" s="246" t="s">
        <v>3773</v>
      </c>
      <c r="F1033" s="246" t="s">
        <v>3735</v>
      </c>
      <c r="G1033" s="679">
        <v>2437</v>
      </c>
      <c r="H1033" s="246" t="s">
        <v>3774</v>
      </c>
      <c r="I1033" s="246" t="s">
        <v>729</v>
      </c>
      <c r="J1033" s="246" t="s">
        <v>111</v>
      </c>
      <c r="K1033" s="649" t="s">
        <v>110</v>
      </c>
      <c r="L1033" s="1063">
        <v>0.4</v>
      </c>
      <c r="M1033" s="827"/>
      <c r="N1033" s="827" t="s">
        <v>254</v>
      </c>
      <c r="O1033" s="827"/>
      <c r="P1033" s="222">
        <v>1</v>
      </c>
      <c r="Q1033" s="1063">
        <v>0.1</v>
      </c>
      <c r="R1033" s="222"/>
      <c r="S1033" s="222">
        <f t="shared" si="32"/>
        <v>0</v>
      </c>
      <c r="T1033" s="765">
        <f t="shared" si="33"/>
        <v>0</v>
      </c>
      <c r="U1033" s="222" t="s">
        <v>34</v>
      </c>
      <c r="V1033" s="1228"/>
      <c r="W1033" s="827"/>
    </row>
    <row r="1034" spans="1:23" ht="22.95" customHeight="1" x14ac:dyDescent="0.4">
      <c r="A1034" s="788">
        <v>1033</v>
      </c>
      <c r="B1034" s="246" t="s">
        <v>2616</v>
      </c>
      <c r="C1034" s="246" t="s">
        <v>24</v>
      </c>
      <c r="D1034" s="1134">
        <v>2047</v>
      </c>
      <c r="E1034" s="246" t="s">
        <v>3773</v>
      </c>
      <c r="F1034" s="246" t="s">
        <v>3735</v>
      </c>
      <c r="G1034" s="679">
        <v>2437</v>
      </c>
      <c r="H1034" s="246" t="s">
        <v>3774</v>
      </c>
      <c r="I1034" s="246" t="s">
        <v>729</v>
      </c>
      <c r="J1034" s="246" t="s">
        <v>111</v>
      </c>
      <c r="K1034" s="649" t="s">
        <v>110</v>
      </c>
      <c r="L1034" s="1063">
        <v>0.4</v>
      </c>
      <c r="M1034" s="827"/>
      <c r="N1034" s="827" t="s">
        <v>771</v>
      </c>
      <c r="O1034" s="827"/>
      <c r="P1034" s="222">
        <v>1</v>
      </c>
      <c r="Q1034" s="1063">
        <v>0.05</v>
      </c>
      <c r="R1034" s="222"/>
      <c r="S1034" s="222">
        <f t="shared" si="32"/>
        <v>0</v>
      </c>
      <c r="T1034" s="765">
        <f t="shared" si="33"/>
        <v>0</v>
      </c>
      <c r="U1034" s="222" t="s">
        <v>34</v>
      </c>
      <c r="V1034" s="1228"/>
      <c r="W1034" s="827"/>
    </row>
    <row r="1035" spans="1:23" ht="22.95" customHeight="1" x14ac:dyDescent="0.4">
      <c r="A1035" s="788">
        <v>1034</v>
      </c>
      <c r="B1035" s="246" t="s">
        <v>2616</v>
      </c>
      <c r="C1035" s="246" t="s">
        <v>24</v>
      </c>
      <c r="D1035" s="1134">
        <v>2047</v>
      </c>
      <c r="E1035" s="246" t="s">
        <v>3773</v>
      </c>
      <c r="F1035" s="246" t="s">
        <v>3735</v>
      </c>
      <c r="G1035" s="679">
        <v>2437</v>
      </c>
      <c r="H1035" s="246" t="s">
        <v>3774</v>
      </c>
      <c r="I1035" s="246" t="s">
        <v>729</v>
      </c>
      <c r="J1035" s="246" t="s">
        <v>111</v>
      </c>
      <c r="K1035" s="649" t="s">
        <v>110</v>
      </c>
      <c r="L1035" s="1063">
        <v>0.4</v>
      </c>
      <c r="M1035" s="827"/>
      <c r="N1035" s="827" t="s">
        <v>772</v>
      </c>
      <c r="O1035" s="827"/>
      <c r="P1035" s="222">
        <v>1</v>
      </c>
      <c r="Q1035" s="1063">
        <v>0.1</v>
      </c>
      <c r="R1035" s="222"/>
      <c r="S1035" s="222">
        <f t="shared" si="32"/>
        <v>0</v>
      </c>
      <c r="T1035" s="765">
        <f t="shared" si="33"/>
        <v>0</v>
      </c>
      <c r="U1035" s="222" t="s">
        <v>34</v>
      </c>
      <c r="V1035" s="1228"/>
      <c r="W1035" s="827"/>
    </row>
    <row r="1036" spans="1:23" ht="22.95" customHeight="1" x14ac:dyDescent="0.4">
      <c r="A1036" s="788">
        <v>1035</v>
      </c>
      <c r="B1036" s="246" t="s">
        <v>2616</v>
      </c>
      <c r="C1036" s="246" t="s">
        <v>24</v>
      </c>
      <c r="D1036" s="1134">
        <v>2047</v>
      </c>
      <c r="E1036" s="246" t="s">
        <v>3773</v>
      </c>
      <c r="F1036" s="246" t="s">
        <v>3735</v>
      </c>
      <c r="G1036" s="679">
        <v>2437</v>
      </c>
      <c r="H1036" s="246" t="s">
        <v>3774</v>
      </c>
      <c r="I1036" s="246" t="s">
        <v>729</v>
      </c>
      <c r="J1036" s="246" t="s">
        <v>111</v>
      </c>
      <c r="K1036" s="649" t="s">
        <v>110</v>
      </c>
      <c r="L1036" s="1063">
        <v>0.4</v>
      </c>
      <c r="M1036" s="827"/>
      <c r="N1036" s="827" t="s">
        <v>773</v>
      </c>
      <c r="O1036" s="827"/>
      <c r="P1036" s="222">
        <v>1</v>
      </c>
      <c r="Q1036" s="1063">
        <v>0.05</v>
      </c>
      <c r="R1036" s="222"/>
      <c r="S1036" s="222">
        <f t="shared" si="32"/>
        <v>0</v>
      </c>
      <c r="T1036" s="765">
        <f t="shared" si="33"/>
        <v>0</v>
      </c>
      <c r="U1036" s="222" t="s">
        <v>34</v>
      </c>
      <c r="V1036" s="1228"/>
      <c r="W1036" s="827"/>
    </row>
    <row r="1037" spans="1:23" ht="22.95" customHeight="1" x14ac:dyDescent="0.4">
      <c r="A1037" s="788">
        <v>1036</v>
      </c>
      <c r="B1037" s="246" t="s">
        <v>2616</v>
      </c>
      <c r="C1037" s="246" t="s">
        <v>24</v>
      </c>
      <c r="D1037" s="1134">
        <v>2047</v>
      </c>
      <c r="E1037" s="246" t="s">
        <v>3773</v>
      </c>
      <c r="F1037" s="246" t="s">
        <v>3735</v>
      </c>
      <c r="G1037" s="679">
        <v>2437</v>
      </c>
      <c r="H1037" s="246" t="s">
        <v>3774</v>
      </c>
      <c r="I1037" s="246" t="s">
        <v>729</v>
      </c>
      <c r="J1037" s="246" t="s">
        <v>111</v>
      </c>
      <c r="K1037" s="649" t="s">
        <v>110</v>
      </c>
      <c r="L1037" s="1063">
        <v>0.4</v>
      </c>
      <c r="M1037" s="827"/>
      <c r="N1037" s="827" t="s">
        <v>774</v>
      </c>
      <c r="O1037" s="827"/>
      <c r="P1037" s="222">
        <v>1</v>
      </c>
      <c r="Q1037" s="1063">
        <v>0.05</v>
      </c>
      <c r="R1037" s="222"/>
      <c r="S1037" s="222">
        <f t="shared" si="32"/>
        <v>0</v>
      </c>
      <c r="T1037" s="765">
        <f t="shared" si="33"/>
        <v>0</v>
      </c>
      <c r="U1037" s="222" t="s">
        <v>34</v>
      </c>
      <c r="V1037" s="1228"/>
      <c r="W1037" s="827"/>
    </row>
    <row r="1038" spans="1:23" ht="22.95" customHeight="1" x14ac:dyDescent="0.4">
      <c r="A1038" s="788">
        <v>1037</v>
      </c>
      <c r="B1038" s="246" t="s">
        <v>2616</v>
      </c>
      <c r="C1038" s="246" t="s">
        <v>24</v>
      </c>
      <c r="D1038" s="1134">
        <v>2047</v>
      </c>
      <c r="E1038" s="246" t="s">
        <v>3773</v>
      </c>
      <c r="F1038" s="246" t="s">
        <v>3735</v>
      </c>
      <c r="G1038" s="679">
        <v>2437</v>
      </c>
      <c r="H1038" s="246" t="s">
        <v>3774</v>
      </c>
      <c r="I1038" s="246" t="s">
        <v>729</v>
      </c>
      <c r="J1038" s="246" t="s">
        <v>111</v>
      </c>
      <c r="K1038" s="649" t="s">
        <v>110</v>
      </c>
      <c r="L1038" s="1063">
        <v>0.4</v>
      </c>
      <c r="M1038" s="827"/>
      <c r="N1038" s="827" t="s">
        <v>775</v>
      </c>
      <c r="O1038" s="827"/>
      <c r="P1038" s="222">
        <v>1</v>
      </c>
      <c r="Q1038" s="1063">
        <v>0.05</v>
      </c>
      <c r="R1038" s="222"/>
      <c r="S1038" s="222">
        <f t="shared" si="32"/>
        <v>0</v>
      </c>
      <c r="T1038" s="765">
        <f t="shared" si="33"/>
        <v>0</v>
      </c>
      <c r="U1038" s="222" t="s">
        <v>34</v>
      </c>
      <c r="V1038" s="1228"/>
      <c r="W1038" s="827"/>
    </row>
    <row r="1039" spans="1:23" ht="22.95" customHeight="1" x14ac:dyDescent="0.4">
      <c r="A1039" s="788">
        <v>1038</v>
      </c>
      <c r="B1039" s="246" t="s">
        <v>2616</v>
      </c>
      <c r="C1039" s="246" t="s">
        <v>24</v>
      </c>
      <c r="D1039" s="1134">
        <v>2047</v>
      </c>
      <c r="E1039" s="246" t="s">
        <v>3773</v>
      </c>
      <c r="F1039" s="246" t="s">
        <v>3735</v>
      </c>
      <c r="G1039" s="679">
        <v>2437</v>
      </c>
      <c r="H1039" s="246" t="s">
        <v>3774</v>
      </c>
      <c r="I1039" s="246" t="s">
        <v>729</v>
      </c>
      <c r="J1039" s="246" t="s">
        <v>111</v>
      </c>
      <c r="K1039" s="649" t="s">
        <v>110</v>
      </c>
      <c r="L1039" s="1063">
        <v>0.4</v>
      </c>
      <c r="M1039" s="827"/>
      <c r="N1039" s="827" t="s">
        <v>776</v>
      </c>
      <c r="O1039" s="827"/>
      <c r="P1039" s="222">
        <v>1</v>
      </c>
      <c r="Q1039" s="1063">
        <v>0.1</v>
      </c>
      <c r="R1039" s="222"/>
      <c r="S1039" s="222">
        <f t="shared" si="32"/>
        <v>0</v>
      </c>
      <c r="T1039" s="765">
        <f t="shared" si="33"/>
        <v>0</v>
      </c>
      <c r="U1039" s="222" t="s">
        <v>34</v>
      </c>
      <c r="V1039" s="1228"/>
      <c r="W1039" s="827"/>
    </row>
    <row r="1040" spans="1:23" ht="22.95" customHeight="1" x14ac:dyDescent="0.4">
      <c r="A1040" s="788">
        <v>1039</v>
      </c>
      <c r="B1040" s="246" t="s">
        <v>2616</v>
      </c>
      <c r="C1040" s="246" t="s">
        <v>24</v>
      </c>
      <c r="D1040" s="1134">
        <v>2047</v>
      </c>
      <c r="E1040" s="246" t="s">
        <v>3773</v>
      </c>
      <c r="F1040" s="246" t="s">
        <v>3735</v>
      </c>
      <c r="G1040" s="679">
        <v>2437</v>
      </c>
      <c r="H1040" s="246" t="s">
        <v>3774</v>
      </c>
      <c r="I1040" s="246" t="s">
        <v>729</v>
      </c>
      <c r="J1040" s="246" t="s">
        <v>111</v>
      </c>
      <c r="K1040" s="649" t="s">
        <v>110</v>
      </c>
      <c r="L1040" s="1063">
        <v>0.4</v>
      </c>
      <c r="M1040" s="827"/>
      <c r="N1040" s="827" t="s">
        <v>251</v>
      </c>
      <c r="O1040" s="827"/>
      <c r="P1040" s="222">
        <v>1</v>
      </c>
      <c r="Q1040" s="1063">
        <v>0.05</v>
      </c>
      <c r="R1040" s="222"/>
      <c r="S1040" s="222">
        <f t="shared" si="32"/>
        <v>0</v>
      </c>
      <c r="T1040" s="765">
        <f t="shared" si="33"/>
        <v>0</v>
      </c>
      <c r="U1040" s="222" t="s">
        <v>34</v>
      </c>
      <c r="V1040" s="1228"/>
      <c r="W1040" s="827"/>
    </row>
    <row r="1041" spans="1:23" ht="22.95" customHeight="1" x14ac:dyDescent="0.4">
      <c r="A1041" s="788">
        <v>1040</v>
      </c>
      <c r="B1041" s="246" t="s">
        <v>2616</v>
      </c>
      <c r="C1041" s="246" t="s">
        <v>24</v>
      </c>
      <c r="D1041" s="1134">
        <v>2047</v>
      </c>
      <c r="E1041" s="246" t="s">
        <v>3773</v>
      </c>
      <c r="F1041" s="246" t="s">
        <v>3735</v>
      </c>
      <c r="G1041" s="679">
        <v>2437</v>
      </c>
      <c r="H1041" s="246" t="s">
        <v>3774</v>
      </c>
      <c r="I1041" s="246" t="s">
        <v>729</v>
      </c>
      <c r="J1041" s="246" t="s">
        <v>111</v>
      </c>
      <c r="K1041" s="649" t="s">
        <v>110</v>
      </c>
      <c r="L1041" s="1063">
        <v>0.4</v>
      </c>
      <c r="M1041" s="827"/>
      <c r="N1041" s="827" t="s">
        <v>252</v>
      </c>
      <c r="O1041" s="827"/>
      <c r="P1041" s="222">
        <v>1</v>
      </c>
      <c r="Q1041" s="1063">
        <v>0.05</v>
      </c>
      <c r="R1041" s="222"/>
      <c r="S1041" s="222">
        <f t="shared" si="32"/>
        <v>0</v>
      </c>
      <c r="T1041" s="765">
        <f t="shared" si="33"/>
        <v>0</v>
      </c>
      <c r="U1041" s="222" t="s">
        <v>34</v>
      </c>
      <c r="V1041" s="1228"/>
      <c r="W1041" s="827"/>
    </row>
    <row r="1042" spans="1:23" ht="22.95" customHeight="1" x14ac:dyDescent="0.4">
      <c r="A1042" s="788">
        <v>1041</v>
      </c>
      <c r="B1042" s="246" t="s">
        <v>2616</v>
      </c>
      <c r="C1042" s="246" t="s">
        <v>24</v>
      </c>
      <c r="D1042" s="1134">
        <v>2047</v>
      </c>
      <c r="E1042" s="246" t="s">
        <v>3773</v>
      </c>
      <c r="F1042" s="246" t="s">
        <v>3735</v>
      </c>
      <c r="G1042" s="679">
        <v>2437</v>
      </c>
      <c r="H1042" s="246" t="s">
        <v>3774</v>
      </c>
      <c r="I1042" s="246" t="s">
        <v>729</v>
      </c>
      <c r="J1042" s="246" t="s">
        <v>111</v>
      </c>
      <c r="K1042" s="649" t="s">
        <v>110</v>
      </c>
      <c r="L1042" s="1063">
        <v>0.4</v>
      </c>
      <c r="M1042" s="827"/>
      <c r="N1042" s="827" t="s">
        <v>777</v>
      </c>
      <c r="O1042" s="827"/>
      <c r="P1042" s="222">
        <v>1</v>
      </c>
      <c r="Q1042" s="1063">
        <v>0.05</v>
      </c>
      <c r="R1042" s="222"/>
      <c r="S1042" s="222">
        <f t="shared" si="32"/>
        <v>0</v>
      </c>
      <c r="T1042" s="765">
        <f t="shared" si="33"/>
        <v>0</v>
      </c>
      <c r="U1042" s="222" t="s">
        <v>34</v>
      </c>
      <c r="V1042" s="1228"/>
      <c r="W1042" s="827"/>
    </row>
    <row r="1043" spans="1:23" ht="22.95" customHeight="1" x14ac:dyDescent="0.4">
      <c r="A1043" s="788">
        <v>1042</v>
      </c>
      <c r="B1043" s="246" t="s">
        <v>2616</v>
      </c>
      <c r="C1043" s="246" t="s">
        <v>24</v>
      </c>
      <c r="D1043" s="1134">
        <v>2047</v>
      </c>
      <c r="E1043" s="246" t="s">
        <v>3773</v>
      </c>
      <c r="F1043" s="246" t="s">
        <v>3735</v>
      </c>
      <c r="G1043" s="679">
        <v>2437</v>
      </c>
      <c r="H1043" s="246" t="s">
        <v>3774</v>
      </c>
      <c r="I1043" s="246" t="s">
        <v>729</v>
      </c>
      <c r="J1043" s="246" t="s">
        <v>111</v>
      </c>
      <c r="K1043" s="649" t="s">
        <v>110</v>
      </c>
      <c r="L1043" s="1063">
        <v>0.4</v>
      </c>
      <c r="M1043" s="827"/>
      <c r="N1043" s="827" t="s">
        <v>253</v>
      </c>
      <c r="O1043" s="827"/>
      <c r="P1043" s="222">
        <v>1</v>
      </c>
      <c r="Q1043" s="1063">
        <v>0.05</v>
      </c>
      <c r="R1043" s="222"/>
      <c r="S1043" s="222">
        <f t="shared" si="32"/>
        <v>0</v>
      </c>
      <c r="T1043" s="765">
        <f t="shared" si="33"/>
        <v>0</v>
      </c>
      <c r="U1043" s="222" t="s">
        <v>34</v>
      </c>
      <c r="V1043" s="1228"/>
      <c r="W1043" s="827"/>
    </row>
    <row r="1044" spans="1:23" ht="22.95" customHeight="1" x14ac:dyDescent="0.4">
      <c r="A1044" s="788">
        <v>1043</v>
      </c>
      <c r="B1044" s="236" t="s">
        <v>2616</v>
      </c>
      <c r="C1044" s="236" t="s">
        <v>24</v>
      </c>
      <c r="D1044" s="1219">
        <v>2437</v>
      </c>
      <c r="E1044" s="236" t="s">
        <v>3774</v>
      </c>
      <c r="F1044" s="236" t="s">
        <v>3787</v>
      </c>
      <c r="G1044" s="238">
        <v>6039</v>
      </c>
      <c r="H1044" s="236" t="s">
        <v>3584</v>
      </c>
      <c r="I1044" s="236" t="s">
        <v>729</v>
      </c>
      <c r="J1044" s="243" t="s">
        <v>58</v>
      </c>
      <c r="K1044" s="243" t="s">
        <v>57</v>
      </c>
      <c r="L1044" s="1052">
        <v>0.4</v>
      </c>
      <c r="M1044" s="952"/>
      <c r="N1044" s="952" t="s">
        <v>3788</v>
      </c>
      <c r="O1044" s="952"/>
      <c r="P1044" s="855">
        <v>1</v>
      </c>
      <c r="Q1044" s="1052">
        <v>0.1</v>
      </c>
      <c r="R1044" s="855"/>
      <c r="S1044" s="855">
        <f t="shared" si="32"/>
        <v>0</v>
      </c>
      <c r="T1044" s="854">
        <f t="shared" si="33"/>
        <v>0</v>
      </c>
      <c r="U1044" s="855" t="s">
        <v>34</v>
      </c>
      <c r="V1044" s="1488">
        <f>SUM(T1044:T1067)%</f>
        <v>0</v>
      </c>
      <c r="W1044" s="952"/>
    </row>
    <row r="1045" spans="1:23" ht="22.95" customHeight="1" x14ac:dyDescent="0.4">
      <c r="A1045" s="788">
        <v>1044</v>
      </c>
      <c r="B1045" s="246" t="s">
        <v>2616</v>
      </c>
      <c r="C1045" s="246" t="s">
        <v>24</v>
      </c>
      <c r="D1045" s="1134">
        <v>2437</v>
      </c>
      <c r="E1045" s="246" t="s">
        <v>3774</v>
      </c>
      <c r="F1045" s="246" t="s">
        <v>3787</v>
      </c>
      <c r="G1045" s="679">
        <v>6039</v>
      </c>
      <c r="H1045" s="246" t="s">
        <v>3584</v>
      </c>
      <c r="I1045" s="246" t="s">
        <v>729</v>
      </c>
      <c r="J1045" s="648" t="s">
        <v>58</v>
      </c>
      <c r="K1045" s="649" t="s">
        <v>57</v>
      </c>
      <c r="L1045" s="1201">
        <v>0.4</v>
      </c>
      <c r="M1045" s="757"/>
      <c r="N1045" s="757" t="s">
        <v>3789</v>
      </c>
      <c r="O1045" s="757"/>
      <c r="P1045" s="647">
        <v>1</v>
      </c>
      <c r="Q1045" s="1201">
        <v>0.1</v>
      </c>
      <c r="R1045" s="647"/>
      <c r="S1045" s="647">
        <f t="shared" si="32"/>
        <v>0</v>
      </c>
      <c r="T1045" s="764">
        <f t="shared" si="33"/>
        <v>0</v>
      </c>
      <c r="U1045" s="647" t="s">
        <v>34</v>
      </c>
      <c r="V1045" s="1203"/>
      <c r="W1045" s="827"/>
    </row>
    <row r="1046" spans="1:23" ht="22.95" customHeight="1" x14ac:dyDescent="0.4">
      <c r="A1046" s="788">
        <v>1045</v>
      </c>
      <c r="B1046" s="246" t="s">
        <v>2616</v>
      </c>
      <c r="C1046" s="246" t="s">
        <v>24</v>
      </c>
      <c r="D1046" s="1134">
        <v>2437</v>
      </c>
      <c r="E1046" s="246" t="s">
        <v>3774</v>
      </c>
      <c r="F1046" s="246" t="s">
        <v>3787</v>
      </c>
      <c r="G1046" s="679">
        <v>6039</v>
      </c>
      <c r="H1046" s="246" t="s">
        <v>3584</v>
      </c>
      <c r="I1046" s="246" t="s">
        <v>729</v>
      </c>
      <c r="J1046" s="648" t="s">
        <v>58</v>
      </c>
      <c r="K1046" s="649" t="s">
        <v>57</v>
      </c>
      <c r="L1046" s="1201">
        <v>0.4</v>
      </c>
      <c r="M1046" s="757"/>
      <c r="N1046" s="757" t="s">
        <v>753</v>
      </c>
      <c r="O1046" s="757"/>
      <c r="P1046" s="647">
        <v>1</v>
      </c>
      <c r="Q1046" s="1201">
        <v>0.05</v>
      </c>
      <c r="R1046" s="647"/>
      <c r="S1046" s="647">
        <f t="shared" si="32"/>
        <v>0</v>
      </c>
      <c r="T1046" s="764">
        <f t="shared" si="33"/>
        <v>0</v>
      </c>
      <c r="U1046" s="647" t="s">
        <v>34</v>
      </c>
      <c r="V1046" s="1203"/>
      <c r="W1046" s="827"/>
    </row>
    <row r="1047" spans="1:23" ht="22.95" customHeight="1" x14ac:dyDescent="0.4">
      <c r="A1047" s="788">
        <v>1046</v>
      </c>
      <c r="B1047" s="246" t="s">
        <v>2616</v>
      </c>
      <c r="C1047" s="246" t="s">
        <v>24</v>
      </c>
      <c r="D1047" s="1134">
        <v>2437</v>
      </c>
      <c r="E1047" s="246" t="s">
        <v>3774</v>
      </c>
      <c r="F1047" s="246" t="s">
        <v>3787</v>
      </c>
      <c r="G1047" s="679">
        <v>6039</v>
      </c>
      <c r="H1047" s="246" t="s">
        <v>3584</v>
      </c>
      <c r="I1047" s="246" t="s">
        <v>729</v>
      </c>
      <c r="J1047" s="648" t="s">
        <v>58</v>
      </c>
      <c r="K1047" s="649" t="s">
        <v>57</v>
      </c>
      <c r="L1047" s="1201">
        <v>0.4</v>
      </c>
      <c r="M1047" s="757"/>
      <c r="N1047" s="757" t="s">
        <v>3790</v>
      </c>
      <c r="O1047" s="757"/>
      <c r="P1047" s="647">
        <v>1</v>
      </c>
      <c r="Q1047" s="1201">
        <v>0.1</v>
      </c>
      <c r="R1047" s="647"/>
      <c r="S1047" s="647">
        <f t="shared" si="32"/>
        <v>0</v>
      </c>
      <c r="T1047" s="764">
        <f t="shared" si="33"/>
        <v>0</v>
      </c>
      <c r="U1047" s="647" t="s">
        <v>34</v>
      </c>
      <c r="V1047" s="1203"/>
      <c r="W1047" s="827"/>
    </row>
    <row r="1048" spans="1:23" ht="22.95" customHeight="1" x14ac:dyDescent="0.4">
      <c r="A1048" s="788">
        <v>1047</v>
      </c>
      <c r="B1048" s="246" t="s">
        <v>2616</v>
      </c>
      <c r="C1048" s="246" t="s">
        <v>24</v>
      </c>
      <c r="D1048" s="1134">
        <v>2437</v>
      </c>
      <c r="E1048" s="246" t="s">
        <v>3774</v>
      </c>
      <c r="F1048" s="246" t="s">
        <v>3787</v>
      </c>
      <c r="G1048" s="679">
        <v>6039</v>
      </c>
      <c r="H1048" s="246" t="s">
        <v>3584</v>
      </c>
      <c r="I1048" s="246" t="s">
        <v>729</v>
      </c>
      <c r="J1048" s="648" t="s">
        <v>58</v>
      </c>
      <c r="K1048" s="649" t="s">
        <v>57</v>
      </c>
      <c r="L1048" s="1201">
        <v>0.4</v>
      </c>
      <c r="M1048" s="757"/>
      <c r="N1048" s="757" t="s">
        <v>3791</v>
      </c>
      <c r="O1048" s="757"/>
      <c r="P1048" s="647">
        <v>1</v>
      </c>
      <c r="Q1048" s="1201">
        <v>0.05</v>
      </c>
      <c r="R1048" s="647"/>
      <c r="S1048" s="647">
        <f t="shared" si="32"/>
        <v>0</v>
      </c>
      <c r="T1048" s="764">
        <f t="shared" si="33"/>
        <v>0</v>
      </c>
      <c r="U1048" s="647" t="s">
        <v>34</v>
      </c>
      <c r="V1048" s="1203"/>
      <c r="W1048" s="827"/>
    </row>
    <row r="1049" spans="1:23" ht="22.95" customHeight="1" x14ac:dyDescent="0.4">
      <c r="A1049" s="788">
        <v>1048</v>
      </c>
      <c r="B1049" s="246" t="s">
        <v>2616</v>
      </c>
      <c r="C1049" s="246" t="s">
        <v>24</v>
      </c>
      <c r="D1049" s="1134">
        <v>2437</v>
      </c>
      <c r="E1049" s="246" t="s">
        <v>3774</v>
      </c>
      <c r="F1049" s="246" t="s">
        <v>3787</v>
      </c>
      <c r="G1049" s="679">
        <v>6039</v>
      </c>
      <c r="H1049" s="246" t="s">
        <v>3584</v>
      </c>
      <c r="I1049" s="246" t="s">
        <v>729</v>
      </c>
      <c r="J1049" s="648" t="s">
        <v>58</v>
      </c>
      <c r="K1049" s="649" t="s">
        <v>57</v>
      </c>
      <c r="L1049" s="1201">
        <v>0.4</v>
      </c>
      <c r="M1049" s="757"/>
      <c r="N1049" s="757" t="s">
        <v>3792</v>
      </c>
      <c r="O1049" s="757"/>
      <c r="P1049" s="647">
        <v>1</v>
      </c>
      <c r="Q1049" s="1201">
        <v>0.05</v>
      </c>
      <c r="R1049" s="647"/>
      <c r="S1049" s="647">
        <f t="shared" si="32"/>
        <v>0</v>
      </c>
      <c r="T1049" s="764">
        <f t="shared" si="33"/>
        <v>0</v>
      </c>
      <c r="U1049" s="647" t="s">
        <v>34</v>
      </c>
      <c r="V1049" s="1203"/>
      <c r="W1049" s="827"/>
    </row>
    <row r="1050" spans="1:23" ht="22.95" customHeight="1" x14ac:dyDescent="0.4">
      <c r="A1050" s="788">
        <v>1049</v>
      </c>
      <c r="B1050" s="246" t="s">
        <v>2616</v>
      </c>
      <c r="C1050" s="246" t="s">
        <v>24</v>
      </c>
      <c r="D1050" s="1134">
        <v>2437</v>
      </c>
      <c r="E1050" s="246" t="s">
        <v>3774</v>
      </c>
      <c r="F1050" s="246" t="s">
        <v>3787</v>
      </c>
      <c r="G1050" s="679">
        <v>6039</v>
      </c>
      <c r="H1050" s="246" t="s">
        <v>3584</v>
      </c>
      <c r="I1050" s="246" t="s">
        <v>729</v>
      </c>
      <c r="J1050" s="648" t="s">
        <v>58</v>
      </c>
      <c r="K1050" s="649" t="s">
        <v>57</v>
      </c>
      <c r="L1050" s="1201">
        <v>0.4</v>
      </c>
      <c r="M1050" s="757"/>
      <c r="N1050" s="757" t="s">
        <v>765</v>
      </c>
      <c r="O1050" s="757"/>
      <c r="P1050" s="647">
        <v>1</v>
      </c>
      <c r="Q1050" s="1201">
        <v>0.05</v>
      </c>
      <c r="R1050" s="647"/>
      <c r="S1050" s="647">
        <f t="shared" si="32"/>
        <v>0</v>
      </c>
      <c r="T1050" s="764">
        <f t="shared" si="33"/>
        <v>0</v>
      </c>
      <c r="U1050" s="647" t="s">
        <v>34</v>
      </c>
      <c r="V1050" s="1203"/>
      <c r="W1050" s="827"/>
    </row>
    <row r="1051" spans="1:23" ht="22.95" customHeight="1" x14ac:dyDescent="0.4">
      <c r="A1051" s="788">
        <v>1050</v>
      </c>
      <c r="B1051" s="246" t="s">
        <v>2616</v>
      </c>
      <c r="C1051" s="246" t="s">
        <v>24</v>
      </c>
      <c r="D1051" s="1134">
        <v>2437</v>
      </c>
      <c r="E1051" s="246" t="s">
        <v>3774</v>
      </c>
      <c r="F1051" s="246" t="s">
        <v>3787</v>
      </c>
      <c r="G1051" s="679">
        <v>6039</v>
      </c>
      <c r="H1051" s="246" t="s">
        <v>3584</v>
      </c>
      <c r="I1051" s="246" t="s">
        <v>729</v>
      </c>
      <c r="J1051" s="648" t="s">
        <v>58</v>
      </c>
      <c r="K1051" s="649" t="s">
        <v>57</v>
      </c>
      <c r="L1051" s="1201">
        <v>0.4</v>
      </c>
      <c r="M1051" s="757"/>
      <c r="N1051" s="757" t="s">
        <v>3793</v>
      </c>
      <c r="O1051" s="757"/>
      <c r="P1051" s="647">
        <v>1</v>
      </c>
      <c r="Q1051" s="1201">
        <v>0.2</v>
      </c>
      <c r="R1051" s="647"/>
      <c r="S1051" s="647">
        <f t="shared" si="32"/>
        <v>0</v>
      </c>
      <c r="T1051" s="764">
        <f t="shared" si="33"/>
        <v>0</v>
      </c>
      <c r="U1051" s="647" t="s">
        <v>34</v>
      </c>
      <c r="V1051" s="1203"/>
      <c r="W1051" s="827"/>
    </row>
    <row r="1052" spans="1:23" ht="22.95" customHeight="1" x14ac:dyDescent="0.4">
      <c r="A1052" s="788">
        <v>1051</v>
      </c>
      <c r="B1052" s="246" t="s">
        <v>2616</v>
      </c>
      <c r="C1052" s="246" t="s">
        <v>24</v>
      </c>
      <c r="D1052" s="1134">
        <v>2437</v>
      </c>
      <c r="E1052" s="246" t="s">
        <v>3774</v>
      </c>
      <c r="F1052" s="246" t="s">
        <v>3787</v>
      </c>
      <c r="G1052" s="679">
        <v>6039</v>
      </c>
      <c r="H1052" s="246" t="s">
        <v>3584</v>
      </c>
      <c r="I1052" s="246" t="s">
        <v>729</v>
      </c>
      <c r="J1052" s="648" t="s">
        <v>58</v>
      </c>
      <c r="K1052" s="649" t="s">
        <v>57</v>
      </c>
      <c r="L1052" s="1201">
        <v>0.4</v>
      </c>
      <c r="M1052" s="757"/>
      <c r="N1052" s="757" t="s">
        <v>3794</v>
      </c>
      <c r="O1052" s="757"/>
      <c r="P1052" s="647">
        <v>1</v>
      </c>
      <c r="Q1052" s="1201">
        <v>0.05</v>
      </c>
      <c r="R1052" s="647"/>
      <c r="S1052" s="647">
        <f t="shared" si="32"/>
        <v>0</v>
      </c>
      <c r="T1052" s="764">
        <f t="shared" si="33"/>
        <v>0</v>
      </c>
      <c r="U1052" s="647" t="s">
        <v>34</v>
      </c>
      <c r="V1052" s="1203"/>
      <c r="W1052" s="827"/>
    </row>
    <row r="1053" spans="1:23" ht="22.95" customHeight="1" x14ac:dyDescent="0.4">
      <c r="A1053" s="788">
        <v>1052</v>
      </c>
      <c r="B1053" s="246" t="s">
        <v>2616</v>
      </c>
      <c r="C1053" s="246" t="s">
        <v>24</v>
      </c>
      <c r="D1053" s="1134">
        <v>2437</v>
      </c>
      <c r="E1053" s="246" t="s">
        <v>3774</v>
      </c>
      <c r="F1053" s="246" t="s">
        <v>3787</v>
      </c>
      <c r="G1053" s="679">
        <v>6039</v>
      </c>
      <c r="H1053" s="246" t="s">
        <v>3584</v>
      </c>
      <c r="I1053" s="246" t="s">
        <v>729</v>
      </c>
      <c r="J1053" s="648" t="s">
        <v>58</v>
      </c>
      <c r="K1053" s="649" t="s">
        <v>57</v>
      </c>
      <c r="L1053" s="1201">
        <v>0.4</v>
      </c>
      <c r="M1053" s="757"/>
      <c r="N1053" s="757" t="s">
        <v>3795</v>
      </c>
      <c r="O1053" s="757"/>
      <c r="P1053" s="647">
        <v>1</v>
      </c>
      <c r="Q1053" s="1201">
        <v>0.05</v>
      </c>
      <c r="R1053" s="647"/>
      <c r="S1053" s="647">
        <f t="shared" si="32"/>
        <v>0</v>
      </c>
      <c r="T1053" s="764">
        <f t="shared" si="33"/>
        <v>0</v>
      </c>
      <c r="U1053" s="647" t="s">
        <v>34</v>
      </c>
      <c r="V1053" s="1203"/>
      <c r="W1053" s="827"/>
    </row>
    <row r="1054" spans="1:23" ht="22.95" customHeight="1" x14ac:dyDescent="0.4">
      <c r="A1054" s="788">
        <v>1053</v>
      </c>
      <c r="B1054" s="246" t="s">
        <v>2616</v>
      </c>
      <c r="C1054" s="246" t="s">
        <v>24</v>
      </c>
      <c r="D1054" s="1134">
        <v>2437</v>
      </c>
      <c r="E1054" s="246" t="s">
        <v>3774</v>
      </c>
      <c r="F1054" s="246" t="s">
        <v>3787</v>
      </c>
      <c r="G1054" s="679">
        <v>6039</v>
      </c>
      <c r="H1054" s="246" t="s">
        <v>3584</v>
      </c>
      <c r="I1054" s="246" t="s">
        <v>729</v>
      </c>
      <c r="J1054" s="648" t="s">
        <v>58</v>
      </c>
      <c r="K1054" s="649" t="s">
        <v>57</v>
      </c>
      <c r="L1054" s="1201">
        <v>0.4</v>
      </c>
      <c r="M1054" s="757"/>
      <c r="N1054" s="757" t="s">
        <v>3796</v>
      </c>
      <c r="O1054" s="757"/>
      <c r="P1054" s="647">
        <v>1</v>
      </c>
      <c r="Q1054" s="1201">
        <v>0.05</v>
      </c>
      <c r="R1054" s="647"/>
      <c r="S1054" s="647">
        <f t="shared" si="32"/>
        <v>0</v>
      </c>
      <c r="T1054" s="764">
        <f t="shared" si="33"/>
        <v>0</v>
      </c>
      <c r="U1054" s="647" t="s">
        <v>34</v>
      </c>
      <c r="V1054" s="1203"/>
      <c r="W1054" s="827"/>
    </row>
    <row r="1055" spans="1:23" ht="22.95" customHeight="1" x14ac:dyDescent="0.4">
      <c r="A1055" s="788">
        <v>1054</v>
      </c>
      <c r="B1055" s="246" t="s">
        <v>2616</v>
      </c>
      <c r="C1055" s="246" t="s">
        <v>24</v>
      </c>
      <c r="D1055" s="1134">
        <v>2437</v>
      </c>
      <c r="E1055" s="246" t="s">
        <v>3774</v>
      </c>
      <c r="F1055" s="246" t="s">
        <v>3787</v>
      </c>
      <c r="G1055" s="679">
        <v>6039</v>
      </c>
      <c r="H1055" s="246" t="s">
        <v>3584</v>
      </c>
      <c r="I1055" s="246" t="s">
        <v>729</v>
      </c>
      <c r="J1055" s="648" t="s">
        <v>58</v>
      </c>
      <c r="K1055" s="649" t="s">
        <v>57</v>
      </c>
      <c r="L1055" s="1201">
        <v>0.4</v>
      </c>
      <c r="M1055" s="757"/>
      <c r="N1055" s="757" t="s">
        <v>3797</v>
      </c>
      <c r="O1055" s="757"/>
      <c r="P1055" s="647">
        <v>1</v>
      </c>
      <c r="Q1055" s="1201">
        <v>0.05</v>
      </c>
      <c r="R1055" s="647"/>
      <c r="S1055" s="647">
        <f t="shared" si="32"/>
        <v>0</v>
      </c>
      <c r="T1055" s="764">
        <f t="shared" si="33"/>
        <v>0</v>
      </c>
      <c r="U1055" s="647" t="s">
        <v>34</v>
      </c>
      <c r="V1055" s="1203"/>
      <c r="W1055" s="827"/>
    </row>
    <row r="1056" spans="1:23" ht="22.95" customHeight="1" x14ac:dyDescent="0.4">
      <c r="A1056" s="788">
        <v>1055</v>
      </c>
      <c r="B1056" s="246" t="s">
        <v>2616</v>
      </c>
      <c r="C1056" s="246" t="s">
        <v>24</v>
      </c>
      <c r="D1056" s="1134">
        <v>2437</v>
      </c>
      <c r="E1056" s="246" t="s">
        <v>3774</v>
      </c>
      <c r="F1056" s="246" t="s">
        <v>3787</v>
      </c>
      <c r="G1056" s="679">
        <v>6039</v>
      </c>
      <c r="H1056" s="246" t="s">
        <v>3584</v>
      </c>
      <c r="I1056" s="246" t="s">
        <v>729</v>
      </c>
      <c r="J1056" s="648" t="s">
        <v>58</v>
      </c>
      <c r="K1056" s="649" t="s">
        <v>57</v>
      </c>
      <c r="L1056" s="1201">
        <v>0.4</v>
      </c>
      <c r="M1056" s="757"/>
      <c r="N1056" s="757" t="s">
        <v>3798</v>
      </c>
      <c r="O1056" s="757"/>
      <c r="P1056" s="647">
        <v>1</v>
      </c>
      <c r="Q1056" s="1201">
        <v>0.05</v>
      </c>
      <c r="R1056" s="647"/>
      <c r="S1056" s="647">
        <f t="shared" si="32"/>
        <v>0</v>
      </c>
      <c r="T1056" s="764">
        <f t="shared" si="33"/>
        <v>0</v>
      </c>
      <c r="U1056" s="647" t="s">
        <v>34</v>
      </c>
      <c r="V1056" s="1203"/>
      <c r="W1056" s="827"/>
    </row>
    <row r="1057" spans="1:23" ht="22.95" customHeight="1" x14ac:dyDescent="0.4">
      <c r="A1057" s="788">
        <v>1056</v>
      </c>
      <c r="B1057" s="246" t="s">
        <v>2616</v>
      </c>
      <c r="C1057" s="246" t="s">
        <v>24</v>
      </c>
      <c r="D1057" s="1134">
        <v>2437</v>
      </c>
      <c r="E1057" s="246" t="s">
        <v>3774</v>
      </c>
      <c r="F1057" s="246" t="s">
        <v>3787</v>
      </c>
      <c r="G1057" s="679">
        <v>6039</v>
      </c>
      <c r="H1057" s="246" t="s">
        <v>3584</v>
      </c>
      <c r="I1057" s="246" t="s">
        <v>729</v>
      </c>
      <c r="J1057" s="648" t="s">
        <v>58</v>
      </c>
      <c r="K1057" s="649" t="s">
        <v>57</v>
      </c>
      <c r="L1057" s="1201">
        <v>0.4</v>
      </c>
      <c r="M1057" s="757"/>
      <c r="N1057" s="757" t="s">
        <v>3799</v>
      </c>
      <c r="O1057" s="757"/>
      <c r="P1057" s="647">
        <v>1</v>
      </c>
      <c r="Q1057" s="1201">
        <v>0.05</v>
      </c>
      <c r="R1057" s="647"/>
      <c r="S1057" s="647">
        <f t="shared" si="32"/>
        <v>0</v>
      </c>
      <c r="T1057" s="764">
        <f t="shared" si="33"/>
        <v>0</v>
      </c>
      <c r="U1057" s="647" t="s">
        <v>34</v>
      </c>
      <c r="V1057" s="1203"/>
      <c r="W1057" s="827"/>
    </row>
    <row r="1058" spans="1:23" ht="22.95" customHeight="1" x14ac:dyDescent="0.4">
      <c r="A1058" s="788">
        <v>1057</v>
      </c>
      <c r="B1058" s="246" t="s">
        <v>2616</v>
      </c>
      <c r="C1058" s="246" t="s">
        <v>24</v>
      </c>
      <c r="D1058" s="1134">
        <v>2437</v>
      </c>
      <c r="E1058" s="246" t="s">
        <v>3774</v>
      </c>
      <c r="F1058" s="246" t="s">
        <v>3787</v>
      </c>
      <c r="G1058" s="679">
        <v>6039</v>
      </c>
      <c r="H1058" s="246" t="s">
        <v>3584</v>
      </c>
      <c r="I1058" s="246" t="s">
        <v>729</v>
      </c>
      <c r="J1058" s="648" t="s">
        <v>111</v>
      </c>
      <c r="K1058" s="649" t="s">
        <v>110</v>
      </c>
      <c r="L1058" s="1063">
        <v>0.6</v>
      </c>
      <c r="M1058" s="827"/>
      <c r="N1058" s="827" t="s">
        <v>3800</v>
      </c>
      <c r="O1058" s="827"/>
      <c r="P1058" s="222">
        <v>1</v>
      </c>
      <c r="Q1058" s="1063">
        <v>0.1</v>
      </c>
      <c r="R1058" s="222"/>
      <c r="S1058" s="222">
        <f t="shared" si="32"/>
        <v>0</v>
      </c>
      <c r="T1058" s="765">
        <f t="shared" si="33"/>
        <v>0</v>
      </c>
      <c r="U1058" s="222" t="s">
        <v>34</v>
      </c>
      <c r="V1058" s="1228"/>
      <c r="W1058" s="827"/>
    </row>
    <row r="1059" spans="1:23" ht="22.95" customHeight="1" x14ac:dyDescent="0.4">
      <c r="A1059" s="788">
        <v>1058</v>
      </c>
      <c r="B1059" s="246" t="s">
        <v>2616</v>
      </c>
      <c r="C1059" s="246" t="s">
        <v>24</v>
      </c>
      <c r="D1059" s="1134">
        <v>2437</v>
      </c>
      <c r="E1059" s="246" t="s">
        <v>3774</v>
      </c>
      <c r="F1059" s="246" t="s">
        <v>3787</v>
      </c>
      <c r="G1059" s="679">
        <v>6039</v>
      </c>
      <c r="H1059" s="246" t="s">
        <v>3584</v>
      </c>
      <c r="I1059" s="246" t="s">
        <v>729</v>
      </c>
      <c r="J1059" s="648" t="s">
        <v>111</v>
      </c>
      <c r="K1059" s="649" t="s">
        <v>110</v>
      </c>
      <c r="L1059" s="1063">
        <v>0.6</v>
      </c>
      <c r="M1059" s="827"/>
      <c r="N1059" s="827" t="s">
        <v>3801</v>
      </c>
      <c r="O1059" s="827"/>
      <c r="P1059" s="222">
        <v>1</v>
      </c>
      <c r="Q1059" s="1063">
        <v>0.15</v>
      </c>
      <c r="R1059" s="222"/>
      <c r="S1059" s="222">
        <f t="shared" si="32"/>
        <v>0</v>
      </c>
      <c r="T1059" s="765">
        <f t="shared" si="33"/>
        <v>0</v>
      </c>
      <c r="U1059" s="222" t="s">
        <v>34</v>
      </c>
      <c r="V1059" s="1228"/>
      <c r="W1059" s="827"/>
    </row>
    <row r="1060" spans="1:23" ht="22.95" customHeight="1" x14ac:dyDescent="0.4">
      <c r="A1060" s="788">
        <v>1059</v>
      </c>
      <c r="B1060" s="246" t="s">
        <v>2616</v>
      </c>
      <c r="C1060" s="246" t="s">
        <v>24</v>
      </c>
      <c r="D1060" s="1134">
        <v>2437</v>
      </c>
      <c r="E1060" s="246" t="s">
        <v>3774</v>
      </c>
      <c r="F1060" s="246" t="s">
        <v>3787</v>
      </c>
      <c r="G1060" s="679">
        <v>6039</v>
      </c>
      <c r="H1060" s="246" t="s">
        <v>3584</v>
      </c>
      <c r="I1060" s="246" t="s">
        <v>729</v>
      </c>
      <c r="J1060" s="648" t="s">
        <v>111</v>
      </c>
      <c r="K1060" s="649" t="s">
        <v>110</v>
      </c>
      <c r="L1060" s="1063">
        <v>0.6</v>
      </c>
      <c r="M1060" s="827"/>
      <c r="N1060" s="827" t="s">
        <v>3802</v>
      </c>
      <c r="O1060" s="827"/>
      <c r="P1060" s="222">
        <v>1</v>
      </c>
      <c r="Q1060" s="1063">
        <v>0.15</v>
      </c>
      <c r="R1060" s="222"/>
      <c r="S1060" s="222">
        <f t="shared" si="32"/>
        <v>0</v>
      </c>
      <c r="T1060" s="765">
        <f t="shared" si="33"/>
        <v>0</v>
      </c>
      <c r="U1060" s="222" t="s">
        <v>34</v>
      </c>
      <c r="V1060" s="1228"/>
      <c r="W1060" s="827"/>
    </row>
    <row r="1061" spans="1:23" ht="22.95" customHeight="1" x14ac:dyDescent="0.4">
      <c r="A1061" s="788">
        <v>1060</v>
      </c>
      <c r="B1061" s="246" t="s">
        <v>2616</v>
      </c>
      <c r="C1061" s="246" t="s">
        <v>24</v>
      </c>
      <c r="D1061" s="1134">
        <v>2437</v>
      </c>
      <c r="E1061" s="246" t="s">
        <v>3774</v>
      </c>
      <c r="F1061" s="246" t="s">
        <v>3787</v>
      </c>
      <c r="G1061" s="679">
        <v>6039</v>
      </c>
      <c r="H1061" s="246" t="s">
        <v>3584</v>
      </c>
      <c r="I1061" s="246" t="s">
        <v>729</v>
      </c>
      <c r="J1061" s="648" t="s">
        <v>111</v>
      </c>
      <c r="K1061" s="649" t="s">
        <v>110</v>
      </c>
      <c r="L1061" s="1063">
        <v>0.6</v>
      </c>
      <c r="M1061" s="827"/>
      <c r="N1061" s="827" t="s">
        <v>3803</v>
      </c>
      <c r="O1061" s="827"/>
      <c r="P1061" s="222">
        <v>1</v>
      </c>
      <c r="Q1061" s="1063">
        <v>0.1</v>
      </c>
      <c r="R1061" s="222"/>
      <c r="S1061" s="222">
        <f t="shared" si="32"/>
        <v>0</v>
      </c>
      <c r="T1061" s="765">
        <f t="shared" si="33"/>
        <v>0</v>
      </c>
      <c r="U1061" s="222" t="s">
        <v>34</v>
      </c>
      <c r="V1061" s="1228"/>
      <c r="W1061" s="827"/>
    </row>
    <row r="1062" spans="1:23" ht="22.95" customHeight="1" x14ac:dyDescent="0.4">
      <c r="A1062" s="788">
        <v>1061</v>
      </c>
      <c r="B1062" s="246" t="s">
        <v>2616</v>
      </c>
      <c r="C1062" s="246" t="s">
        <v>24</v>
      </c>
      <c r="D1062" s="1134">
        <v>2437</v>
      </c>
      <c r="E1062" s="246" t="s">
        <v>3774</v>
      </c>
      <c r="F1062" s="246" t="s">
        <v>3787</v>
      </c>
      <c r="G1062" s="679">
        <v>6039</v>
      </c>
      <c r="H1062" s="246" t="s">
        <v>3584</v>
      </c>
      <c r="I1062" s="246" t="s">
        <v>729</v>
      </c>
      <c r="J1062" s="648" t="s">
        <v>111</v>
      </c>
      <c r="K1062" s="649" t="s">
        <v>110</v>
      </c>
      <c r="L1062" s="1063">
        <v>0.6</v>
      </c>
      <c r="M1062" s="827"/>
      <c r="N1062" s="827" t="s">
        <v>3804</v>
      </c>
      <c r="O1062" s="827"/>
      <c r="P1062" s="222">
        <v>1</v>
      </c>
      <c r="Q1062" s="1063">
        <v>0.1</v>
      </c>
      <c r="R1062" s="222"/>
      <c r="S1062" s="222">
        <f t="shared" si="32"/>
        <v>0</v>
      </c>
      <c r="T1062" s="765">
        <f t="shared" si="33"/>
        <v>0</v>
      </c>
      <c r="U1062" s="222" t="s">
        <v>34</v>
      </c>
      <c r="V1062" s="1228"/>
      <c r="W1062" s="827"/>
    </row>
    <row r="1063" spans="1:23" ht="22.95" customHeight="1" x14ac:dyDescent="0.4">
      <c r="A1063" s="788">
        <v>1062</v>
      </c>
      <c r="B1063" s="246" t="s">
        <v>2616</v>
      </c>
      <c r="C1063" s="246" t="s">
        <v>24</v>
      </c>
      <c r="D1063" s="1134">
        <v>2437</v>
      </c>
      <c r="E1063" s="246" t="s">
        <v>3774</v>
      </c>
      <c r="F1063" s="246" t="s">
        <v>3787</v>
      </c>
      <c r="G1063" s="679">
        <v>6039</v>
      </c>
      <c r="H1063" s="246" t="s">
        <v>3584</v>
      </c>
      <c r="I1063" s="246" t="s">
        <v>729</v>
      </c>
      <c r="J1063" s="648" t="s">
        <v>111</v>
      </c>
      <c r="K1063" s="649" t="s">
        <v>110</v>
      </c>
      <c r="L1063" s="1063">
        <v>0.6</v>
      </c>
      <c r="M1063" s="827"/>
      <c r="N1063" s="827" t="s">
        <v>3805</v>
      </c>
      <c r="O1063" s="827"/>
      <c r="P1063" s="222">
        <v>1</v>
      </c>
      <c r="Q1063" s="1063">
        <v>0.15</v>
      </c>
      <c r="R1063" s="222"/>
      <c r="S1063" s="222">
        <f t="shared" si="32"/>
        <v>0</v>
      </c>
      <c r="T1063" s="765">
        <f t="shared" si="33"/>
        <v>0</v>
      </c>
      <c r="U1063" s="222" t="s">
        <v>34</v>
      </c>
      <c r="V1063" s="1228"/>
      <c r="W1063" s="827"/>
    </row>
    <row r="1064" spans="1:23" ht="22.95" customHeight="1" x14ac:dyDescent="0.4">
      <c r="A1064" s="788">
        <v>1063</v>
      </c>
      <c r="B1064" s="246" t="s">
        <v>2616</v>
      </c>
      <c r="C1064" s="246" t="s">
        <v>24</v>
      </c>
      <c r="D1064" s="1134">
        <v>2437</v>
      </c>
      <c r="E1064" s="246" t="s">
        <v>3774</v>
      </c>
      <c r="F1064" s="246" t="s">
        <v>3787</v>
      </c>
      <c r="G1064" s="679">
        <v>6039</v>
      </c>
      <c r="H1064" s="246" t="s">
        <v>3584</v>
      </c>
      <c r="I1064" s="246" t="s">
        <v>729</v>
      </c>
      <c r="J1064" s="648" t="s">
        <v>111</v>
      </c>
      <c r="K1064" s="649" t="s">
        <v>110</v>
      </c>
      <c r="L1064" s="1063">
        <v>0.6</v>
      </c>
      <c r="M1064" s="827"/>
      <c r="N1064" s="827" t="s">
        <v>746</v>
      </c>
      <c r="O1064" s="827"/>
      <c r="P1064" s="222">
        <v>1</v>
      </c>
      <c r="Q1064" s="1063">
        <v>0.1</v>
      </c>
      <c r="R1064" s="222"/>
      <c r="S1064" s="222">
        <f t="shared" si="32"/>
        <v>0</v>
      </c>
      <c r="T1064" s="765">
        <f t="shared" si="33"/>
        <v>0</v>
      </c>
      <c r="U1064" s="222" t="s">
        <v>34</v>
      </c>
      <c r="V1064" s="1228"/>
      <c r="W1064" s="827"/>
    </row>
    <row r="1065" spans="1:23" ht="22.95" customHeight="1" x14ac:dyDescent="0.4">
      <c r="A1065" s="788">
        <v>1064</v>
      </c>
      <c r="B1065" s="246" t="s">
        <v>2616</v>
      </c>
      <c r="C1065" s="246" t="s">
        <v>24</v>
      </c>
      <c r="D1065" s="1134">
        <v>2437</v>
      </c>
      <c r="E1065" s="246" t="s">
        <v>3774</v>
      </c>
      <c r="F1065" s="246" t="s">
        <v>3787</v>
      </c>
      <c r="G1065" s="679">
        <v>6039</v>
      </c>
      <c r="H1065" s="246" t="s">
        <v>3584</v>
      </c>
      <c r="I1065" s="246" t="s">
        <v>729</v>
      </c>
      <c r="J1065" s="648" t="s">
        <v>111</v>
      </c>
      <c r="K1065" s="649" t="s">
        <v>110</v>
      </c>
      <c r="L1065" s="1063">
        <v>0.6</v>
      </c>
      <c r="M1065" s="827"/>
      <c r="N1065" s="827" t="s">
        <v>3806</v>
      </c>
      <c r="O1065" s="827"/>
      <c r="P1065" s="222">
        <v>1</v>
      </c>
      <c r="Q1065" s="1063">
        <v>0.05</v>
      </c>
      <c r="R1065" s="222"/>
      <c r="S1065" s="222">
        <f t="shared" si="32"/>
        <v>0</v>
      </c>
      <c r="T1065" s="765">
        <f t="shared" si="33"/>
        <v>0</v>
      </c>
      <c r="U1065" s="222" t="s">
        <v>34</v>
      </c>
      <c r="V1065" s="1228"/>
      <c r="W1065" s="827"/>
    </row>
    <row r="1066" spans="1:23" ht="22.95" customHeight="1" x14ac:dyDescent="0.4">
      <c r="A1066" s="788">
        <v>1065</v>
      </c>
      <c r="B1066" s="246" t="s">
        <v>2616</v>
      </c>
      <c r="C1066" s="246" t="s">
        <v>24</v>
      </c>
      <c r="D1066" s="1134">
        <v>2437</v>
      </c>
      <c r="E1066" s="246" t="s">
        <v>3774</v>
      </c>
      <c r="F1066" s="246" t="s">
        <v>3787</v>
      </c>
      <c r="G1066" s="679">
        <v>6039</v>
      </c>
      <c r="H1066" s="246" t="s">
        <v>3584</v>
      </c>
      <c r="I1066" s="246" t="s">
        <v>729</v>
      </c>
      <c r="J1066" s="648" t="s">
        <v>111</v>
      </c>
      <c r="K1066" s="649" t="s">
        <v>110</v>
      </c>
      <c r="L1066" s="1063">
        <v>0.6</v>
      </c>
      <c r="M1066" s="827"/>
      <c r="N1066" s="827" t="s">
        <v>3807</v>
      </c>
      <c r="O1066" s="827"/>
      <c r="P1066" s="222">
        <v>1</v>
      </c>
      <c r="Q1066" s="1063">
        <v>0.05</v>
      </c>
      <c r="R1066" s="222"/>
      <c r="S1066" s="222">
        <f t="shared" si="32"/>
        <v>0</v>
      </c>
      <c r="T1066" s="765">
        <f t="shared" si="33"/>
        <v>0</v>
      </c>
      <c r="U1066" s="222" t="s">
        <v>34</v>
      </c>
      <c r="V1066" s="1228"/>
      <c r="W1066" s="827"/>
    </row>
    <row r="1067" spans="1:23" ht="22.95" customHeight="1" x14ac:dyDescent="0.4">
      <c r="A1067" s="788">
        <v>1066</v>
      </c>
      <c r="B1067" s="246" t="s">
        <v>2616</v>
      </c>
      <c r="C1067" s="246" t="s">
        <v>24</v>
      </c>
      <c r="D1067" s="1134">
        <v>2437</v>
      </c>
      <c r="E1067" s="246" t="s">
        <v>3774</v>
      </c>
      <c r="F1067" s="245" t="s">
        <v>3787</v>
      </c>
      <c r="G1067" s="200">
        <v>6039</v>
      </c>
      <c r="H1067" s="245" t="s">
        <v>3584</v>
      </c>
      <c r="I1067" s="246" t="s">
        <v>729</v>
      </c>
      <c r="J1067" s="253" t="s">
        <v>111</v>
      </c>
      <c r="K1067" s="253" t="s">
        <v>110</v>
      </c>
      <c r="L1067" s="1059">
        <v>0.6</v>
      </c>
      <c r="M1067" s="767"/>
      <c r="N1067" s="767" t="s">
        <v>3808</v>
      </c>
      <c r="O1067" s="767"/>
      <c r="P1067" s="262">
        <v>1</v>
      </c>
      <c r="Q1067" s="1496">
        <v>0.05</v>
      </c>
      <c r="R1067" s="262"/>
      <c r="S1067" s="964">
        <f t="shared" si="32"/>
        <v>0</v>
      </c>
      <c r="T1067" s="962">
        <f t="shared" si="33"/>
        <v>0</v>
      </c>
      <c r="U1067" s="1497" t="s">
        <v>34</v>
      </c>
      <c r="V1067" s="1228"/>
      <c r="W1067" s="767"/>
    </row>
    <row r="1068" spans="1:23" ht="22.95" customHeight="1" x14ac:dyDescent="0.4">
      <c r="A1068" s="788">
        <v>1067</v>
      </c>
      <c r="B1068" s="1283" t="s">
        <v>2616</v>
      </c>
      <c r="C1068" s="187" t="s">
        <v>24</v>
      </c>
      <c r="D1068" s="1200">
        <v>6453</v>
      </c>
      <c r="E1068" s="187" t="s">
        <v>1080</v>
      </c>
      <c r="F1068" s="187" t="s">
        <v>3809</v>
      </c>
      <c r="G1068" s="795">
        <v>6319</v>
      </c>
      <c r="H1068" s="187" t="s">
        <v>3810</v>
      </c>
      <c r="I1068" s="187" t="s">
        <v>3811</v>
      </c>
      <c r="J1068" s="653" t="s">
        <v>58</v>
      </c>
      <c r="K1068" s="653" t="s">
        <v>57</v>
      </c>
      <c r="L1068" s="1054">
        <v>0.6</v>
      </c>
      <c r="M1068" s="749"/>
      <c r="N1068" s="653" t="s">
        <v>3812</v>
      </c>
      <c r="O1068" s="749"/>
      <c r="P1068" s="953">
        <v>1</v>
      </c>
      <c r="Q1068" s="1054">
        <v>0.1</v>
      </c>
      <c r="R1068" s="953"/>
      <c r="S1068" s="644">
        <f t="shared" si="32"/>
        <v>0</v>
      </c>
      <c r="T1068" s="834">
        <f t="shared" si="33"/>
        <v>0</v>
      </c>
      <c r="U1068" s="644" t="s">
        <v>34</v>
      </c>
      <c r="V1068" s="1488">
        <f>SUM(T1068:T1090)%</f>
        <v>0</v>
      </c>
      <c r="W1068" s="644"/>
    </row>
    <row r="1069" spans="1:23" ht="22.95" customHeight="1" x14ac:dyDescent="0.4">
      <c r="A1069" s="788">
        <v>1068</v>
      </c>
      <c r="B1069" s="1524" t="s">
        <v>2616</v>
      </c>
      <c r="C1069" s="199" t="s">
        <v>24</v>
      </c>
      <c r="D1069" s="1082">
        <v>6453</v>
      </c>
      <c r="E1069" s="199" t="s">
        <v>1080</v>
      </c>
      <c r="F1069" s="199" t="s">
        <v>3809</v>
      </c>
      <c r="G1069" s="804">
        <v>6319</v>
      </c>
      <c r="H1069" s="199" t="s">
        <v>3810</v>
      </c>
      <c r="I1069" s="199" t="s">
        <v>3811</v>
      </c>
      <c r="J1069" s="79" t="s">
        <v>58</v>
      </c>
      <c r="K1069" s="79" t="s">
        <v>57</v>
      </c>
      <c r="L1069" s="1067">
        <v>0.6</v>
      </c>
      <c r="M1069" s="757"/>
      <c r="N1069" s="79" t="s">
        <v>3813</v>
      </c>
      <c r="O1069" s="757"/>
      <c r="P1069" s="669">
        <v>1</v>
      </c>
      <c r="Q1069" s="1201">
        <v>0.1</v>
      </c>
      <c r="R1069" s="669"/>
      <c r="S1069" s="204">
        <f t="shared" si="32"/>
        <v>0</v>
      </c>
      <c r="T1069" s="960">
        <f t="shared" si="33"/>
        <v>0</v>
      </c>
      <c r="U1069" s="669" t="s">
        <v>34</v>
      </c>
      <c r="V1069" s="1203"/>
      <c r="W1069" s="1272"/>
    </row>
    <row r="1070" spans="1:23" ht="22.95" customHeight="1" x14ac:dyDescent="0.4">
      <c r="A1070" s="788">
        <v>1069</v>
      </c>
      <c r="B1070" s="1524" t="s">
        <v>2616</v>
      </c>
      <c r="C1070" s="199" t="s">
        <v>24</v>
      </c>
      <c r="D1070" s="1082">
        <v>6453</v>
      </c>
      <c r="E1070" s="199" t="s">
        <v>1080</v>
      </c>
      <c r="F1070" s="199" t="s">
        <v>3809</v>
      </c>
      <c r="G1070" s="804">
        <v>6319</v>
      </c>
      <c r="H1070" s="199" t="s">
        <v>3810</v>
      </c>
      <c r="I1070" s="199" t="s">
        <v>3811</v>
      </c>
      <c r="J1070" s="79" t="s">
        <v>58</v>
      </c>
      <c r="K1070" s="79" t="s">
        <v>57</v>
      </c>
      <c r="L1070" s="1067">
        <v>0.6</v>
      </c>
      <c r="M1070" s="757"/>
      <c r="N1070" s="79" t="s">
        <v>3814</v>
      </c>
      <c r="O1070" s="757"/>
      <c r="P1070" s="669">
        <v>1</v>
      </c>
      <c r="Q1070" s="1201">
        <v>0.1</v>
      </c>
      <c r="R1070" s="669"/>
      <c r="S1070" s="204">
        <f t="shared" si="32"/>
        <v>0</v>
      </c>
      <c r="T1070" s="960">
        <f t="shared" si="33"/>
        <v>0</v>
      </c>
      <c r="U1070" s="669" t="s">
        <v>34</v>
      </c>
      <c r="V1070" s="1203"/>
      <c r="W1070" s="1272"/>
    </row>
    <row r="1071" spans="1:23" ht="22.95" customHeight="1" x14ac:dyDescent="0.4">
      <c r="A1071" s="788">
        <v>1070</v>
      </c>
      <c r="B1071" s="1524" t="s">
        <v>2616</v>
      </c>
      <c r="C1071" s="199" t="s">
        <v>24</v>
      </c>
      <c r="D1071" s="1082">
        <v>6453</v>
      </c>
      <c r="E1071" s="199" t="s">
        <v>1080</v>
      </c>
      <c r="F1071" s="199" t="s">
        <v>3809</v>
      </c>
      <c r="G1071" s="804">
        <v>6319</v>
      </c>
      <c r="H1071" s="199" t="s">
        <v>3810</v>
      </c>
      <c r="I1071" s="199" t="s">
        <v>3811</v>
      </c>
      <c r="J1071" s="79" t="s">
        <v>58</v>
      </c>
      <c r="K1071" s="79" t="s">
        <v>57</v>
      </c>
      <c r="L1071" s="1067">
        <v>0.6</v>
      </c>
      <c r="M1071" s="757"/>
      <c r="N1071" s="79" t="s">
        <v>3815</v>
      </c>
      <c r="O1071" s="757"/>
      <c r="P1071" s="669">
        <v>1</v>
      </c>
      <c r="Q1071" s="1201">
        <v>0.2</v>
      </c>
      <c r="R1071" s="669"/>
      <c r="S1071" s="204">
        <f t="shared" si="32"/>
        <v>0</v>
      </c>
      <c r="T1071" s="960">
        <f t="shared" si="33"/>
        <v>0</v>
      </c>
      <c r="U1071" s="669" t="s">
        <v>34</v>
      </c>
      <c r="V1071" s="1203"/>
      <c r="W1071" s="1272"/>
    </row>
    <row r="1072" spans="1:23" ht="22.95" customHeight="1" x14ac:dyDescent="0.4">
      <c r="A1072" s="788">
        <v>1071</v>
      </c>
      <c r="B1072" s="1524" t="s">
        <v>2616</v>
      </c>
      <c r="C1072" s="199" t="s">
        <v>24</v>
      </c>
      <c r="D1072" s="1082">
        <v>6453</v>
      </c>
      <c r="E1072" s="199" t="s">
        <v>1080</v>
      </c>
      <c r="F1072" s="199" t="s">
        <v>3809</v>
      </c>
      <c r="G1072" s="804">
        <v>6319</v>
      </c>
      <c r="H1072" s="199" t="s">
        <v>3810</v>
      </c>
      <c r="I1072" s="199" t="s">
        <v>3811</v>
      </c>
      <c r="J1072" s="79" t="s">
        <v>58</v>
      </c>
      <c r="K1072" s="79" t="s">
        <v>57</v>
      </c>
      <c r="L1072" s="1067">
        <v>0.6</v>
      </c>
      <c r="M1072" s="757"/>
      <c r="N1072" s="79" t="s">
        <v>3816</v>
      </c>
      <c r="O1072" s="757"/>
      <c r="P1072" s="669">
        <v>1</v>
      </c>
      <c r="Q1072" s="1201">
        <v>0.1</v>
      </c>
      <c r="R1072" s="669"/>
      <c r="S1072" s="204">
        <f t="shared" si="32"/>
        <v>0</v>
      </c>
      <c r="T1072" s="960">
        <f t="shared" si="33"/>
        <v>0</v>
      </c>
      <c r="U1072" s="669" t="s">
        <v>34</v>
      </c>
      <c r="V1072" s="1203"/>
      <c r="W1072" s="1272"/>
    </row>
    <row r="1073" spans="1:23" ht="22.95" customHeight="1" x14ac:dyDescent="0.4">
      <c r="A1073" s="788">
        <v>1072</v>
      </c>
      <c r="B1073" s="1524" t="s">
        <v>2616</v>
      </c>
      <c r="C1073" s="199" t="s">
        <v>24</v>
      </c>
      <c r="D1073" s="1082">
        <v>6453</v>
      </c>
      <c r="E1073" s="199" t="s">
        <v>1080</v>
      </c>
      <c r="F1073" s="199" t="s">
        <v>3809</v>
      </c>
      <c r="G1073" s="804">
        <v>6319</v>
      </c>
      <c r="H1073" s="199" t="s">
        <v>3810</v>
      </c>
      <c r="I1073" s="199" t="s">
        <v>3811</v>
      </c>
      <c r="J1073" s="79" t="s">
        <v>58</v>
      </c>
      <c r="K1073" s="79" t="s">
        <v>57</v>
      </c>
      <c r="L1073" s="1067">
        <v>0.6</v>
      </c>
      <c r="M1073" s="757"/>
      <c r="N1073" s="79" t="s">
        <v>3817</v>
      </c>
      <c r="O1073" s="757"/>
      <c r="P1073" s="669">
        <v>1</v>
      </c>
      <c r="Q1073" s="1201">
        <v>0.2</v>
      </c>
      <c r="R1073" s="669"/>
      <c r="S1073" s="204">
        <f t="shared" si="32"/>
        <v>0</v>
      </c>
      <c r="T1073" s="960">
        <f t="shared" si="33"/>
        <v>0</v>
      </c>
      <c r="U1073" s="669" t="s">
        <v>34</v>
      </c>
      <c r="V1073" s="1203"/>
      <c r="W1073" s="1272"/>
    </row>
    <row r="1074" spans="1:23" ht="22.95" customHeight="1" x14ac:dyDescent="0.4">
      <c r="A1074" s="788">
        <v>1073</v>
      </c>
      <c r="B1074" s="1524" t="s">
        <v>2616</v>
      </c>
      <c r="C1074" s="199" t="s">
        <v>24</v>
      </c>
      <c r="D1074" s="1082">
        <v>6453</v>
      </c>
      <c r="E1074" s="199" t="s">
        <v>1080</v>
      </c>
      <c r="F1074" s="199" t="s">
        <v>3809</v>
      </c>
      <c r="G1074" s="804">
        <v>6319</v>
      </c>
      <c r="H1074" s="199" t="s">
        <v>3810</v>
      </c>
      <c r="I1074" s="199" t="s">
        <v>3811</v>
      </c>
      <c r="J1074" s="79" t="s">
        <v>58</v>
      </c>
      <c r="K1074" s="79" t="s">
        <v>57</v>
      </c>
      <c r="L1074" s="1067">
        <v>0.6</v>
      </c>
      <c r="M1074" s="757"/>
      <c r="N1074" s="79" t="s">
        <v>3818</v>
      </c>
      <c r="O1074" s="757"/>
      <c r="P1074" s="669">
        <v>1</v>
      </c>
      <c r="Q1074" s="1493">
        <v>0.1</v>
      </c>
      <c r="R1074" s="669"/>
      <c r="S1074" s="204">
        <f t="shared" si="32"/>
        <v>0</v>
      </c>
      <c r="T1074" s="960">
        <f t="shared" si="33"/>
        <v>0</v>
      </c>
      <c r="U1074" s="669" t="s">
        <v>34</v>
      </c>
      <c r="V1074" s="1203"/>
      <c r="W1074" s="1272"/>
    </row>
    <row r="1075" spans="1:23" ht="22.95" customHeight="1" x14ac:dyDescent="0.4">
      <c r="A1075" s="788">
        <v>1074</v>
      </c>
      <c r="B1075" s="1524" t="s">
        <v>2616</v>
      </c>
      <c r="C1075" s="199" t="s">
        <v>24</v>
      </c>
      <c r="D1075" s="1082">
        <v>6453</v>
      </c>
      <c r="E1075" s="199" t="s">
        <v>1080</v>
      </c>
      <c r="F1075" s="199" t="s">
        <v>3809</v>
      </c>
      <c r="G1075" s="804">
        <v>6319</v>
      </c>
      <c r="H1075" s="199" t="s">
        <v>3810</v>
      </c>
      <c r="I1075" s="199" t="s">
        <v>3811</v>
      </c>
      <c r="J1075" s="79" t="s">
        <v>58</v>
      </c>
      <c r="K1075" s="79" t="s">
        <v>57</v>
      </c>
      <c r="L1075" s="1067">
        <v>0.6</v>
      </c>
      <c r="M1075" s="757"/>
      <c r="N1075" s="79" t="s">
        <v>3819</v>
      </c>
      <c r="O1075" s="757"/>
      <c r="P1075" s="669">
        <v>1</v>
      </c>
      <c r="Q1075" s="1493">
        <v>0.1</v>
      </c>
      <c r="R1075" s="669"/>
      <c r="S1075" s="204">
        <f t="shared" si="32"/>
        <v>0</v>
      </c>
      <c r="T1075" s="960">
        <f t="shared" si="33"/>
        <v>0</v>
      </c>
      <c r="U1075" s="669" t="s">
        <v>34</v>
      </c>
      <c r="V1075" s="1203"/>
      <c r="W1075" s="1272"/>
    </row>
    <row r="1076" spans="1:23" ht="22.95" customHeight="1" x14ac:dyDescent="0.4">
      <c r="A1076" s="788">
        <v>1075</v>
      </c>
      <c r="B1076" s="1524" t="s">
        <v>2616</v>
      </c>
      <c r="C1076" s="246" t="s">
        <v>24</v>
      </c>
      <c r="D1076" s="1306">
        <v>6453</v>
      </c>
      <c r="E1076" s="246" t="s">
        <v>1080</v>
      </c>
      <c r="F1076" s="246" t="s">
        <v>3809</v>
      </c>
      <c r="G1076" s="1381">
        <v>6319</v>
      </c>
      <c r="H1076" s="246" t="s">
        <v>3810</v>
      </c>
      <c r="I1076" s="246" t="s">
        <v>3811</v>
      </c>
      <c r="J1076" s="648" t="s">
        <v>111</v>
      </c>
      <c r="K1076" s="649" t="s">
        <v>110</v>
      </c>
      <c r="L1076" s="1063">
        <v>0.4</v>
      </c>
      <c r="M1076" s="827"/>
      <c r="N1076" s="649" t="s">
        <v>255</v>
      </c>
      <c r="O1076" s="827"/>
      <c r="P1076" s="222">
        <v>1</v>
      </c>
      <c r="Q1076" s="1063">
        <v>0.05</v>
      </c>
      <c r="R1076" s="222"/>
      <c r="S1076" s="222">
        <f t="shared" si="32"/>
        <v>0</v>
      </c>
      <c r="T1076" s="765">
        <f t="shared" si="33"/>
        <v>0</v>
      </c>
      <c r="U1076" s="222" t="s">
        <v>34</v>
      </c>
      <c r="V1076" s="1228"/>
      <c r="W1076" s="222"/>
    </row>
    <row r="1077" spans="1:23" ht="22.95" customHeight="1" x14ac:dyDescent="0.4">
      <c r="A1077" s="788">
        <v>1076</v>
      </c>
      <c r="B1077" s="1524" t="s">
        <v>2616</v>
      </c>
      <c r="C1077" s="246" t="s">
        <v>24</v>
      </c>
      <c r="D1077" s="1306">
        <v>6453</v>
      </c>
      <c r="E1077" s="246" t="s">
        <v>1080</v>
      </c>
      <c r="F1077" s="246" t="s">
        <v>3809</v>
      </c>
      <c r="G1077" s="1381">
        <v>6319</v>
      </c>
      <c r="H1077" s="246" t="s">
        <v>3810</v>
      </c>
      <c r="I1077" s="246" t="s">
        <v>3811</v>
      </c>
      <c r="J1077" s="648" t="s">
        <v>111</v>
      </c>
      <c r="K1077" s="649" t="s">
        <v>110</v>
      </c>
      <c r="L1077" s="1063">
        <v>0.4</v>
      </c>
      <c r="M1077" s="827"/>
      <c r="N1077" s="649" t="s">
        <v>768</v>
      </c>
      <c r="O1077" s="827"/>
      <c r="P1077" s="222">
        <v>1</v>
      </c>
      <c r="Q1077" s="1063">
        <v>0.05</v>
      </c>
      <c r="R1077" s="222"/>
      <c r="S1077" s="222">
        <f t="shared" si="32"/>
        <v>0</v>
      </c>
      <c r="T1077" s="765">
        <f t="shared" si="33"/>
        <v>0</v>
      </c>
      <c r="U1077" s="222" t="s">
        <v>34</v>
      </c>
      <c r="V1077" s="1228"/>
      <c r="W1077" s="222"/>
    </row>
    <row r="1078" spans="1:23" ht="22.95" customHeight="1" x14ac:dyDescent="0.4">
      <c r="A1078" s="788">
        <v>1077</v>
      </c>
      <c r="B1078" s="1524" t="s">
        <v>2616</v>
      </c>
      <c r="C1078" s="246" t="s">
        <v>24</v>
      </c>
      <c r="D1078" s="1306">
        <v>6453</v>
      </c>
      <c r="E1078" s="246" t="s">
        <v>1080</v>
      </c>
      <c r="F1078" s="246" t="s">
        <v>3809</v>
      </c>
      <c r="G1078" s="1381">
        <v>6319</v>
      </c>
      <c r="H1078" s="246" t="s">
        <v>3810</v>
      </c>
      <c r="I1078" s="246" t="s">
        <v>3811</v>
      </c>
      <c r="J1078" s="648" t="s">
        <v>111</v>
      </c>
      <c r="K1078" s="649" t="s">
        <v>110</v>
      </c>
      <c r="L1078" s="1063">
        <v>0.4</v>
      </c>
      <c r="M1078" s="827"/>
      <c r="N1078" s="649" t="s">
        <v>769</v>
      </c>
      <c r="O1078" s="827"/>
      <c r="P1078" s="222">
        <v>1</v>
      </c>
      <c r="Q1078" s="1063">
        <v>0.05</v>
      </c>
      <c r="R1078" s="222"/>
      <c r="S1078" s="222">
        <f t="shared" si="32"/>
        <v>0</v>
      </c>
      <c r="T1078" s="765">
        <f t="shared" si="33"/>
        <v>0</v>
      </c>
      <c r="U1078" s="222" t="s">
        <v>34</v>
      </c>
      <c r="V1078" s="1228"/>
      <c r="W1078" s="222"/>
    </row>
    <row r="1079" spans="1:23" ht="22.95" customHeight="1" x14ac:dyDescent="0.4">
      <c r="A1079" s="788">
        <v>1078</v>
      </c>
      <c r="B1079" s="1524" t="s">
        <v>2616</v>
      </c>
      <c r="C1079" s="246" t="s">
        <v>24</v>
      </c>
      <c r="D1079" s="1306">
        <v>6453</v>
      </c>
      <c r="E1079" s="246" t="s">
        <v>1080</v>
      </c>
      <c r="F1079" s="246" t="s">
        <v>3809</v>
      </c>
      <c r="G1079" s="1381">
        <v>6319</v>
      </c>
      <c r="H1079" s="246" t="s">
        <v>3810</v>
      </c>
      <c r="I1079" s="246" t="s">
        <v>3811</v>
      </c>
      <c r="J1079" s="648" t="s">
        <v>111</v>
      </c>
      <c r="K1079" s="649" t="s">
        <v>110</v>
      </c>
      <c r="L1079" s="1063">
        <v>0.4</v>
      </c>
      <c r="M1079" s="827"/>
      <c r="N1079" s="649" t="s">
        <v>770</v>
      </c>
      <c r="O1079" s="827"/>
      <c r="P1079" s="222">
        <v>1</v>
      </c>
      <c r="Q1079" s="1063">
        <v>0.15</v>
      </c>
      <c r="R1079" s="222"/>
      <c r="S1079" s="222">
        <f t="shared" si="32"/>
        <v>0</v>
      </c>
      <c r="T1079" s="765">
        <f t="shared" si="33"/>
        <v>0</v>
      </c>
      <c r="U1079" s="222" t="s">
        <v>34</v>
      </c>
      <c r="V1079" s="1228"/>
      <c r="W1079" s="222"/>
    </row>
    <row r="1080" spans="1:23" ht="22.95" customHeight="1" x14ac:dyDescent="0.4">
      <c r="A1080" s="788">
        <v>1079</v>
      </c>
      <c r="B1080" s="1524" t="s">
        <v>2616</v>
      </c>
      <c r="C1080" s="246" t="s">
        <v>24</v>
      </c>
      <c r="D1080" s="1306">
        <v>6453</v>
      </c>
      <c r="E1080" s="246" t="s">
        <v>1080</v>
      </c>
      <c r="F1080" s="246" t="s">
        <v>3809</v>
      </c>
      <c r="G1080" s="1381">
        <v>6319</v>
      </c>
      <c r="H1080" s="246" t="s">
        <v>3810</v>
      </c>
      <c r="I1080" s="246" t="s">
        <v>3811</v>
      </c>
      <c r="J1080" s="648" t="s">
        <v>111</v>
      </c>
      <c r="K1080" s="649" t="s">
        <v>110</v>
      </c>
      <c r="L1080" s="1063">
        <v>0.4</v>
      </c>
      <c r="M1080" s="827"/>
      <c r="N1080" s="649" t="s">
        <v>254</v>
      </c>
      <c r="O1080" s="827"/>
      <c r="P1080" s="222">
        <v>1</v>
      </c>
      <c r="Q1080" s="1063">
        <v>0.1</v>
      </c>
      <c r="R1080" s="222"/>
      <c r="S1080" s="222">
        <f t="shared" si="32"/>
        <v>0</v>
      </c>
      <c r="T1080" s="765">
        <f t="shared" si="33"/>
        <v>0</v>
      </c>
      <c r="U1080" s="222" t="s">
        <v>34</v>
      </c>
      <c r="V1080" s="1228"/>
      <c r="W1080" s="222"/>
    </row>
    <row r="1081" spans="1:23" ht="22.95" customHeight="1" x14ac:dyDescent="0.4">
      <c r="A1081" s="788">
        <v>1080</v>
      </c>
      <c r="B1081" s="1524" t="s">
        <v>2616</v>
      </c>
      <c r="C1081" s="246" t="s">
        <v>24</v>
      </c>
      <c r="D1081" s="1306">
        <v>6453</v>
      </c>
      <c r="E1081" s="246" t="s">
        <v>1080</v>
      </c>
      <c r="F1081" s="246" t="s">
        <v>3809</v>
      </c>
      <c r="G1081" s="1381">
        <v>6319</v>
      </c>
      <c r="H1081" s="246" t="s">
        <v>3810</v>
      </c>
      <c r="I1081" s="246" t="s">
        <v>3811</v>
      </c>
      <c r="J1081" s="648" t="s">
        <v>111</v>
      </c>
      <c r="K1081" s="649" t="s">
        <v>110</v>
      </c>
      <c r="L1081" s="1063">
        <v>0.4</v>
      </c>
      <c r="M1081" s="827"/>
      <c r="N1081" s="649" t="s">
        <v>771</v>
      </c>
      <c r="O1081" s="827"/>
      <c r="P1081" s="222">
        <v>1</v>
      </c>
      <c r="Q1081" s="1063">
        <v>0.05</v>
      </c>
      <c r="R1081" s="222"/>
      <c r="S1081" s="222">
        <f t="shared" si="32"/>
        <v>0</v>
      </c>
      <c r="T1081" s="765">
        <f t="shared" si="33"/>
        <v>0</v>
      </c>
      <c r="U1081" s="222" t="s">
        <v>34</v>
      </c>
      <c r="V1081" s="1228"/>
      <c r="W1081" s="222"/>
    </row>
    <row r="1082" spans="1:23" ht="22.95" customHeight="1" x14ac:dyDescent="0.4">
      <c r="A1082" s="788">
        <v>1081</v>
      </c>
      <c r="B1082" s="1524" t="s">
        <v>2616</v>
      </c>
      <c r="C1082" s="246" t="s">
        <v>24</v>
      </c>
      <c r="D1082" s="1306">
        <v>6453</v>
      </c>
      <c r="E1082" s="246" t="s">
        <v>1080</v>
      </c>
      <c r="F1082" s="246" t="s">
        <v>3809</v>
      </c>
      <c r="G1082" s="1381">
        <v>6319</v>
      </c>
      <c r="H1082" s="246" t="s">
        <v>3810</v>
      </c>
      <c r="I1082" s="246" t="s">
        <v>3811</v>
      </c>
      <c r="J1082" s="648" t="s">
        <v>111</v>
      </c>
      <c r="K1082" s="649" t="s">
        <v>110</v>
      </c>
      <c r="L1082" s="1063">
        <v>0.4</v>
      </c>
      <c r="M1082" s="827"/>
      <c r="N1082" s="649" t="s">
        <v>772</v>
      </c>
      <c r="O1082" s="827"/>
      <c r="P1082" s="222">
        <v>1</v>
      </c>
      <c r="Q1082" s="1063">
        <v>0.1</v>
      </c>
      <c r="R1082" s="222"/>
      <c r="S1082" s="222">
        <f t="shared" si="32"/>
        <v>0</v>
      </c>
      <c r="T1082" s="765">
        <f t="shared" si="33"/>
        <v>0</v>
      </c>
      <c r="U1082" s="222" t="s">
        <v>34</v>
      </c>
      <c r="V1082" s="1228"/>
      <c r="W1082" s="222"/>
    </row>
    <row r="1083" spans="1:23" ht="22.95" customHeight="1" x14ac:dyDescent="0.4">
      <c r="A1083" s="788">
        <v>1082</v>
      </c>
      <c r="B1083" s="1524" t="s">
        <v>2616</v>
      </c>
      <c r="C1083" s="246" t="s">
        <v>24</v>
      </c>
      <c r="D1083" s="1306">
        <v>6453</v>
      </c>
      <c r="E1083" s="246" t="s">
        <v>1080</v>
      </c>
      <c r="F1083" s="246" t="s">
        <v>3809</v>
      </c>
      <c r="G1083" s="1381">
        <v>6319</v>
      </c>
      <c r="H1083" s="246" t="s">
        <v>3810</v>
      </c>
      <c r="I1083" s="246" t="s">
        <v>3811</v>
      </c>
      <c r="J1083" s="648" t="s">
        <v>111</v>
      </c>
      <c r="K1083" s="649" t="s">
        <v>110</v>
      </c>
      <c r="L1083" s="1063">
        <v>0.4</v>
      </c>
      <c r="M1083" s="827"/>
      <c r="N1083" s="649" t="s">
        <v>773</v>
      </c>
      <c r="O1083" s="827"/>
      <c r="P1083" s="222">
        <v>1</v>
      </c>
      <c r="Q1083" s="1063">
        <v>0.05</v>
      </c>
      <c r="R1083" s="222"/>
      <c r="S1083" s="222">
        <f t="shared" si="32"/>
        <v>0</v>
      </c>
      <c r="T1083" s="765">
        <f t="shared" si="33"/>
        <v>0</v>
      </c>
      <c r="U1083" s="222" t="s">
        <v>34</v>
      </c>
      <c r="V1083" s="1228"/>
      <c r="W1083" s="222"/>
    </row>
    <row r="1084" spans="1:23" ht="22.95" customHeight="1" x14ac:dyDescent="0.4">
      <c r="A1084" s="788">
        <v>1083</v>
      </c>
      <c r="B1084" s="1524" t="s">
        <v>2616</v>
      </c>
      <c r="C1084" s="246" t="s">
        <v>24</v>
      </c>
      <c r="D1084" s="1306">
        <v>6453</v>
      </c>
      <c r="E1084" s="246" t="s">
        <v>1080</v>
      </c>
      <c r="F1084" s="246" t="s">
        <v>3809</v>
      </c>
      <c r="G1084" s="1381">
        <v>6319</v>
      </c>
      <c r="H1084" s="246" t="s">
        <v>3810</v>
      </c>
      <c r="I1084" s="246" t="s">
        <v>3811</v>
      </c>
      <c r="J1084" s="648" t="s">
        <v>111</v>
      </c>
      <c r="K1084" s="649" t="s">
        <v>110</v>
      </c>
      <c r="L1084" s="1063">
        <v>0.4</v>
      </c>
      <c r="M1084" s="827"/>
      <c r="N1084" s="649" t="s">
        <v>774</v>
      </c>
      <c r="O1084" s="827"/>
      <c r="P1084" s="222">
        <v>1</v>
      </c>
      <c r="Q1084" s="1063">
        <v>0.05</v>
      </c>
      <c r="R1084" s="222"/>
      <c r="S1084" s="222">
        <f t="shared" si="32"/>
        <v>0</v>
      </c>
      <c r="T1084" s="765">
        <f t="shared" si="33"/>
        <v>0</v>
      </c>
      <c r="U1084" s="222" t="s">
        <v>34</v>
      </c>
      <c r="V1084" s="1228"/>
      <c r="W1084" s="222"/>
    </row>
    <row r="1085" spans="1:23" ht="22.95" customHeight="1" x14ac:dyDescent="0.4">
      <c r="A1085" s="788">
        <v>1084</v>
      </c>
      <c r="B1085" s="1524" t="s">
        <v>2616</v>
      </c>
      <c r="C1085" s="246" t="s">
        <v>24</v>
      </c>
      <c r="D1085" s="1306">
        <v>6453</v>
      </c>
      <c r="E1085" s="246" t="s">
        <v>1080</v>
      </c>
      <c r="F1085" s="246" t="s">
        <v>3809</v>
      </c>
      <c r="G1085" s="1381">
        <v>6319</v>
      </c>
      <c r="H1085" s="246" t="s">
        <v>3810</v>
      </c>
      <c r="I1085" s="246" t="s">
        <v>3811</v>
      </c>
      <c r="J1085" s="648" t="s">
        <v>111</v>
      </c>
      <c r="K1085" s="649" t="s">
        <v>110</v>
      </c>
      <c r="L1085" s="1063">
        <v>0.4</v>
      </c>
      <c r="M1085" s="827"/>
      <c r="N1085" s="649" t="s">
        <v>775</v>
      </c>
      <c r="O1085" s="827"/>
      <c r="P1085" s="222">
        <v>1</v>
      </c>
      <c r="Q1085" s="1063">
        <v>0.05</v>
      </c>
      <c r="R1085" s="222"/>
      <c r="S1085" s="222">
        <f t="shared" si="32"/>
        <v>0</v>
      </c>
      <c r="T1085" s="765">
        <f t="shared" si="33"/>
        <v>0</v>
      </c>
      <c r="U1085" s="222" t="s">
        <v>34</v>
      </c>
      <c r="V1085" s="1228"/>
      <c r="W1085" s="222"/>
    </row>
    <row r="1086" spans="1:23" ht="22.95" customHeight="1" x14ac:dyDescent="0.4">
      <c r="A1086" s="788">
        <v>1085</v>
      </c>
      <c r="B1086" s="1524" t="s">
        <v>2616</v>
      </c>
      <c r="C1086" s="246" t="s">
        <v>24</v>
      </c>
      <c r="D1086" s="1306">
        <v>6453</v>
      </c>
      <c r="E1086" s="246" t="s">
        <v>1080</v>
      </c>
      <c r="F1086" s="246" t="s">
        <v>3809</v>
      </c>
      <c r="G1086" s="1381">
        <v>6319</v>
      </c>
      <c r="H1086" s="246" t="s">
        <v>3810</v>
      </c>
      <c r="I1086" s="246" t="s">
        <v>3811</v>
      </c>
      <c r="J1086" s="648" t="s">
        <v>111</v>
      </c>
      <c r="K1086" s="649" t="s">
        <v>110</v>
      </c>
      <c r="L1086" s="1063">
        <v>0.4</v>
      </c>
      <c r="M1086" s="827"/>
      <c r="N1086" s="649" t="s">
        <v>776</v>
      </c>
      <c r="O1086" s="827"/>
      <c r="P1086" s="222">
        <v>1</v>
      </c>
      <c r="Q1086" s="1063">
        <v>0.1</v>
      </c>
      <c r="R1086" s="222"/>
      <c r="S1086" s="222">
        <f t="shared" si="32"/>
        <v>0</v>
      </c>
      <c r="T1086" s="765">
        <f t="shared" si="33"/>
        <v>0</v>
      </c>
      <c r="U1086" s="222" t="s">
        <v>34</v>
      </c>
      <c r="V1086" s="1228"/>
      <c r="W1086" s="222"/>
    </row>
    <row r="1087" spans="1:23" ht="22.95" customHeight="1" x14ac:dyDescent="0.4">
      <c r="A1087" s="788">
        <v>1086</v>
      </c>
      <c r="B1087" s="1524" t="s">
        <v>2616</v>
      </c>
      <c r="C1087" s="246" t="s">
        <v>24</v>
      </c>
      <c r="D1087" s="1306">
        <v>6453</v>
      </c>
      <c r="E1087" s="246" t="s">
        <v>1080</v>
      </c>
      <c r="F1087" s="246" t="s">
        <v>3809</v>
      </c>
      <c r="G1087" s="1381">
        <v>6319</v>
      </c>
      <c r="H1087" s="246" t="s">
        <v>3810</v>
      </c>
      <c r="I1087" s="246" t="s">
        <v>3811</v>
      </c>
      <c r="J1087" s="648" t="s">
        <v>111</v>
      </c>
      <c r="K1087" s="649" t="s">
        <v>110</v>
      </c>
      <c r="L1087" s="1063">
        <v>0.4</v>
      </c>
      <c r="M1087" s="827"/>
      <c r="N1087" s="649" t="s">
        <v>251</v>
      </c>
      <c r="O1087" s="827"/>
      <c r="P1087" s="222">
        <v>1</v>
      </c>
      <c r="Q1087" s="1063">
        <v>0.05</v>
      </c>
      <c r="R1087" s="222"/>
      <c r="S1087" s="222">
        <f t="shared" si="32"/>
        <v>0</v>
      </c>
      <c r="T1087" s="765">
        <f t="shared" si="33"/>
        <v>0</v>
      </c>
      <c r="U1087" s="222" t="s">
        <v>34</v>
      </c>
      <c r="V1087" s="1228"/>
      <c r="W1087" s="222"/>
    </row>
    <row r="1088" spans="1:23" ht="22.95" customHeight="1" x14ac:dyDescent="0.4">
      <c r="A1088" s="788">
        <v>1087</v>
      </c>
      <c r="B1088" s="1524" t="s">
        <v>2616</v>
      </c>
      <c r="C1088" s="246" t="s">
        <v>24</v>
      </c>
      <c r="D1088" s="1306">
        <v>6453</v>
      </c>
      <c r="E1088" s="246" t="s">
        <v>1080</v>
      </c>
      <c r="F1088" s="246" t="s">
        <v>3809</v>
      </c>
      <c r="G1088" s="1381">
        <v>6319</v>
      </c>
      <c r="H1088" s="246" t="s">
        <v>3810</v>
      </c>
      <c r="I1088" s="246" t="s">
        <v>3811</v>
      </c>
      <c r="J1088" s="648" t="s">
        <v>111</v>
      </c>
      <c r="K1088" s="649" t="s">
        <v>110</v>
      </c>
      <c r="L1088" s="1063">
        <v>0.4</v>
      </c>
      <c r="M1088" s="827"/>
      <c r="N1088" s="649" t="s">
        <v>252</v>
      </c>
      <c r="O1088" s="827"/>
      <c r="P1088" s="222">
        <v>1</v>
      </c>
      <c r="Q1088" s="1063">
        <v>0.05</v>
      </c>
      <c r="R1088" s="222"/>
      <c r="S1088" s="222">
        <f t="shared" si="32"/>
        <v>0</v>
      </c>
      <c r="T1088" s="765">
        <f t="shared" si="33"/>
        <v>0</v>
      </c>
      <c r="U1088" s="222" t="s">
        <v>34</v>
      </c>
      <c r="V1088" s="1228"/>
      <c r="W1088" s="222"/>
    </row>
    <row r="1089" spans="1:23" ht="22.95" customHeight="1" x14ac:dyDescent="0.4">
      <c r="A1089" s="788">
        <v>1088</v>
      </c>
      <c r="B1089" s="1524" t="s">
        <v>2616</v>
      </c>
      <c r="C1089" s="246" t="s">
        <v>24</v>
      </c>
      <c r="D1089" s="1306">
        <v>6453</v>
      </c>
      <c r="E1089" s="246" t="s">
        <v>1080</v>
      </c>
      <c r="F1089" s="246" t="s">
        <v>3809</v>
      </c>
      <c r="G1089" s="1381">
        <v>6319</v>
      </c>
      <c r="H1089" s="246" t="s">
        <v>3810</v>
      </c>
      <c r="I1089" s="246" t="s">
        <v>3811</v>
      </c>
      <c r="J1089" s="648" t="s">
        <v>111</v>
      </c>
      <c r="K1089" s="649" t="s">
        <v>110</v>
      </c>
      <c r="L1089" s="1063">
        <v>0.4</v>
      </c>
      <c r="M1089" s="827"/>
      <c r="N1089" s="649" t="s">
        <v>777</v>
      </c>
      <c r="O1089" s="827"/>
      <c r="P1089" s="222">
        <v>1</v>
      </c>
      <c r="Q1089" s="1063">
        <v>0.05</v>
      </c>
      <c r="R1089" s="222"/>
      <c r="S1089" s="222">
        <f t="shared" si="32"/>
        <v>0</v>
      </c>
      <c r="T1089" s="765">
        <f t="shared" si="33"/>
        <v>0</v>
      </c>
      <c r="U1089" s="222" t="s">
        <v>34</v>
      </c>
      <c r="V1089" s="1228"/>
      <c r="W1089" s="222"/>
    </row>
    <row r="1090" spans="1:23" ht="22.95" customHeight="1" x14ac:dyDescent="0.4">
      <c r="A1090" s="788">
        <v>1089</v>
      </c>
      <c r="B1090" s="1524" t="s">
        <v>2616</v>
      </c>
      <c r="C1090" s="246" t="s">
        <v>24</v>
      </c>
      <c r="D1090" s="1306">
        <v>6453</v>
      </c>
      <c r="E1090" s="246" t="s">
        <v>1080</v>
      </c>
      <c r="F1090" s="246" t="s">
        <v>3809</v>
      </c>
      <c r="G1090" s="1381">
        <v>6319</v>
      </c>
      <c r="H1090" s="246" t="s">
        <v>3810</v>
      </c>
      <c r="I1090" s="246" t="s">
        <v>3811</v>
      </c>
      <c r="J1090" s="648" t="s">
        <v>111</v>
      </c>
      <c r="K1090" s="649" t="s">
        <v>110</v>
      </c>
      <c r="L1090" s="1063">
        <v>0.4</v>
      </c>
      <c r="M1090" s="827"/>
      <c r="N1090" s="649" t="s">
        <v>253</v>
      </c>
      <c r="O1090" s="827"/>
      <c r="P1090" s="222">
        <v>1</v>
      </c>
      <c r="Q1090" s="1063">
        <v>0.05</v>
      </c>
      <c r="R1090" s="222"/>
      <c r="S1090" s="222">
        <f t="shared" ref="S1090:S1153" si="34">ROUND(IF(OR(P1090="",R1090=""),0,IF(AND(P1090=0,R1090=0),1,IF(U1090="+",R1090/P1090,P1090/R1090))),2)</f>
        <v>0</v>
      </c>
      <c r="T1090" s="765">
        <f t="shared" ref="T1090:T1153" si="35">IF(AND(S1090&gt;=60%,S1090&lt;100%),S1090*((Q1090*L1090)),IF(S1090=100%,((Q1090*L1090)*S1090)*100%,IF(S1090&gt;100%,((L1090*Q1090)*100%)*100%,0)))*100</f>
        <v>0</v>
      </c>
      <c r="U1090" s="222" t="s">
        <v>34</v>
      </c>
      <c r="V1090" s="1228"/>
      <c r="W1090" s="222"/>
    </row>
    <row r="1091" spans="1:23" ht="22.95" customHeight="1" x14ac:dyDescent="0.4">
      <c r="A1091" s="788">
        <v>1090</v>
      </c>
      <c r="B1091" s="1283" t="s">
        <v>2616</v>
      </c>
      <c r="C1091" s="236" t="s">
        <v>24</v>
      </c>
      <c r="D1091" s="1226">
        <v>6452</v>
      </c>
      <c r="E1091" s="236" t="s">
        <v>3820</v>
      </c>
      <c r="F1091" s="236" t="s">
        <v>3809</v>
      </c>
      <c r="G1091" s="691">
        <v>6319</v>
      </c>
      <c r="H1091" s="236" t="s">
        <v>3810</v>
      </c>
      <c r="I1091" s="236" t="s">
        <v>3811</v>
      </c>
      <c r="J1091" s="243" t="s">
        <v>58</v>
      </c>
      <c r="K1091" s="243" t="s">
        <v>57</v>
      </c>
      <c r="L1091" s="1052">
        <v>0.6</v>
      </c>
      <c r="M1091" s="952"/>
      <c r="N1091" s="243" t="s">
        <v>3812</v>
      </c>
      <c r="O1091" s="952"/>
      <c r="P1091" s="953">
        <v>1</v>
      </c>
      <c r="Q1091" s="1052">
        <v>0.1</v>
      </c>
      <c r="R1091" s="953"/>
      <c r="S1091" s="855">
        <f t="shared" si="34"/>
        <v>0</v>
      </c>
      <c r="T1091" s="854">
        <f t="shared" si="35"/>
        <v>0</v>
      </c>
      <c r="U1091" s="855" t="s">
        <v>34</v>
      </c>
      <c r="V1091" s="1488">
        <f>SUM(T1091:T1113)%</f>
        <v>0</v>
      </c>
      <c r="W1091" s="855"/>
    </row>
    <row r="1092" spans="1:23" ht="22.95" customHeight="1" x14ac:dyDescent="0.4">
      <c r="A1092" s="788">
        <v>1091</v>
      </c>
      <c r="B1092" s="1524" t="s">
        <v>2616</v>
      </c>
      <c r="C1092" s="246" t="s">
        <v>24</v>
      </c>
      <c r="D1092" s="1306">
        <v>6452</v>
      </c>
      <c r="E1092" s="246" t="s">
        <v>3820</v>
      </c>
      <c r="F1092" s="246" t="s">
        <v>3809</v>
      </c>
      <c r="G1092" s="1381">
        <v>6319</v>
      </c>
      <c r="H1092" s="246" t="s">
        <v>3810</v>
      </c>
      <c r="I1092" s="246" t="s">
        <v>3811</v>
      </c>
      <c r="J1092" s="79" t="s">
        <v>58</v>
      </c>
      <c r="K1092" s="79" t="s">
        <v>57</v>
      </c>
      <c r="L1092" s="1201">
        <v>0.6</v>
      </c>
      <c r="M1092" s="757"/>
      <c r="N1092" s="79" t="s">
        <v>3813</v>
      </c>
      <c r="O1092" s="757"/>
      <c r="P1092" s="647">
        <v>1</v>
      </c>
      <c r="Q1092" s="1201">
        <v>0.1</v>
      </c>
      <c r="R1092" s="647"/>
      <c r="S1092" s="647">
        <f t="shared" si="34"/>
        <v>0</v>
      </c>
      <c r="T1092" s="764">
        <f t="shared" si="35"/>
        <v>0</v>
      </c>
      <c r="U1092" s="647" t="s">
        <v>34</v>
      </c>
      <c r="V1092" s="1203"/>
      <c r="W1092" s="222"/>
    </row>
    <row r="1093" spans="1:23" ht="22.95" customHeight="1" x14ac:dyDescent="0.4">
      <c r="A1093" s="788">
        <v>1092</v>
      </c>
      <c r="B1093" s="1524" t="s">
        <v>2616</v>
      </c>
      <c r="C1093" s="246" t="s">
        <v>24</v>
      </c>
      <c r="D1093" s="1306">
        <v>6452</v>
      </c>
      <c r="E1093" s="246" t="s">
        <v>3820</v>
      </c>
      <c r="F1093" s="246" t="s">
        <v>3809</v>
      </c>
      <c r="G1093" s="1381">
        <v>6319</v>
      </c>
      <c r="H1093" s="246" t="s">
        <v>3810</v>
      </c>
      <c r="I1093" s="246" t="s">
        <v>3811</v>
      </c>
      <c r="J1093" s="79" t="s">
        <v>58</v>
      </c>
      <c r="K1093" s="79" t="s">
        <v>57</v>
      </c>
      <c r="L1093" s="1201">
        <v>0.6</v>
      </c>
      <c r="M1093" s="757"/>
      <c r="N1093" s="79" t="s">
        <v>3814</v>
      </c>
      <c r="O1093" s="757"/>
      <c r="P1093" s="647">
        <v>1</v>
      </c>
      <c r="Q1093" s="1201">
        <v>0.1</v>
      </c>
      <c r="R1093" s="647"/>
      <c r="S1093" s="647">
        <f t="shared" si="34"/>
        <v>0</v>
      </c>
      <c r="T1093" s="764">
        <f t="shared" si="35"/>
        <v>0</v>
      </c>
      <c r="U1093" s="647" t="s">
        <v>34</v>
      </c>
      <c r="V1093" s="1203"/>
      <c r="W1093" s="222"/>
    </row>
    <row r="1094" spans="1:23" ht="22.95" customHeight="1" x14ac:dyDescent="0.4">
      <c r="A1094" s="788">
        <v>1093</v>
      </c>
      <c r="B1094" s="1524" t="s">
        <v>2616</v>
      </c>
      <c r="C1094" s="246" t="s">
        <v>24</v>
      </c>
      <c r="D1094" s="1306">
        <v>6452</v>
      </c>
      <c r="E1094" s="246" t="s">
        <v>3820</v>
      </c>
      <c r="F1094" s="246" t="s">
        <v>3809</v>
      </c>
      <c r="G1094" s="1381">
        <v>6319</v>
      </c>
      <c r="H1094" s="246" t="s">
        <v>3810</v>
      </c>
      <c r="I1094" s="246" t="s">
        <v>3811</v>
      </c>
      <c r="J1094" s="79" t="s">
        <v>58</v>
      </c>
      <c r="K1094" s="79" t="s">
        <v>57</v>
      </c>
      <c r="L1094" s="1201">
        <v>0.6</v>
      </c>
      <c r="M1094" s="757"/>
      <c r="N1094" s="79" t="s">
        <v>3815</v>
      </c>
      <c r="O1094" s="757"/>
      <c r="P1094" s="647">
        <v>1</v>
      </c>
      <c r="Q1094" s="1201">
        <v>0.2</v>
      </c>
      <c r="R1094" s="647"/>
      <c r="S1094" s="647">
        <f t="shared" si="34"/>
        <v>0</v>
      </c>
      <c r="T1094" s="764">
        <f t="shared" si="35"/>
        <v>0</v>
      </c>
      <c r="U1094" s="647" t="s">
        <v>34</v>
      </c>
      <c r="V1094" s="1203"/>
      <c r="W1094" s="222"/>
    </row>
    <row r="1095" spans="1:23" ht="22.95" customHeight="1" x14ac:dyDescent="0.4">
      <c r="A1095" s="788">
        <v>1094</v>
      </c>
      <c r="B1095" s="1524" t="s">
        <v>2616</v>
      </c>
      <c r="C1095" s="246" t="s">
        <v>24</v>
      </c>
      <c r="D1095" s="1306">
        <v>6452</v>
      </c>
      <c r="E1095" s="246" t="s">
        <v>3820</v>
      </c>
      <c r="F1095" s="246" t="s">
        <v>3809</v>
      </c>
      <c r="G1095" s="1381">
        <v>6319</v>
      </c>
      <c r="H1095" s="246" t="s">
        <v>3810</v>
      </c>
      <c r="I1095" s="246" t="s">
        <v>3811</v>
      </c>
      <c r="J1095" s="79" t="s">
        <v>58</v>
      </c>
      <c r="K1095" s="79" t="s">
        <v>57</v>
      </c>
      <c r="L1095" s="1201">
        <v>0.6</v>
      </c>
      <c r="M1095" s="757"/>
      <c r="N1095" s="79" t="s">
        <v>3816</v>
      </c>
      <c r="O1095" s="757"/>
      <c r="P1095" s="647">
        <v>1</v>
      </c>
      <c r="Q1095" s="1201">
        <v>0.1</v>
      </c>
      <c r="R1095" s="647"/>
      <c r="S1095" s="647">
        <f t="shared" si="34"/>
        <v>0</v>
      </c>
      <c r="T1095" s="764">
        <f t="shared" si="35"/>
        <v>0</v>
      </c>
      <c r="U1095" s="647" t="s">
        <v>34</v>
      </c>
      <c r="V1095" s="1203"/>
      <c r="W1095" s="222"/>
    </row>
    <row r="1096" spans="1:23" ht="22.95" customHeight="1" x14ac:dyDescent="0.4">
      <c r="A1096" s="788">
        <v>1095</v>
      </c>
      <c r="B1096" s="1524" t="s">
        <v>2616</v>
      </c>
      <c r="C1096" s="246" t="s">
        <v>24</v>
      </c>
      <c r="D1096" s="1306">
        <v>6452</v>
      </c>
      <c r="E1096" s="246" t="s">
        <v>3820</v>
      </c>
      <c r="F1096" s="246" t="s">
        <v>3809</v>
      </c>
      <c r="G1096" s="1381">
        <v>6319</v>
      </c>
      <c r="H1096" s="246" t="s">
        <v>3810</v>
      </c>
      <c r="I1096" s="246" t="s">
        <v>3811</v>
      </c>
      <c r="J1096" s="79" t="s">
        <v>58</v>
      </c>
      <c r="K1096" s="79" t="s">
        <v>57</v>
      </c>
      <c r="L1096" s="1201">
        <v>0.6</v>
      </c>
      <c r="M1096" s="757"/>
      <c r="N1096" s="79" t="s">
        <v>3817</v>
      </c>
      <c r="O1096" s="757"/>
      <c r="P1096" s="647">
        <v>1</v>
      </c>
      <c r="Q1096" s="1201">
        <v>0.2</v>
      </c>
      <c r="R1096" s="647"/>
      <c r="S1096" s="647">
        <f t="shared" si="34"/>
        <v>0</v>
      </c>
      <c r="T1096" s="764">
        <f t="shared" si="35"/>
        <v>0</v>
      </c>
      <c r="U1096" s="647" t="s">
        <v>34</v>
      </c>
      <c r="V1096" s="1203"/>
      <c r="W1096" s="222"/>
    </row>
    <row r="1097" spans="1:23" ht="22.95" customHeight="1" x14ac:dyDescent="0.4">
      <c r="A1097" s="788">
        <v>1096</v>
      </c>
      <c r="B1097" s="1524" t="s">
        <v>2616</v>
      </c>
      <c r="C1097" s="199" t="s">
        <v>24</v>
      </c>
      <c r="D1097" s="1082">
        <v>6452</v>
      </c>
      <c r="E1097" s="199" t="s">
        <v>3820</v>
      </c>
      <c r="F1097" s="199" t="s">
        <v>3809</v>
      </c>
      <c r="G1097" s="804">
        <v>6319</v>
      </c>
      <c r="H1097" s="199" t="s">
        <v>3810</v>
      </c>
      <c r="I1097" s="199" t="s">
        <v>3811</v>
      </c>
      <c r="J1097" s="79" t="s">
        <v>58</v>
      </c>
      <c r="K1097" s="79" t="s">
        <v>57</v>
      </c>
      <c r="L1097" s="1067">
        <v>0.6</v>
      </c>
      <c r="M1097" s="757"/>
      <c r="N1097" s="79" t="s">
        <v>3818</v>
      </c>
      <c r="O1097" s="757"/>
      <c r="P1097" s="669">
        <v>1</v>
      </c>
      <c r="Q1097" s="1493">
        <v>0.1</v>
      </c>
      <c r="R1097" s="669"/>
      <c r="S1097" s="204">
        <f t="shared" si="34"/>
        <v>0</v>
      </c>
      <c r="T1097" s="960">
        <f t="shared" si="35"/>
        <v>0</v>
      </c>
      <c r="U1097" s="669" t="s">
        <v>34</v>
      </c>
      <c r="V1097" s="1203"/>
      <c r="W1097" s="1272"/>
    </row>
    <row r="1098" spans="1:23" ht="22.95" customHeight="1" x14ac:dyDescent="0.4">
      <c r="A1098" s="788">
        <v>1097</v>
      </c>
      <c r="B1098" s="1524" t="s">
        <v>2616</v>
      </c>
      <c r="C1098" s="199" t="s">
        <v>24</v>
      </c>
      <c r="D1098" s="1082">
        <v>6452</v>
      </c>
      <c r="E1098" s="199" t="s">
        <v>3820</v>
      </c>
      <c r="F1098" s="199" t="s">
        <v>3809</v>
      </c>
      <c r="G1098" s="804">
        <v>6319</v>
      </c>
      <c r="H1098" s="199" t="s">
        <v>3810</v>
      </c>
      <c r="I1098" s="199" t="s">
        <v>3811</v>
      </c>
      <c r="J1098" s="79" t="s">
        <v>58</v>
      </c>
      <c r="K1098" s="79" t="s">
        <v>57</v>
      </c>
      <c r="L1098" s="1067">
        <v>0.6</v>
      </c>
      <c r="M1098" s="757"/>
      <c r="N1098" s="79" t="s">
        <v>3819</v>
      </c>
      <c r="O1098" s="757"/>
      <c r="P1098" s="669">
        <v>1</v>
      </c>
      <c r="Q1098" s="1493">
        <v>0.1</v>
      </c>
      <c r="R1098" s="669"/>
      <c r="S1098" s="204">
        <f t="shared" si="34"/>
        <v>0</v>
      </c>
      <c r="T1098" s="960">
        <f t="shared" si="35"/>
        <v>0</v>
      </c>
      <c r="U1098" s="669" t="s">
        <v>34</v>
      </c>
      <c r="V1098" s="1203"/>
      <c r="W1098" s="1272"/>
    </row>
    <row r="1099" spans="1:23" ht="22.95" customHeight="1" x14ac:dyDescent="0.4">
      <c r="A1099" s="788">
        <v>1098</v>
      </c>
      <c r="B1099" s="1524" t="s">
        <v>2616</v>
      </c>
      <c r="C1099" s="246" t="s">
        <v>24</v>
      </c>
      <c r="D1099" s="1306">
        <v>6452</v>
      </c>
      <c r="E1099" s="246" t="s">
        <v>3820</v>
      </c>
      <c r="F1099" s="246" t="s">
        <v>3809</v>
      </c>
      <c r="G1099" s="1381">
        <v>6319</v>
      </c>
      <c r="H1099" s="246" t="s">
        <v>3810</v>
      </c>
      <c r="I1099" s="246" t="s">
        <v>3811</v>
      </c>
      <c r="J1099" s="648" t="s">
        <v>111</v>
      </c>
      <c r="K1099" s="649" t="s">
        <v>110</v>
      </c>
      <c r="L1099" s="1063">
        <v>0.4</v>
      </c>
      <c r="M1099" s="827"/>
      <c r="N1099" s="649" t="s">
        <v>255</v>
      </c>
      <c r="O1099" s="827"/>
      <c r="P1099" s="222">
        <v>1</v>
      </c>
      <c r="Q1099" s="1063">
        <v>0.05</v>
      </c>
      <c r="R1099" s="222"/>
      <c r="S1099" s="222">
        <f t="shared" si="34"/>
        <v>0</v>
      </c>
      <c r="T1099" s="765">
        <f t="shared" si="35"/>
        <v>0</v>
      </c>
      <c r="U1099" s="222" t="s">
        <v>34</v>
      </c>
      <c r="V1099" s="1228"/>
      <c r="W1099" s="222"/>
    </row>
    <row r="1100" spans="1:23" ht="22.95" customHeight="1" x14ac:dyDescent="0.4">
      <c r="A1100" s="788">
        <v>1099</v>
      </c>
      <c r="B1100" s="1524" t="s">
        <v>2616</v>
      </c>
      <c r="C1100" s="246" t="s">
        <v>24</v>
      </c>
      <c r="D1100" s="1306">
        <v>6452</v>
      </c>
      <c r="E1100" s="246" t="s">
        <v>3820</v>
      </c>
      <c r="F1100" s="246" t="s">
        <v>3809</v>
      </c>
      <c r="G1100" s="1381">
        <v>6319</v>
      </c>
      <c r="H1100" s="246" t="s">
        <v>3810</v>
      </c>
      <c r="I1100" s="246" t="s">
        <v>3811</v>
      </c>
      <c r="J1100" s="648" t="s">
        <v>111</v>
      </c>
      <c r="K1100" s="649" t="s">
        <v>110</v>
      </c>
      <c r="L1100" s="1063">
        <v>0.4</v>
      </c>
      <c r="M1100" s="827"/>
      <c r="N1100" s="649" t="s">
        <v>768</v>
      </c>
      <c r="O1100" s="827"/>
      <c r="P1100" s="222">
        <v>1</v>
      </c>
      <c r="Q1100" s="1063">
        <v>0.05</v>
      </c>
      <c r="R1100" s="222"/>
      <c r="S1100" s="222">
        <f t="shared" si="34"/>
        <v>0</v>
      </c>
      <c r="T1100" s="765">
        <f t="shared" si="35"/>
        <v>0</v>
      </c>
      <c r="U1100" s="222" t="s">
        <v>34</v>
      </c>
      <c r="V1100" s="1228"/>
      <c r="W1100" s="222"/>
    </row>
    <row r="1101" spans="1:23" ht="22.95" customHeight="1" x14ac:dyDescent="0.4">
      <c r="A1101" s="788">
        <v>1100</v>
      </c>
      <c r="B1101" s="1524" t="s">
        <v>2616</v>
      </c>
      <c r="C1101" s="246" t="s">
        <v>24</v>
      </c>
      <c r="D1101" s="1306">
        <v>6452</v>
      </c>
      <c r="E1101" s="246" t="s">
        <v>3820</v>
      </c>
      <c r="F1101" s="246" t="s">
        <v>3809</v>
      </c>
      <c r="G1101" s="1381">
        <v>6319</v>
      </c>
      <c r="H1101" s="246" t="s">
        <v>3810</v>
      </c>
      <c r="I1101" s="246" t="s">
        <v>3811</v>
      </c>
      <c r="J1101" s="648" t="s">
        <v>111</v>
      </c>
      <c r="K1101" s="649" t="s">
        <v>110</v>
      </c>
      <c r="L1101" s="1063">
        <v>0.4</v>
      </c>
      <c r="M1101" s="827"/>
      <c r="N1101" s="649" t="s">
        <v>769</v>
      </c>
      <c r="O1101" s="827"/>
      <c r="P1101" s="222">
        <v>1</v>
      </c>
      <c r="Q1101" s="1063">
        <v>0.05</v>
      </c>
      <c r="R1101" s="222"/>
      <c r="S1101" s="222">
        <f t="shared" si="34"/>
        <v>0</v>
      </c>
      <c r="T1101" s="765">
        <f t="shared" si="35"/>
        <v>0</v>
      </c>
      <c r="U1101" s="222" t="s">
        <v>34</v>
      </c>
      <c r="V1101" s="1228"/>
      <c r="W1101" s="222"/>
    </row>
    <row r="1102" spans="1:23" ht="22.95" customHeight="1" x14ac:dyDescent="0.4">
      <c r="A1102" s="788">
        <v>1101</v>
      </c>
      <c r="B1102" s="1524" t="s">
        <v>2616</v>
      </c>
      <c r="C1102" s="246" t="s">
        <v>24</v>
      </c>
      <c r="D1102" s="1306">
        <v>6452</v>
      </c>
      <c r="E1102" s="246" t="s">
        <v>3820</v>
      </c>
      <c r="F1102" s="246" t="s">
        <v>3809</v>
      </c>
      <c r="G1102" s="1381">
        <v>6319</v>
      </c>
      <c r="H1102" s="246" t="s">
        <v>3810</v>
      </c>
      <c r="I1102" s="246" t="s">
        <v>3811</v>
      </c>
      <c r="J1102" s="648" t="s">
        <v>111</v>
      </c>
      <c r="K1102" s="649" t="s">
        <v>110</v>
      </c>
      <c r="L1102" s="1063">
        <v>0.4</v>
      </c>
      <c r="M1102" s="827"/>
      <c r="N1102" s="649" t="s">
        <v>770</v>
      </c>
      <c r="O1102" s="827"/>
      <c r="P1102" s="222">
        <v>1</v>
      </c>
      <c r="Q1102" s="1063">
        <v>0.15</v>
      </c>
      <c r="R1102" s="222"/>
      <c r="S1102" s="222">
        <f t="shared" si="34"/>
        <v>0</v>
      </c>
      <c r="T1102" s="765">
        <f t="shared" si="35"/>
        <v>0</v>
      </c>
      <c r="U1102" s="222" t="s">
        <v>34</v>
      </c>
      <c r="V1102" s="1228"/>
      <c r="W1102" s="222"/>
    </row>
    <row r="1103" spans="1:23" ht="22.95" customHeight="1" x14ac:dyDescent="0.4">
      <c r="A1103" s="788">
        <v>1102</v>
      </c>
      <c r="B1103" s="1524" t="s">
        <v>2616</v>
      </c>
      <c r="C1103" s="246" t="s">
        <v>24</v>
      </c>
      <c r="D1103" s="1306">
        <v>6452</v>
      </c>
      <c r="E1103" s="246" t="s">
        <v>3820</v>
      </c>
      <c r="F1103" s="246" t="s">
        <v>3809</v>
      </c>
      <c r="G1103" s="1381">
        <v>6319</v>
      </c>
      <c r="H1103" s="246" t="s">
        <v>3810</v>
      </c>
      <c r="I1103" s="246" t="s">
        <v>3811</v>
      </c>
      <c r="J1103" s="648" t="s">
        <v>111</v>
      </c>
      <c r="K1103" s="649" t="s">
        <v>110</v>
      </c>
      <c r="L1103" s="1063">
        <v>0.4</v>
      </c>
      <c r="M1103" s="827"/>
      <c r="N1103" s="649" t="s">
        <v>254</v>
      </c>
      <c r="O1103" s="827"/>
      <c r="P1103" s="222">
        <v>1</v>
      </c>
      <c r="Q1103" s="1063">
        <v>0.1</v>
      </c>
      <c r="R1103" s="222"/>
      <c r="S1103" s="222">
        <f t="shared" si="34"/>
        <v>0</v>
      </c>
      <c r="T1103" s="765">
        <f t="shared" si="35"/>
        <v>0</v>
      </c>
      <c r="U1103" s="222" t="s">
        <v>34</v>
      </c>
      <c r="V1103" s="1228"/>
      <c r="W1103" s="222"/>
    </row>
    <row r="1104" spans="1:23" ht="22.95" customHeight="1" x14ac:dyDescent="0.4">
      <c r="A1104" s="788">
        <v>1103</v>
      </c>
      <c r="B1104" s="1524" t="s">
        <v>2616</v>
      </c>
      <c r="C1104" s="246" t="s">
        <v>24</v>
      </c>
      <c r="D1104" s="1306">
        <v>6452</v>
      </c>
      <c r="E1104" s="246" t="s">
        <v>3820</v>
      </c>
      <c r="F1104" s="246" t="s">
        <v>3809</v>
      </c>
      <c r="G1104" s="1381">
        <v>6319</v>
      </c>
      <c r="H1104" s="246" t="s">
        <v>3810</v>
      </c>
      <c r="I1104" s="246" t="s">
        <v>3811</v>
      </c>
      <c r="J1104" s="648" t="s">
        <v>111</v>
      </c>
      <c r="K1104" s="649" t="s">
        <v>110</v>
      </c>
      <c r="L1104" s="1063">
        <v>0.4</v>
      </c>
      <c r="M1104" s="827"/>
      <c r="N1104" s="649" t="s">
        <v>771</v>
      </c>
      <c r="O1104" s="827"/>
      <c r="P1104" s="222">
        <v>1</v>
      </c>
      <c r="Q1104" s="1063">
        <v>0.05</v>
      </c>
      <c r="R1104" s="222"/>
      <c r="S1104" s="222">
        <f t="shared" si="34"/>
        <v>0</v>
      </c>
      <c r="T1104" s="765">
        <f t="shared" si="35"/>
        <v>0</v>
      </c>
      <c r="U1104" s="222" t="s">
        <v>34</v>
      </c>
      <c r="V1104" s="1228"/>
      <c r="W1104" s="222"/>
    </row>
    <row r="1105" spans="1:23" ht="22.95" customHeight="1" x14ac:dyDescent="0.4">
      <c r="A1105" s="788">
        <v>1104</v>
      </c>
      <c r="B1105" s="1524" t="s">
        <v>2616</v>
      </c>
      <c r="C1105" s="246" t="s">
        <v>24</v>
      </c>
      <c r="D1105" s="1306">
        <v>6452</v>
      </c>
      <c r="E1105" s="246" t="s">
        <v>3820</v>
      </c>
      <c r="F1105" s="246" t="s">
        <v>3809</v>
      </c>
      <c r="G1105" s="1381">
        <v>6319</v>
      </c>
      <c r="H1105" s="246" t="s">
        <v>3810</v>
      </c>
      <c r="I1105" s="246" t="s">
        <v>3811</v>
      </c>
      <c r="J1105" s="648" t="s">
        <v>111</v>
      </c>
      <c r="K1105" s="649" t="s">
        <v>110</v>
      </c>
      <c r="L1105" s="1063">
        <v>0.4</v>
      </c>
      <c r="M1105" s="827"/>
      <c r="N1105" s="649" t="s">
        <v>772</v>
      </c>
      <c r="O1105" s="827"/>
      <c r="P1105" s="222">
        <v>1</v>
      </c>
      <c r="Q1105" s="1063">
        <v>0.1</v>
      </c>
      <c r="R1105" s="222"/>
      <c r="S1105" s="222">
        <f t="shared" si="34"/>
        <v>0</v>
      </c>
      <c r="T1105" s="765">
        <f t="shared" si="35"/>
        <v>0</v>
      </c>
      <c r="U1105" s="222" t="s">
        <v>34</v>
      </c>
      <c r="V1105" s="1228"/>
      <c r="W1105" s="222"/>
    </row>
    <row r="1106" spans="1:23" ht="22.95" customHeight="1" x14ac:dyDescent="0.4">
      <c r="A1106" s="788">
        <v>1105</v>
      </c>
      <c r="B1106" s="1524" t="s">
        <v>2616</v>
      </c>
      <c r="C1106" s="246" t="s">
        <v>24</v>
      </c>
      <c r="D1106" s="1306">
        <v>6452</v>
      </c>
      <c r="E1106" s="246" t="s">
        <v>3820</v>
      </c>
      <c r="F1106" s="246" t="s">
        <v>3809</v>
      </c>
      <c r="G1106" s="1381">
        <v>6319</v>
      </c>
      <c r="H1106" s="246" t="s">
        <v>3810</v>
      </c>
      <c r="I1106" s="246" t="s">
        <v>3811</v>
      </c>
      <c r="J1106" s="648" t="s">
        <v>111</v>
      </c>
      <c r="K1106" s="649" t="s">
        <v>110</v>
      </c>
      <c r="L1106" s="1063">
        <v>0.4</v>
      </c>
      <c r="M1106" s="827"/>
      <c r="N1106" s="649" t="s">
        <v>773</v>
      </c>
      <c r="O1106" s="827"/>
      <c r="P1106" s="222">
        <v>1</v>
      </c>
      <c r="Q1106" s="1063">
        <v>0.05</v>
      </c>
      <c r="R1106" s="222"/>
      <c r="S1106" s="222">
        <f t="shared" si="34"/>
        <v>0</v>
      </c>
      <c r="T1106" s="765">
        <f t="shared" si="35"/>
        <v>0</v>
      </c>
      <c r="U1106" s="222" t="s">
        <v>34</v>
      </c>
      <c r="V1106" s="1228"/>
      <c r="W1106" s="222"/>
    </row>
    <row r="1107" spans="1:23" ht="22.95" customHeight="1" x14ac:dyDescent="0.4">
      <c r="A1107" s="788">
        <v>1106</v>
      </c>
      <c r="B1107" s="1524" t="s">
        <v>2616</v>
      </c>
      <c r="C1107" s="246" t="s">
        <v>24</v>
      </c>
      <c r="D1107" s="1306">
        <v>6452</v>
      </c>
      <c r="E1107" s="246" t="s">
        <v>3820</v>
      </c>
      <c r="F1107" s="246" t="s">
        <v>3809</v>
      </c>
      <c r="G1107" s="1381">
        <v>6319</v>
      </c>
      <c r="H1107" s="246" t="s">
        <v>3810</v>
      </c>
      <c r="I1107" s="246" t="s">
        <v>3811</v>
      </c>
      <c r="J1107" s="648" t="s">
        <v>111</v>
      </c>
      <c r="K1107" s="649" t="s">
        <v>110</v>
      </c>
      <c r="L1107" s="1063">
        <v>0.4</v>
      </c>
      <c r="M1107" s="827"/>
      <c r="N1107" s="649" t="s">
        <v>774</v>
      </c>
      <c r="O1107" s="827"/>
      <c r="P1107" s="222">
        <v>1</v>
      </c>
      <c r="Q1107" s="1063">
        <v>0.05</v>
      </c>
      <c r="R1107" s="222"/>
      <c r="S1107" s="222">
        <f t="shared" si="34"/>
        <v>0</v>
      </c>
      <c r="T1107" s="765">
        <f t="shared" si="35"/>
        <v>0</v>
      </c>
      <c r="U1107" s="222" t="s">
        <v>34</v>
      </c>
      <c r="V1107" s="1228"/>
      <c r="W1107" s="222"/>
    </row>
    <row r="1108" spans="1:23" ht="22.95" customHeight="1" x14ac:dyDescent="0.4">
      <c r="A1108" s="788">
        <v>1107</v>
      </c>
      <c r="B1108" s="1524" t="s">
        <v>2616</v>
      </c>
      <c r="C1108" s="246" t="s">
        <v>24</v>
      </c>
      <c r="D1108" s="1306">
        <v>6452</v>
      </c>
      <c r="E1108" s="246" t="s">
        <v>3820</v>
      </c>
      <c r="F1108" s="246" t="s">
        <v>3809</v>
      </c>
      <c r="G1108" s="1381">
        <v>6319</v>
      </c>
      <c r="H1108" s="246" t="s">
        <v>3810</v>
      </c>
      <c r="I1108" s="246" t="s">
        <v>3811</v>
      </c>
      <c r="J1108" s="648" t="s">
        <v>111</v>
      </c>
      <c r="K1108" s="649" t="s">
        <v>110</v>
      </c>
      <c r="L1108" s="1063">
        <v>0.4</v>
      </c>
      <c r="M1108" s="827"/>
      <c r="N1108" s="649" t="s">
        <v>775</v>
      </c>
      <c r="O1108" s="827"/>
      <c r="P1108" s="222">
        <v>1</v>
      </c>
      <c r="Q1108" s="1063">
        <v>0.05</v>
      </c>
      <c r="R1108" s="222"/>
      <c r="S1108" s="222">
        <f t="shared" si="34"/>
        <v>0</v>
      </c>
      <c r="T1108" s="765">
        <f t="shared" si="35"/>
        <v>0</v>
      </c>
      <c r="U1108" s="222" t="s">
        <v>34</v>
      </c>
      <c r="V1108" s="1228"/>
      <c r="W1108" s="222"/>
    </row>
    <row r="1109" spans="1:23" ht="22.95" customHeight="1" x14ac:dyDescent="0.4">
      <c r="A1109" s="788">
        <v>1108</v>
      </c>
      <c r="B1109" s="1524" t="s">
        <v>2616</v>
      </c>
      <c r="C1109" s="246" t="s">
        <v>24</v>
      </c>
      <c r="D1109" s="1306">
        <v>6452</v>
      </c>
      <c r="E1109" s="246" t="s">
        <v>3820</v>
      </c>
      <c r="F1109" s="246" t="s">
        <v>3809</v>
      </c>
      <c r="G1109" s="1381">
        <v>6319</v>
      </c>
      <c r="H1109" s="246" t="s">
        <v>3810</v>
      </c>
      <c r="I1109" s="246" t="s">
        <v>3811</v>
      </c>
      <c r="J1109" s="648" t="s">
        <v>111</v>
      </c>
      <c r="K1109" s="649" t="s">
        <v>110</v>
      </c>
      <c r="L1109" s="1063">
        <v>0.4</v>
      </c>
      <c r="M1109" s="827"/>
      <c r="N1109" s="649" t="s">
        <v>776</v>
      </c>
      <c r="O1109" s="827"/>
      <c r="P1109" s="222">
        <v>1</v>
      </c>
      <c r="Q1109" s="1063">
        <v>0.1</v>
      </c>
      <c r="R1109" s="222"/>
      <c r="S1109" s="222">
        <f t="shared" si="34"/>
        <v>0</v>
      </c>
      <c r="T1109" s="765">
        <f t="shared" si="35"/>
        <v>0</v>
      </c>
      <c r="U1109" s="222" t="s">
        <v>34</v>
      </c>
      <c r="V1109" s="1228"/>
      <c r="W1109" s="222"/>
    </row>
    <row r="1110" spans="1:23" ht="22.95" customHeight="1" x14ac:dyDescent="0.4">
      <c r="A1110" s="788">
        <v>1109</v>
      </c>
      <c r="B1110" s="1524" t="s">
        <v>2616</v>
      </c>
      <c r="C1110" s="246" t="s">
        <v>24</v>
      </c>
      <c r="D1110" s="1306">
        <v>6452</v>
      </c>
      <c r="E1110" s="246" t="s">
        <v>3820</v>
      </c>
      <c r="F1110" s="246" t="s">
        <v>3809</v>
      </c>
      <c r="G1110" s="1381">
        <v>6319</v>
      </c>
      <c r="H1110" s="246" t="s">
        <v>3810</v>
      </c>
      <c r="I1110" s="246" t="s">
        <v>3811</v>
      </c>
      <c r="J1110" s="648" t="s">
        <v>111</v>
      </c>
      <c r="K1110" s="649" t="s">
        <v>110</v>
      </c>
      <c r="L1110" s="1063">
        <v>0.4</v>
      </c>
      <c r="M1110" s="827"/>
      <c r="N1110" s="649" t="s">
        <v>251</v>
      </c>
      <c r="O1110" s="827"/>
      <c r="P1110" s="222">
        <v>1</v>
      </c>
      <c r="Q1110" s="1063">
        <v>0.05</v>
      </c>
      <c r="R1110" s="222"/>
      <c r="S1110" s="222">
        <f t="shared" si="34"/>
        <v>0</v>
      </c>
      <c r="T1110" s="765">
        <f t="shared" si="35"/>
        <v>0</v>
      </c>
      <c r="U1110" s="222" t="s">
        <v>34</v>
      </c>
      <c r="V1110" s="1228"/>
      <c r="W1110" s="222"/>
    </row>
    <row r="1111" spans="1:23" ht="22.95" customHeight="1" x14ac:dyDescent="0.4">
      <c r="A1111" s="788">
        <v>1110</v>
      </c>
      <c r="B1111" s="1524" t="s">
        <v>2616</v>
      </c>
      <c r="C1111" s="246" t="s">
        <v>24</v>
      </c>
      <c r="D1111" s="1306">
        <v>6452</v>
      </c>
      <c r="E1111" s="246" t="s">
        <v>3820</v>
      </c>
      <c r="F1111" s="246" t="s">
        <v>3809</v>
      </c>
      <c r="G1111" s="1381">
        <v>6319</v>
      </c>
      <c r="H1111" s="246" t="s">
        <v>3810</v>
      </c>
      <c r="I1111" s="246" t="s">
        <v>3811</v>
      </c>
      <c r="J1111" s="648" t="s">
        <v>111</v>
      </c>
      <c r="K1111" s="649" t="s">
        <v>110</v>
      </c>
      <c r="L1111" s="1063">
        <v>0.4</v>
      </c>
      <c r="M1111" s="827"/>
      <c r="N1111" s="649" t="s">
        <v>252</v>
      </c>
      <c r="O1111" s="827"/>
      <c r="P1111" s="222">
        <v>1</v>
      </c>
      <c r="Q1111" s="1063">
        <v>0.05</v>
      </c>
      <c r="R1111" s="222"/>
      <c r="S1111" s="222">
        <f t="shared" si="34"/>
        <v>0</v>
      </c>
      <c r="T1111" s="765">
        <f t="shared" si="35"/>
        <v>0</v>
      </c>
      <c r="U1111" s="222" t="s">
        <v>34</v>
      </c>
      <c r="V1111" s="1228"/>
      <c r="W1111" s="222"/>
    </row>
    <row r="1112" spans="1:23" ht="22.95" customHeight="1" x14ac:dyDescent="0.4">
      <c r="A1112" s="788">
        <v>1111</v>
      </c>
      <c r="B1112" s="1524" t="s">
        <v>2616</v>
      </c>
      <c r="C1112" s="246" t="s">
        <v>24</v>
      </c>
      <c r="D1112" s="1306">
        <v>6452</v>
      </c>
      <c r="E1112" s="246" t="s">
        <v>3820</v>
      </c>
      <c r="F1112" s="246" t="s">
        <v>3809</v>
      </c>
      <c r="G1112" s="1381">
        <v>6319</v>
      </c>
      <c r="H1112" s="246" t="s">
        <v>3810</v>
      </c>
      <c r="I1112" s="246" t="s">
        <v>3811</v>
      </c>
      <c r="J1112" s="648" t="s">
        <v>111</v>
      </c>
      <c r="K1112" s="649" t="s">
        <v>110</v>
      </c>
      <c r="L1112" s="1063">
        <v>0.4</v>
      </c>
      <c r="M1112" s="827"/>
      <c r="N1112" s="649" t="s">
        <v>777</v>
      </c>
      <c r="O1112" s="827"/>
      <c r="P1112" s="222">
        <v>1</v>
      </c>
      <c r="Q1112" s="1063">
        <v>0.05</v>
      </c>
      <c r="R1112" s="222"/>
      <c r="S1112" s="222">
        <f t="shared" si="34"/>
        <v>0</v>
      </c>
      <c r="T1112" s="765">
        <f t="shared" si="35"/>
        <v>0</v>
      </c>
      <c r="U1112" s="222" t="s">
        <v>34</v>
      </c>
      <c r="V1112" s="1228"/>
      <c r="W1112" s="222"/>
    </row>
    <row r="1113" spans="1:23" ht="22.95" customHeight="1" x14ac:dyDescent="0.4">
      <c r="A1113" s="788">
        <v>1112</v>
      </c>
      <c r="B1113" s="1524" t="s">
        <v>2616</v>
      </c>
      <c r="C1113" s="246" t="s">
        <v>24</v>
      </c>
      <c r="D1113" s="1306">
        <v>6452</v>
      </c>
      <c r="E1113" s="246" t="s">
        <v>3820</v>
      </c>
      <c r="F1113" s="246" t="s">
        <v>3809</v>
      </c>
      <c r="G1113" s="1381">
        <v>6319</v>
      </c>
      <c r="H1113" s="246" t="s">
        <v>3810</v>
      </c>
      <c r="I1113" s="246" t="s">
        <v>3811</v>
      </c>
      <c r="J1113" s="648" t="s">
        <v>111</v>
      </c>
      <c r="K1113" s="649" t="s">
        <v>110</v>
      </c>
      <c r="L1113" s="1063">
        <v>0.4</v>
      </c>
      <c r="M1113" s="827"/>
      <c r="N1113" s="649" t="s">
        <v>253</v>
      </c>
      <c r="O1113" s="827"/>
      <c r="P1113" s="222">
        <v>1</v>
      </c>
      <c r="Q1113" s="1063">
        <v>0.05</v>
      </c>
      <c r="R1113" s="222"/>
      <c r="S1113" s="222">
        <f t="shared" si="34"/>
        <v>0</v>
      </c>
      <c r="T1113" s="765">
        <f t="shared" si="35"/>
        <v>0</v>
      </c>
      <c r="U1113" s="222" t="s">
        <v>34</v>
      </c>
      <c r="V1113" s="1228"/>
      <c r="W1113" s="222"/>
    </row>
    <row r="1114" spans="1:23" ht="22.95" customHeight="1" x14ac:dyDescent="0.4">
      <c r="A1114" s="788">
        <v>1113</v>
      </c>
      <c r="B1114" s="187" t="s">
        <v>2616</v>
      </c>
      <c r="C1114" s="187" t="s">
        <v>24</v>
      </c>
      <c r="D1114" s="1200">
        <v>6588</v>
      </c>
      <c r="E1114" s="187" t="s">
        <v>3821</v>
      </c>
      <c r="F1114" s="187" t="s">
        <v>3822</v>
      </c>
      <c r="G1114" s="674">
        <v>3192</v>
      </c>
      <c r="H1114" s="187" t="s">
        <v>2619</v>
      </c>
      <c r="I1114" s="187" t="s">
        <v>3823</v>
      </c>
      <c r="J1114" s="653" t="s">
        <v>30</v>
      </c>
      <c r="K1114" s="653" t="s">
        <v>29</v>
      </c>
      <c r="L1114" s="1052">
        <v>0.6</v>
      </c>
      <c r="M1114" s="748" t="s">
        <v>2620</v>
      </c>
      <c r="N1114" s="749" t="s">
        <v>2621</v>
      </c>
      <c r="O1114" s="1053"/>
      <c r="P1114" s="1053">
        <v>1856910.8756204764</v>
      </c>
      <c r="Q1114" s="1054">
        <v>0.15</v>
      </c>
      <c r="R1114" s="1053"/>
      <c r="S1114" s="855">
        <f t="shared" si="34"/>
        <v>0</v>
      </c>
      <c r="T1114" s="854">
        <f t="shared" si="35"/>
        <v>0</v>
      </c>
      <c r="U1114" s="966" t="s">
        <v>34</v>
      </c>
      <c r="V1114" s="1221">
        <f>SUM(T1114:T1145)%</f>
        <v>0</v>
      </c>
      <c r="W1114" s="791"/>
    </row>
    <row r="1115" spans="1:23" ht="22.95" customHeight="1" x14ac:dyDescent="0.4">
      <c r="A1115" s="788">
        <v>1114</v>
      </c>
      <c r="B1115" s="246" t="s">
        <v>2616</v>
      </c>
      <c r="C1115" s="246" t="s">
        <v>24</v>
      </c>
      <c r="D1115" s="1306">
        <v>6588</v>
      </c>
      <c r="E1115" s="246" t="s">
        <v>3821</v>
      </c>
      <c r="F1115" s="246" t="s">
        <v>3822</v>
      </c>
      <c r="G1115" s="1381">
        <v>3192</v>
      </c>
      <c r="H1115" s="246" t="s">
        <v>2619</v>
      </c>
      <c r="I1115" s="246" t="s">
        <v>3823</v>
      </c>
      <c r="J1115" s="649" t="s">
        <v>30</v>
      </c>
      <c r="K1115" s="648" t="s">
        <v>29</v>
      </c>
      <c r="L1115" s="1059">
        <v>0.6</v>
      </c>
      <c r="M1115" s="1060" t="s">
        <v>2622</v>
      </c>
      <c r="N1115" s="1061" t="s">
        <v>2623</v>
      </c>
      <c r="O1115" s="1062"/>
      <c r="P1115" s="1062">
        <v>621419.69473720191</v>
      </c>
      <c r="Q1115" s="1063">
        <v>0.1</v>
      </c>
      <c r="R1115" s="1062"/>
      <c r="S1115" s="215">
        <f t="shared" si="34"/>
        <v>0</v>
      </c>
      <c r="T1115" s="223">
        <f t="shared" si="35"/>
        <v>0</v>
      </c>
      <c r="U1115" s="708" t="s">
        <v>34</v>
      </c>
      <c r="V1115" s="1228"/>
      <c r="W1115" s="799"/>
    </row>
    <row r="1116" spans="1:23" ht="22.95" customHeight="1" x14ac:dyDescent="0.4">
      <c r="A1116" s="788">
        <v>1115</v>
      </c>
      <c r="B1116" s="246" t="s">
        <v>2616</v>
      </c>
      <c r="C1116" s="246" t="s">
        <v>24</v>
      </c>
      <c r="D1116" s="1306">
        <v>6588</v>
      </c>
      <c r="E1116" s="246" t="s">
        <v>3821</v>
      </c>
      <c r="F1116" s="246" t="s">
        <v>3822</v>
      </c>
      <c r="G1116" s="1381">
        <v>3192</v>
      </c>
      <c r="H1116" s="246" t="s">
        <v>2619</v>
      </c>
      <c r="I1116" s="246" t="s">
        <v>3823</v>
      </c>
      <c r="J1116" s="649" t="s">
        <v>30</v>
      </c>
      <c r="K1116" s="648" t="s">
        <v>29</v>
      </c>
      <c r="L1116" s="1059">
        <v>0.6</v>
      </c>
      <c r="M1116" s="1060" t="s">
        <v>2624</v>
      </c>
      <c r="N1116" s="1061" t="s">
        <v>2625</v>
      </c>
      <c r="O1116" s="1062"/>
      <c r="P1116" s="1062">
        <v>789737.85000000009</v>
      </c>
      <c r="Q1116" s="1063">
        <v>0.1</v>
      </c>
      <c r="R1116" s="1062"/>
      <c r="S1116" s="215">
        <f t="shared" si="34"/>
        <v>0</v>
      </c>
      <c r="T1116" s="223">
        <f t="shared" si="35"/>
        <v>0</v>
      </c>
      <c r="U1116" s="708" t="s">
        <v>34</v>
      </c>
      <c r="V1116" s="1228"/>
      <c r="W1116" s="799"/>
    </row>
    <row r="1117" spans="1:23" ht="22.95" customHeight="1" x14ac:dyDescent="0.4">
      <c r="A1117" s="788">
        <v>1116</v>
      </c>
      <c r="B1117" s="246" t="s">
        <v>2616</v>
      </c>
      <c r="C1117" s="246" t="s">
        <v>24</v>
      </c>
      <c r="D1117" s="1306">
        <v>6588</v>
      </c>
      <c r="E1117" s="246" t="s">
        <v>3821</v>
      </c>
      <c r="F1117" s="246" t="s">
        <v>3822</v>
      </c>
      <c r="G1117" s="1381">
        <v>3192</v>
      </c>
      <c r="H1117" s="246" t="s">
        <v>2619</v>
      </c>
      <c r="I1117" s="246" t="s">
        <v>3823</v>
      </c>
      <c r="J1117" s="649" t="s">
        <v>30</v>
      </c>
      <c r="K1117" s="648" t="s">
        <v>29</v>
      </c>
      <c r="L1117" s="1059">
        <v>0.6</v>
      </c>
      <c r="M1117" s="1060" t="s">
        <v>2626</v>
      </c>
      <c r="N1117" s="1061" t="s">
        <v>2627</v>
      </c>
      <c r="O1117" s="1062"/>
      <c r="P1117" s="1062">
        <v>1406879.4938896229</v>
      </c>
      <c r="Q1117" s="1063">
        <v>0.05</v>
      </c>
      <c r="R1117" s="1062"/>
      <c r="S1117" s="215">
        <f t="shared" si="34"/>
        <v>0</v>
      </c>
      <c r="T1117" s="223">
        <f t="shared" si="35"/>
        <v>0</v>
      </c>
      <c r="U1117" s="708" t="s">
        <v>34</v>
      </c>
      <c r="V1117" s="1228"/>
      <c r="W1117" s="799"/>
    </row>
    <row r="1118" spans="1:23" ht="22.95" customHeight="1" x14ac:dyDescent="0.4">
      <c r="A1118" s="788">
        <v>1117</v>
      </c>
      <c r="B1118" s="246" t="s">
        <v>2616</v>
      </c>
      <c r="C1118" s="246" t="s">
        <v>24</v>
      </c>
      <c r="D1118" s="1306">
        <v>6588</v>
      </c>
      <c r="E1118" s="246" t="s">
        <v>3821</v>
      </c>
      <c r="F1118" s="246" t="s">
        <v>3822</v>
      </c>
      <c r="G1118" s="1381">
        <v>3192</v>
      </c>
      <c r="H1118" s="246" t="s">
        <v>2619</v>
      </c>
      <c r="I1118" s="246" t="s">
        <v>3823</v>
      </c>
      <c r="J1118" s="649" t="s">
        <v>30</v>
      </c>
      <c r="K1118" s="648" t="s">
        <v>29</v>
      </c>
      <c r="L1118" s="1059">
        <v>0.6</v>
      </c>
      <c r="M1118" s="1060" t="s">
        <v>2628</v>
      </c>
      <c r="N1118" s="1061" t="s">
        <v>2629</v>
      </c>
      <c r="O1118" s="1062"/>
      <c r="P1118" s="1062">
        <v>48608.249727263406</v>
      </c>
      <c r="Q1118" s="1063">
        <v>0.01</v>
      </c>
      <c r="R1118" s="1062"/>
      <c r="S1118" s="215">
        <f t="shared" si="34"/>
        <v>0</v>
      </c>
      <c r="T1118" s="223">
        <f t="shared" si="35"/>
        <v>0</v>
      </c>
      <c r="U1118" s="708" t="s">
        <v>34</v>
      </c>
      <c r="V1118" s="1228"/>
      <c r="W1118" s="799"/>
    </row>
    <row r="1119" spans="1:23" ht="22.95" customHeight="1" x14ac:dyDescent="0.4">
      <c r="A1119" s="788">
        <v>1118</v>
      </c>
      <c r="B1119" s="246" t="s">
        <v>2616</v>
      </c>
      <c r="C1119" s="246" t="s">
        <v>24</v>
      </c>
      <c r="D1119" s="1306">
        <v>6588</v>
      </c>
      <c r="E1119" s="246" t="s">
        <v>3821</v>
      </c>
      <c r="F1119" s="246" t="s">
        <v>3822</v>
      </c>
      <c r="G1119" s="1381">
        <v>3192</v>
      </c>
      <c r="H1119" s="246" t="s">
        <v>2619</v>
      </c>
      <c r="I1119" s="246" t="s">
        <v>3823</v>
      </c>
      <c r="J1119" s="649" t="s">
        <v>30</v>
      </c>
      <c r="K1119" s="648" t="s">
        <v>29</v>
      </c>
      <c r="L1119" s="1059">
        <v>0.6</v>
      </c>
      <c r="M1119" s="1060" t="s">
        <v>2630</v>
      </c>
      <c r="N1119" s="1061" t="s">
        <v>2631</v>
      </c>
      <c r="O1119" s="1062"/>
      <c r="P1119" s="1062">
        <v>48600000</v>
      </c>
      <c r="Q1119" s="1063">
        <v>0.03</v>
      </c>
      <c r="R1119" s="1062"/>
      <c r="S1119" s="215">
        <f t="shared" si="34"/>
        <v>0</v>
      </c>
      <c r="T1119" s="223">
        <f t="shared" si="35"/>
        <v>0</v>
      </c>
      <c r="U1119" s="708" t="s">
        <v>34</v>
      </c>
      <c r="V1119" s="1228"/>
      <c r="W1119" s="799"/>
    </row>
    <row r="1120" spans="1:23" ht="22.95" customHeight="1" x14ac:dyDescent="0.4">
      <c r="A1120" s="788">
        <v>1119</v>
      </c>
      <c r="B1120" s="246" t="s">
        <v>2616</v>
      </c>
      <c r="C1120" s="246" t="s">
        <v>24</v>
      </c>
      <c r="D1120" s="1306">
        <v>6588</v>
      </c>
      <c r="E1120" s="246" t="s">
        <v>3821</v>
      </c>
      <c r="F1120" s="246" t="s">
        <v>3822</v>
      </c>
      <c r="G1120" s="1381">
        <v>3192</v>
      </c>
      <c r="H1120" s="246" t="s">
        <v>2619</v>
      </c>
      <c r="I1120" s="246" t="s">
        <v>3823</v>
      </c>
      <c r="J1120" s="649" t="s">
        <v>30</v>
      </c>
      <c r="K1120" s="648" t="s">
        <v>29</v>
      </c>
      <c r="L1120" s="1059">
        <v>0.6</v>
      </c>
      <c r="M1120" s="1060" t="s">
        <v>41</v>
      </c>
      <c r="N1120" s="1061" t="s">
        <v>2632</v>
      </c>
      <c r="O1120" s="1062"/>
      <c r="P1120" s="1062">
        <v>98000</v>
      </c>
      <c r="Q1120" s="1063">
        <v>0.01</v>
      </c>
      <c r="R1120" s="1062"/>
      <c r="S1120" s="215">
        <f t="shared" si="34"/>
        <v>0</v>
      </c>
      <c r="T1120" s="223">
        <f t="shared" si="35"/>
        <v>0</v>
      </c>
      <c r="U1120" s="708" t="s">
        <v>34</v>
      </c>
      <c r="V1120" s="1228"/>
      <c r="W1120" s="799"/>
    </row>
    <row r="1121" spans="1:23" ht="22.95" customHeight="1" x14ac:dyDescent="0.4">
      <c r="A1121" s="788">
        <v>1120</v>
      </c>
      <c r="B1121" s="246" t="s">
        <v>2616</v>
      </c>
      <c r="C1121" s="246" t="s">
        <v>24</v>
      </c>
      <c r="D1121" s="1306">
        <v>6588</v>
      </c>
      <c r="E1121" s="246" t="s">
        <v>3821</v>
      </c>
      <c r="F1121" s="246" t="s">
        <v>3822</v>
      </c>
      <c r="G1121" s="1381">
        <v>3192</v>
      </c>
      <c r="H1121" s="246" t="s">
        <v>2619</v>
      </c>
      <c r="I1121" s="246" t="s">
        <v>3823</v>
      </c>
      <c r="J1121" s="649" t="s">
        <v>30</v>
      </c>
      <c r="K1121" s="648" t="s">
        <v>29</v>
      </c>
      <c r="L1121" s="1059">
        <v>0.6</v>
      </c>
      <c r="M1121" s="1060" t="s">
        <v>2633</v>
      </c>
      <c r="N1121" s="1061" t="s">
        <v>2634</v>
      </c>
      <c r="O1121" s="1062"/>
      <c r="P1121" s="1062">
        <v>42860.330649873424</v>
      </c>
      <c r="Q1121" s="1063">
        <v>0.02</v>
      </c>
      <c r="R1121" s="1062"/>
      <c r="S1121" s="215">
        <f t="shared" si="34"/>
        <v>0</v>
      </c>
      <c r="T1121" s="223">
        <f t="shared" si="35"/>
        <v>0</v>
      </c>
      <c r="U1121" s="708" t="s">
        <v>34</v>
      </c>
      <c r="V1121" s="1228"/>
      <c r="W1121" s="799"/>
    </row>
    <row r="1122" spans="1:23" ht="22.95" customHeight="1" x14ac:dyDescent="0.4">
      <c r="A1122" s="788">
        <v>1121</v>
      </c>
      <c r="B1122" s="246" t="s">
        <v>2616</v>
      </c>
      <c r="C1122" s="246" t="s">
        <v>24</v>
      </c>
      <c r="D1122" s="1306">
        <v>6588</v>
      </c>
      <c r="E1122" s="246" t="s">
        <v>3821</v>
      </c>
      <c r="F1122" s="246" t="s">
        <v>3822</v>
      </c>
      <c r="G1122" s="1381">
        <v>3192</v>
      </c>
      <c r="H1122" s="246" t="s">
        <v>2619</v>
      </c>
      <c r="I1122" s="246" t="s">
        <v>3823</v>
      </c>
      <c r="J1122" s="649" t="s">
        <v>30</v>
      </c>
      <c r="K1122" s="648" t="s">
        <v>29</v>
      </c>
      <c r="L1122" s="1059">
        <v>0.6</v>
      </c>
      <c r="M1122" s="1060" t="s">
        <v>2635</v>
      </c>
      <c r="N1122" s="1061" t="s">
        <v>2636</v>
      </c>
      <c r="O1122" s="1062"/>
      <c r="P1122" s="1062">
        <v>1822851.8475738494</v>
      </c>
      <c r="Q1122" s="1063">
        <v>0.15</v>
      </c>
      <c r="R1122" s="1062"/>
      <c r="S1122" s="215">
        <f t="shared" si="34"/>
        <v>0</v>
      </c>
      <c r="T1122" s="223">
        <f t="shared" si="35"/>
        <v>0</v>
      </c>
      <c r="U1122" s="708" t="s">
        <v>34</v>
      </c>
      <c r="V1122" s="1228"/>
      <c r="W1122" s="799"/>
    </row>
    <row r="1123" spans="1:23" ht="22.95" customHeight="1" x14ac:dyDescent="0.4">
      <c r="A1123" s="788">
        <v>1122</v>
      </c>
      <c r="B1123" s="246" t="s">
        <v>2616</v>
      </c>
      <c r="C1123" s="246" t="s">
        <v>24</v>
      </c>
      <c r="D1123" s="1306">
        <v>6588</v>
      </c>
      <c r="E1123" s="246" t="s">
        <v>3821</v>
      </c>
      <c r="F1123" s="246" t="s">
        <v>3822</v>
      </c>
      <c r="G1123" s="1381">
        <v>3192</v>
      </c>
      <c r="H1123" s="246" t="s">
        <v>2619</v>
      </c>
      <c r="I1123" s="246" t="s">
        <v>3823</v>
      </c>
      <c r="J1123" s="649" t="s">
        <v>30</v>
      </c>
      <c r="K1123" s="648" t="s">
        <v>29</v>
      </c>
      <c r="L1123" s="1059">
        <v>0.6</v>
      </c>
      <c r="M1123" s="1060" t="s">
        <v>2637</v>
      </c>
      <c r="N1123" s="1061" t="s">
        <v>2638</v>
      </c>
      <c r="O1123" s="1062"/>
      <c r="P1123" s="1062">
        <v>632149.86058619968</v>
      </c>
      <c r="Q1123" s="1063">
        <v>0.1</v>
      </c>
      <c r="R1123" s="1062"/>
      <c r="S1123" s="215">
        <f t="shared" si="34"/>
        <v>0</v>
      </c>
      <c r="T1123" s="223">
        <f t="shared" si="35"/>
        <v>0</v>
      </c>
      <c r="U1123" s="708" t="s">
        <v>34</v>
      </c>
      <c r="V1123" s="1228"/>
      <c r="W1123" s="799"/>
    </row>
    <row r="1124" spans="1:23" ht="22.95" customHeight="1" x14ac:dyDescent="0.4">
      <c r="A1124" s="788">
        <v>1123</v>
      </c>
      <c r="B1124" s="246" t="s">
        <v>2616</v>
      </c>
      <c r="C1124" s="246" t="s">
        <v>24</v>
      </c>
      <c r="D1124" s="1306">
        <v>6588</v>
      </c>
      <c r="E1124" s="246" t="s">
        <v>3821</v>
      </c>
      <c r="F1124" s="246" t="s">
        <v>3822</v>
      </c>
      <c r="G1124" s="1381">
        <v>3192</v>
      </c>
      <c r="H1124" s="246" t="s">
        <v>2619</v>
      </c>
      <c r="I1124" s="246" t="s">
        <v>3823</v>
      </c>
      <c r="J1124" s="649" t="s">
        <v>30</v>
      </c>
      <c r="K1124" s="648" t="s">
        <v>29</v>
      </c>
      <c r="L1124" s="1059">
        <v>0.6</v>
      </c>
      <c r="M1124" s="1060" t="s">
        <v>2639</v>
      </c>
      <c r="N1124" s="1061" t="s">
        <v>2640</v>
      </c>
      <c r="O1124" s="1062"/>
      <c r="P1124" s="1062">
        <v>1582673.167066941</v>
      </c>
      <c r="Q1124" s="1063">
        <v>0.05</v>
      </c>
      <c r="R1124" s="1062"/>
      <c r="S1124" s="215">
        <f t="shared" si="34"/>
        <v>0</v>
      </c>
      <c r="T1124" s="223">
        <f t="shared" si="35"/>
        <v>0</v>
      </c>
      <c r="U1124" s="708" t="s">
        <v>34</v>
      </c>
      <c r="V1124" s="1228"/>
      <c r="W1124" s="799"/>
    </row>
    <row r="1125" spans="1:23" ht="22.95" customHeight="1" x14ac:dyDescent="0.4">
      <c r="A1125" s="788">
        <v>1124</v>
      </c>
      <c r="B1125" s="246" t="s">
        <v>2616</v>
      </c>
      <c r="C1125" s="246" t="s">
        <v>24</v>
      </c>
      <c r="D1125" s="1306">
        <v>6588</v>
      </c>
      <c r="E1125" s="246" t="s">
        <v>3821</v>
      </c>
      <c r="F1125" s="246" t="s">
        <v>3822</v>
      </c>
      <c r="G1125" s="1381">
        <v>3192</v>
      </c>
      <c r="H1125" s="246" t="s">
        <v>2619</v>
      </c>
      <c r="I1125" s="246" t="s">
        <v>3823</v>
      </c>
      <c r="J1125" s="649" t="s">
        <v>30</v>
      </c>
      <c r="K1125" s="648" t="s">
        <v>29</v>
      </c>
      <c r="L1125" s="1059">
        <v>0.6</v>
      </c>
      <c r="M1125" s="1060" t="s">
        <v>2641</v>
      </c>
      <c r="N1125" s="1061" t="s">
        <v>2642</v>
      </c>
      <c r="O1125" s="1062"/>
      <c r="P1125" s="1062">
        <v>52500</v>
      </c>
      <c r="Q1125" s="1063">
        <v>0.01</v>
      </c>
      <c r="R1125" s="1062"/>
      <c r="S1125" s="215">
        <f t="shared" si="34"/>
        <v>0</v>
      </c>
      <c r="T1125" s="223">
        <f t="shared" si="35"/>
        <v>0</v>
      </c>
      <c r="U1125" s="708" t="s">
        <v>34</v>
      </c>
      <c r="V1125" s="1228"/>
      <c r="W1125" s="799"/>
    </row>
    <row r="1126" spans="1:23" ht="22.95" customHeight="1" x14ac:dyDescent="0.4">
      <c r="A1126" s="788">
        <v>1125</v>
      </c>
      <c r="B1126" s="246" t="s">
        <v>2616</v>
      </c>
      <c r="C1126" s="246" t="s">
        <v>24</v>
      </c>
      <c r="D1126" s="1306">
        <v>6588</v>
      </c>
      <c r="E1126" s="246" t="s">
        <v>3821</v>
      </c>
      <c r="F1126" s="246" t="s">
        <v>3822</v>
      </c>
      <c r="G1126" s="1381">
        <v>3192</v>
      </c>
      <c r="H1126" s="246" t="s">
        <v>2619</v>
      </c>
      <c r="I1126" s="246" t="s">
        <v>3823</v>
      </c>
      <c r="J1126" s="649" t="s">
        <v>30</v>
      </c>
      <c r="K1126" s="648" t="s">
        <v>29</v>
      </c>
      <c r="L1126" s="1059">
        <v>0.6</v>
      </c>
      <c r="M1126" s="1060" t="s">
        <v>2643</v>
      </c>
      <c r="N1126" s="1061" t="s">
        <v>2644</v>
      </c>
      <c r="O1126" s="1062"/>
      <c r="P1126" s="1062">
        <v>28325616.5089917</v>
      </c>
      <c r="Q1126" s="1063">
        <v>0.03</v>
      </c>
      <c r="R1126" s="1062"/>
      <c r="S1126" s="215">
        <f t="shared" si="34"/>
        <v>0</v>
      </c>
      <c r="T1126" s="223">
        <f t="shared" si="35"/>
        <v>0</v>
      </c>
      <c r="U1126" s="708" t="s">
        <v>34</v>
      </c>
      <c r="V1126" s="1228"/>
      <c r="W1126" s="799"/>
    </row>
    <row r="1127" spans="1:23" ht="22.95" customHeight="1" x14ac:dyDescent="0.4">
      <c r="A1127" s="788">
        <v>1126</v>
      </c>
      <c r="B1127" s="246" t="s">
        <v>2616</v>
      </c>
      <c r="C1127" s="246" t="s">
        <v>24</v>
      </c>
      <c r="D1127" s="1306">
        <v>6588</v>
      </c>
      <c r="E1127" s="246" t="s">
        <v>3821</v>
      </c>
      <c r="F1127" s="246" t="s">
        <v>3822</v>
      </c>
      <c r="G1127" s="1381">
        <v>3192</v>
      </c>
      <c r="H1127" s="246" t="s">
        <v>2619</v>
      </c>
      <c r="I1127" s="246" t="s">
        <v>3823</v>
      </c>
      <c r="J1127" s="649" t="s">
        <v>30</v>
      </c>
      <c r="K1127" s="648" t="s">
        <v>29</v>
      </c>
      <c r="L1127" s="1059">
        <v>0.6</v>
      </c>
      <c r="M1127" s="1060" t="s">
        <v>51</v>
      </c>
      <c r="N1127" s="1061" t="s">
        <v>2645</v>
      </c>
      <c r="O1127" s="1062"/>
      <c r="P1127" s="1062">
        <v>350000</v>
      </c>
      <c r="Q1127" s="1063">
        <v>0.01</v>
      </c>
      <c r="R1127" s="1062"/>
      <c r="S1127" s="215">
        <f t="shared" si="34"/>
        <v>0</v>
      </c>
      <c r="T1127" s="223">
        <f t="shared" si="35"/>
        <v>0</v>
      </c>
      <c r="U1127" s="708" t="s">
        <v>34</v>
      </c>
      <c r="V1127" s="1228"/>
      <c r="W1127" s="799"/>
    </row>
    <row r="1128" spans="1:23" ht="22.95" customHeight="1" x14ac:dyDescent="0.4">
      <c r="A1128" s="788">
        <v>1127</v>
      </c>
      <c r="B1128" s="246" t="s">
        <v>2616</v>
      </c>
      <c r="C1128" s="246" t="s">
        <v>24</v>
      </c>
      <c r="D1128" s="1306">
        <v>6588</v>
      </c>
      <c r="E1128" s="246" t="s">
        <v>3821</v>
      </c>
      <c r="F1128" s="246" t="s">
        <v>3822</v>
      </c>
      <c r="G1128" s="1381">
        <v>3192</v>
      </c>
      <c r="H1128" s="246" t="s">
        <v>2619</v>
      </c>
      <c r="I1128" s="246" t="s">
        <v>3823</v>
      </c>
      <c r="J1128" s="649" t="s">
        <v>30</v>
      </c>
      <c r="K1128" s="648" t="s">
        <v>29</v>
      </c>
      <c r="L1128" s="1059">
        <v>0.6</v>
      </c>
      <c r="M1128" s="1060" t="s">
        <v>2646</v>
      </c>
      <c r="N1128" s="1061" t="s">
        <v>2647</v>
      </c>
      <c r="O1128" s="1062"/>
      <c r="P1128" s="1062">
        <v>12008.568758934001</v>
      </c>
      <c r="Q1128" s="1063">
        <v>0.01</v>
      </c>
      <c r="R1128" s="1062"/>
      <c r="S1128" s="215">
        <f t="shared" si="34"/>
        <v>0</v>
      </c>
      <c r="T1128" s="223">
        <f t="shared" si="35"/>
        <v>0</v>
      </c>
      <c r="U1128" s="708" t="s">
        <v>34</v>
      </c>
      <c r="V1128" s="1228"/>
      <c r="W1128" s="799"/>
    </row>
    <row r="1129" spans="1:23" ht="22.95" customHeight="1" x14ac:dyDescent="0.4">
      <c r="A1129" s="788">
        <v>1128</v>
      </c>
      <c r="B1129" s="246" t="s">
        <v>2616</v>
      </c>
      <c r="C1129" s="246" t="s">
        <v>24</v>
      </c>
      <c r="D1129" s="1306">
        <v>6588</v>
      </c>
      <c r="E1129" s="246" t="s">
        <v>3821</v>
      </c>
      <c r="F1129" s="246" t="s">
        <v>3822</v>
      </c>
      <c r="G1129" s="1381">
        <v>3192</v>
      </c>
      <c r="H1129" s="246" t="s">
        <v>2619</v>
      </c>
      <c r="I1129" s="246" t="s">
        <v>3823</v>
      </c>
      <c r="J1129" s="649" t="s">
        <v>30</v>
      </c>
      <c r="K1129" s="648" t="s">
        <v>29</v>
      </c>
      <c r="L1129" s="1059">
        <v>0.6</v>
      </c>
      <c r="M1129" s="1060" t="s">
        <v>2648</v>
      </c>
      <c r="N1129" s="1061" t="s">
        <v>2649</v>
      </c>
      <c r="O1129" s="799"/>
      <c r="P1129" s="1065">
        <v>0.25021096971668699</v>
      </c>
      <c r="Q1129" s="1063">
        <v>0.1</v>
      </c>
      <c r="R1129" s="1065"/>
      <c r="S1129" s="215">
        <f t="shared" si="34"/>
        <v>0</v>
      </c>
      <c r="T1129" s="223">
        <f t="shared" si="35"/>
        <v>0</v>
      </c>
      <c r="U1129" s="708" t="s">
        <v>34</v>
      </c>
      <c r="V1129" s="1228"/>
      <c r="W1129" s="799"/>
    </row>
    <row r="1130" spans="1:23" ht="22.95" customHeight="1" x14ac:dyDescent="0.4">
      <c r="A1130" s="788">
        <v>1129</v>
      </c>
      <c r="B1130" s="246" t="s">
        <v>2616</v>
      </c>
      <c r="C1130" s="246" t="s">
        <v>24</v>
      </c>
      <c r="D1130" s="1306">
        <v>6588</v>
      </c>
      <c r="E1130" s="246" t="s">
        <v>3821</v>
      </c>
      <c r="F1130" s="246" t="s">
        <v>3822</v>
      </c>
      <c r="G1130" s="1381">
        <v>3192</v>
      </c>
      <c r="H1130" s="246" t="s">
        <v>2619</v>
      </c>
      <c r="I1130" s="246" t="s">
        <v>3823</v>
      </c>
      <c r="J1130" s="649" t="s">
        <v>30</v>
      </c>
      <c r="K1130" s="648" t="s">
        <v>29</v>
      </c>
      <c r="L1130" s="1059">
        <v>0.6</v>
      </c>
      <c r="M1130" s="1060" t="s">
        <v>2650</v>
      </c>
      <c r="N1130" s="1061" t="s">
        <v>2651</v>
      </c>
      <c r="O1130" s="799"/>
      <c r="P1130" s="1065">
        <v>0.12657225245499898</v>
      </c>
      <c r="Q1130" s="1063">
        <v>7.0000000000000007E-2</v>
      </c>
      <c r="R1130" s="1065"/>
      <c r="S1130" s="215">
        <f t="shared" si="34"/>
        <v>0</v>
      </c>
      <c r="T1130" s="223">
        <f t="shared" si="35"/>
        <v>0</v>
      </c>
      <c r="U1130" s="708" t="s">
        <v>34</v>
      </c>
      <c r="V1130" s="1228"/>
      <c r="W1130" s="799"/>
    </row>
    <row r="1131" spans="1:23" ht="22.95" customHeight="1" x14ac:dyDescent="0.4">
      <c r="A1131" s="788">
        <v>1130</v>
      </c>
      <c r="B1131" s="246" t="s">
        <v>2616</v>
      </c>
      <c r="C1131" s="246" t="s">
        <v>24</v>
      </c>
      <c r="D1131" s="1306">
        <v>6588</v>
      </c>
      <c r="E1131" s="246" t="s">
        <v>3821</v>
      </c>
      <c r="F1131" s="246" t="s">
        <v>3822</v>
      </c>
      <c r="G1131" s="1381">
        <v>3192</v>
      </c>
      <c r="H1131" s="246" t="s">
        <v>2619</v>
      </c>
      <c r="I1131" s="246" t="s">
        <v>3823</v>
      </c>
      <c r="J1131" s="79" t="s">
        <v>58</v>
      </c>
      <c r="K1131" s="79" t="s">
        <v>57</v>
      </c>
      <c r="L1131" s="1356">
        <v>0.15</v>
      </c>
      <c r="M1131" s="1525" t="s">
        <v>3824</v>
      </c>
      <c r="N1131" s="1525" t="s">
        <v>3825</v>
      </c>
      <c r="O1131" s="1525" t="s">
        <v>3826</v>
      </c>
      <c r="P1131" s="1526">
        <v>102000</v>
      </c>
      <c r="Q1131" s="1138">
        <v>4.7619047619047616E-2</v>
      </c>
      <c r="R1131" s="1526"/>
      <c r="S1131" s="204">
        <f t="shared" si="34"/>
        <v>0</v>
      </c>
      <c r="T1131" s="960">
        <f t="shared" si="35"/>
        <v>0</v>
      </c>
      <c r="U1131" s="1492" t="s">
        <v>34</v>
      </c>
      <c r="V1131" s="1228"/>
      <c r="W1131" s="799"/>
    </row>
    <row r="1132" spans="1:23" ht="22.95" customHeight="1" x14ac:dyDescent="0.4">
      <c r="A1132" s="788">
        <v>1131</v>
      </c>
      <c r="B1132" s="246" t="s">
        <v>2616</v>
      </c>
      <c r="C1132" s="246" t="s">
        <v>24</v>
      </c>
      <c r="D1132" s="1306">
        <v>6588</v>
      </c>
      <c r="E1132" s="246" t="s">
        <v>3821</v>
      </c>
      <c r="F1132" s="246" t="s">
        <v>3822</v>
      </c>
      <c r="G1132" s="1381">
        <v>3192</v>
      </c>
      <c r="H1132" s="246" t="s">
        <v>2619</v>
      </c>
      <c r="I1132" s="246" t="s">
        <v>3823</v>
      </c>
      <c r="J1132" s="79" t="s">
        <v>58</v>
      </c>
      <c r="K1132" s="79" t="s">
        <v>57</v>
      </c>
      <c r="L1132" s="1356">
        <v>0.15</v>
      </c>
      <c r="M1132" s="1525" t="s">
        <v>3827</v>
      </c>
      <c r="N1132" s="1525" t="s">
        <v>3828</v>
      </c>
      <c r="O1132" s="1525" t="s">
        <v>3829</v>
      </c>
      <c r="P1132" s="1526">
        <v>8000</v>
      </c>
      <c r="Q1132" s="1138">
        <v>4.7619047619047616E-2</v>
      </c>
      <c r="R1132" s="1526"/>
      <c r="S1132" s="204">
        <f t="shared" si="34"/>
        <v>0</v>
      </c>
      <c r="T1132" s="960">
        <f t="shared" si="35"/>
        <v>0</v>
      </c>
      <c r="U1132" s="1492" t="s">
        <v>34</v>
      </c>
      <c r="V1132" s="1228"/>
      <c r="W1132" s="799"/>
    </row>
    <row r="1133" spans="1:23" ht="22.95" customHeight="1" x14ac:dyDescent="0.4">
      <c r="A1133" s="788">
        <v>1132</v>
      </c>
      <c r="B1133" s="246" t="s">
        <v>2616</v>
      </c>
      <c r="C1133" s="246" t="s">
        <v>24</v>
      </c>
      <c r="D1133" s="1306">
        <v>6588</v>
      </c>
      <c r="E1133" s="246" t="s">
        <v>3821</v>
      </c>
      <c r="F1133" s="246" t="s">
        <v>3822</v>
      </c>
      <c r="G1133" s="1381">
        <v>3192</v>
      </c>
      <c r="H1133" s="246" t="s">
        <v>2619</v>
      </c>
      <c r="I1133" s="246" t="s">
        <v>3823</v>
      </c>
      <c r="J1133" s="79" t="s">
        <v>58</v>
      </c>
      <c r="K1133" s="79" t="s">
        <v>57</v>
      </c>
      <c r="L1133" s="1356">
        <v>0.15</v>
      </c>
      <c r="M1133" s="1525" t="s">
        <v>3830</v>
      </c>
      <c r="N1133" s="1525" t="s">
        <v>3831</v>
      </c>
      <c r="O1133" s="1525" t="s">
        <v>3829</v>
      </c>
      <c r="P1133" s="206">
        <v>3000</v>
      </c>
      <c r="Q1133" s="1527">
        <v>4.7619047619047616E-2</v>
      </c>
      <c r="R1133" s="206"/>
      <c r="S1133" s="204">
        <f t="shared" si="34"/>
        <v>0</v>
      </c>
      <c r="T1133" s="960">
        <f t="shared" si="35"/>
        <v>0</v>
      </c>
      <c r="U1133" s="1492" t="s">
        <v>34</v>
      </c>
      <c r="V1133" s="1228"/>
      <c r="W1133" s="799"/>
    </row>
    <row r="1134" spans="1:23" ht="22.95" customHeight="1" x14ac:dyDescent="0.4">
      <c r="A1134" s="788">
        <v>1133</v>
      </c>
      <c r="B1134" s="246" t="s">
        <v>2616</v>
      </c>
      <c r="C1134" s="246" t="s">
        <v>24</v>
      </c>
      <c r="D1134" s="1306">
        <v>6588</v>
      </c>
      <c r="E1134" s="246" t="s">
        <v>3821</v>
      </c>
      <c r="F1134" s="246" t="s">
        <v>3822</v>
      </c>
      <c r="G1134" s="1381">
        <v>3192</v>
      </c>
      <c r="H1134" s="246" t="s">
        <v>2619</v>
      </c>
      <c r="I1134" s="246" t="s">
        <v>3823</v>
      </c>
      <c r="J1134" s="79" t="s">
        <v>58</v>
      </c>
      <c r="K1134" s="79" t="s">
        <v>57</v>
      </c>
      <c r="L1134" s="1356">
        <v>0.15</v>
      </c>
      <c r="M1134" s="1525" t="s">
        <v>3832</v>
      </c>
      <c r="N1134" s="1525" t="s">
        <v>3833</v>
      </c>
      <c r="O1134" s="1525" t="s">
        <v>3834</v>
      </c>
      <c r="P1134" s="206">
        <v>0.95</v>
      </c>
      <c r="Q1134" s="1527">
        <v>0.14285714285714285</v>
      </c>
      <c r="R1134" s="206"/>
      <c r="S1134" s="204">
        <f t="shared" si="34"/>
        <v>0</v>
      </c>
      <c r="T1134" s="960">
        <f t="shared" si="35"/>
        <v>0</v>
      </c>
      <c r="U1134" s="1492" t="s">
        <v>34</v>
      </c>
      <c r="V1134" s="1228"/>
      <c r="W1134" s="799"/>
    </row>
    <row r="1135" spans="1:23" ht="22.95" customHeight="1" x14ac:dyDescent="0.4">
      <c r="A1135" s="788">
        <v>1134</v>
      </c>
      <c r="B1135" s="246" t="s">
        <v>2616</v>
      </c>
      <c r="C1135" s="246" t="s">
        <v>24</v>
      </c>
      <c r="D1135" s="1306">
        <v>6588</v>
      </c>
      <c r="E1135" s="246" t="s">
        <v>3821</v>
      </c>
      <c r="F1135" s="246" t="s">
        <v>3822</v>
      </c>
      <c r="G1135" s="1381">
        <v>3192</v>
      </c>
      <c r="H1135" s="246" t="s">
        <v>2619</v>
      </c>
      <c r="I1135" s="246" t="s">
        <v>3823</v>
      </c>
      <c r="J1135" s="79" t="s">
        <v>58</v>
      </c>
      <c r="K1135" s="79" t="s">
        <v>57</v>
      </c>
      <c r="L1135" s="1356">
        <v>0.15</v>
      </c>
      <c r="M1135" s="1525" t="s">
        <v>3835</v>
      </c>
      <c r="N1135" s="1525" t="s">
        <v>3836</v>
      </c>
      <c r="O1135" s="1525" t="s">
        <v>3834</v>
      </c>
      <c r="P1135" s="206">
        <v>0.95</v>
      </c>
      <c r="Q1135" s="1138">
        <v>0.14285714285714285</v>
      </c>
      <c r="R1135" s="206"/>
      <c r="S1135" s="204">
        <f t="shared" si="34"/>
        <v>0</v>
      </c>
      <c r="T1135" s="960">
        <f t="shared" si="35"/>
        <v>0</v>
      </c>
      <c r="U1135" s="1492" t="s">
        <v>34</v>
      </c>
      <c r="V1135" s="1228"/>
      <c r="W1135" s="799"/>
    </row>
    <row r="1136" spans="1:23" ht="22.95" customHeight="1" x14ac:dyDescent="0.4">
      <c r="A1136" s="788">
        <v>1135</v>
      </c>
      <c r="B1136" s="246" t="s">
        <v>2616</v>
      </c>
      <c r="C1136" s="246" t="s">
        <v>24</v>
      </c>
      <c r="D1136" s="1306">
        <v>6588</v>
      </c>
      <c r="E1136" s="246" t="s">
        <v>3821</v>
      </c>
      <c r="F1136" s="246" t="s">
        <v>3822</v>
      </c>
      <c r="G1136" s="1381">
        <v>3192</v>
      </c>
      <c r="H1136" s="246" t="s">
        <v>2619</v>
      </c>
      <c r="I1136" s="246" t="s">
        <v>3823</v>
      </c>
      <c r="J1136" s="79" t="s">
        <v>58</v>
      </c>
      <c r="K1136" s="79" t="s">
        <v>57</v>
      </c>
      <c r="L1136" s="1356">
        <v>0.15</v>
      </c>
      <c r="M1136" s="1525" t="s">
        <v>3837</v>
      </c>
      <c r="N1136" s="1525" t="s">
        <v>3838</v>
      </c>
      <c r="O1136" s="1525" t="s">
        <v>3839</v>
      </c>
      <c r="P1136" s="206">
        <v>0.86</v>
      </c>
      <c r="Q1136" s="1138">
        <v>0.14285714285714285</v>
      </c>
      <c r="R1136" s="206"/>
      <c r="S1136" s="204">
        <f t="shared" si="34"/>
        <v>0</v>
      </c>
      <c r="T1136" s="960">
        <f t="shared" si="35"/>
        <v>0</v>
      </c>
      <c r="U1136" s="1492" t="s">
        <v>34</v>
      </c>
      <c r="V1136" s="1228"/>
      <c r="W1136" s="799"/>
    </row>
    <row r="1137" spans="1:23" ht="22.95" customHeight="1" x14ac:dyDescent="0.4">
      <c r="A1137" s="788">
        <v>1136</v>
      </c>
      <c r="B1137" s="246" t="s">
        <v>2616</v>
      </c>
      <c r="C1137" s="246" t="s">
        <v>24</v>
      </c>
      <c r="D1137" s="1306">
        <v>6588</v>
      </c>
      <c r="E1137" s="246" t="s">
        <v>3821</v>
      </c>
      <c r="F1137" s="246" t="s">
        <v>3822</v>
      </c>
      <c r="G1137" s="1381">
        <v>3192</v>
      </c>
      <c r="H1137" s="246" t="s">
        <v>2619</v>
      </c>
      <c r="I1137" s="246" t="s">
        <v>3823</v>
      </c>
      <c r="J1137" s="79" t="s">
        <v>58</v>
      </c>
      <c r="K1137" s="79" t="s">
        <v>57</v>
      </c>
      <c r="L1137" s="1356">
        <v>0.15</v>
      </c>
      <c r="M1137" s="1525" t="s">
        <v>3840</v>
      </c>
      <c r="N1137" s="1525" t="s">
        <v>3841</v>
      </c>
      <c r="O1137" s="1525" t="s">
        <v>3842</v>
      </c>
      <c r="P1137" s="928">
        <v>24</v>
      </c>
      <c r="Q1137" s="1138">
        <v>0.14285714285714285</v>
      </c>
      <c r="R1137" s="928"/>
      <c r="S1137" s="204">
        <f t="shared" si="34"/>
        <v>0</v>
      </c>
      <c r="T1137" s="960">
        <f t="shared" si="35"/>
        <v>0</v>
      </c>
      <c r="U1137" s="1492" t="s">
        <v>34</v>
      </c>
      <c r="V1137" s="1228"/>
      <c r="W1137" s="799"/>
    </row>
    <row r="1138" spans="1:23" ht="22.95" customHeight="1" x14ac:dyDescent="0.4">
      <c r="A1138" s="788">
        <v>1137</v>
      </c>
      <c r="B1138" s="246" t="s">
        <v>2616</v>
      </c>
      <c r="C1138" s="246" t="s">
        <v>24</v>
      </c>
      <c r="D1138" s="1306">
        <v>6588</v>
      </c>
      <c r="E1138" s="246" t="s">
        <v>3821</v>
      </c>
      <c r="F1138" s="246" t="s">
        <v>3822</v>
      </c>
      <c r="G1138" s="1381">
        <v>3192</v>
      </c>
      <c r="H1138" s="246" t="s">
        <v>2619</v>
      </c>
      <c r="I1138" s="246" t="s">
        <v>3823</v>
      </c>
      <c r="J1138" s="79" t="s">
        <v>58</v>
      </c>
      <c r="K1138" s="79" t="s">
        <v>57</v>
      </c>
      <c r="L1138" s="1356">
        <v>0.15</v>
      </c>
      <c r="M1138" s="1528" t="s">
        <v>3843</v>
      </c>
      <c r="N1138" s="1525" t="s">
        <v>3844</v>
      </c>
      <c r="O1138" s="1525" t="s">
        <v>3845</v>
      </c>
      <c r="P1138" s="928">
        <v>28</v>
      </c>
      <c r="Q1138" s="1138">
        <v>0.14285714285714285</v>
      </c>
      <c r="R1138" s="928"/>
      <c r="S1138" s="204">
        <f t="shared" si="34"/>
        <v>0</v>
      </c>
      <c r="T1138" s="960">
        <f t="shared" si="35"/>
        <v>0</v>
      </c>
      <c r="U1138" s="1492" t="s">
        <v>34</v>
      </c>
      <c r="V1138" s="1228"/>
      <c r="W1138" s="799"/>
    </row>
    <row r="1139" spans="1:23" ht="22.95" customHeight="1" x14ac:dyDescent="0.4">
      <c r="A1139" s="788">
        <v>1138</v>
      </c>
      <c r="B1139" s="246" t="s">
        <v>2616</v>
      </c>
      <c r="C1139" s="246" t="s">
        <v>24</v>
      </c>
      <c r="D1139" s="1306">
        <v>6588</v>
      </c>
      <c r="E1139" s="246" t="s">
        <v>3821</v>
      </c>
      <c r="F1139" s="246" t="s">
        <v>3822</v>
      </c>
      <c r="G1139" s="1381">
        <v>3192</v>
      </c>
      <c r="H1139" s="246" t="s">
        <v>2619</v>
      </c>
      <c r="I1139" s="246" t="s">
        <v>3823</v>
      </c>
      <c r="J1139" s="79" t="s">
        <v>58</v>
      </c>
      <c r="K1139" s="79" t="s">
        <v>57</v>
      </c>
      <c r="L1139" s="1356">
        <v>0.15</v>
      </c>
      <c r="M1139" s="1529" t="s">
        <v>3846</v>
      </c>
      <c r="N1139" s="1525" t="s">
        <v>3847</v>
      </c>
      <c r="O1139" s="1525" t="s">
        <v>3848</v>
      </c>
      <c r="P1139" s="928">
        <v>15</v>
      </c>
      <c r="Q1139" s="1301">
        <v>0.14285714285714285</v>
      </c>
      <c r="R1139" s="928"/>
      <c r="S1139" s="204">
        <f t="shared" si="34"/>
        <v>0</v>
      </c>
      <c r="T1139" s="960">
        <f t="shared" si="35"/>
        <v>0</v>
      </c>
      <c r="U1139" s="1492" t="s">
        <v>34</v>
      </c>
      <c r="V1139" s="1228"/>
      <c r="W1139" s="799"/>
    </row>
    <row r="1140" spans="1:23" ht="22.95" customHeight="1" x14ac:dyDescent="0.4">
      <c r="A1140" s="788">
        <v>1139</v>
      </c>
      <c r="B1140" s="246" t="s">
        <v>2616</v>
      </c>
      <c r="C1140" s="246" t="s">
        <v>24</v>
      </c>
      <c r="D1140" s="1306">
        <v>6588</v>
      </c>
      <c r="E1140" s="246" t="s">
        <v>3821</v>
      </c>
      <c r="F1140" s="246" t="s">
        <v>3822</v>
      </c>
      <c r="G1140" s="1381">
        <v>3192</v>
      </c>
      <c r="H1140" s="246" t="s">
        <v>2619</v>
      </c>
      <c r="I1140" s="246" t="s">
        <v>3823</v>
      </c>
      <c r="J1140" s="649" t="s">
        <v>111</v>
      </c>
      <c r="K1140" s="649" t="s">
        <v>110</v>
      </c>
      <c r="L1140" s="1074">
        <v>0.25</v>
      </c>
      <c r="M1140" s="1061" t="s">
        <v>3849</v>
      </c>
      <c r="N1140" s="1061" t="s">
        <v>3850</v>
      </c>
      <c r="O1140" s="1061" t="s">
        <v>3851</v>
      </c>
      <c r="P1140" s="1530">
        <v>1</v>
      </c>
      <c r="Q1140" s="1531">
        <v>0.2</v>
      </c>
      <c r="R1140" s="1530"/>
      <c r="S1140" s="215">
        <f t="shared" si="34"/>
        <v>0</v>
      </c>
      <c r="T1140" s="649">
        <f t="shared" si="35"/>
        <v>0</v>
      </c>
      <c r="U1140" s="649" t="s">
        <v>34</v>
      </c>
      <c r="V1140" s="1228"/>
      <c r="W1140" s="799"/>
    </row>
    <row r="1141" spans="1:23" ht="22.95" customHeight="1" x14ac:dyDescent="0.4">
      <c r="A1141" s="788">
        <v>1140</v>
      </c>
      <c r="B1141" s="246" t="s">
        <v>2616</v>
      </c>
      <c r="C1141" s="246" t="s">
        <v>24</v>
      </c>
      <c r="D1141" s="1306">
        <v>6588</v>
      </c>
      <c r="E1141" s="246" t="s">
        <v>3821</v>
      </c>
      <c r="F1141" s="246" t="s">
        <v>3822</v>
      </c>
      <c r="G1141" s="1381">
        <v>3192</v>
      </c>
      <c r="H1141" s="246" t="s">
        <v>2619</v>
      </c>
      <c r="I1141" s="246" t="s">
        <v>3823</v>
      </c>
      <c r="J1141" s="649" t="s">
        <v>111</v>
      </c>
      <c r="K1141" s="649" t="s">
        <v>110</v>
      </c>
      <c r="L1141" s="1074">
        <v>0.25</v>
      </c>
      <c r="M1141" s="1061" t="s">
        <v>3852</v>
      </c>
      <c r="N1141" s="1061" t="s">
        <v>3853</v>
      </c>
      <c r="O1141" s="1061" t="s">
        <v>3854</v>
      </c>
      <c r="P1141" s="1530">
        <v>1</v>
      </c>
      <c r="Q1141" s="1531">
        <v>0.15</v>
      </c>
      <c r="R1141" s="1530"/>
      <c r="S1141" s="215">
        <f t="shared" si="34"/>
        <v>0</v>
      </c>
      <c r="T1141" s="649">
        <f t="shared" si="35"/>
        <v>0</v>
      </c>
      <c r="U1141" s="649" t="s">
        <v>34</v>
      </c>
      <c r="V1141" s="1228"/>
      <c r="W1141" s="799"/>
    </row>
    <row r="1142" spans="1:23" ht="22.95" customHeight="1" x14ac:dyDescent="0.4">
      <c r="A1142" s="788">
        <v>1141</v>
      </c>
      <c r="B1142" s="246" t="s">
        <v>2616</v>
      </c>
      <c r="C1142" s="246" t="s">
        <v>24</v>
      </c>
      <c r="D1142" s="1306">
        <v>6588</v>
      </c>
      <c r="E1142" s="246" t="s">
        <v>3821</v>
      </c>
      <c r="F1142" s="246" t="s">
        <v>3822</v>
      </c>
      <c r="G1142" s="1381">
        <v>3192</v>
      </c>
      <c r="H1142" s="246" t="s">
        <v>2619</v>
      </c>
      <c r="I1142" s="246" t="s">
        <v>3823</v>
      </c>
      <c r="J1142" s="649" t="s">
        <v>111</v>
      </c>
      <c r="K1142" s="649" t="s">
        <v>110</v>
      </c>
      <c r="L1142" s="1074">
        <v>0.25</v>
      </c>
      <c r="M1142" s="1061" t="s">
        <v>3855</v>
      </c>
      <c r="N1142" s="1061" t="s">
        <v>3856</v>
      </c>
      <c r="O1142" s="1061" t="s">
        <v>3857</v>
      </c>
      <c r="P1142" s="1530">
        <v>1</v>
      </c>
      <c r="Q1142" s="1531">
        <v>0.2</v>
      </c>
      <c r="R1142" s="1530"/>
      <c r="S1142" s="215">
        <f t="shared" si="34"/>
        <v>0</v>
      </c>
      <c r="T1142" s="649">
        <f t="shared" si="35"/>
        <v>0</v>
      </c>
      <c r="U1142" s="649" t="s">
        <v>34</v>
      </c>
      <c r="V1142" s="1228"/>
      <c r="W1142" s="799"/>
    </row>
    <row r="1143" spans="1:23" ht="22.95" customHeight="1" x14ac:dyDescent="0.4">
      <c r="A1143" s="788">
        <v>1142</v>
      </c>
      <c r="B1143" s="246" t="s">
        <v>2616</v>
      </c>
      <c r="C1143" s="246" t="s">
        <v>24</v>
      </c>
      <c r="D1143" s="1306">
        <v>6588</v>
      </c>
      <c r="E1143" s="246" t="s">
        <v>3821</v>
      </c>
      <c r="F1143" s="246" t="s">
        <v>3822</v>
      </c>
      <c r="G1143" s="1381">
        <v>3192</v>
      </c>
      <c r="H1143" s="246" t="s">
        <v>2619</v>
      </c>
      <c r="I1143" s="246" t="s">
        <v>3823</v>
      </c>
      <c r="J1143" s="649" t="s">
        <v>111</v>
      </c>
      <c r="K1143" s="649" t="s">
        <v>110</v>
      </c>
      <c r="L1143" s="1074">
        <v>0.25</v>
      </c>
      <c r="M1143" s="1061" t="s">
        <v>3858</v>
      </c>
      <c r="N1143" s="1061" t="s">
        <v>3859</v>
      </c>
      <c r="O1143" s="1061" t="s">
        <v>3860</v>
      </c>
      <c r="P1143" s="1530">
        <v>1</v>
      </c>
      <c r="Q1143" s="1531">
        <v>0.15</v>
      </c>
      <c r="R1143" s="1530"/>
      <c r="S1143" s="215">
        <f t="shared" si="34"/>
        <v>0</v>
      </c>
      <c r="T1143" s="649">
        <f t="shared" si="35"/>
        <v>0</v>
      </c>
      <c r="U1143" s="649" t="s">
        <v>34</v>
      </c>
      <c r="V1143" s="1228"/>
      <c r="W1143" s="799"/>
    </row>
    <row r="1144" spans="1:23" ht="22.95" customHeight="1" x14ac:dyDescent="0.4">
      <c r="A1144" s="788">
        <v>1143</v>
      </c>
      <c r="B1144" s="246" t="s">
        <v>2616</v>
      </c>
      <c r="C1144" s="246" t="s">
        <v>24</v>
      </c>
      <c r="D1144" s="1306">
        <v>6588</v>
      </c>
      <c r="E1144" s="246" t="s">
        <v>3821</v>
      </c>
      <c r="F1144" s="246" t="s">
        <v>3822</v>
      </c>
      <c r="G1144" s="1381">
        <v>3192</v>
      </c>
      <c r="H1144" s="246" t="s">
        <v>2619</v>
      </c>
      <c r="I1144" s="246" t="s">
        <v>3823</v>
      </c>
      <c r="J1144" s="649" t="s">
        <v>111</v>
      </c>
      <c r="K1144" s="649" t="s">
        <v>110</v>
      </c>
      <c r="L1144" s="1074">
        <v>0.25</v>
      </c>
      <c r="M1144" s="1061" t="s">
        <v>3861</v>
      </c>
      <c r="N1144" s="1061" t="s">
        <v>3862</v>
      </c>
      <c r="O1144" s="1061" t="s">
        <v>3863</v>
      </c>
      <c r="P1144" s="1530">
        <v>1</v>
      </c>
      <c r="Q1144" s="1531">
        <v>0.15</v>
      </c>
      <c r="R1144" s="1530"/>
      <c r="S1144" s="215">
        <f t="shared" si="34"/>
        <v>0</v>
      </c>
      <c r="T1144" s="649">
        <f t="shared" si="35"/>
        <v>0</v>
      </c>
      <c r="U1144" s="649" t="s">
        <v>34</v>
      </c>
      <c r="V1144" s="1228"/>
      <c r="W1144" s="799"/>
    </row>
    <row r="1145" spans="1:23" ht="22.95" customHeight="1" x14ac:dyDescent="0.4">
      <c r="A1145" s="788">
        <v>1144</v>
      </c>
      <c r="B1145" s="246" t="s">
        <v>2616</v>
      </c>
      <c r="C1145" s="246" t="s">
        <v>24</v>
      </c>
      <c r="D1145" s="1306">
        <v>6588</v>
      </c>
      <c r="E1145" s="246" t="s">
        <v>3821</v>
      </c>
      <c r="F1145" s="246" t="s">
        <v>3822</v>
      </c>
      <c r="G1145" s="1381">
        <v>3192</v>
      </c>
      <c r="H1145" s="246" t="s">
        <v>2619</v>
      </c>
      <c r="I1145" s="246" t="s">
        <v>3823</v>
      </c>
      <c r="J1145" s="649" t="s">
        <v>111</v>
      </c>
      <c r="K1145" s="649" t="s">
        <v>110</v>
      </c>
      <c r="L1145" s="1074">
        <v>0.25</v>
      </c>
      <c r="M1145" s="1061" t="s">
        <v>3864</v>
      </c>
      <c r="N1145" s="1061" t="s">
        <v>3865</v>
      </c>
      <c r="O1145" s="1061" t="s">
        <v>3866</v>
      </c>
      <c r="P1145" s="1530">
        <v>1</v>
      </c>
      <c r="Q1145" s="1531">
        <v>0.15</v>
      </c>
      <c r="R1145" s="1530"/>
      <c r="S1145" s="215">
        <f t="shared" si="34"/>
        <v>0</v>
      </c>
      <c r="T1145" s="649">
        <f t="shared" si="35"/>
        <v>0</v>
      </c>
      <c r="U1145" s="649" t="s">
        <v>34</v>
      </c>
      <c r="V1145" s="1228"/>
      <c r="W1145" s="799"/>
    </row>
    <row r="1146" spans="1:23" ht="22.95" customHeight="1" x14ac:dyDescent="0.4">
      <c r="A1146" s="788">
        <v>1145</v>
      </c>
      <c r="B1146" s="187" t="s">
        <v>2616</v>
      </c>
      <c r="C1146" s="187" t="s">
        <v>24</v>
      </c>
      <c r="D1146" s="1200">
        <v>2483</v>
      </c>
      <c r="E1146" s="187" t="s">
        <v>3867</v>
      </c>
      <c r="F1146" s="187" t="s">
        <v>3868</v>
      </c>
      <c r="G1146" s="674">
        <v>6588</v>
      </c>
      <c r="H1146" s="187" t="s">
        <v>3821</v>
      </c>
      <c r="I1146" s="187" t="s">
        <v>3823</v>
      </c>
      <c r="J1146" s="653" t="s">
        <v>58</v>
      </c>
      <c r="K1146" s="653" t="s">
        <v>57</v>
      </c>
      <c r="L1146" s="1297">
        <v>1</v>
      </c>
      <c r="M1146" s="1532" t="s">
        <v>3824</v>
      </c>
      <c r="N1146" s="1532" t="s">
        <v>3825</v>
      </c>
      <c r="O1146" s="1533" t="s">
        <v>3826</v>
      </c>
      <c r="P1146" s="1534">
        <v>102000</v>
      </c>
      <c r="Q1146" s="1535">
        <v>0.05</v>
      </c>
      <c r="R1146" s="1534"/>
      <c r="S1146" s="855">
        <f t="shared" si="34"/>
        <v>0</v>
      </c>
      <c r="T1146" s="653">
        <f t="shared" si="35"/>
        <v>0</v>
      </c>
      <c r="U1146" s="653" t="s">
        <v>34</v>
      </c>
      <c r="V1146" s="1221">
        <f>SUM(T1146:T1154)%</f>
        <v>0</v>
      </c>
      <c r="W1146" s="791"/>
    </row>
    <row r="1147" spans="1:23" ht="22.95" customHeight="1" x14ac:dyDescent="0.4">
      <c r="A1147" s="788">
        <v>1146</v>
      </c>
      <c r="B1147" s="246" t="s">
        <v>2616</v>
      </c>
      <c r="C1147" s="246" t="s">
        <v>24</v>
      </c>
      <c r="D1147" s="1306">
        <v>2483</v>
      </c>
      <c r="E1147" s="246" t="s">
        <v>3867</v>
      </c>
      <c r="F1147" s="246" t="s">
        <v>3868</v>
      </c>
      <c r="G1147" s="946">
        <v>6588</v>
      </c>
      <c r="H1147" s="246" t="s">
        <v>3821</v>
      </c>
      <c r="I1147" s="246" t="s">
        <v>3823</v>
      </c>
      <c r="J1147" s="79" t="s">
        <v>58</v>
      </c>
      <c r="K1147" s="79" t="s">
        <v>57</v>
      </c>
      <c r="L1147" s="1201">
        <v>1</v>
      </c>
      <c r="M1147" s="1536" t="s">
        <v>3827</v>
      </c>
      <c r="N1147" s="1536" t="s">
        <v>3828</v>
      </c>
      <c r="O1147" s="1525" t="s">
        <v>3829</v>
      </c>
      <c r="P1147" s="1526">
        <v>8000</v>
      </c>
      <c r="Q1147" s="1537">
        <v>0.05</v>
      </c>
      <c r="R1147" s="1526"/>
      <c r="S1147" s="204">
        <f t="shared" si="34"/>
        <v>0</v>
      </c>
      <c r="T1147" s="79">
        <f t="shared" si="35"/>
        <v>0</v>
      </c>
      <c r="U1147" s="79" t="s">
        <v>34</v>
      </c>
      <c r="V1147" s="1228"/>
      <c r="W1147" s="799"/>
    </row>
    <row r="1148" spans="1:23" ht="22.95" customHeight="1" x14ac:dyDescent="0.4">
      <c r="A1148" s="788">
        <v>1147</v>
      </c>
      <c r="B1148" s="246" t="s">
        <v>2616</v>
      </c>
      <c r="C1148" s="246" t="s">
        <v>24</v>
      </c>
      <c r="D1148" s="1306">
        <v>2483</v>
      </c>
      <c r="E1148" s="246" t="s">
        <v>3867</v>
      </c>
      <c r="F1148" s="246" t="s">
        <v>3868</v>
      </c>
      <c r="G1148" s="946">
        <v>6588</v>
      </c>
      <c r="H1148" s="246" t="s">
        <v>3821</v>
      </c>
      <c r="I1148" s="246" t="s">
        <v>3823</v>
      </c>
      <c r="J1148" s="79" t="s">
        <v>58</v>
      </c>
      <c r="K1148" s="79" t="s">
        <v>57</v>
      </c>
      <c r="L1148" s="1201">
        <v>1</v>
      </c>
      <c r="M1148" s="1536" t="s">
        <v>3830</v>
      </c>
      <c r="N1148" s="1536" t="s">
        <v>3831</v>
      </c>
      <c r="O1148" s="1525" t="s">
        <v>3829</v>
      </c>
      <c r="P1148" s="1526">
        <v>3000</v>
      </c>
      <c r="Q1148" s="1537">
        <v>0.05</v>
      </c>
      <c r="R1148" s="1526"/>
      <c r="S1148" s="204">
        <f t="shared" si="34"/>
        <v>0</v>
      </c>
      <c r="T1148" s="79">
        <f t="shared" si="35"/>
        <v>0</v>
      </c>
      <c r="U1148" s="79" t="s">
        <v>34</v>
      </c>
      <c r="V1148" s="1228"/>
      <c r="W1148" s="799"/>
    </row>
    <row r="1149" spans="1:23" ht="22.95" customHeight="1" x14ac:dyDescent="0.4">
      <c r="A1149" s="788">
        <v>1148</v>
      </c>
      <c r="B1149" s="246" t="s">
        <v>2616</v>
      </c>
      <c r="C1149" s="246" t="s">
        <v>24</v>
      </c>
      <c r="D1149" s="1306">
        <v>2483</v>
      </c>
      <c r="E1149" s="246" t="s">
        <v>3867</v>
      </c>
      <c r="F1149" s="246" t="s">
        <v>3868</v>
      </c>
      <c r="G1149" s="946">
        <v>6588</v>
      </c>
      <c r="H1149" s="246" t="s">
        <v>3821</v>
      </c>
      <c r="I1149" s="246" t="s">
        <v>3823</v>
      </c>
      <c r="J1149" s="79" t="s">
        <v>58</v>
      </c>
      <c r="K1149" s="79" t="s">
        <v>57</v>
      </c>
      <c r="L1149" s="1201">
        <v>1</v>
      </c>
      <c r="M1149" s="1536" t="s">
        <v>3832</v>
      </c>
      <c r="N1149" s="1536" t="s">
        <v>3833</v>
      </c>
      <c r="O1149" s="1525" t="s">
        <v>3834</v>
      </c>
      <c r="P1149" s="206">
        <v>0.95</v>
      </c>
      <c r="Q1149" s="1537">
        <v>0.15</v>
      </c>
      <c r="R1149" s="206"/>
      <c r="S1149" s="204">
        <f t="shared" si="34"/>
        <v>0</v>
      </c>
      <c r="T1149" s="79">
        <f t="shared" si="35"/>
        <v>0</v>
      </c>
      <c r="U1149" s="79" t="s">
        <v>34</v>
      </c>
      <c r="V1149" s="1228"/>
      <c r="W1149" s="799"/>
    </row>
    <row r="1150" spans="1:23" ht="22.95" customHeight="1" x14ac:dyDescent="0.4">
      <c r="A1150" s="788">
        <v>1149</v>
      </c>
      <c r="B1150" s="246" t="s">
        <v>2616</v>
      </c>
      <c r="C1150" s="246" t="s">
        <v>24</v>
      </c>
      <c r="D1150" s="1306">
        <v>2483</v>
      </c>
      <c r="E1150" s="246" t="s">
        <v>3867</v>
      </c>
      <c r="F1150" s="246" t="s">
        <v>3868</v>
      </c>
      <c r="G1150" s="946">
        <v>6588</v>
      </c>
      <c r="H1150" s="246" t="s">
        <v>3821</v>
      </c>
      <c r="I1150" s="246" t="s">
        <v>3823</v>
      </c>
      <c r="J1150" s="79" t="s">
        <v>58</v>
      </c>
      <c r="K1150" s="79" t="s">
        <v>57</v>
      </c>
      <c r="L1150" s="1201">
        <v>1</v>
      </c>
      <c r="M1150" s="1536" t="s">
        <v>3835</v>
      </c>
      <c r="N1150" s="1536" t="s">
        <v>3836</v>
      </c>
      <c r="O1150" s="1525" t="s">
        <v>3834</v>
      </c>
      <c r="P1150" s="206">
        <v>0.95</v>
      </c>
      <c r="Q1150" s="1537">
        <v>0.15</v>
      </c>
      <c r="R1150" s="206"/>
      <c r="S1150" s="204">
        <f t="shared" si="34"/>
        <v>0</v>
      </c>
      <c r="T1150" s="79">
        <f t="shared" si="35"/>
        <v>0</v>
      </c>
      <c r="U1150" s="79" t="s">
        <v>34</v>
      </c>
      <c r="V1150" s="1228"/>
      <c r="W1150" s="799"/>
    </row>
    <row r="1151" spans="1:23" ht="22.95" customHeight="1" x14ac:dyDescent="0.4">
      <c r="A1151" s="788">
        <v>1150</v>
      </c>
      <c r="B1151" s="246" t="s">
        <v>2616</v>
      </c>
      <c r="C1151" s="246" t="s">
        <v>24</v>
      </c>
      <c r="D1151" s="1306">
        <v>2483</v>
      </c>
      <c r="E1151" s="246" t="s">
        <v>3867</v>
      </c>
      <c r="F1151" s="246" t="s">
        <v>3868</v>
      </c>
      <c r="G1151" s="946">
        <v>6588</v>
      </c>
      <c r="H1151" s="246" t="s">
        <v>3821</v>
      </c>
      <c r="I1151" s="246" t="s">
        <v>3823</v>
      </c>
      <c r="J1151" s="79" t="s">
        <v>58</v>
      </c>
      <c r="K1151" s="79" t="s">
        <v>57</v>
      </c>
      <c r="L1151" s="1201">
        <v>1</v>
      </c>
      <c r="M1151" s="1536" t="s">
        <v>3837</v>
      </c>
      <c r="N1151" s="1536" t="s">
        <v>3838</v>
      </c>
      <c r="O1151" s="1525" t="s">
        <v>3839</v>
      </c>
      <c r="P1151" s="206">
        <v>0.86</v>
      </c>
      <c r="Q1151" s="1537">
        <v>0.15</v>
      </c>
      <c r="R1151" s="206"/>
      <c r="S1151" s="204">
        <f t="shared" si="34"/>
        <v>0</v>
      </c>
      <c r="T1151" s="79">
        <f t="shared" si="35"/>
        <v>0</v>
      </c>
      <c r="U1151" s="79" t="s">
        <v>34</v>
      </c>
      <c r="V1151" s="1228"/>
      <c r="W1151" s="799"/>
    </row>
    <row r="1152" spans="1:23" ht="22.95" customHeight="1" x14ac:dyDescent="0.4">
      <c r="A1152" s="788">
        <v>1151</v>
      </c>
      <c r="B1152" s="246" t="s">
        <v>2616</v>
      </c>
      <c r="C1152" s="246" t="s">
        <v>24</v>
      </c>
      <c r="D1152" s="1306">
        <v>2483</v>
      </c>
      <c r="E1152" s="246" t="s">
        <v>3867</v>
      </c>
      <c r="F1152" s="246" t="s">
        <v>3868</v>
      </c>
      <c r="G1152" s="946">
        <v>6588</v>
      </c>
      <c r="H1152" s="246" t="s">
        <v>3821</v>
      </c>
      <c r="I1152" s="246" t="s">
        <v>3823</v>
      </c>
      <c r="J1152" s="79" t="s">
        <v>58</v>
      </c>
      <c r="K1152" s="79" t="s">
        <v>57</v>
      </c>
      <c r="L1152" s="1201">
        <v>1</v>
      </c>
      <c r="M1152" s="928" t="s">
        <v>3840</v>
      </c>
      <c r="N1152" s="1536" t="s">
        <v>3841</v>
      </c>
      <c r="O1152" s="1525" t="s">
        <v>3869</v>
      </c>
      <c r="P1152" s="928">
        <v>24</v>
      </c>
      <c r="Q1152" s="1537">
        <v>0.15</v>
      </c>
      <c r="R1152" s="928"/>
      <c r="S1152" s="204">
        <f t="shared" si="34"/>
        <v>0</v>
      </c>
      <c r="T1152" s="79">
        <f t="shared" si="35"/>
        <v>0</v>
      </c>
      <c r="U1152" s="79" t="s">
        <v>34</v>
      </c>
      <c r="V1152" s="1228"/>
      <c r="W1152" s="799"/>
    </row>
    <row r="1153" spans="1:23" ht="22.95" customHeight="1" x14ac:dyDescent="0.4">
      <c r="A1153" s="788">
        <v>1152</v>
      </c>
      <c r="B1153" s="246" t="s">
        <v>2616</v>
      </c>
      <c r="C1153" s="246" t="s">
        <v>24</v>
      </c>
      <c r="D1153" s="1306">
        <v>2483</v>
      </c>
      <c r="E1153" s="246" t="s">
        <v>3867</v>
      </c>
      <c r="F1153" s="246" t="s">
        <v>3868</v>
      </c>
      <c r="G1153" s="946">
        <v>6588</v>
      </c>
      <c r="H1153" s="246" t="s">
        <v>3821</v>
      </c>
      <c r="I1153" s="246" t="s">
        <v>3823</v>
      </c>
      <c r="J1153" s="79" t="s">
        <v>58</v>
      </c>
      <c r="K1153" s="79" t="s">
        <v>57</v>
      </c>
      <c r="L1153" s="1201">
        <v>1</v>
      </c>
      <c r="M1153" s="928" t="s">
        <v>3843</v>
      </c>
      <c r="N1153" s="1536" t="s">
        <v>3844</v>
      </c>
      <c r="O1153" s="1525" t="s">
        <v>3870</v>
      </c>
      <c r="P1153" s="928">
        <v>28</v>
      </c>
      <c r="Q1153" s="1537">
        <v>0.15</v>
      </c>
      <c r="R1153" s="928"/>
      <c r="S1153" s="204">
        <f t="shared" si="34"/>
        <v>0</v>
      </c>
      <c r="T1153" s="79">
        <f t="shared" si="35"/>
        <v>0</v>
      </c>
      <c r="U1153" s="79" t="s">
        <v>34</v>
      </c>
      <c r="V1153" s="1228"/>
      <c r="W1153" s="799"/>
    </row>
    <row r="1154" spans="1:23" ht="22.95" customHeight="1" x14ac:dyDescent="0.4">
      <c r="A1154" s="788">
        <v>1153</v>
      </c>
      <c r="B1154" s="246" t="s">
        <v>2616</v>
      </c>
      <c r="C1154" s="246" t="s">
        <v>24</v>
      </c>
      <c r="D1154" s="1306">
        <v>2483</v>
      </c>
      <c r="E1154" s="246" t="s">
        <v>3867</v>
      </c>
      <c r="F1154" s="246" t="s">
        <v>3868</v>
      </c>
      <c r="G1154" s="946">
        <v>6588</v>
      </c>
      <c r="H1154" s="246" t="s">
        <v>3821</v>
      </c>
      <c r="I1154" s="246" t="s">
        <v>3823</v>
      </c>
      <c r="J1154" s="79" t="s">
        <v>58</v>
      </c>
      <c r="K1154" s="79" t="s">
        <v>57</v>
      </c>
      <c r="L1154" s="1201">
        <v>1</v>
      </c>
      <c r="M1154" s="1536" t="s">
        <v>3846</v>
      </c>
      <c r="N1154" s="1536" t="s">
        <v>3847</v>
      </c>
      <c r="O1154" s="1525" t="s">
        <v>3871</v>
      </c>
      <c r="P1154" s="928">
        <v>15</v>
      </c>
      <c r="Q1154" s="1537">
        <v>0.1</v>
      </c>
      <c r="R1154" s="928"/>
      <c r="S1154" s="204">
        <f t="shared" ref="S1154:S1217" si="36">ROUND(IF(OR(P1154="",R1154=""),0,IF(AND(P1154=0,R1154=0),1,IF(U1154="+",R1154/P1154,P1154/R1154))),2)</f>
        <v>0</v>
      </c>
      <c r="T1154" s="79">
        <f t="shared" ref="T1154:T1217" si="37">IF(AND(S1154&gt;=60%,S1154&lt;100%),S1154*((Q1154*L1154)),IF(S1154=100%,((Q1154*L1154)*S1154)*100%,IF(S1154&gt;100%,((L1154*Q1154)*100%)*100%,0)))*100</f>
        <v>0</v>
      </c>
      <c r="U1154" s="79" t="s">
        <v>34</v>
      </c>
      <c r="V1154" s="1228"/>
      <c r="W1154" s="799"/>
    </row>
    <row r="1155" spans="1:23" ht="22.95" customHeight="1" x14ac:dyDescent="0.4">
      <c r="A1155" s="788">
        <v>1154</v>
      </c>
      <c r="B1155" s="187" t="s">
        <v>2616</v>
      </c>
      <c r="C1155" s="187" t="s">
        <v>24</v>
      </c>
      <c r="D1155" s="1200">
        <v>5203</v>
      </c>
      <c r="E1155" s="187" t="s">
        <v>3872</v>
      </c>
      <c r="F1155" s="653" t="s">
        <v>3873</v>
      </c>
      <c r="G1155" s="674">
        <v>2483</v>
      </c>
      <c r="H1155" s="187" t="s">
        <v>3867</v>
      </c>
      <c r="I1155" s="187" t="s">
        <v>3823</v>
      </c>
      <c r="J1155" s="653" t="s">
        <v>58</v>
      </c>
      <c r="K1155" s="653" t="s">
        <v>57</v>
      </c>
      <c r="L1155" s="1054">
        <v>1</v>
      </c>
      <c r="M1155" s="653" t="s">
        <v>3874</v>
      </c>
      <c r="N1155" s="653"/>
      <c r="O1155" s="791"/>
      <c r="P1155" s="794">
        <v>1</v>
      </c>
      <c r="Q1155" s="1054">
        <v>0.2</v>
      </c>
      <c r="R1155" s="794"/>
      <c r="S1155" s="855">
        <f t="shared" si="36"/>
        <v>0</v>
      </c>
      <c r="T1155" s="653">
        <f t="shared" si="37"/>
        <v>0</v>
      </c>
      <c r="U1155" s="653" t="s">
        <v>34</v>
      </c>
      <c r="V1155" s="1221">
        <f>SUM(T1155:T1159)%</f>
        <v>0</v>
      </c>
      <c r="W1155" s="791"/>
    </row>
    <row r="1156" spans="1:23" ht="22.95" customHeight="1" x14ac:dyDescent="0.4">
      <c r="A1156" s="788">
        <v>1155</v>
      </c>
      <c r="B1156" s="246" t="s">
        <v>2616</v>
      </c>
      <c r="C1156" s="246" t="s">
        <v>24</v>
      </c>
      <c r="D1156" s="1082">
        <v>5203</v>
      </c>
      <c r="E1156" s="246" t="s">
        <v>3872</v>
      </c>
      <c r="F1156" s="649" t="s">
        <v>3873</v>
      </c>
      <c r="G1156" s="679">
        <v>2483</v>
      </c>
      <c r="H1156" s="649" t="s">
        <v>3867</v>
      </c>
      <c r="I1156" s="246" t="s">
        <v>3823</v>
      </c>
      <c r="J1156" s="79" t="s">
        <v>58</v>
      </c>
      <c r="K1156" s="79" t="s">
        <v>57</v>
      </c>
      <c r="L1156" s="1201">
        <v>1</v>
      </c>
      <c r="M1156" s="79" t="s">
        <v>3875</v>
      </c>
      <c r="N1156" s="79"/>
      <c r="O1156" s="840"/>
      <c r="P1156" s="647">
        <v>1</v>
      </c>
      <c r="Q1156" s="1201">
        <v>0.2</v>
      </c>
      <c r="R1156" s="647"/>
      <c r="S1156" s="204">
        <f t="shared" si="36"/>
        <v>0</v>
      </c>
      <c r="T1156" s="79">
        <f t="shared" si="37"/>
        <v>0</v>
      </c>
      <c r="U1156" s="79" t="s">
        <v>34</v>
      </c>
      <c r="V1156" s="1228"/>
      <c r="W1156" s="799"/>
    </row>
    <row r="1157" spans="1:23" ht="22.95" customHeight="1" x14ac:dyDescent="0.4">
      <c r="A1157" s="788">
        <v>1156</v>
      </c>
      <c r="B1157" s="246" t="s">
        <v>2616</v>
      </c>
      <c r="C1157" s="246" t="s">
        <v>24</v>
      </c>
      <c r="D1157" s="1082">
        <v>5203</v>
      </c>
      <c r="E1157" s="246" t="s">
        <v>3872</v>
      </c>
      <c r="F1157" s="649" t="s">
        <v>3873</v>
      </c>
      <c r="G1157" s="679">
        <v>2483</v>
      </c>
      <c r="H1157" s="649" t="s">
        <v>3867</v>
      </c>
      <c r="I1157" s="246" t="s">
        <v>3823</v>
      </c>
      <c r="J1157" s="79" t="s">
        <v>58</v>
      </c>
      <c r="K1157" s="79" t="s">
        <v>57</v>
      </c>
      <c r="L1157" s="1201">
        <v>1</v>
      </c>
      <c r="M1157" s="79" t="s">
        <v>3876</v>
      </c>
      <c r="N1157" s="79"/>
      <c r="O1157" s="840"/>
      <c r="P1157" s="647">
        <v>1</v>
      </c>
      <c r="Q1157" s="1201">
        <v>0.2</v>
      </c>
      <c r="R1157" s="647"/>
      <c r="S1157" s="204">
        <f t="shared" si="36"/>
        <v>0</v>
      </c>
      <c r="T1157" s="79">
        <f t="shared" si="37"/>
        <v>0</v>
      </c>
      <c r="U1157" s="79" t="s">
        <v>34</v>
      </c>
      <c r="V1157" s="1228"/>
      <c r="W1157" s="799"/>
    </row>
    <row r="1158" spans="1:23" ht="22.95" customHeight="1" x14ac:dyDescent="0.4">
      <c r="A1158" s="788">
        <v>1157</v>
      </c>
      <c r="B1158" s="246" t="s">
        <v>2616</v>
      </c>
      <c r="C1158" s="246" t="s">
        <v>24</v>
      </c>
      <c r="D1158" s="1082">
        <v>5203</v>
      </c>
      <c r="E1158" s="246" t="s">
        <v>3872</v>
      </c>
      <c r="F1158" s="649" t="s">
        <v>3873</v>
      </c>
      <c r="G1158" s="679">
        <v>2483</v>
      </c>
      <c r="H1158" s="649" t="s">
        <v>3867</v>
      </c>
      <c r="I1158" s="246" t="s">
        <v>3823</v>
      </c>
      <c r="J1158" s="79" t="s">
        <v>58</v>
      </c>
      <c r="K1158" s="79" t="s">
        <v>57</v>
      </c>
      <c r="L1158" s="1201">
        <v>1</v>
      </c>
      <c r="M1158" s="79" t="s">
        <v>3877</v>
      </c>
      <c r="N1158" s="79"/>
      <c r="O1158" s="840"/>
      <c r="P1158" s="647">
        <v>1</v>
      </c>
      <c r="Q1158" s="1201">
        <v>0.2</v>
      </c>
      <c r="R1158" s="647"/>
      <c r="S1158" s="204">
        <f t="shared" si="36"/>
        <v>0</v>
      </c>
      <c r="T1158" s="79">
        <f t="shared" si="37"/>
        <v>0</v>
      </c>
      <c r="U1158" s="79" t="s">
        <v>34</v>
      </c>
      <c r="V1158" s="1228"/>
      <c r="W1158" s="799"/>
    </row>
    <row r="1159" spans="1:23" ht="22.95" customHeight="1" x14ac:dyDescent="0.4">
      <c r="A1159" s="788">
        <v>1158</v>
      </c>
      <c r="B1159" s="246" t="s">
        <v>2616</v>
      </c>
      <c r="C1159" s="246" t="s">
        <v>24</v>
      </c>
      <c r="D1159" s="1082">
        <v>5203</v>
      </c>
      <c r="E1159" s="246" t="s">
        <v>3872</v>
      </c>
      <c r="F1159" s="649" t="s">
        <v>3873</v>
      </c>
      <c r="G1159" s="679">
        <v>2483</v>
      </c>
      <c r="H1159" s="649" t="s">
        <v>3867</v>
      </c>
      <c r="I1159" s="246" t="s">
        <v>3823</v>
      </c>
      <c r="J1159" s="79" t="s">
        <v>58</v>
      </c>
      <c r="K1159" s="79" t="s">
        <v>57</v>
      </c>
      <c r="L1159" s="1201">
        <v>1</v>
      </c>
      <c r="M1159" s="79" t="s">
        <v>3878</v>
      </c>
      <c r="N1159" s="79"/>
      <c r="O1159" s="840"/>
      <c r="P1159" s="647">
        <v>1</v>
      </c>
      <c r="Q1159" s="1201">
        <v>0.2</v>
      </c>
      <c r="R1159" s="647"/>
      <c r="S1159" s="204">
        <f t="shared" si="36"/>
        <v>0</v>
      </c>
      <c r="T1159" s="79">
        <f t="shared" si="37"/>
        <v>0</v>
      </c>
      <c r="U1159" s="79" t="s">
        <v>34</v>
      </c>
      <c r="V1159" s="1228"/>
      <c r="W1159" s="799"/>
    </row>
    <row r="1160" spans="1:23" ht="22.95" customHeight="1" x14ac:dyDescent="0.4">
      <c r="A1160" s="788">
        <v>1159</v>
      </c>
      <c r="B1160" s="187" t="s">
        <v>2616</v>
      </c>
      <c r="C1160" s="187" t="s">
        <v>24</v>
      </c>
      <c r="D1160" s="1200">
        <v>6474</v>
      </c>
      <c r="E1160" s="187" t="s">
        <v>3879</v>
      </c>
      <c r="F1160" s="653" t="s">
        <v>3880</v>
      </c>
      <c r="G1160" s="674">
        <v>2483</v>
      </c>
      <c r="H1160" s="653" t="s">
        <v>3867</v>
      </c>
      <c r="I1160" s="187" t="s">
        <v>3823</v>
      </c>
      <c r="J1160" s="653" t="s">
        <v>58</v>
      </c>
      <c r="K1160" s="653" t="s">
        <v>57</v>
      </c>
      <c r="L1160" s="1054">
        <v>1</v>
      </c>
      <c r="M1160" s="653"/>
      <c r="N1160" s="1538" t="s">
        <v>3881</v>
      </c>
      <c r="O1160" s="791"/>
      <c r="P1160" s="644">
        <v>1</v>
      </c>
      <c r="Q1160" s="1054">
        <v>0.35</v>
      </c>
      <c r="R1160" s="644"/>
      <c r="S1160" s="855">
        <f t="shared" si="36"/>
        <v>0</v>
      </c>
      <c r="T1160" s="653">
        <f t="shared" si="37"/>
        <v>0</v>
      </c>
      <c r="U1160" s="653" t="s">
        <v>34</v>
      </c>
      <c r="V1160" s="1221">
        <f>SUM(T1160:T1162)%</f>
        <v>0</v>
      </c>
      <c r="W1160" s="791"/>
    </row>
    <row r="1161" spans="1:23" ht="22.95" customHeight="1" x14ac:dyDescent="0.4">
      <c r="A1161" s="788">
        <v>1160</v>
      </c>
      <c r="B1161" s="246" t="s">
        <v>2616</v>
      </c>
      <c r="C1161" s="246" t="s">
        <v>24</v>
      </c>
      <c r="D1161" s="1082">
        <v>6474</v>
      </c>
      <c r="E1161" s="246" t="s">
        <v>3879</v>
      </c>
      <c r="F1161" s="649" t="s">
        <v>3880</v>
      </c>
      <c r="G1161" s="679">
        <v>2483</v>
      </c>
      <c r="H1161" s="649" t="s">
        <v>3867</v>
      </c>
      <c r="I1161" s="246" t="s">
        <v>3823</v>
      </c>
      <c r="J1161" s="79" t="s">
        <v>58</v>
      </c>
      <c r="K1161" s="79" t="s">
        <v>57</v>
      </c>
      <c r="L1161" s="1201">
        <v>1</v>
      </c>
      <c r="M1161" s="79"/>
      <c r="N1161" s="1539" t="s">
        <v>3882</v>
      </c>
      <c r="O1161" s="840"/>
      <c r="P1161" s="647">
        <v>1</v>
      </c>
      <c r="Q1161" s="1201">
        <v>0.35</v>
      </c>
      <c r="R1161" s="647"/>
      <c r="S1161" s="204">
        <f t="shared" si="36"/>
        <v>0</v>
      </c>
      <c r="T1161" s="79">
        <f t="shared" si="37"/>
        <v>0</v>
      </c>
      <c r="U1161" s="79" t="s">
        <v>34</v>
      </c>
      <c r="V1161" s="1228"/>
      <c r="W1161" s="799"/>
    </row>
    <row r="1162" spans="1:23" ht="22.95" customHeight="1" x14ac:dyDescent="0.4">
      <c r="A1162" s="788">
        <v>1161</v>
      </c>
      <c r="B1162" s="246" t="s">
        <v>2616</v>
      </c>
      <c r="C1162" s="246" t="s">
        <v>24</v>
      </c>
      <c r="D1162" s="1082">
        <v>6474</v>
      </c>
      <c r="E1162" s="246" t="s">
        <v>3879</v>
      </c>
      <c r="F1162" s="649" t="s">
        <v>3880</v>
      </c>
      <c r="G1162" s="679">
        <v>2483</v>
      </c>
      <c r="H1162" s="649" t="s">
        <v>3867</v>
      </c>
      <c r="I1162" s="246" t="s">
        <v>3823</v>
      </c>
      <c r="J1162" s="79" t="s">
        <v>58</v>
      </c>
      <c r="K1162" s="79" t="s">
        <v>57</v>
      </c>
      <c r="L1162" s="1201">
        <v>1</v>
      </c>
      <c r="M1162" s="79"/>
      <c r="N1162" s="1539" t="s">
        <v>3883</v>
      </c>
      <c r="O1162" s="840"/>
      <c r="P1162" s="647">
        <v>1</v>
      </c>
      <c r="Q1162" s="1201">
        <v>0.3</v>
      </c>
      <c r="R1162" s="647"/>
      <c r="S1162" s="204">
        <f t="shared" si="36"/>
        <v>0</v>
      </c>
      <c r="T1162" s="79">
        <f t="shared" si="37"/>
        <v>0</v>
      </c>
      <c r="U1162" s="79" t="s">
        <v>34</v>
      </c>
      <c r="V1162" s="1228"/>
      <c r="W1162" s="799"/>
    </row>
    <row r="1163" spans="1:23" ht="22.95" customHeight="1" x14ac:dyDescent="0.4">
      <c r="A1163" s="788">
        <v>1162</v>
      </c>
      <c r="B1163" s="187" t="s">
        <v>2616</v>
      </c>
      <c r="C1163" s="187" t="s">
        <v>24</v>
      </c>
      <c r="D1163" s="1200">
        <v>6457</v>
      </c>
      <c r="E1163" s="187" t="s">
        <v>3884</v>
      </c>
      <c r="F1163" s="653" t="s">
        <v>3885</v>
      </c>
      <c r="G1163" s="674">
        <v>2483</v>
      </c>
      <c r="H1163" s="653" t="s">
        <v>3867</v>
      </c>
      <c r="I1163" s="187" t="s">
        <v>3823</v>
      </c>
      <c r="J1163" s="653" t="s">
        <v>58</v>
      </c>
      <c r="K1163" s="653" t="s">
        <v>57</v>
      </c>
      <c r="L1163" s="1054">
        <v>1</v>
      </c>
      <c r="M1163" s="653"/>
      <c r="N1163" s="653" t="s">
        <v>3886</v>
      </c>
      <c r="O1163" s="791"/>
      <c r="P1163" s="644">
        <v>1</v>
      </c>
      <c r="Q1163" s="1054">
        <v>0.35</v>
      </c>
      <c r="R1163" s="644"/>
      <c r="S1163" s="855">
        <f t="shared" si="36"/>
        <v>0</v>
      </c>
      <c r="T1163" s="653">
        <f t="shared" si="37"/>
        <v>0</v>
      </c>
      <c r="U1163" s="653" t="s">
        <v>34</v>
      </c>
      <c r="V1163" s="1221">
        <f>SUM(T1163:T1165)%</f>
        <v>0</v>
      </c>
      <c r="W1163" s="791"/>
    </row>
    <row r="1164" spans="1:23" ht="22.95" customHeight="1" x14ac:dyDescent="0.4">
      <c r="A1164" s="788">
        <v>1163</v>
      </c>
      <c r="B1164" s="246" t="s">
        <v>2616</v>
      </c>
      <c r="C1164" s="246" t="s">
        <v>24</v>
      </c>
      <c r="D1164" s="1082">
        <v>6457</v>
      </c>
      <c r="E1164" s="649" t="s">
        <v>3884</v>
      </c>
      <c r="F1164" s="649" t="s">
        <v>3885</v>
      </c>
      <c r="G1164" s="679">
        <v>2483</v>
      </c>
      <c r="H1164" s="649" t="s">
        <v>3867</v>
      </c>
      <c r="I1164" s="649" t="s">
        <v>3823</v>
      </c>
      <c r="J1164" s="79" t="s">
        <v>58</v>
      </c>
      <c r="K1164" s="79" t="s">
        <v>57</v>
      </c>
      <c r="L1164" s="1201">
        <v>1</v>
      </c>
      <c r="M1164" s="79"/>
      <c r="N1164" s="79" t="s">
        <v>3887</v>
      </c>
      <c r="O1164" s="840"/>
      <c r="P1164" s="647">
        <v>1</v>
      </c>
      <c r="Q1164" s="1201">
        <v>0.35</v>
      </c>
      <c r="R1164" s="647"/>
      <c r="S1164" s="204">
        <f t="shared" si="36"/>
        <v>0</v>
      </c>
      <c r="T1164" s="79">
        <f t="shared" si="37"/>
        <v>0</v>
      </c>
      <c r="U1164" s="79" t="s">
        <v>34</v>
      </c>
      <c r="V1164" s="1228"/>
      <c r="W1164" s="799"/>
    </row>
    <row r="1165" spans="1:23" ht="22.95" customHeight="1" x14ac:dyDescent="0.4">
      <c r="A1165" s="788">
        <v>1164</v>
      </c>
      <c r="B1165" s="246" t="s">
        <v>2616</v>
      </c>
      <c r="C1165" s="246" t="s">
        <v>24</v>
      </c>
      <c r="D1165" s="1082">
        <v>6457</v>
      </c>
      <c r="E1165" s="649" t="s">
        <v>3884</v>
      </c>
      <c r="F1165" s="649" t="s">
        <v>3885</v>
      </c>
      <c r="G1165" s="679">
        <v>2483</v>
      </c>
      <c r="H1165" s="649" t="s">
        <v>3867</v>
      </c>
      <c r="I1165" s="649" t="s">
        <v>3823</v>
      </c>
      <c r="J1165" s="79" t="s">
        <v>58</v>
      </c>
      <c r="K1165" s="79" t="s">
        <v>57</v>
      </c>
      <c r="L1165" s="1201">
        <v>1</v>
      </c>
      <c r="M1165" s="79"/>
      <c r="N1165" s="79" t="s">
        <v>3888</v>
      </c>
      <c r="O1165" s="840"/>
      <c r="P1165" s="647">
        <v>1</v>
      </c>
      <c r="Q1165" s="1201">
        <v>0.3</v>
      </c>
      <c r="R1165" s="647"/>
      <c r="S1165" s="204">
        <f t="shared" si="36"/>
        <v>0</v>
      </c>
      <c r="T1165" s="79">
        <f t="shared" si="37"/>
        <v>0</v>
      </c>
      <c r="U1165" s="79" t="s">
        <v>34</v>
      </c>
      <c r="V1165" s="1228"/>
      <c r="W1165" s="799"/>
    </row>
    <row r="1166" spans="1:23" ht="22.95" customHeight="1" x14ac:dyDescent="0.4">
      <c r="A1166" s="788">
        <v>1165</v>
      </c>
      <c r="B1166" s="187" t="s">
        <v>2616</v>
      </c>
      <c r="C1166" s="187" t="s">
        <v>24</v>
      </c>
      <c r="D1166" s="1200">
        <v>6361</v>
      </c>
      <c r="E1166" s="653" t="s">
        <v>3889</v>
      </c>
      <c r="F1166" s="653" t="s">
        <v>3885</v>
      </c>
      <c r="G1166" s="674">
        <v>2483</v>
      </c>
      <c r="H1166" s="653" t="s">
        <v>3867</v>
      </c>
      <c r="I1166" s="653" t="s">
        <v>3823</v>
      </c>
      <c r="J1166" s="653" t="s">
        <v>58</v>
      </c>
      <c r="K1166" s="653" t="s">
        <v>57</v>
      </c>
      <c r="L1166" s="1054">
        <v>1</v>
      </c>
      <c r="M1166" s="653"/>
      <c r="N1166" s="653" t="s">
        <v>3890</v>
      </c>
      <c r="O1166" s="791"/>
      <c r="P1166" s="644">
        <v>1</v>
      </c>
      <c r="Q1166" s="1054">
        <v>0.35</v>
      </c>
      <c r="R1166" s="644"/>
      <c r="S1166" s="855">
        <f t="shared" si="36"/>
        <v>0</v>
      </c>
      <c r="T1166" s="653">
        <f t="shared" si="37"/>
        <v>0</v>
      </c>
      <c r="U1166" s="653" t="s">
        <v>34</v>
      </c>
      <c r="V1166" s="1221">
        <f>SUM(T1166:T1168)%</f>
        <v>0</v>
      </c>
      <c r="W1166" s="791"/>
    </row>
    <row r="1167" spans="1:23" ht="22.95" customHeight="1" x14ac:dyDescent="0.4">
      <c r="A1167" s="788">
        <v>1166</v>
      </c>
      <c r="B1167" s="246" t="s">
        <v>2616</v>
      </c>
      <c r="C1167" s="246" t="s">
        <v>24</v>
      </c>
      <c r="D1167" s="1082">
        <v>6361</v>
      </c>
      <c r="E1167" s="649" t="s">
        <v>3889</v>
      </c>
      <c r="F1167" s="649" t="s">
        <v>3885</v>
      </c>
      <c r="G1167" s="679">
        <v>2483</v>
      </c>
      <c r="H1167" s="649" t="s">
        <v>3867</v>
      </c>
      <c r="I1167" s="649" t="s">
        <v>3823</v>
      </c>
      <c r="J1167" s="79" t="s">
        <v>58</v>
      </c>
      <c r="K1167" s="79" t="s">
        <v>57</v>
      </c>
      <c r="L1167" s="1201">
        <v>1</v>
      </c>
      <c r="M1167" s="79"/>
      <c r="N1167" s="79" t="s">
        <v>3891</v>
      </c>
      <c r="O1167" s="840"/>
      <c r="P1167" s="647">
        <v>1</v>
      </c>
      <c r="Q1167" s="1201">
        <v>0.35</v>
      </c>
      <c r="R1167" s="647"/>
      <c r="S1167" s="204">
        <f t="shared" si="36"/>
        <v>0</v>
      </c>
      <c r="T1167" s="79">
        <f t="shared" si="37"/>
        <v>0</v>
      </c>
      <c r="U1167" s="79" t="s">
        <v>34</v>
      </c>
      <c r="V1167" s="1228"/>
      <c r="W1167" s="799"/>
    </row>
    <row r="1168" spans="1:23" ht="22.95" customHeight="1" x14ac:dyDescent="0.4">
      <c r="A1168" s="788">
        <v>1167</v>
      </c>
      <c r="B1168" s="246" t="s">
        <v>2616</v>
      </c>
      <c r="C1168" s="246" t="s">
        <v>24</v>
      </c>
      <c r="D1168" s="1082">
        <v>6361</v>
      </c>
      <c r="E1168" s="649" t="s">
        <v>3889</v>
      </c>
      <c r="F1168" s="649" t="s">
        <v>3885</v>
      </c>
      <c r="G1168" s="679">
        <v>2483</v>
      </c>
      <c r="H1168" s="649" t="s">
        <v>3867</v>
      </c>
      <c r="I1168" s="649" t="s">
        <v>3823</v>
      </c>
      <c r="J1168" s="79" t="s">
        <v>58</v>
      </c>
      <c r="K1168" s="79" t="s">
        <v>57</v>
      </c>
      <c r="L1168" s="1201">
        <v>1</v>
      </c>
      <c r="M1168" s="79"/>
      <c r="N1168" s="79" t="s">
        <v>3892</v>
      </c>
      <c r="O1168" s="840"/>
      <c r="P1168" s="647">
        <v>1</v>
      </c>
      <c r="Q1168" s="1201">
        <v>0.3</v>
      </c>
      <c r="R1168" s="647"/>
      <c r="S1168" s="204">
        <f t="shared" si="36"/>
        <v>0</v>
      </c>
      <c r="T1168" s="79">
        <f t="shared" si="37"/>
        <v>0</v>
      </c>
      <c r="U1168" s="79" t="s">
        <v>34</v>
      </c>
      <c r="V1168" s="1228"/>
      <c r="W1168" s="799"/>
    </row>
    <row r="1169" spans="1:23" ht="22.95" customHeight="1" x14ac:dyDescent="0.4">
      <c r="A1169" s="788">
        <v>1168</v>
      </c>
      <c r="B1169" s="187" t="s">
        <v>2616</v>
      </c>
      <c r="C1169" s="187" t="s">
        <v>24</v>
      </c>
      <c r="D1169" s="1334">
        <v>3403</v>
      </c>
      <c r="E1169" s="653" t="s">
        <v>3893</v>
      </c>
      <c r="F1169" s="653" t="s">
        <v>3885</v>
      </c>
      <c r="G1169" s="674">
        <v>2483</v>
      </c>
      <c r="H1169" s="653" t="s">
        <v>3867</v>
      </c>
      <c r="I1169" s="653" t="s">
        <v>3823</v>
      </c>
      <c r="J1169" s="653" t="s">
        <v>58</v>
      </c>
      <c r="K1169" s="653" t="s">
        <v>57</v>
      </c>
      <c r="L1169" s="1054">
        <v>1</v>
      </c>
      <c r="M1169" s="653"/>
      <c r="N1169" s="653" t="s">
        <v>3894</v>
      </c>
      <c r="O1169" s="791"/>
      <c r="P1169" s="644">
        <v>1</v>
      </c>
      <c r="Q1169" s="1054">
        <v>1</v>
      </c>
      <c r="R1169" s="644"/>
      <c r="S1169" s="855">
        <f t="shared" si="36"/>
        <v>0</v>
      </c>
      <c r="T1169" s="653">
        <f t="shared" si="37"/>
        <v>0</v>
      </c>
      <c r="U1169" s="653" t="s">
        <v>34</v>
      </c>
      <c r="V1169" s="1221">
        <f>SUM(T1169)%</f>
        <v>0</v>
      </c>
      <c r="W1169" s="791"/>
    </row>
    <row r="1170" spans="1:23" ht="22.95" customHeight="1" x14ac:dyDescent="0.4">
      <c r="A1170" s="788">
        <v>1169</v>
      </c>
      <c r="B1170" s="243" t="s">
        <v>2616</v>
      </c>
      <c r="C1170" s="653" t="s">
        <v>24</v>
      </c>
      <c r="D1170" s="1164">
        <v>6587</v>
      </c>
      <c r="E1170" s="236" t="s">
        <v>3895</v>
      </c>
      <c r="F1170" s="236" t="s">
        <v>3896</v>
      </c>
      <c r="G1170" s="1540">
        <v>3192</v>
      </c>
      <c r="H1170" s="236" t="s">
        <v>3897</v>
      </c>
      <c r="I1170" s="236" t="s">
        <v>870</v>
      </c>
      <c r="J1170" s="653" t="s">
        <v>30</v>
      </c>
      <c r="K1170" s="653" t="s">
        <v>29</v>
      </c>
      <c r="L1170" s="1052">
        <v>0.6</v>
      </c>
      <c r="M1170" s="748" t="s">
        <v>2620</v>
      </c>
      <c r="N1170" s="749" t="s">
        <v>2621</v>
      </c>
      <c r="O1170" s="1053"/>
      <c r="P1170" s="1053">
        <v>1856910.8756204764</v>
      </c>
      <c r="Q1170" s="1054">
        <v>0.15</v>
      </c>
      <c r="R1170" s="1053"/>
      <c r="S1170" s="855">
        <f t="shared" si="36"/>
        <v>0</v>
      </c>
      <c r="T1170" s="854">
        <f t="shared" si="37"/>
        <v>0</v>
      </c>
      <c r="U1170" s="653" t="s">
        <v>34</v>
      </c>
      <c r="V1170" s="1055">
        <f>SUM(T1170:T1201)%</f>
        <v>0</v>
      </c>
      <c r="W1170" s="1541"/>
    </row>
    <row r="1171" spans="1:23" ht="22.95" customHeight="1" x14ac:dyDescent="0.4">
      <c r="A1171" s="788">
        <v>1170</v>
      </c>
      <c r="B1171" s="210" t="s">
        <v>2616</v>
      </c>
      <c r="C1171" s="648" t="s">
        <v>24</v>
      </c>
      <c r="D1171" s="1169">
        <v>6587</v>
      </c>
      <c r="E1171" s="198" t="s">
        <v>3895</v>
      </c>
      <c r="F1171" s="198" t="s">
        <v>3896</v>
      </c>
      <c r="G1171" s="1542">
        <v>3192</v>
      </c>
      <c r="H1171" s="198" t="s">
        <v>3897</v>
      </c>
      <c r="I1171" s="198" t="s">
        <v>870</v>
      </c>
      <c r="J1171" s="648" t="s">
        <v>30</v>
      </c>
      <c r="K1171" s="648" t="s">
        <v>29</v>
      </c>
      <c r="L1171" s="1059">
        <v>0.6</v>
      </c>
      <c r="M1171" s="1060" t="s">
        <v>2622</v>
      </c>
      <c r="N1171" s="1061" t="s">
        <v>2623</v>
      </c>
      <c r="O1171" s="1062"/>
      <c r="P1171" s="1062">
        <v>621419.69473720191</v>
      </c>
      <c r="Q1171" s="1063">
        <v>0.1</v>
      </c>
      <c r="R1171" s="1062"/>
      <c r="S1171" s="215">
        <f t="shared" si="36"/>
        <v>0</v>
      </c>
      <c r="T1171" s="223">
        <f t="shared" si="37"/>
        <v>0</v>
      </c>
      <c r="U1171" s="649" t="s">
        <v>34</v>
      </c>
      <c r="V1171" s="1222"/>
      <c r="W1171" s="1543"/>
    </row>
    <row r="1172" spans="1:23" ht="22.95" customHeight="1" x14ac:dyDescent="0.4">
      <c r="A1172" s="788">
        <v>1171</v>
      </c>
      <c r="B1172" s="210" t="s">
        <v>2616</v>
      </c>
      <c r="C1172" s="648" t="s">
        <v>24</v>
      </c>
      <c r="D1172" s="1169">
        <v>6587</v>
      </c>
      <c r="E1172" s="198" t="s">
        <v>3895</v>
      </c>
      <c r="F1172" s="198" t="s">
        <v>3896</v>
      </c>
      <c r="G1172" s="1542">
        <v>3192</v>
      </c>
      <c r="H1172" s="198" t="s">
        <v>3897</v>
      </c>
      <c r="I1172" s="198" t="s">
        <v>870</v>
      </c>
      <c r="J1172" s="648" t="s">
        <v>30</v>
      </c>
      <c r="K1172" s="648" t="s">
        <v>29</v>
      </c>
      <c r="L1172" s="1059">
        <v>0.6</v>
      </c>
      <c r="M1172" s="1060" t="s">
        <v>2624</v>
      </c>
      <c r="N1172" s="1061" t="s">
        <v>2625</v>
      </c>
      <c r="O1172" s="1062"/>
      <c r="P1172" s="1062">
        <v>789737.85000000009</v>
      </c>
      <c r="Q1172" s="1063">
        <v>0.1</v>
      </c>
      <c r="R1172" s="1062"/>
      <c r="S1172" s="215">
        <f t="shared" si="36"/>
        <v>0</v>
      </c>
      <c r="T1172" s="223">
        <f t="shared" si="37"/>
        <v>0</v>
      </c>
      <c r="U1172" s="649" t="s">
        <v>34</v>
      </c>
      <c r="V1172" s="1222"/>
      <c r="W1172" s="1543"/>
    </row>
    <row r="1173" spans="1:23" ht="22.95" customHeight="1" x14ac:dyDescent="0.4">
      <c r="A1173" s="788">
        <v>1172</v>
      </c>
      <c r="B1173" s="210" t="s">
        <v>2616</v>
      </c>
      <c r="C1173" s="648" t="s">
        <v>24</v>
      </c>
      <c r="D1173" s="1169">
        <v>6587</v>
      </c>
      <c r="E1173" s="198" t="s">
        <v>3895</v>
      </c>
      <c r="F1173" s="198" t="s">
        <v>3896</v>
      </c>
      <c r="G1173" s="1542">
        <v>3192</v>
      </c>
      <c r="H1173" s="198" t="s">
        <v>3897</v>
      </c>
      <c r="I1173" s="198" t="s">
        <v>870</v>
      </c>
      <c r="J1173" s="648" t="s">
        <v>30</v>
      </c>
      <c r="K1173" s="648" t="s">
        <v>29</v>
      </c>
      <c r="L1173" s="1059">
        <v>0.6</v>
      </c>
      <c r="M1173" s="1060" t="s">
        <v>2626</v>
      </c>
      <c r="N1173" s="1061" t="s">
        <v>2627</v>
      </c>
      <c r="O1173" s="1062"/>
      <c r="P1173" s="1062">
        <v>1406879.4938896229</v>
      </c>
      <c r="Q1173" s="1063">
        <v>0.05</v>
      </c>
      <c r="R1173" s="1062"/>
      <c r="S1173" s="215">
        <f t="shared" si="36"/>
        <v>0</v>
      </c>
      <c r="T1173" s="223">
        <f t="shared" si="37"/>
        <v>0</v>
      </c>
      <c r="U1173" s="649" t="s">
        <v>34</v>
      </c>
      <c r="V1173" s="1222"/>
      <c r="W1173" s="1543"/>
    </row>
    <row r="1174" spans="1:23" ht="22.95" customHeight="1" x14ac:dyDescent="0.4">
      <c r="A1174" s="788">
        <v>1173</v>
      </c>
      <c r="B1174" s="210" t="s">
        <v>2616</v>
      </c>
      <c r="C1174" s="648" t="s">
        <v>24</v>
      </c>
      <c r="D1174" s="1169">
        <v>6587</v>
      </c>
      <c r="E1174" s="198" t="s">
        <v>3895</v>
      </c>
      <c r="F1174" s="198" t="s">
        <v>3896</v>
      </c>
      <c r="G1174" s="1542">
        <v>3192</v>
      </c>
      <c r="H1174" s="198" t="s">
        <v>3897</v>
      </c>
      <c r="I1174" s="198" t="s">
        <v>870</v>
      </c>
      <c r="J1174" s="648" t="s">
        <v>30</v>
      </c>
      <c r="K1174" s="648" t="s">
        <v>29</v>
      </c>
      <c r="L1174" s="1059">
        <v>0.6</v>
      </c>
      <c r="M1174" s="1060" t="s">
        <v>2628</v>
      </c>
      <c r="N1174" s="1061" t="s">
        <v>2629</v>
      </c>
      <c r="O1174" s="1062"/>
      <c r="P1174" s="1062">
        <v>48608.249727263406</v>
      </c>
      <c r="Q1174" s="1063">
        <v>0.01</v>
      </c>
      <c r="R1174" s="1062"/>
      <c r="S1174" s="215">
        <f t="shared" si="36"/>
        <v>0</v>
      </c>
      <c r="T1174" s="223">
        <f t="shared" si="37"/>
        <v>0</v>
      </c>
      <c r="U1174" s="649" t="s">
        <v>34</v>
      </c>
      <c r="V1174" s="1222"/>
      <c r="W1174" s="1543"/>
    </row>
    <row r="1175" spans="1:23" ht="22.95" customHeight="1" x14ac:dyDescent="0.4">
      <c r="A1175" s="788">
        <v>1174</v>
      </c>
      <c r="B1175" s="210" t="s">
        <v>2616</v>
      </c>
      <c r="C1175" s="648" t="s">
        <v>24</v>
      </c>
      <c r="D1175" s="1169">
        <v>6587</v>
      </c>
      <c r="E1175" s="198" t="s">
        <v>3895</v>
      </c>
      <c r="F1175" s="198" t="s">
        <v>3896</v>
      </c>
      <c r="G1175" s="1542">
        <v>3192</v>
      </c>
      <c r="H1175" s="198" t="s">
        <v>3897</v>
      </c>
      <c r="I1175" s="198" t="s">
        <v>870</v>
      </c>
      <c r="J1175" s="648" t="s">
        <v>30</v>
      </c>
      <c r="K1175" s="648" t="s">
        <v>29</v>
      </c>
      <c r="L1175" s="1059">
        <v>0.6</v>
      </c>
      <c r="M1175" s="1060" t="s">
        <v>2630</v>
      </c>
      <c r="N1175" s="1061" t="s">
        <v>2631</v>
      </c>
      <c r="O1175" s="1062"/>
      <c r="P1175" s="1062">
        <v>48600000</v>
      </c>
      <c r="Q1175" s="1063">
        <v>0.03</v>
      </c>
      <c r="R1175" s="1062"/>
      <c r="S1175" s="215">
        <f t="shared" si="36"/>
        <v>0</v>
      </c>
      <c r="T1175" s="223">
        <f t="shared" si="37"/>
        <v>0</v>
      </c>
      <c r="U1175" s="649" t="s">
        <v>34</v>
      </c>
      <c r="V1175" s="1222"/>
      <c r="W1175" s="1543"/>
    </row>
    <row r="1176" spans="1:23" ht="22.95" customHeight="1" x14ac:dyDescent="0.4">
      <c r="A1176" s="788">
        <v>1175</v>
      </c>
      <c r="B1176" s="210" t="s">
        <v>2616</v>
      </c>
      <c r="C1176" s="648" t="s">
        <v>24</v>
      </c>
      <c r="D1176" s="1169">
        <v>6587</v>
      </c>
      <c r="E1176" s="198" t="s">
        <v>3895</v>
      </c>
      <c r="F1176" s="198" t="s">
        <v>3896</v>
      </c>
      <c r="G1176" s="1542">
        <v>3192</v>
      </c>
      <c r="H1176" s="198" t="s">
        <v>3897</v>
      </c>
      <c r="I1176" s="198" t="s">
        <v>870</v>
      </c>
      <c r="J1176" s="648" t="s">
        <v>30</v>
      </c>
      <c r="K1176" s="648" t="s">
        <v>29</v>
      </c>
      <c r="L1176" s="1059">
        <v>0.6</v>
      </c>
      <c r="M1176" s="1060" t="s">
        <v>41</v>
      </c>
      <c r="N1176" s="1061" t="s">
        <v>2632</v>
      </c>
      <c r="O1176" s="1062"/>
      <c r="P1176" s="1062">
        <v>98000</v>
      </c>
      <c r="Q1176" s="1063">
        <v>0.01</v>
      </c>
      <c r="R1176" s="1062"/>
      <c r="S1176" s="215">
        <f t="shared" si="36"/>
        <v>0</v>
      </c>
      <c r="T1176" s="223">
        <f t="shared" si="37"/>
        <v>0</v>
      </c>
      <c r="U1176" s="649" t="s">
        <v>34</v>
      </c>
      <c r="V1176" s="1222"/>
      <c r="W1176" s="1543"/>
    </row>
    <row r="1177" spans="1:23" ht="22.95" customHeight="1" x14ac:dyDescent="0.4">
      <c r="A1177" s="788">
        <v>1176</v>
      </c>
      <c r="B1177" s="210" t="s">
        <v>2616</v>
      </c>
      <c r="C1177" s="648" t="s">
        <v>24</v>
      </c>
      <c r="D1177" s="1169">
        <v>6587</v>
      </c>
      <c r="E1177" s="198" t="s">
        <v>3895</v>
      </c>
      <c r="F1177" s="198" t="s">
        <v>3896</v>
      </c>
      <c r="G1177" s="1542">
        <v>3192</v>
      </c>
      <c r="H1177" s="198" t="s">
        <v>3897</v>
      </c>
      <c r="I1177" s="198" t="s">
        <v>870</v>
      </c>
      <c r="J1177" s="648" t="s">
        <v>30</v>
      </c>
      <c r="K1177" s="648" t="s">
        <v>29</v>
      </c>
      <c r="L1177" s="1059">
        <v>0.6</v>
      </c>
      <c r="M1177" s="1060" t="s">
        <v>2633</v>
      </c>
      <c r="N1177" s="1061" t="s">
        <v>2634</v>
      </c>
      <c r="O1177" s="1062"/>
      <c r="P1177" s="1062">
        <v>42860.330649873424</v>
      </c>
      <c r="Q1177" s="1063">
        <v>0.02</v>
      </c>
      <c r="R1177" s="1062"/>
      <c r="S1177" s="215">
        <f t="shared" si="36"/>
        <v>0</v>
      </c>
      <c r="T1177" s="223">
        <f t="shared" si="37"/>
        <v>0</v>
      </c>
      <c r="U1177" s="649" t="s">
        <v>34</v>
      </c>
      <c r="V1177" s="1222"/>
      <c r="W1177" s="1543"/>
    </row>
    <row r="1178" spans="1:23" ht="22.95" customHeight="1" x14ac:dyDescent="0.4">
      <c r="A1178" s="788">
        <v>1177</v>
      </c>
      <c r="B1178" s="210" t="s">
        <v>2616</v>
      </c>
      <c r="C1178" s="648" t="s">
        <v>24</v>
      </c>
      <c r="D1178" s="1169">
        <v>6587</v>
      </c>
      <c r="E1178" s="198" t="s">
        <v>3895</v>
      </c>
      <c r="F1178" s="198" t="s">
        <v>3896</v>
      </c>
      <c r="G1178" s="1542">
        <v>3192</v>
      </c>
      <c r="H1178" s="198" t="s">
        <v>3897</v>
      </c>
      <c r="I1178" s="198" t="s">
        <v>870</v>
      </c>
      <c r="J1178" s="648" t="s">
        <v>30</v>
      </c>
      <c r="K1178" s="648" t="s">
        <v>29</v>
      </c>
      <c r="L1178" s="1059">
        <v>0.6</v>
      </c>
      <c r="M1178" s="1060" t="s">
        <v>2635</v>
      </c>
      <c r="N1178" s="1061" t="s">
        <v>2636</v>
      </c>
      <c r="O1178" s="1062"/>
      <c r="P1178" s="1062">
        <v>1822851.8475738494</v>
      </c>
      <c r="Q1178" s="1063">
        <v>0.15</v>
      </c>
      <c r="R1178" s="1062"/>
      <c r="S1178" s="215">
        <f t="shared" si="36"/>
        <v>0</v>
      </c>
      <c r="T1178" s="223">
        <f t="shared" si="37"/>
        <v>0</v>
      </c>
      <c r="U1178" s="649" t="s">
        <v>34</v>
      </c>
      <c r="V1178" s="1222"/>
      <c r="W1178" s="1543"/>
    </row>
    <row r="1179" spans="1:23" ht="22.95" customHeight="1" x14ac:dyDescent="0.4">
      <c r="A1179" s="788">
        <v>1178</v>
      </c>
      <c r="B1179" s="210" t="s">
        <v>2616</v>
      </c>
      <c r="C1179" s="648" t="s">
        <v>24</v>
      </c>
      <c r="D1179" s="1169">
        <v>6587</v>
      </c>
      <c r="E1179" s="198" t="s">
        <v>3895</v>
      </c>
      <c r="F1179" s="198" t="s">
        <v>3896</v>
      </c>
      <c r="G1179" s="1542">
        <v>3192</v>
      </c>
      <c r="H1179" s="198" t="s">
        <v>3897</v>
      </c>
      <c r="I1179" s="198" t="s">
        <v>870</v>
      </c>
      <c r="J1179" s="648" t="s">
        <v>30</v>
      </c>
      <c r="K1179" s="648" t="s">
        <v>29</v>
      </c>
      <c r="L1179" s="1059">
        <v>0.6</v>
      </c>
      <c r="M1179" s="1060" t="s">
        <v>2637</v>
      </c>
      <c r="N1179" s="1061" t="s">
        <v>2638</v>
      </c>
      <c r="O1179" s="1062"/>
      <c r="P1179" s="1062">
        <v>632149.86058619968</v>
      </c>
      <c r="Q1179" s="1063">
        <v>0.1</v>
      </c>
      <c r="R1179" s="1062"/>
      <c r="S1179" s="215">
        <f t="shared" si="36"/>
        <v>0</v>
      </c>
      <c r="T1179" s="223">
        <f t="shared" si="37"/>
        <v>0</v>
      </c>
      <c r="U1179" s="649" t="s">
        <v>34</v>
      </c>
      <c r="V1179" s="1222"/>
      <c r="W1179" s="1543"/>
    </row>
    <row r="1180" spans="1:23" ht="22.95" customHeight="1" x14ac:dyDescent="0.4">
      <c r="A1180" s="788">
        <v>1179</v>
      </c>
      <c r="B1180" s="210" t="s">
        <v>2616</v>
      </c>
      <c r="C1180" s="648" t="s">
        <v>24</v>
      </c>
      <c r="D1180" s="1169">
        <v>6587</v>
      </c>
      <c r="E1180" s="198" t="s">
        <v>3895</v>
      </c>
      <c r="F1180" s="198" t="s">
        <v>3896</v>
      </c>
      <c r="G1180" s="1542">
        <v>3192</v>
      </c>
      <c r="H1180" s="198" t="s">
        <v>3897</v>
      </c>
      <c r="I1180" s="198" t="s">
        <v>870</v>
      </c>
      <c r="J1180" s="648" t="s">
        <v>30</v>
      </c>
      <c r="K1180" s="648" t="s">
        <v>29</v>
      </c>
      <c r="L1180" s="1059">
        <v>0.6</v>
      </c>
      <c r="M1180" s="1060" t="s">
        <v>2639</v>
      </c>
      <c r="N1180" s="1061" t="s">
        <v>2640</v>
      </c>
      <c r="O1180" s="1062"/>
      <c r="P1180" s="1062">
        <v>1582673.167066941</v>
      </c>
      <c r="Q1180" s="1063">
        <v>0.05</v>
      </c>
      <c r="R1180" s="1062"/>
      <c r="S1180" s="215">
        <f t="shared" si="36"/>
        <v>0</v>
      </c>
      <c r="T1180" s="223">
        <f t="shared" si="37"/>
        <v>0</v>
      </c>
      <c r="U1180" s="649" t="s">
        <v>34</v>
      </c>
      <c r="V1180" s="1222"/>
      <c r="W1180" s="1543"/>
    </row>
    <row r="1181" spans="1:23" ht="22.95" customHeight="1" x14ac:dyDescent="0.4">
      <c r="A1181" s="788">
        <v>1180</v>
      </c>
      <c r="B1181" s="210" t="s">
        <v>2616</v>
      </c>
      <c r="C1181" s="648" t="s">
        <v>24</v>
      </c>
      <c r="D1181" s="1169">
        <v>6587</v>
      </c>
      <c r="E1181" s="198" t="s">
        <v>3895</v>
      </c>
      <c r="F1181" s="198" t="s">
        <v>3896</v>
      </c>
      <c r="G1181" s="1542">
        <v>3192</v>
      </c>
      <c r="H1181" s="198" t="s">
        <v>3897</v>
      </c>
      <c r="I1181" s="198" t="s">
        <v>870</v>
      </c>
      <c r="J1181" s="648" t="s">
        <v>30</v>
      </c>
      <c r="K1181" s="648" t="s">
        <v>29</v>
      </c>
      <c r="L1181" s="1059">
        <v>0.6</v>
      </c>
      <c r="M1181" s="1060" t="s">
        <v>2641</v>
      </c>
      <c r="N1181" s="1061" t="s">
        <v>2642</v>
      </c>
      <c r="O1181" s="1062"/>
      <c r="P1181" s="1062">
        <v>52500</v>
      </c>
      <c r="Q1181" s="1063">
        <v>0.01</v>
      </c>
      <c r="R1181" s="1062"/>
      <c r="S1181" s="215">
        <f t="shared" si="36"/>
        <v>0</v>
      </c>
      <c r="T1181" s="223">
        <f t="shared" si="37"/>
        <v>0</v>
      </c>
      <c r="U1181" s="649" t="s">
        <v>34</v>
      </c>
      <c r="V1181" s="1222"/>
      <c r="W1181" s="1543"/>
    </row>
    <row r="1182" spans="1:23" ht="22.95" customHeight="1" x14ac:dyDescent="0.4">
      <c r="A1182" s="788">
        <v>1181</v>
      </c>
      <c r="B1182" s="210" t="s">
        <v>2616</v>
      </c>
      <c r="C1182" s="648" t="s">
        <v>24</v>
      </c>
      <c r="D1182" s="1169">
        <v>6587</v>
      </c>
      <c r="E1182" s="198" t="s">
        <v>3895</v>
      </c>
      <c r="F1182" s="198" t="s">
        <v>3896</v>
      </c>
      <c r="G1182" s="1542">
        <v>3192</v>
      </c>
      <c r="H1182" s="198" t="s">
        <v>3897</v>
      </c>
      <c r="I1182" s="198" t="s">
        <v>870</v>
      </c>
      <c r="J1182" s="648" t="s">
        <v>30</v>
      </c>
      <c r="K1182" s="648" t="s">
        <v>29</v>
      </c>
      <c r="L1182" s="1059">
        <v>0.6</v>
      </c>
      <c r="M1182" s="1060" t="s">
        <v>2643</v>
      </c>
      <c r="N1182" s="1061" t="s">
        <v>2644</v>
      </c>
      <c r="O1182" s="1062"/>
      <c r="P1182" s="1062">
        <v>28325616.5089917</v>
      </c>
      <c r="Q1182" s="1063">
        <v>0.03</v>
      </c>
      <c r="R1182" s="1062"/>
      <c r="S1182" s="215">
        <f t="shared" si="36"/>
        <v>0</v>
      </c>
      <c r="T1182" s="223">
        <f t="shared" si="37"/>
        <v>0</v>
      </c>
      <c r="U1182" s="649" t="s">
        <v>34</v>
      </c>
      <c r="V1182" s="1222"/>
      <c r="W1182" s="1543"/>
    </row>
    <row r="1183" spans="1:23" ht="22.95" customHeight="1" x14ac:dyDescent="0.4">
      <c r="A1183" s="788">
        <v>1182</v>
      </c>
      <c r="B1183" s="210" t="s">
        <v>2616</v>
      </c>
      <c r="C1183" s="648" t="s">
        <v>24</v>
      </c>
      <c r="D1183" s="1169">
        <v>6587</v>
      </c>
      <c r="E1183" s="198" t="s">
        <v>3895</v>
      </c>
      <c r="F1183" s="198" t="s">
        <v>3896</v>
      </c>
      <c r="G1183" s="1542">
        <v>3192</v>
      </c>
      <c r="H1183" s="198" t="s">
        <v>3897</v>
      </c>
      <c r="I1183" s="198" t="s">
        <v>870</v>
      </c>
      <c r="J1183" s="648" t="s">
        <v>30</v>
      </c>
      <c r="K1183" s="648" t="s">
        <v>29</v>
      </c>
      <c r="L1183" s="1059">
        <v>0.6</v>
      </c>
      <c r="M1183" s="1060" t="s">
        <v>51</v>
      </c>
      <c r="N1183" s="1061" t="s">
        <v>2645</v>
      </c>
      <c r="O1183" s="1062"/>
      <c r="P1183" s="1062">
        <v>350000</v>
      </c>
      <c r="Q1183" s="1063">
        <v>0.01</v>
      </c>
      <c r="R1183" s="1062"/>
      <c r="S1183" s="215">
        <f t="shared" si="36"/>
        <v>0</v>
      </c>
      <c r="T1183" s="223">
        <f t="shared" si="37"/>
        <v>0</v>
      </c>
      <c r="U1183" s="649" t="s">
        <v>34</v>
      </c>
      <c r="V1183" s="1222"/>
      <c r="W1183" s="1543"/>
    </row>
    <row r="1184" spans="1:23" ht="22.95" customHeight="1" x14ac:dyDescent="0.4">
      <c r="A1184" s="788">
        <v>1183</v>
      </c>
      <c r="B1184" s="210" t="s">
        <v>2616</v>
      </c>
      <c r="C1184" s="648" t="s">
        <v>24</v>
      </c>
      <c r="D1184" s="1169">
        <v>6587</v>
      </c>
      <c r="E1184" s="198" t="s">
        <v>3895</v>
      </c>
      <c r="F1184" s="198" t="s">
        <v>3896</v>
      </c>
      <c r="G1184" s="1542">
        <v>3192</v>
      </c>
      <c r="H1184" s="198" t="s">
        <v>3897</v>
      </c>
      <c r="I1184" s="198" t="s">
        <v>870</v>
      </c>
      <c r="J1184" s="648" t="s">
        <v>30</v>
      </c>
      <c r="K1184" s="648" t="s">
        <v>29</v>
      </c>
      <c r="L1184" s="1059">
        <v>0.6</v>
      </c>
      <c r="M1184" s="1060" t="s">
        <v>2646</v>
      </c>
      <c r="N1184" s="1061" t="s">
        <v>2647</v>
      </c>
      <c r="O1184" s="1062"/>
      <c r="P1184" s="1062">
        <v>12008.568758934001</v>
      </c>
      <c r="Q1184" s="1063">
        <v>0.01</v>
      </c>
      <c r="R1184" s="1062"/>
      <c r="S1184" s="215">
        <f t="shared" si="36"/>
        <v>0</v>
      </c>
      <c r="T1184" s="223">
        <f t="shared" si="37"/>
        <v>0</v>
      </c>
      <c r="U1184" s="649" t="s">
        <v>34</v>
      </c>
      <c r="V1184" s="1222"/>
      <c r="W1184" s="1543"/>
    </row>
    <row r="1185" spans="1:23" ht="22.95" customHeight="1" x14ac:dyDescent="0.4">
      <c r="A1185" s="788">
        <v>1184</v>
      </c>
      <c r="B1185" s="210" t="s">
        <v>2616</v>
      </c>
      <c r="C1185" s="648" t="s">
        <v>24</v>
      </c>
      <c r="D1185" s="1169">
        <v>6587</v>
      </c>
      <c r="E1185" s="198" t="s">
        <v>3895</v>
      </c>
      <c r="F1185" s="198" t="s">
        <v>3896</v>
      </c>
      <c r="G1185" s="1542">
        <v>3192</v>
      </c>
      <c r="H1185" s="198" t="s">
        <v>3897</v>
      </c>
      <c r="I1185" s="198" t="s">
        <v>870</v>
      </c>
      <c r="J1185" s="648" t="s">
        <v>30</v>
      </c>
      <c r="K1185" s="648" t="s">
        <v>29</v>
      </c>
      <c r="L1185" s="1059">
        <v>0.6</v>
      </c>
      <c r="M1185" s="1060" t="s">
        <v>2648</v>
      </c>
      <c r="N1185" s="1061" t="s">
        <v>2649</v>
      </c>
      <c r="O1185" s="799"/>
      <c r="P1185" s="1065">
        <v>0.25021096971668699</v>
      </c>
      <c r="Q1185" s="1063">
        <v>0.1</v>
      </c>
      <c r="R1185" s="1065"/>
      <c r="S1185" s="964">
        <f t="shared" si="36"/>
        <v>0</v>
      </c>
      <c r="T1185" s="962">
        <f t="shared" si="37"/>
        <v>0</v>
      </c>
      <c r="U1185" s="1495" t="s">
        <v>83</v>
      </c>
      <c r="V1185" s="1211"/>
      <c r="W1185" s="1543"/>
    </row>
    <row r="1186" spans="1:23" ht="22.95" customHeight="1" x14ac:dyDescent="0.4">
      <c r="A1186" s="788">
        <v>1185</v>
      </c>
      <c r="B1186" s="210" t="s">
        <v>2616</v>
      </c>
      <c r="C1186" s="648" t="s">
        <v>24</v>
      </c>
      <c r="D1186" s="1169">
        <v>6587</v>
      </c>
      <c r="E1186" s="198" t="s">
        <v>3895</v>
      </c>
      <c r="F1186" s="198" t="s">
        <v>3896</v>
      </c>
      <c r="G1186" s="1542">
        <v>3192</v>
      </c>
      <c r="H1186" s="198" t="s">
        <v>3897</v>
      </c>
      <c r="I1186" s="198" t="s">
        <v>870</v>
      </c>
      <c r="J1186" s="648" t="s">
        <v>30</v>
      </c>
      <c r="K1186" s="648" t="s">
        <v>29</v>
      </c>
      <c r="L1186" s="1059">
        <v>0.6</v>
      </c>
      <c r="M1186" s="1060" t="s">
        <v>2650</v>
      </c>
      <c r="N1186" s="1061" t="s">
        <v>2651</v>
      </c>
      <c r="O1186" s="799"/>
      <c r="P1186" s="1065">
        <v>0.12657225245499898</v>
      </c>
      <c r="Q1186" s="1063">
        <v>7.0000000000000007E-2</v>
      </c>
      <c r="R1186" s="1065"/>
      <c r="S1186" s="964">
        <f t="shared" si="36"/>
        <v>0</v>
      </c>
      <c r="T1186" s="962">
        <f t="shared" si="37"/>
        <v>0</v>
      </c>
      <c r="U1186" s="1495" t="s">
        <v>34</v>
      </c>
      <c r="V1186" s="1211"/>
      <c r="W1186" s="1543"/>
    </row>
    <row r="1187" spans="1:23" ht="22.95" customHeight="1" x14ac:dyDescent="0.4">
      <c r="A1187" s="788">
        <v>1186</v>
      </c>
      <c r="B1187" s="210" t="s">
        <v>2616</v>
      </c>
      <c r="C1187" s="648" t="s">
        <v>24</v>
      </c>
      <c r="D1187" s="1169">
        <v>6587</v>
      </c>
      <c r="E1187" s="198" t="s">
        <v>3895</v>
      </c>
      <c r="F1187" s="198" t="s">
        <v>3896</v>
      </c>
      <c r="G1187" s="1542">
        <v>3192</v>
      </c>
      <c r="H1187" s="198" t="s">
        <v>3897</v>
      </c>
      <c r="I1187" s="198" t="s">
        <v>870</v>
      </c>
      <c r="J1187" s="79" t="s">
        <v>58</v>
      </c>
      <c r="K1187" s="79" t="s">
        <v>57</v>
      </c>
      <c r="L1187" s="1067">
        <v>0.15</v>
      </c>
      <c r="M1187" s="756" t="s">
        <v>3898</v>
      </c>
      <c r="N1187" s="757"/>
      <c r="O1187" s="1544"/>
      <c r="P1187" s="1544">
        <v>1.4999999999999999E-2</v>
      </c>
      <c r="Q1187" s="1545">
        <v>0.2</v>
      </c>
      <c r="R1187" s="1544"/>
      <c r="S1187" s="204">
        <f t="shared" si="36"/>
        <v>0</v>
      </c>
      <c r="T1187" s="960">
        <f t="shared" si="37"/>
        <v>0</v>
      </c>
      <c r="U1187" s="1492" t="s">
        <v>34</v>
      </c>
      <c r="V1187" s="1211"/>
      <c r="W1187" s="1543"/>
    </row>
    <row r="1188" spans="1:23" ht="22.95" customHeight="1" x14ac:dyDescent="0.4">
      <c r="A1188" s="788">
        <v>1187</v>
      </c>
      <c r="B1188" s="210" t="s">
        <v>2616</v>
      </c>
      <c r="C1188" s="648" t="s">
        <v>24</v>
      </c>
      <c r="D1188" s="1169">
        <v>6587</v>
      </c>
      <c r="E1188" s="198" t="s">
        <v>3895</v>
      </c>
      <c r="F1188" s="198" t="s">
        <v>3896</v>
      </c>
      <c r="G1188" s="1542">
        <v>3192</v>
      </c>
      <c r="H1188" s="198" t="s">
        <v>3897</v>
      </c>
      <c r="I1188" s="198" t="s">
        <v>870</v>
      </c>
      <c r="J1188" s="79" t="s">
        <v>58</v>
      </c>
      <c r="K1188" s="79" t="s">
        <v>57</v>
      </c>
      <c r="L1188" s="1067">
        <v>0.15</v>
      </c>
      <c r="M1188" s="756" t="s">
        <v>3899</v>
      </c>
      <c r="N1188" s="757"/>
      <c r="O1188" s="669"/>
      <c r="P1188" s="669">
        <v>0.96</v>
      </c>
      <c r="Q1188" s="1545">
        <v>0.3</v>
      </c>
      <c r="R1188" s="669"/>
      <c r="S1188" s="204">
        <f t="shared" si="36"/>
        <v>0</v>
      </c>
      <c r="T1188" s="960">
        <f t="shared" si="37"/>
        <v>0</v>
      </c>
      <c r="U1188" s="1492" t="s">
        <v>34</v>
      </c>
      <c r="V1188" s="1211"/>
      <c r="W1188" s="1543"/>
    </row>
    <row r="1189" spans="1:23" ht="22.95" customHeight="1" x14ac:dyDescent="0.4">
      <c r="A1189" s="788">
        <v>1188</v>
      </c>
      <c r="B1189" s="210" t="s">
        <v>2616</v>
      </c>
      <c r="C1189" s="648" t="s">
        <v>24</v>
      </c>
      <c r="D1189" s="1169">
        <v>6587</v>
      </c>
      <c r="E1189" s="198" t="s">
        <v>3895</v>
      </c>
      <c r="F1189" s="198" t="s">
        <v>3896</v>
      </c>
      <c r="G1189" s="1542">
        <v>3192</v>
      </c>
      <c r="H1189" s="198" t="s">
        <v>3897</v>
      </c>
      <c r="I1189" s="198" t="s">
        <v>870</v>
      </c>
      <c r="J1189" s="79" t="s">
        <v>58</v>
      </c>
      <c r="K1189" s="79" t="s">
        <v>57</v>
      </c>
      <c r="L1189" s="1067">
        <v>0.15</v>
      </c>
      <c r="M1189" s="756" t="s">
        <v>3900</v>
      </c>
      <c r="N1189" s="757"/>
      <c r="O1189" s="211"/>
      <c r="P1189" s="211">
        <v>4</v>
      </c>
      <c r="Q1189" s="1545">
        <v>0.25</v>
      </c>
      <c r="R1189" s="211"/>
      <c r="S1189" s="204">
        <f t="shared" si="36"/>
        <v>0</v>
      </c>
      <c r="T1189" s="960">
        <f t="shared" si="37"/>
        <v>0</v>
      </c>
      <c r="U1189" s="1492" t="s">
        <v>34</v>
      </c>
      <c r="V1189" s="1211"/>
      <c r="W1189" s="1543"/>
    </row>
    <row r="1190" spans="1:23" ht="22.95" customHeight="1" x14ac:dyDescent="0.4">
      <c r="A1190" s="788">
        <v>1189</v>
      </c>
      <c r="B1190" s="210" t="s">
        <v>2616</v>
      </c>
      <c r="C1190" s="648" t="s">
        <v>24</v>
      </c>
      <c r="D1190" s="1169">
        <v>6587</v>
      </c>
      <c r="E1190" s="198" t="s">
        <v>3895</v>
      </c>
      <c r="F1190" s="198" t="s">
        <v>3896</v>
      </c>
      <c r="G1190" s="1542">
        <v>3192</v>
      </c>
      <c r="H1190" s="198" t="s">
        <v>3897</v>
      </c>
      <c r="I1190" s="198" t="s">
        <v>870</v>
      </c>
      <c r="J1190" s="79" t="s">
        <v>58</v>
      </c>
      <c r="K1190" s="79" t="s">
        <v>57</v>
      </c>
      <c r="L1190" s="1067">
        <v>0.15</v>
      </c>
      <c r="M1190" s="821" t="s">
        <v>3901</v>
      </c>
      <c r="N1190" s="819"/>
      <c r="O1190" s="211"/>
      <c r="P1190" s="211">
        <v>4</v>
      </c>
      <c r="Q1190" s="1545">
        <v>0.1</v>
      </c>
      <c r="R1190" s="211"/>
      <c r="S1190" s="204">
        <f t="shared" si="36"/>
        <v>0</v>
      </c>
      <c r="T1190" s="960">
        <f t="shared" si="37"/>
        <v>0</v>
      </c>
      <c r="U1190" s="79" t="s">
        <v>34</v>
      </c>
      <c r="V1190" s="1228"/>
      <c r="W1190" s="1543"/>
    </row>
    <row r="1191" spans="1:23" ht="22.95" customHeight="1" x14ac:dyDescent="0.4">
      <c r="A1191" s="788">
        <v>1190</v>
      </c>
      <c r="B1191" s="210" t="s">
        <v>2616</v>
      </c>
      <c r="C1191" s="648" t="s">
        <v>24</v>
      </c>
      <c r="D1191" s="1169">
        <v>6587</v>
      </c>
      <c r="E1191" s="198" t="s">
        <v>3895</v>
      </c>
      <c r="F1191" s="198" t="s">
        <v>3896</v>
      </c>
      <c r="G1191" s="1542">
        <v>3192</v>
      </c>
      <c r="H1191" s="198" t="s">
        <v>3897</v>
      </c>
      <c r="I1191" s="198" t="s">
        <v>870</v>
      </c>
      <c r="J1191" s="79" t="s">
        <v>58</v>
      </c>
      <c r="K1191" s="79" t="s">
        <v>57</v>
      </c>
      <c r="L1191" s="1067">
        <v>0.15</v>
      </c>
      <c r="M1191" s="756" t="s">
        <v>3902</v>
      </c>
      <c r="N1191" s="757"/>
      <c r="O1191" s="1492"/>
      <c r="P1191" s="1492">
        <v>1</v>
      </c>
      <c r="Q1191" s="1545">
        <v>0.15</v>
      </c>
      <c r="R1191" s="1492"/>
      <c r="S1191" s="204">
        <f t="shared" si="36"/>
        <v>0</v>
      </c>
      <c r="T1191" s="960">
        <f t="shared" si="37"/>
        <v>0</v>
      </c>
      <c r="U1191" s="79" t="s">
        <v>34</v>
      </c>
      <c r="V1191" s="1228"/>
      <c r="W1191" s="1543"/>
    </row>
    <row r="1192" spans="1:23" ht="22.95" customHeight="1" x14ac:dyDescent="0.4">
      <c r="A1192" s="788">
        <v>1191</v>
      </c>
      <c r="B1192" s="210" t="s">
        <v>2616</v>
      </c>
      <c r="C1192" s="648" t="s">
        <v>24</v>
      </c>
      <c r="D1192" s="1169">
        <v>6587</v>
      </c>
      <c r="E1192" s="198" t="s">
        <v>3895</v>
      </c>
      <c r="F1192" s="198" t="s">
        <v>3896</v>
      </c>
      <c r="G1192" s="1542">
        <v>3192</v>
      </c>
      <c r="H1192" s="198" t="s">
        <v>3897</v>
      </c>
      <c r="I1192" s="198" t="s">
        <v>870</v>
      </c>
      <c r="J1192" s="210" t="s">
        <v>111</v>
      </c>
      <c r="K1192" s="210" t="s">
        <v>110</v>
      </c>
      <c r="L1192" s="1074">
        <v>0.25</v>
      </c>
      <c r="M1192" s="766" t="s">
        <v>3903</v>
      </c>
      <c r="N1192" s="799"/>
      <c r="O1192" s="220"/>
      <c r="P1192" s="220">
        <v>1</v>
      </c>
      <c r="Q1192" s="1064">
        <v>0.05</v>
      </c>
      <c r="R1192" s="220"/>
      <c r="S1192" s="215">
        <f t="shared" si="36"/>
        <v>0</v>
      </c>
      <c r="T1192" s="223">
        <f t="shared" si="37"/>
        <v>0</v>
      </c>
      <c r="U1192" s="649" t="s">
        <v>34</v>
      </c>
      <c r="V1192" s="1228"/>
      <c r="W1192" s="1543"/>
    </row>
    <row r="1193" spans="1:23" ht="22.95" customHeight="1" x14ac:dyDescent="0.4">
      <c r="A1193" s="788">
        <v>1192</v>
      </c>
      <c r="B1193" s="210" t="s">
        <v>2616</v>
      </c>
      <c r="C1193" s="648" t="s">
        <v>24</v>
      </c>
      <c r="D1193" s="1169">
        <v>6587</v>
      </c>
      <c r="E1193" s="198" t="s">
        <v>3895</v>
      </c>
      <c r="F1193" s="198" t="s">
        <v>3896</v>
      </c>
      <c r="G1193" s="1542">
        <v>3192</v>
      </c>
      <c r="H1193" s="198" t="s">
        <v>3897</v>
      </c>
      <c r="I1193" s="198" t="s">
        <v>870</v>
      </c>
      <c r="J1193" s="210" t="s">
        <v>111</v>
      </c>
      <c r="K1193" s="210" t="s">
        <v>110</v>
      </c>
      <c r="L1193" s="1074">
        <v>0.25</v>
      </c>
      <c r="M1193" s="766" t="s">
        <v>3904</v>
      </c>
      <c r="N1193" s="799"/>
      <c r="O1193" s="220"/>
      <c r="P1193" s="220">
        <v>1</v>
      </c>
      <c r="Q1193" s="1304">
        <v>0.1</v>
      </c>
      <c r="R1193" s="220"/>
      <c r="S1193" s="215">
        <f t="shared" si="36"/>
        <v>0</v>
      </c>
      <c r="T1193" s="223">
        <f t="shared" si="37"/>
        <v>0</v>
      </c>
      <c r="U1193" s="650" t="s">
        <v>34</v>
      </c>
      <c r="V1193" s="1228"/>
      <c r="W1193" s="1543"/>
    </row>
    <row r="1194" spans="1:23" ht="22.95" customHeight="1" x14ac:dyDescent="0.4">
      <c r="A1194" s="788">
        <v>1193</v>
      </c>
      <c r="B1194" s="210" t="s">
        <v>2616</v>
      </c>
      <c r="C1194" s="648" t="s">
        <v>24</v>
      </c>
      <c r="D1194" s="1169">
        <v>6587</v>
      </c>
      <c r="E1194" s="198" t="s">
        <v>3895</v>
      </c>
      <c r="F1194" s="198" t="s">
        <v>3896</v>
      </c>
      <c r="G1194" s="1542">
        <v>3192</v>
      </c>
      <c r="H1194" s="198" t="s">
        <v>3897</v>
      </c>
      <c r="I1194" s="198" t="s">
        <v>870</v>
      </c>
      <c r="J1194" s="210" t="s">
        <v>111</v>
      </c>
      <c r="K1194" s="210" t="s">
        <v>110</v>
      </c>
      <c r="L1194" s="1074">
        <v>0.25</v>
      </c>
      <c r="M1194" s="766" t="s">
        <v>3905</v>
      </c>
      <c r="N1194" s="799"/>
      <c r="O1194" s="220"/>
      <c r="P1194" s="220">
        <v>1</v>
      </c>
      <c r="Q1194" s="1304">
        <v>0.1</v>
      </c>
      <c r="R1194" s="220"/>
      <c r="S1194" s="215">
        <f t="shared" si="36"/>
        <v>0</v>
      </c>
      <c r="T1194" s="223">
        <f t="shared" si="37"/>
        <v>0</v>
      </c>
      <c r="U1194" s="708" t="s">
        <v>34</v>
      </c>
      <c r="V1194" s="1228"/>
      <c r="W1194" s="1543"/>
    </row>
    <row r="1195" spans="1:23" ht="22.95" customHeight="1" x14ac:dyDescent="0.4">
      <c r="A1195" s="788">
        <v>1194</v>
      </c>
      <c r="B1195" s="210" t="s">
        <v>2616</v>
      </c>
      <c r="C1195" s="648" t="s">
        <v>24</v>
      </c>
      <c r="D1195" s="1169">
        <v>6587</v>
      </c>
      <c r="E1195" s="198" t="s">
        <v>3895</v>
      </c>
      <c r="F1195" s="198" t="s">
        <v>3896</v>
      </c>
      <c r="G1195" s="1542">
        <v>3192</v>
      </c>
      <c r="H1195" s="198" t="s">
        <v>3897</v>
      </c>
      <c r="I1195" s="198" t="s">
        <v>870</v>
      </c>
      <c r="J1195" s="210" t="s">
        <v>111</v>
      </c>
      <c r="K1195" s="210" t="s">
        <v>110</v>
      </c>
      <c r="L1195" s="1074">
        <v>0.25</v>
      </c>
      <c r="M1195" s="766" t="s">
        <v>3906</v>
      </c>
      <c r="N1195" s="799"/>
      <c r="O1195" s="708"/>
      <c r="P1195" s="708">
        <v>1</v>
      </c>
      <c r="Q1195" s="1304">
        <v>0.1</v>
      </c>
      <c r="R1195" s="708"/>
      <c r="S1195" s="215">
        <f t="shared" si="36"/>
        <v>0</v>
      </c>
      <c r="T1195" s="223">
        <f t="shared" si="37"/>
        <v>0</v>
      </c>
      <c r="U1195" s="708" t="s">
        <v>34</v>
      </c>
      <c r="V1195" s="1228"/>
      <c r="W1195" s="1543"/>
    </row>
    <row r="1196" spans="1:23" ht="22.95" customHeight="1" x14ac:dyDescent="0.4">
      <c r="A1196" s="788">
        <v>1195</v>
      </c>
      <c r="B1196" s="210" t="s">
        <v>2616</v>
      </c>
      <c r="C1196" s="648" t="s">
        <v>24</v>
      </c>
      <c r="D1196" s="1169">
        <v>6587</v>
      </c>
      <c r="E1196" s="198" t="s">
        <v>3895</v>
      </c>
      <c r="F1196" s="198" t="s">
        <v>3896</v>
      </c>
      <c r="G1196" s="1542">
        <v>3192</v>
      </c>
      <c r="H1196" s="198" t="s">
        <v>3897</v>
      </c>
      <c r="I1196" s="198" t="s">
        <v>870</v>
      </c>
      <c r="J1196" s="210" t="s">
        <v>111</v>
      </c>
      <c r="K1196" s="210" t="s">
        <v>110</v>
      </c>
      <c r="L1196" s="1074">
        <v>0.25</v>
      </c>
      <c r="M1196" s="1546" t="s">
        <v>3907</v>
      </c>
      <c r="N1196" s="799"/>
      <c r="O1196" s="708"/>
      <c r="P1196" s="708">
        <v>1</v>
      </c>
      <c r="Q1196" s="1064">
        <v>0.15</v>
      </c>
      <c r="R1196" s="708"/>
      <c r="S1196" s="215">
        <f t="shared" si="36"/>
        <v>0</v>
      </c>
      <c r="T1196" s="223">
        <f t="shared" si="37"/>
        <v>0</v>
      </c>
      <c r="U1196" s="708" t="s">
        <v>34</v>
      </c>
      <c r="V1196" s="1228"/>
      <c r="W1196" s="1543"/>
    </row>
    <row r="1197" spans="1:23" ht="22.95" customHeight="1" x14ac:dyDescent="0.4">
      <c r="A1197" s="788">
        <v>1196</v>
      </c>
      <c r="B1197" s="210" t="s">
        <v>2616</v>
      </c>
      <c r="C1197" s="648" t="s">
        <v>24</v>
      </c>
      <c r="D1197" s="1169">
        <v>6587</v>
      </c>
      <c r="E1197" s="198" t="s">
        <v>3895</v>
      </c>
      <c r="F1197" s="198" t="s">
        <v>3896</v>
      </c>
      <c r="G1197" s="1542">
        <v>3192</v>
      </c>
      <c r="H1197" s="198" t="s">
        <v>3897</v>
      </c>
      <c r="I1197" s="198" t="s">
        <v>870</v>
      </c>
      <c r="J1197" s="210" t="s">
        <v>111</v>
      </c>
      <c r="K1197" s="210" t="s">
        <v>110</v>
      </c>
      <c r="L1197" s="1074">
        <v>0.25</v>
      </c>
      <c r="M1197" s="1546" t="s">
        <v>3908</v>
      </c>
      <c r="N1197" s="799"/>
      <c r="O1197" s="708"/>
      <c r="P1197" s="708">
        <v>1</v>
      </c>
      <c r="Q1197" s="1145">
        <v>0.15</v>
      </c>
      <c r="R1197" s="708"/>
      <c r="S1197" s="215">
        <f t="shared" si="36"/>
        <v>0</v>
      </c>
      <c r="T1197" s="223">
        <f t="shared" si="37"/>
        <v>0</v>
      </c>
      <c r="U1197" s="708" t="s">
        <v>34</v>
      </c>
      <c r="V1197" s="1228"/>
      <c r="W1197" s="1543"/>
    </row>
    <row r="1198" spans="1:23" ht="22.95" customHeight="1" x14ac:dyDescent="0.4">
      <c r="A1198" s="788">
        <v>1197</v>
      </c>
      <c r="B1198" s="210" t="s">
        <v>2616</v>
      </c>
      <c r="C1198" s="648" t="s">
        <v>24</v>
      </c>
      <c r="D1198" s="1169">
        <v>6587</v>
      </c>
      <c r="E1198" s="198" t="s">
        <v>3895</v>
      </c>
      <c r="F1198" s="198" t="s">
        <v>3896</v>
      </c>
      <c r="G1198" s="1542">
        <v>3192</v>
      </c>
      <c r="H1198" s="198" t="s">
        <v>3897</v>
      </c>
      <c r="I1198" s="198" t="s">
        <v>870</v>
      </c>
      <c r="J1198" s="210" t="s">
        <v>111</v>
      </c>
      <c r="K1198" s="210" t="s">
        <v>110</v>
      </c>
      <c r="L1198" s="1074">
        <v>0.25</v>
      </c>
      <c r="M1198" s="1546" t="s">
        <v>3909</v>
      </c>
      <c r="N1198" s="799"/>
      <c r="O1198" s="708"/>
      <c r="P1198" s="708">
        <v>1</v>
      </c>
      <c r="Q1198" s="1145">
        <v>0.15</v>
      </c>
      <c r="R1198" s="708"/>
      <c r="S1198" s="215">
        <f t="shared" si="36"/>
        <v>0</v>
      </c>
      <c r="T1198" s="223">
        <f t="shared" si="37"/>
        <v>0</v>
      </c>
      <c r="U1198" s="708" t="s">
        <v>34</v>
      </c>
      <c r="V1198" s="1228"/>
      <c r="W1198" s="1543"/>
    </row>
    <row r="1199" spans="1:23" ht="22.95" customHeight="1" x14ac:dyDescent="0.4">
      <c r="A1199" s="788">
        <v>1198</v>
      </c>
      <c r="B1199" s="210" t="s">
        <v>2616</v>
      </c>
      <c r="C1199" s="648" t="s">
        <v>24</v>
      </c>
      <c r="D1199" s="1169">
        <v>6587</v>
      </c>
      <c r="E1199" s="198" t="s">
        <v>3895</v>
      </c>
      <c r="F1199" s="198" t="s">
        <v>3896</v>
      </c>
      <c r="G1199" s="1542">
        <v>3192</v>
      </c>
      <c r="H1199" s="198" t="s">
        <v>3897</v>
      </c>
      <c r="I1199" s="198" t="s">
        <v>870</v>
      </c>
      <c r="J1199" s="210" t="s">
        <v>111</v>
      </c>
      <c r="K1199" s="210" t="s">
        <v>110</v>
      </c>
      <c r="L1199" s="1074">
        <v>0.25</v>
      </c>
      <c r="M1199" s="1546" t="s">
        <v>3910</v>
      </c>
      <c r="N1199" s="799"/>
      <c r="O1199" s="708"/>
      <c r="P1199" s="708">
        <v>1</v>
      </c>
      <c r="Q1199" s="1145">
        <v>0.1</v>
      </c>
      <c r="R1199" s="708"/>
      <c r="S1199" s="215">
        <f t="shared" si="36"/>
        <v>0</v>
      </c>
      <c r="T1199" s="223">
        <f t="shared" si="37"/>
        <v>0</v>
      </c>
      <c r="U1199" s="708" t="s">
        <v>34</v>
      </c>
      <c r="V1199" s="1228"/>
      <c r="W1199" s="1543"/>
    </row>
    <row r="1200" spans="1:23" ht="22.95" customHeight="1" x14ac:dyDescent="0.4">
      <c r="A1200" s="788">
        <v>1199</v>
      </c>
      <c r="B1200" s="210" t="s">
        <v>2616</v>
      </c>
      <c r="C1200" s="648" t="s">
        <v>24</v>
      </c>
      <c r="D1200" s="1169">
        <v>6587</v>
      </c>
      <c r="E1200" s="198" t="s">
        <v>3895</v>
      </c>
      <c r="F1200" s="198" t="s">
        <v>3896</v>
      </c>
      <c r="G1200" s="1542">
        <v>3192</v>
      </c>
      <c r="H1200" s="198" t="s">
        <v>3897</v>
      </c>
      <c r="I1200" s="198" t="s">
        <v>870</v>
      </c>
      <c r="J1200" s="210" t="s">
        <v>111</v>
      </c>
      <c r="K1200" s="210" t="s">
        <v>110</v>
      </c>
      <c r="L1200" s="1074">
        <v>0.25</v>
      </c>
      <c r="M1200" s="1546" t="s">
        <v>3911</v>
      </c>
      <c r="N1200" s="799"/>
      <c r="O1200" s="708"/>
      <c r="P1200" s="708">
        <v>0.7</v>
      </c>
      <c r="Q1200" s="1145">
        <v>0.05</v>
      </c>
      <c r="R1200" s="708"/>
      <c r="S1200" s="215">
        <f t="shared" si="36"/>
        <v>0</v>
      </c>
      <c r="T1200" s="223">
        <f t="shared" si="37"/>
        <v>0</v>
      </c>
      <c r="U1200" s="708" t="s">
        <v>34</v>
      </c>
      <c r="V1200" s="1228"/>
      <c r="W1200" s="1543"/>
    </row>
    <row r="1201" spans="1:23" ht="22.95" customHeight="1" x14ac:dyDescent="0.4">
      <c r="A1201" s="788">
        <v>1200</v>
      </c>
      <c r="B1201" s="210" t="s">
        <v>2616</v>
      </c>
      <c r="C1201" s="648" t="s">
        <v>24</v>
      </c>
      <c r="D1201" s="1169">
        <v>6587</v>
      </c>
      <c r="E1201" s="198" t="s">
        <v>3895</v>
      </c>
      <c r="F1201" s="198" t="s">
        <v>3896</v>
      </c>
      <c r="G1201" s="1542">
        <v>3192</v>
      </c>
      <c r="H1201" s="198" t="s">
        <v>3897</v>
      </c>
      <c r="I1201" s="198" t="s">
        <v>870</v>
      </c>
      <c r="J1201" s="210" t="s">
        <v>111</v>
      </c>
      <c r="K1201" s="210" t="s">
        <v>110</v>
      </c>
      <c r="L1201" s="1074">
        <v>0.25</v>
      </c>
      <c r="M1201" s="1546" t="s">
        <v>3912</v>
      </c>
      <c r="N1201" s="799"/>
      <c r="O1201" s="708"/>
      <c r="P1201" s="708">
        <v>1</v>
      </c>
      <c r="Q1201" s="1145">
        <v>0.05</v>
      </c>
      <c r="R1201" s="708"/>
      <c r="S1201" s="215">
        <f t="shared" si="36"/>
        <v>0</v>
      </c>
      <c r="T1201" s="223">
        <f t="shared" si="37"/>
        <v>0</v>
      </c>
      <c r="U1201" s="708" t="s">
        <v>34</v>
      </c>
      <c r="V1201" s="1228"/>
      <c r="W1201" s="1543"/>
    </row>
    <row r="1202" spans="1:23" ht="22.95" customHeight="1" x14ac:dyDescent="0.4">
      <c r="A1202" s="788">
        <v>1201</v>
      </c>
      <c r="B1202" s="243" t="s">
        <v>2616</v>
      </c>
      <c r="C1202" s="653" t="s">
        <v>24</v>
      </c>
      <c r="D1202" s="1130">
        <v>6118</v>
      </c>
      <c r="E1202" s="236" t="s">
        <v>3913</v>
      </c>
      <c r="F1202" s="236" t="s">
        <v>3914</v>
      </c>
      <c r="G1202" s="795">
        <v>6587</v>
      </c>
      <c r="H1202" s="236" t="s">
        <v>3895</v>
      </c>
      <c r="I1202" s="236" t="s">
        <v>870</v>
      </c>
      <c r="J1202" s="236" t="s">
        <v>30</v>
      </c>
      <c r="K1202" s="236" t="s">
        <v>29</v>
      </c>
      <c r="L1202" s="1054">
        <v>0.6</v>
      </c>
      <c r="M1202" s="748" t="s">
        <v>2620</v>
      </c>
      <c r="N1202" s="749" t="s">
        <v>2621</v>
      </c>
      <c r="O1202" s="1053"/>
      <c r="P1202" s="1053">
        <v>1856910.8756204764</v>
      </c>
      <c r="Q1202" s="1054">
        <v>0.15</v>
      </c>
      <c r="R1202" s="1053"/>
      <c r="S1202" s="644">
        <f t="shared" si="36"/>
        <v>0</v>
      </c>
      <c r="T1202" s="1547">
        <f t="shared" si="37"/>
        <v>0</v>
      </c>
      <c r="U1202" s="855" t="s">
        <v>34</v>
      </c>
      <c r="V1202" s="1055">
        <f>SUM(T1202:T1231)%</f>
        <v>0</v>
      </c>
      <c r="W1202" s="791"/>
    </row>
    <row r="1203" spans="1:23" ht="22.95" customHeight="1" x14ac:dyDescent="0.4">
      <c r="A1203" s="788">
        <v>1202</v>
      </c>
      <c r="B1203" s="210" t="s">
        <v>2616</v>
      </c>
      <c r="C1203" s="648" t="s">
        <v>24</v>
      </c>
      <c r="D1203" s="1259">
        <v>6118</v>
      </c>
      <c r="E1203" s="198" t="s">
        <v>3913</v>
      </c>
      <c r="F1203" s="245" t="s">
        <v>3914</v>
      </c>
      <c r="G1203" s="804">
        <v>6587</v>
      </c>
      <c r="H1203" s="198" t="s">
        <v>3895</v>
      </c>
      <c r="I1203" s="198" t="s">
        <v>870</v>
      </c>
      <c r="J1203" s="198" t="s">
        <v>30</v>
      </c>
      <c r="K1203" s="198" t="s">
        <v>29</v>
      </c>
      <c r="L1203" s="1308">
        <v>0.6</v>
      </c>
      <c r="M1203" s="1060" t="s">
        <v>2622</v>
      </c>
      <c r="N1203" s="1061" t="s">
        <v>2623</v>
      </c>
      <c r="O1203" s="1062"/>
      <c r="P1203" s="1062">
        <v>621419.69473720191</v>
      </c>
      <c r="Q1203" s="1063">
        <v>0.1</v>
      </c>
      <c r="R1203" s="1062"/>
      <c r="S1203" s="673">
        <f t="shared" si="36"/>
        <v>0</v>
      </c>
      <c r="T1203" s="1548">
        <f t="shared" si="37"/>
        <v>0</v>
      </c>
      <c r="U1203" s="215" t="s">
        <v>34</v>
      </c>
      <c r="V1203" s="1174"/>
      <c r="W1203" s="799"/>
    </row>
    <row r="1204" spans="1:23" ht="22.95" customHeight="1" x14ac:dyDescent="0.4">
      <c r="A1204" s="788">
        <v>1203</v>
      </c>
      <c r="B1204" s="210" t="s">
        <v>2616</v>
      </c>
      <c r="C1204" s="648" t="s">
        <v>24</v>
      </c>
      <c r="D1204" s="1259">
        <v>6118</v>
      </c>
      <c r="E1204" s="198" t="s">
        <v>3913</v>
      </c>
      <c r="F1204" s="245" t="s">
        <v>3914</v>
      </c>
      <c r="G1204" s="804">
        <v>6587</v>
      </c>
      <c r="H1204" s="198" t="s">
        <v>3895</v>
      </c>
      <c r="I1204" s="198" t="s">
        <v>870</v>
      </c>
      <c r="J1204" s="198" t="s">
        <v>30</v>
      </c>
      <c r="K1204" s="198" t="s">
        <v>29</v>
      </c>
      <c r="L1204" s="1308">
        <v>0.6</v>
      </c>
      <c r="M1204" s="1060" t="s">
        <v>2624</v>
      </c>
      <c r="N1204" s="1061" t="s">
        <v>2625</v>
      </c>
      <c r="O1204" s="1062"/>
      <c r="P1204" s="1062">
        <v>789737.85000000009</v>
      </c>
      <c r="Q1204" s="1063">
        <v>0.1</v>
      </c>
      <c r="R1204" s="1062"/>
      <c r="S1204" s="673">
        <f t="shared" si="36"/>
        <v>0</v>
      </c>
      <c r="T1204" s="1548">
        <f t="shared" si="37"/>
        <v>0</v>
      </c>
      <c r="U1204" s="215" t="s">
        <v>34</v>
      </c>
      <c r="V1204" s="1174"/>
      <c r="W1204" s="799"/>
    </row>
    <row r="1205" spans="1:23" ht="22.95" customHeight="1" x14ac:dyDescent="0.4">
      <c r="A1205" s="788">
        <v>1204</v>
      </c>
      <c r="B1205" s="210" t="s">
        <v>2616</v>
      </c>
      <c r="C1205" s="648" t="s">
        <v>24</v>
      </c>
      <c r="D1205" s="1259">
        <v>6118</v>
      </c>
      <c r="E1205" s="198" t="s">
        <v>3913</v>
      </c>
      <c r="F1205" s="245" t="s">
        <v>3914</v>
      </c>
      <c r="G1205" s="804">
        <v>6587</v>
      </c>
      <c r="H1205" s="198" t="s">
        <v>3895</v>
      </c>
      <c r="I1205" s="198" t="s">
        <v>870</v>
      </c>
      <c r="J1205" s="198" t="s">
        <v>30</v>
      </c>
      <c r="K1205" s="198" t="s">
        <v>29</v>
      </c>
      <c r="L1205" s="1308">
        <v>0.6</v>
      </c>
      <c r="M1205" s="1060" t="s">
        <v>2626</v>
      </c>
      <c r="N1205" s="1061" t="s">
        <v>2627</v>
      </c>
      <c r="O1205" s="1062"/>
      <c r="P1205" s="1062">
        <v>1406879.4938896229</v>
      </c>
      <c r="Q1205" s="1063">
        <v>0.05</v>
      </c>
      <c r="R1205" s="1062"/>
      <c r="S1205" s="673">
        <f t="shared" si="36"/>
        <v>0</v>
      </c>
      <c r="T1205" s="1548">
        <f t="shared" si="37"/>
        <v>0</v>
      </c>
      <c r="U1205" s="215" t="s">
        <v>34</v>
      </c>
      <c r="V1205" s="1174"/>
      <c r="W1205" s="799"/>
    </row>
    <row r="1206" spans="1:23" ht="22.95" customHeight="1" x14ac:dyDescent="0.4">
      <c r="A1206" s="788">
        <v>1205</v>
      </c>
      <c r="B1206" s="210" t="s">
        <v>2616</v>
      </c>
      <c r="C1206" s="648" t="s">
        <v>24</v>
      </c>
      <c r="D1206" s="1259">
        <v>6118</v>
      </c>
      <c r="E1206" s="198" t="s">
        <v>3913</v>
      </c>
      <c r="F1206" s="245" t="s">
        <v>3914</v>
      </c>
      <c r="G1206" s="804">
        <v>6587</v>
      </c>
      <c r="H1206" s="198" t="s">
        <v>3895</v>
      </c>
      <c r="I1206" s="198" t="s">
        <v>870</v>
      </c>
      <c r="J1206" s="198" t="s">
        <v>30</v>
      </c>
      <c r="K1206" s="198" t="s">
        <v>29</v>
      </c>
      <c r="L1206" s="1308">
        <v>0.6</v>
      </c>
      <c r="M1206" s="1060" t="s">
        <v>2628</v>
      </c>
      <c r="N1206" s="1061" t="s">
        <v>2629</v>
      </c>
      <c r="O1206" s="1062"/>
      <c r="P1206" s="1062">
        <v>48608.249727263406</v>
      </c>
      <c r="Q1206" s="1063">
        <v>0.01</v>
      </c>
      <c r="R1206" s="1062"/>
      <c r="S1206" s="673">
        <f t="shared" si="36"/>
        <v>0</v>
      </c>
      <c r="T1206" s="1548">
        <f t="shared" si="37"/>
        <v>0</v>
      </c>
      <c r="U1206" s="215" t="s">
        <v>34</v>
      </c>
      <c r="V1206" s="1174"/>
      <c r="W1206" s="799"/>
    </row>
    <row r="1207" spans="1:23" ht="22.95" customHeight="1" x14ac:dyDescent="0.4">
      <c r="A1207" s="788">
        <v>1206</v>
      </c>
      <c r="B1207" s="210" t="s">
        <v>2616</v>
      </c>
      <c r="C1207" s="648" t="s">
        <v>24</v>
      </c>
      <c r="D1207" s="1259">
        <v>6118</v>
      </c>
      <c r="E1207" s="198" t="s">
        <v>3913</v>
      </c>
      <c r="F1207" s="245" t="s">
        <v>3914</v>
      </c>
      <c r="G1207" s="804">
        <v>6587</v>
      </c>
      <c r="H1207" s="198" t="s">
        <v>3895</v>
      </c>
      <c r="I1207" s="198" t="s">
        <v>870</v>
      </c>
      <c r="J1207" s="198" t="s">
        <v>30</v>
      </c>
      <c r="K1207" s="198" t="s">
        <v>29</v>
      </c>
      <c r="L1207" s="1308">
        <v>0.6</v>
      </c>
      <c r="M1207" s="1060" t="s">
        <v>2630</v>
      </c>
      <c r="N1207" s="1061" t="s">
        <v>2631</v>
      </c>
      <c r="O1207" s="1062"/>
      <c r="P1207" s="1062">
        <v>48600000</v>
      </c>
      <c r="Q1207" s="1063">
        <v>0.03</v>
      </c>
      <c r="R1207" s="1062"/>
      <c r="S1207" s="673">
        <f t="shared" si="36"/>
        <v>0</v>
      </c>
      <c r="T1207" s="1548">
        <f t="shared" si="37"/>
        <v>0</v>
      </c>
      <c r="U1207" s="215" t="s">
        <v>34</v>
      </c>
      <c r="V1207" s="1174"/>
      <c r="W1207" s="799"/>
    </row>
    <row r="1208" spans="1:23" ht="22.95" customHeight="1" x14ac:dyDescent="0.4">
      <c r="A1208" s="788">
        <v>1207</v>
      </c>
      <c r="B1208" s="210" t="s">
        <v>2616</v>
      </c>
      <c r="C1208" s="648" t="s">
        <v>24</v>
      </c>
      <c r="D1208" s="1259">
        <v>6118</v>
      </c>
      <c r="E1208" s="198" t="s">
        <v>3913</v>
      </c>
      <c r="F1208" s="245" t="s">
        <v>3914</v>
      </c>
      <c r="G1208" s="804">
        <v>6587</v>
      </c>
      <c r="H1208" s="198" t="s">
        <v>3895</v>
      </c>
      <c r="I1208" s="198" t="s">
        <v>870</v>
      </c>
      <c r="J1208" s="198" t="s">
        <v>30</v>
      </c>
      <c r="K1208" s="198" t="s">
        <v>29</v>
      </c>
      <c r="L1208" s="1308">
        <v>0.6</v>
      </c>
      <c r="M1208" s="1060" t="s">
        <v>41</v>
      </c>
      <c r="N1208" s="1061" t="s">
        <v>2632</v>
      </c>
      <c r="O1208" s="1062"/>
      <c r="P1208" s="1062">
        <v>98000</v>
      </c>
      <c r="Q1208" s="1063">
        <v>0.01</v>
      </c>
      <c r="R1208" s="1062"/>
      <c r="S1208" s="673">
        <f t="shared" si="36"/>
        <v>0</v>
      </c>
      <c r="T1208" s="1548">
        <f t="shared" si="37"/>
        <v>0</v>
      </c>
      <c r="U1208" s="215" t="s">
        <v>34</v>
      </c>
      <c r="V1208" s="1174"/>
      <c r="W1208" s="799"/>
    </row>
    <row r="1209" spans="1:23" ht="22.95" customHeight="1" x14ac:dyDescent="0.4">
      <c r="A1209" s="788">
        <v>1208</v>
      </c>
      <c r="B1209" s="210" t="s">
        <v>2616</v>
      </c>
      <c r="C1209" s="648" t="s">
        <v>24</v>
      </c>
      <c r="D1209" s="1259">
        <v>6118</v>
      </c>
      <c r="E1209" s="198" t="s">
        <v>3913</v>
      </c>
      <c r="F1209" s="245" t="s">
        <v>3914</v>
      </c>
      <c r="G1209" s="804">
        <v>6587</v>
      </c>
      <c r="H1209" s="198" t="s">
        <v>3895</v>
      </c>
      <c r="I1209" s="198" t="s">
        <v>870</v>
      </c>
      <c r="J1209" s="198" t="s">
        <v>30</v>
      </c>
      <c r="K1209" s="198" t="s">
        <v>29</v>
      </c>
      <c r="L1209" s="1308">
        <v>0.6</v>
      </c>
      <c r="M1209" s="1060" t="s">
        <v>2633</v>
      </c>
      <c r="N1209" s="1061" t="s">
        <v>2634</v>
      </c>
      <c r="O1209" s="1062"/>
      <c r="P1209" s="1062">
        <v>42860.330649873424</v>
      </c>
      <c r="Q1209" s="1063">
        <v>0.02</v>
      </c>
      <c r="R1209" s="1062"/>
      <c r="S1209" s="673">
        <f t="shared" si="36"/>
        <v>0</v>
      </c>
      <c r="T1209" s="1548">
        <f t="shared" si="37"/>
        <v>0</v>
      </c>
      <c r="U1209" s="215" t="s">
        <v>34</v>
      </c>
      <c r="V1209" s="1174"/>
      <c r="W1209" s="799"/>
    </row>
    <row r="1210" spans="1:23" ht="22.95" customHeight="1" x14ac:dyDescent="0.4">
      <c r="A1210" s="788">
        <v>1209</v>
      </c>
      <c r="B1210" s="210" t="s">
        <v>2616</v>
      </c>
      <c r="C1210" s="648" t="s">
        <v>24</v>
      </c>
      <c r="D1210" s="1259">
        <v>6118</v>
      </c>
      <c r="E1210" s="198" t="s">
        <v>3913</v>
      </c>
      <c r="F1210" s="245" t="s">
        <v>3914</v>
      </c>
      <c r="G1210" s="804">
        <v>6587</v>
      </c>
      <c r="H1210" s="198" t="s">
        <v>3895</v>
      </c>
      <c r="I1210" s="198" t="s">
        <v>870</v>
      </c>
      <c r="J1210" s="198" t="s">
        <v>30</v>
      </c>
      <c r="K1210" s="198" t="s">
        <v>29</v>
      </c>
      <c r="L1210" s="1308">
        <v>0.6</v>
      </c>
      <c r="M1210" s="1060" t="s">
        <v>2635</v>
      </c>
      <c r="N1210" s="1061" t="s">
        <v>2636</v>
      </c>
      <c r="O1210" s="1062"/>
      <c r="P1210" s="1062">
        <v>1822851.8475738494</v>
      </c>
      <c r="Q1210" s="1063">
        <v>0.15</v>
      </c>
      <c r="R1210" s="1062"/>
      <c r="S1210" s="673">
        <f t="shared" si="36"/>
        <v>0</v>
      </c>
      <c r="T1210" s="1548">
        <f t="shared" si="37"/>
        <v>0</v>
      </c>
      <c r="U1210" s="215" t="s">
        <v>34</v>
      </c>
      <c r="V1210" s="1174"/>
      <c r="W1210" s="799"/>
    </row>
    <row r="1211" spans="1:23" ht="22.95" customHeight="1" x14ac:dyDescent="0.4">
      <c r="A1211" s="788">
        <v>1210</v>
      </c>
      <c r="B1211" s="210" t="s">
        <v>2616</v>
      </c>
      <c r="C1211" s="648" t="s">
        <v>24</v>
      </c>
      <c r="D1211" s="1259">
        <v>6118</v>
      </c>
      <c r="E1211" s="198" t="s">
        <v>3913</v>
      </c>
      <c r="F1211" s="245" t="s">
        <v>3914</v>
      </c>
      <c r="G1211" s="804">
        <v>6587</v>
      </c>
      <c r="H1211" s="198" t="s">
        <v>3895</v>
      </c>
      <c r="I1211" s="198" t="s">
        <v>870</v>
      </c>
      <c r="J1211" s="198" t="s">
        <v>30</v>
      </c>
      <c r="K1211" s="198" t="s">
        <v>29</v>
      </c>
      <c r="L1211" s="1308">
        <v>0.6</v>
      </c>
      <c r="M1211" s="1060" t="s">
        <v>2637</v>
      </c>
      <c r="N1211" s="1061" t="s">
        <v>2638</v>
      </c>
      <c r="O1211" s="1062"/>
      <c r="P1211" s="1062">
        <v>632149.86058619968</v>
      </c>
      <c r="Q1211" s="1063">
        <v>0.1</v>
      </c>
      <c r="R1211" s="1062"/>
      <c r="S1211" s="673">
        <f t="shared" si="36"/>
        <v>0</v>
      </c>
      <c r="T1211" s="1548">
        <f t="shared" si="37"/>
        <v>0</v>
      </c>
      <c r="U1211" s="215" t="s">
        <v>34</v>
      </c>
      <c r="V1211" s="1174"/>
      <c r="W1211" s="799"/>
    </row>
    <row r="1212" spans="1:23" ht="22.95" customHeight="1" x14ac:dyDescent="0.4">
      <c r="A1212" s="788">
        <v>1211</v>
      </c>
      <c r="B1212" s="210" t="s">
        <v>2616</v>
      </c>
      <c r="C1212" s="648" t="s">
        <v>24</v>
      </c>
      <c r="D1212" s="1259">
        <v>6118</v>
      </c>
      <c r="E1212" s="198" t="s">
        <v>3913</v>
      </c>
      <c r="F1212" s="245" t="s">
        <v>3914</v>
      </c>
      <c r="G1212" s="804">
        <v>6587</v>
      </c>
      <c r="H1212" s="198" t="s">
        <v>3895</v>
      </c>
      <c r="I1212" s="198" t="s">
        <v>870</v>
      </c>
      <c r="J1212" s="198" t="s">
        <v>30</v>
      </c>
      <c r="K1212" s="198" t="s">
        <v>29</v>
      </c>
      <c r="L1212" s="1308">
        <v>0.6</v>
      </c>
      <c r="M1212" s="1060" t="s">
        <v>2639</v>
      </c>
      <c r="N1212" s="1061" t="s">
        <v>2640</v>
      </c>
      <c r="O1212" s="1062"/>
      <c r="P1212" s="1062">
        <v>1582673.167066941</v>
      </c>
      <c r="Q1212" s="1063">
        <v>0.05</v>
      </c>
      <c r="R1212" s="1062"/>
      <c r="S1212" s="673">
        <f t="shared" si="36"/>
        <v>0</v>
      </c>
      <c r="T1212" s="1548">
        <f t="shared" si="37"/>
        <v>0</v>
      </c>
      <c r="U1212" s="215" t="s">
        <v>34</v>
      </c>
      <c r="V1212" s="1174"/>
      <c r="W1212" s="799"/>
    </row>
    <row r="1213" spans="1:23" ht="22.95" customHeight="1" x14ac:dyDescent="0.4">
      <c r="A1213" s="788">
        <v>1212</v>
      </c>
      <c r="B1213" s="210" t="s">
        <v>2616</v>
      </c>
      <c r="C1213" s="648" t="s">
        <v>24</v>
      </c>
      <c r="D1213" s="1259">
        <v>6118</v>
      </c>
      <c r="E1213" s="198" t="s">
        <v>3913</v>
      </c>
      <c r="F1213" s="245" t="s">
        <v>3914</v>
      </c>
      <c r="G1213" s="804">
        <v>6587</v>
      </c>
      <c r="H1213" s="198" t="s">
        <v>3895</v>
      </c>
      <c r="I1213" s="198" t="s">
        <v>870</v>
      </c>
      <c r="J1213" s="198" t="s">
        <v>30</v>
      </c>
      <c r="K1213" s="198" t="s">
        <v>29</v>
      </c>
      <c r="L1213" s="1308">
        <v>0.6</v>
      </c>
      <c r="M1213" s="1060" t="s">
        <v>2641</v>
      </c>
      <c r="N1213" s="1061" t="s">
        <v>2642</v>
      </c>
      <c r="O1213" s="1062"/>
      <c r="P1213" s="1062">
        <v>52500</v>
      </c>
      <c r="Q1213" s="1063">
        <v>0.01</v>
      </c>
      <c r="R1213" s="1062"/>
      <c r="S1213" s="673">
        <f t="shared" si="36"/>
        <v>0</v>
      </c>
      <c r="T1213" s="1548">
        <f t="shared" si="37"/>
        <v>0</v>
      </c>
      <c r="U1213" s="215" t="s">
        <v>34</v>
      </c>
      <c r="V1213" s="1174"/>
      <c r="W1213" s="799"/>
    </row>
    <row r="1214" spans="1:23" ht="22.95" customHeight="1" x14ac:dyDescent="0.4">
      <c r="A1214" s="788">
        <v>1213</v>
      </c>
      <c r="B1214" s="210" t="s">
        <v>2616</v>
      </c>
      <c r="C1214" s="648" t="s">
        <v>24</v>
      </c>
      <c r="D1214" s="1259">
        <v>6118</v>
      </c>
      <c r="E1214" s="198" t="s">
        <v>3913</v>
      </c>
      <c r="F1214" s="245" t="s">
        <v>3914</v>
      </c>
      <c r="G1214" s="804">
        <v>6587</v>
      </c>
      <c r="H1214" s="198" t="s">
        <v>3895</v>
      </c>
      <c r="I1214" s="198" t="s">
        <v>870</v>
      </c>
      <c r="J1214" s="198" t="s">
        <v>30</v>
      </c>
      <c r="K1214" s="198" t="s">
        <v>29</v>
      </c>
      <c r="L1214" s="1308">
        <v>0.6</v>
      </c>
      <c r="M1214" s="1060" t="s">
        <v>2643</v>
      </c>
      <c r="N1214" s="1061" t="s">
        <v>2644</v>
      </c>
      <c r="O1214" s="1062"/>
      <c r="P1214" s="1062">
        <v>28325616.5089917</v>
      </c>
      <c r="Q1214" s="1063">
        <v>0.03</v>
      </c>
      <c r="R1214" s="1062"/>
      <c r="S1214" s="673">
        <f t="shared" si="36"/>
        <v>0</v>
      </c>
      <c r="T1214" s="1548">
        <f t="shared" si="37"/>
        <v>0</v>
      </c>
      <c r="U1214" s="215" t="s">
        <v>34</v>
      </c>
      <c r="V1214" s="1174"/>
      <c r="W1214" s="799"/>
    </row>
    <row r="1215" spans="1:23" ht="22.95" customHeight="1" x14ac:dyDescent="0.4">
      <c r="A1215" s="788">
        <v>1214</v>
      </c>
      <c r="B1215" s="210" t="s">
        <v>2616</v>
      </c>
      <c r="C1215" s="648" t="s">
        <v>24</v>
      </c>
      <c r="D1215" s="1259">
        <v>6118</v>
      </c>
      <c r="E1215" s="198" t="s">
        <v>3913</v>
      </c>
      <c r="F1215" s="245" t="s">
        <v>3914</v>
      </c>
      <c r="G1215" s="804">
        <v>6587</v>
      </c>
      <c r="H1215" s="198" t="s">
        <v>3895</v>
      </c>
      <c r="I1215" s="198" t="s">
        <v>870</v>
      </c>
      <c r="J1215" s="198" t="s">
        <v>30</v>
      </c>
      <c r="K1215" s="198" t="s">
        <v>29</v>
      </c>
      <c r="L1215" s="1308">
        <v>0.6</v>
      </c>
      <c r="M1215" s="1060" t="s">
        <v>51</v>
      </c>
      <c r="N1215" s="1061" t="s">
        <v>2645</v>
      </c>
      <c r="O1215" s="1062"/>
      <c r="P1215" s="1062">
        <v>350000</v>
      </c>
      <c r="Q1215" s="1063">
        <v>0.01</v>
      </c>
      <c r="R1215" s="1062"/>
      <c r="S1215" s="673">
        <f t="shared" si="36"/>
        <v>0</v>
      </c>
      <c r="T1215" s="1548">
        <f t="shared" si="37"/>
        <v>0</v>
      </c>
      <c r="U1215" s="215" t="s">
        <v>34</v>
      </c>
      <c r="V1215" s="1174"/>
      <c r="W1215" s="799"/>
    </row>
    <row r="1216" spans="1:23" ht="22.95" customHeight="1" x14ac:dyDescent="0.4">
      <c r="A1216" s="788">
        <v>1215</v>
      </c>
      <c r="B1216" s="210" t="s">
        <v>2616</v>
      </c>
      <c r="C1216" s="648" t="s">
        <v>24</v>
      </c>
      <c r="D1216" s="1259">
        <v>6118</v>
      </c>
      <c r="E1216" s="198" t="s">
        <v>3913</v>
      </c>
      <c r="F1216" s="245" t="s">
        <v>3914</v>
      </c>
      <c r="G1216" s="804">
        <v>6587</v>
      </c>
      <c r="H1216" s="198" t="s">
        <v>3895</v>
      </c>
      <c r="I1216" s="198" t="s">
        <v>870</v>
      </c>
      <c r="J1216" s="198" t="s">
        <v>30</v>
      </c>
      <c r="K1216" s="198" t="s">
        <v>29</v>
      </c>
      <c r="L1216" s="1308">
        <v>0.6</v>
      </c>
      <c r="M1216" s="1060" t="s">
        <v>2646</v>
      </c>
      <c r="N1216" s="1061" t="s">
        <v>2647</v>
      </c>
      <c r="O1216" s="1062"/>
      <c r="P1216" s="1062">
        <v>12008.568758934001</v>
      </c>
      <c r="Q1216" s="1063">
        <v>0.01</v>
      </c>
      <c r="R1216" s="1062"/>
      <c r="S1216" s="673">
        <f t="shared" si="36"/>
        <v>0</v>
      </c>
      <c r="T1216" s="1548">
        <f t="shared" si="37"/>
        <v>0</v>
      </c>
      <c r="U1216" s="215" t="s">
        <v>34</v>
      </c>
      <c r="V1216" s="1174"/>
      <c r="W1216" s="799"/>
    </row>
    <row r="1217" spans="1:23" ht="22.95" customHeight="1" x14ac:dyDescent="0.4">
      <c r="A1217" s="788">
        <v>1216</v>
      </c>
      <c r="B1217" s="210" t="s">
        <v>2616</v>
      </c>
      <c r="C1217" s="648" t="s">
        <v>24</v>
      </c>
      <c r="D1217" s="1259">
        <v>6118</v>
      </c>
      <c r="E1217" s="198" t="s">
        <v>3913</v>
      </c>
      <c r="F1217" s="245" t="s">
        <v>3914</v>
      </c>
      <c r="G1217" s="804">
        <v>6587</v>
      </c>
      <c r="H1217" s="198" t="s">
        <v>3895</v>
      </c>
      <c r="I1217" s="198" t="s">
        <v>870</v>
      </c>
      <c r="J1217" s="198" t="s">
        <v>30</v>
      </c>
      <c r="K1217" s="198" t="s">
        <v>29</v>
      </c>
      <c r="L1217" s="1308">
        <v>0.6</v>
      </c>
      <c r="M1217" s="1060" t="s">
        <v>2648</v>
      </c>
      <c r="N1217" s="1061" t="s">
        <v>2649</v>
      </c>
      <c r="O1217" s="799"/>
      <c r="P1217" s="1065">
        <v>0.25021096971668699</v>
      </c>
      <c r="Q1217" s="1063">
        <v>0.1</v>
      </c>
      <c r="R1217" s="1065"/>
      <c r="S1217" s="673">
        <f t="shared" si="36"/>
        <v>0</v>
      </c>
      <c r="T1217" s="1548">
        <f t="shared" si="37"/>
        <v>0</v>
      </c>
      <c r="U1217" s="215" t="s">
        <v>34</v>
      </c>
      <c r="V1217" s="1174"/>
      <c r="W1217" s="799"/>
    </row>
    <row r="1218" spans="1:23" ht="22.95" customHeight="1" x14ac:dyDescent="0.4">
      <c r="A1218" s="788">
        <v>1217</v>
      </c>
      <c r="B1218" s="210" t="s">
        <v>2616</v>
      </c>
      <c r="C1218" s="648" t="s">
        <v>24</v>
      </c>
      <c r="D1218" s="1259">
        <v>6118</v>
      </c>
      <c r="E1218" s="198" t="s">
        <v>3913</v>
      </c>
      <c r="F1218" s="245" t="s">
        <v>3914</v>
      </c>
      <c r="G1218" s="804">
        <v>6587</v>
      </c>
      <c r="H1218" s="198" t="s">
        <v>3895</v>
      </c>
      <c r="I1218" s="245" t="s">
        <v>870</v>
      </c>
      <c r="J1218" s="198" t="s">
        <v>30</v>
      </c>
      <c r="K1218" s="198" t="s">
        <v>29</v>
      </c>
      <c r="L1218" s="1308">
        <v>0.6</v>
      </c>
      <c r="M1218" s="1060" t="s">
        <v>2650</v>
      </c>
      <c r="N1218" s="1061" t="s">
        <v>2651</v>
      </c>
      <c r="O1218" s="799"/>
      <c r="P1218" s="1065">
        <v>0.12657225245499898</v>
      </c>
      <c r="Q1218" s="1063">
        <v>7.0000000000000007E-2</v>
      </c>
      <c r="R1218" s="1065"/>
      <c r="S1218" s="673">
        <f t="shared" ref="S1218:S1281" si="38">ROUND(IF(OR(P1218="",R1218=""),0,IF(AND(P1218=0,R1218=0),1,IF(U1218="+",R1218/P1218,P1218/R1218))),2)</f>
        <v>0</v>
      </c>
      <c r="T1218" s="1548">
        <f t="shared" ref="T1218:T1281" si="39">IF(AND(S1218&gt;=60%,S1218&lt;100%),S1218*((Q1218*L1218)),IF(S1218=100%,((Q1218*L1218)*S1218)*100%,IF(S1218&gt;100%,((L1218*Q1218)*100%)*100%,0)))*100</f>
        <v>0</v>
      </c>
      <c r="U1218" s="215" t="s">
        <v>34</v>
      </c>
      <c r="V1218" s="1174"/>
      <c r="W1218" s="799"/>
    </row>
    <row r="1219" spans="1:23" ht="22.95" customHeight="1" x14ac:dyDescent="0.4">
      <c r="A1219" s="788">
        <v>1218</v>
      </c>
      <c r="B1219" s="210" t="s">
        <v>2616</v>
      </c>
      <c r="C1219" s="648" t="s">
        <v>24</v>
      </c>
      <c r="D1219" s="1169">
        <v>6118</v>
      </c>
      <c r="E1219" s="198" t="s">
        <v>3913</v>
      </c>
      <c r="F1219" s="245" t="s">
        <v>3914</v>
      </c>
      <c r="G1219" s="1542">
        <v>6587</v>
      </c>
      <c r="H1219" s="198" t="s">
        <v>3895</v>
      </c>
      <c r="I1219" s="245" t="s">
        <v>870</v>
      </c>
      <c r="J1219" s="719" t="s">
        <v>58</v>
      </c>
      <c r="K1219" s="719" t="s">
        <v>57</v>
      </c>
      <c r="L1219" s="1067">
        <v>0.15</v>
      </c>
      <c r="M1219" s="756" t="s">
        <v>3898</v>
      </c>
      <c r="N1219" s="840"/>
      <c r="O1219" s="79" t="s">
        <v>3915</v>
      </c>
      <c r="P1219" s="1549">
        <v>5.0000000000000001E-3</v>
      </c>
      <c r="Q1219" s="1550">
        <v>0.1</v>
      </c>
      <c r="R1219" s="1549"/>
      <c r="S1219" s="1492">
        <f t="shared" si="38"/>
        <v>0</v>
      </c>
      <c r="T1219" s="1551">
        <f t="shared" si="39"/>
        <v>0</v>
      </c>
      <c r="U1219" s="204" t="s">
        <v>83</v>
      </c>
      <c r="V1219" s="1067"/>
      <c r="W1219" s="799"/>
    </row>
    <row r="1220" spans="1:23" ht="22.95" customHeight="1" x14ac:dyDescent="0.4">
      <c r="A1220" s="788">
        <v>1219</v>
      </c>
      <c r="B1220" s="210" t="s">
        <v>2616</v>
      </c>
      <c r="C1220" s="648" t="s">
        <v>24</v>
      </c>
      <c r="D1220" s="1169">
        <v>6118</v>
      </c>
      <c r="E1220" s="198" t="s">
        <v>3913</v>
      </c>
      <c r="F1220" s="245" t="s">
        <v>3914</v>
      </c>
      <c r="G1220" s="1542">
        <v>6587</v>
      </c>
      <c r="H1220" s="198" t="s">
        <v>3895</v>
      </c>
      <c r="I1220" s="245" t="s">
        <v>870</v>
      </c>
      <c r="J1220" s="719" t="s">
        <v>58</v>
      </c>
      <c r="K1220" s="719" t="s">
        <v>57</v>
      </c>
      <c r="L1220" s="1067">
        <v>0.15</v>
      </c>
      <c r="M1220" s="756" t="s">
        <v>3899</v>
      </c>
      <c r="N1220" s="840"/>
      <c r="O1220" s="79" t="s">
        <v>3916</v>
      </c>
      <c r="P1220" s="1549">
        <v>0.995</v>
      </c>
      <c r="Q1220" s="1550">
        <v>0.2</v>
      </c>
      <c r="R1220" s="1549"/>
      <c r="S1220" s="1492">
        <f t="shared" si="38"/>
        <v>0</v>
      </c>
      <c r="T1220" s="1072">
        <f t="shared" si="39"/>
        <v>0</v>
      </c>
      <c r="U1220" s="204" t="s">
        <v>34</v>
      </c>
      <c r="V1220" s="1067"/>
      <c r="W1220" s="799"/>
    </row>
    <row r="1221" spans="1:23" ht="22.95" customHeight="1" x14ac:dyDescent="0.4">
      <c r="A1221" s="788">
        <v>1220</v>
      </c>
      <c r="B1221" s="210" t="s">
        <v>2616</v>
      </c>
      <c r="C1221" s="648" t="s">
        <v>24</v>
      </c>
      <c r="D1221" s="1169">
        <v>6118</v>
      </c>
      <c r="E1221" s="198" t="s">
        <v>3913</v>
      </c>
      <c r="F1221" s="245" t="s">
        <v>3914</v>
      </c>
      <c r="G1221" s="1542">
        <v>6587</v>
      </c>
      <c r="H1221" s="198" t="s">
        <v>3895</v>
      </c>
      <c r="I1221" s="245" t="s">
        <v>870</v>
      </c>
      <c r="J1221" s="719" t="s">
        <v>58</v>
      </c>
      <c r="K1221" s="719" t="s">
        <v>57</v>
      </c>
      <c r="L1221" s="1067">
        <v>0.15</v>
      </c>
      <c r="M1221" s="756" t="s">
        <v>3917</v>
      </c>
      <c r="N1221" s="840"/>
      <c r="O1221" s="1009" t="s">
        <v>3918</v>
      </c>
      <c r="P1221" s="1552">
        <v>99.9</v>
      </c>
      <c r="Q1221" s="1550">
        <v>0.2</v>
      </c>
      <c r="R1221" s="1552"/>
      <c r="S1221" s="1492">
        <f t="shared" si="38"/>
        <v>0</v>
      </c>
      <c r="T1221" s="814">
        <f t="shared" si="39"/>
        <v>0</v>
      </c>
      <c r="U1221" s="204" t="s">
        <v>34</v>
      </c>
      <c r="V1221" s="1067"/>
      <c r="W1221" s="799"/>
    </row>
    <row r="1222" spans="1:23" ht="22.95" customHeight="1" x14ac:dyDescent="0.4">
      <c r="A1222" s="788">
        <v>1221</v>
      </c>
      <c r="B1222" s="210" t="s">
        <v>2616</v>
      </c>
      <c r="C1222" s="648" t="s">
        <v>24</v>
      </c>
      <c r="D1222" s="1169">
        <v>6118</v>
      </c>
      <c r="E1222" s="198" t="s">
        <v>3913</v>
      </c>
      <c r="F1222" s="245" t="s">
        <v>3914</v>
      </c>
      <c r="G1222" s="1542">
        <v>6587</v>
      </c>
      <c r="H1222" s="198" t="s">
        <v>3895</v>
      </c>
      <c r="I1222" s="245" t="s">
        <v>870</v>
      </c>
      <c r="J1222" s="719" t="s">
        <v>58</v>
      </c>
      <c r="K1222" s="719" t="s">
        <v>57</v>
      </c>
      <c r="L1222" s="1067">
        <v>0.15</v>
      </c>
      <c r="M1222" s="756" t="s">
        <v>3919</v>
      </c>
      <c r="N1222" s="840"/>
      <c r="O1222" s="1009" t="s">
        <v>3920</v>
      </c>
      <c r="P1222" s="1552">
        <v>99.9</v>
      </c>
      <c r="Q1222" s="1550">
        <v>0.2</v>
      </c>
      <c r="R1222" s="1552"/>
      <c r="S1222" s="1492">
        <f t="shared" si="38"/>
        <v>0</v>
      </c>
      <c r="T1222" s="814">
        <f t="shared" si="39"/>
        <v>0</v>
      </c>
      <c r="U1222" s="204" t="s">
        <v>34</v>
      </c>
      <c r="V1222" s="1067"/>
      <c r="W1222" s="799"/>
    </row>
    <row r="1223" spans="1:23" ht="22.95" customHeight="1" x14ac:dyDescent="0.4">
      <c r="A1223" s="788">
        <v>1222</v>
      </c>
      <c r="B1223" s="210" t="s">
        <v>2616</v>
      </c>
      <c r="C1223" s="648" t="s">
        <v>24</v>
      </c>
      <c r="D1223" s="1169">
        <v>6118</v>
      </c>
      <c r="E1223" s="198" t="s">
        <v>3913</v>
      </c>
      <c r="F1223" s="245" t="s">
        <v>3914</v>
      </c>
      <c r="G1223" s="1542">
        <v>6587</v>
      </c>
      <c r="H1223" s="198" t="s">
        <v>3895</v>
      </c>
      <c r="I1223" s="245" t="s">
        <v>870</v>
      </c>
      <c r="J1223" s="719" t="s">
        <v>58</v>
      </c>
      <c r="K1223" s="719" t="s">
        <v>57</v>
      </c>
      <c r="L1223" s="1067">
        <v>0.15</v>
      </c>
      <c r="M1223" s="821" t="s">
        <v>871</v>
      </c>
      <c r="N1223" s="840"/>
      <c r="O1223" s="959" t="s">
        <v>3921</v>
      </c>
      <c r="P1223" s="1552">
        <v>4</v>
      </c>
      <c r="Q1223" s="1550">
        <v>0.1</v>
      </c>
      <c r="R1223" s="1552"/>
      <c r="S1223" s="1492">
        <f t="shared" si="38"/>
        <v>0</v>
      </c>
      <c r="T1223" s="1551">
        <f t="shared" si="39"/>
        <v>0</v>
      </c>
      <c r="U1223" s="204" t="s">
        <v>34</v>
      </c>
      <c r="V1223" s="1067"/>
      <c r="W1223" s="799"/>
    </row>
    <row r="1224" spans="1:23" ht="22.95" customHeight="1" x14ac:dyDescent="0.4">
      <c r="A1224" s="788">
        <v>1223</v>
      </c>
      <c r="B1224" s="210" t="s">
        <v>2616</v>
      </c>
      <c r="C1224" s="648" t="s">
        <v>24</v>
      </c>
      <c r="D1224" s="1169">
        <v>6118</v>
      </c>
      <c r="E1224" s="198" t="s">
        <v>3913</v>
      </c>
      <c r="F1224" s="245" t="s">
        <v>3914</v>
      </c>
      <c r="G1224" s="1542">
        <v>6587</v>
      </c>
      <c r="H1224" s="198" t="s">
        <v>3895</v>
      </c>
      <c r="I1224" s="245" t="s">
        <v>870</v>
      </c>
      <c r="J1224" s="719" t="s">
        <v>58</v>
      </c>
      <c r="K1224" s="719" t="s">
        <v>57</v>
      </c>
      <c r="L1224" s="1067">
        <v>0.15</v>
      </c>
      <c r="M1224" s="821" t="s">
        <v>873</v>
      </c>
      <c r="N1224" s="840"/>
      <c r="O1224" s="959"/>
      <c r="P1224" s="1552">
        <v>200</v>
      </c>
      <c r="Q1224" s="1550">
        <v>0.1</v>
      </c>
      <c r="R1224" s="1552"/>
      <c r="S1224" s="1492">
        <f t="shared" si="38"/>
        <v>0</v>
      </c>
      <c r="T1224" s="1551">
        <f t="shared" si="39"/>
        <v>0</v>
      </c>
      <c r="U1224" s="204" t="s">
        <v>34</v>
      </c>
      <c r="V1224" s="1067"/>
      <c r="W1224" s="799"/>
    </row>
    <row r="1225" spans="1:23" ht="22.95" customHeight="1" x14ac:dyDescent="0.4">
      <c r="A1225" s="788">
        <v>1224</v>
      </c>
      <c r="B1225" s="210" t="s">
        <v>2616</v>
      </c>
      <c r="C1225" s="648" t="s">
        <v>24</v>
      </c>
      <c r="D1225" s="1169">
        <v>6118</v>
      </c>
      <c r="E1225" s="198" t="s">
        <v>3913</v>
      </c>
      <c r="F1225" s="245" t="s">
        <v>3914</v>
      </c>
      <c r="G1225" s="1542">
        <v>6587</v>
      </c>
      <c r="H1225" s="198" t="s">
        <v>3895</v>
      </c>
      <c r="I1225" s="245" t="s">
        <v>870</v>
      </c>
      <c r="J1225" s="719" t="s">
        <v>58</v>
      </c>
      <c r="K1225" s="719" t="s">
        <v>57</v>
      </c>
      <c r="L1225" s="1067">
        <v>0.15</v>
      </c>
      <c r="M1225" s="1479" t="s">
        <v>3922</v>
      </c>
      <c r="N1225" s="840"/>
      <c r="O1225" s="959" t="s">
        <v>3923</v>
      </c>
      <c r="P1225" s="1553">
        <v>0.9</v>
      </c>
      <c r="Q1225" s="1550">
        <v>0.1</v>
      </c>
      <c r="R1225" s="1553"/>
      <c r="S1225" s="1492">
        <f t="shared" si="38"/>
        <v>0</v>
      </c>
      <c r="T1225" s="1551">
        <f t="shared" si="39"/>
        <v>0</v>
      </c>
      <c r="U1225" s="204" t="s">
        <v>34</v>
      </c>
      <c r="V1225" s="1067"/>
      <c r="W1225" s="799"/>
    </row>
    <row r="1226" spans="1:23" ht="22.95" customHeight="1" x14ac:dyDescent="0.4">
      <c r="A1226" s="788">
        <v>1225</v>
      </c>
      <c r="B1226" s="210" t="s">
        <v>2616</v>
      </c>
      <c r="C1226" s="648" t="s">
        <v>24</v>
      </c>
      <c r="D1226" s="1169">
        <v>6118</v>
      </c>
      <c r="E1226" s="198" t="s">
        <v>3913</v>
      </c>
      <c r="F1226" s="245" t="s">
        <v>3914</v>
      </c>
      <c r="G1226" s="1542">
        <v>6587</v>
      </c>
      <c r="H1226" s="198" t="s">
        <v>3895</v>
      </c>
      <c r="I1226" s="245" t="s">
        <v>870</v>
      </c>
      <c r="J1226" s="198" t="s">
        <v>111</v>
      </c>
      <c r="K1226" s="198" t="s">
        <v>110</v>
      </c>
      <c r="L1226" s="1174">
        <v>0.25</v>
      </c>
      <c r="M1226" s="766" t="s">
        <v>3924</v>
      </c>
      <c r="N1226" s="799"/>
      <c r="O1226" s="1554" t="s">
        <v>3925</v>
      </c>
      <c r="P1226" s="1555">
        <v>1</v>
      </c>
      <c r="Q1226" s="1556">
        <v>0.2</v>
      </c>
      <c r="R1226" s="1555"/>
      <c r="S1226" s="803">
        <f t="shared" si="38"/>
        <v>0</v>
      </c>
      <c r="T1226" s="223">
        <f t="shared" si="39"/>
        <v>0</v>
      </c>
      <c r="U1226" s="215" t="s">
        <v>34</v>
      </c>
      <c r="V1226" s="1174"/>
      <c r="W1226" s="799"/>
    </row>
    <row r="1227" spans="1:23" ht="22.95" customHeight="1" x14ac:dyDescent="0.4">
      <c r="A1227" s="788">
        <v>1226</v>
      </c>
      <c r="B1227" s="210" t="s">
        <v>2616</v>
      </c>
      <c r="C1227" s="648" t="s">
        <v>24</v>
      </c>
      <c r="D1227" s="1169">
        <v>6118</v>
      </c>
      <c r="E1227" s="198" t="s">
        <v>3913</v>
      </c>
      <c r="F1227" s="245" t="s">
        <v>3914</v>
      </c>
      <c r="G1227" s="1542">
        <v>6587</v>
      </c>
      <c r="H1227" s="198" t="s">
        <v>3895</v>
      </c>
      <c r="I1227" s="198" t="s">
        <v>870</v>
      </c>
      <c r="J1227" s="198" t="s">
        <v>111</v>
      </c>
      <c r="K1227" s="198" t="s">
        <v>110</v>
      </c>
      <c r="L1227" s="1174">
        <v>0.25</v>
      </c>
      <c r="M1227" s="766" t="s">
        <v>3926</v>
      </c>
      <c r="N1227" s="799"/>
      <c r="O1227" s="799"/>
      <c r="P1227" s="1555">
        <v>1</v>
      </c>
      <c r="Q1227" s="1556">
        <v>0.1</v>
      </c>
      <c r="R1227" s="1555"/>
      <c r="S1227" s="803">
        <f t="shared" si="38"/>
        <v>0</v>
      </c>
      <c r="T1227" s="223">
        <f t="shared" si="39"/>
        <v>0</v>
      </c>
      <c r="U1227" s="215" t="s">
        <v>34</v>
      </c>
      <c r="V1227" s="1174"/>
      <c r="W1227" s="799"/>
    </row>
    <row r="1228" spans="1:23" ht="22.95" customHeight="1" x14ac:dyDescent="0.4">
      <c r="A1228" s="788">
        <v>1227</v>
      </c>
      <c r="B1228" s="210" t="s">
        <v>2616</v>
      </c>
      <c r="C1228" s="648" t="s">
        <v>24</v>
      </c>
      <c r="D1228" s="1169">
        <v>6118</v>
      </c>
      <c r="E1228" s="198" t="s">
        <v>3913</v>
      </c>
      <c r="F1228" s="245" t="s">
        <v>3914</v>
      </c>
      <c r="G1228" s="1542">
        <v>6587</v>
      </c>
      <c r="H1228" s="198" t="s">
        <v>3895</v>
      </c>
      <c r="I1228" s="198" t="s">
        <v>870</v>
      </c>
      <c r="J1228" s="198" t="s">
        <v>111</v>
      </c>
      <c r="K1228" s="198" t="s">
        <v>110</v>
      </c>
      <c r="L1228" s="1174">
        <v>0.25</v>
      </c>
      <c r="M1228" s="766" t="s">
        <v>3927</v>
      </c>
      <c r="N1228" s="799"/>
      <c r="O1228" s="799"/>
      <c r="P1228" s="1555">
        <v>1</v>
      </c>
      <c r="Q1228" s="1556">
        <v>0.1</v>
      </c>
      <c r="R1228" s="1555"/>
      <c r="S1228" s="803">
        <f t="shared" si="38"/>
        <v>0</v>
      </c>
      <c r="T1228" s="223">
        <f t="shared" si="39"/>
        <v>0</v>
      </c>
      <c r="U1228" s="215" t="s">
        <v>34</v>
      </c>
      <c r="V1228" s="1174"/>
      <c r="W1228" s="799"/>
    </row>
    <row r="1229" spans="1:23" ht="22.95" customHeight="1" x14ac:dyDescent="0.4">
      <c r="A1229" s="788">
        <v>1228</v>
      </c>
      <c r="B1229" s="210" t="s">
        <v>2616</v>
      </c>
      <c r="C1229" s="648" t="s">
        <v>24</v>
      </c>
      <c r="D1229" s="1169">
        <v>6118</v>
      </c>
      <c r="E1229" s="198" t="s">
        <v>3913</v>
      </c>
      <c r="F1229" s="245" t="s">
        <v>3914</v>
      </c>
      <c r="G1229" s="1542">
        <v>6587</v>
      </c>
      <c r="H1229" s="198" t="s">
        <v>3895</v>
      </c>
      <c r="I1229" s="198" t="s">
        <v>870</v>
      </c>
      <c r="J1229" s="198" t="s">
        <v>111</v>
      </c>
      <c r="K1229" s="198" t="s">
        <v>110</v>
      </c>
      <c r="L1229" s="1174">
        <v>0.25</v>
      </c>
      <c r="M1229" s="1557" t="s">
        <v>3928</v>
      </c>
      <c r="N1229" s="799"/>
      <c r="O1229" s="799"/>
      <c r="P1229" s="1555">
        <v>1</v>
      </c>
      <c r="Q1229" s="1556">
        <v>0.15</v>
      </c>
      <c r="R1229" s="1555"/>
      <c r="S1229" s="803">
        <f t="shared" si="38"/>
        <v>0</v>
      </c>
      <c r="T1229" s="223">
        <f t="shared" si="39"/>
        <v>0</v>
      </c>
      <c r="U1229" s="215" t="s">
        <v>34</v>
      </c>
      <c r="V1229" s="1174"/>
      <c r="W1229" s="799"/>
    </row>
    <row r="1230" spans="1:23" ht="22.95" customHeight="1" x14ac:dyDescent="0.4">
      <c r="A1230" s="788">
        <v>1229</v>
      </c>
      <c r="B1230" s="210" t="s">
        <v>2616</v>
      </c>
      <c r="C1230" s="648" t="s">
        <v>24</v>
      </c>
      <c r="D1230" s="1169">
        <v>6118</v>
      </c>
      <c r="E1230" s="198" t="s">
        <v>3913</v>
      </c>
      <c r="F1230" s="245" t="s">
        <v>3914</v>
      </c>
      <c r="G1230" s="1542">
        <v>6587</v>
      </c>
      <c r="H1230" s="198" t="s">
        <v>3895</v>
      </c>
      <c r="I1230" s="198" t="s">
        <v>870</v>
      </c>
      <c r="J1230" s="198" t="s">
        <v>111</v>
      </c>
      <c r="K1230" s="198" t="s">
        <v>110</v>
      </c>
      <c r="L1230" s="1174">
        <v>0.25</v>
      </c>
      <c r="M1230" s="1557" t="s">
        <v>3929</v>
      </c>
      <c r="N1230" s="799"/>
      <c r="O1230" s="1554" t="s">
        <v>3930</v>
      </c>
      <c r="P1230" s="1558">
        <v>0.7</v>
      </c>
      <c r="Q1230" s="1556">
        <v>0.2</v>
      </c>
      <c r="R1230" s="1558"/>
      <c r="S1230" s="803">
        <f t="shared" si="38"/>
        <v>0</v>
      </c>
      <c r="T1230" s="223">
        <f t="shared" si="39"/>
        <v>0</v>
      </c>
      <c r="U1230" s="215" t="s">
        <v>34</v>
      </c>
      <c r="V1230" s="1174"/>
      <c r="W1230" s="799"/>
    </row>
    <row r="1231" spans="1:23" ht="22.95" customHeight="1" x14ac:dyDescent="0.4">
      <c r="A1231" s="788">
        <v>1230</v>
      </c>
      <c r="B1231" s="210" t="s">
        <v>2616</v>
      </c>
      <c r="C1231" s="648" t="s">
        <v>24</v>
      </c>
      <c r="D1231" s="1169">
        <v>6118</v>
      </c>
      <c r="E1231" s="198" t="s">
        <v>3913</v>
      </c>
      <c r="F1231" s="245" t="s">
        <v>3914</v>
      </c>
      <c r="G1231" s="1542">
        <v>6587</v>
      </c>
      <c r="H1231" s="198" t="s">
        <v>3895</v>
      </c>
      <c r="I1231" s="198" t="s">
        <v>870</v>
      </c>
      <c r="J1231" s="198" t="s">
        <v>111</v>
      </c>
      <c r="K1231" s="198" t="s">
        <v>110</v>
      </c>
      <c r="L1231" s="1174">
        <v>0.25</v>
      </c>
      <c r="M1231" s="1559" t="s">
        <v>3931</v>
      </c>
      <c r="N1231" s="799"/>
      <c r="O1231" s="1554" t="s">
        <v>3932</v>
      </c>
      <c r="P1231" s="1560">
        <v>1</v>
      </c>
      <c r="Q1231" s="1561">
        <v>0.25</v>
      </c>
      <c r="R1231" s="1560"/>
      <c r="S1231" s="215">
        <f t="shared" si="38"/>
        <v>0</v>
      </c>
      <c r="T1231" s="223">
        <f t="shared" si="39"/>
        <v>0</v>
      </c>
      <c r="U1231" s="215" t="s">
        <v>34</v>
      </c>
      <c r="V1231" s="1174"/>
      <c r="W1231" s="799"/>
    </row>
    <row r="1232" spans="1:23" ht="22.95" customHeight="1" x14ac:dyDescent="0.4">
      <c r="A1232" s="788">
        <v>1231</v>
      </c>
      <c r="B1232" s="243" t="s">
        <v>2616</v>
      </c>
      <c r="C1232" s="243" t="s">
        <v>24</v>
      </c>
      <c r="D1232" s="1164">
        <v>5146</v>
      </c>
      <c r="E1232" s="236" t="s">
        <v>3933</v>
      </c>
      <c r="F1232" s="236" t="s">
        <v>3934</v>
      </c>
      <c r="G1232" s="1540">
        <v>6118</v>
      </c>
      <c r="H1232" s="236" t="s">
        <v>3913</v>
      </c>
      <c r="I1232" s="236" t="s">
        <v>870</v>
      </c>
      <c r="J1232" s="236" t="s">
        <v>58</v>
      </c>
      <c r="K1232" s="236" t="s">
        <v>57</v>
      </c>
      <c r="L1232" s="1052">
        <v>0.4</v>
      </c>
      <c r="M1232" s="236" t="s">
        <v>871</v>
      </c>
      <c r="N1232" s="855"/>
      <c r="O1232" s="1562"/>
      <c r="P1232" s="1562">
        <v>4</v>
      </c>
      <c r="Q1232" s="1563">
        <v>0.15</v>
      </c>
      <c r="R1232" s="1562"/>
      <c r="S1232" s="855">
        <f t="shared" si="38"/>
        <v>0</v>
      </c>
      <c r="T1232" s="1564">
        <f t="shared" si="39"/>
        <v>0</v>
      </c>
      <c r="U1232" s="855" t="s">
        <v>34</v>
      </c>
      <c r="V1232" s="1055">
        <f>SUM(T1232:T1237)%</f>
        <v>0</v>
      </c>
      <c r="W1232" s="791"/>
    </row>
    <row r="1233" spans="1:23" ht="22.95" customHeight="1" x14ac:dyDescent="0.4">
      <c r="A1233" s="788">
        <v>1232</v>
      </c>
      <c r="B1233" s="210" t="s">
        <v>2616</v>
      </c>
      <c r="C1233" s="648" t="s">
        <v>24</v>
      </c>
      <c r="D1233" s="1169">
        <v>5146</v>
      </c>
      <c r="E1233" s="198" t="s">
        <v>3933</v>
      </c>
      <c r="F1233" s="198" t="s">
        <v>3934</v>
      </c>
      <c r="G1233" s="1542">
        <v>6118</v>
      </c>
      <c r="H1233" s="198" t="s">
        <v>3913</v>
      </c>
      <c r="I1233" s="245" t="s">
        <v>870</v>
      </c>
      <c r="J1233" s="719" t="s">
        <v>58</v>
      </c>
      <c r="K1233" s="719" t="s">
        <v>57</v>
      </c>
      <c r="L1233" s="1067">
        <v>0.4</v>
      </c>
      <c r="M1233" s="1565" t="s">
        <v>875</v>
      </c>
      <c r="N1233" s="204"/>
      <c r="O1233" s="1566"/>
      <c r="P1233" s="1566">
        <v>0</v>
      </c>
      <c r="Q1233" s="1567">
        <v>0.15</v>
      </c>
      <c r="R1233" s="1566"/>
      <c r="S1233" s="204">
        <f t="shared" si="38"/>
        <v>0</v>
      </c>
      <c r="T1233" s="1551">
        <f t="shared" si="39"/>
        <v>0</v>
      </c>
      <c r="U1233" s="204" t="s">
        <v>83</v>
      </c>
      <c r="V1233" s="1067"/>
      <c r="W1233" s="799"/>
    </row>
    <row r="1234" spans="1:23" ht="22.95" customHeight="1" x14ac:dyDescent="0.4">
      <c r="A1234" s="788">
        <v>1233</v>
      </c>
      <c r="B1234" s="210" t="s">
        <v>2616</v>
      </c>
      <c r="C1234" s="648" t="s">
        <v>24</v>
      </c>
      <c r="D1234" s="1169">
        <v>5146</v>
      </c>
      <c r="E1234" s="198" t="s">
        <v>3933</v>
      </c>
      <c r="F1234" s="198" t="s">
        <v>3934</v>
      </c>
      <c r="G1234" s="1542">
        <v>6118</v>
      </c>
      <c r="H1234" s="198" t="s">
        <v>3913</v>
      </c>
      <c r="I1234" s="245" t="s">
        <v>870</v>
      </c>
      <c r="J1234" s="719" t="s">
        <v>58</v>
      </c>
      <c r="K1234" s="719" t="s">
        <v>57</v>
      </c>
      <c r="L1234" s="1067">
        <v>0.4</v>
      </c>
      <c r="M1234" s="1565" t="s">
        <v>3935</v>
      </c>
      <c r="N1234" s="204"/>
      <c r="O1234" s="1568"/>
      <c r="P1234" s="1568">
        <v>0.98</v>
      </c>
      <c r="Q1234" s="1567">
        <v>0.4</v>
      </c>
      <c r="R1234" s="1568"/>
      <c r="S1234" s="204">
        <f t="shared" si="38"/>
        <v>0</v>
      </c>
      <c r="T1234" s="960">
        <f t="shared" si="39"/>
        <v>0</v>
      </c>
      <c r="U1234" s="204" t="s">
        <v>34</v>
      </c>
      <c r="V1234" s="1067"/>
      <c r="W1234" s="799"/>
    </row>
    <row r="1235" spans="1:23" ht="22.95" customHeight="1" x14ac:dyDescent="0.4">
      <c r="A1235" s="788">
        <v>1234</v>
      </c>
      <c r="B1235" s="210" t="s">
        <v>2616</v>
      </c>
      <c r="C1235" s="648" t="s">
        <v>24</v>
      </c>
      <c r="D1235" s="1169">
        <v>5146</v>
      </c>
      <c r="E1235" s="198" t="s">
        <v>3933</v>
      </c>
      <c r="F1235" s="198" t="s">
        <v>3934</v>
      </c>
      <c r="G1235" s="1542">
        <v>6118</v>
      </c>
      <c r="H1235" s="198" t="s">
        <v>3913</v>
      </c>
      <c r="I1235" s="245" t="s">
        <v>870</v>
      </c>
      <c r="J1235" s="719" t="s">
        <v>58</v>
      </c>
      <c r="K1235" s="719" t="s">
        <v>57</v>
      </c>
      <c r="L1235" s="1067">
        <v>0.4</v>
      </c>
      <c r="M1235" s="1565" t="s">
        <v>1085</v>
      </c>
      <c r="N1235" s="204"/>
      <c r="O1235" s="1552"/>
      <c r="P1235" s="1552">
        <v>8</v>
      </c>
      <c r="Q1235" s="1567">
        <v>0.3</v>
      </c>
      <c r="R1235" s="1552"/>
      <c r="S1235" s="204">
        <f t="shared" si="38"/>
        <v>0</v>
      </c>
      <c r="T1235" s="1551">
        <f t="shared" si="39"/>
        <v>0</v>
      </c>
      <c r="U1235" s="204" t="s">
        <v>83</v>
      </c>
      <c r="V1235" s="1067"/>
      <c r="W1235" s="799"/>
    </row>
    <row r="1236" spans="1:23" ht="22.95" customHeight="1" x14ac:dyDescent="0.4">
      <c r="A1236" s="788">
        <v>1235</v>
      </c>
      <c r="B1236" s="210" t="s">
        <v>2616</v>
      </c>
      <c r="C1236" s="648" t="s">
        <v>24</v>
      </c>
      <c r="D1236" s="1169">
        <v>5146</v>
      </c>
      <c r="E1236" s="198" t="s">
        <v>3933</v>
      </c>
      <c r="F1236" s="198" t="s">
        <v>3934</v>
      </c>
      <c r="G1236" s="1542">
        <v>6118</v>
      </c>
      <c r="H1236" s="198" t="s">
        <v>3913</v>
      </c>
      <c r="I1236" s="198" t="s">
        <v>870</v>
      </c>
      <c r="J1236" s="198" t="s">
        <v>111</v>
      </c>
      <c r="K1236" s="198" t="s">
        <v>110</v>
      </c>
      <c r="L1236" s="1174">
        <v>0.6</v>
      </c>
      <c r="M1236" s="798" t="s">
        <v>3936</v>
      </c>
      <c r="N1236" s="651"/>
      <c r="O1236" s="1560" t="s">
        <v>3937</v>
      </c>
      <c r="P1236" s="1560">
        <v>0.9</v>
      </c>
      <c r="Q1236" s="1561">
        <v>0.7</v>
      </c>
      <c r="R1236" s="1560"/>
      <c r="S1236" s="215">
        <f t="shared" si="38"/>
        <v>0</v>
      </c>
      <c r="T1236" s="1569">
        <f t="shared" si="39"/>
        <v>0</v>
      </c>
      <c r="U1236" s="215" t="s">
        <v>34</v>
      </c>
      <c r="V1236" s="1174"/>
      <c r="W1236" s="799"/>
    </row>
    <row r="1237" spans="1:23" ht="22.95" customHeight="1" x14ac:dyDescent="0.4">
      <c r="A1237" s="788">
        <v>1236</v>
      </c>
      <c r="B1237" s="210" t="s">
        <v>2616</v>
      </c>
      <c r="C1237" s="648" t="s">
        <v>24</v>
      </c>
      <c r="D1237" s="1169">
        <v>5146</v>
      </c>
      <c r="E1237" s="198" t="s">
        <v>3933</v>
      </c>
      <c r="F1237" s="198" t="s">
        <v>3934</v>
      </c>
      <c r="G1237" s="1542">
        <v>6118</v>
      </c>
      <c r="H1237" s="198" t="s">
        <v>3913</v>
      </c>
      <c r="I1237" s="198" t="s">
        <v>870</v>
      </c>
      <c r="J1237" s="198" t="s">
        <v>111</v>
      </c>
      <c r="K1237" s="198" t="s">
        <v>110</v>
      </c>
      <c r="L1237" s="1174">
        <v>0.6</v>
      </c>
      <c r="M1237" s="798" t="s">
        <v>3938</v>
      </c>
      <c r="N1237" s="215"/>
      <c r="O1237" s="1570" t="s">
        <v>3939</v>
      </c>
      <c r="P1237" s="1570">
        <v>100</v>
      </c>
      <c r="Q1237" s="1561">
        <v>0.3</v>
      </c>
      <c r="R1237" s="1570"/>
      <c r="S1237" s="215">
        <f t="shared" si="38"/>
        <v>0</v>
      </c>
      <c r="T1237" s="1569">
        <f t="shared" si="39"/>
        <v>0</v>
      </c>
      <c r="U1237" s="215" t="s">
        <v>34</v>
      </c>
      <c r="V1237" s="1174"/>
      <c r="W1237" s="799"/>
    </row>
    <row r="1238" spans="1:23" ht="22.95" customHeight="1" x14ac:dyDescent="0.4">
      <c r="A1238" s="788">
        <v>1237</v>
      </c>
      <c r="B1238" s="243" t="s">
        <v>2616</v>
      </c>
      <c r="C1238" s="243" t="s">
        <v>24</v>
      </c>
      <c r="D1238" s="1334">
        <v>6198</v>
      </c>
      <c r="E1238" s="1571" t="s">
        <v>3940</v>
      </c>
      <c r="F1238" s="1571" t="s">
        <v>3941</v>
      </c>
      <c r="G1238" s="1572">
        <v>6118</v>
      </c>
      <c r="H1238" s="187" t="s">
        <v>3913</v>
      </c>
      <c r="I1238" s="187" t="s">
        <v>870</v>
      </c>
      <c r="J1238" s="187" t="s">
        <v>58</v>
      </c>
      <c r="K1238" s="187" t="s">
        <v>57</v>
      </c>
      <c r="L1238" s="1054">
        <v>0.4</v>
      </c>
      <c r="M1238" s="187" t="s">
        <v>3898</v>
      </c>
      <c r="N1238" s="855"/>
      <c r="O1238" s="855" t="s">
        <v>3915</v>
      </c>
      <c r="P1238" s="1573">
        <v>5.0000000000000001E-3</v>
      </c>
      <c r="Q1238" s="1574">
        <v>0.4</v>
      </c>
      <c r="R1238" s="1573"/>
      <c r="S1238" s="966">
        <f t="shared" si="38"/>
        <v>0</v>
      </c>
      <c r="T1238" s="1564">
        <f t="shared" si="39"/>
        <v>0</v>
      </c>
      <c r="U1238" s="855" t="s">
        <v>83</v>
      </c>
      <c r="V1238" s="1055">
        <f>SUM(T1238:T1244)%</f>
        <v>0</v>
      </c>
      <c r="W1238" s="1016" t="s">
        <v>3942</v>
      </c>
    </row>
    <row r="1239" spans="1:23" ht="22.95" customHeight="1" x14ac:dyDescent="0.4">
      <c r="A1239" s="788">
        <v>1238</v>
      </c>
      <c r="B1239" s="210" t="s">
        <v>2616</v>
      </c>
      <c r="C1239" s="648" t="s">
        <v>24</v>
      </c>
      <c r="D1239" s="1336">
        <v>6198</v>
      </c>
      <c r="E1239" s="199" t="s">
        <v>3940</v>
      </c>
      <c r="F1239" s="199" t="s">
        <v>3941</v>
      </c>
      <c r="G1239" s="1575">
        <v>6118</v>
      </c>
      <c r="H1239" s="199" t="s">
        <v>3913</v>
      </c>
      <c r="I1239" s="246" t="s">
        <v>870</v>
      </c>
      <c r="J1239" s="692" t="s">
        <v>58</v>
      </c>
      <c r="K1239" s="692" t="s">
        <v>57</v>
      </c>
      <c r="L1239" s="1201">
        <v>0.4</v>
      </c>
      <c r="M1239" s="1565" t="s">
        <v>3899</v>
      </c>
      <c r="N1239" s="204"/>
      <c r="O1239" s="204" t="s">
        <v>3916</v>
      </c>
      <c r="P1239" s="1576">
        <v>0.995</v>
      </c>
      <c r="Q1239" s="1550">
        <v>0.4</v>
      </c>
      <c r="R1239" s="1576"/>
      <c r="S1239" s="1492">
        <f t="shared" si="38"/>
        <v>0</v>
      </c>
      <c r="T1239" s="1072">
        <f t="shared" si="39"/>
        <v>0</v>
      </c>
      <c r="U1239" s="204" t="s">
        <v>34</v>
      </c>
      <c r="V1239" s="1067"/>
      <c r="W1239" s="799"/>
    </row>
    <row r="1240" spans="1:23" ht="22.95" customHeight="1" x14ac:dyDescent="0.4">
      <c r="A1240" s="788">
        <v>1239</v>
      </c>
      <c r="B1240" s="210" t="s">
        <v>2616</v>
      </c>
      <c r="C1240" s="648" t="s">
        <v>24</v>
      </c>
      <c r="D1240" s="1336">
        <v>6198</v>
      </c>
      <c r="E1240" s="199" t="s">
        <v>3940</v>
      </c>
      <c r="F1240" s="199" t="s">
        <v>3941</v>
      </c>
      <c r="G1240" s="1575">
        <v>6118</v>
      </c>
      <c r="H1240" s="199" t="s">
        <v>3913</v>
      </c>
      <c r="I1240" s="246" t="s">
        <v>870</v>
      </c>
      <c r="J1240" s="692" t="s">
        <v>58</v>
      </c>
      <c r="K1240" s="692" t="s">
        <v>57</v>
      </c>
      <c r="L1240" s="1201">
        <v>0.4</v>
      </c>
      <c r="M1240" s="1565" t="s">
        <v>3943</v>
      </c>
      <c r="N1240" s="204"/>
      <c r="O1240" s="204"/>
      <c r="P1240" s="1577">
        <v>1</v>
      </c>
      <c r="Q1240" s="1550">
        <v>0.2</v>
      </c>
      <c r="R1240" s="1577"/>
      <c r="S1240" s="1492">
        <f t="shared" si="38"/>
        <v>0</v>
      </c>
      <c r="T1240" s="1072">
        <f t="shared" si="39"/>
        <v>0</v>
      </c>
      <c r="U1240" s="204" t="s">
        <v>34</v>
      </c>
      <c r="V1240" s="1067"/>
      <c r="W1240" s="799"/>
    </row>
    <row r="1241" spans="1:23" ht="22.95" customHeight="1" x14ac:dyDescent="0.4">
      <c r="A1241" s="788">
        <v>1240</v>
      </c>
      <c r="B1241" s="210" t="s">
        <v>2616</v>
      </c>
      <c r="C1241" s="648" t="s">
        <v>24</v>
      </c>
      <c r="D1241" s="1336">
        <v>6198</v>
      </c>
      <c r="E1241" s="199" t="s">
        <v>3940</v>
      </c>
      <c r="F1241" s="199" t="s">
        <v>3941</v>
      </c>
      <c r="G1241" s="1575">
        <v>6118</v>
      </c>
      <c r="H1241" s="199" t="s">
        <v>3913</v>
      </c>
      <c r="I1241" s="246" t="s">
        <v>870</v>
      </c>
      <c r="J1241" s="199" t="s">
        <v>111</v>
      </c>
      <c r="K1241" s="199" t="s">
        <v>110</v>
      </c>
      <c r="L1241" s="1308">
        <v>0.6</v>
      </c>
      <c r="M1241" s="199" t="s">
        <v>3944</v>
      </c>
      <c r="N1241" s="215"/>
      <c r="O1241" s="215" t="s">
        <v>3945</v>
      </c>
      <c r="P1241" s="1578">
        <v>1</v>
      </c>
      <c r="Q1241" s="1579">
        <v>0.2</v>
      </c>
      <c r="R1241" s="1578"/>
      <c r="S1241" s="967">
        <f t="shared" si="38"/>
        <v>0</v>
      </c>
      <c r="T1241" s="863">
        <f t="shared" si="39"/>
        <v>0</v>
      </c>
      <c r="U1241" s="215" t="s">
        <v>34</v>
      </c>
      <c r="V1241" s="1174"/>
      <c r="W1241" s="799"/>
    </row>
    <row r="1242" spans="1:23" ht="22.95" customHeight="1" x14ac:dyDescent="0.4">
      <c r="A1242" s="788">
        <v>1241</v>
      </c>
      <c r="B1242" s="210" t="s">
        <v>2616</v>
      </c>
      <c r="C1242" s="648" t="s">
        <v>24</v>
      </c>
      <c r="D1242" s="1336">
        <v>6198</v>
      </c>
      <c r="E1242" s="199" t="s">
        <v>3940</v>
      </c>
      <c r="F1242" s="199" t="s">
        <v>3941</v>
      </c>
      <c r="G1242" s="1575">
        <v>6118</v>
      </c>
      <c r="H1242" s="199" t="s">
        <v>3913</v>
      </c>
      <c r="I1242" s="199" t="s">
        <v>870</v>
      </c>
      <c r="J1242" s="199" t="s">
        <v>111</v>
      </c>
      <c r="K1242" s="199" t="s">
        <v>110</v>
      </c>
      <c r="L1242" s="1308">
        <v>0.6</v>
      </c>
      <c r="M1242" s="199" t="s">
        <v>3946</v>
      </c>
      <c r="N1242" s="215"/>
      <c r="O1242" s="215"/>
      <c r="P1242" s="1578">
        <v>1</v>
      </c>
      <c r="Q1242" s="1579">
        <v>0.35</v>
      </c>
      <c r="R1242" s="1578"/>
      <c r="S1242" s="967">
        <f t="shared" si="38"/>
        <v>0</v>
      </c>
      <c r="T1242" s="863">
        <f t="shared" si="39"/>
        <v>0</v>
      </c>
      <c r="U1242" s="215" t="s">
        <v>34</v>
      </c>
      <c r="V1242" s="1174"/>
      <c r="W1242" s="799"/>
    </row>
    <row r="1243" spans="1:23" ht="22.95" customHeight="1" x14ac:dyDescent="0.4">
      <c r="A1243" s="788">
        <v>1242</v>
      </c>
      <c r="B1243" s="210" t="s">
        <v>2616</v>
      </c>
      <c r="C1243" s="648" t="s">
        <v>24</v>
      </c>
      <c r="D1243" s="1336">
        <v>6198</v>
      </c>
      <c r="E1243" s="199" t="s">
        <v>3940</v>
      </c>
      <c r="F1243" s="199" t="s">
        <v>3941</v>
      </c>
      <c r="G1243" s="1575">
        <v>6118</v>
      </c>
      <c r="H1243" s="199" t="s">
        <v>3913</v>
      </c>
      <c r="I1243" s="199" t="s">
        <v>870</v>
      </c>
      <c r="J1243" s="199" t="s">
        <v>111</v>
      </c>
      <c r="K1243" s="199" t="s">
        <v>110</v>
      </c>
      <c r="L1243" s="1308">
        <v>0.6</v>
      </c>
      <c r="M1243" s="1571" t="s">
        <v>3929</v>
      </c>
      <c r="N1243" s="215"/>
      <c r="O1243" s="215" t="s">
        <v>3930</v>
      </c>
      <c r="P1243" s="1580">
        <v>0.7</v>
      </c>
      <c r="Q1243" s="1579">
        <v>0.25</v>
      </c>
      <c r="R1243" s="1580"/>
      <c r="S1243" s="967">
        <f t="shared" si="38"/>
        <v>0</v>
      </c>
      <c r="T1243" s="863">
        <f t="shared" si="39"/>
        <v>0</v>
      </c>
      <c r="U1243" s="215" t="s">
        <v>34</v>
      </c>
      <c r="V1243" s="1174"/>
      <c r="W1243" s="799"/>
    </row>
    <row r="1244" spans="1:23" ht="22.95" customHeight="1" x14ac:dyDescent="0.4">
      <c r="A1244" s="788">
        <v>1243</v>
      </c>
      <c r="B1244" s="210" t="s">
        <v>2616</v>
      </c>
      <c r="C1244" s="648" t="s">
        <v>24</v>
      </c>
      <c r="D1244" s="1336">
        <v>6198</v>
      </c>
      <c r="E1244" s="199" t="s">
        <v>3940</v>
      </c>
      <c r="F1244" s="199" t="s">
        <v>3941</v>
      </c>
      <c r="G1244" s="1575">
        <v>6118</v>
      </c>
      <c r="H1244" s="199" t="s">
        <v>3913</v>
      </c>
      <c r="I1244" s="199" t="s">
        <v>870</v>
      </c>
      <c r="J1244" s="199" t="s">
        <v>111</v>
      </c>
      <c r="K1244" s="199" t="s">
        <v>110</v>
      </c>
      <c r="L1244" s="1308">
        <v>0.6</v>
      </c>
      <c r="M1244" s="199" t="s">
        <v>3947</v>
      </c>
      <c r="N1244" s="215"/>
      <c r="O1244" s="215"/>
      <c r="P1244" s="1578">
        <v>1</v>
      </c>
      <c r="Q1244" s="1579">
        <v>0.2</v>
      </c>
      <c r="R1244" s="1578"/>
      <c r="S1244" s="967">
        <f t="shared" si="38"/>
        <v>0</v>
      </c>
      <c r="T1244" s="863">
        <f t="shared" si="39"/>
        <v>0</v>
      </c>
      <c r="U1244" s="215" t="s">
        <v>34</v>
      </c>
      <c r="V1244" s="1174"/>
      <c r="W1244" s="799"/>
    </row>
    <row r="1245" spans="1:23" ht="22.95" customHeight="1" x14ac:dyDescent="0.4">
      <c r="A1245" s="788">
        <v>1244</v>
      </c>
      <c r="B1245" s="243" t="s">
        <v>2616</v>
      </c>
      <c r="C1245" s="243" t="s">
        <v>24</v>
      </c>
      <c r="D1245" s="1581">
        <v>6268</v>
      </c>
      <c r="E1245" s="236" t="s">
        <v>3948</v>
      </c>
      <c r="F1245" s="236" t="s">
        <v>3934</v>
      </c>
      <c r="G1245" s="1582">
        <v>6198</v>
      </c>
      <c r="H1245" s="236" t="s">
        <v>3940</v>
      </c>
      <c r="I1245" s="236" t="s">
        <v>870</v>
      </c>
      <c r="J1245" s="236" t="s">
        <v>58</v>
      </c>
      <c r="K1245" s="236" t="s">
        <v>57</v>
      </c>
      <c r="L1245" s="1193">
        <v>0.7</v>
      </c>
      <c r="M1245" s="236" t="s">
        <v>1086</v>
      </c>
      <c r="N1245" s="855"/>
      <c r="O1245" s="1583"/>
      <c r="P1245" s="1583">
        <v>0.7</v>
      </c>
      <c r="Q1245" s="1563">
        <v>0.2</v>
      </c>
      <c r="R1245" s="1583"/>
      <c r="S1245" s="855">
        <f t="shared" si="38"/>
        <v>0</v>
      </c>
      <c r="T1245" s="1564">
        <f t="shared" si="39"/>
        <v>0</v>
      </c>
      <c r="U1245" s="855" t="s">
        <v>34</v>
      </c>
      <c r="V1245" s="1055">
        <f>SUM(T1245:T1250)%</f>
        <v>0</v>
      </c>
      <c r="W1245" s="791"/>
    </row>
    <row r="1246" spans="1:23" ht="22.95" customHeight="1" x14ac:dyDescent="0.4">
      <c r="A1246" s="788">
        <v>1245</v>
      </c>
      <c r="B1246" s="210" t="s">
        <v>2616</v>
      </c>
      <c r="C1246" s="648" t="s">
        <v>24</v>
      </c>
      <c r="D1246" s="1584">
        <v>6268</v>
      </c>
      <c r="E1246" s="198" t="s">
        <v>3948</v>
      </c>
      <c r="F1246" s="198" t="s">
        <v>3934</v>
      </c>
      <c r="G1246" s="1585">
        <v>6198</v>
      </c>
      <c r="H1246" s="198" t="s">
        <v>3940</v>
      </c>
      <c r="I1246" s="245" t="s">
        <v>870</v>
      </c>
      <c r="J1246" s="719" t="s">
        <v>58</v>
      </c>
      <c r="K1246" s="719" t="s">
        <v>57</v>
      </c>
      <c r="L1246" s="1196">
        <v>0.7</v>
      </c>
      <c r="M1246" s="1565" t="s">
        <v>1087</v>
      </c>
      <c r="N1246" s="204"/>
      <c r="O1246" s="1552" t="s">
        <v>1082</v>
      </c>
      <c r="P1246" s="1552">
        <v>60</v>
      </c>
      <c r="Q1246" s="1567">
        <v>0.2</v>
      </c>
      <c r="R1246" s="1552"/>
      <c r="S1246" s="204">
        <f t="shared" si="38"/>
        <v>0</v>
      </c>
      <c r="T1246" s="1551">
        <f t="shared" si="39"/>
        <v>0</v>
      </c>
      <c r="U1246" s="204" t="s">
        <v>83</v>
      </c>
      <c r="V1246" s="1067"/>
      <c r="W1246" s="799"/>
    </row>
    <row r="1247" spans="1:23" ht="22.95" customHeight="1" x14ac:dyDescent="0.4">
      <c r="A1247" s="788">
        <v>1246</v>
      </c>
      <c r="B1247" s="210" t="s">
        <v>2616</v>
      </c>
      <c r="C1247" s="648" t="s">
        <v>24</v>
      </c>
      <c r="D1247" s="1584">
        <v>6268</v>
      </c>
      <c r="E1247" s="198" t="s">
        <v>3948</v>
      </c>
      <c r="F1247" s="198" t="s">
        <v>3934</v>
      </c>
      <c r="G1247" s="1585">
        <v>6198</v>
      </c>
      <c r="H1247" s="198" t="s">
        <v>3940</v>
      </c>
      <c r="I1247" s="245" t="s">
        <v>870</v>
      </c>
      <c r="J1247" s="719" t="s">
        <v>58</v>
      </c>
      <c r="K1247" s="719" t="s">
        <v>57</v>
      </c>
      <c r="L1247" s="1196">
        <v>0.7</v>
      </c>
      <c r="M1247" s="1565" t="s">
        <v>1088</v>
      </c>
      <c r="N1247" s="204"/>
      <c r="O1247" s="1568"/>
      <c r="P1247" s="1568">
        <v>0.8</v>
      </c>
      <c r="Q1247" s="1567">
        <v>0.3</v>
      </c>
      <c r="R1247" s="1568"/>
      <c r="S1247" s="204">
        <f t="shared" si="38"/>
        <v>0</v>
      </c>
      <c r="T1247" s="1551">
        <f t="shared" si="39"/>
        <v>0</v>
      </c>
      <c r="U1247" s="204" t="s">
        <v>34</v>
      </c>
      <c r="V1247" s="1067"/>
      <c r="W1247" s="799"/>
    </row>
    <row r="1248" spans="1:23" ht="22.95" customHeight="1" x14ac:dyDescent="0.4">
      <c r="A1248" s="788">
        <v>1247</v>
      </c>
      <c r="B1248" s="210" t="s">
        <v>2616</v>
      </c>
      <c r="C1248" s="648" t="s">
        <v>24</v>
      </c>
      <c r="D1248" s="1584">
        <v>6268</v>
      </c>
      <c r="E1248" s="198" t="s">
        <v>3948</v>
      </c>
      <c r="F1248" s="198" t="s">
        <v>3934</v>
      </c>
      <c r="G1248" s="1585">
        <v>6198</v>
      </c>
      <c r="H1248" s="198" t="s">
        <v>3940</v>
      </c>
      <c r="I1248" s="245" t="s">
        <v>870</v>
      </c>
      <c r="J1248" s="719" t="s">
        <v>58</v>
      </c>
      <c r="K1248" s="719" t="s">
        <v>57</v>
      </c>
      <c r="L1248" s="1196">
        <v>0.7</v>
      </c>
      <c r="M1248" s="1565" t="s">
        <v>1089</v>
      </c>
      <c r="N1248" s="204"/>
      <c r="O1248" s="1552"/>
      <c r="P1248" s="1552">
        <v>10</v>
      </c>
      <c r="Q1248" s="1567">
        <v>0.3</v>
      </c>
      <c r="R1248" s="1552"/>
      <c r="S1248" s="204">
        <f t="shared" si="38"/>
        <v>0</v>
      </c>
      <c r="T1248" s="1551">
        <f t="shared" si="39"/>
        <v>0</v>
      </c>
      <c r="U1248" s="204" t="s">
        <v>83</v>
      </c>
      <c r="V1248" s="1067"/>
      <c r="W1248" s="799"/>
    </row>
    <row r="1249" spans="1:23" ht="22.95" customHeight="1" x14ac:dyDescent="0.4">
      <c r="A1249" s="788">
        <v>1248</v>
      </c>
      <c r="B1249" s="210" t="s">
        <v>2616</v>
      </c>
      <c r="C1249" s="648" t="s">
        <v>24</v>
      </c>
      <c r="D1249" s="1584">
        <v>6268</v>
      </c>
      <c r="E1249" s="198" t="s">
        <v>3948</v>
      </c>
      <c r="F1249" s="198" t="s">
        <v>3934</v>
      </c>
      <c r="G1249" s="1585">
        <v>6198</v>
      </c>
      <c r="H1249" s="198" t="s">
        <v>3940</v>
      </c>
      <c r="I1249" s="198" t="s">
        <v>870</v>
      </c>
      <c r="J1249" s="198" t="s">
        <v>111</v>
      </c>
      <c r="K1249" s="198" t="s">
        <v>110</v>
      </c>
      <c r="L1249" s="1199">
        <v>0.3</v>
      </c>
      <c r="M1249" s="798" t="s">
        <v>3949</v>
      </c>
      <c r="N1249" s="215"/>
      <c r="O1249" s="1586" t="s">
        <v>3950</v>
      </c>
      <c r="P1249" s="1586">
        <v>1</v>
      </c>
      <c r="Q1249" s="1561">
        <v>0.5</v>
      </c>
      <c r="R1249" s="1586"/>
      <c r="S1249" s="215">
        <f t="shared" si="38"/>
        <v>0</v>
      </c>
      <c r="T1249" s="1569">
        <f t="shared" si="39"/>
        <v>0</v>
      </c>
      <c r="U1249" s="215" t="s">
        <v>83</v>
      </c>
      <c r="V1249" s="1174"/>
      <c r="W1249" s="799"/>
    </row>
    <row r="1250" spans="1:23" ht="22.95" customHeight="1" x14ac:dyDescent="0.4">
      <c r="A1250" s="788">
        <v>1249</v>
      </c>
      <c r="B1250" s="210" t="s">
        <v>2616</v>
      </c>
      <c r="C1250" s="648" t="s">
        <v>24</v>
      </c>
      <c r="D1250" s="1584">
        <v>6268</v>
      </c>
      <c r="E1250" s="198" t="s">
        <v>3948</v>
      </c>
      <c r="F1250" s="198" t="s">
        <v>3934</v>
      </c>
      <c r="G1250" s="1585">
        <v>6198</v>
      </c>
      <c r="H1250" s="198" t="s">
        <v>3940</v>
      </c>
      <c r="I1250" s="198" t="s">
        <v>870</v>
      </c>
      <c r="J1250" s="198" t="s">
        <v>111</v>
      </c>
      <c r="K1250" s="198" t="s">
        <v>110</v>
      </c>
      <c r="L1250" s="1199">
        <v>0.3</v>
      </c>
      <c r="M1250" s="798" t="s">
        <v>3951</v>
      </c>
      <c r="N1250" s="215"/>
      <c r="O1250" s="1586" t="s">
        <v>3952</v>
      </c>
      <c r="P1250" s="1586">
        <v>1</v>
      </c>
      <c r="Q1250" s="1561">
        <v>0.5</v>
      </c>
      <c r="R1250" s="1586"/>
      <c r="S1250" s="215">
        <f t="shared" si="38"/>
        <v>0</v>
      </c>
      <c r="T1250" s="1569">
        <f t="shared" si="39"/>
        <v>0</v>
      </c>
      <c r="U1250" s="215" t="s">
        <v>83</v>
      </c>
      <c r="V1250" s="1174"/>
      <c r="W1250" s="799"/>
    </row>
    <row r="1251" spans="1:23" ht="22.95" customHeight="1" x14ac:dyDescent="0.4">
      <c r="A1251" s="788">
        <v>1250</v>
      </c>
      <c r="B1251" s="243" t="s">
        <v>2616</v>
      </c>
      <c r="C1251" s="243" t="s">
        <v>24</v>
      </c>
      <c r="D1251" s="1581">
        <v>6593</v>
      </c>
      <c r="E1251" s="236" t="s">
        <v>3953</v>
      </c>
      <c r="F1251" s="710" t="s">
        <v>3954</v>
      </c>
      <c r="G1251" s="1582">
        <v>6198</v>
      </c>
      <c r="H1251" s="236" t="s">
        <v>3940</v>
      </c>
      <c r="I1251" s="236" t="s">
        <v>870</v>
      </c>
      <c r="J1251" s="236" t="s">
        <v>58</v>
      </c>
      <c r="K1251" s="236" t="s">
        <v>57</v>
      </c>
      <c r="L1251" s="1193">
        <v>0.1</v>
      </c>
      <c r="M1251" s="236" t="s">
        <v>1086</v>
      </c>
      <c r="N1251" s="855"/>
      <c r="O1251" s="1583"/>
      <c r="P1251" s="1583">
        <v>0.7</v>
      </c>
      <c r="Q1251" s="1563">
        <v>0.2</v>
      </c>
      <c r="R1251" s="1583"/>
      <c r="S1251" s="855">
        <f t="shared" si="38"/>
        <v>0</v>
      </c>
      <c r="T1251" s="1564">
        <f t="shared" si="39"/>
        <v>0</v>
      </c>
      <c r="U1251" s="855" t="s">
        <v>34</v>
      </c>
      <c r="V1251" s="1055">
        <f>SUM(T1251:T1256)%</f>
        <v>0</v>
      </c>
      <c r="W1251" s="791"/>
    </row>
    <row r="1252" spans="1:23" ht="22.95" customHeight="1" x14ac:dyDescent="0.4">
      <c r="A1252" s="788">
        <v>1251</v>
      </c>
      <c r="B1252" s="210" t="s">
        <v>2616</v>
      </c>
      <c r="C1252" s="648" t="s">
        <v>24</v>
      </c>
      <c r="D1252" s="1584">
        <v>6593</v>
      </c>
      <c r="E1252" s="198" t="s">
        <v>3953</v>
      </c>
      <c r="F1252" s="710" t="s">
        <v>3954</v>
      </c>
      <c r="G1252" s="1585">
        <v>6198</v>
      </c>
      <c r="H1252" s="198" t="s">
        <v>3940</v>
      </c>
      <c r="I1252" s="245" t="s">
        <v>870</v>
      </c>
      <c r="J1252" s="719" t="s">
        <v>58</v>
      </c>
      <c r="K1252" s="719" t="s">
        <v>57</v>
      </c>
      <c r="L1252" s="1196">
        <v>0.1</v>
      </c>
      <c r="M1252" s="1565" t="s">
        <v>1087</v>
      </c>
      <c r="N1252" s="204"/>
      <c r="O1252" s="1552" t="s">
        <v>1082</v>
      </c>
      <c r="P1252" s="1552">
        <v>60</v>
      </c>
      <c r="Q1252" s="1567">
        <v>0.2</v>
      </c>
      <c r="R1252" s="1552"/>
      <c r="S1252" s="204">
        <f t="shared" si="38"/>
        <v>0</v>
      </c>
      <c r="T1252" s="1551">
        <f t="shared" si="39"/>
        <v>0</v>
      </c>
      <c r="U1252" s="204" t="s">
        <v>83</v>
      </c>
      <c r="V1252" s="1067"/>
      <c r="W1252" s="799"/>
    </row>
    <row r="1253" spans="1:23" ht="22.95" customHeight="1" x14ac:dyDescent="0.4">
      <c r="A1253" s="788">
        <v>1252</v>
      </c>
      <c r="B1253" s="210" t="s">
        <v>2616</v>
      </c>
      <c r="C1253" s="648" t="s">
        <v>24</v>
      </c>
      <c r="D1253" s="1584">
        <v>6593</v>
      </c>
      <c r="E1253" s="198" t="s">
        <v>3953</v>
      </c>
      <c r="F1253" s="710" t="s">
        <v>3954</v>
      </c>
      <c r="G1253" s="1585">
        <v>6198</v>
      </c>
      <c r="H1253" s="198" t="s">
        <v>3940</v>
      </c>
      <c r="I1253" s="245" t="s">
        <v>870</v>
      </c>
      <c r="J1253" s="719" t="s">
        <v>58</v>
      </c>
      <c r="K1253" s="719" t="s">
        <v>57</v>
      </c>
      <c r="L1253" s="1196">
        <v>0.1</v>
      </c>
      <c r="M1253" s="1565" t="s">
        <v>1088</v>
      </c>
      <c r="N1253" s="204"/>
      <c r="O1253" s="1568"/>
      <c r="P1253" s="1568">
        <v>0.8</v>
      </c>
      <c r="Q1253" s="1567">
        <v>0.3</v>
      </c>
      <c r="R1253" s="1568"/>
      <c r="S1253" s="204">
        <f t="shared" si="38"/>
        <v>0</v>
      </c>
      <c r="T1253" s="1551">
        <f t="shared" si="39"/>
        <v>0</v>
      </c>
      <c r="U1253" s="204" t="s">
        <v>34</v>
      </c>
      <c r="V1253" s="1067"/>
      <c r="W1253" s="799"/>
    </row>
    <row r="1254" spans="1:23" ht="22.95" customHeight="1" x14ac:dyDescent="0.4">
      <c r="A1254" s="788">
        <v>1253</v>
      </c>
      <c r="B1254" s="210" t="s">
        <v>2616</v>
      </c>
      <c r="C1254" s="648" t="s">
        <v>24</v>
      </c>
      <c r="D1254" s="1584">
        <v>6593</v>
      </c>
      <c r="E1254" s="198" t="s">
        <v>3953</v>
      </c>
      <c r="F1254" s="710" t="s">
        <v>3954</v>
      </c>
      <c r="G1254" s="1585">
        <v>6198</v>
      </c>
      <c r="H1254" s="198" t="s">
        <v>3940</v>
      </c>
      <c r="I1254" s="245" t="s">
        <v>870</v>
      </c>
      <c r="J1254" s="719" t="s">
        <v>58</v>
      </c>
      <c r="K1254" s="719" t="s">
        <v>57</v>
      </c>
      <c r="L1254" s="1196">
        <v>0.1</v>
      </c>
      <c r="M1254" s="1565" t="s">
        <v>1089</v>
      </c>
      <c r="N1254" s="204"/>
      <c r="O1254" s="1552"/>
      <c r="P1254" s="1552">
        <v>10</v>
      </c>
      <c r="Q1254" s="1567">
        <v>0.3</v>
      </c>
      <c r="R1254" s="1552"/>
      <c r="S1254" s="204">
        <f t="shared" si="38"/>
        <v>0</v>
      </c>
      <c r="T1254" s="1551">
        <f t="shared" si="39"/>
        <v>0</v>
      </c>
      <c r="U1254" s="204" t="s">
        <v>83</v>
      </c>
      <c r="V1254" s="1067"/>
      <c r="W1254" s="799"/>
    </row>
    <row r="1255" spans="1:23" ht="22.95" customHeight="1" x14ac:dyDescent="0.4">
      <c r="A1255" s="788">
        <v>1254</v>
      </c>
      <c r="B1255" s="210" t="s">
        <v>2616</v>
      </c>
      <c r="C1255" s="648" t="s">
        <v>24</v>
      </c>
      <c r="D1255" s="1584">
        <v>6593</v>
      </c>
      <c r="E1255" s="198" t="s">
        <v>3953</v>
      </c>
      <c r="F1255" s="710" t="s">
        <v>3954</v>
      </c>
      <c r="G1255" s="1585">
        <v>6198</v>
      </c>
      <c r="H1255" s="198" t="s">
        <v>3940</v>
      </c>
      <c r="I1255" s="245" t="s">
        <v>870</v>
      </c>
      <c r="J1255" s="198" t="s">
        <v>111</v>
      </c>
      <c r="K1255" s="198" t="s">
        <v>110</v>
      </c>
      <c r="L1255" s="1199">
        <v>0.9</v>
      </c>
      <c r="M1255" s="798" t="s">
        <v>3929</v>
      </c>
      <c r="N1255" s="215"/>
      <c r="O1255" s="1560" t="s">
        <v>3930</v>
      </c>
      <c r="P1255" s="1560">
        <v>1</v>
      </c>
      <c r="Q1255" s="1587">
        <v>0.8</v>
      </c>
      <c r="R1255" s="1560"/>
      <c r="S1255" s="215">
        <f t="shared" si="38"/>
        <v>0</v>
      </c>
      <c r="T1255" s="1569">
        <f t="shared" si="39"/>
        <v>0</v>
      </c>
      <c r="U1255" s="215" t="s">
        <v>34</v>
      </c>
      <c r="V1255" s="1174"/>
      <c r="W1255" s="799"/>
    </row>
    <row r="1256" spans="1:23" ht="22.95" customHeight="1" x14ac:dyDescent="0.4">
      <c r="A1256" s="788">
        <v>1255</v>
      </c>
      <c r="B1256" s="210" t="s">
        <v>2616</v>
      </c>
      <c r="C1256" s="648" t="s">
        <v>24</v>
      </c>
      <c r="D1256" s="1584">
        <v>6593</v>
      </c>
      <c r="E1256" s="198" t="s">
        <v>3953</v>
      </c>
      <c r="F1256" s="710" t="s">
        <v>3954</v>
      </c>
      <c r="G1256" s="1585">
        <v>6198</v>
      </c>
      <c r="H1256" s="198" t="s">
        <v>3940</v>
      </c>
      <c r="I1256" s="198" t="s">
        <v>870</v>
      </c>
      <c r="J1256" s="198" t="s">
        <v>111</v>
      </c>
      <c r="K1256" s="198" t="s">
        <v>110</v>
      </c>
      <c r="L1256" s="1199">
        <v>0.9</v>
      </c>
      <c r="M1256" s="798" t="s">
        <v>3955</v>
      </c>
      <c r="N1256" s="673"/>
      <c r="O1256" s="1588"/>
      <c r="P1256" s="1588">
        <v>1</v>
      </c>
      <c r="Q1256" s="1587">
        <v>0.2</v>
      </c>
      <c r="R1256" s="1588"/>
      <c r="S1256" s="215">
        <f t="shared" si="38"/>
        <v>0</v>
      </c>
      <c r="T1256" s="1589">
        <f t="shared" si="39"/>
        <v>0</v>
      </c>
      <c r="U1256" s="215" t="s">
        <v>34</v>
      </c>
      <c r="V1256" s="1174"/>
      <c r="W1256" s="799"/>
    </row>
    <row r="1257" spans="1:23" ht="22.95" customHeight="1" x14ac:dyDescent="0.4">
      <c r="A1257" s="788">
        <v>1256</v>
      </c>
      <c r="B1257" s="243" t="s">
        <v>2616</v>
      </c>
      <c r="C1257" s="243" t="s">
        <v>24</v>
      </c>
      <c r="D1257" s="1164">
        <v>6031</v>
      </c>
      <c r="E1257" s="236" t="s">
        <v>3956</v>
      </c>
      <c r="F1257" s="236" t="s">
        <v>3957</v>
      </c>
      <c r="G1257" s="1540">
        <v>6118</v>
      </c>
      <c r="H1257" s="236" t="s">
        <v>3913</v>
      </c>
      <c r="I1257" s="236" t="s">
        <v>870</v>
      </c>
      <c r="J1257" s="236" t="s">
        <v>58</v>
      </c>
      <c r="K1257" s="236" t="s">
        <v>57</v>
      </c>
      <c r="L1257" s="1052">
        <v>0.4</v>
      </c>
      <c r="M1257" s="236" t="s">
        <v>871</v>
      </c>
      <c r="N1257" s="855"/>
      <c r="O1257" s="1590"/>
      <c r="P1257" s="1590">
        <v>4</v>
      </c>
      <c r="Q1257" s="1563">
        <v>0.25</v>
      </c>
      <c r="R1257" s="1590"/>
      <c r="S1257" s="855">
        <f t="shared" si="38"/>
        <v>0</v>
      </c>
      <c r="T1257" s="1564">
        <f t="shared" si="39"/>
        <v>0</v>
      </c>
      <c r="U1257" s="855" t="s">
        <v>34</v>
      </c>
      <c r="V1257" s="1055">
        <f>SUM(T1257:T1267)%</f>
        <v>0</v>
      </c>
      <c r="W1257" s="791"/>
    </row>
    <row r="1258" spans="1:23" ht="22.95" customHeight="1" x14ac:dyDescent="0.4">
      <c r="A1258" s="788">
        <v>1257</v>
      </c>
      <c r="B1258" s="210" t="s">
        <v>2616</v>
      </c>
      <c r="C1258" s="648" t="s">
        <v>24</v>
      </c>
      <c r="D1258" s="1169">
        <v>6031</v>
      </c>
      <c r="E1258" s="198" t="s">
        <v>3956</v>
      </c>
      <c r="F1258" s="198" t="s">
        <v>3957</v>
      </c>
      <c r="G1258" s="1542">
        <v>6118</v>
      </c>
      <c r="H1258" s="198" t="s">
        <v>3913</v>
      </c>
      <c r="I1258" s="245" t="s">
        <v>870</v>
      </c>
      <c r="J1258" s="719" t="s">
        <v>58</v>
      </c>
      <c r="K1258" s="719" t="s">
        <v>57</v>
      </c>
      <c r="L1258" s="1067">
        <v>0.4</v>
      </c>
      <c r="M1258" s="1565" t="s">
        <v>3917</v>
      </c>
      <c r="N1258" s="204"/>
      <c r="O1258" s="1552" t="s">
        <v>3918</v>
      </c>
      <c r="P1258" s="1552">
        <v>99.9</v>
      </c>
      <c r="Q1258" s="1567">
        <v>0.2</v>
      </c>
      <c r="R1258" s="1552"/>
      <c r="S1258" s="204">
        <f t="shared" si="38"/>
        <v>0</v>
      </c>
      <c r="T1258" s="1551">
        <f t="shared" si="39"/>
        <v>0</v>
      </c>
      <c r="U1258" s="204" t="s">
        <v>34</v>
      </c>
      <c r="V1258" s="1067"/>
      <c r="W1258" s="799"/>
    </row>
    <row r="1259" spans="1:23" ht="22.95" customHeight="1" x14ac:dyDescent="0.4">
      <c r="A1259" s="788">
        <v>1258</v>
      </c>
      <c r="B1259" s="210" t="s">
        <v>2616</v>
      </c>
      <c r="C1259" s="648" t="s">
        <v>24</v>
      </c>
      <c r="D1259" s="1169">
        <v>6031</v>
      </c>
      <c r="E1259" s="198" t="s">
        <v>3956</v>
      </c>
      <c r="F1259" s="198" t="s">
        <v>3957</v>
      </c>
      <c r="G1259" s="1542">
        <v>6118</v>
      </c>
      <c r="H1259" s="198" t="s">
        <v>3913</v>
      </c>
      <c r="I1259" s="245" t="s">
        <v>870</v>
      </c>
      <c r="J1259" s="719" t="s">
        <v>58</v>
      </c>
      <c r="K1259" s="719" t="s">
        <v>57</v>
      </c>
      <c r="L1259" s="1067">
        <v>0.4</v>
      </c>
      <c r="M1259" s="1565" t="s">
        <v>3919</v>
      </c>
      <c r="N1259" s="204"/>
      <c r="O1259" s="1552" t="s">
        <v>3920</v>
      </c>
      <c r="P1259" s="1552">
        <v>99.9</v>
      </c>
      <c r="Q1259" s="1567">
        <v>0.2</v>
      </c>
      <c r="R1259" s="1552"/>
      <c r="S1259" s="204">
        <f t="shared" si="38"/>
        <v>0</v>
      </c>
      <c r="T1259" s="1551">
        <f t="shared" si="39"/>
        <v>0</v>
      </c>
      <c r="U1259" s="204" t="s">
        <v>34</v>
      </c>
      <c r="V1259" s="1067"/>
      <c r="W1259" s="799"/>
    </row>
    <row r="1260" spans="1:23" ht="22.95" customHeight="1" x14ac:dyDescent="0.4">
      <c r="A1260" s="788">
        <v>1259</v>
      </c>
      <c r="B1260" s="210" t="s">
        <v>2616</v>
      </c>
      <c r="C1260" s="648" t="s">
        <v>24</v>
      </c>
      <c r="D1260" s="1169">
        <v>6031</v>
      </c>
      <c r="E1260" s="198" t="s">
        <v>3956</v>
      </c>
      <c r="F1260" s="198" t="s">
        <v>3957</v>
      </c>
      <c r="G1260" s="1542">
        <v>6118</v>
      </c>
      <c r="H1260" s="198" t="s">
        <v>3913</v>
      </c>
      <c r="I1260" s="245" t="s">
        <v>870</v>
      </c>
      <c r="J1260" s="719" t="s">
        <v>58</v>
      </c>
      <c r="K1260" s="719" t="s">
        <v>57</v>
      </c>
      <c r="L1260" s="1067">
        <v>0.4</v>
      </c>
      <c r="M1260" s="1565" t="s">
        <v>873</v>
      </c>
      <c r="N1260" s="204"/>
      <c r="O1260" s="1552"/>
      <c r="P1260" s="1552">
        <v>100</v>
      </c>
      <c r="Q1260" s="1567">
        <v>0.1</v>
      </c>
      <c r="R1260" s="1552"/>
      <c r="S1260" s="204">
        <f t="shared" si="38"/>
        <v>0</v>
      </c>
      <c r="T1260" s="1551">
        <f t="shared" si="39"/>
        <v>0</v>
      </c>
      <c r="U1260" s="204" t="s">
        <v>34</v>
      </c>
      <c r="V1260" s="1067"/>
      <c r="W1260" s="799"/>
    </row>
    <row r="1261" spans="1:23" ht="22.95" customHeight="1" x14ac:dyDescent="0.4">
      <c r="A1261" s="788">
        <v>1260</v>
      </c>
      <c r="B1261" s="210" t="s">
        <v>2616</v>
      </c>
      <c r="C1261" s="648" t="s">
        <v>24</v>
      </c>
      <c r="D1261" s="1169">
        <v>6031</v>
      </c>
      <c r="E1261" s="198" t="s">
        <v>3956</v>
      </c>
      <c r="F1261" s="198" t="s">
        <v>3957</v>
      </c>
      <c r="G1261" s="1542">
        <v>6118</v>
      </c>
      <c r="H1261" s="198" t="s">
        <v>3913</v>
      </c>
      <c r="I1261" s="245" t="s">
        <v>870</v>
      </c>
      <c r="J1261" s="719" t="s">
        <v>58</v>
      </c>
      <c r="K1261" s="719" t="s">
        <v>57</v>
      </c>
      <c r="L1261" s="1067">
        <v>0.4</v>
      </c>
      <c r="M1261" s="1565" t="s">
        <v>3958</v>
      </c>
      <c r="N1261" s="204"/>
      <c r="O1261" s="1553"/>
      <c r="P1261" s="1553">
        <v>1</v>
      </c>
      <c r="Q1261" s="1567">
        <v>0.25</v>
      </c>
      <c r="R1261" s="1553"/>
      <c r="S1261" s="204">
        <f t="shared" si="38"/>
        <v>0</v>
      </c>
      <c r="T1261" s="960">
        <f t="shared" si="39"/>
        <v>0</v>
      </c>
      <c r="U1261" s="204" t="s">
        <v>34</v>
      </c>
      <c r="V1261" s="1067"/>
      <c r="W1261" s="799"/>
    </row>
    <row r="1262" spans="1:23" ht="22.95" customHeight="1" x14ac:dyDescent="0.4">
      <c r="A1262" s="788">
        <v>1261</v>
      </c>
      <c r="B1262" s="210" t="s">
        <v>2616</v>
      </c>
      <c r="C1262" s="648" t="s">
        <v>24</v>
      </c>
      <c r="D1262" s="1169">
        <v>6031</v>
      </c>
      <c r="E1262" s="198" t="s">
        <v>3956</v>
      </c>
      <c r="F1262" s="198" t="s">
        <v>3957</v>
      </c>
      <c r="G1262" s="1542">
        <v>6118</v>
      </c>
      <c r="H1262" s="198" t="s">
        <v>3913</v>
      </c>
      <c r="I1262" s="245" t="s">
        <v>870</v>
      </c>
      <c r="J1262" s="245" t="s">
        <v>111</v>
      </c>
      <c r="K1262" s="245" t="s">
        <v>110</v>
      </c>
      <c r="L1262" s="1059">
        <v>0.6</v>
      </c>
      <c r="M1262" s="245" t="s">
        <v>3959</v>
      </c>
      <c r="N1262" s="964"/>
      <c r="O1262" s="1591" t="s">
        <v>3960</v>
      </c>
      <c r="P1262" s="1591">
        <v>0.5</v>
      </c>
      <c r="Q1262" s="1592">
        <v>0.3</v>
      </c>
      <c r="R1262" s="1591"/>
      <c r="S1262" s="964">
        <f t="shared" si="38"/>
        <v>0</v>
      </c>
      <c r="T1262" s="962">
        <f t="shared" si="39"/>
        <v>0</v>
      </c>
      <c r="U1262" s="964" t="s">
        <v>34</v>
      </c>
      <c r="V1262" s="1059"/>
      <c r="W1262" s="799"/>
    </row>
    <row r="1263" spans="1:23" ht="22.95" customHeight="1" x14ac:dyDescent="0.4">
      <c r="A1263" s="788">
        <v>1262</v>
      </c>
      <c r="B1263" s="210" t="s">
        <v>2616</v>
      </c>
      <c r="C1263" s="648" t="s">
        <v>24</v>
      </c>
      <c r="D1263" s="1169">
        <v>6031</v>
      </c>
      <c r="E1263" s="198" t="s">
        <v>3956</v>
      </c>
      <c r="F1263" s="198" t="s">
        <v>3957</v>
      </c>
      <c r="G1263" s="1542">
        <v>6118</v>
      </c>
      <c r="H1263" s="198" t="s">
        <v>3913</v>
      </c>
      <c r="I1263" s="245" t="s">
        <v>870</v>
      </c>
      <c r="J1263" s="198" t="s">
        <v>111</v>
      </c>
      <c r="K1263" s="198" t="s">
        <v>110</v>
      </c>
      <c r="L1263" s="1174">
        <v>0.6</v>
      </c>
      <c r="M1263" s="198" t="s">
        <v>3926</v>
      </c>
      <c r="N1263" s="215"/>
      <c r="O1263" s="1555"/>
      <c r="P1263" s="1555">
        <v>1</v>
      </c>
      <c r="Q1263" s="1561">
        <v>0.2</v>
      </c>
      <c r="R1263" s="1555"/>
      <c r="S1263" s="215">
        <f t="shared" si="38"/>
        <v>0</v>
      </c>
      <c r="T1263" s="223">
        <f t="shared" si="39"/>
        <v>0</v>
      </c>
      <c r="U1263" s="215" t="s">
        <v>34</v>
      </c>
      <c r="V1263" s="1174"/>
      <c r="W1263" s="799"/>
    </row>
    <row r="1264" spans="1:23" ht="22.95" customHeight="1" x14ac:dyDescent="0.4">
      <c r="A1264" s="788">
        <v>1263</v>
      </c>
      <c r="B1264" s="210" t="s">
        <v>2616</v>
      </c>
      <c r="C1264" s="648" t="s">
        <v>24</v>
      </c>
      <c r="D1264" s="1169">
        <v>6031</v>
      </c>
      <c r="E1264" s="198" t="s">
        <v>3956</v>
      </c>
      <c r="F1264" s="198" t="s">
        <v>3957</v>
      </c>
      <c r="G1264" s="1542">
        <v>6118</v>
      </c>
      <c r="H1264" s="198" t="s">
        <v>3913</v>
      </c>
      <c r="I1264" s="198" t="s">
        <v>870</v>
      </c>
      <c r="J1264" s="198" t="s">
        <v>111</v>
      </c>
      <c r="K1264" s="198" t="s">
        <v>110</v>
      </c>
      <c r="L1264" s="1174">
        <v>0.6</v>
      </c>
      <c r="M1264" s="198" t="s">
        <v>3927</v>
      </c>
      <c r="N1264" s="215"/>
      <c r="O1264" s="1555"/>
      <c r="P1264" s="1555">
        <v>1</v>
      </c>
      <c r="Q1264" s="1561">
        <v>0.2</v>
      </c>
      <c r="R1264" s="1555"/>
      <c r="S1264" s="215">
        <f t="shared" si="38"/>
        <v>0</v>
      </c>
      <c r="T1264" s="223">
        <f t="shared" si="39"/>
        <v>0</v>
      </c>
      <c r="U1264" s="215" t="s">
        <v>34</v>
      </c>
      <c r="V1264" s="1174"/>
      <c r="W1264" s="799"/>
    </row>
    <row r="1265" spans="1:23" ht="22.95" customHeight="1" x14ac:dyDescent="0.4">
      <c r="A1265" s="788">
        <v>1264</v>
      </c>
      <c r="B1265" s="210" t="s">
        <v>2616</v>
      </c>
      <c r="C1265" s="648" t="s">
        <v>24</v>
      </c>
      <c r="D1265" s="1169">
        <v>6031</v>
      </c>
      <c r="E1265" s="198" t="s">
        <v>3956</v>
      </c>
      <c r="F1265" s="198" t="s">
        <v>3957</v>
      </c>
      <c r="G1265" s="1542">
        <v>6118</v>
      </c>
      <c r="H1265" s="198" t="s">
        <v>3913</v>
      </c>
      <c r="I1265" s="198" t="s">
        <v>870</v>
      </c>
      <c r="J1265" s="198" t="s">
        <v>111</v>
      </c>
      <c r="K1265" s="198" t="s">
        <v>110</v>
      </c>
      <c r="L1265" s="1174">
        <v>0.6</v>
      </c>
      <c r="M1265" s="198" t="s">
        <v>3961</v>
      </c>
      <c r="N1265" s="215"/>
      <c r="O1265" s="1555"/>
      <c r="P1265" s="1555">
        <v>1</v>
      </c>
      <c r="Q1265" s="1561">
        <v>0.1</v>
      </c>
      <c r="R1265" s="1555"/>
      <c r="S1265" s="215">
        <f t="shared" si="38"/>
        <v>0</v>
      </c>
      <c r="T1265" s="223">
        <f t="shared" si="39"/>
        <v>0</v>
      </c>
      <c r="U1265" s="215" t="s">
        <v>34</v>
      </c>
      <c r="V1265" s="1174"/>
      <c r="W1265" s="799"/>
    </row>
    <row r="1266" spans="1:23" ht="22.95" customHeight="1" x14ac:dyDescent="0.4">
      <c r="A1266" s="788">
        <v>1265</v>
      </c>
      <c r="B1266" s="210" t="s">
        <v>2616</v>
      </c>
      <c r="C1266" s="648" t="s">
        <v>24</v>
      </c>
      <c r="D1266" s="1169">
        <v>6031</v>
      </c>
      <c r="E1266" s="198" t="s">
        <v>3956</v>
      </c>
      <c r="F1266" s="198" t="s">
        <v>3957</v>
      </c>
      <c r="G1266" s="1542">
        <v>6118</v>
      </c>
      <c r="H1266" s="198" t="s">
        <v>3913</v>
      </c>
      <c r="I1266" s="198" t="s">
        <v>870</v>
      </c>
      <c r="J1266" s="198" t="s">
        <v>111</v>
      </c>
      <c r="K1266" s="198" t="s">
        <v>110</v>
      </c>
      <c r="L1266" s="1174">
        <v>0.6</v>
      </c>
      <c r="M1266" s="198" t="s">
        <v>3962</v>
      </c>
      <c r="N1266" s="215"/>
      <c r="O1266" s="1555"/>
      <c r="P1266" s="1555">
        <v>1</v>
      </c>
      <c r="Q1266" s="1561">
        <v>0.1</v>
      </c>
      <c r="R1266" s="1555"/>
      <c r="S1266" s="215">
        <f t="shared" si="38"/>
        <v>0</v>
      </c>
      <c r="T1266" s="223">
        <f t="shared" si="39"/>
        <v>0</v>
      </c>
      <c r="U1266" s="215" t="s">
        <v>34</v>
      </c>
      <c r="V1266" s="1174"/>
      <c r="W1266" s="799"/>
    </row>
    <row r="1267" spans="1:23" ht="22.95" customHeight="1" x14ac:dyDescent="0.4">
      <c r="A1267" s="788">
        <v>1266</v>
      </c>
      <c r="B1267" s="210" t="s">
        <v>2616</v>
      </c>
      <c r="C1267" s="648" t="s">
        <v>24</v>
      </c>
      <c r="D1267" s="1169">
        <v>6031</v>
      </c>
      <c r="E1267" s="198" t="s">
        <v>3956</v>
      </c>
      <c r="F1267" s="198" t="s">
        <v>3957</v>
      </c>
      <c r="G1267" s="1542">
        <v>6118</v>
      </c>
      <c r="H1267" s="198" t="s">
        <v>3913</v>
      </c>
      <c r="I1267" s="198" t="s">
        <v>870</v>
      </c>
      <c r="J1267" s="198" t="s">
        <v>111</v>
      </c>
      <c r="K1267" s="198" t="s">
        <v>110</v>
      </c>
      <c r="L1267" s="1174">
        <v>0.6</v>
      </c>
      <c r="M1267" s="198" t="s">
        <v>3963</v>
      </c>
      <c r="N1267" s="215"/>
      <c r="O1267" s="1555"/>
      <c r="P1267" s="1555">
        <v>1</v>
      </c>
      <c r="Q1267" s="1593">
        <v>0.1</v>
      </c>
      <c r="R1267" s="1555"/>
      <c r="S1267" s="708">
        <f t="shared" si="38"/>
        <v>0</v>
      </c>
      <c r="T1267" s="1594">
        <f t="shared" si="39"/>
        <v>0</v>
      </c>
      <c r="U1267" s="215" t="s">
        <v>34</v>
      </c>
      <c r="V1267" s="1174"/>
      <c r="W1267" s="799"/>
    </row>
    <row r="1268" spans="1:23" ht="22.95" customHeight="1" x14ac:dyDescent="0.4">
      <c r="A1268" s="788">
        <v>1267</v>
      </c>
      <c r="B1268" s="243" t="s">
        <v>2616</v>
      </c>
      <c r="C1268" s="243" t="s">
        <v>24</v>
      </c>
      <c r="D1268" s="1164">
        <v>5832</v>
      </c>
      <c r="E1268" s="236" t="s">
        <v>3964</v>
      </c>
      <c r="F1268" s="236" t="s">
        <v>3965</v>
      </c>
      <c r="G1268" s="1540">
        <v>6031</v>
      </c>
      <c r="H1268" s="236" t="s">
        <v>3956</v>
      </c>
      <c r="I1268" s="236" t="s">
        <v>870</v>
      </c>
      <c r="J1268" s="236" t="s">
        <v>58</v>
      </c>
      <c r="K1268" s="236" t="s">
        <v>57</v>
      </c>
      <c r="L1268" s="1052">
        <v>0.5</v>
      </c>
      <c r="M1268" s="236" t="s">
        <v>1085</v>
      </c>
      <c r="N1268" s="855"/>
      <c r="O1268" s="1595" t="s">
        <v>3966</v>
      </c>
      <c r="P1268" s="1595">
        <v>8</v>
      </c>
      <c r="Q1268" s="1563">
        <v>0.1</v>
      </c>
      <c r="R1268" s="1595"/>
      <c r="S1268" s="855">
        <f t="shared" si="38"/>
        <v>0</v>
      </c>
      <c r="T1268" s="1596">
        <f t="shared" si="39"/>
        <v>0</v>
      </c>
      <c r="U1268" s="855" t="s">
        <v>83</v>
      </c>
      <c r="V1268" s="1055">
        <f>SUM(T1268:T1274)%</f>
        <v>0</v>
      </c>
      <c r="W1268" s="791"/>
    </row>
    <row r="1269" spans="1:23" ht="22.95" customHeight="1" x14ac:dyDescent="0.4">
      <c r="A1269" s="788">
        <v>1268</v>
      </c>
      <c r="B1269" s="210" t="s">
        <v>2616</v>
      </c>
      <c r="C1269" s="648" t="s">
        <v>24</v>
      </c>
      <c r="D1269" s="1169">
        <v>5832</v>
      </c>
      <c r="E1269" s="198" t="s">
        <v>3964</v>
      </c>
      <c r="F1269" s="198" t="s">
        <v>3965</v>
      </c>
      <c r="G1269" s="1542">
        <v>6031</v>
      </c>
      <c r="H1269" s="198" t="s">
        <v>3956</v>
      </c>
      <c r="I1269" s="245" t="s">
        <v>870</v>
      </c>
      <c r="J1269" s="719" t="s">
        <v>58</v>
      </c>
      <c r="K1269" s="719" t="s">
        <v>57</v>
      </c>
      <c r="L1269" s="1067">
        <v>0.5</v>
      </c>
      <c r="M1269" s="1565" t="s">
        <v>1086</v>
      </c>
      <c r="N1269" s="204"/>
      <c r="O1269" s="1597"/>
      <c r="P1269" s="1597">
        <v>0.7</v>
      </c>
      <c r="Q1269" s="1567">
        <v>0.1</v>
      </c>
      <c r="R1269" s="1597"/>
      <c r="S1269" s="204">
        <f t="shared" si="38"/>
        <v>0</v>
      </c>
      <c r="T1269" s="1598">
        <f t="shared" si="39"/>
        <v>0</v>
      </c>
      <c r="U1269" s="204" t="s">
        <v>34</v>
      </c>
      <c r="V1269" s="1067"/>
      <c r="W1269" s="799"/>
    </row>
    <row r="1270" spans="1:23" ht="22.95" customHeight="1" x14ac:dyDescent="0.4">
      <c r="A1270" s="788">
        <v>1269</v>
      </c>
      <c r="B1270" s="210" t="s">
        <v>2616</v>
      </c>
      <c r="C1270" s="648" t="s">
        <v>24</v>
      </c>
      <c r="D1270" s="1169">
        <v>5832</v>
      </c>
      <c r="E1270" s="198" t="s">
        <v>3964</v>
      </c>
      <c r="F1270" s="198" t="s">
        <v>3965</v>
      </c>
      <c r="G1270" s="1542">
        <v>6031</v>
      </c>
      <c r="H1270" s="198" t="s">
        <v>3956</v>
      </c>
      <c r="I1270" s="245" t="s">
        <v>870</v>
      </c>
      <c r="J1270" s="719" t="s">
        <v>58</v>
      </c>
      <c r="K1270" s="719" t="s">
        <v>57</v>
      </c>
      <c r="L1270" s="1067">
        <v>0.5</v>
      </c>
      <c r="M1270" s="1565" t="s">
        <v>1087</v>
      </c>
      <c r="N1270" s="204"/>
      <c r="O1270" s="1599" t="s">
        <v>1082</v>
      </c>
      <c r="P1270" s="1599">
        <v>60</v>
      </c>
      <c r="Q1270" s="1567">
        <v>0.1</v>
      </c>
      <c r="R1270" s="1599"/>
      <c r="S1270" s="204">
        <f t="shared" si="38"/>
        <v>0</v>
      </c>
      <c r="T1270" s="1551">
        <f t="shared" si="39"/>
        <v>0</v>
      </c>
      <c r="U1270" s="204" t="s">
        <v>83</v>
      </c>
      <c r="V1270" s="1067"/>
      <c r="W1270" s="799"/>
    </row>
    <row r="1271" spans="1:23" ht="22.95" customHeight="1" x14ac:dyDescent="0.4">
      <c r="A1271" s="788">
        <v>1270</v>
      </c>
      <c r="B1271" s="210" t="s">
        <v>2616</v>
      </c>
      <c r="C1271" s="648" t="s">
        <v>24</v>
      </c>
      <c r="D1271" s="1169">
        <v>5832</v>
      </c>
      <c r="E1271" s="198" t="s">
        <v>3964</v>
      </c>
      <c r="F1271" s="198" t="s">
        <v>3965</v>
      </c>
      <c r="G1271" s="1542">
        <v>6031</v>
      </c>
      <c r="H1271" s="198" t="s">
        <v>3956</v>
      </c>
      <c r="I1271" s="245" t="s">
        <v>870</v>
      </c>
      <c r="J1271" s="719" t="s">
        <v>58</v>
      </c>
      <c r="K1271" s="719" t="s">
        <v>57</v>
      </c>
      <c r="L1271" s="1067">
        <v>0.5</v>
      </c>
      <c r="M1271" s="1565" t="s">
        <v>3917</v>
      </c>
      <c r="N1271" s="204"/>
      <c r="O1271" s="1600" t="s">
        <v>3918</v>
      </c>
      <c r="P1271" s="1600">
        <v>99.9</v>
      </c>
      <c r="Q1271" s="1567">
        <v>0.1</v>
      </c>
      <c r="R1271" s="1600"/>
      <c r="S1271" s="204">
        <f t="shared" si="38"/>
        <v>0</v>
      </c>
      <c r="T1271" s="1598">
        <f t="shared" si="39"/>
        <v>0</v>
      </c>
      <c r="U1271" s="204" t="s">
        <v>34</v>
      </c>
      <c r="V1271" s="1067"/>
      <c r="W1271" s="799"/>
    </row>
    <row r="1272" spans="1:23" ht="22.95" customHeight="1" x14ac:dyDescent="0.4">
      <c r="A1272" s="788">
        <v>1271</v>
      </c>
      <c r="B1272" s="210" t="s">
        <v>2616</v>
      </c>
      <c r="C1272" s="648" t="s">
        <v>24</v>
      </c>
      <c r="D1272" s="1169">
        <v>5832</v>
      </c>
      <c r="E1272" s="198" t="s">
        <v>3964</v>
      </c>
      <c r="F1272" s="198" t="s">
        <v>3965</v>
      </c>
      <c r="G1272" s="1542">
        <v>6031</v>
      </c>
      <c r="H1272" s="198" t="s">
        <v>3956</v>
      </c>
      <c r="I1272" s="245" t="s">
        <v>870</v>
      </c>
      <c r="J1272" s="719" t="s">
        <v>58</v>
      </c>
      <c r="K1272" s="719" t="s">
        <v>57</v>
      </c>
      <c r="L1272" s="1067">
        <v>0.5</v>
      </c>
      <c r="M1272" s="1565" t="s">
        <v>3919</v>
      </c>
      <c r="N1272" s="204"/>
      <c r="O1272" s="1600" t="s">
        <v>3920</v>
      </c>
      <c r="P1272" s="1600">
        <v>99.9</v>
      </c>
      <c r="Q1272" s="1567">
        <v>0.5</v>
      </c>
      <c r="R1272" s="1600"/>
      <c r="S1272" s="204">
        <f t="shared" si="38"/>
        <v>0</v>
      </c>
      <c r="T1272" s="1598">
        <f t="shared" si="39"/>
        <v>0</v>
      </c>
      <c r="U1272" s="204" t="s">
        <v>34</v>
      </c>
      <c r="V1272" s="1067"/>
      <c r="W1272" s="799"/>
    </row>
    <row r="1273" spans="1:23" ht="22.95" customHeight="1" x14ac:dyDescent="0.4">
      <c r="A1273" s="788">
        <v>1272</v>
      </c>
      <c r="B1273" s="210" t="s">
        <v>2616</v>
      </c>
      <c r="C1273" s="648" t="s">
        <v>24</v>
      </c>
      <c r="D1273" s="1169">
        <v>5832</v>
      </c>
      <c r="E1273" s="198" t="s">
        <v>3964</v>
      </c>
      <c r="F1273" s="198" t="s">
        <v>3965</v>
      </c>
      <c r="G1273" s="1542">
        <v>6031</v>
      </c>
      <c r="H1273" s="198" t="s">
        <v>3956</v>
      </c>
      <c r="I1273" s="245" t="s">
        <v>870</v>
      </c>
      <c r="J1273" s="719" t="s">
        <v>58</v>
      </c>
      <c r="K1273" s="719" t="s">
        <v>57</v>
      </c>
      <c r="L1273" s="1067">
        <v>0.5</v>
      </c>
      <c r="M1273" s="1565" t="s">
        <v>1089</v>
      </c>
      <c r="N1273" s="204"/>
      <c r="O1273" s="1599"/>
      <c r="P1273" s="1599">
        <v>10</v>
      </c>
      <c r="Q1273" s="1567">
        <v>0.1</v>
      </c>
      <c r="R1273" s="1599"/>
      <c r="S1273" s="204">
        <f t="shared" si="38"/>
        <v>0</v>
      </c>
      <c r="T1273" s="1551">
        <f t="shared" si="39"/>
        <v>0</v>
      </c>
      <c r="U1273" s="204" t="s">
        <v>83</v>
      </c>
      <c r="V1273" s="1067"/>
      <c r="W1273" s="799"/>
    </row>
    <row r="1274" spans="1:23" ht="22.95" customHeight="1" x14ac:dyDescent="0.4">
      <c r="A1274" s="788">
        <v>1273</v>
      </c>
      <c r="B1274" s="210" t="s">
        <v>2616</v>
      </c>
      <c r="C1274" s="648" t="s">
        <v>24</v>
      </c>
      <c r="D1274" s="1169">
        <v>5832</v>
      </c>
      <c r="E1274" s="198" t="s">
        <v>3964</v>
      </c>
      <c r="F1274" s="198" t="s">
        <v>3965</v>
      </c>
      <c r="G1274" s="1542">
        <v>6031</v>
      </c>
      <c r="H1274" s="198" t="s">
        <v>3956</v>
      </c>
      <c r="I1274" s="198" t="s">
        <v>870</v>
      </c>
      <c r="J1274" s="198" t="s">
        <v>111</v>
      </c>
      <c r="K1274" s="198" t="s">
        <v>110</v>
      </c>
      <c r="L1274" s="1174">
        <v>0.5</v>
      </c>
      <c r="M1274" s="798" t="s">
        <v>3963</v>
      </c>
      <c r="N1274" s="215"/>
      <c r="O1274" s="1555"/>
      <c r="P1274" s="1555">
        <v>1</v>
      </c>
      <c r="Q1274" s="1561">
        <v>1</v>
      </c>
      <c r="R1274" s="1555"/>
      <c r="S1274" s="215">
        <f t="shared" si="38"/>
        <v>0</v>
      </c>
      <c r="T1274" s="1569">
        <f t="shared" si="39"/>
        <v>0</v>
      </c>
      <c r="U1274" s="215" t="s">
        <v>34</v>
      </c>
      <c r="V1274" s="1174"/>
      <c r="W1274" s="799"/>
    </row>
    <row r="1275" spans="1:23" ht="22.95" customHeight="1" x14ac:dyDescent="0.4">
      <c r="A1275" s="788">
        <v>1274</v>
      </c>
      <c r="B1275" s="243" t="s">
        <v>2616</v>
      </c>
      <c r="C1275" s="243" t="s">
        <v>24</v>
      </c>
      <c r="D1275" s="1164">
        <v>3621</v>
      </c>
      <c r="E1275" s="236" t="s">
        <v>3967</v>
      </c>
      <c r="F1275" s="236" t="s">
        <v>3965</v>
      </c>
      <c r="G1275" s="1540">
        <v>6031</v>
      </c>
      <c r="H1275" s="236" t="s">
        <v>3956</v>
      </c>
      <c r="I1275" s="236" t="s">
        <v>870</v>
      </c>
      <c r="J1275" s="236" t="s">
        <v>58</v>
      </c>
      <c r="K1275" s="236" t="s">
        <v>57</v>
      </c>
      <c r="L1275" s="1052">
        <v>0.5</v>
      </c>
      <c r="M1275" s="236" t="s">
        <v>1085</v>
      </c>
      <c r="N1275" s="855"/>
      <c r="O1275" s="1562" t="s">
        <v>3966</v>
      </c>
      <c r="P1275" s="1562">
        <v>8</v>
      </c>
      <c r="Q1275" s="1563">
        <v>0.1</v>
      </c>
      <c r="R1275" s="1562"/>
      <c r="S1275" s="855">
        <f t="shared" si="38"/>
        <v>0</v>
      </c>
      <c r="T1275" s="1564">
        <f t="shared" si="39"/>
        <v>0</v>
      </c>
      <c r="U1275" s="855" t="s">
        <v>83</v>
      </c>
      <c r="V1275" s="1055">
        <f>SUM(T1275:T1281)%</f>
        <v>0</v>
      </c>
      <c r="W1275" s="791"/>
    </row>
    <row r="1276" spans="1:23" ht="22.95" customHeight="1" x14ac:dyDescent="0.4">
      <c r="A1276" s="788">
        <v>1275</v>
      </c>
      <c r="B1276" s="210" t="s">
        <v>2616</v>
      </c>
      <c r="C1276" s="648" t="s">
        <v>24</v>
      </c>
      <c r="D1276" s="1169">
        <v>3621</v>
      </c>
      <c r="E1276" s="198" t="s">
        <v>3967</v>
      </c>
      <c r="F1276" s="198" t="s">
        <v>3965</v>
      </c>
      <c r="G1276" s="1542">
        <v>6031</v>
      </c>
      <c r="H1276" s="198" t="s">
        <v>3956</v>
      </c>
      <c r="I1276" s="245" t="s">
        <v>870</v>
      </c>
      <c r="J1276" s="719" t="s">
        <v>58</v>
      </c>
      <c r="K1276" s="719" t="s">
        <v>57</v>
      </c>
      <c r="L1276" s="1067">
        <v>0.5</v>
      </c>
      <c r="M1276" s="1565" t="s">
        <v>1086</v>
      </c>
      <c r="N1276" s="204"/>
      <c r="O1276" s="1568"/>
      <c r="P1276" s="1568">
        <v>0.7</v>
      </c>
      <c r="Q1276" s="1567">
        <v>0.1</v>
      </c>
      <c r="R1276" s="1568"/>
      <c r="S1276" s="204">
        <f t="shared" si="38"/>
        <v>0</v>
      </c>
      <c r="T1276" s="1551">
        <f t="shared" si="39"/>
        <v>0</v>
      </c>
      <c r="U1276" s="204" t="s">
        <v>34</v>
      </c>
      <c r="V1276" s="1067"/>
      <c r="W1276" s="799"/>
    </row>
    <row r="1277" spans="1:23" ht="22.95" customHeight="1" x14ac:dyDescent="0.4">
      <c r="A1277" s="788">
        <v>1276</v>
      </c>
      <c r="B1277" s="210" t="s">
        <v>2616</v>
      </c>
      <c r="C1277" s="648" t="s">
        <v>24</v>
      </c>
      <c r="D1277" s="1169">
        <v>3621</v>
      </c>
      <c r="E1277" s="198" t="s">
        <v>3967</v>
      </c>
      <c r="F1277" s="198" t="s">
        <v>3965</v>
      </c>
      <c r="G1277" s="1542">
        <v>6031</v>
      </c>
      <c r="H1277" s="198" t="s">
        <v>3956</v>
      </c>
      <c r="I1277" s="245" t="s">
        <v>870</v>
      </c>
      <c r="J1277" s="719" t="s">
        <v>58</v>
      </c>
      <c r="K1277" s="719" t="s">
        <v>57</v>
      </c>
      <c r="L1277" s="1067">
        <v>0.5</v>
      </c>
      <c r="M1277" s="1565" t="s">
        <v>1087</v>
      </c>
      <c r="N1277" s="204"/>
      <c r="O1277" s="1566" t="s">
        <v>1082</v>
      </c>
      <c r="P1277" s="1566">
        <v>60</v>
      </c>
      <c r="Q1277" s="1567">
        <v>0.1</v>
      </c>
      <c r="R1277" s="1566"/>
      <c r="S1277" s="204">
        <f t="shared" si="38"/>
        <v>0</v>
      </c>
      <c r="T1277" s="1551">
        <f t="shared" si="39"/>
        <v>0</v>
      </c>
      <c r="U1277" s="204" t="s">
        <v>83</v>
      </c>
      <c r="V1277" s="1067"/>
      <c r="W1277" s="799"/>
    </row>
    <row r="1278" spans="1:23" ht="22.95" customHeight="1" x14ac:dyDescent="0.4">
      <c r="A1278" s="788">
        <v>1277</v>
      </c>
      <c r="B1278" s="210" t="s">
        <v>2616</v>
      </c>
      <c r="C1278" s="648" t="s">
        <v>24</v>
      </c>
      <c r="D1278" s="1169">
        <v>3621</v>
      </c>
      <c r="E1278" s="198" t="s">
        <v>3967</v>
      </c>
      <c r="F1278" s="198" t="s">
        <v>3965</v>
      </c>
      <c r="G1278" s="1542">
        <v>6031</v>
      </c>
      <c r="H1278" s="198" t="s">
        <v>3956</v>
      </c>
      <c r="I1278" s="245" t="s">
        <v>870</v>
      </c>
      <c r="J1278" s="719" t="s">
        <v>58</v>
      </c>
      <c r="K1278" s="719" t="s">
        <v>57</v>
      </c>
      <c r="L1278" s="1067">
        <v>0.5</v>
      </c>
      <c r="M1278" s="1565" t="s">
        <v>3917</v>
      </c>
      <c r="N1278" s="204"/>
      <c r="O1278" s="1601" t="s">
        <v>3918</v>
      </c>
      <c r="P1278" s="1601">
        <v>99.9</v>
      </c>
      <c r="Q1278" s="1567">
        <v>0.1</v>
      </c>
      <c r="R1278" s="1601"/>
      <c r="S1278" s="204">
        <f t="shared" si="38"/>
        <v>0</v>
      </c>
      <c r="T1278" s="1551">
        <f t="shared" si="39"/>
        <v>0</v>
      </c>
      <c r="U1278" s="204" t="s">
        <v>34</v>
      </c>
      <c r="V1278" s="1067"/>
      <c r="W1278" s="799"/>
    </row>
    <row r="1279" spans="1:23" ht="22.95" customHeight="1" x14ac:dyDescent="0.4">
      <c r="A1279" s="788">
        <v>1278</v>
      </c>
      <c r="B1279" s="210" t="s">
        <v>2616</v>
      </c>
      <c r="C1279" s="648" t="s">
        <v>24</v>
      </c>
      <c r="D1279" s="1169">
        <v>3621</v>
      </c>
      <c r="E1279" s="198" t="s">
        <v>3967</v>
      </c>
      <c r="F1279" s="198" t="s">
        <v>3965</v>
      </c>
      <c r="G1279" s="1542">
        <v>6031</v>
      </c>
      <c r="H1279" s="198" t="s">
        <v>3956</v>
      </c>
      <c r="I1279" s="245" t="s">
        <v>870</v>
      </c>
      <c r="J1279" s="719" t="s">
        <v>58</v>
      </c>
      <c r="K1279" s="719" t="s">
        <v>57</v>
      </c>
      <c r="L1279" s="1067">
        <v>0.5</v>
      </c>
      <c r="M1279" s="1565" t="s">
        <v>3919</v>
      </c>
      <c r="N1279" s="204"/>
      <c r="O1279" s="1552" t="s">
        <v>3920</v>
      </c>
      <c r="P1279" s="1552">
        <v>99.9</v>
      </c>
      <c r="Q1279" s="1567">
        <v>0.5</v>
      </c>
      <c r="R1279" s="1552"/>
      <c r="S1279" s="204">
        <f t="shared" si="38"/>
        <v>0</v>
      </c>
      <c r="T1279" s="1551">
        <f t="shared" si="39"/>
        <v>0</v>
      </c>
      <c r="U1279" s="204" t="s">
        <v>34</v>
      </c>
      <c r="V1279" s="1067"/>
      <c r="W1279" s="799"/>
    </row>
    <row r="1280" spans="1:23" ht="22.95" customHeight="1" x14ac:dyDescent="0.4">
      <c r="A1280" s="788">
        <v>1279</v>
      </c>
      <c r="B1280" s="210" t="s">
        <v>2616</v>
      </c>
      <c r="C1280" s="648" t="s">
        <v>24</v>
      </c>
      <c r="D1280" s="1169">
        <v>3621</v>
      </c>
      <c r="E1280" s="198" t="s">
        <v>3967</v>
      </c>
      <c r="F1280" s="198" t="s">
        <v>3965</v>
      </c>
      <c r="G1280" s="1542">
        <v>6031</v>
      </c>
      <c r="H1280" s="198" t="s">
        <v>3956</v>
      </c>
      <c r="I1280" s="245" t="s">
        <v>870</v>
      </c>
      <c r="J1280" s="719" t="s">
        <v>58</v>
      </c>
      <c r="K1280" s="719" t="s">
        <v>57</v>
      </c>
      <c r="L1280" s="1067">
        <v>0.5</v>
      </c>
      <c r="M1280" s="1565" t="s">
        <v>1089</v>
      </c>
      <c r="N1280" s="204"/>
      <c r="O1280" s="1566"/>
      <c r="P1280" s="1566">
        <v>10</v>
      </c>
      <c r="Q1280" s="1567">
        <v>0.1</v>
      </c>
      <c r="R1280" s="1566"/>
      <c r="S1280" s="204">
        <f t="shared" si="38"/>
        <v>0</v>
      </c>
      <c r="T1280" s="1551">
        <f t="shared" si="39"/>
        <v>0</v>
      </c>
      <c r="U1280" s="204" t="s">
        <v>83</v>
      </c>
      <c r="V1280" s="1067"/>
      <c r="W1280" s="799"/>
    </row>
    <row r="1281" spans="1:23" ht="22.95" customHeight="1" x14ac:dyDescent="0.4">
      <c r="A1281" s="788">
        <v>1280</v>
      </c>
      <c r="B1281" s="210" t="s">
        <v>2616</v>
      </c>
      <c r="C1281" s="648" t="s">
        <v>24</v>
      </c>
      <c r="D1281" s="1169">
        <v>3621</v>
      </c>
      <c r="E1281" s="198" t="s">
        <v>3967</v>
      </c>
      <c r="F1281" s="198" t="s">
        <v>3965</v>
      </c>
      <c r="G1281" s="1542">
        <v>6031</v>
      </c>
      <c r="H1281" s="198" t="s">
        <v>3956</v>
      </c>
      <c r="I1281" s="198" t="s">
        <v>870</v>
      </c>
      <c r="J1281" s="198" t="s">
        <v>111</v>
      </c>
      <c r="K1281" s="198" t="s">
        <v>110</v>
      </c>
      <c r="L1281" s="1174">
        <v>0.5</v>
      </c>
      <c r="M1281" s="798" t="s">
        <v>3963</v>
      </c>
      <c r="N1281" s="215"/>
      <c r="O1281" s="1555"/>
      <c r="P1281" s="1555">
        <v>1</v>
      </c>
      <c r="Q1281" s="1561">
        <v>1</v>
      </c>
      <c r="R1281" s="1555"/>
      <c r="S1281" s="215">
        <f t="shared" si="38"/>
        <v>0</v>
      </c>
      <c r="T1281" s="1569">
        <f t="shared" si="39"/>
        <v>0</v>
      </c>
      <c r="U1281" s="215" t="s">
        <v>34</v>
      </c>
      <c r="V1281" s="1174"/>
      <c r="W1281" s="799"/>
    </row>
    <row r="1282" spans="1:23" ht="22.95" customHeight="1" x14ac:dyDescent="0.4">
      <c r="A1282" s="788">
        <v>1281</v>
      </c>
      <c r="B1282" s="243" t="s">
        <v>2616</v>
      </c>
      <c r="C1282" s="243" t="s">
        <v>24</v>
      </c>
      <c r="D1282" s="1581">
        <v>6034</v>
      </c>
      <c r="E1282" s="236" t="s">
        <v>3968</v>
      </c>
      <c r="F1282" s="236" t="s">
        <v>3969</v>
      </c>
      <c r="G1282" s="1582">
        <v>6031</v>
      </c>
      <c r="H1282" s="236" t="s">
        <v>3956</v>
      </c>
      <c r="I1282" s="236" t="s">
        <v>870</v>
      </c>
      <c r="J1282" s="236" t="s">
        <v>58</v>
      </c>
      <c r="K1282" s="236" t="s">
        <v>57</v>
      </c>
      <c r="L1282" s="1193">
        <v>0.5</v>
      </c>
      <c r="M1282" s="236" t="s">
        <v>1085</v>
      </c>
      <c r="N1282" s="855"/>
      <c r="O1282" s="1562"/>
      <c r="P1282" s="1562">
        <v>8</v>
      </c>
      <c r="Q1282" s="1563">
        <v>0.4</v>
      </c>
      <c r="R1282" s="1562"/>
      <c r="S1282" s="855">
        <f t="shared" ref="S1282:S1345" si="40">ROUND(IF(OR(P1282="",R1282=""),0,IF(AND(P1282=0,R1282=0),1,IF(U1282="+",R1282/P1282,P1282/R1282))),2)</f>
        <v>0</v>
      </c>
      <c r="T1282" s="1564">
        <f t="shared" ref="T1282:T1345" si="41">IF(AND(S1282&gt;=60%,S1282&lt;100%),S1282*((Q1282*L1282)),IF(S1282=100%,((Q1282*L1282)*S1282)*100%,IF(S1282&gt;100%,((L1282*Q1282)*100%)*100%,0)))*100</f>
        <v>0</v>
      </c>
      <c r="U1282" s="855" t="s">
        <v>83</v>
      </c>
      <c r="V1282" s="1055">
        <f>SUM(T1282:T1285)%</f>
        <v>0</v>
      </c>
      <c r="W1282" s="791"/>
    </row>
    <row r="1283" spans="1:23" ht="22.95" customHeight="1" x14ac:dyDescent="0.4">
      <c r="A1283" s="788">
        <v>1282</v>
      </c>
      <c r="B1283" s="210" t="s">
        <v>2616</v>
      </c>
      <c r="C1283" s="648" t="s">
        <v>24</v>
      </c>
      <c r="D1283" s="1584">
        <v>6034</v>
      </c>
      <c r="E1283" s="198" t="s">
        <v>3968</v>
      </c>
      <c r="F1283" s="198" t="s">
        <v>3969</v>
      </c>
      <c r="G1283" s="1585">
        <v>6031</v>
      </c>
      <c r="H1283" s="198" t="s">
        <v>3956</v>
      </c>
      <c r="I1283" s="245" t="s">
        <v>870</v>
      </c>
      <c r="J1283" s="719" t="s">
        <v>58</v>
      </c>
      <c r="K1283" s="719" t="s">
        <v>57</v>
      </c>
      <c r="L1283" s="1196">
        <v>0.5</v>
      </c>
      <c r="M1283" s="1565" t="s">
        <v>1086</v>
      </c>
      <c r="N1283" s="204"/>
      <c r="O1283" s="1553"/>
      <c r="P1283" s="1553">
        <v>0.7</v>
      </c>
      <c r="Q1283" s="1567">
        <v>0.3</v>
      </c>
      <c r="R1283" s="1553"/>
      <c r="S1283" s="204">
        <f t="shared" si="40"/>
        <v>0</v>
      </c>
      <c r="T1283" s="1551">
        <f t="shared" si="41"/>
        <v>0</v>
      </c>
      <c r="U1283" s="204" t="s">
        <v>34</v>
      </c>
      <c r="V1283" s="1067"/>
      <c r="W1283" s="799"/>
    </row>
    <row r="1284" spans="1:23" ht="22.95" customHeight="1" x14ac:dyDescent="0.4">
      <c r="A1284" s="788">
        <v>1283</v>
      </c>
      <c r="B1284" s="210" t="s">
        <v>2616</v>
      </c>
      <c r="C1284" s="648" t="s">
        <v>24</v>
      </c>
      <c r="D1284" s="1584">
        <v>6034</v>
      </c>
      <c r="E1284" s="198" t="s">
        <v>3968</v>
      </c>
      <c r="F1284" s="198" t="s">
        <v>3969</v>
      </c>
      <c r="G1284" s="1585">
        <v>6031</v>
      </c>
      <c r="H1284" s="198" t="s">
        <v>3956</v>
      </c>
      <c r="I1284" s="245" t="s">
        <v>870</v>
      </c>
      <c r="J1284" s="719" t="s">
        <v>58</v>
      </c>
      <c r="K1284" s="719" t="s">
        <v>57</v>
      </c>
      <c r="L1284" s="1196">
        <v>0.5</v>
      </c>
      <c r="M1284" s="1565" t="s">
        <v>1089</v>
      </c>
      <c r="N1284" s="204"/>
      <c r="O1284" s="1552"/>
      <c r="P1284" s="1552">
        <v>10</v>
      </c>
      <c r="Q1284" s="1567">
        <v>0.3</v>
      </c>
      <c r="R1284" s="1552"/>
      <c r="S1284" s="204">
        <f t="shared" si="40"/>
        <v>0</v>
      </c>
      <c r="T1284" s="1551">
        <f t="shared" si="41"/>
        <v>0</v>
      </c>
      <c r="U1284" s="204" t="s">
        <v>83</v>
      </c>
      <c r="V1284" s="1067"/>
      <c r="W1284" s="799"/>
    </row>
    <row r="1285" spans="1:23" ht="22.95" customHeight="1" x14ac:dyDescent="0.4">
      <c r="A1285" s="788">
        <v>1284</v>
      </c>
      <c r="B1285" s="210" t="s">
        <v>2616</v>
      </c>
      <c r="C1285" s="648" t="s">
        <v>24</v>
      </c>
      <c r="D1285" s="1584">
        <v>6034</v>
      </c>
      <c r="E1285" s="198" t="s">
        <v>3968</v>
      </c>
      <c r="F1285" s="198" t="s">
        <v>3969</v>
      </c>
      <c r="G1285" s="1585">
        <v>6031</v>
      </c>
      <c r="H1285" s="198" t="s">
        <v>3956</v>
      </c>
      <c r="I1285" s="198" t="s">
        <v>870</v>
      </c>
      <c r="J1285" s="198" t="s">
        <v>111</v>
      </c>
      <c r="K1285" s="198" t="s">
        <v>110</v>
      </c>
      <c r="L1285" s="1199">
        <v>0.5</v>
      </c>
      <c r="M1285" s="798" t="s">
        <v>3962</v>
      </c>
      <c r="N1285" s="215"/>
      <c r="O1285" s="1555"/>
      <c r="P1285" s="1555">
        <v>1</v>
      </c>
      <c r="Q1285" s="1561">
        <v>1</v>
      </c>
      <c r="R1285" s="1555"/>
      <c r="S1285" s="215">
        <f t="shared" si="40"/>
        <v>0</v>
      </c>
      <c r="T1285" s="1569">
        <f t="shared" si="41"/>
        <v>0</v>
      </c>
      <c r="U1285" s="215" t="s">
        <v>34</v>
      </c>
      <c r="V1285" s="1174"/>
      <c r="W1285" s="799"/>
    </row>
    <row r="1286" spans="1:23" ht="22.95" customHeight="1" x14ac:dyDescent="0.4">
      <c r="A1286" s="788">
        <v>1285</v>
      </c>
      <c r="B1286" s="187" t="s">
        <v>2616</v>
      </c>
      <c r="C1286" s="653" t="s">
        <v>24</v>
      </c>
      <c r="D1286" s="1200">
        <v>6198</v>
      </c>
      <c r="E1286" s="1571" t="s">
        <v>3940</v>
      </c>
      <c r="F1286" s="1571" t="s">
        <v>3941</v>
      </c>
      <c r="G1286" s="674">
        <v>2455</v>
      </c>
      <c r="H1286" s="187" t="s">
        <v>3970</v>
      </c>
      <c r="I1286" s="187" t="s">
        <v>3971</v>
      </c>
      <c r="J1286" s="187" t="s">
        <v>58</v>
      </c>
      <c r="K1286" s="187" t="s">
        <v>57</v>
      </c>
      <c r="L1286" s="1054">
        <v>0.4</v>
      </c>
      <c r="M1286" s="644" t="s">
        <v>3972</v>
      </c>
      <c r="N1286" s="1602" t="s">
        <v>3973</v>
      </c>
      <c r="O1286" s="1603"/>
      <c r="P1286" s="1603">
        <v>1</v>
      </c>
      <c r="Q1286" s="1563">
        <v>0.3</v>
      </c>
      <c r="R1286" s="1603"/>
      <c r="S1286" s="855">
        <f t="shared" si="40"/>
        <v>0</v>
      </c>
      <c r="T1286" s="1604">
        <f t="shared" si="41"/>
        <v>0</v>
      </c>
      <c r="U1286" s="855" t="s">
        <v>34</v>
      </c>
      <c r="V1286" s="1055">
        <f>SUM(T1286:T1292)%</f>
        <v>0</v>
      </c>
      <c r="W1286" s="1016" t="s">
        <v>3942</v>
      </c>
    </row>
    <row r="1287" spans="1:23" ht="22.95" customHeight="1" x14ac:dyDescent="0.4">
      <c r="A1287" s="788">
        <v>1286</v>
      </c>
      <c r="B1287" s="199" t="s">
        <v>2616</v>
      </c>
      <c r="C1287" s="648" t="s">
        <v>24</v>
      </c>
      <c r="D1287" s="1082">
        <v>6198</v>
      </c>
      <c r="E1287" s="199" t="s">
        <v>3940</v>
      </c>
      <c r="F1287" s="199" t="s">
        <v>3941</v>
      </c>
      <c r="G1287" s="679">
        <v>2455</v>
      </c>
      <c r="H1287" s="199" t="s">
        <v>3970</v>
      </c>
      <c r="I1287" s="246" t="s">
        <v>3971</v>
      </c>
      <c r="J1287" s="692" t="s">
        <v>58</v>
      </c>
      <c r="K1287" s="692" t="s">
        <v>57</v>
      </c>
      <c r="L1287" s="1201">
        <v>0.4</v>
      </c>
      <c r="M1287" s="647" t="s">
        <v>3974</v>
      </c>
      <c r="N1287" s="1565" t="s">
        <v>3975</v>
      </c>
      <c r="O1287" s="1605"/>
      <c r="P1287" s="1605">
        <v>1</v>
      </c>
      <c r="Q1287" s="1567">
        <v>0.15</v>
      </c>
      <c r="R1287" s="1605"/>
      <c r="S1287" s="204">
        <f t="shared" si="40"/>
        <v>0</v>
      </c>
      <c r="T1287" s="1606">
        <f t="shared" si="41"/>
        <v>0</v>
      </c>
      <c r="U1287" s="204" t="s">
        <v>34</v>
      </c>
      <c r="V1287" s="1067"/>
      <c r="W1287" s="799"/>
    </row>
    <row r="1288" spans="1:23" ht="22.95" customHeight="1" x14ac:dyDescent="0.4">
      <c r="A1288" s="788">
        <v>1287</v>
      </c>
      <c r="B1288" s="199" t="s">
        <v>2616</v>
      </c>
      <c r="C1288" s="648" t="s">
        <v>24</v>
      </c>
      <c r="D1288" s="1082">
        <v>6198</v>
      </c>
      <c r="E1288" s="199" t="s">
        <v>3940</v>
      </c>
      <c r="F1288" s="199" t="s">
        <v>3941</v>
      </c>
      <c r="G1288" s="679">
        <v>2455</v>
      </c>
      <c r="H1288" s="199" t="s">
        <v>3970</v>
      </c>
      <c r="I1288" s="246" t="s">
        <v>3971</v>
      </c>
      <c r="J1288" s="692" t="s">
        <v>58</v>
      </c>
      <c r="K1288" s="692" t="s">
        <v>57</v>
      </c>
      <c r="L1288" s="1201">
        <v>0.4</v>
      </c>
      <c r="M1288" s="647" t="s">
        <v>3976</v>
      </c>
      <c r="N1288" s="1565" t="s">
        <v>3977</v>
      </c>
      <c r="O1288" s="1605"/>
      <c r="P1288" s="1605">
        <v>1</v>
      </c>
      <c r="Q1288" s="1567">
        <v>0.3</v>
      </c>
      <c r="R1288" s="1605"/>
      <c r="S1288" s="204">
        <f t="shared" si="40"/>
        <v>0</v>
      </c>
      <c r="T1288" s="1606">
        <f t="shared" si="41"/>
        <v>0</v>
      </c>
      <c r="U1288" s="204" t="s">
        <v>34</v>
      </c>
      <c r="V1288" s="1067"/>
      <c r="W1288" s="799"/>
    </row>
    <row r="1289" spans="1:23" ht="22.95" customHeight="1" x14ac:dyDescent="0.4">
      <c r="A1289" s="788">
        <v>1288</v>
      </c>
      <c r="B1289" s="199" t="s">
        <v>2616</v>
      </c>
      <c r="C1289" s="648" t="s">
        <v>24</v>
      </c>
      <c r="D1289" s="1082">
        <v>6198</v>
      </c>
      <c r="E1289" s="199" t="s">
        <v>3940</v>
      </c>
      <c r="F1289" s="199" t="s">
        <v>3941</v>
      </c>
      <c r="G1289" s="679">
        <v>2455</v>
      </c>
      <c r="H1289" s="199" t="s">
        <v>3970</v>
      </c>
      <c r="I1289" s="246" t="s">
        <v>3971</v>
      </c>
      <c r="J1289" s="692" t="s">
        <v>58</v>
      </c>
      <c r="K1289" s="692" t="s">
        <v>57</v>
      </c>
      <c r="L1289" s="1201">
        <v>0.4</v>
      </c>
      <c r="M1289" s="647" t="s">
        <v>3978</v>
      </c>
      <c r="N1289" s="1565" t="s">
        <v>3979</v>
      </c>
      <c r="O1289" s="1605"/>
      <c r="P1289" s="1605">
        <v>1</v>
      </c>
      <c r="Q1289" s="1567">
        <v>0.1</v>
      </c>
      <c r="R1289" s="1605"/>
      <c r="S1289" s="204">
        <f t="shared" si="40"/>
        <v>0</v>
      </c>
      <c r="T1289" s="1606">
        <f t="shared" si="41"/>
        <v>0</v>
      </c>
      <c r="U1289" s="204" t="s">
        <v>34</v>
      </c>
      <c r="V1289" s="1067"/>
      <c r="W1289" s="799"/>
    </row>
    <row r="1290" spans="1:23" ht="22.95" customHeight="1" x14ac:dyDescent="0.4">
      <c r="A1290" s="788">
        <v>1289</v>
      </c>
      <c r="B1290" s="199" t="s">
        <v>2616</v>
      </c>
      <c r="C1290" s="648" t="s">
        <v>24</v>
      </c>
      <c r="D1290" s="1082">
        <v>6198</v>
      </c>
      <c r="E1290" s="199" t="s">
        <v>3940</v>
      </c>
      <c r="F1290" s="199" t="s">
        <v>3941</v>
      </c>
      <c r="G1290" s="679">
        <v>2455</v>
      </c>
      <c r="H1290" s="199" t="s">
        <v>3970</v>
      </c>
      <c r="I1290" s="246" t="s">
        <v>3971</v>
      </c>
      <c r="J1290" s="692" t="s">
        <v>58</v>
      </c>
      <c r="K1290" s="692" t="s">
        <v>57</v>
      </c>
      <c r="L1290" s="1201">
        <v>0.4</v>
      </c>
      <c r="M1290" s="647" t="s">
        <v>3980</v>
      </c>
      <c r="N1290" s="1565" t="s">
        <v>3981</v>
      </c>
      <c r="O1290" s="1605"/>
      <c r="P1290" s="1605">
        <v>1</v>
      </c>
      <c r="Q1290" s="1567">
        <v>0.15</v>
      </c>
      <c r="R1290" s="1605"/>
      <c r="S1290" s="204">
        <f t="shared" si="40"/>
        <v>0</v>
      </c>
      <c r="T1290" s="1606">
        <f t="shared" si="41"/>
        <v>0</v>
      </c>
      <c r="U1290" s="204" t="s">
        <v>34</v>
      </c>
      <c r="V1290" s="1067"/>
      <c r="W1290" s="799"/>
    </row>
    <row r="1291" spans="1:23" ht="22.95" customHeight="1" x14ac:dyDescent="0.4">
      <c r="A1291" s="788">
        <v>1290</v>
      </c>
      <c r="B1291" s="199" t="s">
        <v>2616</v>
      </c>
      <c r="C1291" s="648" t="s">
        <v>24</v>
      </c>
      <c r="D1291" s="1082">
        <v>6198</v>
      </c>
      <c r="E1291" s="199" t="s">
        <v>3940</v>
      </c>
      <c r="F1291" s="199" t="s">
        <v>3941</v>
      </c>
      <c r="G1291" s="679">
        <v>2455</v>
      </c>
      <c r="H1291" s="199" t="s">
        <v>3970</v>
      </c>
      <c r="I1291" s="246" t="s">
        <v>3971</v>
      </c>
      <c r="J1291" s="199" t="s">
        <v>111</v>
      </c>
      <c r="K1291" s="199" t="s">
        <v>110</v>
      </c>
      <c r="L1291" s="1308">
        <v>0.6</v>
      </c>
      <c r="M1291" s="673" t="s">
        <v>3982</v>
      </c>
      <c r="N1291" s="798" t="s">
        <v>3983</v>
      </c>
      <c r="O1291" s="1607"/>
      <c r="P1291" s="1607">
        <v>1</v>
      </c>
      <c r="Q1291" s="1561">
        <v>0.5</v>
      </c>
      <c r="R1291" s="1607"/>
      <c r="S1291" s="215">
        <f t="shared" si="40"/>
        <v>0</v>
      </c>
      <c r="T1291" s="1608">
        <f t="shared" si="41"/>
        <v>0</v>
      </c>
      <c r="U1291" s="215" t="s">
        <v>34</v>
      </c>
      <c r="V1291" s="1174"/>
      <c r="W1291" s="799"/>
    </row>
    <row r="1292" spans="1:23" ht="22.95" customHeight="1" x14ac:dyDescent="0.4">
      <c r="A1292" s="788">
        <v>1291</v>
      </c>
      <c r="B1292" s="199" t="s">
        <v>2616</v>
      </c>
      <c r="C1292" s="648" t="s">
        <v>24</v>
      </c>
      <c r="D1292" s="1336">
        <v>6198</v>
      </c>
      <c r="E1292" s="199" t="s">
        <v>3940</v>
      </c>
      <c r="F1292" s="199" t="s">
        <v>3941</v>
      </c>
      <c r="G1292" s="1575">
        <v>2455</v>
      </c>
      <c r="H1292" s="199" t="s">
        <v>3970</v>
      </c>
      <c r="I1292" s="199" t="s">
        <v>3971</v>
      </c>
      <c r="J1292" s="199" t="s">
        <v>111</v>
      </c>
      <c r="K1292" s="199" t="s">
        <v>110</v>
      </c>
      <c r="L1292" s="1308">
        <v>0.6</v>
      </c>
      <c r="M1292" s="874" t="s">
        <v>3984</v>
      </c>
      <c r="N1292" s="1609" t="s">
        <v>3985</v>
      </c>
      <c r="O1292" s="1610"/>
      <c r="P1292" s="1610">
        <v>1</v>
      </c>
      <c r="Q1292" s="1611">
        <v>0.5</v>
      </c>
      <c r="R1292" s="1610"/>
      <c r="S1292" s="215">
        <f t="shared" si="40"/>
        <v>0</v>
      </c>
      <c r="T1292" s="1608">
        <f t="shared" si="41"/>
        <v>0</v>
      </c>
      <c r="U1292" s="215" t="s">
        <v>34</v>
      </c>
      <c r="V1292" s="1174"/>
      <c r="W1292" s="799"/>
    </row>
    <row r="1293" spans="1:23" ht="22.95" customHeight="1" x14ac:dyDescent="0.4">
      <c r="A1293" s="788">
        <v>1292</v>
      </c>
      <c r="B1293" s="653" t="s">
        <v>2616</v>
      </c>
      <c r="C1293" s="236" t="s">
        <v>24</v>
      </c>
      <c r="D1293" s="1164">
        <v>3812</v>
      </c>
      <c r="E1293" s="236" t="s">
        <v>3986</v>
      </c>
      <c r="F1293" s="236" t="s">
        <v>3987</v>
      </c>
      <c r="G1293" s="1540">
        <v>6118</v>
      </c>
      <c r="H1293" s="236" t="s">
        <v>3913</v>
      </c>
      <c r="I1293" s="236" t="s">
        <v>870</v>
      </c>
      <c r="J1293" s="187" t="s">
        <v>58</v>
      </c>
      <c r="K1293" s="187" t="s">
        <v>57</v>
      </c>
      <c r="L1293" s="1052">
        <v>1</v>
      </c>
      <c r="M1293" s="748" t="s">
        <v>871</v>
      </c>
      <c r="N1293" s="748"/>
      <c r="O1293" s="653"/>
      <c r="P1293" s="1564">
        <v>4</v>
      </c>
      <c r="Q1293" s="1612">
        <v>0.15</v>
      </c>
      <c r="R1293" s="1564"/>
      <c r="S1293" s="855">
        <f t="shared" si="40"/>
        <v>0</v>
      </c>
      <c r="T1293" s="855">
        <f t="shared" si="41"/>
        <v>0</v>
      </c>
      <c r="U1293" s="966" t="s">
        <v>34</v>
      </c>
      <c r="V1293" s="1055">
        <f>SUM(T1293:T1296)%</f>
        <v>0</v>
      </c>
      <c r="W1293" s="791"/>
    </row>
    <row r="1294" spans="1:23" ht="22.95" customHeight="1" x14ac:dyDescent="0.4">
      <c r="A1294" s="788">
        <v>1293</v>
      </c>
      <c r="B1294" s="649" t="s">
        <v>2616</v>
      </c>
      <c r="C1294" s="648" t="s">
        <v>24</v>
      </c>
      <c r="D1294" s="1169">
        <v>3812</v>
      </c>
      <c r="E1294" s="198" t="s">
        <v>3986</v>
      </c>
      <c r="F1294" s="198" t="s">
        <v>3987</v>
      </c>
      <c r="G1294" s="1542">
        <v>6118</v>
      </c>
      <c r="H1294" s="198" t="s">
        <v>3913</v>
      </c>
      <c r="I1294" s="198" t="s">
        <v>870</v>
      </c>
      <c r="J1294" s="692" t="s">
        <v>58</v>
      </c>
      <c r="K1294" s="692" t="s">
        <v>57</v>
      </c>
      <c r="L1294" s="1067">
        <v>1</v>
      </c>
      <c r="M1294" s="756" t="s">
        <v>875</v>
      </c>
      <c r="N1294" s="756"/>
      <c r="O1294" s="79"/>
      <c r="P1294" s="1551">
        <v>0</v>
      </c>
      <c r="Q1294" s="1545">
        <v>0.15</v>
      </c>
      <c r="R1294" s="1551"/>
      <c r="S1294" s="204">
        <f t="shared" si="40"/>
        <v>0</v>
      </c>
      <c r="T1294" s="204">
        <f t="shared" si="41"/>
        <v>0</v>
      </c>
      <c r="U1294" s="1492" t="s">
        <v>83</v>
      </c>
      <c r="V1294" s="1203"/>
      <c r="W1294" s="799"/>
    </row>
    <row r="1295" spans="1:23" ht="22.95" customHeight="1" x14ac:dyDescent="0.4">
      <c r="A1295" s="788">
        <v>1294</v>
      </c>
      <c r="B1295" s="649" t="s">
        <v>2616</v>
      </c>
      <c r="C1295" s="648" t="s">
        <v>24</v>
      </c>
      <c r="D1295" s="1169">
        <v>3812</v>
      </c>
      <c r="E1295" s="198" t="s">
        <v>3986</v>
      </c>
      <c r="F1295" s="198" t="s">
        <v>3987</v>
      </c>
      <c r="G1295" s="1542">
        <v>6118</v>
      </c>
      <c r="H1295" s="198" t="s">
        <v>3913</v>
      </c>
      <c r="I1295" s="198" t="s">
        <v>870</v>
      </c>
      <c r="J1295" s="692" t="s">
        <v>58</v>
      </c>
      <c r="K1295" s="692" t="s">
        <v>57</v>
      </c>
      <c r="L1295" s="1067">
        <v>1</v>
      </c>
      <c r="M1295" s="756" t="s">
        <v>3935</v>
      </c>
      <c r="N1295" s="756"/>
      <c r="O1295" s="79"/>
      <c r="P1295" s="204">
        <v>0.98</v>
      </c>
      <c r="Q1295" s="1545">
        <v>0.4</v>
      </c>
      <c r="R1295" s="204"/>
      <c r="S1295" s="204">
        <f t="shared" si="40"/>
        <v>0</v>
      </c>
      <c r="T1295" s="204">
        <f t="shared" si="41"/>
        <v>0</v>
      </c>
      <c r="U1295" s="1492" t="s">
        <v>34</v>
      </c>
      <c r="V1295" s="1203"/>
      <c r="W1295" s="799"/>
    </row>
    <row r="1296" spans="1:23" ht="22.95" customHeight="1" x14ac:dyDescent="0.4">
      <c r="A1296" s="788">
        <v>1295</v>
      </c>
      <c r="B1296" s="649" t="s">
        <v>2616</v>
      </c>
      <c r="C1296" s="648" t="s">
        <v>24</v>
      </c>
      <c r="D1296" s="1169">
        <v>3812</v>
      </c>
      <c r="E1296" s="198" t="s">
        <v>3986</v>
      </c>
      <c r="F1296" s="198" t="s">
        <v>3987</v>
      </c>
      <c r="G1296" s="1542">
        <v>6118</v>
      </c>
      <c r="H1296" s="198" t="s">
        <v>3913</v>
      </c>
      <c r="I1296" s="198" t="s">
        <v>870</v>
      </c>
      <c r="J1296" s="692" t="s">
        <v>58</v>
      </c>
      <c r="K1296" s="692" t="s">
        <v>57</v>
      </c>
      <c r="L1296" s="1067">
        <v>1</v>
      </c>
      <c r="M1296" s="756" t="s">
        <v>1085</v>
      </c>
      <c r="N1296" s="756"/>
      <c r="O1296" s="79"/>
      <c r="P1296" s="211">
        <v>8</v>
      </c>
      <c r="Q1296" s="1545">
        <v>0.3</v>
      </c>
      <c r="R1296" s="211"/>
      <c r="S1296" s="204">
        <f t="shared" si="40"/>
        <v>0</v>
      </c>
      <c r="T1296" s="204">
        <f t="shared" si="41"/>
        <v>0</v>
      </c>
      <c r="U1296" s="1492" t="s">
        <v>83</v>
      </c>
      <c r="V1296" s="1203"/>
      <c r="W1296" s="799"/>
    </row>
    <row r="1297" spans="1:23" ht="22.95" customHeight="1" x14ac:dyDescent="0.4">
      <c r="A1297" s="788">
        <v>1296</v>
      </c>
      <c r="B1297" s="1613" t="s">
        <v>2616</v>
      </c>
      <c r="C1297" s="1613" t="s">
        <v>24</v>
      </c>
      <c r="D1297" s="1164">
        <v>3809</v>
      </c>
      <c r="E1297" s="1613" t="s">
        <v>3988</v>
      </c>
      <c r="F1297" s="1613" t="s">
        <v>3934</v>
      </c>
      <c r="G1297" s="1614">
        <v>3062</v>
      </c>
      <c r="H1297" s="1613" t="s">
        <v>3989</v>
      </c>
      <c r="I1297" s="1613" t="s">
        <v>870</v>
      </c>
      <c r="J1297" s="1613" t="s">
        <v>58</v>
      </c>
      <c r="K1297" s="1613" t="s">
        <v>57</v>
      </c>
      <c r="L1297" s="1052">
        <v>1</v>
      </c>
      <c r="M1297" s="1615" t="s">
        <v>1085</v>
      </c>
      <c r="N1297" s="1615"/>
      <c r="O1297" s="1616"/>
      <c r="P1297" s="1562">
        <v>8</v>
      </c>
      <c r="Q1297" s="1563">
        <v>0.1</v>
      </c>
      <c r="R1297" s="1562"/>
      <c r="S1297" s="1617">
        <f t="shared" si="40"/>
        <v>0</v>
      </c>
      <c r="T1297" s="1617">
        <f t="shared" si="41"/>
        <v>0</v>
      </c>
      <c r="U1297" s="1617" t="s">
        <v>83</v>
      </c>
      <c r="V1297" s="1055">
        <f>SUM(T1297:T1301)%</f>
        <v>0</v>
      </c>
      <c r="W1297" s="791"/>
    </row>
    <row r="1298" spans="1:23" ht="22.95" customHeight="1" x14ac:dyDescent="0.4">
      <c r="A1298" s="788">
        <v>1297</v>
      </c>
      <c r="B1298" s="1618" t="s">
        <v>2616</v>
      </c>
      <c r="C1298" s="1619" t="s">
        <v>24</v>
      </c>
      <c r="D1298" s="1169">
        <v>3809</v>
      </c>
      <c r="E1298" s="1618" t="s">
        <v>3988</v>
      </c>
      <c r="F1298" s="1618" t="s">
        <v>3934</v>
      </c>
      <c r="G1298" s="1620">
        <v>3062</v>
      </c>
      <c r="H1298" s="1618" t="s">
        <v>3989</v>
      </c>
      <c r="I1298" s="1618" t="s">
        <v>870</v>
      </c>
      <c r="J1298" s="1621" t="s">
        <v>58</v>
      </c>
      <c r="K1298" s="1622" t="s">
        <v>57</v>
      </c>
      <c r="L1298" s="1067">
        <v>1</v>
      </c>
      <c r="M1298" s="1623" t="s">
        <v>1086</v>
      </c>
      <c r="N1298" s="1623"/>
      <c r="O1298" s="1624"/>
      <c r="P1298" s="1568">
        <v>0.7</v>
      </c>
      <c r="Q1298" s="1567">
        <v>0.2</v>
      </c>
      <c r="R1298" s="1568"/>
      <c r="S1298" s="1553">
        <f t="shared" si="40"/>
        <v>0</v>
      </c>
      <c r="T1298" s="1553">
        <f t="shared" si="41"/>
        <v>0</v>
      </c>
      <c r="U1298" s="1553" t="s">
        <v>34</v>
      </c>
      <c r="V1298" s="1625"/>
      <c r="W1298" s="799"/>
    </row>
    <row r="1299" spans="1:23" ht="22.95" customHeight="1" x14ac:dyDescent="0.4">
      <c r="A1299" s="788">
        <v>1298</v>
      </c>
      <c r="B1299" s="1618" t="s">
        <v>2616</v>
      </c>
      <c r="C1299" s="1619" t="s">
        <v>24</v>
      </c>
      <c r="D1299" s="1169">
        <v>3809</v>
      </c>
      <c r="E1299" s="1618" t="s">
        <v>3988</v>
      </c>
      <c r="F1299" s="1618" t="s">
        <v>3934</v>
      </c>
      <c r="G1299" s="1620">
        <v>3062</v>
      </c>
      <c r="H1299" s="1618" t="s">
        <v>3989</v>
      </c>
      <c r="I1299" s="1618" t="s">
        <v>870</v>
      </c>
      <c r="J1299" s="1621" t="s">
        <v>58</v>
      </c>
      <c r="K1299" s="1622" t="s">
        <v>57</v>
      </c>
      <c r="L1299" s="1067">
        <v>1</v>
      </c>
      <c r="M1299" s="1623" t="s">
        <v>1087</v>
      </c>
      <c r="N1299" s="1623"/>
      <c r="O1299" s="1624"/>
      <c r="P1299" s="1566">
        <v>60</v>
      </c>
      <c r="Q1299" s="1567">
        <v>0.2</v>
      </c>
      <c r="R1299" s="1566"/>
      <c r="S1299" s="1553">
        <f t="shared" si="40"/>
        <v>0</v>
      </c>
      <c r="T1299" s="1553">
        <f t="shared" si="41"/>
        <v>0</v>
      </c>
      <c r="U1299" s="1553" t="s">
        <v>83</v>
      </c>
      <c r="V1299" s="1625"/>
      <c r="W1299" s="799"/>
    </row>
    <row r="1300" spans="1:23" ht="22.95" customHeight="1" x14ac:dyDescent="0.4">
      <c r="A1300" s="788">
        <v>1299</v>
      </c>
      <c r="B1300" s="1618" t="s">
        <v>2616</v>
      </c>
      <c r="C1300" s="1619" t="s">
        <v>24</v>
      </c>
      <c r="D1300" s="1169">
        <v>3809</v>
      </c>
      <c r="E1300" s="1618" t="s">
        <v>3988</v>
      </c>
      <c r="F1300" s="1618" t="s">
        <v>3934</v>
      </c>
      <c r="G1300" s="1620">
        <v>3062</v>
      </c>
      <c r="H1300" s="1618" t="s">
        <v>3989</v>
      </c>
      <c r="I1300" s="1618" t="s">
        <v>870</v>
      </c>
      <c r="J1300" s="1621" t="s">
        <v>58</v>
      </c>
      <c r="K1300" s="1622" t="s">
        <v>57</v>
      </c>
      <c r="L1300" s="1067">
        <v>1</v>
      </c>
      <c r="M1300" s="1623" t="s">
        <v>1088</v>
      </c>
      <c r="N1300" s="1623"/>
      <c r="O1300" s="1624"/>
      <c r="P1300" s="1568">
        <v>0.8</v>
      </c>
      <c r="Q1300" s="1567">
        <v>0.3</v>
      </c>
      <c r="R1300" s="1568"/>
      <c r="S1300" s="1553">
        <f t="shared" si="40"/>
        <v>0</v>
      </c>
      <c r="T1300" s="1553">
        <f t="shared" si="41"/>
        <v>0</v>
      </c>
      <c r="U1300" s="1553" t="s">
        <v>34</v>
      </c>
      <c r="V1300" s="1625"/>
      <c r="W1300" s="799"/>
    </row>
    <row r="1301" spans="1:23" ht="22.95" customHeight="1" x14ac:dyDescent="0.4">
      <c r="A1301" s="788">
        <v>1300</v>
      </c>
      <c r="B1301" s="1626" t="s">
        <v>2616</v>
      </c>
      <c r="C1301" s="1627" t="s">
        <v>24</v>
      </c>
      <c r="D1301" s="1169">
        <v>3809</v>
      </c>
      <c r="E1301" s="1626" t="s">
        <v>3988</v>
      </c>
      <c r="F1301" s="1626" t="s">
        <v>3934</v>
      </c>
      <c r="G1301" s="1628">
        <v>3062</v>
      </c>
      <c r="H1301" s="1626" t="s">
        <v>3989</v>
      </c>
      <c r="I1301" s="1626" t="s">
        <v>870</v>
      </c>
      <c r="J1301" s="1451" t="s">
        <v>58</v>
      </c>
      <c r="K1301" s="1629" t="s">
        <v>57</v>
      </c>
      <c r="L1301" s="1067">
        <v>1</v>
      </c>
      <c r="M1301" s="1630" t="s">
        <v>1089</v>
      </c>
      <c r="N1301" s="1630"/>
      <c r="O1301" s="1631"/>
      <c r="P1301" s="1632">
        <v>10</v>
      </c>
      <c r="Q1301" s="1633">
        <v>0.2</v>
      </c>
      <c r="R1301" s="1632"/>
      <c r="S1301" s="1634">
        <f t="shared" si="40"/>
        <v>0</v>
      </c>
      <c r="T1301" s="1634">
        <f t="shared" si="41"/>
        <v>0</v>
      </c>
      <c r="U1301" s="1634" t="s">
        <v>83</v>
      </c>
      <c r="V1301" s="1203"/>
      <c r="W1301" s="799"/>
    </row>
    <row r="1302" spans="1:23" ht="22.95" customHeight="1" x14ac:dyDescent="0.4">
      <c r="A1302" s="788">
        <v>1301</v>
      </c>
      <c r="B1302" s="187" t="s">
        <v>2616</v>
      </c>
      <c r="C1302" s="187" t="s">
        <v>24</v>
      </c>
      <c r="D1302" s="1200">
        <v>2455</v>
      </c>
      <c r="E1302" s="187" t="s">
        <v>3990</v>
      </c>
      <c r="F1302" s="187" t="s">
        <v>3991</v>
      </c>
      <c r="G1302" s="1635">
        <v>6039</v>
      </c>
      <c r="H1302" s="236" t="s">
        <v>3562</v>
      </c>
      <c r="I1302" s="187" t="s">
        <v>3971</v>
      </c>
      <c r="J1302" s="653" t="s">
        <v>58</v>
      </c>
      <c r="K1302" s="653" t="s">
        <v>57</v>
      </c>
      <c r="L1302" s="1052">
        <v>0.4</v>
      </c>
      <c r="M1302" s="1636" t="s">
        <v>3992</v>
      </c>
      <c r="N1302" s="749" t="s">
        <v>3993</v>
      </c>
      <c r="O1302" s="1636"/>
      <c r="P1302" s="953">
        <v>1</v>
      </c>
      <c r="Q1302" s="1490">
        <v>0.05</v>
      </c>
      <c r="R1302" s="953"/>
      <c r="S1302" s="855">
        <f t="shared" si="40"/>
        <v>0</v>
      </c>
      <c r="T1302" s="854">
        <f t="shared" si="41"/>
        <v>0</v>
      </c>
      <c r="U1302" s="953" t="s">
        <v>34</v>
      </c>
      <c r="V1302" s="1488">
        <f>SUM(T1302:T1317)/100</f>
        <v>0</v>
      </c>
      <c r="W1302" s="653"/>
    </row>
    <row r="1303" spans="1:23" ht="22.95" customHeight="1" x14ac:dyDescent="0.4">
      <c r="A1303" s="788">
        <v>1302</v>
      </c>
      <c r="B1303" s="246" t="s">
        <v>2616</v>
      </c>
      <c r="C1303" s="246" t="s">
        <v>24</v>
      </c>
      <c r="D1303" s="1306">
        <v>2455</v>
      </c>
      <c r="E1303" s="246" t="s">
        <v>3990</v>
      </c>
      <c r="F1303" s="246" t="s">
        <v>3991</v>
      </c>
      <c r="G1303" s="1637">
        <v>6039</v>
      </c>
      <c r="H1303" s="245" t="s">
        <v>3562</v>
      </c>
      <c r="I1303" s="246" t="s">
        <v>3971</v>
      </c>
      <c r="J1303" s="79" t="s">
        <v>58</v>
      </c>
      <c r="K1303" s="79" t="s">
        <v>57</v>
      </c>
      <c r="L1303" s="1067">
        <v>0.4</v>
      </c>
      <c r="M1303" s="1638" t="s">
        <v>3994</v>
      </c>
      <c r="N1303" s="757" t="s">
        <v>3995</v>
      </c>
      <c r="O1303" s="1638"/>
      <c r="P1303" s="669">
        <v>1</v>
      </c>
      <c r="Q1303" s="1493">
        <v>0.1</v>
      </c>
      <c r="R1303" s="669"/>
      <c r="S1303" s="204">
        <f t="shared" si="40"/>
        <v>0</v>
      </c>
      <c r="T1303" s="960">
        <f t="shared" si="41"/>
        <v>0</v>
      </c>
      <c r="U1303" s="669" t="s">
        <v>34</v>
      </c>
      <c r="V1303" s="1203"/>
      <c r="W1303" s="648"/>
    </row>
    <row r="1304" spans="1:23" ht="22.95" customHeight="1" x14ac:dyDescent="0.4">
      <c r="A1304" s="788">
        <v>1303</v>
      </c>
      <c r="B1304" s="246" t="s">
        <v>2616</v>
      </c>
      <c r="C1304" s="246" t="s">
        <v>24</v>
      </c>
      <c r="D1304" s="1306">
        <v>2455</v>
      </c>
      <c r="E1304" s="246" t="s">
        <v>3990</v>
      </c>
      <c r="F1304" s="246" t="s">
        <v>3991</v>
      </c>
      <c r="G1304" s="1637">
        <v>6039</v>
      </c>
      <c r="H1304" s="245" t="s">
        <v>3562</v>
      </c>
      <c r="I1304" s="246" t="s">
        <v>3971</v>
      </c>
      <c r="J1304" s="79" t="s">
        <v>58</v>
      </c>
      <c r="K1304" s="79" t="s">
        <v>57</v>
      </c>
      <c r="L1304" s="1067">
        <v>0.4</v>
      </c>
      <c r="M1304" s="1638" t="s">
        <v>3996</v>
      </c>
      <c r="N1304" s="757" t="s">
        <v>3997</v>
      </c>
      <c r="O1304" s="1638"/>
      <c r="P1304" s="669">
        <v>1</v>
      </c>
      <c r="Q1304" s="1493">
        <v>0.1</v>
      </c>
      <c r="R1304" s="669"/>
      <c r="S1304" s="204">
        <f t="shared" si="40"/>
        <v>0</v>
      </c>
      <c r="T1304" s="960">
        <f t="shared" si="41"/>
        <v>0</v>
      </c>
      <c r="U1304" s="669" t="s">
        <v>34</v>
      </c>
      <c r="V1304" s="1203"/>
      <c r="W1304" s="648"/>
    </row>
    <row r="1305" spans="1:23" ht="22.95" customHeight="1" x14ac:dyDescent="0.4">
      <c r="A1305" s="788">
        <v>1304</v>
      </c>
      <c r="B1305" s="246" t="s">
        <v>2616</v>
      </c>
      <c r="C1305" s="246" t="s">
        <v>24</v>
      </c>
      <c r="D1305" s="1306">
        <v>2455</v>
      </c>
      <c r="E1305" s="246" t="s">
        <v>3990</v>
      </c>
      <c r="F1305" s="246" t="s">
        <v>3991</v>
      </c>
      <c r="G1305" s="1637">
        <v>6039</v>
      </c>
      <c r="H1305" s="245" t="s">
        <v>3562</v>
      </c>
      <c r="I1305" s="246" t="s">
        <v>3971</v>
      </c>
      <c r="J1305" s="79" t="s">
        <v>58</v>
      </c>
      <c r="K1305" s="79" t="s">
        <v>57</v>
      </c>
      <c r="L1305" s="1067">
        <v>0.4</v>
      </c>
      <c r="M1305" s="1638" t="s">
        <v>3998</v>
      </c>
      <c r="N1305" s="757" t="s">
        <v>3999</v>
      </c>
      <c r="O1305" s="1638"/>
      <c r="P1305" s="669">
        <v>1</v>
      </c>
      <c r="Q1305" s="1493">
        <v>0.05</v>
      </c>
      <c r="R1305" s="669"/>
      <c r="S1305" s="204">
        <f t="shared" si="40"/>
        <v>0</v>
      </c>
      <c r="T1305" s="960">
        <f t="shared" si="41"/>
        <v>0</v>
      </c>
      <c r="U1305" s="669" t="s">
        <v>34</v>
      </c>
      <c r="V1305" s="1203"/>
      <c r="W1305" s="648"/>
    </row>
    <row r="1306" spans="1:23" ht="22.95" customHeight="1" x14ac:dyDescent="0.4">
      <c r="A1306" s="788">
        <v>1305</v>
      </c>
      <c r="B1306" s="246" t="s">
        <v>2616</v>
      </c>
      <c r="C1306" s="246" t="s">
        <v>24</v>
      </c>
      <c r="D1306" s="1306">
        <v>2455</v>
      </c>
      <c r="E1306" s="246" t="s">
        <v>3990</v>
      </c>
      <c r="F1306" s="246" t="s">
        <v>3991</v>
      </c>
      <c r="G1306" s="1637">
        <v>6039</v>
      </c>
      <c r="H1306" s="245" t="s">
        <v>3562</v>
      </c>
      <c r="I1306" s="246" t="s">
        <v>3971</v>
      </c>
      <c r="J1306" s="79" t="s">
        <v>58</v>
      </c>
      <c r="K1306" s="79" t="s">
        <v>57</v>
      </c>
      <c r="L1306" s="1067">
        <v>0.4</v>
      </c>
      <c r="M1306" s="1638" t="s">
        <v>4000</v>
      </c>
      <c r="N1306" s="757" t="s">
        <v>4001</v>
      </c>
      <c r="O1306" s="1638"/>
      <c r="P1306" s="669">
        <v>1</v>
      </c>
      <c r="Q1306" s="1493">
        <v>0.05</v>
      </c>
      <c r="R1306" s="669"/>
      <c r="S1306" s="204">
        <f t="shared" si="40"/>
        <v>0</v>
      </c>
      <c r="T1306" s="960">
        <f t="shared" si="41"/>
        <v>0</v>
      </c>
      <c r="U1306" s="669" t="s">
        <v>34</v>
      </c>
      <c r="V1306" s="1203"/>
      <c r="W1306" s="648"/>
    </row>
    <row r="1307" spans="1:23" ht="22.95" customHeight="1" x14ac:dyDescent="0.4">
      <c r="A1307" s="788">
        <v>1306</v>
      </c>
      <c r="B1307" s="246" t="s">
        <v>2616</v>
      </c>
      <c r="C1307" s="246" t="s">
        <v>24</v>
      </c>
      <c r="D1307" s="1306">
        <v>2455</v>
      </c>
      <c r="E1307" s="246" t="s">
        <v>3990</v>
      </c>
      <c r="F1307" s="246" t="s">
        <v>3991</v>
      </c>
      <c r="G1307" s="1637">
        <v>6039</v>
      </c>
      <c r="H1307" s="245" t="s">
        <v>3562</v>
      </c>
      <c r="I1307" s="246" t="s">
        <v>3971</v>
      </c>
      <c r="J1307" s="79" t="s">
        <v>58</v>
      </c>
      <c r="K1307" s="79" t="s">
        <v>57</v>
      </c>
      <c r="L1307" s="1067">
        <v>0.4</v>
      </c>
      <c r="M1307" s="1638" t="s">
        <v>4002</v>
      </c>
      <c r="N1307" s="757" t="s">
        <v>4003</v>
      </c>
      <c r="O1307" s="1638"/>
      <c r="P1307" s="669">
        <v>1</v>
      </c>
      <c r="Q1307" s="1493">
        <v>0.1</v>
      </c>
      <c r="R1307" s="669"/>
      <c r="S1307" s="204">
        <f t="shared" si="40"/>
        <v>0</v>
      </c>
      <c r="T1307" s="960">
        <f t="shared" si="41"/>
        <v>0</v>
      </c>
      <c r="U1307" s="669" t="s">
        <v>34</v>
      </c>
      <c r="V1307" s="1203"/>
      <c r="W1307" s="648"/>
    </row>
    <row r="1308" spans="1:23" ht="22.95" customHeight="1" x14ac:dyDescent="0.4">
      <c r="A1308" s="788">
        <v>1307</v>
      </c>
      <c r="B1308" s="246" t="s">
        <v>2616</v>
      </c>
      <c r="C1308" s="246" t="s">
        <v>24</v>
      </c>
      <c r="D1308" s="1306">
        <v>2455</v>
      </c>
      <c r="E1308" s="246" t="s">
        <v>3990</v>
      </c>
      <c r="F1308" s="246" t="s">
        <v>3991</v>
      </c>
      <c r="G1308" s="1637">
        <v>6039</v>
      </c>
      <c r="H1308" s="245" t="s">
        <v>3562</v>
      </c>
      <c r="I1308" s="246" t="s">
        <v>3971</v>
      </c>
      <c r="J1308" s="79" t="s">
        <v>58</v>
      </c>
      <c r="K1308" s="79" t="s">
        <v>57</v>
      </c>
      <c r="L1308" s="1067">
        <v>0.4</v>
      </c>
      <c r="M1308" s="1638" t="s">
        <v>4004</v>
      </c>
      <c r="N1308" s="757" t="s">
        <v>4005</v>
      </c>
      <c r="O1308" s="1638"/>
      <c r="P1308" s="669">
        <v>1</v>
      </c>
      <c r="Q1308" s="1493">
        <v>0.15</v>
      </c>
      <c r="R1308" s="669"/>
      <c r="S1308" s="204">
        <f t="shared" si="40"/>
        <v>0</v>
      </c>
      <c r="T1308" s="960">
        <f t="shared" si="41"/>
        <v>0</v>
      </c>
      <c r="U1308" s="669" t="s">
        <v>34</v>
      </c>
      <c r="V1308" s="1203"/>
      <c r="W1308" s="648"/>
    </row>
    <row r="1309" spans="1:23" ht="22.95" customHeight="1" x14ac:dyDescent="0.4">
      <c r="A1309" s="788">
        <v>1308</v>
      </c>
      <c r="B1309" s="246" t="s">
        <v>2616</v>
      </c>
      <c r="C1309" s="246" t="s">
        <v>24</v>
      </c>
      <c r="D1309" s="1306">
        <v>2455</v>
      </c>
      <c r="E1309" s="246" t="s">
        <v>3990</v>
      </c>
      <c r="F1309" s="246" t="s">
        <v>3991</v>
      </c>
      <c r="G1309" s="1637">
        <v>6039</v>
      </c>
      <c r="H1309" s="245" t="s">
        <v>3562</v>
      </c>
      <c r="I1309" s="246" t="s">
        <v>3971</v>
      </c>
      <c r="J1309" s="79" t="s">
        <v>58</v>
      </c>
      <c r="K1309" s="79" t="s">
        <v>57</v>
      </c>
      <c r="L1309" s="1067">
        <v>0.4</v>
      </c>
      <c r="M1309" s="1638" t="s">
        <v>4006</v>
      </c>
      <c r="N1309" s="757" t="s">
        <v>4007</v>
      </c>
      <c r="O1309" s="1638"/>
      <c r="P1309" s="669">
        <v>1</v>
      </c>
      <c r="Q1309" s="1493">
        <v>0.1</v>
      </c>
      <c r="R1309" s="669"/>
      <c r="S1309" s="204">
        <f t="shared" si="40"/>
        <v>0</v>
      </c>
      <c r="T1309" s="960">
        <f t="shared" si="41"/>
        <v>0</v>
      </c>
      <c r="U1309" s="669" t="s">
        <v>34</v>
      </c>
      <c r="V1309" s="1203"/>
      <c r="W1309" s="648"/>
    </row>
    <row r="1310" spans="1:23" ht="22.95" customHeight="1" x14ac:dyDescent="0.4">
      <c r="A1310" s="788">
        <v>1309</v>
      </c>
      <c r="B1310" s="246" t="s">
        <v>2616</v>
      </c>
      <c r="C1310" s="246" t="s">
        <v>24</v>
      </c>
      <c r="D1310" s="1306">
        <v>2455</v>
      </c>
      <c r="E1310" s="246" t="s">
        <v>3990</v>
      </c>
      <c r="F1310" s="246" t="s">
        <v>3991</v>
      </c>
      <c r="G1310" s="1637">
        <v>6039</v>
      </c>
      <c r="H1310" s="245" t="s">
        <v>3562</v>
      </c>
      <c r="I1310" s="246" t="s">
        <v>3971</v>
      </c>
      <c r="J1310" s="79" t="s">
        <v>58</v>
      </c>
      <c r="K1310" s="79" t="s">
        <v>57</v>
      </c>
      <c r="L1310" s="1067">
        <v>0.4</v>
      </c>
      <c r="M1310" s="1638" t="s">
        <v>4008</v>
      </c>
      <c r="N1310" s="757" t="s">
        <v>4009</v>
      </c>
      <c r="O1310" s="1638"/>
      <c r="P1310" s="669">
        <v>1</v>
      </c>
      <c r="Q1310" s="1493">
        <v>0.1</v>
      </c>
      <c r="R1310" s="669"/>
      <c r="S1310" s="204">
        <f t="shared" si="40"/>
        <v>0</v>
      </c>
      <c r="T1310" s="960">
        <f t="shared" si="41"/>
        <v>0</v>
      </c>
      <c r="U1310" s="669" t="s">
        <v>34</v>
      </c>
      <c r="V1310" s="1203"/>
      <c r="W1310" s="648"/>
    </row>
    <row r="1311" spans="1:23" ht="22.95" customHeight="1" x14ac:dyDescent="0.4">
      <c r="A1311" s="788">
        <v>1310</v>
      </c>
      <c r="B1311" s="246" t="s">
        <v>2616</v>
      </c>
      <c r="C1311" s="246" t="s">
        <v>24</v>
      </c>
      <c r="D1311" s="1306">
        <v>2455</v>
      </c>
      <c r="E1311" s="246" t="s">
        <v>3990</v>
      </c>
      <c r="F1311" s="246" t="s">
        <v>3991</v>
      </c>
      <c r="G1311" s="1637">
        <v>6039</v>
      </c>
      <c r="H1311" s="245" t="s">
        <v>3562</v>
      </c>
      <c r="I1311" s="246" t="s">
        <v>3971</v>
      </c>
      <c r="J1311" s="79" t="s">
        <v>58</v>
      </c>
      <c r="K1311" s="79" t="s">
        <v>57</v>
      </c>
      <c r="L1311" s="1067">
        <v>0.4</v>
      </c>
      <c r="M1311" s="1638" t="s">
        <v>4010</v>
      </c>
      <c r="N1311" s="757" t="s">
        <v>4011</v>
      </c>
      <c r="O1311" s="1638"/>
      <c r="P1311" s="669">
        <v>1</v>
      </c>
      <c r="Q1311" s="1493">
        <v>0.1</v>
      </c>
      <c r="R1311" s="669"/>
      <c r="S1311" s="204">
        <f t="shared" si="40"/>
        <v>0</v>
      </c>
      <c r="T1311" s="960">
        <f t="shared" si="41"/>
        <v>0</v>
      </c>
      <c r="U1311" s="669" t="s">
        <v>34</v>
      </c>
      <c r="V1311" s="1203"/>
      <c r="W1311" s="648"/>
    </row>
    <row r="1312" spans="1:23" ht="22.95" customHeight="1" x14ac:dyDescent="0.4">
      <c r="A1312" s="788">
        <v>1311</v>
      </c>
      <c r="B1312" s="246" t="s">
        <v>2616</v>
      </c>
      <c r="C1312" s="246" t="s">
        <v>24</v>
      </c>
      <c r="D1312" s="1306">
        <v>2455</v>
      </c>
      <c r="E1312" s="246" t="s">
        <v>3990</v>
      </c>
      <c r="F1312" s="246" t="s">
        <v>3991</v>
      </c>
      <c r="G1312" s="1637">
        <v>6039</v>
      </c>
      <c r="H1312" s="245" t="s">
        <v>3562</v>
      </c>
      <c r="I1312" s="246" t="s">
        <v>3971</v>
      </c>
      <c r="J1312" s="79" t="s">
        <v>58</v>
      </c>
      <c r="K1312" s="79" t="s">
        <v>57</v>
      </c>
      <c r="L1312" s="1067">
        <v>0.4</v>
      </c>
      <c r="M1312" s="1638" t="s">
        <v>4012</v>
      </c>
      <c r="N1312" s="757" t="s">
        <v>4013</v>
      </c>
      <c r="O1312" s="1638"/>
      <c r="P1312" s="669">
        <v>1</v>
      </c>
      <c r="Q1312" s="1493">
        <v>0.1</v>
      </c>
      <c r="R1312" s="669"/>
      <c r="S1312" s="204">
        <f t="shared" si="40"/>
        <v>0</v>
      </c>
      <c r="T1312" s="960">
        <f t="shared" si="41"/>
        <v>0</v>
      </c>
      <c r="U1312" s="669" t="s">
        <v>34</v>
      </c>
      <c r="V1312" s="1203"/>
      <c r="W1312" s="648"/>
    </row>
    <row r="1313" spans="1:23" ht="22.95" customHeight="1" x14ac:dyDescent="0.4">
      <c r="A1313" s="788">
        <v>1312</v>
      </c>
      <c r="B1313" s="246" t="s">
        <v>2616</v>
      </c>
      <c r="C1313" s="246" t="s">
        <v>24</v>
      </c>
      <c r="D1313" s="1306">
        <v>2455</v>
      </c>
      <c r="E1313" s="246" t="s">
        <v>3990</v>
      </c>
      <c r="F1313" s="246" t="s">
        <v>3991</v>
      </c>
      <c r="G1313" s="1170">
        <v>6039</v>
      </c>
      <c r="H1313" s="245" t="s">
        <v>3562</v>
      </c>
      <c r="I1313" s="246" t="s">
        <v>3971</v>
      </c>
      <c r="J1313" s="648" t="s">
        <v>111</v>
      </c>
      <c r="K1313" s="648" t="s">
        <v>110</v>
      </c>
      <c r="L1313" s="1145">
        <v>0.6</v>
      </c>
      <c r="M1313" s="771" t="s">
        <v>4014</v>
      </c>
      <c r="N1313" s="827" t="s">
        <v>3983</v>
      </c>
      <c r="O1313" s="771"/>
      <c r="P1313" s="1272">
        <v>1</v>
      </c>
      <c r="Q1313" s="1512">
        <v>0.3</v>
      </c>
      <c r="R1313" s="1272"/>
      <c r="S1313" s="650">
        <f t="shared" si="40"/>
        <v>0</v>
      </c>
      <c r="T1313" s="701">
        <f t="shared" si="41"/>
        <v>0</v>
      </c>
      <c r="U1313" s="1272" t="s">
        <v>34</v>
      </c>
      <c r="V1313" s="1228"/>
      <c r="W1313" s="648"/>
    </row>
    <row r="1314" spans="1:23" ht="22.95" customHeight="1" x14ac:dyDescent="0.4">
      <c r="A1314" s="788">
        <v>1313</v>
      </c>
      <c r="B1314" s="246" t="s">
        <v>2616</v>
      </c>
      <c r="C1314" s="246" t="s">
        <v>24</v>
      </c>
      <c r="D1314" s="1306">
        <v>2455</v>
      </c>
      <c r="E1314" s="246" t="s">
        <v>3990</v>
      </c>
      <c r="F1314" s="246" t="s">
        <v>3991</v>
      </c>
      <c r="G1314" s="1170">
        <v>6039</v>
      </c>
      <c r="H1314" s="245" t="s">
        <v>3562</v>
      </c>
      <c r="I1314" s="246" t="s">
        <v>3971</v>
      </c>
      <c r="J1314" s="648" t="s">
        <v>111</v>
      </c>
      <c r="K1314" s="648" t="s">
        <v>110</v>
      </c>
      <c r="L1314" s="1145">
        <v>0.6</v>
      </c>
      <c r="M1314" s="771" t="s">
        <v>4015</v>
      </c>
      <c r="N1314" s="827" t="s">
        <v>4016</v>
      </c>
      <c r="O1314" s="771"/>
      <c r="P1314" s="1272">
        <v>1</v>
      </c>
      <c r="Q1314" s="1512">
        <v>0.3</v>
      </c>
      <c r="R1314" s="1272"/>
      <c r="S1314" s="650">
        <f t="shared" si="40"/>
        <v>0</v>
      </c>
      <c r="T1314" s="701">
        <f t="shared" si="41"/>
        <v>0</v>
      </c>
      <c r="U1314" s="1272" t="s">
        <v>34</v>
      </c>
      <c r="V1314" s="1228"/>
      <c r="W1314" s="648"/>
    </row>
    <row r="1315" spans="1:23" ht="22.95" customHeight="1" x14ac:dyDescent="0.4">
      <c r="A1315" s="788">
        <v>1314</v>
      </c>
      <c r="B1315" s="246" t="s">
        <v>2616</v>
      </c>
      <c r="C1315" s="246" t="s">
        <v>24</v>
      </c>
      <c r="D1315" s="1306">
        <v>2455</v>
      </c>
      <c r="E1315" s="246" t="s">
        <v>3990</v>
      </c>
      <c r="F1315" s="246" t="s">
        <v>3991</v>
      </c>
      <c r="G1315" s="1170">
        <v>6039</v>
      </c>
      <c r="H1315" s="245" t="s">
        <v>3562</v>
      </c>
      <c r="I1315" s="246" t="s">
        <v>3971</v>
      </c>
      <c r="J1315" s="648" t="s">
        <v>111</v>
      </c>
      <c r="K1315" s="648" t="s">
        <v>110</v>
      </c>
      <c r="L1315" s="1145">
        <v>0.6</v>
      </c>
      <c r="M1315" s="799" t="s">
        <v>4017</v>
      </c>
      <c r="N1315" s="827" t="s">
        <v>4018</v>
      </c>
      <c r="O1315" s="799"/>
      <c r="P1315" s="1272">
        <v>1</v>
      </c>
      <c r="Q1315" s="1512">
        <v>0.2</v>
      </c>
      <c r="R1315" s="1272"/>
      <c r="S1315" s="650">
        <f t="shared" si="40"/>
        <v>0</v>
      </c>
      <c r="T1315" s="701">
        <f t="shared" si="41"/>
        <v>0</v>
      </c>
      <c r="U1315" s="1272" t="s">
        <v>34</v>
      </c>
      <c r="V1315" s="1228"/>
      <c r="W1315" s="648"/>
    </row>
    <row r="1316" spans="1:23" ht="22.95" customHeight="1" x14ac:dyDescent="0.4">
      <c r="A1316" s="788">
        <v>1315</v>
      </c>
      <c r="B1316" s="246" t="s">
        <v>2616</v>
      </c>
      <c r="C1316" s="246" t="s">
        <v>24</v>
      </c>
      <c r="D1316" s="1306">
        <v>2455</v>
      </c>
      <c r="E1316" s="246" t="s">
        <v>3990</v>
      </c>
      <c r="F1316" s="246" t="s">
        <v>3991</v>
      </c>
      <c r="G1316" s="1170">
        <v>6039</v>
      </c>
      <c r="H1316" s="245" t="s">
        <v>3562</v>
      </c>
      <c r="I1316" s="246" t="s">
        <v>3971</v>
      </c>
      <c r="J1316" s="648" t="s">
        <v>111</v>
      </c>
      <c r="K1316" s="648" t="s">
        <v>110</v>
      </c>
      <c r="L1316" s="1145">
        <v>0.6</v>
      </c>
      <c r="M1316" s="799" t="s">
        <v>4019</v>
      </c>
      <c r="N1316" s="827" t="s">
        <v>4020</v>
      </c>
      <c r="O1316" s="799"/>
      <c r="P1316" s="1272">
        <v>1</v>
      </c>
      <c r="Q1316" s="1512">
        <v>0.1</v>
      </c>
      <c r="R1316" s="1272"/>
      <c r="S1316" s="650">
        <f t="shared" si="40"/>
        <v>0</v>
      </c>
      <c r="T1316" s="701">
        <f t="shared" si="41"/>
        <v>0</v>
      </c>
      <c r="U1316" s="1272" t="s">
        <v>34</v>
      </c>
      <c r="V1316" s="1228"/>
      <c r="W1316" s="648"/>
    </row>
    <row r="1317" spans="1:23" ht="22.95" customHeight="1" x14ac:dyDescent="0.4">
      <c r="A1317" s="788">
        <v>1316</v>
      </c>
      <c r="B1317" s="246" t="s">
        <v>2616</v>
      </c>
      <c r="C1317" s="246" t="s">
        <v>24</v>
      </c>
      <c r="D1317" s="1306">
        <v>2455</v>
      </c>
      <c r="E1317" s="246" t="s">
        <v>3990</v>
      </c>
      <c r="F1317" s="246" t="s">
        <v>3991</v>
      </c>
      <c r="G1317" s="1170">
        <v>6039</v>
      </c>
      <c r="H1317" s="245" t="s">
        <v>3562</v>
      </c>
      <c r="I1317" s="246" t="s">
        <v>3971</v>
      </c>
      <c r="J1317" s="648" t="s">
        <v>111</v>
      </c>
      <c r="K1317" s="648" t="s">
        <v>110</v>
      </c>
      <c r="L1317" s="1145">
        <v>0.6</v>
      </c>
      <c r="M1317" s="799" t="s">
        <v>4021</v>
      </c>
      <c r="N1317" s="827" t="s">
        <v>4022</v>
      </c>
      <c r="O1317" s="799"/>
      <c r="P1317" s="1272">
        <v>1</v>
      </c>
      <c r="Q1317" s="1512">
        <v>0.1</v>
      </c>
      <c r="R1317" s="1272"/>
      <c r="S1317" s="650">
        <f t="shared" si="40"/>
        <v>0</v>
      </c>
      <c r="T1317" s="701">
        <f t="shared" si="41"/>
        <v>0</v>
      </c>
      <c r="U1317" s="1272" t="s">
        <v>34</v>
      </c>
      <c r="V1317" s="1228"/>
      <c r="W1317" s="648"/>
    </row>
    <row r="1318" spans="1:23" ht="22.95" customHeight="1" x14ac:dyDescent="0.4">
      <c r="A1318" s="788">
        <v>1317</v>
      </c>
      <c r="B1318" s="187" t="s">
        <v>2616</v>
      </c>
      <c r="C1318" s="236" t="s">
        <v>24</v>
      </c>
      <c r="D1318" s="1226">
        <v>2454</v>
      </c>
      <c r="E1318" s="236" t="s">
        <v>4023</v>
      </c>
      <c r="F1318" s="187" t="s">
        <v>4024</v>
      </c>
      <c r="G1318" s="674">
        <v>2455</v>
      </c>
      <c r="H1318" s="236" t="s">
        <v>4025</v>
      </c>
      <c r="I1318" s="187" t="s">
        <v>3971</v>
      </c>
      <c r="J1318" s="653" t="s">
        <v>58</v>
      </c>
      <c r="K1318" s="653" t="s">
        <v>57</v>
      </c>
      <c r="L1318" s="1052">
        <v>0.4</v>
      </c>
      <c r="M1318" s="1639" t="s">
        <v>4026</v>
      </c>
      <c r="N1318" s="749" t="s">
        <v>4027</v>
      </c>
      <c r="O1318" s="1639"/>
      <c r="P1318" s="953">
        <v>1</v>
      </c>
      <c r="Q1318" s="1490">
        <v>0.1</v>
      </c>
      <c r="R1318" s="953"/>
      <c r="S1318" s="855">
        <f t="shared" si="40"/>
        <v>0</v>
      </c>
      <c r="T1318" s="854">
        <f t="shared" si="41"/>
        <v>0</v>
      </c>
      <c r="U1318" s="953" t="s">
        <v>34</v>
      </c>
      <c r="V1318" s="1488">
        <f>SUM(T1318:T1333)/100</f>
        <v>0</v>
      </c>
      <c r="W1318" s="243"/>
    </row>
    <row r="1319" spans="1:23" ht="22.95" customHeight="1" x14ac:dyDescent="0.4">
      <c r="A1319" s="788">
        <v>1318</v>
      </c>
      <c r="B1319" s="246" t="s">
        <v>2616</v>
      </c>
      <c r="C1319" s="245" t="s">
        <v>24</v>
      </c>
      <c r="D1319" s="1518">
        <v>2454</v>
      </c>
      <c r="E1319" s="245" t="s">
        <v>4023</v>
      </c>
      <c r="F1319" s="246" t="s">
        <v>4024</v>
      </c>
      <c r="G1319" s="679">
        <v>2455</v>
      </c>
      <c r="H1319" s="245" t="s">
        <v>4025</v>
      </c>
      <c r="I1319" s="246" t="s">
        <v>3971</v>
      </c>
      <c r="J1319" s="79" t="s">
        <v>58</v>
      </c>
      <c r="K1319" s="79" t="s">
        <v>57</v>
      </c>
      <c r="L1319" s="1067">
        <v>0.4</v>
      </c>
      <c r="M1319" s="1640" t="s">
        <v>4028</v>
      </c>
      <c r="N1319" s="757" t="s">
        <v>4029</v>
      </c>
      <c r="O1319" s="1640"/>
      <c r="P1319" s="669">
        <v>1</v>
      </c>
      <c r="Q1319" s="1493">
        <v>0.05</v>
      </c>
      <c r="R1319" s="669"/>
      <c r="S1319" s="204">
        <f t="shared" si="40"/>
        <v>0</v>
      </c>
      <c r="T1319" s="960">
        <f t="shared" si="41"/>
        <v>0</v>
      </c>
      <c r="U1319" s="669" t="s">
        <v>34</v>
      </c>
      <c r="V1319" s="1203"/>
      <c r="W1319" s="253"/>
    </row>
    <row r="1320" spans="1:23" ht="22.95" customHeight="1" x14ac:dyDescent="0.4">
      <c r="A1320" s="788">
        <v>1319</v>
      </c>
      <c r="B1320" s="246" t="s">
        <v>2616</v>
      </c>
      <c r="C1320" s="245" t="s">
        <v>24</v>
      </c>
      <c r="D1320" s="1518">
        <v>2454</v>
      </c>
      <c r="E1320" s="245" t="s">
        <v>4023</v>
      </c>
      <c r="F1320" s="246" t="s">
        <v>4024</v>
      </c>
      <c r="G1320" s="679">
        <v>2455</v>
      </c>
      <c r="H1320" s="245" t="s">
        <v>4025</v>
      </c>
      <c r="I1320" s="246" t="s">
        <v>3971</v>
      </c>
      <c r="J1320" s="79" t="s">
        <v>58</v>
      </c>
      <c r="K1320" s="79" t="s">
        <v>57</v>
      </c>
      <c r="L1320" s="1067">
        <v>0.4</v>
      </c>
      <c r="M1320" s="1640" t="s">
        <v>4030</v>
      </c>
      <c r="N1320" s="757" t="s">
        <v>4031</v>
      </c>
      <c r="O1320" s="1640"/>
      <c r="P1320" s="669">
        <v>1</v>
      </c>
      <c r="Q1320" s="1493">
        <v>0.03</v>
      </c>
      <c r="R1320" s="669"/>
      <c r="S1320" s="204">
        <f t="shared" si="40"/>
        <v>0</v>
      </c>
      <c r="T1320" s="960">
        <f t="shared" si="41"/>
        <v>0</v>
      </c>
      <c r="U1320" s="669" t="s">
        <v>34</v>
      </c>
      <c r="V1320" s="1203"/>
      <c r="W1320" s="253"/>
    </row>
    <row r="1321" spans="1:23" ht="22.95" customHeight="1" x14ac:dyDescent="0.4">
      <c r="A1321" s="788">
        <v>1320</v>
      </c>
      <c r="B1321" s="246" t="s">
        <v>2616</v>
      </c>
      <c r="C1321" s="245" t="s">
        <v>24</v>
      </c>
      <c r="D1321" s="1518">
        <v>2454</v>
      </c>
      <c r="E1321" s="245" t="s">
        <v>4023</v>
      </c>
      <c r="F1321" s="246" t="s">
        <v>4024</v>
      </c>
      <c r="G1321" s="679">
        <v>2455</v>
      </c>
      <c r="H1321" s="245" t="s">
        <v>4025</v>
      </c>
      <c r="I1321" s="246" t="s">
        <v>3971</v>
      </c>
      <c r="J1321" s="79" t="s">
        <v>58</v>
      </c>
      <c r="K1321" s="79" t="s">
        <v>57</v>
      </c>
      <c r="L1321" s="1067">
        <v>0.4</v>
      </c>
      <c r="M1321" s="1640" t="s">
        <v>4032</v>
      </c>
      <c r="N1321" s="757" t="s">
        <v>4033</v>
      </c>
      <c r="O1321" s="1640"/>
      <c r="P1321" s="669">
        <v>1</v>
      </c>
      <c r="Q1321" s="1493">
        <v>0.1</v>
      </c>
      <c r="R1321" s="669"/>
      <c r="S1321" s="204">
        <f t="shared" si="40"/>
        <v>0</v>
      </c>
      <c r="T1321" s="960">
        <f t="shared" si="41"/>
        <v>0</v>
      </c>
      <c r="U1321" s="669" t="s">
        <v>34</v>
      </c>
      <c r="V1321" s="1203"/>
      <c r="W1321" s="253"/>
    </row>
    <row r="1322" spans="1:23" ht="22.95" customHeight="1" x14ac:dyDescent="0.4">
      <c r="A1322" s="788">
        <v>1321</v>
      </c>
      <c r="B1322" s="246" t="s">
        <v>2616</v>
      </c>
      <c r="C1322" s="245" t="s">
        <v>24</v>
      </c>
      <c r="D1322" s="1518">
        <v>2454</v>
      </c>
      <c r="E1322" s="245" t="s">
        <v>4023</v>
      </c>
      <c r="F1322" s="246" t="s">
        <v>4024</v>
      </c>
      <c r="G1322" s="679">
        <v>2455</v>
      </c>
      <c r="H1322" s="245" t="s">
        <v>4025</v>
      </c>
      <c r="I1322" s="246" t="s">
        <v>3971</v>
      </c>
      <c r="J1322" s="79" t="s">
        <v>58</v>
      </c>
      <c r="K1322" s="79" t="s">
        <v>57</v>
      </c>
      <c r="L1322" s="1067">
        <v>0.4</v>
      </c>
      <c r="M1322" s="1640" t="s">
        <v>4034</v>
      </c>
      <c r="N1322" s="757" t="s">
        <v>4035</v>
      </c>
      <c r="O1322" s="1640"/>
      <c r="P1322" s="669">
        <v>1</v>
      </c>
      <c r="Q1322" s="1493">
        <v>0.2</v>
      </c>
      <c r="R1322" s="669"/>
      <c r="S1322" s="204">
        <f t="shared" si="40"/>
        <v>0</v>
      </c>
      <c r="T1322" s="960">
        <f t="shared" si="41"/>
        <v>0</v>
      </c>
      <c r="U1322" s="669" t="s">
        <v>34</v>
      </c>
      <c r="V1322" s="1203"/>
      <c r="W1322" s="253"/>
    </row>
    <row r="1323" spans="1:23" ht="22.95" customHeight="1" x14ac:dyDescent="0.4">
      <c r="A1323" s="788">
        <v>1322</v>
      </c>
      <c r="B1323" s="246" t="s">
        <v>2616</v>
      </c>
      <c r="C1323" s="245" t="s">
        <v>24</v>
      </c>
      <c r="D1323" s="1518">
        <v>2454</v>
      </c>
      <c r="E1323" s="245" t="s">
        <v>4023</v>
      </c>
      <c r="F1323" s="246" t="s">
        <v>4024</v>
      </c>
      <c r="G1323" s="679">
        <v>2455</v>
      </c>
      <c r="H1323" s="245" t="s">
        <v>4025</v>
      </c>
      <c r="I1323" s="246" t="s">
        <v>3971</v>
      </c>
      <c r="J1323" s="79" t="s">
        <v>58</v>
      </c>
      <c r="K1323" s="79" t="s">
        <v>57</v>
      </c>
      <c r="L1323" s="1067">
        <v>0.4</v>
      </c>
      <c r="M1323" s="1640" t="s">
        <v>4036</v>
      </c>
      <c r="N1323" s="757" t="s">
        <v>4037</v>
      </c>
      <c r="O1323" s="1640"/>
      <c r="P1323" s="669">
        <v>1</v>
      </c>
      <c r="Q1323" s="1493">
        <v>0.05</v>
      </c>
      <c r="R1323" s="669"/>
      <c r="S1323" s="204">
        <f t="shared" si="40"/>
        <v>0</v>
      </c>
      <c r="T1323" s="960">
        <f t="shared" si="41"/>
        <v>0</v>
      </c>
      <c r="U1323" s="669" t="s">
        <v>34</v>
      </c>
      <c r="V1323" s="1203"/>
      <c r="W1323" s="253"/>
    </row>
    <row r="1324" spans="1:23" ht="22.95" customHeight="1" x14ac:dyDescent="0.4">
      <c r="A1324" s="788">
        <v>1323</v>
      </c>
      <c r="B1324" s="246" t="s">
        <v>2616</v>
      </c>
      <c r="C1324" s="245" t="s">
        <v>24</v>
      </c>
      <c r="D1324" s="1518">
        <v>2454</v>
      </c>
      <c r="E1324" s="245" t="s">
        <v>4023</v>
      </c>
      <c r="F1324" s="246" t="s">
        <v>4024</v>
      </c>
      <c r="G1324" s="679">
        <v>2455</v>
      </c>
      <c r="H1324" s="245" t="s">
        <v>4025</v>
      </c>
      <c r="I1324" s="246" t="s">
        <v>3971</v>
      </c>
      <c r="J1324" s="79" t="s">
        <v>58</v>
      </c>
      <c r="K1324" s="79" t="s">
        <v>57</v>
      </c>
      <c r="L1324" s="1067">
        <v>0.4</v>
      </c>
      <c r="M1324" s="1640" t="s">
        <v>4038</v>
      </c>
      <c r="N1324" s="757" t="s">
        <v>4039</v>
      </c>
      <c r="O1324" s="1640"/>
      <c r="P1324" s="669">
        <v>1</v>
      </c>
      <c r="Q1324" s="1493">
        <v>0.1</v>
      </c>
      <c r="R1324" s="669"/>
      <c r="S1324" s="204">
        <f t="shared" si="40"/>
        <v>0</v>
      </c>
      <c r="T1324" s="960">
        <f t="shared" si="41"/>
        <v>0</v>
      </c>
      <c r="U1324" s="669" t="s">
        <v>34</v>
      </c>
      <c r="V1324" s="1203"/>
      <c r="W1324" s="253"/>
    </row>
    <row r="1325" spans="1:23" ht="22.95" customHeight="1" x14ac:dyDescent="0.4">
      <c r="A1325" s="788">
        <v>1324</v>
      </c>
      <c r="B1325" s="246" t="s">
        <v>2616</v>
      </c>
      <c r="C1325" s="245" t="s">
        <v>24</v>
      </c>
      <c r="D1325" s="1518">
        <v>2454</v>
      </c>
      <c r="E1325" s="245" t="s">
        <v>4023</v>
      </c>
      <c r="F1325" s="246" t="s">
        <v>4024</v>
      </c>
      <c r="G1325" s="679">
        <v>2455</v>
      </c>
      <c r="H1325" s="245" t="s">
        <v>4025</v>
      </c>
      <c r="I1325" s="246" t="s">
        <v>3971</v>
      </c>
      <c r="J1325" s="79" t="s">
        <v>58</v>
      </c>
      <c r="K1325" s="79" t="s">
        <v>57</v>
      </c>
      <c r="L1325" s="1067">
        <v>0.4</v>
      </c>
      <c r="M1325" s="1640" t="s">
        <v>4040</v>
      </c>
      <c r="N1325" s="757" t="s">
        <v>4041</v>
      </c>
      <c r="O1325" s="1640"/>
      <c r="P1325" s="669">
        <v>1</v>
      </c>
      <c r="Q1325" s="1493">
        <v>0.05</v>
      </c>
      <c r="R1325" s="669"/>
      <c r="S1325" s="204">
        <f t="shared" si="40"/>
        <v>0</v>
      </c>
      <c r="T1325" s="960">
        <f t="shared" si="41"/>
        <v>0</v>
      </c>
      <c r="U1325" s="669" t="s">
        <v>34</v>
      </c>
      <c r="V1325" s="1203"/>
      <c r="W1325" s="253"/>
    </row>
    <row r="1326" spans="1:23" ht="22.95" customHeight="1" x14ac:dyDescent="0.4">
      <c r="A1326" s="788">
        <v>1325</v>
      </c>
      <c r="B1326" s="246" t="s">
        <v>2616</v>
      </c>
      <c r="C1326" s="245" t="s">
        <v>24</v>
      </c>
      <c r="D1326" s="1518">
        <v>2454</v>
      </c>
      <c r="E1326" s="245" t="s">
        <v>4023</v>
      </c>
      <c r="F1326" s="246" t="s">
        <v>4024</v>
      </c>
      <c r="G1326" s="679">
        <v>2455</v>
      </c>
      <c r="H1326" s="245" t="s">
        <v>4025</v>
      </c>
      <c r="I1326" s="246" t="s">
        <v>3971</v>
      </c>
      <c r="J1326" s="79" t="s">
        <v>58</v>
      </c>
      <c r="K1326" s="79" t="s">
        <v>57</v>
      </c>
      <c r="L1326" s="1067">
        <v>0.4</v>
      </c>
      <c r="M1326" s="1640" t="s">
        <v>4042</v>
      </c>
      <c r="N1326" s="757" t="s">
        <v>4043</v>
      </c>
      <c r="O1326" s="1640"/>
      <c r="P1326" s="669">
        <v>1</v>
      </c>
      <c r="Q1326" s="1493">
        <v>7.0000000000000007E-2</v>
      </c>
      <c r="R1326" s="669"/>
      <c r="S1326" s="204">
        <f t="shared" si="40"/>
        <v>0</v>
      </c>
      <c r="T1326" s="960">
        <f t="shared" si="41"/>
        <v>0</v>
      </c>
      <c r="U1326" s="669" t="s">
        <v>34</v>
      </c>
      <c r="V1326" s="1203"/>
      <c r="W1326" s="253"/>
    </row>
    <row r="1327" spans="1:23" ht="22.95" customHeight="1" x14ac:dyDescent="0.4">
      <c r="A1327" s="788">
        <v>1326</v>
      </c>
      <c r="B1327" s="246" t="s">
        <v>2616</v>
      </c>
      <c r="C1327" s="245" t="s">
        <v>24</v>
      </c>
      <c r="D1327" s="1518">
        <v>2454</v>
      </c>
      <c r="E1327" s="245" t="s">
        <v>4023</v>
      </c>
      <c r="F1327" s="246" t="s">
        <v>4024</v>
      </c>
      <c r="G1327" s="679">
        <v>2455</v>
      </c>
      <c r="H1327" s="245" t="s">
        <v>4025</v>
      </c>
      <c r="I1327" s="246" t="s">
        <v>3971</v>
      </c>
      <c r="J1327" s="79" t="s">
        <v>58</v>
      </c>
      <c r="K1327" s="79" t="s">
        <v>57</v>
      </c>
      <c r="L1327" s="1067">
        <v>0.4</v>
      </c>
      <c r="M1327" s="1640" t="s">
        <v>4044</v>
      </c>
      <c r="N1327" s="757" t="s">
        <v>4045</v>
      </c>
      <c r="O1327" s="1640"/>
      <c r="P1327" s="669">
        <v>1</v>
      </c>
      <c r="Q1327" s="1493">
        <v>0.1</v>
      </c>
      <c r="R1327" s="669"/>
      <c r="S1327" s="204">
        <f t="shared" si="40"/>
        <v>0</v>
      </c>
      <c r="T1327" s="960">
        <f t="shared" si="41"/>
        <v>0</v>
      </c>
      <c r="U1327" s="669" t="s">
        <v>34</v>
      </c>
      <c r="V1327" s="1203"/>
      <c r="W1327" s="253"/>
    </row>
    <row r="1328" spans="1:23" ht="22.95" customHeight="1" x14ac:dyDescent="0.4">
      <c r="A1328" s="788">
        <v>1327</v>
      </c>
      <c r="B1328" s="246" t="s">
        <v>2616</v>
      </c>
      <c r="C1328" s="245" t="s">
        <v>24</v>
      </c>
      <c r="D1328" s="1518">
        <v>2454</v>
      </c>
      <c r="E1328" s="245" t="s">
        <v>4023</v>
      </c>
      <c r="F1328" s="246" t="s">
        <v>4024</v>
      </c>
      <c r="G1328" s="679">
        <v>2455</v>
      </c>
      <c r="H1328" s="245" t="s">
        <v>4025</v>
      </c>
      <c r="I1328" s="246" t="s">
        <v>3971</v>
      </c>
      <c r="J1328" s="79" t="s">
        <v>58</v>
      </c>
      <c r="K1328" s="79" t="s">
        <v>57</v>
      </c>
      <c r="L1328" s="1067">
        <v>0.4</v>
      </c>
      <c r="M1328" s="1640" t="s">
        <v>4046</v>
      </c>
      <c r="N1328" s="757" t="s">
        <v>4047</v>
      </c>
      <c r="O1328" s="1640"/>
      <c r="P1328" s="669">
        <v>1</v>
      </c>
      <c r="Q1328" s="1493">
        <v>0.03</v>
      </c>
      <c r="R1328" s="669"/>
      <c r="S1328" s="204">
        <f t="shared" si="40"/>
        <v>0</v>
      </c>
      <c r="T1328" s="960">
        <f t="shared" si="41"/>
        <v>0</v>
      </c>
      <c r="U1328" s="669" t="s">
        <v>34</v>
      </c>
      <c r="V1328" s="1203"/>
      <c r="W1328" s="253"/>
    </row>
    <row r="1329" spans="1:23" ht="22.95" customHeight="1" x14ac:dyDescent="0.4">
      <c r="A1329" s="788">
        <v>1328</v>
      </c>
      <c r="B1329" s="246" t="s">
        <v>2616</v>
      </c>
      <c r="C1329" s="245" t="s">
        <v>24</v>
      </c>
      <c r="D1329" s="1518">
        <v>2454</v>
      </c>
      <c r="E1329" s="245" t="s">
        <v>4023</v>
      </c>
      <c r="F1329" s="246" t="s">
        <v>4024</v>
      </c>
      <c r="G1329" s="679">
        <v>2455</v>
      </c>
      <c r="H1329" s="245" t="s">
        <v>4025</v>
      </c>
      <c r="I1329" s="246" t="s">
        <v>3971</v>
      </c>
      <c r="J1329" s="79" t="s">
        <v>58</v>
      </c>
      <c r="K1329" s="79" t="s">
        <v>57</v>
      </c>
      <c r="L1329" s="1067">
        <v>0.4</v>
      </c>
      <c r="M1329" s="1640" t="s">
        <v>4048</v>
      </c>
      <c r="N1329" s="757" t="s">
        <v>4049</v>
      </c>
      <c r="O1329" s="1640"/>
      <c r="P1329" s="669">
        <v>1</v>
      </c>
      <c r="Q1329" s="1493">
        <v>0.05</v>
      </c>
      <c r="R1329" s="669"/>
      <c r="S1329" s="204">
        <f t="shared" si="40"/>
        <v>0</v>
      </c>
      <c r="T1329" s="960">
        <f t="shared" si="41"/>
        <v>0</v>
      </c>
      <c r="U1329" s="669" t="s">
        <v>34</v>
      </c>
      <c r="V1329" s="1203"/>
      <c r="W1329" s="253"/>
    </row>
    <row r="1330" spans="1:23" ht="22.95" customHeight="1" x14ac:dyDescent="0.4">
      <c r="A1330" s="788">
        <v>1329</v>
      </c>
      <c r="B1330" s="246" t="s">
        <v>2616</v>
      </c>
      <c r="C1330" s="245" t="s">
        <v>24</v>
      </c>
      <c r="D1330" s="1518">
        <v>2454</v>
      </c>
      <c r="E1330" s="245" t="s">
        <v>4023</v>
      </c>
      <c r="F1330" s="246" t="s">
        <v>4024</v>
      </c>
      <c r="G1330" s="679">
        <v>2455</v>
      </c>
      <c r="H1330" s="245" t="s">
        <v>4025</v>
      </c>
      <c r="I1330" s="246" t="s">
        <v>3971</v>
      </c>
      <c r="J1330" s="79" t="s">
        <v>58</v>
      </c>
      <c r="K1330" s="79" t="s">
        <v>57</v>
      </c>
      <c r="L1330" s="1067">
        <v>0.4</v>
      </c>
      <c r="M1330" s="1640" t="s">
        <v>4050</v>
      </c>
      <c r="N1330" s="757" t="s">
        <v>4051</v>
      </c>
      <c r="O1330" s="1640"/>
      <c r="P1330" s="669">
        <v>1</v>
      </c>
      <c r="Q1330" s="1493">
        <v>0.05</v>
      </c>
      <c r="R1330" s="669"/>
      <c r="S1330" s="204">
        <f t="shared" si="40"/>
        <v>0</v>
      </c>
      <c r="T1330" s="960">
        <f t="shared" si="41"/>
        <v>0</v>
      </c>
      <c r="U1330" s="669" t="s">
        <v>34</v>
      </c>
      <c r="V1330" s="1203"/>
      <c r="W1330" s="253"/>
    </row>
    <row r="1331" spans="1:23" ht="22.95" customHeight="1" x14ac:dyDescent="0.4">
      <c r="A1331" s="788">
        <v>1330</v>
      </c>
      <c r="B1331" s="246" t="s">
        <v>2616</v>
      </c>
      <c r="C1331" s="245" t="s">
        <v>24</v>
      </c>
      <c r="D1331" s="1518">
        <v>2454</v>
      </c>
      <c r="E1331" s="245" t="s">
        <v>4023</v>
      </c>
      <c r="F1331" s="246" t="s">
        <v>4024</v>
      </c>
      <c r="G1331" s="679">
        <v>2455</v>
      </c>
      <c r="H1331" s="245" t="s">
        <v>4025</v>
      </c>
      <c r="I1331" s="246" t="s">
        <v>3971</v>
      </c>
      <c r="J1331" s="79" t="s">
        <v>58</v>
      </c>
      <c r="K1331" s="79" t="s">
        <v>57</v>
      </c>
      <c r="L1331" s="1067">
        <v>0.4</v>
      </c>
      <c r="M1331" s="1640" t="s">
        <v>4052</v>
      </c>
      <c r="N1331" s="757" t="s">
        <v>4053</v>
      </c>
      <c r="O1331" s="1640"/>
      <c r="P1331" s="669">
        <v>1</v>
      </c>
      <c r="Q1331" s="1493">
        <v>0.02</v>
      </c>
      <c r="R1331" s="669"/>
      <c r="S1331" s="204">
        <f t="shared" si="40"/>
        <v>0</v>
      </c>
      <c r="T1331" s="960">
        <f t="shared" si="41"/>
        <v>0</v>
      </c>
      <c r="U1331" s="669" t="s">
        <v>34</v>
      </c>
      <c r="V1331" s="1203"/>
      <c r="W1331" s="253"/>
    </row>
    <row r="1332" spans="1:23" ht="22.95" customHeight="1" x14ac:dyDescent="0.4">
      <c r="A1332" s="788">
        <v>1331</v>
      </c>
      <c r="B1332" s="246" t="s">
        <v>2616</v>
      </c>
      <c r="C1332" s="245" t="s">
        <v>24</v>
      </c>
      <c r="D1332" s="1518">
        <v>2454</v>
      </c>
      <c r="E1332" s="245" t="s">
        <v>4023</v>
      </c>
      <c r="F1332" s="246" t="s">
        <v>4024</v>
      </c>
      <c r="G1332" s="679">
        <v>2455</v>
      </c>
      <c r="H1332" s="245" t="s">
        <v>4025</v>
      </c>
      <c r="I1332" s="246" t="s">
        <v>3971</v>
      </c>
      <c r="J1332" s="648" t="s">
        <v>111</v>
      </c>
      <c r="K1332" s="210" t="s">
        <v>110</v>
      </c>
      <c r="L1332" s="1145">
        <v>0.6</v>
      </c>
      <c r="M1332" s="1641" t="s">
        <v>4054</v>
      </c>
      <c r="N1332" s="827" t="s">
        <v>3983</v>
      </c>
      <c r="O1332" s="1641"/>
      <c r="P1332" s="1272">
        <v>1</v>
      </c>
      <c r="Q1332" s="1512">
        <v>0.7</v>
      </c>
      <c r="R1332" s="1272"/>
      <c r="S1332" s="650">
        <f t="shared" si="40"/>
        <v>0</v>
      </c>
      <c r="T1332" s="701">
        <f t="shared" si="41"/>
        <v>0</v>
      </c>
      <c r="U1332" s="1272" t="s">
        <v>34</v>
      </c>
      <c r="V1332" s="1228"/>
      <c r="W1332" s="253"/>
    </row>
    <row r="1333" spans="1:23" ht="22.95" customHeight="1" x14ac:dyDescent="0.4">
      <c r="A1333" s="788">
        <v>1332</v>
      </c>
      <c r="B1333" s="246" t="s">
        <v>2616</v>
      </c>
      <c r="C1333" s="245" t="s">
        <v>24</v>
      </c>
      <c r="D1333" s="1518">
        <v>2454</v>
      </c>
      <c r="E1333" s="245" t="s">
        <v>4023</v>
      </c>
      <c r="F1333" s="246" t="s">
        <v>4024</v>
      </c>
      <c r="G1333" s="679">
        <v>2455</v>
      </c>
      <c r="H1333" s="245" t="s">
        <v>4025</v>
      </c>
      <c r="I1333" s="246" t="s">
        <v>3971</v>
      </c>
      <c r="J1333" s="648" t="s">
        <v>111</v>
      </c>
      <c r="K1333" s="210" t="s">
        <v>110</v>
      </c>
      <c r="L1333" s="1145">
        <v>0.6</v>
      </c>
      <c r="M1333" s="1641" t="s">
        <v>4055</v>
      </c>
      <c r="N1333" s="827" t="s">
        <v>4056</v>
      </c>
      <c r="O1333" s="1641"/>
      <c r="P1333" s="1272">
        <v>1</v>
      </c>
      <c r="Q1333" s="1512">
        <v>0.3</v>
      </c>
      <c r="R1333" s="1272"/>
      <c r="S1333" s="650">
        <f t="shared" si="40"/>
        <v>0</v>
      </c>
      <c r="T1333" s="701">
        <f t="shared" si="41"/>
        <v>0</v>
      </c>
      <c r="U1333" s="1272" t="s">
        <v>34</v>
      </c>
      <c r="V1333" s="1228"/>
      <c r="W1333" s="253"/>
    </row>
    <row r="1334" spans="1:23" ht="22.95" customHeight="1" x14ac:dyDescent="0.4">
      <c r="A1334" s="788">
        <v>1333</v>
      </c>
      <c r="B1334" s="187" t="s">
        <v>2616</v>
      </c>
      <c r="C1334" s="236" t="s">
        <v>24</v>
      </c>
      <c r="D1334" s="1226">
        <v>2458</v>
      </c>
      <c r="E1334" s="236" t="s">
        <v>4057</v>
      </c>
      <c r="F1334" s="236" t="s">
        <v>4058</v>
      </c>
      <c r="G1334" s="674">
        <v>2455</v>
      </c>
      <c r="H1334" s="236" t="s">
        <v>4025</v>
      </c>
      <c r="I1334" s="187" t="s">
        <v>3971</v>
      </c>
      <c r="J1334" s="653" t="s">
        <v>58</v>
      </c>
      <c r="K1334" s="653" t="s">
        <v>57</v>
      </c>
      <c r="L1334" s="1052">
        <v>0.4</v>
      </c>
      <c r="M1334" s="1639" t="s">
        <v>4059</v>
      </c>
      <c r="N1334" s="749" t="s">
        <v>4060</v>
      </c>
      <c r="O1334" s="1639"/>
      <c r="P1334" s="953">
        <v>1</v>
      </c>
      <c r="Q1334" s="1490">
        <v>0.08</v>
      </c>
      <c r="R1334" s="953"/>
      <c r="S1334" s="855">
        <f t="shared" si="40"/>
        <v>0</v>
      </c>
      <c r="T1334" s="854">
        <f t="shared" si="41"/>
        <v>0</v>
      </c>
      <c r="U1334" s="953" t="s">
        <v>34</v>
      </c>
      <c r="V1334" s="1488">
        <f>SUM(T1334:T1351)/100</f>
        <v>0</v>
      </c>
      <c r="W1334" s="243"/>
    </row>
    <row r="1335" spans="1:23" ht="22.95" customHeight="1" x14ac:dyDescent="0.4">
      <c r="A1335" s="788">
        <v>1334</v>
      </c>
      <c r="B1335" s="246" t="s">
        <v>2616</v>
      </c>
      <c r="C1335" s="245" t="s">
        <v>24</v>
      </c>
      <c r="D1335" s="1518">
        <v>2458</v>
      </c>
      <c r="E1335" s="245" t="s">
        <v>4057</v>
      </c>
      <c r="F1335" s="245" t="s">
        <v>4058</v>
      </c>
      <c r="G1335" s="679">
        <v>2455</v>
      </c>
      <c r="H1335" s="245" t="s">
        <v>4025</v>
      </c>
      <c r="I1335" s="246" t="s">
        <v>3971</v>
      </c>
      <c r="J1335" s="79" t="s">
        <v>58</v>
      </c>
      <c r="K1335" s="79" t="s">
        <v>57</v>
      </c>
      <c r="L1335" s="1067">
        <v>0.4</v>
      </c>
      <c r="M1335" s="1640" t="s">
        <v>4028</v>
      </c>
      <c r="N1335" s="757" t="s">
        <v>4029</v>
      </c>
      <c r="O1335" s="1640"/>
      <c r="P1335" s="669">
        <v>1</v>
      </c>
      <c r="Q1335" s="1493">
        <v>0.03</v>
      </c>
      <c r="R1335" s="669"/>
      <c r="S1335" s="204">
        <f t="shared" si="40"/>
        <v>0</v>
      </c>
      <c r="T1335" s="960">
        <f t="shared" si="41"/>
        <v>0</v>
      </c>
      <c r="U1335" s="669" t="s">
        <v>34</v>
      </c>
      <c r="V1335" s="1203"/>
      <c r="W1335" s="253"/>
    </row>
    <row r="1336" spans="1:23" ht="22.95" customHeight="1" x14ac:dyDescent="0.4">
      <c r="A1336" s="788">
        <v>1335</v>
      </c>
      <c r="B1336" s="246" t="s">
        <v>2616</v>
      </c>
      <c r="C1336" s="245" t="s">
        <v>24</v>
      </c>
      <c r="D1336" s="1518">
        <v>2458</v>
      </c>
      <c r="E1336" s="245" t="s">
        <v>4057</v>
      </c>
      <c r="F1336" s="245" t="s">
        <v>4058</v>
      </c>
      <c r="G1336" s="679">
        <v>2455</v>
      </c>
      <c r="H1336" s="245" t="s">
        <v>4025</v>
      </c>
      <c r="I1336" s="246" t="s">
        <v>3971</v>
      </c>
      <c r="J1336" s="79" t="s">
        <v>58</v>
      </c>
      <c r="K1336" s="79" t="s">
        <v>57</v>
      </c>
      <c r="L1336" s="1067">
        <v>0.4</v>
      </c>
      <c r="M1336" s="1640" t="s">
        <v>4061</v>
      </c>
      <c r="N1336" s="757" t="s">
        <v>4062</v>
      </c>
      <c r="O1336" s="1640"/>
      <c r="P1336" s="669">
        <v>1</v>
      </c>
      <c r="Q1336" s="1493">
        <v>0.02</v>
      </c>
      <c r="R1336" s="669"/>
      <c r="S1336" s="204">
        <f t="shared" si="40"/>
        <v>0</v>
      </c>
      <c r="T1336" s="960">
        <f t="shared" si="41"/>
        <v>0</v>
      </c>
      <c r="U1336" s="669" t="s">
        <v>34</v>
      </c>
      <c r="V1336" s="1203"/>
      <c r="W1336" s="253"/>
    </row>
    <row r="1337" spans="1:23" ht="22.95" customHeight="1" x14ac:dyDescent="0.4">
      <c r="A1337" s="788">
        <v>1336</v>
      </c>
      <c r="B1337" s="246" t="s">
        <v>2616</v>
      </c>
      <c r="C1337" s="245" t="s">
        <v>24</v>
      </c>
      <c r="D1337" s="1518">
        <v>2458</v>
      </c>
      <c r="E1337" s="245" t="s">
        <v>4057</v>
      </c>
      <c r="F1337" s="245" t="s">
        <v>4058</v>
      </c>
      <c r="G1337" s="679">
        <v>2455</v>
      </c>
      <c r="H1337" s="245" t="s">
        <v>4025</v>
      </c>
      <c r="I1337" s="246" t="s">
        <v>3971</v>
      </c>
      <c r="J1337" s="79" t="s">
        <v>58</v>
      </c>
      <c r="K1337" s="79" t="s">
        <v>57</v>
      </c>
      <c r="L1337" s="1067">
        <v>0.4</v>
      </c>
      <c r="M1337" s="1640" t="s">
        <v>4063</v>
      </c>
      <c r="N1337" s="757" t="s">
        <v>4064</v>
      </c>
      <c r="O1337" s="1640"/>
      <c r="P1337" s="669">
        <v>1</v>
      </c>
      <c r="Q1337" s="1493">
        <v>7.0000000000000007E-2</v>
      </c>
      <c r="R1337" s="669"/>
      <c r="S1337" s="204">
        <f t="shared" si="40"/>
        <v>0</v>
      </c>
      <c r="T1337" s="960">
        <f t="shared" si="41"/>
        <v>0</v>
      </c>
      <c r="U1337" s="669" t="s">
        <v>34</v>
      </c>
      <c r="V1337" s="1203"/>
      <c r="W1337" s="253"/>
    </row>
    <row r="1338" spans="1:23" ht="22.95" customHeight="1" x14ac:dyDescent="0.4">
      <c r="A1338" s="788">
        <v>1337</v>
      </c>
      <c r="B1338" s="246" t="s">
        <v>2616</v>
      </c>
      <c r="C1338" s="245" t="s">
        <v>24</v>
      </c>
      <c r="D1338" s="1518">
        <v>2458</v>
      </c>
      <c r="E1338" s="245" t="s">
        <v>4057</v>
      </c>
      <c r="F1338" s="245" t="s">
        <v>4058</v>
      </c>
      <c r="G1338" s="679">
        <v>2455</v>
      </c>
      <c r="H1338" s="245" t="s">
        <v>4025</v>
      </c>
      <c r="I1338" s="246" t="s">
        <v>3971</v>
      </c>
      <c r="J1338" s="79" t="s">
        <v>58</v>
      </c>
      <c r="K1338" s="79" t="s">
        <v>57</v>
      </c>
      <c r="L1338" s="1067">
        <v>0.4</v>
      </c>
      <c r="M1338" s="1640" t="s">
        <v>4065</v>
      </c>
      <c r="N1338" s="757" t="s">
        <v>4066</v>
      </c>
      <c r="O1338" s="1640"/>
      <c r="P1338" s="669">
        <v>1</v>
      </c>
      <c r="Q1338" s="1493">
        <v>0.15</v>
      </c>
      <c r="R1338" s="669"/>
      <c r="S1338" s="204">
        <f t="shared" si="40"/>
        <v>0</v>
      </c>
      <c r="T1338" s="960">
        <f t="shared" si="41"/>
        <v>0</v>
      </c>
      <c r="U1338" s="669" t="s">
        <v>34</v>
      </c>
      <c r="V1338" s="1203"/>
      <c r="W1338" s="253"/>
    </row>
    <row r="1339" spans="1:23" ht="22.95" customHeight="1" x14ac:dyDescent="0.4">
      <c r="A1339" s="788">
        <v>1338</v>
      </c>
      <c r="B1339" s="246" t="s">
        <v>2616</v>
      </c>
      <c r="C1339" s="245" t="s">
        <v>24</v>
      </c>
      <c r="D1339" s="1518">
        <v>2458</v>
      </c>
      <c r="E1339" s="245" t="s">
        <v>4057</v>
      </c>
      <c r="F1339" s="245" t="s">
        <v>4058</v>
      </c>
      <c r="G1339" s="679">
        <v>2455</v>
      </c>
      <c r="H1339" s="245" t="s">
        <v>4025</v>
      </c>
      <c r="I1339" s="246" t="s">
        <v>3971</v>
      </c>
      <c r="J1339" s="79" t="s">
        <v>58</v>
      </c>
      <c r="K1339" s="79" t="s">
        <v>57</v>
      </c>
      <c r="L1339" s="1067">
        <v>0.4</v>
      </c>
      <c r="M1339" s="1640" t="s">
        <v>4067</v>
      </c>
      <c r="N1339" s="757" t="s">
        <v>4068</v>
      </c>
      <c r="O1339" s="1640"/>
      <c r="P1339" s="669">
        <v>1</v>
      </c>
      <c r="Q1339" s="1493">
        <v>0.05</v>
      </c>
      <c r="R1339" s="669"/>
      <c r="S1339" s="204">
        <f t="shared" si="40"/>
        <v>0</v>
      </c>
      <c r="T1339" s="960">
        <f t="shared" si="41"/>
        <v>0</v>
      </c>
      <c r="U1339" s="669" t="s">
        <v>34</v>
      </c>
      <c r="V1339" s="1203"/>
      <c r="W1339" s="253"/>
    </row>
    <row r="1340" spans="1:23" ht="22.95" customHeight="1" x14ac:dyDescent="0.4">
      <c r="A1340" s="788">
        <v>1339</v>
      </c>
      <c r="B1340" s="246" t="s">
        <v>2616</v>
      </c>
      <c r="C1340" s="245" t="s">
        <v>24</v>
      </c>
      <c r="D1340" s="1518">
        <v>2458</v>
      </c>
      <c r="E1340" s="245" t="s">
        <v>4057</v>
      </c>
      <c r="F1340" s="245" t="s">
        <v>4058</v>
      </c>
      <c r="G1340" s="679">
        <v>2455</v>
      </c>
      <c r="H1340" s="245" t="s">
        <v>4025</v>
      </c>
      <c r="I1340" s="246" t="s">
        <v>3971</v>
      </c>
      <c r="J1340" s="79" t="s">
        <v>58</v>
      </c>
      <c r="K1340" s="79" t="s">
        <v>57</v>
      </c>
      <c r="L1340" s="1067">
        <v>0.4</v>
      </c>
      <c r="M1340" s="1640" t="s">
        <v>4069</v>
      </c>
      <c r="N1340" s="757" t="s">
        <v>4070</v>
      </c>
      <c r="O1340" s="1640"/>
      <c r="P1340" s="669">
        <v>1</v>
      </c>
      <c r="Q1340" s="1493">
        <v>0.1</v>
      </c>
      <c r="R1340" s="669"/>
      <c r="S1340" s="204">
        <f t="shared" si="40"/>
        <v>0</v>
      </c>
      <c r="T1340" s="960">
        <f t="shared" si="41"/>
        <v>0</v>
      </c>
      <c r="U1340" s="669" t="s">
        <v>34</v>
      </c>
      <c r="V1340" s="1203"/>
      <c r="W1340" s="253"/>
    </row>
    <row r="1341" spans="1:23" ht="22.95" customHeight="1" x14ac:dyDescent="0.4">
      <c r="A1341" s="788">
        <v>1340</v>
      </c>
      <c r="B1341" s="246" t="s">
        <v>2616</v>
      </c>
      <c r="C1341" s="245" t="s">
        <v>24</v>
      </c>
      <c r="D1341" s="1518">
        <v>2458</v>
      </c>
      <c r="E1341" s="245" t="s">
        <v>4057</v>
      </c>
      <c r="F1341" s="245" t="s">
        <v>4058</v>
      </c>
      <c r="G1341" s="679">
        <v>2455</v>
      </c>
      <c r="H1341" s="245" t="s">
        <v>4025</v>
      </c>
      <c r="I1341" s="246" t="s">
        <v>3971</v>
      </c>
      <c r="J1341" s="79" t="s">
        <v>58</v>
      </c>
      <c r="K1341" s="79" t="s">
        <v>57</v>
      </c>
      <c r="L1341" s="1067">
        <v>0.4</v>
      </c>
      <c r="M1341" s="1640" t="s">
        <v>4071</v>
      </c>
      <c r="N1341" s="757" t="s">
        <v>4072</v>
      </c>
      <c r="O1341" s="1640"/>
      <c r="P1341" s="669">
        <v>1</v>
      </c>
      <c r="Q1341" s="1493">
        <v>0.05</v>
      </c>
      <c r="R1341" s="669"/>
      <c r="S1341" s="204">
        <f t="shared" si="40"/>
        <v>0</v>
      </c>
      <c r="T1341" s="960">
        <f t="shared" si="41"/>
        <v>0</v>
      </c>
      <c r="U1341" s="669" t="s">
        <v>34</v>
      </c>
      <c r="V1341" s="1203"/>
      <c r="W1341" s="253"/>
    </row>
    <row r="1342" spans="1:23" ht="22.95" customHeight="1" x14ac:dyDescent="0.4">
      <c r="A1342" s="788">
        <v>1341</v>
      </c>
      <c r="B1342" s="246" t="s">
        <v>2616</v>
      </c>
      <c r="C1342" s="245" t="s">
        <v>24</v>
      </c>
      <c r="D1342" s="1518">
        <v>2458</v>
      </c>
      <c r="E1342" s="245" t="s">
        <v>4057</v>
      </c>
      <c r="F1342" s="245" t="s">
        <v>4058</v>
      </c>
      <c r="G1342" s="679">
        <v>2455</v>
      </c>
      <c r="H1342" s="245" t="s">
        <v>4025</v>
      </c>
      <c r="I1342" s="246" t="s">
        <v>3971</v>
      </c>
      <c r="J1342" s="79" t="s">
        <v>58</v>
      </c>
      <c r="K1342" s="79" t="s">
        <v>57</v>
      </c>
      <c r="L1342" s="1067">
        <v>0.4</v>
      </c>
      <c r="M1342" s="1640" t="s">
        <v>4073</v>
      </c>
      <c r="N1342" s="757" t="s">
        <v>4074</v>
      </c>
      <c r="O1342" s="1640"/>
      <c r="P1342" s="669">
        <v>1</v>
      </c>
      <c r="Q1342" s="1493">
        <v>0.05</v>
      </c>
      <c r="R1342" s="669"/>
      <c r="S1342" s="204">
        <f t="shared" si="40"/>
        <v>0</v>
      </c>
      <c r="T1342" s="960">
        <f t="shared" si="41"/>
        <v>0</v>
      </c>
      <c r="U1342" s="669" t="s">
        <v>34</v>
      </c>
      <c r="V1342" s="1203"/>
      <c r="W1342" s="253"/>
    </row>
    <row r="1343" spans="1:23" ht="22.95" customHeight="1" x14ac:dyDescent="0.4">
      <c r="A1343" s="788">
        <v>1342</v>
      </c>
      <c r="B1343" s="246" t="s">
        <v>2616</v>
      </c>
      <c r="C1343" s="245" t="s">
        <v>24</v>
      </c>
      <c r="D1343" s="1518">
        <v>2458</v>
      </c>
      <c r="E1343" s="245" t="s">
        <v>4057</v>
      </c>
      <c r="F1343" s="245" t="s">
        <v>4058</v>
      </c>
      <c r="G1343" s="679">
        <v>2455</v>
      </c>
      <c r="H1343" s="245" t="s">
        <v>4025</v>
      </c>
      <c r="I1343" s="246" t="s">
        <v>3971</v>
      </c>
      <c r="J1343" s="79" t="s">
        <v>58</v>
      </c>
      <c r="K1343" s="79" t="s">
        <v>57</v>
      </c>
      <c r="L1343" s="1067">
        <v>0.4</v>
      </c>
      <c r="M1343" s="1640" t="s">
        <v>4075</v>
      </c>
      <c r="N1343" s="757" t="s">
        <v>4076</v>
      </c>
      <c r="O1343" s="1640"/>
      <c r="P1343" s="669">
        <v>1</v>
      </c>
      <c r="Q1343" s="1493">
        <v>0.17</v>
      </c>
      <c r="R1343" s="669"/>
      <c r="S1343" s="204">
        <f t="shared" si="40"/>
        <v>0</v>
      </c>
      <c r="T1343" s="960">
        <f t="shared" si="41"/>
        <v>0</v>
      </c>
      <c r="U1343" s="669" t="s">
        <v>34</v>
      </c>
      <c r="V1343" s="1203"/>
      <c r="W1343" s="253"/>
    </row>
    <row r="1344" spans="1:23" ht="22.95" customHeight="1" x14ac:dyDescent="0.4">
      <c r="A1344" s="788">
        <v>1343</v>
      </c>
      <c r="B1344" s="246" t="s">
        <v>2616</v>
      </c>
      <c r="C1344" s="245" t="s">
        <v>24</v>
      </c>
      <c r="D1344" s="1518">
        <v>2458</v>
      </c>
      <c r="E1344" s="245" t="s">
        <v>4057</v>
      </c>
      <c r="F1344" s="245" t="s">
        <v>4058</v>
      </c>
      <c r="G1344" s="679">
        <v>2455</v>
      </c>
      <c r="H1344" s="245" t="s">
        <v>4025</v>
      </c>
      <c r="I1344" s="246" t="s">
        <v>3971</v>
      </c>
      <c r="J1344" s="79" t="s">
        <v>58</v>
      </c>
      <c r="K1344" s="79" t="s">
        <v>57</v>
      </c>
      <c r="L1344" s="1067">
        <v>0.4</v>
      </c>
      <c r="M1344" s="1640" t="s">
        <v>4044</v>
      </c>
      <c r="N1344" s="757" t="s">
        <v>4045</v>
      </c>
      <c r="O1344" s="1640"/>
      <c r="P1344" s="669">
        <v>1</v>
      </c>
      <c r="Q1344" s="1493">
        <v>0.05</v>
      </c>
      <c r="R1344" s="669"/>
      <c r="S1344" s="204">
        <f t="shared" si="40"/>
        <v>0</v>
      </c>
      <c r="T1344" s="960">
        <f t="shared" si="41"/>
        <v>0</v>
      </c>
      <c r="U1344" s="669" t="s">
        <v>34</v>
      </c>
      <c r="V1344" s="1203"/>
      <c r="W1344" s="253"/>
    </row>
    <row r="1345" spans="1:23" ht="22.95" customHeight="1" x14ac:dyDescent="0.4">
      <c r="A1345" s="788">
        <v>1344</v>
      </c>
      <c r="B1345" s="246" t="s">
        <v>2616</v>
      </c>
      <c r="C1345" s="245" t="s">
        <v>24</v>
      </c>
      <c r="D1345" s="1518">
        <v>2458</v>
      </c>
      <c r="E1345" s="245" t="s">
        <v>4057</v>
      </c>
      <c r="F1345" s="245" t="s">
        <v>4058</v>
      </c>
      <c r="G1345" s="679">
        <v>2455</v>
      </c>
      <c r="H1345" s="245" t="s">
        <v>4025</v>
      </c>
      <c r="I1345" s="246" t="s">
        <v>3971</v>
      </c>
      <c r="J1345" s="79" t="s">
        <v>58</v>
      </c>
      <c r="K1345" s="79" t="s">
        <v>57</v>
      </c>
      <c r="L1345" s="1067">
        <v>0.4</v>
      </c>
      <c r="M1345" s="1640" t="s">
        <v>4077</v>
      </c>
      <c r="N1345" s="757" t="s">
        <v>4078</v>
      </c>
      <c r="O1345" s="1640"/>
      <c r="P1345" s="669">
        <v>1</v>
      </c>
      <c r="Q1345" s="1493">
        <v>0.03</v>
      </c>
      <c r="R1345" s="669"/>
      <c r="S1345" s="204">
        <f t="shared" si="40"/>
        <v>0</v>
      </c>
      <c r="T1345" s="960">
        <f t="shared" si="41"/>
        <v>0</v>
      </c>
      <c r="U1345" s="669" t="s">
        <v>34</v>
      </c>
      <c r="V1345" s="1203"/>
      <c r="W1345" s="253"/>
    </row>
    <row r="1346" spans="1:23" ht="22.95" customHeight="1" x14ac:dyDescent="0.4">
      <c r="A1346" s="788">
        <v>1345</v>
      </c>
      <c r="B1346" s="246" t="s">
        <v>2616</v>
      </c>
      <c r="C1346" s="245" t="s">
        <v>24</v>
      </c>
      <c r="D1346" s="1518">
        <v>2458</v>
      </c>
      <c r="E1346" s="245" t="s">
        <v>4057</v>
      </c>
      <c r="F1346" s="245" t="s">
        <v>4058</v>
      </c>
      <c r="G1346" s="679">
        <v>2455</v>
      </c>
      <c r="H1346" s="245" t="s">
        <v>4025</v>
      </c>
      <c r="I1346" s="246" t="s">
        <v>3971</v>
      </c>
      <c r="J1346" s="79" t="s">
        <v>58</v>
      </c>
      <c r="K1346" s="79" t="s">
        <v>57</v>
      </c>
      <c r="L1346" s="1067">
        <v>0.4</v>
      </c>
      <c r="M1346" s="1640" t="s">
        <v>4048</v>
      </c>
      <c r="N1346" s="757" t="s">
        <v>4049</v>
      </c>
      <c r="O1346" s="1640"/>
      <c r="P1346" s="669">
        <v>1</v>
      </c>
      <c r="Q1346" s="1493">
        <v>0.08</v>
      </c>
      <c r="R1346" s="669"/>
      <c r="S1346" s="204">
        <f t="shared" ref="S1346:S1409" si="42">ROUND(IF(OR(P1346="",R1346=""),0,IF(AND(P1346=0,R1346=0),1,IF(U1346="+",R1346/P1346,P1346/R1346))),2)</f>
        <v>0</v>
      </c>
      <c r="T1346" s="960">
        <f t="shared" ref="T1346:T1409" si="43">IF(AND(S1346&gt;=60%,S1346&lt;100%),S1346*((Q1346*L1346)),IF(S1346=100%,((Q1346*L1346)*S1346)*100%,IF(S1346&gt;100%,((L1346*Q1346)*100%)*100%,0)))*100</f>
        <v>0</v>
      </c>
      <c r="U1346" s="669" t="s">
        <v>34</v>
      </c>
      <c r="V1346" s="1203"/>
      <c r="W1346" s="253"/>
    </row>
    <row r="1347" spans="1:23" ht="22.95" customHeight="1" x14ac:dyDescent="0.4">
      <c r="A1347" s="788">
        <v>1346</v>
      </c>
      <c r="B1347" s="246" t="s">
        <v>2616</v>
      </c>
      <c r="C1347" s="245" t="s">
        <v>24</v>
      </c>
      <c r="D1347" s="1518">
        <v>2458</v>
      </c>
      <c r="E1347" s="245" t="s">
        <v>4057</v>
      </c>
      <c r="F1347" s="245" t="s">
        <v>4058</v>
      </c>
      <c r="G1347" s="679">
        <v>2455</v>
      </c>
      <c r="H1347" s="245" t="s">
        <v>4025</v>
      </c>
      <c r="I1347" s="246" t="s">
        <v>3971</v>
      </c>
      <c r="J1347" s="79" t="s">
        <v>58</v>
      </c>
      <c r="K1347" s="79" t="s">
        <v>57</v>
      </c>
      <c r="L1347" s="1067">
        <v>0.4</v>
      </c>
      <c r="M1347" s="1640" t="s">
        <v>4079</v>
      </c>
      <c r="N1347" s="757" t="s">
        <v>4080</v>
      </c>
      <c r="O1347" s="1640"/>
      <c r="P1347" s="669">
        <v>1</v>
      </c>
      <c r="Q1347" s="1493">
        <v>0.05</v>
      </c>
      <c r="R1347" s="669"/>
      <c r="S1347" s="204">
        <f t="shared" si="42"/>
        <v>0</v>
      </c>
      <c r="T1347" s="960">
        <f t="shared" si="43"/>
        <v>0</v>
      </c>
      <c r="U1347" s="669" t="s">
        <v>34</v>
      </c>
      <c r="V1347" s="1203"/>
      <c r="W1347" s="253"/>
    </row>
    <row r="1348" spans="1:23" ht="22.95" customHeight="1" x14ac:dyDescent="0.4">
      <c r="A1348" s="788">
        <v>1347</v>
      </c>
      <c r="B1348" s="246" t="s">
        <v>2616</v>
      </c>
      <c r="C1348" s="245" t="s">
        <v>24</v>
      </c>
      <c r="D1348" s="1518">
        <v>2458</v>
      </c>
      <c r="E1348" s="245" t="s">
        <v>4057</v>
      </c>
      <c r="F1348" s="245" t="s">
        <v>4058</v>
      </c>
      <c r="G1348" s="679">
        <v>2455</v>
      </c>
      <c r="H1348" s="245" t="s">
        <v>4025</v>
      </c>
      <c r="I1348" s="246" t="s">
        <v>3971</v>
      </c>
      <c r="J1348" s="79" t="s">
        <v>58</v>
      </c>
      <c r="K1348" s="79" t="s">
        <v>57</v>
      </c>
      <c r="L1348" s="1067">
        <v>0.4</v>
      </c>
      <c r="M1348" s="1640" t="s">
        <v>4052</v>
      </c>
      <c r="N1348" s="757" t="s">
        <v>4053</v>
      </c>
      <c r="O1348" s="1640"/>
      <c r="P1348" s="669">
        <v>1</v>
      </c>
      <c r="Q1348" s="1493">
        <v>0.02</v>
      </c>
      <c r="R1348" s="669"/>
      <c r="S1348" s="204">
        <f t="shared" si="42"/>
        <v>0</v>
      </c>
      <c r="T1348" s="960">
        <f t="shared" si="43"/>
        <v>0</v>
      </c>
      <c r="U1348" s="669" t="s">
        <v>34</v>
      </c>
      <c r="V1348" s="1203"/>
      <c r="W1348" s="253"/>
    </row>
    <row r="1349" spans="1:23" ht="22.95" customHeight="1" x14ac:dyDescent="0.4">
      <c r="A1349" s="788">
        <v>1348</v>
      </c>
      <c r="B1349" s="246" t="s">
        <v>2616</v>
      </c>
      <c r="C1349" s="245" t="s">
        <v>24</v>
      </c>
      <c r="D1349" s="1518">
        <v>2458</v>
      </c>
      <c r="E1349" s="245" t="s">
        <v>4057</v>
      </c>
      <c r="F1349" s="245" t="s">
        <v>4058</v>
      </c>
      <c r="G1349" s="679">
        <v>2455</v>
      </c>
      <c r="H1349" s="245" t="s">
        <v>4025</v>
      </c>
      <c r="I1349" s="246" t="s">
        <v>3971</v>
      </c>
      <c r="J1349" s="253" t="s">
        <v>111</v>
      </c>
      <c r="K1349" s="210" t="s">
        <v>110</v>
      </c>
      <c r="L1349" s="1145">
        <v>0.6</v>
      </c>
      <c r="M1349" s="1641" t="s">
        <v>4054</v>
      </c>
      <c r="N1349" s="827" t="s">
        <v>3983</v>
      </c>
      <c r="O1349" s="1641"/>
      <c r="P1349" s="1272">
        <v>1</v>
      </c>
      <c r="Q1349" s="1512">
        <v>0.4</v>
      </c>
      <c r="R1349" s="1272"/>
      <c r="S1349" s="650">
        <f t="shared" si="42"/>
        <v>0</v>
      </c>
      <c r="T1349" s="701">
        <f t="shared" si="43"/>
        <v>0</v>
      </c>
      <c r="U1349" s="1272" t="s">
        <v>34</v>
      </c>
      <c r="V1349" s="1228"/>
      <c r="W1349" s="253"/>
    </row>
    <row r="1350" spans="1:23" ht="22.95" customHeight="1" x14ac:dyDescent="0.4">
      <c r="A1350" s="788">
        <v>1349</v>
      </c>
      <c r="B1350" s="246" t="s">
        <v>2616</v>
      </c>
      <c r="C1350" s="245" t="s">
        <v>24</v>
      </c>
      <c r="D1350" s="1518">
        <v>2458</v>
      </c>
      <c r="E1350" s="245" t="s">
        <v>4057</v>
      </c>
      <c r="F1350" s="245" t="s">
        <v>4058</v>
      </c>
      <c r="G1350" s="679">
        <v>2455</v>
      </c>
      <c r="H1350" s="245" t="s">
        <v>4025</v>
      </c>
      <c r="I1350" s="246" t="s">
        <v>3971</v>
      </c>
      <c r="J1350" s="253" t="s">
        <v>111</v>
      </c>
      <c r="K1350" s="210" t="s">
        <v>110</v>
      </c>
      <c r="L1350" s="1145">
        <v>0.6</v>
      </c>
      <c r="M1350" s="1641" t="s">
        <v>4081</v>
      </c>
      <c r="N1350" s="827" t="s">
        <v>4016</v>
      </c>
      <c r="O1350" s="1641"/>
      <c r="P1350" s="1272">
        <v>1</v>
      </c>
      <c r="Q1350" s="1512">
        <v>0.4</v>
      </c>
      <c r="R1350" s="1272"/>
      <c r="S1350" s="650">
        <f t="shared" si="42"/>
        <v>0</v>
      </c>
      <c r="T1350" s="701">
        <f t="shared" si="43"/>
        <v>0</v>
      </c>
      <c r="U1350" s="1272" t="s">
        <v>34</v>
      </c>
      <c r="V1350" s="1228"/>
      <c r="W1350" s="253"/>
    </row>
    <row r="1351" spans="1:23" ht="22.95" customHeight="1" x14ac:dyDescent="0.4">
      <c r="A1351" s="788">
        <v>1350</v>
      </c>
      <c r="B1351" s="246" t="s">
        <v>2616</v>
      </c>
      <c r="C1351" s="245" t="s">
        <v>24</v>
      </c>
      <c r="D1351" s="1518">
        <v>2458</v>
      </c>
      <c r="E1351" s="245" t="s">
        <v>4057</v>
      </c>
      <c r="F1351" s="245" t="s">
        <v>4058</v>
      </c>
      <c r="G1351" s="679">
        <v>2455</v>
      </c>
      <c r="H1351" s="245" t="s">
        <v>4025</v>
      </c>
      <c r="I1351" s="246" t="s">
        <v>3971</v>
      </c>
      <c r="J1351" s="253" t="s">
        <v>111</v>
      </c>
      <c r="K1351" s="210" t="s">
        <v>110</v>
      </c>
      <c r="L1351" s="1145">
        <v>0.6</v>
      </c>
      <c r="M1351" s="1641" t="s">
        <v>4055</v>
      </c>
      <c r="N1351" s="827" t="s">
        <v>4056</v>
      </c>
      <c r="O1351" s="1641"/>
      <c r="P1351" s="1272">
        <v>1</v>
      </c>
      <c r="Q1351" s="1512">
        <v>0.2</v>
      </c>
      <c r="R1351" s="1272"/>
      <c r="S1351" s="650">
        <f t="shared" si="42"/>
        <v>0</v>
      </c>
      <c r="T1351" s="701">
        <f t="shared" si="43"/>
        <v>0</v>
      </c>
      <c r="U1351" s="1272" t="s">
        <v>34</v>
      </c>
      <c r="V1351" s="1228"/>
      <c r="W1351" s="253"/>
    </row>
    <row r="1352" spans="1:23" ht="22.95" customHeight="1" x14ac:dyDescent="0.4">
      <c r="A1352" s="788">
        <v>1351</v>
      </c>
      <c r="B1352" s="187" t="s">
        <v>2616</v>
      </c>
      <c r="C1352" s="236" t="s">
        <v>24</v>
      </c>
      <c r="D1352" s="1226">
        <v>4059</v>
      </c>
      <c r="E1352" s="236" t="s">
        <v>4082</v>
      </c>
      <c r="F1352" s="236" t="s">
        <v>4083</v>
      </c>
      <c r="G1352" s="674">
        <v>2455</v>
      </c>
      <c r="H1352" s="236" t="s">
        <v>4025</v>
      </c>
      <c r="I1352" s="187" t="s">
        <v>3971</v>
      </c>
      <c r="J1352" s="653" t="s">
        <v>58</v>
      </c>
      <c r="K1352" s="653" t="s">
        <v>57</v>
      </c>
      <c r="L1352" s="1052">
        <v>0.4</v>
      </c>
      <c r="M1352" s="1639" t="s">
        <v>4084</v>
      </c>
      <c r="N1352" s="749" t="s">
        <v>4085</v>
      </c>
      <c r="O1352" s="1639"/>
      <c r="P1352" s="953">
        <v>1</v>
      </c>
      <c r="Q1352" s="1490">
        <v>0.1</v>
      </c>
      <c r="R1352" s="953"/>
      <c r="S1352" s="855">
        <f t="shared" si="42"/>
        <v>0</v>
      </c>
      <c r="T1352" s="854">
        <f t="shared" si="43"/>
        <v>0</v>
      </c>
      <c r="U1352" s="953" t="s">
        <v>34</v>
      </c>
      <c r="V1352" s="1488">
        <f>SUM(T1352:T1367)/100</f>
        <v>0</v>
      </c>
      <c r="W1352" s="243"/>
    </row>
    <row r="1353" spans="1:23" ht="22.95" customHeight="1" x14ac:dyDescent="0.4">
      <c r="A1353" s="788">
        <v>1352</v>
      </c>
      <c r="B1353" s="246" t="s">
        <v>2616</v>
      </c>
      <c r="C1353" s="245" t="s">
        <v>24</v>
      </c>
      <c r="D1353" s="1518">
        <v>4059</v>
      </c>
      <c r="E1353" s="245" t="s">
        <v>4082</v>
      </c>
      <c r="F1353" s="245" t="s">
        <v>4083</v>
      </c>
      <c r="G1353" s="679">
        <v>2455</v>
      </c>
      <c r="H1353" s="245" t="s">
        <v>4025</v>
      </c>
      <c r="I1353" s="246" t="s">
        <v>3971</v>
      </c>
      <c r="J1353" s="79" t="s">
        <v>58</v>
      </c>
      <c r="K1353" s="79" t="s">
        <v>57</v>
      </c>
      <c r="L1353" s="1067">
        <v>0.4</v>
      </c>
      <c r="M1353" s="1640" t="s">
        <v>4028</v>
      </c>
      <c r="N1353" s="757" t="s">
        <v>4029</v>
      </c>
      <c r="O1353" s="1640"/>
      <c r="P1353" s="669">
        <v>1</v>
      </c>
      <c r="Q1353" s="1493">
        <v>0.05</v>
      </c>
      <c r="R1353" s="669"/>
      <c r="S1353" s="204">
        <f t="shared" si="42"/>
        <v>0</v>
      </c>
      <c r="T1353" s="960">
        <f t="shared" si="43"/>
        <v>0</v>
      </c>
      <c r="U1353" s="669" t="s">
        <v>34</v>
      </c>
      <c r="V1353" s="1203"/>
      <c r="W1353" s="253"/>
    </row>
    <row r="1354" spans="1:23" ht="22.95" customHeight="1" x14ac:dyDescent="0.4">
      <c r="A1354" s="788">
        <v>1353</v>
      </c>
      <c r="B1354" s="246" t="s">
        <v>2616</v>
      </c>
      <c r="C1354" s="245" t="s">
        <v>24</v>
      </c>
      <c r="D1354" s="1518">
        <v>4059</v>
      </c>
      <c r="E1354" s="245" t="s">
        <v>4082</v>
      </c>
      <c r="F1354" s="245" t="s">
        <v>4083</v>
      </c>
      <c r="G1354" s="679">
        <v>2455</v>
      </c>
      <c r="H1354" s="245" t="s">
        <v>4025</v>
      </c>
      <c r="I1354" s="246" t="s">
        <v>3971</v>
      </c>
      <c r="J1354" s="79" t="s">
        <v>58</v>
      </c>
      <c r="K1354" s="79" t="s">
        <v>57</v>
      </c>
      <c r="L1354" s="1067">
        <v>0.4</v>
      </c>
      <c r="M1354" s="1640" t="s">
        <v>4086</v>
      </c>
      <c r="N1354" s="757" t="s">
        <v>4087</v>
      </c>
      <c r="O1354" s="1640"/>
      <c r="P1354" s="669">
        <v>1</v>
      </c>
      <c r="Q1354" s="1493">
        <v>0.03</v>
      </c>
      <c r="R1354" s="669"/>
      <c r="S1354" s="204">
        <f t="shared" si="42"/>
        <v>0</v>
      </c>
      <c r="T1354" s="960">
        <f t="shared" si="43"/>
        <v>0</v>
      </c>
      <c r="U1354" s="669" t="s">
        <v>34</v>
      </c>
      <c r="V1354" s="1203"/>
      <c r="W1354" s="253"/>
    </row>
    <row r="1355" spans="1:23" ht="22.95" customHeight="1" x14ac:dyDescent="0.4">
      <c r="A1355" s="788">
        <v>1354</v>
      </c>
      <c r="B1355" s="246" t="s">
        <v>2616</v>
      </c>
      <c r="C1355" s="245" t="s">
        <v>24</v>
      </c>
      <c r="D1355" s="1518">
        <v>4059</v>
      </c>
      <c r="E1355" s="245" t="s">
        <v>4082</v>
      </c>
      <c r="F1355" s="245" t="s">
        <v>4083</v>
      </c>
      <c r="G1355" s="679">
        <v>2455</v>
      </c>
      <c r="H1355" s="245" t="s">
        <v>4025</v>
      </c>
      <c r="I1355" s="246" t="s">
        <v>3971</v>
      </c>
      <c r="J1355" s="79" t="s">
        <v>58</v>
      </c>
      <c r="K1355" s="79" t="s">
        <v>57</v>
      </c>
      <c r="L1355" s="1067">
        <v>0.4</v>
      </c>
      <c r="M1355" s="1640" t="s">
        <v>4088</v>
      </c>
      <c r="N1355" s="757" t="s">
        <v>4089</v>
      </c>
      <c r="O1355" s="1640"/>
      <c r="P1355" s="669">
        <v>1</v>
      </c>
      <c r="Q1355" s="1493">
        <v>0.1</v>
      </c>
      <c r="R1355" s="669"/>
      <c r="S1355" s="204">
        <f t="shared" si="42"/>
        <v>0</v>
      </c>
      <c r="T1355" s="960">
        <f t="shared" si="43"/>
        <v>0</v>
      </c>
      <c r="U1355" s="669" t="s">
        <v>34</v>
      </c>
      <c r="V1355" s="1203"/>
      <c r="W1355" s="253"/>
    </row>
    <row r="1356" spans="1:23" ht="22.95" customHeight="1" x14ac:dyDescent="0.4">
      <c r="A1356" s="788">
        <v>1355</v>
      </c>
      <c r="B1356" s="246" t="s">
        <v>2616</v>
      </c>
      <c r="C1356" s="245" t="s">
        <v>24</v>
      </c>
      <c r="D1356" s="1518">
        <v>4059</v>
      </c>
      <c r="E1356" s="245" t="s">
        <v>4082</v>
      </c>
      <c r="F1356" s="245" t="s">
        <v>4083</v>
      </c>
      <c r="G1356" s="679">
        <v>2455</v>
      </c>
      <c r="H1356" s="245" t="s">
        <v>4025</v>
      </c>
      <c r="I1356" s="246" t="s">
        <v>3971</v>
      </c>
      <c r="J1356" s="79" t="s">
        <v>58</v>
      </c>
      <c r="K1356" s="79" t="s">
        <v>57</v>
      </c>
      <c r="L1356" s="1067">
        <v>0.4</v>
      </c>
      <c r="M1356" s="1640" t="s">
        <v>4090</v>
      </c>
      <c r="N1356" s="757" t="s">
        <v>4091</v>
      </c>
      <c r="O1356" s="1640"/>
      <c r="P1356" s="669">
        <v>1</v>
      </c>
      <c r="Q1356" s="1493">
        <v>0.2</v>
      </c>
      <c r="R1356" s="669"/>
      <c r="S1356" s="204">
        <f t="shared" si="42"/>
        <v>0</v>
      </c>
      <c r="T1356" s="960">
        <f t="shared" si="43"/>
        <v>0</v>
      </c>
      <c r="U1356" s="669" t="s">
        <v>34</v>
      </c>
      <c r="V1356" s="1203"/>
      <c r="W1356" s="253"/>
    </row>
    <row r="1357" spans="1:23" ht="22.95" customHeight="1" x14ac:dyDescent="0.4">
      <c r="A1357" s="788">
        <v>1356</v>
      </c>
      <c r="B1357" s="246" t="s">
        <v>2616</v>
      </c>
      <c r="C1357" s="245" t="s">
        <v>24</v>
      </c>
      <c r="D1357" s="1518">
        <v>4059</v>
      </c>
      <c r="E1357" s="245" t="s">
        <v>4082</v>
      </c>
      <c r="F1357" s="245" t="s">
        <v>4083</v>
      </c>
      <c r="G1357" s="679">
        <v>2455</v>
      </c>
      <c r="H1357" s="245" t="s">
        <v>4025</v>
      </c>
      <c r="I1357" s="246" t="s">
        <v>3971</v>
      </c>
      <c r="J1357" s="79" t="s">
        <v>58</v>
      </c>
      <c r="K1357" s="79" t="s">
        <v>57</v>
      </c>
      <c r="L1357" s="1067">
        <v>0.4</v>
      </c>
      <c r="M1357" s="1640" t="s">
        <v>4092</v>
      </c>
      <c r="N1357" s="757" t="s">
        <v>4093</v>
      </c>
      <c r="O1357" s="1640"/>
      <c r="P1357" s="669">
        <v>1</v>
      </c>
      <c r="Q1357" s="1493">
        <v>0.05</v>
      </c>
      <c r="R1357" s="669"/>
      <c r="S1357" s="204">
        <f t="shared" si="42"/>
        <v>0</v>
      </c>
      <c r="T1357" s="960">
        <f t="shared" si="43"/>
        <v>0</v>
      </c>
      <c r="U1357" s="669" t="s">
        <v>34</v>
      </c>
      <c r="V1357" s="1203"/>
      <c r="W1357" s="253"/>
    </row>
    <row r="1358" spans="1:23" ht="22.95" customHeight="1" x14ac:dyDescent="0.4">
      <c r="A1358" s="788">
        <v>1357</v>
      </c>
      <c r="B1358" s="246" t="s">
        <v>2616</v>
      </c>
      <c r="C1358" s="245" t="s">
        <v>24</v>
      </c>
      <c r="D1358" s="1518">
        <v>4059</v>
      </c>
      <c r="E1358" s="245" t="s">
        <v>4082</v>
      </c>
      <c r="F1358" s="245" t="s">
        <v>4083</v>
      </c>
      <c r="G1358" s="679">
        <v>2455</v>
      </c>
      <c r="H1358" s="245" t="s">
        <v>4025</v>
      </c>
      <c r="I1358" s="246" t="s">
        <v>3971</v>
      </c>
      <c r="J1358" s="79" t="s">
        <v>58</v>
      </c>
      <c r="K1358" s="79" t="s">
        <v>57</v>
      </c>
      <c r="L1358" s="1067">
        <v>0.4</v>
      </c>
      <c r="M1358" s="1640" t="s">
        <v>4094</v>
      </c>
      <c r="N1358" s="757" t="s">
        <v>4095</v>
      </c>
      <c r="O1358" s="1640"/>
      <c r="P1358" s="669">
        <v>1</v>
      </c>
      <c r="Q1358" s="1493">
        <v>0.1</v>
      </c>
      <c r="R1358" s="669"/>
      <c r="S1358" s="204">
        <f t="shared" si="42"/>
        <v>0</v>
      </c>
      <c r="T1358" s="960">
        <f t="shared" si="43"/>
        <v>0</v>
      </c>
      <c r="U1358" s="669" t="s">
        <v>34</v>
      </c>
      <c r="V1358" s="1203"/>
      <c r="W1358" s="253"/>
    </row>
    <row r="1359" spans="1:23" ht="22.95" customHeight="1" x14ac:dyDescent="0.4">
      <c r="A1359" s="788">
        <v>1358</v>
      </c>
      <c r="B1359" s="246" t="s">
        <v>2616</v>
      </c>
      <c r="C1359" s="245" t="s">
        <v>24</v>
      </c>
      <c r="D1359" s="1518">
        <v>4059</v>
      </c>
      <c r="E1359" s="245" t="s">
        <v>4082</v>
      </c>
      <c r="F1359" s="245" t="s">
        <v>4083</v>
      </c>
      <c r="G1359" s="679">
        <v>2455</v>
      </c>
      <c r="H1359" s="245" t="s">
        <v>4025</v>
      </c>
      <c r="I1359" s="246" t="s">
        <v>3971</v>
      </c>
      <c r="J1359" s="79" t="s">
        <v>58</v>
      </c>
      <c r="K1359" s="79" t="s">
        <v>57</v>
      </c>
      <c r="L1359" s="1067">
        <v>0.4</v>
      </c>
      <c r="M1359" s="1640" t="s">
        <v>4096</v>
      </c>
      <c r="N1359" s="757" t="s">
        <v>4097</v>
      </c>
      <c r="O1359" s="1640"/>
      <c r="P1359" s="669">
        <v>1</v>
      </c>
      <c r="Q1359" s="1493">
        <v>0.05</v>
      </c>
      <c r="R1359" s="669"/>
      <c r="S1359" s="204">
        <f t="shared" si="42"/>
        <v>0</v>
      </c>
      <c r="T1359" s="960">
        <f t="shared" si="43"/>
        <v>0</v>
      </c>
      <c r="U1359" s="669" t="s">
        <v>34</v>
      </c>
      <c r="V1359" s="1203"/>
      <c r="W1359" s="253"/>
    </row>
    <row r="1360" spans="1:23" ht="22.95" customHeight="1" x14ac:dyDescent="0.4">
      <c r="A1360" s="788">
        <v>1359</v>
      </c>
      <c r="B1360" s="246" t="s">
        <v>2616</v>
      </c>
      <c r="C1360" s="245" t="s">
        <v>24</v>
      </c>
      <c r="D1360" s="1518">
        <v>4059</v>
      </c>
      <c r="E1360" s="245" t="s">
        <v>4082</v>
      </c>
      <c r="F1360" s="245" t="s">
        <v>4083</v>
      </c>
      <c r="G1360" s="679">
        <v>2455</v>
      </c>
      <c r="H1360" s="245" t="s">
        <v>4025</v>
      </c>
      <c r="I1360" s="246" t="s">
        <v>3971</v>
      </c>
      <c r="J1360" s="79" t="s">
        <v>58</v>
      </c>
      <c r="K1360" s="79" t="s">
        <v>57</v>
      </c>
      <c r="L1360" s="1067">
        <v>0.4</v>
      </c>
      <c r="M1360" s="1640" t="s">
        <v>4098</v>
      </c>
      <c r="N1360" s="757" t="s">
        <v>4099</v>
      </c>
      <c r="O1360" s="1640"/>
      <c r="P1360" s="669">
        <v>1</v>
      </c>
      <c r="Q1360" s="1493">
        <v>7.0000000000000007E-2</v>
      </c>
      <c r="R1360" s="669"/>
      <c r="S1360" s="204">
        <f t="shared" si="42"/>
        <v>0</v>
      </c>
      <c r="T1360" s="960">
        <f t="shared" si="43"/>
        <v>0</v>
      </c>
      <c r="U1360" s="669" t="s">
        <v>34</v>
      </c>
      <c r="V1360" s="1203"/>
      <c r="W1360" s="253"/>
    </row>
    <row r="1361" spans="1:23" ht="22.95" customHeight="1" x14ac:dyDescent="0.4">
      <c r="A1361" s="788">
        <v>1360</v>
      </c>
      <c r="B1361" s="246" t="s">
        <v>2616</v>
      </c>
      <c r="C1361" s="245" t="s">
        <v>24</v>
      </c>
      <c r="D1361" s="1518">
        <v>4059</v>
      </c>
      <c r="E1361" s="245" t="s">
        <v>4082</v>
      </c>
      <c r="F1361" s="245" t="s">
        <v>4083</v>
      </c>
      <c r="G1361" s="679">
        <v>2455</v>
      </c>
      <c r="H1361" s="245" t="s">
        <v>4025</v>
      </c>
      <c r="I1361" s="246" t="s">
        <v>3971</v>
      </c>
      <c r="J1361" s="79" t="s">
        <v>58</v>
      </c>
      <c r="K1361" s="79" t="s">
        <v>57</v>
      </c>
      <c r="L1361" s="1067">
        <v>0.4</v>
      </c>
      <c r="M1361" s="1640" t="s">
        <v>4044</v>
      </c>
      <c r="N1361" s="757" t="s">
        <v>4045</v>
      </c>
      <c r="O1361" s="1640"/>
      <c r="P1361" s="669">
        <v>1</v>
      </c>
      <c r="Q1361" s="1493">
        <v>0.1</v>
      </c>
      <c r="R1361" s="669"/>
      <c r="S1361" s="204">
        <f t="shared" si="42"/>
        <v>0</v>
      </c>
      <c r="T1361" s="960">
        <f t="shared" si="43"/>
        <v>0</v>
      </c>
      <c r="U1361" s="669" t="s">
        <v>34</v>
      </c>
      <c r="V1361" s="1203"/>
      <c r="W1361" s="253"/>
    </row>
    <row r="1362" spans="1:23" ht="22.95" customHeight="1" x14ac:dyDescent="0.4">
      <c r="A1362" s="788">
        <v>1361</v>
      </c>
      <c r="B1362" s="246" t="s">
        <v>2616</v>
      </c>
      <c r="C1362" s="245" t="s">
        <v>24</v>
      </c>
      <c r="D1362" s="1518">
        <v>4059</v>
      </c>
      <c r="E1362" s="245" t="s">
        <v>4082</v>
      </c>
      <c r="F1362" s="245" t="s">
        <v>4083</v>
      </c>
      <c r="G1362" s="679">
        <v>2455</v>
      </c>
      <c r="H1362" s="245" t="s">
        <v>4025</v>
      </c>
      <c r="I1362" s="246" t="s">
        <v>3971</v>
      </c>
      <c r="J1362" s="79" t="s">
        <v>58</v>
      </c>
      <c r="K1362" s="79" t="s">
        <v>57</v>
      </c>
      <c r="L1362" s="1067">
        <v>0.4</v>
      </c>
      <c r="M1362" s="1640" t="s">
        <v>4100</v>
      </c>
      <c r="N1362" s="757" t="s">
        <v>4101</v>
      </c>
      <c r="O1362" s="1640"/>
      <c r="P1362" s="669">
        <v>1</v>
      </c>
      <c r="Q1362" s="1493">
        <v>0.03</v>
      </c>
      <c r="R1362" s="669"/>
      <c r="S1362" s="204">
        <f t="shared" si="42"/>
        <v>0</v>
      </c>
      <c r="T1362" s="960">
        <f t="shared" si="43"/>
        <v>0</v>
      </c>
      <c r="U1362" s="669" t="s">
        <v>34</v>
      </c>
      <c r="V1362" s="1203"/>
      <c r="W1362" s="253"/>
    </row>
    <row r="1363" spans="1:23" ht="22.95" customHeight="1" x14ac:dyDescent="0.4">
      <c r="A1363" s="788">
        <v>1362</v>
      </c>
      <c r="B1363" s="246" t="s">
        <v>2616</v>
      </c>
      <c r="C1363" s="245" t="s">
        <v>24</v>
      </c>
      <c r="D1363" s="1518">
        <v>4059</v>
      </c>
      <c r="E1363" s="245" t="s">
        <v>4082</v>
      </c>
      <c r="F1363" s="245" t="s">
        <v>4083</v>
      </c>
      <c r="G1363" s="679">
        <v>2455</v>
      </c>
      <c r="H1363" s="245" t="s">
        <v>4025</v>
      </c>
      <c r="I1363" s="246" t="s">
        <v>3971</v>
      </c>
      <c r="J1363" s="79" t="s">
        <v>58</v>
      </c>
      <c r="K1363" s="79" t="s">
        <v>57</v>
      </c>
      <c r="L1363" s="1067">
        <v>0.4</v>
      </c>
      <c r="M1363" s="1640" t="s">
        <v>4048</v>
      </c>
      <c r="N1363" s="757" t="s">
        <v>4049</v>
      </c>
      <c r="O1363" s="1640"/>
      <c r="P1363" s="669">
        <v>1</v>
      </c>
      <c r="Q1363" s="1493">
        <v>0.05</v>
      </c>
      <c r="R1363" s="669"/>
      <c r="S1363" s="204">
        <f t="shared" si="42"/>
        <v>0</v>
      </c>
      <c r="T1363" s="960">
        <f t="shared" si="43"/>
        <v>0</v>
      </c>
      <c r="U1363" s="669" t="s">
        <v>34</v>
      </c>
      <c r="V1363" s="1203"/>
      <c r="W1363" s="253"/>
    </row>
    <row r="1364" spans="1:23" ht="22.95" customHeight="1" x14ac:dyDescent="0.4">
      <c r="A1364" s="788">
        <v>1363</v>
      </c>
      <c r="B1364" s="246" t="s">
        <v>2616</v>
      </c>
      <c r="C1364" s="245" t="s">
        <v>24</v>
      </c>
      <c r="D1364" s="1518">
        <v>4059</v>
      </c>
      <c r="E1364" s="245" t="s">
        <v>4082</v>
      </c>
      <c r="F1364" s="245" t="s">
        <v>4083</v>
      </c>
      <c r="G1364" s="679">
        <v>2455</v>
      </c>
      <c r="H1364" s="245" t="s">
        <v>4025</v>
      </c>
      <c r="I1364" s="246" t="s">
        <v>3971</v>
      </c>
      <c r="J1364" s="79" t="s">
        <v>58</v>
      </c>
      <c r="K1364" s="79" t="s">
        <v>57</v>
      </c>
      <c r="L1364" s="1067">
        <v>0.4</v>
      </c>
      <c r="M1364" s="1640" t="s">
        <v>4102</v>
      </c>
      <c r="N1364" s="757" t="s">
        <v>4103</v>
      </c>
      <c r="O1364" s="1640"/>
      <c r="P1364" s="669">
        <v>1</v>
      </c>
      <c r="Q1364" s="1493">
        <v>0.05</v>
      </c>
      <c r="R1364" s="669"/>
      <c r="S1364" s="204">
        <f t="shared" si="42"/>
        <v>0</v>
      </c>
      <c r="T1364" s="960">
        <f t="shared" si="43"/>
        <v>0</v>
      </c>
      <c r="U1364" s="669" t="s">
        <v>34</v>
      </c>
      <c r="V1364" s="1203"/>
      <c r="W1364" s="253"/>
    </row>
    <row r="1365" spans="1:23" ht="22.95" customHeight="1" x14ac:dyDescent="0.4">
      <c r="A1365" s="788">
        <v>1364</v>
      </c>
      <c r="B1365" s="246" t="s">
        <v>2616</v>
      </c>
      <c r="C1365" s="245" t="s">
        <v>24</v>
      </c>
      <c r="D1365" s="1518">
        <v>4059</v>
      </c>
      <c r="E1365" s="245" t="s">
        <v>4082</v>
      </c>
      <c r="F1365" s="245" t="s">
        <v>4083</v>
      </c>
      <c r="G1365" s="679">
        <v>2455</v>
      </c>
      <c r="H1365" s="245" t="s">
        <v>4025</v>
      </c>
      <c r="I1365" s="246" t="s">
        <v>3971</v>
      </c>
      <c r="J1365" s="79" t="s">
        <v>58</v>
      </c>
      <c r="K1365" s="79" t="s">
        <v>57</v>
      </c>
      <c r="L1365" s="1067">
        <v>0.4</v>
      </c>
      <c r="M1365" s="1640" t="s">
        <v>4052</v>
      </c>
      <c r="N1365" s="757" t="s">
        <v>4053</v>
      </c>
      <c r="O1365" s="1640"/>
      <c r="P1365" s="669">
        <v>1</v>
      </c>
      <c r="Q1365" s="1493">
        <v>0.02</v>
      </c>
      <c r="R1365" s="669"/>
      <c r="S1365" s="204">
        <f t="shared" si="42"/>
        <v>0</v>
      </c>
      <c r="T1365" s="960">
        <f t="shared" si="43"/>
        <v>0</v>
      </c>
      <c r="U1365" s="669" t="s">
        <v>34</v>
      </c>
      <c r="V1365" s="1203"/>
      <c r="W1365" s="253"/>
    </row>
    <row r="1366" spans="1:23" ht="22.95" customHeight="1" x14ac:dyDescent="0.4">
      <c r="A1366" s="788">
        <v>1365</v>
      </c>
      <c r="B1366" s="246" t="s">
        <v>2616</v>
      </c>
      <c r="C1366" s="245" t="s">
        <v>24</v>
      </c>
      <c r="D1366" s="1518">
        <v>4059</v>
      </c>
      <c r="E1366" s="245" t="s">
        <v>4082</v>
      </c>
      <c r="F1366" s="245" t="s">
        <v>4083</v>
      </c>
      <c r="G1366" s="679">
        <v>2455</v>
      </c>
      <c r="H1366" s="245" t="s">
        <v>4025</v>
      </c>
      <c r="I1366" s="246" t="s">
        <v>3971</v>
      </c>
      <c r="J1366" s="253" t="s">
        <v>111</v>
      </c>
      <c r="K1366" s="649" t="s">
        <v>110</v>
      </c>
      <c r="L1366" s="1145">
        <v>0.6</v>
      </c>
      <c r="M1366" s="1641" t="s">
        <v>4054</v>
      </c>
      <c r="N1366" s="827" t="s">
        <v>3983</v>
      </c>
      <c r="O1366" s="1641"/>
      <c r="P1366" s="1272">
        <v>1</v>
      </c>
      <c r="Q1366" s="1512">
        <v>0.5</v>
      </c>
      <c r="R1366" s="1272"/>
      <c r="S1366" s="650">
        <f t="shared" si="42"/>
        <v>0</v>
      </c>
      <c r="T1366" s="701">
        <f t="shared" si="43"/>
        <v>0</v>
      </c>
      <c r="U1366" s="1272" t="s">
        <v>34</v>
      </c>
      <c r="V1366" s="1228"/>
      <c r="W1366" s="253"/>
    </row>
    <row r="1367" spans="1:23" ht="22.95" customHeight="1" x14ac:dyDescent="0.4">
      <c r="A1367" s="788">
        <v>1366</v>
      </c>
      <c r="B1367" s="246" t="s">
        <v>2616</v>
      </c>
      <c r="C1367" s="245" t="s">
        <v>24</v>
      </c>
      <c r="D1367" s="1518">
        <v>4059</v>
      </c>
      <c r="E1367" s="245" t="s">
        <v>4082</v>
      </c>
      <c r="F1367" s="245" t="s">
        <v>4083</v>
      </c>
      <c r="G1367" s="679">
        <v>2455</v>
      </c>
      <c r="H1367" s="245" t="s">
        <v>4025</v>
      </c>
      <c r="I1367" s="246" t="s">
        <v>3971</v>
      </c>
      <c r="J1367" s="253" t="s">
        <v>111</v>
      </c>
      <c r="K1367" s="649" t="s">
        <v>110</v>
      </c>
      <c r="L1367" s="1145">
        <v>0.6</v>
      </c>
      <c r="M1367" s="1641" t="s">
        <v>4055</v>
      </c>
      <c r="N1367" s="827" t="s">
        <v>4056</v>
      </c>
      <c r="O1367" s="1641"/>
      <c r="P1367" s="1272">
        <v>1</v>
      </c>
      <c r="Q1367" s="1512">
        <v>0.5</v>
      </c>
      <c r="R1367" s="1272"/>
      <c r="S1367" s="650">
        <f t="shared" si="42"/>
        <v>0</v>
      </c>
      <c r="T1367" s="701">
        <f t="shared" si="43"/>
        <v>0</v>
      </c>
      <c r="U1367" s="1272" t="s">
        <v>34</v>
      </c>
      <c r="V1367" s="1228"/>
      <c r="W1367" s="253"/>
    </row>
    <row r="1368" spans="1:23" ht="22.95" customHeight="1" x14ac:dyDescent="0.4">
      <c r="A1368" s="788">
        <v>1367</v>
      </c>
      <c r="B1368" s="187" t="s">
        <v>2616</v>
      </c>
      <c r="C1368" s="236" t="s">
        <v>24</v>
      </c>
      <c r="D1368" s="1130">
        <v>3824</v>
      </c>
      <c r="E1368" s="236" t="s">
        <v>4104</v>
      </c>
      <c r="F1368" s="236" t="s">
        <v>4105</v>
      </c>
      <c r="G1368" s="674">
        <v>2458</v>
      </c>
      <c r="H1368" s="236" t="s">
        <v>4057</v>
      </c>
      <c r="I1368" s="187" t="s">
        <v>3971</v>
      </c>
      <c r="J1368" s="653" t="s">
        <v>58</v>
      </c>
      <c r="K1368" s="653" t="s">
        <v>57</v>
      </c>
      <c r="L1368" s="1052">
        <v>0.6</v>
      </c>
      <c r="M1368" s="1642" t="s">
        <v>4106</v>
      </c>
      <c r="N1368" s="749" t="s">
        <v>4107</v>
      </c>
      <c r="O1368" s="1642"/>
      <c r="P1368" s="953">
        <v>1</v>
      </c>
      <c r="Q1368" s="1490">
        <v>0.1</v>
      </c>
      <c r="R1368" s="953"/>
      <c r="S1368" s="855">
        <f t="shared" si="42"/>
        <v>0</v>
      </c>
      <c r="T1368" s="854">
        <f t="shared" si="43"/>
        <v>0</v>
      </c>
      <c r="U1368" s="953" t="s">
        <v>34</v>
      </c>
      <c r="V1368" s="1488">
        <f>SUM(T1368:T1394)%</f>
        <v>0</v>
      </c>
      <c r="W1368" s="187"/>
    </row>
    <row r="1369" spans="1:23" ht="22.95" customHeight="1" x14ac:dyDescent="0.4">
      <c r="A1369" s="788">
        <v>1368</v>
      </c>
      <c r="B1369" s="246" t="s">
        <v>2616</v>
      </c>
      <c r="C1369" s="245" t="s">
        <v>24</v>
      </c>
      <c r="D1369" s="1134">
        <v>3824</v>
      </c>
      <c r="E1369" s="245" t="s">
        <v>4104</v>
      </c>
      <c r="F1369" s="245" t="s">
        <v>4105</v>
      </c>
      <c r="G1369" s="679">
        <v>2458</v>
      </c>
      <c r="H1369" s="245" t="s">
        <v>4057</v>
      </c>
      <c r="I1369" s="246" t="s">
        <v>3971</v>
      </c>
      <c r="J1369" s="79" t="s">
        <v>58</v>
      </c>
      <c r="K1369" s="79" t="s">
        <v>57</v>
      </c>
      <c r="L1369" s="1067">
        <v>0.6</v>
      </c>
      <c r="M1369" s="760" t="s">
        <v>4108</v>
      </c>
      <c r="N1369" s="757" t="s">
        <v>4109</v>
      </c>
      <c r="O1369" s="760"/>
      <c r="P1369" s="669">
        <v>1</v>
      </c>
      <c r="Q1369" s="1493">
        <v>0.1</v>
      </c>
      <c r="R1369" s="669"/>
      <c r="S1369" s="204">
        <f t="shared" si="42"/>
        <v>0</v>
      </c>
      <c r="T1369" s="960">
        <f t="shared" si="43"/>
        <v>0</v>
      </c>
      <c r="U1369" s="669" t="s">
        <v>34</v>
      </c>
      <c r="V1369" s="1203"/>
      <c r="W1369" s="246"/>
    </row>
    <row r="1370" spans="1:23" ht="22.95" customHeight="1" x14ac:dyDescent="0.4">
      <c r="A1370" s="788">
        <v>1369</v>
      </c>
      <c r="B1370" s="246" t="s">
        <v>2616</v>
      </c>
      <c r="C1370" s="245" t="s">
        <v>24</v>
      </c>
      <c r="D1370" s="1134">
        <v>3824</v>
      </c>
      <c r="E1370" s="245" t="s">
        <v>4104</v>
      </c>
      <c r="F1370" s="245" t="s">
        <v>4105</v>
      </c>
      <c r="G1370" s="679">
        <v>2458</v>
      </c>
      <c r="H1370" s="245" t="s">
        <v>4057</v>
      </c>
      <c r="I1370" s="246" t="s">
        <v>3971</v>
      </c>
      <c r="J1370" s="79" t="s">
        <v>58</v>
      </c>
      <c r="K1370" s="79" t="s">
        <v>57</v>
      </c>
      <c r="L1370" s="1067">
        <v>0.6</v>
      </c>
      <c r="M1370" s="760" t="s">
        <v>4110</v>
      </c>
      <c r="N1370" s="757" t="s">
        <v>4111</v>
      </c>
      <c r="O1370" s="760"/>
      <c r="P1370" s="669">
        <v>1</v>
      </c>
      <c r="Q1370" s="1493">
        <v>0.15</v>
      </c>
      <c r="R1370" s="669"/>
      <c r="S1370" s="204">
        <f t="shared" si="42"/>
        <v>0</v>
      </c>
      <c r="T1370" s="960">
        <f t="shared" si="43"/>
        <v>0</v>
      </c>
      <c r="U1370" s="669" t="s">
        <v>34</v>
      </c>
      <c r="V1370" s="1203"/>
      <c r="W1370" s="246"/>
    </row>
    <row r="1371" spans="1:23" ht="22.95" customHeight="1" x14ac:dyDescent="0.4">
      <c r="A1371" s="788">
        <v>1370</v>
      </c>
      <c r="B1371" s="246" t="s">
        <v>2616</v>
      </c>
      <c r="C1371" s="245" t="s">
        <v>24</v>
      </c>
      <c r="D1371" s="1134">
        <v>3824</v>
      </c>
      <c r="E1371" s="245" t="s">
        <v>4104</v>
      </c>
      <c r="F1371" s="245" t="s">
        <v>4105</v>
      </c>
      <c r="G1371" s="679">
        <v>2458</v>
      </c>
      <c r="H1371" s="245" t="s">
        <v>4057</v>
      </c>
      <c r="I1371" s="246" t="s">
        <v>3971</v>
      </c>
      <c r="J1371" s="79" t="s">
        <v>58</v>
      </c>
      <c r="K1371" s="79" t="s">
        <v>57</v>
      </c>
      <c r="L1371" s="1067">
        <v>0.6</v>
      </c>
      <c r="M1371" s="760" t="s">
        <v>4112</v>
      </c>
      <c r="N1371" s="757" t="s">
        <v>4066</v>
      </c>
      <c r="O1371" s="760"/>
      <c r="P1371" s="669">
        <v>1</v>
      </c>
      <c r="Q1371" s="1493">
        <v>0.2</v>
      </c>
      <c r="R1371" s="669"/>
      <c r="S1371" s="204">
        <f t="shared" si="42"/>
        <v>0</v>
      </c>
      <c r="T1371" s="960">
        <f t="shared" si="43"/>
        <v>0</v>
      </c>
      <c r="U1371" s="669" t="s">
        <v>34</v>
      </c>
      <c r="V1371" s="1203"/>
      <c r="W1371" s="246"/>
    </row>
    <row r="1372" spans="1:23" ht="22.95" customHeight="1" x14ac:dyDescent="0.4">
      <c r="A1372" s="788">
        <v>1371</v>
      </c>
      <c r="B1372" s="246" t="s">
        <v>2616</v>
      </c>
      <c r="C1372" s="245" t="s">
        <v>24</v>
      </c>
      <c r="D1372" s="1134">
        <v>3824</v>
      </c>
      <c r="E1372" s="245" t="s">
        <v>4104</v>
      </c>
      <c r="F1372" s="245" t="s">
        <v>4105</v>
      </c>
      <c r="G1372" s="679">
        <v>2458</v>
      </c>
      <c r="H1372" s="245" t="s">
        <v>4057</v>
      </c>
      <c r="I1372" s="246" t="s">
        <v>3971</v>
      </c>
      <c r="J1372" s="79" t="s">
        <v>58</v>
      </c>
      <c r="K1372" s="79" t="s">
        <v>57</v>
      </c>
      <c r="L1372" s="1067">
        <v>0.6</v>
      </c>
      <c r="M1372" s="760" t="s">
        <v>4113</v>
      </c>
      <c r="N1372" s="757" t="s">
        <v>4114</v>
      </c>
      <c r="O1372" s="760"/>
      <c r="P1372" s="669">
        <v>1</v>
      </c>
      <c r="Q1372" s="1493">
        <v>0.05</v>
      </c>
      <c r="R1372" s="669"/>
      <c r="S1372" s="204">
        <f t="shared" si="42"/>
        <v>0</v>
      </c>
      <c r="T1372" s="960">
        <f t="shared" si="43"/>
        <v>0</v>
      </c>
      <c r="U1372" s="669" t="s">
        <v>34</v>
      </c>
      <c r="V1372" s="1203"/>
      <c r="W1372" s="246"/>
    </row>
    <row r="1373" spans="1:23" ht="22.95" customHeight="1" x14ac:dyDescent="0.4">
      <c r="A1373" s="788">
        <v>1372</v>
      </c>
      <c r="B1373" s="246" t="s">
        <v>2616</v>
      </c>
      <c r="C1373" s="245" t="s">
        <v>24</v>
      </c>
      <c r="D1373" s="1134">
        <v>3824</v>
      </c>
      <c r="E1373" s="245" t="s">
        <v>4104</v>
      </c>
      <c r="F1373" s="245" t="s">
        <v>4105</v>
      </c>
      <c r="G1373" s="679">
        <v>2458</v>
      </c>
      <c r="H1373" s="245" t="s">
        <v>4057</v>
      </c>
      <c r="I1373" s="246" t="s">
        <v>3971</v>
      </c>
      <c r="J1373" s="79" t="s">
        <v>58</v>
      </c>
      <c r="K1373" s="79" t="s">
        <v>57</v>
      </c>
      <c r="L1373" s="1067">
        <v>0.6</v>
      </c>
      <c r="M1373" s="760" t="s">
        <v>4115</v>
      </c>
      <c r="N1373" s="757" t="s">
        <v>4116</v>
      </c>
      <c r="O1373" s="760"/>
      <c r="P1373" s="669">
        <v>1</v>
      </c>
      <c r="Q1373" s="1493">
        <v>0.1</v>
      </c>
      <c r="R1373" s="669"/>
      <c r="S1373" s="204">
        <f t="shared" si="42"/>
        <v>0</v>
      </c>
      <c r="T1373" s="960">
        <f t="shared" si="43"/>
        <v>0</v>
      </c>
      <c r="U1373" s="669" t="s">
        <v>34</v>
      </c>
      <c r="V1373" s="1203"/>
      <c r="W1373" s="246"/>
    </row>
    <row r="1374" spans="1:23" ht="22.95" customHeight="1" x14ac:dyDescent="0.4">
      <c r="A1374" s="788">
        <v>1373</v>
      </c>
      <c r="B1374" s="246" t="s">
        <v>2616</v>
      </c>
      <c r="C1374" s="245" t="s">
        <v>24</v>
      </c>
      <c r="D1374" s="1134">
        <v>3824</v>
      </c>
      <c r="E1374" s="245" t="s">
        <v>4104</v>
      </c>
      <c r="F1374" s="245" t="s">
        <v>4105</v>
      </c>
      <c r="G1374" s="679">
        <v>2458</v>
      </c>
      <c r="H1374" s="245" t="s">
        <v>4057</v>
      </c>
      <c r="I1374" s="246" t="s">
        <v>3971</v>
      </c>
      <c r="J1374" s="79" t="s">
        <v>58</v>
      </c>
      <c r="K1374" s="79" t="s">
        <v>57</v>
      </c>
      <c r="L1374" s="1067">
        <v>0.6</v>
      </c>
      <c r="M1374" s="760" t="s">
        <v>4117</v>
      </c>
      <c r="N1374" s="757" t="s">
        <v>4118</v>
      </c>
      <c r="O1374" s="760"/>
      <c r="P1374" s="669">
        <v>1</v>
      </c>
      <c r="Q1374" s="1493">
        <v>0.05</v>
      </c>
      <c r="R1374" s="669"/>
      <c r="S1374" s="204">
        <f t="shared" si="42"/>
        <v>0</v>
      </c>
      <c r="T1374" s="960">
        <f t="shared" si="43"/>
        <v>0</v>
      </c>
      <c r="U1374" s="669" t="s">
        <v>34</v>
      </c>
      <c r="V1374" s="1203"/>
      <c r="W1374" s="246"/>
    </row>
    <row r="1375" spans="1:23" ht="22.95" customHeight="1" x14ac:dyDescent="0.4">
      <c r="A1375" s="788">
        <v>1374</v>
      </c>
      <c r="B1375" s="246" t="s">
        <v>2616</v>
      </c>
      <c r="C1375" s="245" t="s">
        <v>24</v>
      </c>
      <c r="D1375" s="1134">
        <v>3824</v>
      </c>
      <c r="E1375" s="245" t="s">
        <v>4104</v>
      </c>
      <c r="F1375" s="245" t="s">
        <v>4105</v>
      </c>
      <c r="G1375" s="679">
        <v>2458</v>
      </c>
      <c r="H1375" s="245" t="s">
        <v>4057</v>
      </c>
      <c r="I1375" s="246" t="s">
        <v>3971</v>
      </c>
      <c r="J1375" s="79" t="s">
        <v>58</v>
      </c>
      <c r="K1375" s="79" t="s">
        <v>57</v>
      </c>
      <c r="L1375" s="1067">
        <v>0.6</v>
      </c>
      <c r="M1375" s="760" t="s">
        <v>4119</v>
      </c>
      <c r="N1375" s="757" t="s">
        <v>4053</v>
      </c>
      <c r="O1375" s="760"/>
      <c r="P1375" s="669">
        <v>1</v>
      </c>
      <c r="Q1375" s="1493">
        <v>0.05</v>
      </c>
      <c r="R1375" s="669"/>
      <c r="S1375" s="204">
        <f t="shared" si="42"/>
        <v>0</v>
      </c>
      <c r="T1375" s="960">
        <f t="shared" si="43"/>
        <v>0</v>
      </c>
      <c r="U1375" s="669" t="s">
        <v>34</v>
      </c>
      <c r="V1375" s="1203"/>
      <c r="W1375" s="246"/>
    </row>
    <row r="1376" spans="1:23" ht="22.95" customHeight="1" x14ac:dyDescent="0.4">
      <c r="A1376" s="788">
        <v>1375</v>
      </c>
      <c r="B1376" s="246" t="s">
        <v>2616</v>
      </c>
      <c r="C1376" s="245" t="s">
        <v>24</v>
      </c>
      <c r="D1376" s="1134">
        <v>3824</v>
      </c>
      <c r="E1376" s="245" t="s">
        <v>4104</v>
      </c>
      <c r="F1376" s="245" t="s">
        <v>4105</v>
      </c>
      <c r="G1376" s="679">
        <v>2458</v>
      </c>
      <c r="H1376" s="245" t="s">
        <v>4057</v>
      </c>
      <c r="I1376" s="246" t="s">
        <v>3971</v>
      </c>
      <c r="J1376" s="79" t="s">
        <v>58</v>
      </c>
      <c r="K1376" s="79" t="s">
        <v>57</v>
      </c>
      <c r="L1376" s="1067">
        <v>0.6</v>
      </c>
      <c r="M1376" s="760" t="s">
        <v>4048</v>
      </c>
      <c r="N1376" s="757" t="s">
        <v>4049</v>
      </c>
      <c r="O1376" s="760"/>
      <c r="P1376" s="669">
        <v>1</v>
      </c>
      <c r="Q1376" s="1493">
        <v>0.05</v>
      </c>
      <c r="R1376" s="669"/>
      <c r="S1376" s="204">
        <f t="shared" si="42"/>
        <v>0</v>
      </c>
      <c r="T1376" s="960">
        <f t="shared" si="43"/>
        <v>0</v>
      </c>
      <c r="U1376" s="669" t="s">
        <v>34</v>
      </c>
      <c r="V1376" s="1203"/>
      <c r="W1376" s="246"/>
    </row>
    <row r="1377" spans="1:23" ht="22.95" customHeight="1" x14ac:dyDescent="0.4">
      <c r="A1377" s="788">
        <v>1376</v>
      </c>
      <c r="B1377" s="246" t="s">
        <v>2616</v>
      </c>
      <c r="C1377" s="245" t="s">
        <v>24</v>
      </c>
      <c r="D1377" s="1134">
        <v>3824</v>
      </c>
      <c r="E1377" s="245" t="s">
        <v>4104</v>
      </c>
      <c r="F1377" s="245" t="s">
        <v>4105</v>
      </c>
      <c r="G1377" s="679">
        <v>2458</v>
      </c>
      <c r="H1377" s="245" t="s">
        <v>4057</v>
      </c>
      <c r="I1377" s="246" t="s">
        <v>3971</v>
      </c>
      <c r="J1377" s="79" t="s">
        <v>58</v>
      </c>
      <c r="K1377" s="79" t="s">
        <v>57</v>
      </c>
      <c r="L1377" s="1067">
        <v>0.6</v>
      </c>
      <c r="M1377" s="760" t="s">
        <v>4120</v>
      </c>
      <c r="N1377" s="757" t="s">
        <v>4121</v>
      </c>
      <c r="O1377" s="760"/>
      <c r="P1377" s="669">
        <v>1</v>
      </c>
      <c r="Q1377" s="1493">
        <v>0.05</v>
      </c>
      <c r="R1377" s="669"/>
      <c r="S1377" s="204">
        <f t="shared" si="42"/>
        <v>0</v>
      </c>
      <c r="T1377" s="960">
        <f t="shared" si="43"/>
        <v>0</v>
      </c>
      <c r="U1377" s="669" t="s">
        <v>34</v>
      </c>
      <c r="V1377" s="1203"/>
      <c r="W1377" s="246"/>
    </row>
    <row r="1378" spans="1:23" ht="22.95" customHeight="1" x14ac:dyDescent="0.4">
      <c r="A1378" s="788">
        <v>1377</v>
      </c>
      <c r="B1378" s="246" t="s">
        <v>2616</v>
      </c>
      <c r="C1378" s="245" t="s">
        <v>24</v>
      </c>
      <c r="D1378" s="1134">
        <v>3824</v>
      </c>
      <c r="E1378" s="245" t="s">
        <v>4104</v>
      </c>
      <c r="F1378" s="245" t="s">
        <v>4105</v>
      </c>
      <c r="G1378" s="679">
        <v>2458</v>
      </c>
      <c r="H1378" s="245" t="s">
        <v>4057</v>
      </c>
      <c r="I1378" s="246" t="s">
        <v>3971</v>
      </c>
      <c r="J1378" s="79" t="s">
        <v>58</v>
      </c>
      <c r="K1378" s="79" t="s">
        <v>57</v>
      </c>
      <c r="L1378" s="1067">
        <v>0.6</v>
      </c>
      <c r="M1378" s="760" t="s">
        <v>4122</v>
      </c>
      <c r="N1378" s="757" t="s">
        <v>3983</v>
      </c>
      <c r="O1378" s="760"/>
      <c r="P1378" s="669">
        <v>1</v>
      </c>
      <c r="Q1378" s="1493">
        <v>0.05</v>
      </c>
      <c r="R1378" s="669"/>
      <c r="S1378" s="204">
        <f t="shared" si="42"/>
        <v>0</v>
      </c>
      <c r="T1378" s="960">
        <f t="shared" si="43"/>
        <v>0</v>
      </c>
      <c r="U1378" s="669" t="s">
        <v>34</v>
      </c>
      <c r="V1378" s="1203"/>
      <c r="W1378" s="246"/>
    </row>
    <row r="1379" spans="1:23" ht="22.95" customHeight="1" x14ac:dyDescent="0.4">
      <c r="A1379" s="788">
        <v>1378</v>
      </c>
      <c r="B1379" s="246" t="s">
        <v>2616</v>
      </c>
      <c r="C1379" s="245" t="s">
        <v>24</v>
      </c>
      <c r="D1379" s="1134">
        <v>3824</v>
      </c>
      <c r="E1379" s="245" t="s">
        <v>4104</v>
      </c>
      <c r="F1379" s="245" t="s">
        <v>4105</v>
      </c>
      <c r="G1379" s="679">
        <v>2458</v>
      </c>
      <c r="H1379" s="245" t="s">
        <v>4057</v>
      </c>
      <c r="I1379" s="246" t="s">
        <v>3971</v>
      </c>
      <c r="J1379" s="79" t="s">
        <v>58</v>
      </c>
      <c r="K1379" s="79" t="s">
        <v>57</v>
      </c>
      <c r="L1379" s="1067">
        <v>0.6</v>
      </c>
      <c r="M1379" s="760" t="s">
        <v>4123</v>
      </c>
      <c r="N1379" s="757" t="s">
        <v>4016</v>
      </c>
      <c r="O1379" s="760"/>
      <c r="P1379" s="669">
        <v>1</v>
      </c>
      <c r="Q1379" s="1493">
        <v>0.05</v>
      </c>
      <c r="R1379" s="669"/>
      <c r="S1379" s="204">
        <f t="shared" si="42"/>
        <v>0</v>
      </c>
      <c r="T1379" s="960">
        <f t="shared" si="43"/>
        <v>0</v>
      </c>
      <c r="U1379" s="669" t="s">
        <v>34</v>
      </c>
      <c r="V1379" s="1203"/>
      <c r="W1379" s="246"/>
    </row>
    <row r="1380" spans="1:23" ht="22.95" customHeight="1" x14ac:dyDescent="0.4">
      <c r="A1380" s="788">
        <v>1379</v>
      </c>
      <c r="B1380" s="246" t="s">
        <v>2616</v>
      </c>
      <c r="C1380" s="245" t="s">
        <v>24</v>
      </c>
      <c r="D1380" s="1134">
        <v>3824</v>
      </c>
      <c r="E1380" s="245" t="s">
        <v>4104</v>
      </c>
      <c r="F1380" s="245" t="s">
        <v>4105</v>
      </c>
      <c r="G1380" s="679">
        <v>2458</v>
      </c>
      <c r="H1380" s="245" t="s">
        <v>4057</v>
      </c>
      <c r="I1380" s="246" t="s">
        <v>3971</v>
      </c>
      <c r="J1380" s="253" t="s">
        <v>111</v>
      </c>
      <c r="K1380" s="210" t="s">
        <v>110</v>
      </c>
      <c r="L1380" s="1063">
        <v>0.4</v>
      </c>
      <c r="M1380" s="1641" t="s">
        <v>1023</v>
      </c>
      <c r="N1380" s="827" t="s">
        <v>255</v>
      </c>
      <c r="O1380" s="1641"/>
      <c r="P1380" s="222">
        <v>1</v>
      </c>
      <c r="Q1380" s="1063">
        <v>0.05</v>
      </c>
      <c r="R1380" s="222"/>
      <c r="S1380" s="222">
        <f t="shared" si="42"/>
        <v>0</v>
      </c>
      <c r="T1380" s="765">
        <f t="shared" si="43"/>
        <v>0</v>
      </c>
      <c r="U1380" s="222" t="s">
        <v>34</v>
      </c>
      <c r="V1380" s="1228"/>
      <c r="W1380" s="246"/>
    </row>
    <row r="1381" spans="1:23" ht="22.95" customHeight="1" x14ac:dyDescent="0.4">
      <c r="A1381" s="788">
        <v>1380</v>
      </c>
      <c r="B1381" s="246" t="s">
        <v>2616</v>
      </c>
      <c r="C1381" s="245" t="s">
        <v>24</v>
      </c>
      <c r="D1381" s="1134">
        <v>3824</v>
      </c>
      <c r="E1381" s="245" t="s">
        <v>4104</v>
      </c>
      <c r="F1381" s="245" t="s">
        <v>4105</v>
      </c>
      <c r="G1381" s="679">
        <v>2458</v>
      </c>
      <c r="H1381" s="245" t="s">
        <v>4057</v>
      </c>
      <c r="I1381" s="246" t="s">
        <v>3971</v>
      </c>
      <c r="J1381" s="253" t="s">
        <v>111</v>
      </c>
      <c r="K1381" s="210" t="s">
        <v>110</v>
      </c>
      <c r="L1381" s="1063">
        <v>0.4</v>
      </c>
      <c r="M1381" s="1641" t="s">
        <v>4124</v>
      </c>
      <c r="N1381" s="827" t="s">
        <v>768</v>
      </c>
      <c r="O1381" s="1641"/>
      <c r="P1381" s="222">
        <v>1</v>
      </c>
      <c r="Q1381" s="1063">
        <v>0.05</v>
      </c>
      <c r="R1381" s="222"/>
      <c r="S1381" s="222">
        <f t="shared" si="42"/>
        <v>0</v>
      </c>
      <c r="T1381" s="765">
        <f t="shared" si="43"/>
        <v>0</v>
      </c>
      <c r="U1381" s="222" t="s">
        <v>34</v>
      </c>
      <c r="V1381" s="1228"/>
      <c r="W1381" s="246"/>
    </row>
    <row r="1382" spans="1:23" ht="22.95" customHeight="1" x14ac:dyDescent="0.4">
      <c r="A1382" s="788">
        <v>1381</v>
      </c>
      <c r="B1382" s="246" t="s">
        <v>2616</v>
      </c>
      <c r="C1382" s="245" t="s">
        <v>24</v>
      </c>
      <c r="D1382" s="1134">
        <v>3824</v>
      </c>
      <c r="E1382" s="245" t="s">
        <v>4104</v>
      </c>
      <c r="F1382" s="245" t="s">
        <v>4105</v>
      </c>
      <c r="G1382" s="679">
        <v>2458</v>
      </c>
      <c r="H1382" s="245" t="s">
        <v>4057</v>
      </c>
      <c r="I1382" s="246" t="s">
        <v>3971</v>
      </c>
      <c r="J1382" s="253" t="s">
        <v>111</v>
      </c>
      <c r="K1382" s="210" t="s">
        <v>110</v>
      </c>
      <c r="L1382" s="1063">
        <v>0.4</v>
      </c>
      <c r="M1382" s="1641" t="s">
        <v>4125</v>
      </c>
      <c r="N1382" s="827" t="s">
        <v>769</v>
      </c>
      <c r="O1382" s="1641"/>
      <c r="P1382" s="222">
        <v>1</v>
      </c>
      <c r="Q1382" s="1063">
        <v>0.05</v>
      </c>
      <c r="R1382" s="222"/>
      <c r="S1382" s="222">
        <f t="shared" si="42"/>
        <v>0</v>
      </c>
      <c r="T1382" s="765">
        <f t="shared" si="43"/>
        <v>0</v>
      </c>
      <c r="U1382" s="222" t="s">
        <v>34</v>
      </c>
      <c r="V1382" s="1228"/>
      <c r="W1382" s="246"/>
    </row>
    <row r="1383" spans="1:23" ht="22.95" customHeight="1" x14ac:dyDescent="0.4">
      <c r="A1383" s="788">
        <v>1382</v>
      </c>
      <c r="B1383" s="246" t="s">
        <v>2616</v>
      </c>
      <c r="C1383" s="245" t="s">
        <v>24</v>
      </c>
      <c r="D1383" s="1134">
        <v>3824</v>
      </c>
      <c r="E1383" s="245" t="s">
        <v>4104</v>
      </c>
      <c r="F1383" s="245" t="s">
        <v>4105</v>
      </c>
      <c r="G1383" s="679">
        <v>2458</v>
      </c>
      <c r="H1383" s="245" t="s">
        <v>4057</v>
      </c>
      <c r="I1383" s="246" t="s">
        <v>3971</v>
      </c>
      <c r="J1383" s="253" t="s">
        <v>111</v>
      </c>
      <c r="K1383" s="210" t="s">
        <v>110</v>
      </c>
      <c r="L1383" s="1063">
        <v>0.4</v>
      </c>
      <c r="M1383" s="1641" t="s">
        <v>4126</v>
      </c>
      <c r="N1383" s="827" t="s">
        <v>770</v>
      </c>
      <c r="O1383" s="1641"/>
      <c r="P1383" s="222">
        <v>1</v>
      </c>
      <c r="Q1383" s="1063">
        <v>0.1</v>
      </c>
      <c r="R1383" s="222"/>
      <c r="S1383" s="222">
        <f t="shared" si="42"/>
        <v>0</v>
      </c>
      <c r="T1383" s="765">
        <f t="shared" si="43"/>
        <v>0</v>
      </c>
      <c r="U1383" s="222" t="s">
        <v>34</v>
      </c>
      <c r="V1383" s="1228"/>
      <c r="W1383" s="246"/>
    </row>
    <row r="1384" spans="1:23" ht="22.95" customHeight="1" x14ac:dyDescent="0.4">
      <c r="A1384" s="788">
        <v>1383</v>
      </c>
      <c r="B1384" s="246" t="s">
        <v>2616</v>
      </c>
      <c r="C1384" s="245" t="s">
        <v>24</v>
      </c>
      <c r="D1384" s="1134">
        <v>3824</v>
      </c>
      <c r="E1384" s="245" t="s">
        <v>4104</v>
      </c>
      <c r="F1384" s="245" t="s">
        <v>4105</v>
      </c>
      <c r="G1384" s="679">
        <v>2458</v>
      </c>
      <c r="H1384" s="245" t="s">
        <v>4057</v>
      </c>
      <c r="I1384" s="246" t="s">
        <v>3971</v>
      </c>
      <c r="J1384" s="253" t="s">
        <v>111</v>
      </c>
      <c r="K1384" s="210" t="s">
        <v>110</v>
      </c>
      <c r="L1384" s="1063">
        <v>0.4</v>
      </c>
      <c r="M1384" s="1641" t="s">
        <v>4127</v>
      </c>
      <c r="N1384" s="827" t="s">
        <v>254</v>
      </c>
      <c r="O1384" s="1641"/>
      <c r="P1384" s="222">
        <v>1</v>
      </c>
      <c r="Q1384" s="1063">
        <v>0.05</v>
      </c>
      <c r="R1384" s="222"/>
      <c r="S1384" s="222">
        <f t="shared" si="42"/>
        <v>0</v>
      </c>
      <c r="T1384" s="765">
        <f t="shared" si="43"/>
        <v>0</v>
      </c>
      <c r="U1384" s="222" t="s">
        <v>34</v>
      </c>
      <c r="V1384" s="1228"/>
      <c r="W1384" s="246"/>
    </row>
    <row r="1385" spans="1:23" ht="22.95" customHeight="1" x14ac:dyDescent="0.4">
      <c r="A1385" s="788">
        <v>1384</v>
      </c>
      <c r="B1385" s="246" t="s">
        <v>2616</v>
      </c>
      <c r="C1385" s="245" t="s">
        <v>24</v>
      </c>
      <c r="D1385" s="1134">
        <v>3824</v>
      </c>
      <c r="E1385" s="245" t="s">
        <v>4104</v>
      </c>
      <c r="F1385" s="245" t="s">
        <v>4105</v>
      </c>
      <c r="G1385" s="679">
        <v>2458</v>
      </c>
      <c r="H1385" s="245" t="s">
        <v>4057</v>
      </c>
      <c r="I1385" s="246" t="s">
        <v>3971</v>
      </c>
      <c r="J1385" s="253" t="s">
        <v>111</v>
      </c>
      <c r="K1385" s="210" t="s">
        <v>110</v>
      </c>
      <c r="L1385" s="1063">
        <v>0.4</v>
      </c>
      <c r="M1385" s="1641" t="s">
        <v>4128</v>
      </c>
      <c r="N1385" s="827" t="s">
        <v>771</v>
      </c>
      <c r="O1385" s="1641"/>
      <c r="P1385" s="222">
        <v>1</v>
      </c>
      <c r="Q1385" s="1063">
        <v>0.05</v>
      </c>
      <c r="R1385" s="222"/>
      <c r="S1385" s="222">
        <f t="shared" si="42"/>
        <v>0</v>
      </c>
      <c r="T1385" s="765">
        <f t="shared" si="43"/>
        <v>0</v>
      </c>
      <c r="U1385" s="222" t="s">
        <v>34</v>
      </c>
      <c r="V1385" s="1228"/>
      <c r="W1385" s="246"/>
    </row>
    <row r="1386" spans="1:23" ht="22.95" customHeight="1" x14ac:dyDescent="0.4">
      <c r="A1386" s="788">
        <v>1385</v>
      </c>
      <c r="B1386" s="246" t="s">
        <v>2616</v>
      </c>
      <c r="C1386" s="245" t="s">
        <v>24</v>
      </c>
      <c r="D1386" s="1134">
        <v>3824</v>
      </c>
      <c r="E1386" s="245" t="s">
        <v>4104</v>
      </c>
      <c r="F1386" s="245" t="s">
        <v>4105</v>
      </c>
      <c r="G1386" s="679">
        <v>2458</v>
      </c>
      <c r="H1386" s="245" t="s">
        <v>4057</v>
      </c>
      <c r="I1386" s="246" t="s">
        <v>3971</v>
      </c>
      <c r="J1386" s="253" t="s">
        <v>111</v>
      </c>
      <c r="K1386" s="210" t="s">
        <v>110</v>
      </c>
      <c r="L1386" s="1063">
        <v>0.4</v>
      </c>
      <c r="M1386" s="1641" t="s">
        <v>4129</v>
      </c>
      <c r="N1386" s="827" t="s">
        <v>772</v>
      </c>
      <c r="O1386" s="1641"/>
      <c r="P1386" s="222">
        <v>1</v>
      </c>
      <c r="Q1386" s="1063">
        <v>0.1</v>
      </c>
      <c r="R1386" s="222"/>
      <c r="S1386" s="222">
        <f t="shared" si="42"/>
        <v>0</v>
      </c>
      <c r="T1386" s="765">
        <f t="shared" si="43"/>
        <v>0</v>
      </c>
      <c r="U1386" s="222" t="s">
        <v>34</v>
      </c>
      <c r="V1386" s="1228"/>
      <c r="W1386" s="246"/>
    </row>
    <row r="1387" spans="1:23" ht="22.95" customHeight="1" x14ac:dyDescent="0.4">
      <c r="A1387" s="788">
        <v>1386</v>
      </c>
      <c r="B1387" s="246" t="s">
        <v>2616</v>
      </c>
      <c r="C1387" s="245" t="s">
        <v>24</v>
      </c>
      <c r="D1387" s="1134">
        <v>3824</v>
      </c>
      <c r="E1387" s="245" t="s">
        <v>4104</v>
      </c>
      <c r="F1387" s="245" t="s">
        <v>4105</v>
      </c>
      <c r="G1387" s="679">
        <v>2458</v>
      </c>
      <c r="H1387" s="245" t="s">
        <v>4057</v>
      </c>
      <c r="I1387" s="246" t="s">
        <v>3971</v>
      </c>
      <c r="J1387" s="253" t="s">
        <v>111</v>
      </c>
      <c r="K1387" s="210" t="s">
        <v>110</v>
      </c>
      <c r="L1387" s="1063">
        <v>0.4</v>
      </c>
      <c r="M1387" s="1641" t="s">
        <v>4130</v>
      </c>
      <c r="N1387" s="827" t="s">
        <v>773</v>
      </c>
      <c r="O1387" s="1641"/>
      <c r="P1387" s="222">
        <v>1</v>
      </c>
      <c r="Q1387" s="1063">
        <v>0.05</v>
      </c>
      <c r="R1387" s="222"/>
      <c r="S1387" s="222">
        <f t="shared" si="42"/>
        <v>0</v>
      </c>
      <c r="T1387" s="765">
        <f t="shared" si="43"/>
        <v>0</v>
      </c>
      <c r="U1387" s="222" t="s">
        <v>34</v>
      </c>
      <c r="V1387" s="1228"/>
      <c r="W1387" s="246"/>
    </row>
    <row r="1388" spans="1:23" ht="22.95" customHeight="1" x14ac:dyDescent="0.4">
      <c r="A1388" s="788">
        <v>1387</v>
      </c>
      <c r="B1388" s="246" t="s">
        <v>2616</v>
      </c>
      <c r="C1388" s="245" t="s">
        <v>24</v>
      </c>
      <c r="D1388" s="1134">
        <v>3824</v>
      </c>
      <c r="E1388" s="245" t="s">
        <v>4104</v>
      </c>
      <c r="F1388" s="245" t="s">
        <v>4105</v>
      </c>
      <c r="G1388" s="679">
        <v>2458</v>
      </c>
      <c r="H1388" s="245" t="s">
        <v>4057</v>
      </c>
      <c r="I1388" s="246" t="s">
        <v>3971</v>
      </c>
      <c r="J1388" s="253" t="s">
        <v>111</v>
      </c>
      <c r="K1388" s="210" t="s">
        <v>110</v>
      </c>
      <c r="L1388" s="1063">
        <v>0.4</v>
      </c>
      <c r="M1388" s="1641" t="s">
        <v>4131</v>
      </c>
      <c r="N1388" s="827" t="s">
        <v>774</v>
      </c>
      <c r="O1388" s="1641"/>
      <c r="P1388" s="222">
        <v>1</v>
      </c>
      <c r="Q1388" s="1063">
        <v>0.05</v>
      </c>
      <c r="R1388" s="222"/>
      <c r="S1388" s="222">
        <f t="shared" si="42"/>
        <v>0</v>
      </c>
      <c r="T1388" s="765">
        <f t="shared" si="43"/>
        <v>0</v>
      </c>
      <c r="U1388" s="222" t="s">
        <v>34</v>
      </c>
      <c r="V1388" s="1228"/>
      <c r="W1388" s="246"/>
    </row>
    <row r="1389" spans="1:23" ht="22.95" customHeight="1" x14ac:dyDescent="0.4">
      <c r="A1389" s="788">
        <v>1388</v>
      </c>
      <c r="B1389" s="246" t="s">
        <v>2616</v>
      </c>
      <c r="C1389" s="245" t="s">
        <v>24</v>
      </c>
      <c r="D1389" s="1134">
        <v>3824</v>
      </c>
      <c r="E1389" s="245" t="s">
        <v>4104</v>
      </c>
      <c r="F1389" s="245" t="s">
        <v>4105</v>
      </c>
      <c r="G1389" s="679">
        <v>2458</v>
      </c>
      <c r="H1389" s="245" t="s">
        <v>4057</v>
      </c>
      <c r="I1389" s="246" t="s">
        <v>3971</v>
      </c>
      <c r="J1389" s="253" t="s">
        <v>111</v>
      </c>
      <c r="K1389" s="210" t="s">
        <v>110</v>
      </c>
      <c r="L1389" s="1063">
        <v>0.4</v>
      </c>
      <c r="M1389" s="1641" t="s">
        <v>4132</v>
      </c>
      <c r="N1389" s="827" t="s">
        <v>775</v>
      </c>
      <c r="O1389" s="1641"/>
      <c r="P1389" s="222">
        <v>1</v>
      </c>
      <c r="Q1389" s="1063">
        <v>0.05</v>
      </c>
      <c r="R1389" s="222"/>
      <c r="S1389" s="222">
        <f t="shared" si="42"/>
        <v>0</v>
      </c>
      <c r="T1389" s="765">
        <f t="shared" si="43"/>
        <v>0</v>
      </c>
      <c r="U1389" s="222" t="s">
        <v>34</v>
      </c>
      <c r="V1389" s="1228"/>
      <c r="W1389" s="246"/>
    </row>
    <row r="1390" spans="1:23" ht="22.95" customHeight="1" x14ac:dyDescent="0.4">
      <c r="A1390" s="788">
        <v>1389</v>
      </c>
      <c r="B1390" s="246" t="s">
        <v>2616</v>
      </c>
      <c r="C1390" s="245" t="s">
        <v>24</v>
      </c>
      <c r="D1390" s="1134">
        <v>3824</v>
      </c>
      <c r="E1390" s="245" t="s">
        <v>4104</v>
      </c>
      <c r="F1390" s="245" t="s">
        <v>4105</v>
      </c>
      <c r="G1390" s="679">
        <v>2458</v>
      </c>
      <c r="H1390" s="245" t="s">
        <v>4057</v>
      </c>
      <c r="I1390" s="246" t="s">
        <v>3971</v>
      </c>
      <c r="J1390" s="253" t="s">
        <v>111</v>
      </c>
      <c r="K1390" s="210" t="s">
        <v>110</v>
      </c>
      <c r="L1390" s="1063">
        <v>0.4</v>
      </c>
      <c r="M1390" s="1641" t="s">
        <v>4133</v>
      </c>
      <c r="N1390" s="827" t="s">
        <v>776</v>
      </c>
      <c r="O1390" s="1641"/>
      <c r="P1390" s="222">
        <v>1</v>
      </c>
      <c r="Q1390" s="1063">
        <v>0.1</v>
      </c>
      <c r="R1390" s="222"/>
      <c r="S1390" s="222">
        <f t="shared" si="42"/>
        <v>0</v>
      </c>
      <c r="T1390" s="765">
        <f t="shared" si="43"/>
        <v>0</v>
      </c>
      <c r="U1390" s="222" t="s">
        <v>34</v>
      </c>
      <c r="V1390" s="1228"/>
      <c r="W1390" s="246"/>
    </row>
    <row r="1391" spans="1:23" ht="22.95" customHeight="1" x14ac:dyDescent="0.4">
      <c r="A1391" s="788">
        <v>1390</v>
      </c>
      <c r="B1391" s="246" t="s">
        <v>2616</v>
      </c>
      <c r="C1391" s="245" t="s">
        <v>24</v>
      </c>
      <c r="D1391" s="1134">
        <v>3824</v>
      </c>
      <c r="E1391" s="245" t="s">
        <v>4104</v>
      </c>
      <c r="F1391" s="245" t="s">
        <v>4105</v>
      </c>
      <c r="G1391" s="679">
        <v>2458</v>
      </c>
      <c r="H1391" s="245" t="s">
        <v>4057</v>
      </c>
      <c r="I1391" s="246" t="s">
        <v>3971</v>
      </c>
      <c r="J1391" s="253" t="s">
        <v>111</v>
      </c>
      <c r="K1391" s="210" t="s">
        <v>110</v>
      </c>
      <c r="L1391" s="1063">
        <v>0.4</v>
      </c>
      <c r="M1391" s="1641" t="s">
        <v>1027</v>
      </c>
      <c r="N1391" s="827" t="s">
        <v>251</v>
      </c>
      <c r="O1391" s="1641"/>
      <c r="P1391" s="222">
        <v>1</v>
      </c>
      <c r="Q1391" s="1063">
        <v>0.05</v>
      </c>
      <c r="R1391" s="222"/>
      <c r="S1391" s="222">
        <f t="shared" si="42"/>
        <v>0</v>
      </c>
      <c r="T1391" s="765">
        <f t="shared" si="43"/>
        <v>0</v>
      </c>
      <c r="U1391" s="222" t="s">
        <v>34</v>
      </c>
      <c r="V1391" s="1228"/>
      <c r="W1391" s="246"/>
    </row>
    <row r="1392" spans="1:23" ht="22.95" customHeight="1" x14ac:dyDescent="0.4">
      <c r="A1392" s="788">
        <v>1391</v>
      </c>
      <c r="B1392" s="246" t="s">
        <v>2616</v>
      </c>
      <c r="C1392" s="245" t="s">
        <v>24</v>
      </c>
      <c r="D1392" s="1134">
        <v>3824</v>
      </c>
      <c r="E1392" s="245" t="s">
        <v>4104</v>
      </c>
      <c r="F1392" s="245" t="s">
        <v>4105</v>
      </c>
      <c r="G1392" s="679">
        <v>2458</v>
      </c>
      <c r="H1392" s="245" t="s">
        <v>4057</v>
      </c>
      <c r="I1392" s="246" t="s">
        <v>3971</v>
      </c>
      <c r="J1392" s="253" t="s">
        <v>111</v>
      </c>
      <c r="K1392" s="210" t="s">
        <v>110</v>
      </c>
      <c r="L1392" s="1063">
        <v>0.4</v>
      </c>
      <c r="M1392" s="1641" t="s">
        <v>4134</v>
      </c>
      <c r="N1392" s="827" t="s">
        <v>252</v>
      </c>
      <c r="O1392" s="1641"/>
      <c r="P1392" s="222">
        <v>1</v>
      </c>
      <c r="Q1392" s="1063">
        <v>0.15</v>
      </c>
      <c r="R1392" s="222"/>
      <c r="S1392" s="222">
        <f t="shared" si="42"/>
        <v>0</v>
      </c>
      <c r="T1392" s="765">
        <f t="shared" si="43"/>
        <v>0</v>
      </c>
      <c r="U1392" s="222" t="s">
        <v>34</v>
      </c>
      <c r="V1392" s="1228"/>
      <c r="W1392" s="246"/>
    </row>
    <row r="1393" spans="1:23" ht="22.95" customHeight="1" x14ac:dyDescent="0.4">
      <c r="A1393" s="788">
        <v>1392</v>
      </c>
      <c r="B1393" s="246" t="s">
        <v>2616</v>
      </c>
      <c r="C1393" s="245" t="s">
        <v>24</v>
      </c>
      <c r="D1393" s="1134">
        <v>3824</v>
      </c>
      <c r="E1393" s="245" t="s">
        <v>4104</v>
      </c>
      <c r="F1393" s="245" t="s">
        <v>4105</v>
      </c>
      <c r="G1393" s="679">
        <v>2458</v>
      </c>
      <c r="H1393" s="245" t="s">
        <v>4057</v>
      </c>
      <c r="I1393" s="246" t="s">
        <v>3971</v>
      </c>
      <c r="J1393" s="253" t="s">
        <v>111</v>
      </c>
      <c r="K1393" s="210" t="s">
        <v>110</v>
      </c>
      <c r="L1393" s="1063">
        <v>0.4</v>
      </c>
      <c r="M1393" s="1641" t="s">
        <v>4135</v>
      </c>
      <c r="N1393" s="827" t="s">
        <v>777</v>
      </c>
      <c r="O1393" s="1641"/>
      <c r="P1393" s="222">
        <v>1</v>
      </c>
      <c r="Q1393" s="1063">
        <v>0.05</v>
      </c>
      <c r="R1393" s="222"/>
      <c r="S1393" s="222">
        <f t="shared" si="42"/>
        <v>0</v>
      </c>
      <c r="T1393" s="765">
        <f t="shared" si="43"/>
        <v>0</v>
      </c>
      <c r="U1393" s="222" t="s">
        <v>34</v>
      </c>
      <c r="V1393" s="1228"/>
      <c r="W1393" s="246"/>
    </row>
    <row r="1394" spans="1:23" ht="22.95" customHeight="1" x14ac:dyDescent="0.4">
      <c r="A1394" s="788">
        <v>1393</v>
      </c>
      <c r="B1394" s="246" t="s">
        <v>2616</v>
      </c>
      <c r="C1394" s="245" t="s">
        <v>24</v>
      </c>
      <c r="D1394" s="1134">
        <v>3824</v>
      </c>
      <c r="E1394" s="245" t="s">
        <v>4104</v>
      </c>
      <c r="F1394" s="245" t="s">
        <v>4105</v>
      </c>
      <c r="G1394" s="679">
        <v>2458</v>
      </c>
      <c r="H1394" s="245" t="s">
        <v>4057</v>
      </c>
      <c r="I1394" s="246" t="s">
        <v>3971</v>
      </c>
      <c r="J1394" s="253" t="s">
        <v>111</v>
      </c>
      <c r="K1394" s="210" t="s">
        <v>110</v>
      </c>
      <c r="L1394" s="1063">
        <v>0.4</v>
      </c>
      <c r="M1394" s="1641" t="s">
        <v>4136</v>
      </c>
      <c r="N1394" s="827" t="s">
        <v>253</v>
      </c>
      <c r="O1394" s="1641"/>
      <c r="P1394" s="222">
        <v>1</v>
      </c>
      <c r="Q1394" s="1063">
        <v>0.05</v>
      </c>
      <c r="R1394" s="222"/>
      <c r="S1394" s="222">
        <f t="shared" si="42"/>
        <v>0</v>
      </c>
      <c r="T1394" s="765">
        <f t="shared" si="43"/>
        <v>0</v>
      </c>
      <c r="U1394" s="222" t="s">
        <v>34</v>
      </c>
      <c r="V1394" s="1228"/>
      <c r="W1394" s="246"/>
    </row>
    <row r="1395" spans="1:23" ht="22.95" customHeight="1" x14ac:dyDescent="0.4">
      <c r="A1395" s="788">
        <v>1394</v>
      </c>
      <c r="B1395" s="187" t="s">
        <v>2616</v>
      </c>
      <c r="C1395" s="236" t="s">
        <v>24</v>
      </c>
      <c r="D1395" s="1130">
        <v>4060</v>
      </c>
      <c r="E1395" s="236" t="s">
        <v>4137</v>
      </c>
      <c r="F1395" s="236" t="s">
        <v>4138</v>
      </c>
      <c r="G1395" s="674">
        <v>2454</v>
      </c>
      <c r="H1395" s="236" t="s">
        <v>4023</v>
      </c>
      <c r="I1395" s="187" t="s">
        <v>3971</v>
      </c>
      <c r="J1395" s="653" t="s">
        <v>58</v>
      </c>
      <c r="K1395" s="653" t="s">
        <v>57</v>
      </c>
      <c r="L1395" s="1052">
        <v>0.6</v>
      </c>
      <c r="M1395" s="1642" t="s">
        <v>4139</v>
      </c>
      <c r="N1395" s="749" t="s">
        <v>4140</v>
      </c>
      <c r="O1395" s="1642"/>
      <c r="P1395" s="953">
        <v>1</v>
      </c>
      <c r="Q1395" s="1490">
        <v>0.1</v>
      </c>
      <c r="R1395" s="953"/>
      <c r="S1395" s="855">
        <f t="shared" si="42"/>
        <v>0</v>
      </c>
      <c r="T1395" s="854">
        <f t="shared" si="43"/>
        <v>0</v>
      </c>
      <c r="U1395" s="953" t="s">
        <v>34</v>
      </c>
      <c r="V1395" s="1488">
        <f>SUM(T1395:T1419)%</f>
        <v>0</v>
      </c>
      <c r="W1395" s="187"/>
    </row>
    <row r="1396" spans="1:23" ht="22.95" customHeight="1" x14ac:dyDescent="0.4">
      <c r="A1396" s="788">
        <v>1395</v>
      </c>
      <c r="B1396" s="246" t="s">
        <v>2616</v>
      </c>
      <c r="C1396" s="245" t="s">
        <v>24</v>
      </c>
      <c r="D1396" s="1134">
        <v>4060</v>
      </c>
      <c r="E1396" s="245" t="s">
        <v>4137</v>
      </c>
      <c r="F1396" s="245" t="s">
        <v>4138</v>
      </c>
      <c r="G1396" s="679">
        <v>2454</v>
      </c>
      <c r="H1396" s="245" t="s">
        <v>4023</v>
      </c>
      <c r="I1396" s="246" t="s">
        <v>3971</v>
      </c>
      <c r="J1396" s="79" t="s">
        <v>58</v>
      </c>
      <c r="K1396" s="79" t="s">
        <v>57</v>
      </c>
      <c r="L1396" s="1067">
        <v>0.6</v>
      </c>
      <c r="M1396" s="760" t="s">
        <v>4141</v>
      </c>
      <c r="N1396" s="757" t="s">
        <v>4142</v>
      </c>
      <c r="O1396" s="760"/>
      <c r="P1396" s="669">
        <v>1</v>
      </c>
      <c r="Q1396" s="1493">
        <v>0.1</v>
      </c>
      <c r="R1396" s="669"/>
      <c r="S1396" s="204">
        <f t="shared" si="42"/>
        <v>0</v>
      </c>
      <c r="T1396" s="960">
        <f t="shared" si="43"/>
        <v>0</v>
      </c>
      <c r="U1396" s="669" t="s">
        <v>34</v>
      </c>
      <c r="V1396" s="1203"/>
      <c r="W1396" s="246"/>
    </row>
    <row r="1397" spans="1:23" ht="22.95" customHeight="1" x14ac:dyDescent="0.4">
      <c r="A1397" s="788">
        <v>1396</v>
      </c>
      <c r="B1397" s="246" t="s">
        <v>2616</v>
      </c>
      <c r="C1397" s="245" t="s">
        <v>24</v>
      </c>
      <c r="D1397" s="1134">
        <v>4060</v>
      </c>
      <c r="E1397" s="245" t="s">
        <v>4137</v>
      </c>
      <c r="F1397" s="245" t="s">
        <v>4138</v>
      </c>
      <c r="G1397" s="679">
        <v>2454</v>
      </c>
      <c r="H1397" s="245" t="s">
        <v>4023</v>
      </c>
      <c r="I1397" s="246" t="s">
        <v>3971</v>
      </c>
      <c r="J1397" s="79" t="s">
        <v>58</v>
      </c>
      <c r="K1397" s="79" t="s">
        <v>57</v>
      </c>
      <c r="L1397" s="1067">
        <v>0.6</v>
      </c>
      <c r="M1397" s="760" t="s">
        <v>4143</v>
      </c>
      <c r="N1397" s="757" t="s">
        <v>4144</v>
      </c>
      <c r="O1397" s="760"/>
      <c r="P1397" s="669">
        <v>1</v>
      </c>
      <c r="Q1397" s="1493">
        <v>0.15</v>
      </c>
      <c r="R1397" s="669"/>
      <c r="S1397" s="204">
        <f t="shared" si="42"/>
        <v>0</v>
      </c>
      <c r="T1397" s="960">
        <f t="shared" si="43"/>
        <v>0</v>
      </c>
      <c r="U1397" s="669" t="s">
        <v>34</v>
      </c>
      <c r="V1397" s="1203"/>
      <c r="W1397" s="246"/>
    </row>
    <row r="1398" spans="1:23" ht="22.95" customHeight="1" x14ac:dyDescent="0.4">
      <c r="A1398" s="788">
        <v>1397</v>
      </c>
      <c r="B1398" s="246" t="s">
        <v>2616</v>
      </c>
      <c r="C1398" s="245" t="s">
        <v>24</v>
      </c>
      <c r="D1398" s="1134">
        <v>4060</v>
      </c>
      <c r="E1398" s="245" t="s">
        <v>4137</v>
      </c>
      <c r="F1398" s="245" t="s">
        <v>4138</v>
      </c>
      <c r="G1398" s="679">
        <v>2454</v>
      </c>
      <c r="H1398" s="245" t="s">
        <v>4023</v>
      </c>
      <c r="I1398" s="246" t="s">
        <v>3971</v>
      </c>
      <c r="J1398" s="79" t="s">
        <v>58</v>
      </c>
      <c r="K1398" s="79" t="s">
        <v>57</v>
      </c>
      <c r="L1398" s="1067">
        <v>0.6</v>
      </c>
      <c r="M1398" s="760" t="s">
        <v>4145</v>
      </c>
      <c r="N1398" s="757" t="s">
        <v>4066</v>
      </c>
      <c r="O1398" s="760"/>
      <c r="P1398" s="669">
        <v>1</v>
      </c>
      <c r="Q1398" s="1493">
        <v>0.2</v>
      </c>
      <c r="R1398" s="669"/>
      <c r="S1398" s="204">
        <f t="shared" si="42"/>
        <v>0</v>
      </c>
      <c r="T1398" s="960">
        <f t="shared" si="43"/>
        <v>0</v>
      </c>
      <c r="U1398" s="669" t="s">
        <v>34</v>
      </c>
      <c r="V1398" s="1203"/>
      <c r="W1398" s="246"/>
    </row>
    <row r="1399" spans="1:23" ht="22.95" customHeight="1" x14ac:dyDescent="0.4">
      <c r="A1399" s="788">
        <v>1398</v>
      </c>
      <c r="B1399" s="246" t="s">
        <v>2616</v>
      </c>
      <c r="C1399" s="245" t="s">
        <v>24</v>
      </c>
      <c r="D1399" s="1134">
        <v>4060</v>
      </c>
      <c r="E1399" s="245" t="s">
        <v>4137</v>
      </c>
      <c r="F1399" s="245" t="s">
        <v>4138</v>
      </c>
      <c r="G1399" s="679">
        <v>2454</v>
      </c>
      <c r="H1399" s="245" t="s">
        <v>4023</v>
      </c>
      <c r="I1399" s="246" t="s">
        <v>3971</v>
      </c>
      <c r="J1399" s="79" t="s">
        <v>58</v>
      </c>
      <c r="K1399" s="79" t="s">
        <v>57</v>
      </c>
      <c r="L1399" s="1067">
        <v>0.6</v>
      </c>
      <c r="M1399" s="760" t="s">
        <v>4146</v>
      </c>
      <c r="N1399" s="757" t="s">
        <v>4147</v>
      </c>
      <c r="O1399" s="760"/>
      <c r="P1399" s="669">
        <v>1</v>
      </c>
      <c r="Q1399" s="1493">
        <v>0.05</v>
      </c>
      <c r="R1399" s="669"/>
      <c r="S1399" s="204">
        <f t="shared" si="42"/>
        <v>0</v>
      </c>
      <c r="T1399" s="960">
        <f t="shared" si="43"/>
        <v>0</v>
      </c>
      <c r="U1399" s="669" t="s">
        <v>34</v>
      </c>
      <c r="V1399" s="1203"/>
      <c r="W1399" s="246"/>
    </row>
    <row r="1400" spans="1:23" ht="22.95" customHeight="1" x14ac:dyDescent="0.4">
      <c r="A1400" s="788">
        <v>1399</v>
      </c>
      <c r="B1400" s="246" t="s">
        <v>2616</v>
      </c>
      <c r="C1400" s="245" t="s">
        <v>24</v>
      </c>
      <c r="D1400" s="1134">
        <v>4060</v>
      </c>
      <c r="E1400" s="245" t="s">
        <v>4137</v>
      </c>
      <c r="F1400" s="245" t="s">
        <v>4138</v>
      </c>
      <c r="G1400" s="679">
        <v>2454</v>
      </c>
      <c r="H1400" s="245" t="s">
        <v>4023</v>
      </c>
      <c r="I1400" s="246" t="s">
        <v>3971</v>
      </c>
      <c r="J1400" s="79" t="s">
        <v>58</v>
      </c>
      <c r="K1400" s="79" t="s">
        <v>57</v>
      </c>
      <c r="L1400" s="1067">
        <v>0.6</v>
      </c>
      <c r="M1400" s="760" t="s">
        <v>4148</v>
      </c>
      <c r="N1400" s="757" t="s">
        <v>4149</v>
      </c>
      <c r="O1400" s="760"/>
      <c r="P1400" s="669">
        <v>1</v>
      </c>
      <c r="Q1400" s="1493">
        <v>0.2</v>
      </c>
      <c r="R1400" s="669"/>
      <c r="S1400" s="204">
        <f t="shared" si="42"/>
        <v>0</v>
      </c>
      <c r="T1400" s="960">
        <f t="shared" si="43"/>
        <v>0</v>
      </c>
      <c r="U1400" s="669" t="s">
        <v>34</v>
      </c>
      <c r="V1400" s="1203"/>
      <c r="W1400" s="246"/>
    </row>
    <row r="1401" spans="1:23" ht="22.95" customHeight="1" x14ac:dyDescent="0.4">
      <c r="A1401" s="788">
        <v>1400</v>
      </c>
      <c r="B1401" s="246" t="s">
        <v>2616</v>
      </c>
      <c r="C1401" s="245" t="s">
        <v>24</v>
      </c>
      <c r="D1401" s="1134">
        <v>4060</v>
      </c>
      <c r="E1401" s="245" t="s">
        <v>4137</v>
      </c>
      <c r="F1401" s="245" t="s">
        <v>4138</v>
      </c>
      <c r="G1401" s="679">
        <v>2454</v>
      </c>
      <c r="H1401" s="245" t="s">
        <v>4023</v>
      </c>
      <c r="I1401" s="246" t="s">
        <v>3971</v>
      </c>
      <c r="J1401" s="79" t="s">
        <v>58</v>
      </c>
      <c r="K1401" s="79" t="s">
        <v>57</v>
      </c>
      <c r="L1401" s="1067">
        <v>0.6</v>
      </c>
      <c r="M1401" s="760" t="s">
        <v>4150</v>
      </c>
      <c r="N1401" s="757" t="s">
        <v>4118</v>
      </c>
      <c r="O1401" s="760"/>
      <c r="P1401" s="669">
        <v>1</v>
      </c>
      <c r="Q1401" s="1493">
        <v>0.05</v>
      </c>
      <c r="R1401" s="669"/>
      <c r="S1401" s="204">
        <f t="shared" si="42"/>
        <v>0</v>
      </c>
      <c r="T1401" s="960">
        <f t="shared" si="43"/>
        <v>0</v>
      </c>
      <c r="U1401" s="669" t="s">
        <v>34</v>
      </c>
      <c r="V1401" s="1203"/>
      <c r="W1401" s="246"/>
    </row>
    <row r="1402" spans="1:23" ht="22.95" customHeight="1" x14ac:dyDescent="0.4">
      <c r="A1402" s="788">
        <v>1401</v>
      </c>
      <c r="B1402" s="246" t="s">
        <v>2616</v>
      </c>
      <c r="C1402" s="245" t="s">
        <v>24</v>
      </c>
      <c r="D1402" s="1134">
        <v>4060</v>
      </c>
      <c r="E1402" s="245" t="s">
        <v>4137</v>
      </c>
      <c r="F1402" s="245" t="s">
        <v>4138</v>
      </c>
      <c r="G1402" s="679">
        <v>2454</v>
      </c>
      <c r="H1402" s="245" t="s">
        <v>4023</v>
      </c>
      <c r="I1402" s="246" t="s">
        <v>3971</v>
      </c>
      <c r="J1402" s="79" t="s">
        <v>58</v>
      </c>
      <c r="K1402" s="79" t="s">
        <v>57</v>
      </c>
      <c r="L1402" s="1067">
        <v>0.6</v>
      </c>
      <c r="M1402" s="760" t="s">
        <v>4048</v>
      </c>
      <c r="N1402" s="757" t="s">
        <v>4049</v>
      </c>
      <c r="O1402" s="760"/>
      <c r="P1402" s="669">
        <v>1</v>
      </c>
      <c r="Q1402" s="1493">
        <v>0.05</v>
      </c>
      <c r="R1402" s="669"/>
      <c r="S1402" s="204">
        <f t="shared" si="42"/>
        <v>0</v>
      </c>
      <c r="T1402" s="960">
        <f t="shared" si="43"/>
        <v>0</v>
      </c>
      <c r="U1402" s="669" t="s">
        <v>34</v>
      </c>
      <c r="V1402" s="1203"/>
      <c r="W1402" s="246"/>
    </row>
    <row r="1403" spans="1:23" ht="22.95" customHeight="1" x14ac:dyDescent="0.4">
      <c r="A1403" s="788">
        <v>1402</v>
      </c>
      <c r="B1403" s="246" t="s">
        <v>2616</v>
      </c>
      <c r="C1403" s="245" t="s">
        <v>24</v>
      </c>
      <c r="D1403" s="1134">
        <v>4060</v>
      </c>
      <c r="E1403" s="245" t="s">
        <v>4137</v>
      </c>
      <c r="F1403" s="245" t="s">
        <v>4138</v>
      </c>
      <c r="G1403" s="679">
        <v>2454</v>
      </c>
      <c r="H1403" s="245" t="s">
        <v>4023</v>
      </c>
      <c r="I1403" s="246" t="s">
        <v>3971</v>
      </c>
      <c r="J1403" s="79" t="s">
        <v>58</v>
      </c>
      <c r="K1403" s="79" t="s">
        <v>57</v>
      </c>
      <c r="L1403" s="1067">
        <v>0.6</v>
      </c>
      <c r="M1403" s="760" t="s">
        <v>4119</v>
      </c>
      <c r="N1403" s="757" t="s">
        <v>4053</v>
      </c>
      <c r="O1403" s="760"/>
      <c r="P1403" s="669">
        <v>1</v>
      </c>
      <c r="Q1403" s="1493">
        <v>0.05</v>
      </c>
      <c r="R1403" s="669"/>
      <c r="S1403" s="204">
        <f t="shared" si="42"/>
        <v>0</v>
      </c>
      <c r="T1403" s="960">
        <f t="shared" si="43"/>
        <v>0</v>
      </c>
      <c r="U1403" s="669" t="s">
        <v>34</v>
      </c>
      <c r="V1403" s="1203"/>
      <c r="W1403" s="246"/>
    </row>
    <row r="1404" spans="1:23" ht="22.95" customHeight="1" x14ac:dyDescent="0.4">
      <c r="A1404" s="788">
        <v>1403</v>
      </c>
      <c r="B1404" s="246" t="s">
        <v>2616</v>
      </c>
      <c r="C1404" s="245" t="s">
        <v>24</v>
      </c>
      <c r="D1404" s="1134">
        <v>4060</v>
      </c>
      <c r="E1404" s="245" t="s">
        <v>4137</v>
      </c>
      <c r="F1404" s="245" t="s">
        <v>4138</v>
      </c>
      <c r="G1404" s="679">
        <v>2454</v>
      </c>
      <c r="H1404" s="245" t="s">
        <v>4023</v>
      </c>
      <c r="I1404" s="246" t="s">
        <v>3971</v>
      </c>
      <c r="J1404" s="79" t="s">
        <v>58</v>
      </c>
      <c r="K1404" s="79" t="s">
        <v>57</v>
      </c>
      <c r="L1404" s="1067">
        <v>0.6</v>
      </c>
      <c r="M1404" s="760" t="s">
        <v>4122</v>
      </c>
      <c r="N1404" s="757" t="s">
        <v>3983</v>
      </c>
      <c r="O1404" s="760"/>
      <c r="P1404" s="669">
        <v>1</v>
      </c>
      <c r="Q1404" s="1493">
        <v>0.05</v>
      </c>
      <c r="R1404" s="669"/>
      <c r="S1404" s="204">
        <f t="shared" si="42"/>
        <v>0</v>
      </c>
      <c r="T1404" s="960">
        <f t="shared" si="43"/>
        <v>0</v>
      </c>
      <c r="U1404" s="669" t="s">
        <v>34</v>
      </c>
      <c r="V1404" s="1203"/>
      <c r="W1404" s="246"/>
    </row>
    <row r="1405" spans="1:23" ht="22.95" customHeight="1" x14ac:dyDescent="0.4">
      <c r="A1405" s="788">
        <v>1404</v>
      </c>
      <c r="B1405" s="246" t="s">
        <v>2616</v>
      </c>
      <c r="C1405" s="245" t="s">
        <v>24</v>
      </c>
      <c r="D1405" s="1134">
        <v>4060</v>
      </c>
      <c r="E1405" s="245" t="s">
        <v>4137</v>
      </c>
      <c r="F1405" s="245" t="s">
        <v>4138</v>
      </c>
      <c r="G1405" s="679">
        <v>2454</v>
      </c>
      <c r="H1405" s="245" t="s">
        <v>4023</v>
      </c>
      <c r="I1405" s="246" t="s">
        <v>3971</v>
      </c>
      <c r="J1405" s="253" t="s">
        <v>111</v>
      </c>
      <c r="K1405" s="210" t="s">
        <v>110</v>
      </c>
      <c r="L1405" s="1063">
        <v>0.4</v>
      </c>
      <c r="M1405" s="1641" t="s">
        <v>1023</v>
      </c>
      <c r="N1405" s="827" t="s">
        <v>255</v>
      </c>
      <c r="O1405" s="1641"/>
      <c r="P1405" s="1272">
        <v>1</v>
      </c>
      <c r="Q1405" s="1512">
        <v>0.05</v>
      </c>
      <c r="R1405" s="1272"/>
      <c r="S1405" s="650">
        <f t="shared" si="42"/>
        <v>0</v>
      </c>
      <c r="T1405" s="701">
        <f t="shared" si="43"/>
        <v>0</v>
      </c>
      <c r="U1405" s="1272" t="s">
        <v>34</v>
      </c>
      <c r="V1405" s="1228"/>
      <c r="W1405" s="246"/>
    </row>
    <row r="1406" spans="1:23" ht="22.95" customHeight="1" x14ac:dyDescent="0.4">
      <c r="A1406" s="788">
        <v>1405</v>
      </c>
      <c r="B1406" s="246" t="s">
        <v>2616</v>
      </c>
      <c r="C1406" s="245" t="s">
        <v>24</v>
      </c>
      <c r="D1406" s="1134">
        <v>4060</v>
      </c>
      <c r="E1406" s="245" t="s">
        <v>4137</v>
      </c>
      <c r="F1406" s="245" t="s">
        <v>4138</v>
      </c>
      <c r="G1406" s="679">
        <v>2454</v>
      </c>
      <c r="H1406" s="245" t="s">
        <v>4023</v>
      </c>
      <c r="I1406" s="246" t="s">
        <v>3971</v>
      </c>
      <c r="J1406" s="253" t="s">
        <v>111</v>
      </c>
      <c r="K1406" s="210" t="s">
        <v>110</v>
      </c>
      <c r="L1406" s="1063">
        <v>0.4</v>
      </c>
      <c r="M1406" s="1641" t="s">
        <v>4124</v>
      </c>
      <c r="N1406" s="827" t="s">
        <v>768</v>
      </c>
      <c r="O1406" s="1641"/>
      <c r="P1406" s="1272">
        <v>1</v>
      </c>
      <c r="Q1406" s="1512">
        <v>0.05</v>
      </c>
      <c r="R1406" s="1272"/>
      <c r="S1406" s="650">
        <f t="shared" si="42"/>
        <v>0</v>
      </c>
      <c r="T1406" s="701">
        <f t="shared" si="43"/>
        <v>0</v>
      </c>
      <c r="U1406" s="1272" t="s">
        <v>34</v>
      </c>
      <c r="V1406" s="1228"/>
      <c r="W1406" s="246"/>
    </row>
    <row r="1407" spans="1:23" ht="22.95" customHeight="1" x14ac:dyDescent="0.4">
      <c r="A1407" s="788">
        <v>1406</v>
      </c>
      <c r="B1407" s="246" t="s">
        <v>2616</v>
      </c>
      <c r="C1407" s="245" t="s">
        <v>24</v>
      </c>
      <c r="D1407" s="1134">
        <v>4060</v>
      </c>
      <c r="E1407" s="245" t="s">
        <v>4137</v>
      </c>
      <c r="F1407" s="245" t="s">
        <v>4138</v>
      </c>
      <c r="G1407" s="679">
        <v>2454</v>
      </c>
      <c r="H1407" s="245" t="s">
        <v>4023</v>
      </c>
      <c r="I1407" s="246" t="s">
        <v>3971</v>
      </c>
      <c r="J1407" s="253" t="s">
        <v>111</v>
      </c>
      <c r="K1407" s="210" t="s">
        <v>110</v>
      </c>
      <c r="L1407" s="1063">
        <v>0.4</v>
      </c>
      <c r="M1407" s="1641" t="s">
        <v>4125</v>
      </c>
      <c r="N1407" s="827" t="s">
        <v>769</v>
      </c>
      <c r="O1407" s="1641"/>
      <c r="P1407" s="222">
        <v>1</v>
      </c>
      <c r="Q1407" s="1063">
        <v>0.05</v>
      </c>
      <c r="R1407" s="222"/>
      <c r="S1407" s="222">
        <f t="shared" si="42"/>
        <v>0</v>
      </c>
      <c r="T1407" s="765">
        <f t="shared" si="43"/>
        <v>0</v>
      </c>
      <c r="U1407" s="222" t="s">
        <v>34</v>
      </c>
      <c r="V1407" s="1228"/>
      <c r="W1407" s="246"/>
    </row>
    <row r="1408" spans="1:23" ht="22.95" customHeight="1" x14ac:dyDescent="0.4">
      <c r="A1408" s="788">
        <v>1407</v>
      </c>
      <c r="B1408" s="246" t="s">
        <v>2616</v>
      </c>
      <c r="C1408" s="245" t="s">
        <v>24</v>
      </c>
      <c r="D1408" s="1134">
        <v>4060</v>
      </c>
      <c r="E1408" s="245" t="s">
        <v>4137</v>
      </c>
      <c r="F1408" s="245" t="s">
        <v>4138</v>
      </c>
      <c r="G1408" s="679">
        <v>2454</v>
      </c>
      <c r="H1408" s="245" t="s">
        <v>4023</v>
      </c>
      <c r="I1408" s="246" t="s">
        <v>3971</v>
      </c>
      <c r="J1408" s="253" t="s">
        <v>111</v>
      </c>
      <c r="K1408" s="210" t="s">
        <v>110</v>
      </c>
      <c r="L1408" s="1063">
        <v>0.4</v>
      </c>
      <c r="M1408" s="1641" t="s">
        <v>4126</v>
      </c>
      <c r="N1408" s="827" t="s">
        <v>770</v>
      </c>
      <c r="O1408" s="1641"/>
      <c r="P1408" s="222">
        <v>1</v>
      </c>
      <c r="Q1408" s="1063">
        <v>0.05</v>
      </c>
      <c r="R1408" s="222"/>
      <c r="S1408" s="222">
        <f t="shared" si="42"/>
        <v>0</v>
      </c>
      <c r="T1408" s="765">
        <f t="shared" si="43"/>
        <v>0</v>
      </c>
      <c r="U1408" s="222" t="s">
        <v>34</v>
      </c>
      <c r="V1408" s="1228"/>
      <c r="W1408" s="246"/>
    </row>
    <row r="1409" spans="1:23" ht="22.95" customHeight="1" x14ac:dyDescent="0.4">
      <c r="A1409" s="788">
        <v>1408</v>
      </c>
      <c r="B1409" s="246" t="s">
        <v>2616</v>
      </c>
      <c r="C1409" s="245" t="s">
        <v>24</v>
      </c>
      <c r="D1409" s="1134">
        <v>4060</v>
      </c>
      <c r="E1409" s="245" t="s">
        <v>4137</v>
      </c>
      <c r="F1409" s="245" t="s">
        <v>4138</v>
      </c>
      <c r="G1409" s="679">
        <v>2454</v>
      </c>
      <c r="H1409" s="245" t="s">
        <v>4023</v>
      </c>
      <c r="I1409" s="246" t="s">
        <v>3971</v>
      </c>
      <c r="J1409" s="253" t="s">
        <v>111</v>
      </c>
      <c r="K1409" s="210" t="s">
        <v>110</v>
      </c>
      <c r="L1409" s="1063">
        <v>0.4</v>
      </c>
      <c r="M1409" s="1641" t="s">
        <v>4127</v>
      </c>
      <c r="N1409" s="827" t="s">
        <v>254</v>
      </c>
      <c r="O1409" s="1641"/>
      <c r="P1409" s="222">
        <v>1</v>
      </c>
      <c r="Q1409" s="1063">
        <v>0.05</v>
      </c>
      <c r="R1409" s="222"/>
      <c r="S1409" s="222">
        <f t="shared" si="42"/>
        <v>0</v>
      </c>
      <c r="T1409" s="765">
        <f t="shared" si="43"/>
        <v>0</v>
      </c>
      <c r="U1409" s="222" t="s">
        <v>34</v>
      </c>
      <c r="V1409" s="1228"/>
      <c r="W1409" s="246"/>
    </row>
    <row r="1410" spans="1:23" ht="22.95" customHeight="1" x14ac:dyDescent="0.4">
      <c r="A1410" s="788">
        <v>1409</v>
      </c>
      <c r="B1410" s="246" t="s">
        <v>2616</v>
      </c>
      <c r="C1410" s="245" t="s">
        <v>24</v>
      </c>
      <c r="D1410" s="1134">
        <v>4060</v>
      </c>
      <c r="E1410" s="245" t="s">
        <v>4137</v>
      </c>
      <c r="F1410" s="245" t="s">
        <v>4138</v>
      </c>
      <c r="G1410" s="679">
        <v>2454</v>
      </c>
      <c r="H1410" s="245" t="s">
        <v>4023</v>
      </c>
      <c r="I1410" s="246" t="s">
        <v>3971</v>
      </c>
      <c r="J1410" s="253" t="s">
        <v>111</v>
      </c>
      <c r="K1410" s="210" t="s">
        <v>110</v>
      </c>
      <c r="L1410" s="1063">
        <v>0.4</v>
      </c>
      <c r="M1410" s="1641" t="s">
        <v>4128</v>
      </c>
      <c r="N1410" s="827" t="s">
        <v>771</v>
      </c>
      <c r="O1410" s="1641"/>
      <c r="P1410" s="222">
        <v>1</v>
      </c>
      <c r="Q1410" s="1063">
        <v>0.1</v>
      </c>
      <c r="R1410" s="222"/>
      <c r="S1410" s="222">
        <f t="shared" ref="S1410:S1473" si="44">ROUND(IF(OR(P1410="",R1410=""),0,IF(AND(P1410=0,R1410=0),1,IF(U1410="+",R1410/P1410,P1410/R1410))),2)</f>
        <v>0</v>
      </c>
      <c r="T1410" s="765">
        <f t="shared" ref="T1410:T1473" si="45">IF(AND(S1410&gt;=60%,S1410&lt;100%),S1410*((Q1410*L1410)),IF(S1410=100%,((Q1410*L1410)*S1410)*100%,IF(S1410&gt;100%,((L1410*Q1410)*100%)*100%,0)))*100</f>
        <v>0</v>
      </c>
      <c r="U1410" s="222" t="s">
        <v>34</v>
      </c>
      <c r="V1410" s="1228"/>
      <c r="W1410" s="246"/>
    </row>
    <row r="1411" spans="1:23" ht="22.95" customHeight="1" x14ac:dyDescent="0.4">
      <c r="A1411" s="788">
        <v>1410</v>
      </c>
      <c r="B1411" s="246" t="s">
        <v>2616</v>
      </c>
      <c r="C1411" s="245" t="s">
        <v>24</v>
      </c>
      <c r="D1411" s="1134">
        <v>4060</v>
      </c>
      <c r="E1411" s="245" t="s">
        <v>4137</v>
      </c>
      <c r="F1411" s="245" t="s">
        <v>4138</v>
      </c>
      <c r="G1411" s="679">
        <v>2454</v>
      </c>
      <c r="H1411" s="245" t="s">
        <v>4023</v>
      </c>
      <c r="I1411" s="246" t="s">
        <v>3971</v>
      </c>
      <c r="J1411" s="253" t="s">
        <v>111</v>
      </c>
      <c r="K1411" s="210" t="s">
        <v>110</v>
      </c>
      <c r="L1411" s="1063">
        <v>0.4</v>
      </c>
      <c r="M1411" s="1641" t="s">
        <v>4129</v>
      </c>
      <c r="N1411" s="827" t="s">
        <v>772</v>
      </c>
      <c r="O1411" s="1641"/>
      <c r="P1411" s="222">
        <v>1</v>
      </c>
      <c r="Q1411" s="1063">
        <v>0.05</v>
      </c>
      <c r="R1411" s="222"/>
      <c r="S1411" s="222">
        <f t="shared" si="44"/>
        <v>0</v>
      </c>
      <c r="T1411" s="765">
        <f t="shared" si="45"/>
        <v>0</v>
      </c>
      <c r="U1411" s="222" t="s">
        <v>34</v>
      </c>
      <c r="V1411" s="1228"/>
      <c r="W1411" s="246"/>
    </row>
    <row r="1412" spans="1:23" ht="22.95" customHeight="1" x14ac:dyDescent="0.4">
      <c r="A1412" s="788">
        <v>1411</v>
      </c>
      <c r="B1412" s="246" t="s">
        <v>2616</v>
      </c>
      <c r="C1412" s="245" t="s">
        <v>24</v>
      </c>
      <c r="D1412" s="1134">
        <v>4060</v>
      </c>
      <c r="E1412" s="245" t="s">
        <v>4137</v>
      </c>
      <c r="F1412" s="245" t="s">
        <v>4138</v>
      </c>
      <c r="G1412" s="679">
        <v>2454</v>
      </c>
      <c r="H1412" s="245" t="s">
        <v>4023</v>
      </c>
      <c r="I1412" s="246" t="s">
        <v>3971</v>
      </c>
      <c r="J1412" s="253" t="s">
        <v>111</v>
      </c>
      <c r="K1412" s="210" t="s">
        <v>110</v>
      </c>
      <c r="L1412" s="1063">
        <v>0.4</v>
      </c>
      <c r="M1412" s="1641" t="s">
        <v>4130</v>
      </c>
      <c r="N1412" s="827" t="s">
        <v>773</v>
      </c>
      <c r="O1412" s="1641"/>
      <c r="P1412" s="222">
        <v>1</v>
      </c>
      <c r="Q1412" s="1063">
        <v>0.05</v>
      </c>
      <c r="R1412" s="222"/>
      <c r="S1412" s="222">
        <f t="shared" si="44"/>
        <v>0</v>
      </c>
      <c r="T1412" s="765">
        <f t="shared" si="45"/>
        <v>0</v>
      </c>
      <c r="U1412" s="222" t="s">
        <v>34</v>
      </c>
      <c r="V1412" s="1228"/>
      <c r="W1412" s="246"/>
    </row>
    <row r="1413" spans="1:23" ht="22.95" customHeight="1" x14ac:dyDescent="0.4">
      <c r="A1413" s="788">
        <v>1412</v>
      </c>
      <c r="B1413" s="246" t="s">
        <v>2616</v>
      </c>
      <c r="C1413" s="245" t="s">
        <v>24</v>
      </c>
      <c r="D1413" s="1134">
        <v>4060</v>
      </c>
      <c r="E1413" s="245" t="s">
        <v>4137</v>
      </c>
      <c r="F1413" s="245" t="s">
        <v>4138</v>
      </c>
      <c r="G1413" s="679">
        <v>2454</v>
      </c>
      <c r="H1413" s="245" t="s">
        <v>4023</v>
      </c>
      <c r="I1413" s="246" t="s">
        <v>3971</v>
      </c>
      <c r="J1413" s="253" t="s">
        <v>111</v>
      </c>
      <c r="K1413" s="210" t="s">
        <v>110</v>
      </c>
      <c r="L1413" s="1063">
        <v>0.4</v>
      </c>
      <c r="M1413" s="1641" t="s">
        <v>4131</v>
      </c>
      <c r="N1413" s="827" t="s">
        <v>774</v>
      </c>
      <c r="O1413" s="1641"/>
      <c r="P1413" s="222">
        <v>1</v>
      </c>
      <c r="Q1413" s="1063">
        <v>0.1</v>
      </c>
      <c r="R1413" s="222"/>
      <c r="S1413" s="222">
        <f t="shared" si="44"/>
        <v>0</v>
      </c>
      <c r="T1413" s="765">
        <f t="shared" si="45"/>
        <v>0</v>
      </c>
      <c r="U1413" s="222" t="s">
        <v>34</v>
      </c>
      <c r="V1413" s="1228"/>
      <c r="W1413" s="246"/>
    </row>
    <row r="1414" spans="1:23" ht="22.95" customHeight="1" x14ac:dyDescent="0.4">
      <c r="A1414" s="788">
        <v>1413</v>
      </c>
      <c r="B1414" s="246" t="s">
        <v>2616</v>
      </c>
      <c r="C1414" s="245" t="s">
        <v>24</v>
      </c>
      <c r="D1414" s="1134">
        <v>4060</v>
      </c>
      <c r="E1414" s="245" t="s">
        <v>4137</v>
      </c>
      <c r="F1414" s="245" t="s">
        <v>4138</v>
      </c>
      <c r="G1414" s="679">
        <v>2454</v>
      </c>
      <c r="H1414" s="245" t="s">
        <v>4023</v>
      </c>
      <c r="I1414" s="246" t="s">
        <v>3971</v>
      </c>
      <c r="J1414" s="253" t="s">
        <v>111</v>
      </c>
      <c r="K1414" s="210" t="s">
        <v>110</v>
      </c>
      <c r="L1414" s="1063">
        <v>0.4</v>
      </c>
      <c r="M1414" s="1641" t="s">
        <v>4132</v>
      </c>
      <c r="N1414" s="827" t="s">
        <v>775</v>
      </c>
      <c r="O1414" s="1641"/>
      <c r="P1414" s="222">
        <v>1</v>
      </c>
      <c r="Q1414" s="1063">
        <v>0.05</v>
      </c>
      <c r="R1414" s="222"/>
      <c r="S1414" s="222">
        <f t="shared" si="44"/>
        <v>0</v>
      </c>
      <c r="T1414" s="765">
        <f t="shared" si="45"/>
        <v>0</v>
      </c>
      <c r="U1414" s="222" t="s">
        <v>34</v>
      </c>
      <c r="V1414" s="1228"/>
      <c r="W1414" s="246"/>
    </row>
    <row r="1415" spans="1:23" ht="22.95" customHeight="1" x14ac:dyDescent="0.4">
      <c r="A1415" s="788">
        <v>1414</v>
      </c>
      <c r="B1415" s="246" t="s">
        <v>2616</v>
      </c>
      <c r="C1415" s="245" t="s">
        <v>24</v>
      </c>
      <c r="D1415" s="1134">
        <v>4060</v>
      </c>
      <c r="E1415" s="245" t="s">
        <v>4137</v>
      </c>
      <c r="F1415" s="245" t="s">
        <v>4138</v>
      </c>
      <c r="G1415" s="679">
        <v>2454</v>
      </c>
      <c r="H1415" s="245" t="s">
        <v>4023</v>
      </c>
      <c r="I1415" s="246" t="s">
        <v>3971</v>
      </c>
      <c r="J1415" s="253" t="s">
        <v>111</v>
      </c>
      <c r="K1415" s="210" t="s">
        <v>110</v>
      </c>
      <c r="L1415" s="1063">
        <v>0.4</v>
      </c>
      <c r="M1415" s="1641" t="s">
        <v>4133</v>
      </c>
      <c r="N1415" s="827" t="s">
        <v>776</v>
      </c>
      <c r="O1415" s="1641"/>
      <c r="P1415" s="222">
        <v>1</v>
      </c>
      <c r="Q1415" s="1063">
        <v>0.05</v>
      </c>
      <c r="R1415" s="222"/>
      <c r="S1415" s="222">
        <f t="shared" si="44"/>
        <v>0</v>
      </c>
      <c r="T1415" s="765">
        <f t="shared" si="45"/>
        <v>0</v>
      </c>
      <c r="U1415" s="222" t="s">
        <v>34</v>
      </c>
      <c r="V1415" s="1228"/>
      <c r="W1415" s="246"/>
    </row>
    <row r="1416" spans="1:23" ht="22.95" customHeight="1" x14ac:dyDescent="0.4">
      <c r="A1416" s="788">
        <v>1415</v>
      </c>
      <c r="B1416" s="246" t="s">
        <v>2616</v>
      </c>
      <c r="C1416" s="245" t="s">
        <v>24</v>
      </c>
      <c r="D1416" s="1134">
        <v>4060</v>
      </c>
      <c r="E1416" s="245" t="s">
        <v>4137</v>
      </c>
      <c r="F1416" s="245" t="s">
        <v>4138</v>
      </c>
      <c r="G1416" s="679">
        <v>2454</v>
      </c>
      <c r="H1416" s="245" t="s">
        <v>4023</v>
      </c>
      <c r="I1416" s="246" t="s">
        <v>3971</v>
      </c>
      <c r="J1416" s="253" t="s">
        <v>111</v>
      </c>
      <c r="K1416" s="210" t="s">
        <v>110</v>
      </c>
      <c r="L1416" s="1063">
        <v>0.4</v>
      </c>
      <c r="M1416" s="1641" t="s">
        <v>1027</v>
      </c>
      <c r="N1416" s="827" t="s">
        <v>251</v>
      </c>
      <c r="O1416" s="1641"/>
      <c r="P1416" s="222">
        <v>1</v>
      </c>
      <c r="Q1416" s="1063">
        <v>0.05</v>
      </c>
      <c r="R1416" s="222"/>
      <c r="S1416" s="222">
        <f t="shared" si="44"/>
        <v>0</v>
      </c>
      <c r="T1416" s="765">
        <f t="shared" si="45"/>
        <v>0</v>
      </c>
      <c r="U1416" s="222" t="s">
        <v>34</v>
      </c>
      <c r="V1416" s="1228"/>
      <c r="W1416" s="246"/>
    </row>
    <row r="1417" spans="1:23" ht="22.95" customHeight="1" x14ac:dyDescent="0.4">
      <c r="A1417" s="788">
        <v>1416</v>
      </c>
      <c r="B1417" s="246" t="s">
        <v>2616</v>
      </c>
      <c r="C1417" s="245" t="s">
        <v>24</v>
      </c>
      <c r="D1417" s="1134">
        <v>4060</v>
      </c>
      <c r="E1417" s="245" t="s">
        <v>4137</v>
      </c>
      <c r="F1417" s="245" t="s">
        <v>4138</v>
      </c>
      <c r="G1417" s="679">
        <v>2454</v>
      </c>
      <c r="H1417" s="245" t="s">
        <v>4023</v>
      </c>
      <c r="I1417" s="246" t="s">
        <v>3971</v>
      </c>
      <c r="J1417" s="253" t="s">
        <v>111</v>
      </c>
      <c r="K1417" s="210" t="s">
        <v>110</v>
      </c>
      <c r="L1417" s="1063">
        <v>0.4</v>
      </c>
      <c r="M1417" s="1641" t="s">
        <v>4134</v>
      </c>
      <c r="N1417" s="827" t="s">
        <v>252</v>
      </c>
      <c r="O1417" s="1641"/>
      <c r="P1417" s="222">
        <v>1</v>
      </c>
      <c r="Q1417" s="1063">
        <v>0.1</v>
      </c>
      <c r="R1417" s="222"/>
      <c r="S1417" s="222">
        <f t="shared" si="44"/>
        <v>0</v>
      </c>
      <c r="T1417" s="765">
        <f t="shared" si="45"/>
        <v>0</v>
      </c>
      <c r="U1417" s="222" t="s">
        <v>34</v>
      </c>
      <c r="V1417" s="1228"/>
      <c r="W1417" s="246"/>
    </row>
    <row r="1418" spans="1:23" ht="22.95" customHeight="1" x14ac:dyDescent="0.4">
      <c r="A1418" s="788">
        <v>1417</v>
      </c>
      <c r="B1418" s="246" t="s">
        <v>2616</v>
      </c>
      <c r="C1418" s="245" t="s">
        <v>24</v>
      </c>
      <c r="D1418" s="1134">
        <v>4060</v>
      </c>
      <c r="E1418" s="245" t="s">
        <v>4137</v>
      </c>
      <c r="F1418" s="245" t="s">
        <v>4138</v>
      </c>
      <c r="G1418" s="679">
        <v>2454</v>
      </c>
      <c r="H1418" s="245" t="s">
        <v>4023</v>
      </c>
      <c r="I1418" s="246" t="s">
        <v>3971</v>
      </c>
      <c r="J1418" s="253" t="s">
        <v>111</v>
      </c>
      <c r="K1418" s="210" t="s">
        <v>110</v>
      </c>
      <c r="L1418" s="1063">
        <v>0.4</v>
      </c>
      <c r="M1418" s="1641" t="s">
        <v>4135</v>
      </c>
      <c r="N1418" s="827" t="s">
        <v>777</v>
      </c>
      <c r="O1418" s="1641"/>
      <c r="P1418" s="222">
        <v>1</v>
      </c>
      <c r="Q1418" s="1063">
        <v>0.05</v>
      </c>
      <c r="R1418" s="222"/>
      <c r="S1418" s="222">
        <f t="shared" si="44"/>
        <v>0</v>
      </c>
      <c r="T1418" s="765">
        <f t="shared" si="45"/>
        <v>0</v>
      </c>
      <c r="U1418" s="222" t="s">
        <v>34</v>
      </c>
      <c r="V1418" s="1228"/>
      <c r="W1418" s="246"/>
    </row>
    <row r="1419" spans="1:23" ht="22.95" customHeight="1" x14ac:dyDescent="0.4">
      <c r="A1419" s="788">
        <v>1418</v>
      </c>
      <c r="B1419" s="246" t="s">
        <v>2616</v>
      </c>
      <c r="C1419" s="245" t="s">
        <v>24</v>
      </c>
      <c r="D1419" s="1134">
        <v>4060</v>
      </c>
      <c r="E1419" s="245" t="s">
        <v>4137</v>
      </c>
      <c r="F1419" s="245" t="s">
        <v>4138</v>
      </c>
      <c r="G1419" s="679">
        <v>2454</v>
      </c>
      <c r="H1419" s="245" t="s">
        <v>4023</v>
      </c>
      <c r="I1419" s="246" t="s">
        <v>3971</v>
      </c>
      <c r="J1419" s="253" t="s">
        <v>111</v>
      </c>
      <c r="K1419" s="210" t="s">
        <v>110</v>
      </c>
      <c r="L1419" s="1063">
        <v>0.4</v>
      </c>
      <c r="M1419" s="1641" t="s">
        <v>4136</v>
      </c>
      <c r="N1419" s="827" t="s">
        <v>253</v>
      </c>
      <c r="O1419" s="1641"/>
      <c r="P1419" s="222">
        <v>1</v>
      </c>
      <c r="Q1419" s="1063">
        <v>0.15</v>
      </c>
      <c r="R1419" s="222"/>
      <c r="S1419" s="222">
        <f t="shared" si="44"/>
        <v>0</v>
      </c>
      <c r="T1419" s="765">
        <f t="shared" si="45"/>
        <v>0</v>
      </c>
      <c r="U1419" s="222" t="s">
        <v>34</v>
      </c>
      <c r="V1419" s="1228"/>
      <c r="W1419" s="246"/>
    </row>
    <row r="1420" spans="1:23" ht="22.95" customHeight="1" x14ac:dyDescent="0.4">
      <c r="A1420" s="788">
        <v>1419</v>
      </c>
      <c r="B1420" s="187" t="s">
        <v>2616</v>
      </c>
      <c r="C1420" s="236" t="s">
        <v>24</v>
      </c>
      <c r="D1420" s="1130">
        <v>6473</v>
      </c>
      <c r="E1420" s="236" t="s">
        <v>4151</v>
      </c>
      <c r="F1420" s="236" t="s">
        <v>4152</v>
      </c>
      <c r="G1420" s="674">
        <v>4059</v>
      </c>
      <c r="H1420" s="236" t="s">
        <v>4082</v>
      </c>
      <c r="I1420" s="187" t="s">
        <v>3971</v>
      </c>
      <c r="J1420" s="653" t="s">
        <v>58</v>
      </c>
      <c r="K1420" s="653" t="s">
        <v>57</v>
      </c>
      <c r="L1420" s="1052">
        <v>0.6</v>
      </c>
      <c r="M1420" s="1642" t="s">
        <v>4153</v>
      </c>
      <c r="N1420" s="749" t="s">
        <v>4154</v>
      </c>
      <c r="O1420" s="1642"/>
      <c r="P1420" s="953">
        <v>1</v>
      </c>
      <c r="Q1420" s="1490">
        <v>0.1</v>
      </c>
      <c r="R1420" s="953"/>
      <c r="S1420" s="855">
        <f t="shared" si="44"/>
        <v>0</v>
      </c>
      <c r="T1420" s="854">
        <f t="shared" si="45"/>
        <v>0</v>
      </c>
      <c r="U1420" s="953" t="s">
        <v>34</v>
      </c>
      <c r="V1420" s="1488">
        <f>SUM(T1420:T1444)%</f>
        <v>0</v>
      </c>
      <c r="W1420" s="187"/>
    </row>
    <row r="1421" spans="1:23" ht="22.95" customHeight="1" x14ac:dyDescent="0.4">
      <c r="A1421" s="788">
        <v>1420</v>
      </c>
      <c r="B1421" s="246" t="s">
        <v>2616</v>
      </c>
      <c r="C1421" s="245" t="s">
        <v>24</v>
      </c>
      <c r="D1421" s="1134">
        <v>6473</v>
      </c>
      <c r="E1421" s="245" t="s">
        <v>4151</v>
      </c>
      <c r="F1421" s="245" t="s">
        <v>4152</v>
      </c>
      <c r="G1421" s="679">
        <v>4059</v>
      </c>
      <c r="H1421" s="245" t="s">
        <v>4082</v>
      </c>
      <c r="I1421" s="246" t="s">
        <v>3971</v>
      </c>
      <c r="J1421" s="648" t="s">
        <v>58</v>
      </c>
      <c r="K1421" s="649" t="s">
        <v>57</v>
      </c>
      <c r="L1421" s="1145">
        <v>0.6</v>
      </c>
      <c r="M1421" s="771" t="s">
        <v>4155</v>
      </c>
      <c r="N1421" s="827" t="s">
        <v>4156</v>
      </c>
      <c r="O1421" s="771"/>
      <c r="P1421" s="1272">
        <v>1</v>
      </c>
      <c r="Q1421" s="1512">
        <v>0.1</v>
      </c>
      <c r="R1421" s="1272"/>
      <c r="S1421" s="650">
        <f t="shared" si="44"/>
        <v>0</v>
      </c>
      <c r="T1421" s="701">
        <f t="shared" si="45"/>
        <v>0</v>
      </c>
      <c r="U1421" s="1272" t="s">
        <v>34</v>
      </c>
      <c r="V1421" s="1228"/>
      <c r="W1421" s="246"/>
    </row>
    <row r="1422" spans="1:23" ht="22.95" customHeight="1" x14ac:dyDescent="0.4">
      <c r="A1422" s="788">
        <v>1421</v>
      </c>
      <c r="B1422" s="246" t="s">
        <v>2616</v>
      </c>
      <c r="C1422" s="245" t="s">
        <v>24</v>
      </c>
      <c r="D1422" s="1134">
        <v>6473</v>
      </c>
      <c r="E1422" s="245" t="s">
        <v>4151</v>
      </c>
      <c r="F1422" s="245" t="s">
        <v>4152</v>
      </c>
      <c r="G1422" s="679">
        <v>4059</v>
      </c>
      <c r="H1422" s="245" t="s">
        <v>4082</v>
      </c>
      <c r="I1422" s="246" t="s">
        <v>3971</v>
      </c>
      <c r="J1422" s="648" t="s">
        <v>58</v>
      </c>
      <c r="K1422" s="649" t="s">
        <v>57</v>
      </c>
      <c r="L1422" s="1145">
        <v>0.6</v>
      </c>
      <c r="M1422" s="771" t="s">
        <v>4157</v>
      </c>
      <c r="N1422" s="827" t="s">
        <v>4089</v>
      </c>
      <c r="O1422" s="771"/>
      <c r="P1422" s="1272">
        <v>1</v>
      </c>
      <c r="Q1422" s="1512">
        <v>0.15</v>
      </c>
      <c r="R1422" s="1272"/>
      <c r="S1422" s="650">
        <f t="shared" si="44"/>
        <v>0</v>
      </c>
      <c r="T1422" s="701">
        <f t="shared" si="45"/>
        <v>0</v>
      </c>
      <c r="U1422" s="1272" t="s">
        <v>34</v>
      </c>
      <c r="V1422" s="1228"/>
      <c r="W1422" s="246"/>
    </row>
    <row r="1423" spans="1:23" ht="22.95" customHeight="1" x14ac:dyDescent="0.4">
      <c r="A1423" s="788">
        <v>1422</v>
      </c>
      <c r="B1423" s="246" t="s">
        <v>2616</v>
      </c>
      <c r="C1423" s="245" t="s">
        <v>24</v>
      </c>
      <c r="D1423" s="1134">
        <v>6473</v>
      </c>
      <c r="E1423" s="245" t="s">
        <v>4151</v>
      </c>
      <c r="F1423" s="245" t="s">
        <v>4152</v>
      </c>
      <c r="G1423" s="679">
        <v>4059</v>
      </c>
      <c r="H1423" s="245" t="s">
        <v>4082</v>
      </c>
      <c r="I1423" s="246" t="s">
        <v>3971</v>
      </c>
      <c r="J1423" s="648" t="s">
        <v>58</v>
      </c>
      <c r="K1423" s="649" t="s">
        <v>57</v>
      </c>
      <c r="L1423" s="1145">
        <v>0.6</v>
      </c>
      <c r="M1423" s="771" t="s">
        <v>4158</v>
      </c>
      <c r="N1423" s="827" t="s">
        <v>4159</v>
      </c>
      <c r="O1423" s="771"/>
      <c r="P1423" s="1272">
        <v>1</v>
      </c>
      <c r="Q1423" s="1512">
        <v>0.2</v>
      </c>
      <c r="R1423" s="1272"/>
      <c r="S1423" s="650">
        <f t="shared" si="44"/>
        <v>0</v>
      </c>
      <c r="T1423" s="701">
        <f t="shared" si="45"/>
        <v>0</v>
      </c>
      <c r="U1423" s="1272" t="s">
        <v>34</v>
      </c>
      <c r="V1423" s="1228"/>
      <c r="W1423" s="246"/>
    </row>
    <row r="1424" spans="1:23" ht="22.95" customHeight="1" x14ac:dyDescent="0.4">
      <c r="A1424" s="788">
        <v>1423</v>
      </c>
      <c r="B1424" s="246" t="s">
        <v>2616</v>
      </c>
      <c r="C1424" s="245" t="s">
        <v>24</v>
      </c>
      <c r="D1424" s="1134">
        <v>6473</v>
      </c>
      <c r="E1424" s="245" t="s">
        <v>4151</v>
      </c>
      <c r="F1424" s="245" t="s">
        <v>4152</v>
      </c>
      <c r="G1424" s="679">
        <v>4059</v>
      </c>
      <c r="H1424" s="245" t="s">
        <v>4082</v>
      </c>
      <c r="I1424" s="246" t="s">
        <v>3971</v>
      </c>
      <c r="J1424" s="648" t="s">
        <v>58</v>
      </c>
      <c r="K1424" s="649" t="s">
        <v>57</v>
      </c>
      <c r="L1424" s="1145">
        <v>0.6</v>
      </c>
      <c r="M1424" s="771" t="s">
        <v>4160</v>
      </c>
      <c r="N1424" s="827" t="s">
        <v>4101</v>
      </c>
      <c r="O1424" s="771"/>
      <c r="P1424" s="1272">
        <v>1</v>
      </c>
      <c r="Q1424" s="1512">
        <v>0.05</v>
      </c>
      <c r="R1424" s="1272"/>
      <c r="S1424" s="650">
        <f t="shared" si="44"/>
        <v>0</v>
      </c>
      <c r="T1424" s="701">
        <f t="shared" si="45"/>
        <v>0</v>
      </c>
      <c r="U1424" s="1272" t="s">
        <v>34</v>
      </c>
      <c r="V1424" s="1228"/>
      <c r="W1424" s="246"/>
    </row>
    <row r="1425" spans="1:23" ht="22.95" customHeight="1" x14ac:dyDescent="0.4">
      <c r="A1425" s="788">
        <v>1424</v>
      </c>
      <c r="B1425" s="246" t="s">
        <v>2616</v>
      </c>
      <c r="C1425" s="245" t="s">
        <v>24</v>
      </c>
      <c r="D1425" s="1134">
        <v>6473</v>
      </c>
      <c r="E1425" s="245" t="s">
        <v>4151</v>
      </c>
      <c r="F1425" s="245" t="s">
        <v>4152</v>
      </c>
      <c r="G1425" s="679">
        <v>4059</v>
      </c>
      <c r="H1425" s="245" t="s">
        <v>4082</v>
      </c>
      <c r="I1425" s="246" t="s">
        <v>3971</v>
      </c>
      <c r="J1425" s="648" t="s">
        <v>58</v>
      </c>
      <c r="K1425" s="649" t="s">
        <v>57</v>
      </c>
      <c r="L1425" s="1145">
        <v>0.6</v>
      </c>
      <c r="M1425" s="771" t="s">
        <v>4161</v>
      </c>
      <c r="N1425" s="827" t="s">
        <v>4162</v>
      </c>
      <c r="O1425" s="771"/>
      <c r="P1425" s="1272">
        <v>1</v>
      </c>
      <c r="Q1425" s="1512">
        <v>0.2</v>
      </c>
      <c r="R1425" s="1272"/>
      <c r="S1425" s="650">
        <f t="shared" si="44"/>
        <v>0</v>
      </c>
      <c r="T1425" s="701">
        <f t="shared" si="45"/>
        <v>0</v>
      </c>
      <c r="U1425" s="1272" t="s">
        <v>34</v>
      </c>
      <c r="V1425" s="1228"/>
      <c r="W1425" s="246"/>
    </row>
    <row r="1426" spans="1:23" ht="22.95" customHeight="1" x14ac:dyDescent="0.4">
      <c r="A1426" s="788">
        <v>1425</v>
      </c>
      <c r="B1426" s="246" t="s">
        <v>2616</v>
      </c>
      <c r="C1426" s="245" t="s">
        <v>24</v>
      </c>
      <c r="D1426" s="1134">
        <v>6473</v>
      </c>
      <c r="E1426" s="245" t="s">
        <v>4151</v>
      </c>
      <c r="F1426" s="245" t="s">
        <v>4152</v>
      </c>
      <c r="G1426" s="679">
        <v>4059</v>
      </c>
      <c r="H1426" s="245" t="s">
        <v>4082</v>
      </c>
      <c r="I1426" s="246" t="s">
        <v>3971</v>
      </c>
      <c r="J1426" s="648" t="s">
        <v>58</v>
      </c>
      <c r="K1426" s="649" t="s">
        <v>57</v>
      </c>
      <c r="L1426" s="1145">
        <v>0.6</v>
      </c>
      <c r="M1426" s="771" t="s">
        <v>4163</v>
      </c>
      <c r="N1426" s="827" t="s">
        <v>4164</v>
      </c>
      <c r="O1426" s="771"/>
      <c r="P1426" s="1272">
        <v>1</v>
      </c>
      <c r="Q1426" s="1512">
        <v>0.05</v>
      </c>
      <c r="R1426" s="1272"/>
      <c r="S1426" s="650">
        <f t="shared" si="44"/>
        <v>0</v>
      </c>
      <c r="T1426" s="701">
        <f t="shared" si="45"/>
        <v>0</v>
      </c>
      <c r="U1426" s="1272" t="s">
        <v>34</v>
      </c>
      <c r="V1426" s="1228"/>
      <c r="W1426" s="246"/>
    </row>
    <row r="1427" spans="1:23" ht="22.95" customHeight="1" x14ac:dyDescent="0.4">
      <c r="A1427" s="788">
        <v>1426</v>
      </c>
      <c r="B1427" s="246" t="s">
        <v>2616</v>
      </c>
      <c r="C1427" s="245" t="s">
        <v>24</v>
      </c>
      <c r="D1427" s="1134">
        <v>6473</v>
      </c>
      <c r="E1427" s="245" t="s">
        <v>4151</v>
      </c>
      <c r="F1427" s="245" t="s">
        <v>4152</v>
      </c>
      <c r="G1427" s="679">
        <v>4059</v>
      </c>
      <c r="H1427" s="245" t="s">
        <v>4082</v>
      </c>
      <c r="I1427" s="246" t="s">
        <v>3971</v>
      </c>
      <c r="J1427" s="648" t="s">
        <v>58</v>
      </c>
      <c r="K1427" s="649" t="s">
        <v>57</v>
      </c>
      <c r="L1427" s="1145">
        <v>0.6</v>
      </c>
      <c r="M1427" s="771" t="s">
        <v>4048</v>
      </c>
      <c r="N1427" s="827" t="s">
        <v>4049</v>
      </c>
      <c r="O1427" s="771"/>
      <c r="P1427" s="1272">
        <v>1</v>
      </c>
      <c r="Q1427" s="1512">
        <v>0.05</v>
      </c>
      <c r="R1427" s="1272"/>
      <c r="S1427" s="650">
        <f t="shared" si="44"/>
        <v>0</v>
      </c>
      <c r="T1427" s="701">
        <f t="shared" si="45"/>
        <v>0</v>
      </c>
      <c r="U1427" s="1272" t="s">
        <v>34</v>
      </c>
      <c r="V1427" s="1228"/>
      <c r="W1427" s="246"/>
    </row>
    <row r="1428" spans="1:23" ht="22.95" customHeight="1" x14ac:dyDescent="0.4">
      <c r="A1428" s="788">
        <v>1427</v>
      </c>
      <c r="B1428" s="246" t="s">
        <v>2616</v>
      </c>
      <c r="C1428" s="245" t="s">
        <v>24</v>
      </c>
      <c r="D1428" s="1134">
        <v>6473</v>
      </c>
      <c r="E1428" s="245" t="s">
        <v>4151</v>
      </c>
      <c r="F1428" s="245" t="s">
        <v>4152</v>
      </c>
      <c r="G1428" s="679">
        <v>4059</v>
      </c>
      <c r="H1428" s="245" t="s">
        <v>4082</v>
      </c>
      <c r="I1428" s="246" t="s">
        <v>3971</v>
      </c>
      <c r="J1428" s="648" t="s">
        <v>58</v>
      </c>
      <c r="K1428" s="649" t="s">
        <v>57</v>
      </c>
      <c r="L1428" s="1145">
        <v>0.6</v>
      </c>
      <c r="M1428" s="771" t="s">
        <v>4119</v>
      </c>
      <c r="N1428" s="827" t="s">
        <v>4053</v>
      </c>
      <c r="O1428" s="771"/>
      <c r="P1428" s="1272">
        <v>1</v>
      </c>
      <c r="Q1428" s="1512">
        <v>0.05</v>
      </c>
      <c r="R1428" s="1272"/>
      <c r="S1428" s="650">
        <f t="shared" si="44"/>
        <v>0</v>
      </c>
      <c r="T1428" s="701">
        <f t="shared" si="45"/>
        <v>0</v>
      </c>
      <c r="U1428" s="1272" t="s">
        <v>34</v>
      </c>
      <c r="V1428" s="1228"/>
      <c r="W1428" s="246"/>
    </row>
    <row r="1429" spans="1:23" ht="22.95" customHeight="1" x14ac:dyDescent="0.4">
      <c r="A1429" s="788">
        <v>1428</v>
      </c>
      <c r="B1429" s="246" t="s">
        <v>2616</v>
      </c>
      <c r="C1429" s="245" t="s">
        <v>24</v>
      </c>
      <c r="D1429" s="1134">
        <v>6473</v>
      </c>
      <c r="E1429" s="245" t="s">
        <v>4151</v>
      </c>
      <c r="F1429" s="245" t="s">
        <v>4152</v>
      </c>
      <c r="G1429" s="679">
        <v>4059</v>
      </c>
      <c r="H1429" s="245" t="s">
        <v>4082</v>
      </c>
      <c r="I1429" s="246" t="s">
        <v>3971</v>
      </c>
      <c r="J1429" s="253" t="s">
        <v>111</v>
      </c>
      <c r="K1429" s="210" t="s">
        <v>110</v>
      </c>
      <c r="L1429" s="1145">
        <v>0.6</v>
      </c>
      <c r="M1429" s="771" t="s">
        <v>4122</v>
      </c>
      <c r="N1429" s="827" t="s">
        <v>3983</v>
      </c>
      <c r="O1429" s="771"/>
      <c r="P1429" s="1272">
        <v>1</v>
      </c>
      <c r="Q1429" s="1512">
        <v>0.05</v>
      </c>
      <c r="R1429" s="1272"/>
      <c r="S1429" s="650">
        <f t="shared" si="44"/>
        <v>0</v>
      </c>
      <c r="T1429" s="701">
        <f t="shared" si="45"/>
        <v>0</v>
      </c>
      <c r="U1429" s="1272" t="s">
        <v>34</v>
      </c>
      <c r="V1429" s="1228"/>
      <c r="W1429" s="246"/>
    </row>
    <row r="1430" spans="1:23" ht="22.95" customHeight="1" x14ac:dyDescent="0.4">
      <c r="A1430" s="788">
        <v>1429</v>
      </c>
      <c r="B1430" s="246" t="s">
        <v>2616</v>
      </c>
      <c r="C1430" s="245" t="s">
        <v>24</v>
      </c>
      <c r="D1430" s="1134">
        <v>6473</v>
      </c>
      <c r="E1430" s="245" t="s">
        <v>4151</v>
      </c>
      <c r="F1430" s="245" t="s">
        <v>4152</v>
      </c>
      <c r="G1430" s="679">
        <v>4059</v>
      </c>
      <c r="H1430" s="245" t="s">
        <v>4082</v>
      </c>
      <c r="I1430" s="246" t="s">
        <v>3971</v>
      </c>
      <c r="J1430" s="648" t="s">
        <v>111</v>
      </c>
      <c r="K1430" s="649" t="s">
        <v>110</v>
      </c>
      <c r="L1430" s="1063">
        <v>0.4</v>
      </c>
      <c r="M1430" s="1641" t="s">
        <v>1023</v>
      </c>
      <c r="N1430" s="827" t="s">
        <v>255</v>
      </c>
      <c r="O1430" s="1641"/>
      <c r="P1430" s="222">
        <v>1</v>
      </c>
      <c r="Q1430" s="1063">
        <v>0.05</v>
      </c>
      <c r="R1430" s="222"/>
      <c r="S1430" s="222">
        <f t="shared" si="44"/>
        <v>0</v>
      </c>
      <c r="T1430" s="765">
        <f t="shared" si="45"/>
        <v>0</v>
      </c>
      <c r="U1430" s="222" t="s">
        <v>34</v>
      </c>
      <c r="V1430" s="1228"/>
      <c r="W1430" s="246"/>
    </row>
    <row r="1431" spans="1:23" ht="22.95" customHeight="1" x14ac:dyDescent="0.4">
      <c r="A1431" s="788">
        <v>1430</v>
      </c>
      <c r="B1431" s="246" t="s">
        <v>2616</v>
      </c>
      <c r="C1431" s="245" t="s">
        <v>24</v>
      </c>
      <c r="D1431" s="1134">
        <v>6473</v>
      </c>
      <c r="E1431" s="245" t="s">
        <v>4151</v>
      </c>
      <c r="F1431" s="245" t="s">
        <v>4152</v>
      </c>
      <c r="G1431" s="679">
        <v>4059</v>
      </c>
      <c r="H1431" s="245" t="s">
        <v>4082</v>
      </c>
      <c r="I1431" s="246" t="s">
        <v>3971</v>
      </c>
      <c r="J1431" s="648" t="s">
        <v>111</v>
      </c>
      <c r="K1431" s="649" t="s">
        <v>110</v>
      </c>
      <c r="L1431" s="1063">
        <v>0.4</v>
      </c>
      <c r="M1431" s="1641" t="s">
        <v>4124</v>
      </c>
      <c r="N1431" s="827" t="s">
        <v>768</v>
      </c>
      <c r="O1431" s="1641"/>
      <c r="P1431" s="222">
        <v>1</v>
      </c>
      <c r="Q1431" s="1063">
        <v>0.05</v>
      </c>
      <c r="R1431" s="222"/>
      <c r="S1431" s="222">
        <f t="shared" si="44"/>
        <v>0</v>
      </c>
      <c r="T1431" s="765">
        <f t="shared" si="45"/>
        <v>0</v>
      </c>
      <c r="U1431" s="222" t="s">
        <v>34</v>
      </c>
      <c r="V1431" s="1228"/>
      <c r="W1431" s="246"/>
    </row>
    <row r="1432" spans="1:23" ht="22.95" customHeight="1" x14ac:dyDescent="0.4">
      <c r="A1432" s="788">
        <v>1431</v>
      </c>
      <c r="B1432" s="246" t="s">
        <v>2616</v>
      </c>
      <c r="C1432" s="245" t="s">
        <v>24</v>
      </c>
      <c r="D1432" s="1134">
        <v>6473</v>
      </c>
      <c r="E1432" s="245" t="s">
        <v>4151</v>
      </c>
      <c r="F1432" s="245" t="s">
        <v>4152</v>
      </c>
      <c r="G1432" s="679">
        <v>4059</v>
      </c>
      <c r="H1432" s="245" t="s">
        <v>4082</v>
      </c>
      <c r="I1432" s="246" t="s">
        <v>3971</v>
      </c>
      <c r="J1432" s="648" t="s">
        <v>111</v>
      </c>
      <c r="K1432" s="649" t="s">
        <v>110</v>
      </c>
      <c r="L1432" s="1063">
        <v>0.4</v>
      </c>
      <c r="M1432" s="1641" t="s">
        <v>4125</v>
      </c>
      <c r="N1432" s="827" t="s">
        <v>769</v>
      </c>
      <c r="O1432" s="1641"/>
      <c r="P1432" s="222">
        <v>1</v>
      </c>
      <c r="Q1432" s="1063">
        <v>0.05</v>
      </c>
      <c r="R1432" s="222"/>
      <c r="S1432" s="222">
        <f t="shared" si="44"/>
        <v>0</v>
      </c>
      <c r="T1432" s="765">
        <f t="shared" si="45"/>
        <v>0</v>
      </c>
      <c r="U1432" s="222" t="s">
        <v>34</v>
      </c>
      <c r="V1432" s="1228"/>
      <c r="W1432" s="246"/>
    </row>
    <row r="1433" spans="1:23" ht="22.95" customHeight="1" x14ac:dyDescent="0.4">
      <c r="A1433" s="788">
        <v>1432</v>
      </c>
      <c r="B1433" s="246" t="s">
        <v>2616</v>
      </c>
      <c r="C1433" s="245" t="s">
        <v>24</v>
      </c>
      <c r="D1433" s="1134">
        <v>6473</v>
      </c>
      <c r="E1433" s="245" t="s">
        <v>4151</v>
      </c>
      <c r="F1433" s="245" t="s">
        <v>4152</v>
      </c>
      <c r="G1433" s="679">
        <v>4059</v>
      </c>
      <c r="H1433" s="245" t="s">
        <v>4082</v>
      </c>
      <c r="I1433" s="246" t="s">
        <v>3971</v>
      </c>
      <c r="J1433" s="648" t="s">
        <v>111</v>
      </c>
      <c r="K1433" s="649" t="s">
        <v>110</v>
      </c>
      <c r="L1433" s="1063">
        <v>0.4</v>
      </c>
      <c r="M1433" s="1641" t="s">
        <v>4126</v>
      </c>
      <c r="N1433" s="827" t="s">
        <v>770</v>
      </c>
      <c r="O1433" s="1641"/>
      <c r="P1433" s="222">
        <v>1</v>
      </c>
      <c r="Q1433" s="1063">
        <v>0.15</v>
      </c>
      <c r="R1433" s="222"/>
      <c r="S1433" s="222">
        <f t="shared" si="44"/>
        <v>0</v>
      </c>
      <c r="T1433" s="765">
        <f t="shared" si="45"/>
        <v>0</v>
      </c>
      <c r="U1433" s="222" t="s">
        <v>34</v>
      </c>
      <c r="V1433" s="1228"/>
      <c r="W1433" s="246"/>
    </row>
    <row r="1434" spans="1:23" ht="22.95" customHeight="1" x14ac:dyDescent="0.4">
      <c r="A1434" s="788">
        <v>1433</v>
      </c>
      <c r="B1434" s="246" t="s">
        <v>2616</v>
      </c>
      <c r="C1434" s="245" t="s">
        <v>24</v>
      </c>
      <c r="D1434" s="1134">
        <v>6473</v>
      </c>
      <c r="E1434" s="245" t="s">
        <v>4151</v>
      </c>
      <c r="F1434" s="245" t="s">
        <v>4152</v>
      </c>
      <c r="G1434" s="679">
        <v>4059</v>
      </c>
      <c r="H1434" s="245" t="s">
        <v>4082</v>
      </c>
      <c r="I1434" s="246" t="s">
        <v>3971</v>
      </c>
      <c r="J1434" s="648" t="s">
        <v>111</v>
      </c>
      <c r="K1434" s="649" t="s">
        <v>110</v>
      </c>
      <c r="L1434" s="1063">
        <v>0.4</v>
      </c>
      <c r="M1434" s="1641" t="s">
        <v>4127</v>
      </c>
      <c r="N1434" s="827" t="s">
        <v>254</v>
      </c>
      <c r="O1434" s="1641"/>
      <c r="P1434" s="222">
        <v>1</v>
      </c>
      <c r="Q1434" s="1063">
        <v>0.1</v>
      </c>
      <c r="R1434" s="222"/>
      <c r="S1434" s="222">
        <f t="shared" si="44"/>
        <v>0</v>
      </c>
      <c r="T1434" s="765">
        <f t="shared" si="45"/>
        <v>0</v>
      </c>
      <c r="U1434" s="222" t="s">
        <v>34</v>
      </c>
      <c r="V1434" s="1228"/>
      <c r="W1434" s="246"/>
    </row>
    <row r="1435" spans="1:23" ht="22.95" customHeight="1" x14ac:dyDescent="0.4">
      <c r="A1435" s="788">
        <v>1434</v>
      </c>
      <c r="B1435" s="246" t="s">
        <v>2616</v>
      </c>
      <c r="C1435" s="245" t="s">
        <v>24</v>
      </c>
      <c r="D1435" s="1134">
        <v>6473</v>
      </c>
      <c r="E1435" s="245" t="s">
        <v>4151</v>
      </c>
      <c r="F1435" s="245" t="s">
        <v>4152</v>
      </c>
      <c r="G1435" s="679">
        <v>4059</v>
      </c>
      <c r="H1435" s="245" t="s">
        <v>4082</v>
      </c>
      <c r="I1435" s="246" t="s">
        <v>3971</v>
      </c>
      <c r="J1435" s="648" t="s">
        <v>111</v>
      </c>
      <c r="K1435" s="649" t="s">
        <v>110</v>
      </c>
      <c r="L1435" s="1063">
        <v>0.4</v>
      </c>
      <c r="M1435" s="1641" t="s">
        <v>4128</v>
      </c>
      <c r="N1435" s="827" t="s">
        <v>771</v>
      </c>
      <c r="O1435" s="1641"/>
      <c r="P1435" s="222">
        <v>1</v>
      </c>
      <c r="Q1435" s="1063">
        <v>0.05</v>
      </c>
      <c r="R1435" s="222"/>
      <c r="S1435" s="222">
        <f t="shared" si="44"/>
        <v>0</v>
      </c>
      <c r="T1435" s="765">
        <f t="shared" si="45"/>
        <v>0</v>
      </c>
      <c r="U1435" s="222" t="s">
        <v>34</v>
      </c>
      <c r="V1435" s="1228"/>
      <c r="W1435" s="246"/>
    </row>
    <row r="1436" spans="1:23" ht="22.95" customHeight="1" x14ac:dyDescent="0.4">
      <c r="A1436" s="788">
        <v>1435</v>
      </c>
      <c r="B1436" s="246" t="s">
        <v>2616</v>
      </c>
      <c r="C1436" s="245" t="s">
        <v>24</v>
      </c>
      <c r="D1436" s="1134">
        <v>6473</v>
      </c>
      <c r="E1436" s="245" t="s">
        <v>4151</v>
      </c>
      <c r="F1436" s="245" t="s">
        <v>4152</v>
      </c>
      <c r="G1436" s="679">
        <v>4059</v>
      </c>
      <c r="H1436" s="245" t="s">
        <v>4082</v>
      </c>
      <c r="I1436" s="246" t="s">
        <v>3971</v>
      </c>
      <c r="J1436" s="648" t="s">
        <v>111</v>
      </c>
      <c r="K1436" s="649" t="s">
        <v>110</v>
      </c>
      <c r="L1436" s="1063">
        <v>0.4</v>
      </c>
      <c r="M1436" s="1641" t="s">
        <v>4129</v>
      </c>
      <c r="N1436" s="827" t="s">
        <v>772</v>
      </c>
      <c r="O1436" s="1641"/>
      <c r="P1436" s="222">
        <v>1</v>
      </c>
      <c r="Q1436" s="1063">
        <v>0.1</v>
      </c>
      <c r="R1436" s="222"/>
      <c r="S1436" s="222">
        <f t="shared" si="44"/>
        <v>0</v>
      </c>
      <c r="T1436" s="765">
        <f t="shared" si="45"/>
        <v>0</v>
      </c>
      <c r="U1436" s="222" t="s">
        <v>34</v>
      </c>
      <c r="V1436" s="1228"/>
      <c r="W1436" s="246"/>
    </row>
    <row r="1437" spans="1:23" ht="22.95" customHeight="1" x14ac:dyDescent="0.4">
      <c r="A1437" s="788">
        <v>1436</v>
      </c>
      <c r="B1437" s="246" t="s">
        <v>2616</v>
      </c>
      <c r="C1437" s="245" t="s">
        <v>24</v>
      </c>
      <c r="D1437" s="1134">
        <v>6473</v>
      </c>
      <c r="E1437" s="245" t="s">
        <v>4151</v>
      </c>
      <c r="F1437" s="245" t="s">
        <v>4152</v>
      </c>
      <c r="G1437" s="679">
        <v>4059</v>
      </c>
      <c r="H1437" s="245" t="s">
        <v>4082</v>
      </c>
      <c r="I1437" s="246" t="s">
        <v>3971</v>
      </c>
      <c r="J1437" s="648" t="s">
        <v>111</v>
      </c>
      <c r="K1437" s="649" t="s">
        <v>110</v>
      </c>
      <c r="L1437" s="1063">
        <v>0.4</v>
      </c>
      <c r="M1437" s="1641" t="s">
        <v>4130</v>
      </c>
      <c r="N1437" s="827" t="s">
        <v>773</v>
      </c>
      <c r="O1437" s="1641"/>
      <c r="P1437" s="222">
        <v>1</v>
      </c>
      <c r="Q1437" s="1063">
        <v>0.05</v>
      </c>
      <c r="R1437" s="222"/>
      <c r="S1437" s="222">
        <f t="shared" si="44"/>
        <v>0</v>
      </c>
      <c r="T1437" s="765">
        <f t="shared" si="45"/>
        <v>0</v>
      </c>
      <c r="U1437" s="222" t="s">
        <v>34</v>
      </c>
      <c r="V1437" s="1228"/>
      <c r="W1437" s="246"/>
    </row>
    <row r="1438" spans="1:23" ht="22.95" customHeight="1" x14ac:dyDescent="0.4">
      <c r="A1438" s="788">
        <v>1437</v>
      </c>
      <c r="B1438" s="246" t="s">
        <v>2616</v>
      </c>
      <c r="C1438" s="245" t="s">
        <v>24</v>
      </c>
      <c r="D1438" s="1134">
        <v>6473</v>
      </c>
      <c r="E1438" s="245" t="s">
        <v>4151</v>
      </c>
      <c r="F1438" s="245" t="s">
        <v>4152</v>
      </c>
      <c r="G1438" s="679">
        <v>4059</v>
      </c>
      <c r="H1438" s="245" t="s">
        <v>4082</v>
      </c>
      <c r="I1438" s="246" t="s">
        <v>3971</v>
      </c>
      <c r="J1438" s="648" t="s">
        <v>111</v>
      </c>
      <c r="K1438" s="649" t="s">
        <v>110</v>
      </c>
      <c r="L1438" s="1063">
        <v>0.4</v>
      </c>
      <c r="M1438" s="1641" t="s">
        <v>4131</v>
      </c>
      <c r="N1438" s="827" t="s">
        <v>774</v>
      </c>
      <c r="O1438" s="1641"/>
      <c r="P1438" s="222">
        <v>1</v>
      </c>
      <c r="Q1438" s="1063">
        <v>0.05</v>
      </c>
      <c r="R1438" s="222"/>
      <c r="S1438" s="222">
        <f t="shared" si="44"/>
        <v>0</v>
      </c>
      <c r="T1438" s="765">
        <f t="shared" si="45"/>
        <v>0</v>
      </c>
      <c r="U1438" s="222" t="s">
        <v>34</v>
      </c>
      <c r="V1438" s="1228"/>
      <c r="W1438" s="246"/>
    </row>
    <row r="1439" spans="1:23" ht="22.95" customHeight="1" x14ac:dyDescent="0.4">
      <c r="A1439" s="788">
        <v>1438</v>
      </c>
      <c r="B1439" s="246" t="s">
        <v>2616</v>
      </c>
      <c r="C1439" s="245" t="s">
        <v>24</v>
      </c>
      <c r="D1439" s="1134">
        <v>6473</v>
      </c>
      <c r="E1439" s="245" t="s">
        <v>4151</v>
      </c>
      <c r="F1439" s="245" t="s">
        <v>4152</v>
      </c>
      <c r="G1439" s="679">
        <v>4059</v>
      </c>
      <c r="H1439" s="245" t="s">
        <v>4082</v>
      </c>
      <c r="I1439" s="246" t="s">
        <v>3971</v>
      </c>
      <c r="J1439" s="648" t="s">
        <v>111</v>
      </c>
      <c r="K1439" s="649" t="s">
        <v>110</v>
      </c>
      <c r="L1439" s="1063">
        <v>0.4</v>
      </c>
      <c r="M1439" s="1641" t="s">
        <v>4132</v>
      </c>
      <c r="N1439" s="827" t="s">
        <v>775</v>
      </c>
      <c r="O1439" s="1641"/>
      <c r="P1439" s="222">
        <v>1</v>
      </c>
      <c r="Q1439" s="1063">
        <v>0.05</v>
      </c>
      <c r="R1439" s="222"/>
      <c r="S1439" s="222">
        <f t="shared" si="44"/>
        <v>0</v>
      </c>
      <c r="T1439" s="765">
        <f t="shared" si="45"/>
        <v>0</v>
      </c>
      <c r="U1439" s="222" t="s">
        <v>34</v>
      </c>
      <c r="V1439" s="1228"/>
      <c r="W1439" s="246"/>
    </row>
    <row r="1440" spans="1:23" ht="22.95" customHeight="1" x14ac:dyDescent="0.4">
      <c r="A1440" s="788">
        <v>1439</v>
      </c>
      <c r="B1440" s="246" t="s">
        <v>2616</v>
      </c>
      <c r="C1440" s="245" t="s">
        <v>24</v>
      </c>
      <c r="D1440" s="1134">
        <v>6473</v>
      </c>
      <c r="E1440" s="245" t="s">
        <v>4151</v>
      </c>
      <c r="F1440" s="245" t="s">
        <v>4152</v>
      </c>
      <c r="G1440" s="679">
        <v>4059</v>
      </c>
      <c r="H1440" s="245" t="s">
        <v>4082</v>
      </c>
      <c r="I1440" s="246" t="s">
        <v>3971</v>
      </c>
      <c r="J1440" s="648" t="s">
        <v>111</v>
      </c>
      <c r="K1440" s="649" t="s">
        <v>110</v>
      </c>
      <c r="L1440" s="1063">
        <v>0.4</v>
      </c>
      <c r="M1440" s="1641" t="s">
        <v>4133</v>
      </c>
      <c r="N1440" s="827" t="s">
        <v>776</v>
      </c>
      <c r="O1440" s="1641"/>
      <c r="P1440" s="222">
        <v>1</v>
      </c>
      <c r="Q1440" s="1063">
        <v>0.1</v>
      </c>
      <c r="R1440" s="222"/>
      <c r="S1440" s="222">
        <f t="shared" si="44"/>
        <v>0</v>
      </c>
      <c r="T1440" s="765">
        <f t="shared" si="45"/>
        <v>0</v>
      </c>
      <c r="U1440" s="222" t="s">
        <v>34</v>
      </c>
      <c r="V1440" s="1228"/>
      <c r="W1440" s="246"/>
    </row>
    <row r="1441" spans="1:23" ht="22.95" customHeight="1" x14ac:dyDescent="0.4">
      <c r="A1441" s="788">
        <v>1440</v>
      </c>
      <c r="B1441" s="246" t="s">
        <v>2616</v>
      </c>
      <c r="C1441" s="245" t="s">
        <v>24</v>
      </c>
      <c r="D1441" s="1134">
        <v>6473</v>
      </c>
      <c r="E1441" s="245" t="s">
        <v>4151</v>
      </c>
      <c r="F1441" s="245" t="s">
        <v>4152</v>
      </c>
      <c r="G1441" s="679">
        <v>4059</v>
      </c>
      <c r="H1441" s="245" t="s">
        <v>4082</v>
      </c>
      <c r="I1441" s="246" t="s">
        <v>3971</v>
      </c>
      <c r="J1441" s="648" t="s">
        <v>111</v>
      </c>
      <c r="K1441" s="649" t="s">
        <v>110</v>
      </c>
      <c r="L1441" s="1063">
        <v>0.4</v>
      </c>
      <c r="M1441" s="1641" t="s">
        <v>1027</v>
      </c>
      <c r="N1441" s="827" t="s">
        <v>251</v>
      </c>
      <c r="O1441" s="1641"/>
      <c r="P1441" s="222">
        <v>1</v>
      </c>
      <c r="Q1441" s="1063">
        <v>0.05</v>
      </c>
      <c r="R1441" s="222"/>
      <c r="S1441" s="222">
        <f t="shared" si="44"/>
        <v>0</v>
      </c>
      <c r="T1441" s="765">
        <f t="shared" si="45"/>
        <v>0</v>
      </c>
      <c r="U1441" s="222" t="s">
        <v>34</v>
      </c>
      <c r="V1441" s="1228"/>
      <c r="W1441" s="246"/>
    </row>
    <row r="1442" spans="1:23" ht="22.95" customHeight="1" x14ac:dyDescent="0.4">
      <c r="A1442" s="788">
        <v>1441</v>
      </c>
      <c r="B1442" s="246" t="s">
        <v>2616</v>
      </c>
      <c r="C1442" s="245" t="s">
        <v>24</v>
      </c>
      <c r="D1442" s="1134">
        <v>6473</v>
      </c>
      <c r="E1442" s="245" t="s">
        <v>4151</v>
      </c>
      <c r="F1442" s="245" t="s">
        <v>4152</v>
      </c>
      <c r="G1442" s="679">
        <v>4059</v>
      </c>
      <c r="H1442" s="245" t="s">
        <v>4082</v>
      </c>
      <c r="I1442" s="246" t="s">
        <v>3971</v>
      </c>
      <c r="J1442" s="648" t="s">
        <v>111</v>
      </c>
      <c r="K1442" s="649" t="s">
        <v>110</v>
      </c>
      <c r="L1442" s="1063">
        <v>0.4</v>
      </c>
      <c r="M1442" s="1641" t="s">
        <v>4134</v>
      </c>
      <c r="N1442" s="827" t="s">
        <v>252</v>
      </c>
      <c r="O1442" s="1641"/>
      <c r="P1442" s="222">
        <v>1</v>
      </c>
      <c r="Q1442" s="1063">
        <v>0.05</v>
      </c>
      <c r="R1442" s="222"/>
      <c r="S1442" s="222">
        <f t="shared" si="44"/>
        <v>0</v>
      </c>
      <c r="T1442" s="765">
        <f t="shared" si="45"/>
        <v>0</v>
      </c>
      <c r="U1442" s="222" t="s">
        <v>34</v>
      </c>
      <c r="V1442" s="1228"/>
      <c r="W1442" s="246"/>
    </row>
    <row r="1443" spans="1:23" ht="22.95" customHeight="1" x14ac:dyDescent="0.4">
      <c r="A1443" s="788">
        <v>1442</v>
      </c>
      <c r="B1443" s="246" t="s">
        <v>2616</v>
      </c>
      <c r="C1443" s="245" t="s">
        <v>24</v>
      </c>
      <c r="D1443" s="1134">
        <v>6473</v>
      </c>
      <c r="E1443" s="245" t="s">
        <v>4151</v>
      </c>
      <c r="F1443" s="245" t="s">
        <v>4152</v>
      </c>
      <c r="G1443" s="679">
        <v>4059</v>
      </c>
      <c r="H1443" s="245" t="s">
        <v>4082</v>
      </c>
      <c r="I1443" s="246" t="s">
        <v>3971</v>
      </c>
      <c r="J1443" s="648" t="s">
        <v>111</v>
      </c>
      <c r="K1443" s="649" t="s">
        <v>110</v>
      </c>
      <c r="L1443" s="1063">
        <v>0.4</v>
      </c>
      <c r="M1443" s="1641" t="s">
        <v>4135</v>
      </c>
      <c r="N1443" s="827" t="s">
        <v>777</v>
      </c>
      <c r="O1443" s="1641"/>
      <c r="P1443" s="222">
        <v>1</v>
      </c>
      <c r="Q1443" s="1063">
        <v>0.05</v>
      </c>
      <c r="R1443" s="222"/>
      <c r="S1443" s="222">
        <f t="shared" si="44"/>
        <v>0</v>
      </c>
      <c r="T1443" s="765">
        <f t="shared" si="45"/>
        <v>0</v>
      </c>
      <c r="U1443" s="222" t="s">
        <v>34</v>
      </c>
      <c r="V1443" s="1228"/>
      <c r="W1443" s="246"/>
    </row>
    <row r="1444" spans="1:23" ht="22.95" customHeight="1" x14ac:dyDescent="0.4">
      <c r="A1444" s="788">
        <v>1443</v>
      </c>
      <c r="B1444" s="246" t="s">
        <v>2616</v>
      </c>
      <c r="C1444" s="245" t="s">
        <v>24</v>
      </c>
      <c r="D1444" s="1134">
        <v>6473</v>
      </c>
      <c r="E1444" s="245" t="s">
        <v>4151</v>
      </c>
      <c r="F1444" s="245" t="s">
        <v>4152</v>
      </c>
      <c r="G1444" s="679">
        <v>4059</v>
      </c>
      <c r="H1444" s="245" t="s">
        <v>4082</v>
      </c>
      <c r="I1444" s="246" t="s">
        <v>3971</v>
      </c>
      <c r="J1444" s="648" t="s">
        <v>111</v>
      </c>
      <c r="K1444" s="649" t="s">
        <v>110</v>
      </c>
      <c r="L1444" s="1063">
        <v>0.4</v>
      </c>
      <c r="M1444" s="1641" t="s">
        <v>4136</v>
      </c>
      <c r="N1444" s="827" t="s">
        <v>253</v>
      </c>
      <c r="O1444" s="1641"/>
      <c r="P1444" s="222">
        <v>1</v>
      </c>
      <c r="Q1444" s="1063">
        <v>0.05</v>
      </c>
      <c r="R1444" s="222"/>
      <c r="S1444" s="222">
        <f t="shared" si="44"/>
        <v>0</v>
      </c>
      <c r="T1444" s="765">
        <f t="shared" si="45"/>
        <v>0</v>
      </c>
      <c r="U1444" s="222" t="s">
        <v>34</v>
      </c>
      <c r="V1444" s="1228"/>
      <c r="W1444" s="246"/>
    </row>
    <row r="1445" spans="1:23" ht="22.95" customHeight="1" x14ac:dyDescent="0.4">
      <c r="A1445" s="788">
        <v>1444</v>
      </c>
      <c r="B1445" s="187" t="s">
        <v>2616</v>
      </c>
      <c r="C1445" s="236" t="s">
        <v>24</v>
      </c>
      <c r="D1445" s="1200">
        <v>6476</v>
      </c>
      <c r="E1445" s="236" t="s">
        <v>4165</v>
      </c>
      <c r="F1445" s="236" t="s">
        <v>4166</v>
      </c>
      <c r="G1445" s="674">
        <v>4059</v>
      </c>
      <c r="H1445" s="236" t="s">
        <v>4082</v>
      </c>
      <c r="I1445" s="187" t="s">
        <v>3971</v>
      </c>
      <c r="J1445" s="653" t="s">
        <v>58</v>
      </c>
      <c r="K1445" s="653" t="s">
        <v>57</v>
      </c>
      <c r="L1445" s="1052">
        <v>0.6</v>
      </c>
      <c r="M1445" s="791" t="s">
        <v>4167</v>
      </c>
      <c r="N1445" s="749" t="s">
        <v>4154</v>
      </c>
      <c r="O1445" s="791"/>
      <c r="P1445" s="953">
        <v>1</v>
      </c>
      <c r="Q1445" s="1490">
        <v>0.1</v>
      </c>
      <c r="R1445" s="953"/>
      <c r="S1445" s="855">
        <f t="shared" si="44"/>
        <v>0</v>
      </c>
      <c r="T1445" s="854">
        <f t="shared" si="45"/>
        <v>0</v>
      </c>
      <c r="U1445" s="953" t="s">
        <v>34</v>
      </c>
      <c r="V1445" s="1488">
        <f>SUM(T1445:T1469)%</f>
        <v>0</v>
      </c>
      <c r="W1445" s="653"/>
    </row>
    <row r="1446" spans="1:23" ht="22.95" customHeight="1" x14ac:dyDescent="0.4">
      <c r="A1446" s="788">
        <v>1445</v>
      </c>
      <c r="B1446" s="246" t="s">
        <v>2616</v>
      </c>
      <c r="C1446" s="245" t="s">
        <v>24</v>
      </c>
      <c r="D1446" s="1306">
        <v>6476</v>
      </c>
      <c r="E1446" s="245" t="s">
        <v>4165</v>
      </c>
      <c r="F1446" s="245" t="s">
        <v>4166</v>
      </c>
      <c r="G1446" s="679">
        <v>4059</v>
      </c>
      <c r="H1446" s="245" t="s">
        <v>4082</v>
      </c>
      <c r="I1446" s="246" t="s">
        <v>3971</v>
      </c>
      <c r="J1446" s="648" t="s">
        <v>58</v>
      </c>
      <c r="K1446" s="649" t="s">
        <v>57</v>
      </c>
      <c r="L1446" s="1145">
        <v>0.6</v>
      </c>
      <c r="M1446" s="771" t="s">
        <v>4155</v>
      </c>
      <c r="N1446" s="827" t="s">
        <v>4156</v>
      </c>
      <c r="O1446" s="771"/>
      <c r="P1446" s="1272">
        <v>1</v>
      </c>
      <c r="Q1446" s="1512">
        <v>0.1</v>
      </c>
      <c r="R1446" s="1272"/>
      <c r="S1446" s="650">
        <f t="shared" si="44"/>
        <v>0</v>
      </c>
      <c r="T1446" s="701">
        <f t="shared" si="45"/>
        <v>0</v>
      </c>
      <c r="U1446" s="1272" t="s">
        <v>34</v>
      </c>
      <c r="V1446" s="1228"/>
      <c r="W1446" s="648"/>
    </row>
    <row r="1447" spans="1:23" ht="22.95" customHeight="1" x14ac:dyDescent="0.4">
      <c r="A1447" s="788">
        <v>1446</v>
      </c>
      <c r="B1447" s="246" t="s">
        <v>2616</v>
      </c>
      <c r="C1447" s="245" t="s">
        <v>24</v>
      </c>
      <c r="D1447" s="1306">
        <v>6476</v>
      </c>
      <c r="E1447" s="245" t="s">
        <v>4165</v>
      </c>
      <c r="F1447" s="245" t="s">
        <v>4166</v>
      </c>
      <c r="G1447" s="679">
        <v>4059</v>
      </c>
      <c r="H1447" s="245" t="s">
        <v>4082</v>
      </c>
      <c r="I1447" s="246" t="s">
        <v>3971</v>
      </c>
      <c r="J1447" s="648" t="s">
        <v>58</v>
      </c>
      <c r="K1447" s="649" t="s">
        <v>57</v>
      </c>
      <c r="L1447" s="1145">
        <v>0.6</v>
      </c>
      <c r="M1447" s="771" t="s">
        <v>4157</v>
      </c>
      <c r="N1447" s="827" t="s">
        <v>4089</v>
      </c>
      <c r="O1447" s="771"/>
      <c r="P1447" s="1272">
        <v>1</v>
      </c>
      <c r="Q1447" s="1512">
        <v>0.15</v>
      </c>
      <c r="R1447" s="1272"/>
      <c r="S1447" s="650">
        <f t="shared" si="44"/>
        <v>0</v>
      </c>
      <c r="T1447" s="701">
        <f t="shared" si="45"/>
        <v>0</v>
      </c>
      <c r="U1447" s="1272" t="s">
        <v>34</v>
      </c>
      <c r="V1447" s="1228"/>
      <c r="W1447" s="648"/>
    </row>
    <row r="1448" spans="1:23" ht="22.95" customHeight="1" x14ac:dyDescent="0.4">
      <c r="A1448" s="788">
        <v>1447</v>
      </c>
      <c r="B1448" s="246" t="s">
        <v>2616</v>
      </c>
      <c r="C1448" s="245" t="s">
        <v>24</v>
      </c>
      <c r="D1448" s="1306">
        <v>6476</v>
      </c>
      <c r="E1448" s="245" t="s">
        <v>4165</v>
      </c>
      <c r="F1448" s="245" t="s">
        <v>4166</v>
      </c>
      <c r="G1448" s="679">
        <v>4059</v>
      </c>
      <c r="H1448" s="245" t="s">
        <v>4082</v>
      </c>
      <c r="I1448" s="246" t="s">
        <v>3971</v>
      </c>
      <c r="J1448" s="648" t="s">
        <v>58</v>
      </c>
      <c r="K1448" s="649" t="s">
        <v>57</v>
      </c>
      <c r="L1448" s="1145">
        <v>0.6</v>
      </c>
      <c r="M1448" s="771" t="s">
        <v>4158</v>
      </c>
      <c r="N1448" s="827" t="s">
        <v>4159</v>
      </c>
      <c r="O1448" s="771"/>
      <c r="P1448" s="1272">
        <v>1</v>
      </c>
      <c r="Q1448" s="1512">
        <v>0.2</v>
      </c>
      <c r="R1448" s="1272"/>
      <c r="S1448" s="650">
        <f t="shared" si="44"/>
        <v>0</v>
      </c>
      <c r="T1448" s="701">
        <f t="shared" si="45"/>
        <v>0</v>
      </c>
      <c r="U1448" s="1272" t="s">
        <v>34</v>
      </c>
      <c r="V1448" s="1228"/>
      <c r="W1448" s="648"/>
    </row>
    <row r="1449" spans="1:23" ht="22.95" customHeight="1" x14ac:dyDescent="0.4">
      <c r="A1449" s="788">
        <v>1448</v>
      </c>
      <c r="B1449" s="246" t="s">
        <v>2616</v>
      </c>
      <c r="C1449" s="245" t="s">
        <v>24</v>
      </c>
      <c r="D1449" s="1306">
        <v>6476</v>
      </c>
      <c r="E1449" s="245" t="s">
        <v>4165</v>
      </c>
      <c r="F1449" s="245" t="s">
        <v>4166</v>
      </c>
      <c r="G1449" s="679">
        <v>4059</v>
      </c>
      <c r="H1449" s="245" t="s">
        <v>4082</v>
      </c>
      <c r="I1449" s="246" t="s">
        <v>3971</v>
      </c>
      <c r="J1449" s="648" t="s">
        <v>58</v>
      </c>
      <c r="K1449" s="649" t="s">
        <v>57</v>
      </c>
      <c r="L1449" s="1145">
        <v>0.6</v>
      </c>
      <c r="M1449" s="771" t="s">
        <v>4160</v>
      </c>
      <c r="N1449" s="827" t="s">
        <v>4101</v>
      </c>
      <c r="O1449" s="771"/>
      <c r="P1449" s="1272">
        <v>1</v>
      </c>
      <c r="Q1449" s="1512">
        <v>0.05</v>
      </c>
      <c r="R1449" s="1272"/>
      <c r="S1449" s="650">
        <f t="shared" si="44"/>
        <v>0</v>
      </c>
      <c r="T1449" s="701">
        <f t="shared" si="45"/>
        <v>0</v>
      </c>
      <c r="U1449" s="1272" t="s">
        <v>34</v>
      </c>
      <c r="V1449" s="1228"/>
      <c r="W1449" s="648"/>
    </row>
    <row r="1450" spans="1:23" ht="22.95" customHeight="1" x14ac:dyDescent="0.4">
      <c r="A1450" s="788">
        <v>1449</v>
      </c>
      <c r="B1450" s="246" t="s">
        <v>2616</v>
      </c>
      <c r="C1450" s="245" t="s">
        <v>24</v>
      </c>
      <c r="D1450" s="1306">
        <v>6476</v>
      </c>
      <c r="E1450" s="245" t="s">
        <v>4165</v>
      </c>
      <c r="F1450" s="245" t="s">
        <v>4166</v>
      </c>
      <c r="G1450" s="679">
        <v>4059</v>
      </c>
      <c r="H1450" s="245" t="s">
        <v>4082</v>
      </c>
      <c r="I1450" s="246" t="s">
        <v>3971</v>
      </c>
      <c r="J1450" s="648" t="s">
        <v>58</v>
      </c>
      <c r="K1450" s="649" t="s">
        <v>57</v>
      </c>
      <c r="L1450" s="1145">
        <v>0.6</v>
      </c>
      <c r="M1450" s="771" t="s">
        <v>4161</v>
      </c>
      <c r="N1450" s="827" t="s">
        <v>4162</v>
      </c>
      <c r="O1450" s="771"/>
      <c r="P1450" s="1272">
        <v>1</v>
      </c>
      <c r="Q1450" s="1512">
        <v>0.2</v>
      </c>
      <c r="R1450" s="1272"/>
      <c r="S1450" s="650">
        <f t="shared" si="44"/>
        <v>0</v>
      </c>
      <c r="T1450" s="701">
        <f t="shared" si="45"/>
        <v>0</v>
      </c>
      <c r="U1450" s="1272" t="s">
        <v>34</v>
      </c>
      <c r="V1450" s="1228"/>
      <c r="W1450" s="648"/>
    </row>
    <row r="1451" spans="1:23" ht="22.95" customHeight="1" x14ac:dyDescent="0.4">
      <c r="A1451" s="788">
        <v>1450</v>
      </c>
      <c r="B1451" s="246" t="s">
        <v>2616</v>
      </c>
      <c r="C1451" s="245" t="s">
        <v>24</v>
      </c>
      <c r="D1451" s="1306">
        <v>6476</v>
      </c>
      <c r="E1451" s="245" t="s">
        <v>4165</v>
      </c>
      <c r="F1451" s="245" t="s">
        <v>4166</v>
      </c>
      <c r="G1451" s="679">
        <v>4059</v>
      </c>
      <c r="H1451" s="245" t="s">
        <v>4082</v>
      </c>
      <c r="I1451" s="246" t="s">
        <v>3971</v>
      </c>
      <c r="J1451" s="648" t="s">
        <v>58</v>
      </c>
      <c r="K1451" s="649" t="s">
        <v>57</v>
      </c>
      <c r="L1451" s="1145">
        <v>0.6</v>
      </c>
      <c r="M1451" s="771" t="s">
        <v>4163</v>
      </c>
      <c r="N1451" s="827" t="s">
        <v>4164</v>
      </c>
      <c r="O1451" s="771"/>
      <c r="P1451" s="1272">
        <v>1</v>
      </c>
      <c r="Q1451" s="1512">
        <v>0.05</v>
      </c>
      <c r="R1451" s="1272"/>
      <c r="S1451" s="650">
        <f t="shared" si="44"/>
        <v>0</v>
      </c>
      <c r="T1451" s="701">
        <f t="shared" si="45"/>
        <v>0</v>
      </c>
      <c r="U1451" s="1272" t="s">
        <v>34</v>
      </c>
      <c r="V1451" s="1228"/>
      <c r="W1451" s="648"/>
    </row>
    <row r="1452" spans="1:23" ht="22.95" customHeight="1" x14ac:dyDescent="0.4">
      <c r="A1452" s="788">
        <v>1451</v>
      </c>
      <c r="B1452" s="246" t="s">
        <v>2616</v>
      </c>
      <c r="C1452" s="245" t="s">
        <v>24</v>
      </c>
      <c r="D1452" s="1306">
        <v>6476</v>
      </c>
      <c r="E1452" s="245" t="s">
        <v>4165</v>
      </c>
      <c r="F1452" s="245" t="s">
        <v>4166</v>
      </c>
      <c r="G1452" s="679">
        <v>4059</v>
      </c>
      <c r="H1452" s="245" t="s">
        <v>4082</v>
      </c>
      <c r="I1452" s="246" t="s">
        <v>3971</v>
      </c>
      <c r="J1452" s="648" t="s">
        <v>58</v>
      </c>
      <c r="K1452" s="649" t="s">
        <v>57</v>
      </c>
      <c r="L1452" s="1145">
        <v>0.6</v>
      </c>
      <c r="M1452" s="771" t="s">
        <v>4048</v>
      </c>
      <c r="N1452" s="827" t="s">
        <v>4049</v>
      </c>
      <c r="O1452" s="771"/>
      <c r="P1452" s="1272">
        <v>1</v>
      </c>
      <c r="Q1452" s="1512">
        <v>0.05</v>
      </c>
      <c r="R1452" s="1272"/>
      <c r="S1452" s="650">
        <f t="shared" si="44"/>
        <v>0</v>
      </c>
      <c r="T1452" s="701">
        <f t="shared" si="45"/>
        <v>0</v>
      </c>
      <c r="U1452" s="1272" t="s">
        <v>34</v>
      </c>
      <c r="V1452" s="1228"/>
      <c r="W1452" s="648"/>
    </row>
    <row r="1453" spans="1:23" ht="22.95" customHeight="1" x14ac:dyDescent="0.4">
      <c r="A1453" s="788">
        <v>1452</v>
      </c>
      <c r="B1453" s="246" t="s">
        <v>2616</v>
      </c>
      <c r="C1453" s="245" t="s">
        <v>24</v>
      </c>
      <c r="D1453" s="1306">
        <v>6476</v>
      </c>
      <c r="E1453" s="245" t="s">
        <v>4165</v>
      </c>
      <c r="F1453" s="245" t="s">
        <v>4166</v>
      </c>
      <c r="G1453" s="679">
        <v>4059</v>
      </c>
      <c r="H1453" s="245" t="s">
        <v>4082</v>
      </c>
      <c r="I1453" s="246" t="s">
        <v>3971</v>
      </c>
      <c r="J1453" s="648" t="s">
        <v>58</v>
      </c>
      <c r="K1453" s="649" t="s">
        <v>57</v>
      </c>
      <c r="L1453" s="1145">
        <v>0.6</v>
      </c>
      <c r="M1453" s="771" t="s">
        <v>4119</v>
      </c>
      <c r="N1453" s="827" t="s">
        <v>4053</v>
      </c>
      <c r="O1453" s="771"/>
      <c r="P1453" s="1272">
        <v>1</v>
      </c>
      <c r="Q1453" s="1512">
        <v>0.05</v>
      </c>
      <c r="R1453" s="1272"/>
      <c r="S1453" s="650">
        <f t="shared" si="44"/>
        <v>0</v>
      </c>
      <c r="T1453" s="701">
        <f t="shared" si="45"/>
        <v>0</v>
      </c>
      <c r="U1453" s="1272" t="s">
        <v>34</v>
      </c>
      <c r="V1453" s="1228"/>
      <c r="W1453" s="648"/>
    </row>
    <row r="1454" spans="1:23" ht="22.95" customHeight="1" x14ac:dyDescent="0.4">
      <c r="A1454" s="788">
        <v>1453</v>
      </c>
      <c r="B1454" s="246" t="s">
        <v>2616</v>
      </c>
      <c r="C1454" s="245" t="s">
        <v>24</v>
      </c>
      <c r="D1454" s="1306">
        <v>6476</v>
      </c>
      <c r="E1454" s="245" t="s">
        <v>4165</v>
      </c>
      <c r="F1454" s="245" t="s">
        <v>4166</v>
      </c>
      <c r="G1454" s="679">
        <v>4059</v>
      </c>
      <c r="H1454" s="245" t="s">
        <v>4082</v>
      </c>
      <c r="I1454" s="246" t="s">
        <v>3971</v>
      </c>
      <c r="J1454" s="253" t="s">
        <v>111</v>
      </c>
      <c r="K1454" s="210" t="s">
        <v>110</v>
      </c>
      <c r="L1454" s="1145">
        <v>0.6</v>
      </c>
      <c r="M1454" s="771" t="s">
        <v>4122</v>
      </c>
      <c r="N1454" s="827" t="s">
        <v>3983</v>
      </c>
      <c r="O1454" s="771"/>
      <c r="P1454" s="1272">
        <v>1</v>
      </c>
      <c r="Q1454" s="1512">
        <v>0.05</v>
      </c>
      <c r="R1454" s="1272"/>
      <c r="S1454" s="650">
        <f t="shared" si="44"/>
        <v>0</v>
      </c>
      <c r="T1454" s="701">
        <f t="shared" si="45"/>
        <v>0</v>
      </c>
      <c r="U1454" s="1272" t="s">
        <v>34</v>
      </c>
      <c r="V1454" s="1228"/>
      <c r="W1454" s="648"/>
    </row>
    <row r="1455" spans="1:23" ht="22.95" customHeight="1" x14ac:dyDescent="0.4">
      <c r="A1455" s="788">
        <v>1454</v>
      </c>
      <c r="B1455" s="246" t="s">
        <v>2616</v>
      </c>
      <c r="C1455" s="245" t="s">
        <v>24</v>
      </c>
      <c r="D1455" s="1306">
        <v>6476</v>
      </c>
      <c r="E1455" s="245" t="s">
        <v>4165</v>
      </c>
      <c r="F1455" s="245" t="s">
        <v>4166</v>
      </c>
      <c r="G1455" s="679">
        <v>4059</v>
      </c>
      <c r="H1455" s="245" t="s">
        <v>4082</v>
      </c>
      <c r="I1455" s="246" t="s">
        <v>3971</v>
      </c>
      <c r="J1455" s="648" t="s">
        <v>111</v>
      </c>
      <c r="K1455" s="649" t="s">
        <v>110</v>
      </c>
      <c r="L1455" s="1063">
        <v>0.4</v>
      </c>
      <c r="M1455" s="1641" t="s">
        <v>1023</v>
      </c>
      <c r="N1455" s="827" t="s">
        <v>255</v>
      </c>
      <c r="O1455" s="1641"/>
      <c r="P1455" s="222">
        <v>1</v>
      </c>
      <c r="Q1455" s="1063">
        <v>0.05</v>
      </c>
      <c r="R1455" s="222"/>
      <c r="S1455" s="222">
        <f t="shared" si="44"/>
        <v>0</v>
      </c>
      <c r="T1455" s="765">
        <f t="shared" si="45"/>
        <v>0</v>
      </c>
      <c r="U1455" s="222" t="s">
        <v>34</v>
      </c>
      <c r="V1455" s="1228"/>
      <c r="W1455" s="648"/>
    </row>
    <row r="1456" spans="1:23" ht="22.95" customHeight="1" x14ac:dyDescent="0.4">
      <c r="A1456" s="788">
        <v>1455</v>
      </c>
      <c r="B1456" s="246" t="s">
        <v>2616</v>
      </c>
      <c r="C1456" s="245" t="s">
        <v>24</v>
      </c>
      <c r="D1456" s="1306">
        <v>6476</v>
      </c>
      <c r="E1456" s="245" t="s">
        <v>4165</v>
      </c>
      <c r="F1456" s="245" t="s">
        <v>4166</v>
      </c>
      <c r="G1456" s="679">
        <v>4059</v>
      </c>
      <c r="H1456" s="245" t="s">
        <v>4082</v>
      </c>
      <c r="I1456" s="246" t="s">
        <v>3971</v>
      </c>
      <c r="J1456" s="648" t="s">
        <v>111</v>
      </c>
      <c r="K1456" s="649" t="s">
        <v>110</v>
      </c>
      <c r="L1456" s="1063">
        <v>0.4</v>
      </c>
      <c r="M1456" s="1641" t="s">
        <v>4124</v>
      </c>
      <c r="N1456" s="827" t="s">
        <v>768</v>
      </c>
      <c r="O1456" s="1641"/>
      <c r="P1456" s="222">
        <v>1</v>
      </c>
      <c r="Q1456" s="1063">
        <v>0.05</v>
      </c>
      <c r="R1456" s="222"/>
      <c r="S1456" s="222">
        <f t="shared" si="44"/>
        <v>0</v>
      </c>
      <c r="T1456" s="765">
        <f t="shared" si="45"/>
        <v>0</v>
      </c>
      <c r="U1456" s="222" t="s">
        <v>34</v>
      </c>
      <c r="V1456" s="1228"/>
      <c r="W1456" s="648"/>
    </row>
    <row r="1457" spans="1:23" ht="22.95" customHeight="1" x14ac:dyDescent="0.4">
      <c r="A1457" s="788">
        <v>1456</v>
      </c>
      <c r="B1457" s="246" t="s">
        <v>2616</v>
      </c>
      <c r="C1457" s="245" t="s">
        <v>24</v>
      </c>
      <c r="D1457" s="1306">
        <v>6476</v>
      </c>
      <c r="E1457" s="245" t="s">
        <v>4165</v>
      </c>
      <c r="F1457" s="245" t="s">
        <v>4166</v>
      </c>
      <c r="G1457" s="679">
        <v>4059</v>
      </c>
      <c r="H1457" s="245" t="s">
        <v>4082</v>
      </c>
      <c r="I1457" s="246" t="s">
        <v>3971</v>
      </c>
      <c r="J1457" s="648" t="s">
        <v>111</v>
      </c>
      <c r="K1457" s="649" t="s">
        <v>110</v>
      </c>
      <c r="L1457" s="1063">
        <v>0.4</v>
      </c>
      <c r="M1457" s="1641" t="s">
        <v>4125</v>
      </c>
      <c r="N1457" s="827" t="s">
        <v>769</v>
      </c>
      <c r="O1457" s="1641"/>
      <c r="P1457" s="222">
        <v>1</v>
      </c>
      <c r="Q1457" s="1063">
        <v>0.05</v>
      </c>
      <c r="R1457" s="222"/>
      <c r="S1457" s="222">
        <f t="shared" si="44"/>
        <v>0</v>
      </c>
      <c r="T1457" s="765">
        <f t="shared" si="45"/>
        <v>0</v>
      </c>
      <c r="U1457" s="222" t="s">
        <v>34</v>
      </c>
      <c r="V1457" s="1228"/>
      <c r="W1457" s="648"/>
    </row>
    <row r="1458" spans="1:23" ht="22.95" customHeight="1" x14ac:dyDescent="0.4">
      <c r="A1458" s="788">
        <v>1457</v>
      </c>
      <c r="B1458" s="246" t="s">
        <v>2616</v>
      </c>
      <c r="C1458" s="245" t="s">
        <v>24</v>
      </c>
      <c r="D1458" s="1306">
        <v>6476</v>
      </c>
      <c r="E1458" s="245" t="s">
        <v>4165</v>
      </c>
      <c r="F1458" s="245" t="s">
        <v>4166</v>
      </c>
      <c r="G1458" s="679">
        <v>4059</v>
      </c>
      <c r="H1458" s="245" t="s">
        <v>4082</v>
      </c>
      <c r="I1458" s="246" t="s">
        <v>3971</v>
      </c>
      <c r="J1458" s="648" t="s">
        <v>111</v>
      </c>
      <c r="K1458" s="649" t="s">
        <v>110</v>
      </c>
      <c r="L1458" s="1063">
        <v>0.4</v>
      </c>
      <c r="M1458" s="1641" t="s">
        <v>4126</v>
      </c>
      <c r="N1458" s="827" t="s">
        <v>770</v>
      </c>
      <c r="O1458" s="1641"/>
      <c r="P1458" s="222">
        <v>1</v>
      </c>
      <c r="Q1458" s="1063">
        <v>0.15</v>
      </c>
      <c r="R1458" s="222"/>
      <c r="S1458" s="222">
        <f t="shared" si="44"/>
        <v>0</v>
      </c>
      <c r="T1458" s="765">
        <f t="shared" si="45"/>
        <v>0</v>
      </c>
      <c r="U1458" s="222" t="s">
        <v>34</v>
      </c>
      <c r="V1458" s="1228"/>
      <c r="W1458" s="648"/>
    </row>
    <row r="1459" spans="1:23" ht="22.95" customHeight="1" x14ac:dyDescent="0.4">
      <c r="A1459" s="788">
        <v>1458</v>
      </c>
      <c r="B1459" s="246" t="s">
        <v>2616</v>
      </c>
      <c r="C1459" s="245" t="s">
        <v>24</v>
      </c>
      <c r="D1459" s="1306">
        <v>6476</v>
      </c>
      <c r="E1459" s="245" t="s">
        <v>4165</v>
      </c>
      <c r="F1459" s="245" t="s">
        <v>4166</v>
      </c>
      <c r="G1459" s="679">
        <v>4059</v>
      </c>
      <c r="H1459" s="245" t="s">
        <v>4082</v>
      </c>
      <c r="I1459" s="246" t="s">
        <v>3971</v>
      </c>
      <c r="J1459" s="648" t="s">
        <v>111</v>
      </c>
      <c r="K1459" s="649" t="s">
        <v>110</v>
      </c>
      <c r="L1459" s="1063">
        <v>0.4</v>
      </c>
      <c r="M1459" s="1641" t="s">
        <v>4127</v>
      </c>
      <c r="N1459" s="827" t="s">
        <v>254</v>
      </c>
      <c r="O1459" s="1641"/>
      <c r="P1459" s="222">
        <v>1</v>
      </c>
      <c r="Q1459" s="1063">
        <v>0.1</v>
      </c>
      <c r="R1459" s="222"/>
      <c r="S1459" s="222">
        <f t="shared" si="44"/>
        <v>0</v>
      </c>
      <c r="T1459" s="765">
        <f t="shared" si="45"/>
        <v>0</v>
      </c>
      <c r="U1459" s="222" t="s">
        <v>34</v>
      </c>
      <c r="V1459" s="1228"/>
      <c r="W1459" s="648"/>
    </row>
    <row r="1460" spans="1:23" ht="22.95" customHeight="1" x14ac:dyDescent="0.4">
      <c r="A1460" s="788">
        <v>1459</v>
      </c>
      <c r="B1460" s="246" t="s">
        <v>2616</v>
      </c>
      <c r="C1460" s="245" t="s">
        <v>24</v>
      </c>
      <c r="D1460" s="1306">
        <v>6476</v>
      </c>
      <c r="E1460" s="245" t="s">
        <v>4165</v>
      </c>
      <c r="F1460" s="245" t="s">
        <v>4166</v>
      </c>
      <c r="G1460" s="679">
        <v>4059</v>
      </c>
      <c r="H1460" s="245" t="s">
        <v>4082</v>
      </c>
      <c r="I1460" s="246" t="s">
        <v>3971</v>
      </c>
      <c r="J1460" s="648" t="s">
        <v>111</v>
      </c>
      <c r="K1460" s="649" t="s">
        <v>110</v>
      </c>
      <c r="L1460" s="1063">
        <v>0.4</v>
      </c>
      <c r="M1460" s="1641" t="s">
        <v>4128</v>
      </c>
      <c r="N1460" s="827" t="s">
        <v>771</v>
      </c>
      <c r="O1460" s="1641"/>
      <c r="P1460" s="222">
        <v>1</v>
      </c>
      <c r="Q1460" s="1063">
        <v>0.05</v>
      </c>
      <c r="R1460" s="222"/>
      <c r="S1460" s="222">
        <f t="shared" si="44"/>
        <v>0</v>
      </c>
      <c r="T1460" s="765">
        <f t="shared" si="45"/>
        <v>0</v>
      </c>
      <c r="U1460" s="222" t="s">
        <v>34</v>
      </c>
      <c r="V1460" s="1228"/>
      <c r="W1460" s="648"/>
    </row>
    <row r="1461" spans="1:23" ht="22.95" customHeight="1" x14ac:dyDescent="0.4">
      <c r="A1461" s="788">
        <v>1460</v>
      </c>
      <c r="B1461" s="246" t="s">
        <v>2616</v>
      </c>
      <c r="C1461" s="245" t="s">
        <v>24</v>
      </c>
      <c r="D1461" s="1306">
        <v>6476</v>
      </c>
      <c r="E1461" s="245" t="s">
        <v>4165</v>
      </c>
      <c r="F1461" s="245" t="s">
        <v>4166</v>
      </c>
      <c r="G1461" s="679">
        <v>4059</v>
      </c>
      <c r="H1461" s="245" t="s">
        <v>4082</v>
      </c>
      <c r="I1461" s="246" t="s">
        <v>3971</v>
      </c>
      <c r="J1461" s="648" t="s">
        <v>111</v>
      </c>
      <c r="K1461" s="649" t="s">
        <v>110</v>
      </c>
      <c r="L1461" s="1063">
        <v>0.4</v>
      </c>
      <c r="M1461" s="1641" t="s">
        <v>4129</v>
      </c>
      <c r="N1461" s="827" t="s">
        <v>772</v>
      </c>
      <c r="O1461" s="1641"/>
      <c r="P1461" s="222">
        <v>1</v>
      </c>
      <c r="Q1461" s="1063">
        <v>0.1</v>
      </c>
      <c r="R1461" s="222"/>
      <c r="S1461" s="222">
        <f t="shared" si="44"/>
        <v>0</v>
      </c>
      <c r="T1461" s="765">
        <f t="shared" si="45"/>
        <v>0</v>
      </c>
      <c r="U1461" s="222" t="s">
        <v>34</v>
      </c>
      <c r="V1461" s="1228"/>
      <c r="W1461" s="648"/>
    </row>
    <row r="1462" spans="1:23" ht="22.95" customHeight="1" x14ac:dyDescent="0.4">
      <c r="A1462" s="788">
        <v>1461</v>
      </c>
      <c r="B1462" s="246" t="s">
        <v>2616</v>
      </c>
      <c r="C1462" s="245" t="s">
        <v>24</v>
      </c>
      <c r="D1462" s="1306">
        <v>6476</v>
      </c>
      <c r="E1462" s="245" t="s">
        <v>4165</v>
      </c>
      <c r="F1462" s="245" t="s">
        <v>4166</v>
      </c>
      <c r="G1462" s="679">
        <v>4059</v>
      </c>
      <c r="H1462" s="245" t="s">
        <v>4082</v>
      </c>
      <c r="I1462" s="246" t="s">
        <v>3971</v>
      </c>
      <c r="J1462" s="648" t="s">
        <v>111</v>
      </c>
      <c r="K1462" s="649" t="s">
        <v>110</v>
      </c>
      <c r="L1462" s="1063">
        <v>0.4</v>
      </c>
      <c r="M1462" s="1641" t="s">
        <v>4130</v>
      </c>
      <c r="N1462" s="827" t="s">
        <v>773</v>
      </c>
      <c r="O1462" s="1641"/>
      <c r="P1462" s="222">
        <v>1</v>
      </c>
      <c r="Q1462" s="1063">
        <v>0.05</v>
      </c>
      <c r="R1462" s="222"/>
      <c r="S1462" s="222">
        <f t="shared" si="44"/>
        <v>0</v>
      </c>
      <c r="T1462" s="765">
        <f t="shared" si="45"/>
        <v>0</v>
      </c>
      <c r="U1462" s="222" t="s">
        <v>34</v>
      </c>
      <c r="V1462" s="1228"/>
      <c r="W1462" s="648"/>
    </row>
    <row r="1463" spans="1:23" ht="22.95" customHeight="1" x14ac:dyDescent="0.4">
      <c r="A1463" s="788">
        <v>1462</v>
      </c>
      <c r="B1463" s="246" t="s">
        <v>2616</v>
      </c>
      <c r="C1463" s="245" t="s">
        <v>24</v>
      </c>
      <c r="D1463" s="1306">
        <v>6476</v>
      </c>
      <c r="E1463" s="245" t="s">
        <v>4165</v>
      </c>
      <c r="F1463" s="245" t="s">
        <v>4166</v>
      </c>
      <c r="G1463" s="679">
        <v>4059</v>
      </c>
      <c r="H1463" s="245" t="s">
        <v>4082</v>
      </c>
      <c r="I1463" s="246" t="s">
        <v>3971</v>
      </c>
      <c r="J1463" s="648" t="s">
        <v>111</v>
      </c>
      <c r="K1463" s="649" t="s">
        <v>110</v>
      </c>
      <c r="L1463" s="1063">
        <v>0.4</v>
      </c>
      <c r="M1463" s="1641" t="s">
        <v>4131</v>
      </c>
      <c r="N1463" s="827" t="s">
        <v>774</v>
      </c>
      <c r="O1463" s="1641"/>
      <c r="P1463" s="222">
        <v>1</v>
      </c>
      <c r="Q1463" s="1063">
        <v>0.05</v>
      </c>
      <c r="R1463" s="222"/>
      <c r="S1463" s="222">
        <f t="shared" si="44"/>
        <v>0</v>
      </c>
      <c r="T1463" s="765">
        <f t="shared" si="45"/>
        <v>0</v>
      </c>
      <c r="U1463" s="222" t="s">
        <v>34</v>
      </c>
      <c r="V1463" s="1228"/>
      <c r="W1463" s="648"/>
    </row>
    <row r="1464" spans="1:23" ht="22.95" customHeight="1" x14ac:dyDescent="0.4">
      <c r="A1464" s="788">
        <v>1463</v>
      </c>
      <c r="B1464" s="246" t="s">
        <v>2616</v>
      </c>
      <c r="C1464" s="245" t="s">
        <v>24</v>
      </c>
      <c r="D1464" s="1306">
        <v>6476</v>
      </c>
      <c r="E1464" s="245" t="s">
        <v>4165</v>
      </c>
      <c r="F1464" s="245" t="s">
        <v>4166</v>
      </c>
      <c r="G1464" s="679">
        <v>4059</v>
      </c>
      <c r="H1464" s="245" t="s">
        <v>4082</v>
      </c>
      <c r="I1464" s="246" t="s">
        <v>3971</v>
      </c>
      <c r="J1464" s="648" t="s">
        <v>111</v>
      </c>
      <c r="K1464" s="649" t="s">
        <v>110</v>
      </c>
      <c r="L1464" s="1063">
        <v>0.4</v>
      </c>
      <c r="M1464" s="1641" t="s">
        <v>4132</v>
      </c>
      <c r="N1464" s="827" t="s">
        <v>775</v>
      </c>
      <c r="O1464" s="1641"/>
      <c r="P1464" s="222">
        <v>1</v>
      </c>
      <c r="Q1464" s="1063">
        <v>0.05</v>
      </c>
      <c r="R1464" s="222"/>
      <c r="S1464" s="222">
        <f t="shared" si="44"/>
        <v>0</v>
      </c>
      <c r="T1464" s="765">
        <f t="shared" si="45"/>
        <v>0</v>
      </c>
      <c r="U1464" s="222" t="s">
        <v>34</v>
      </c>
      <c r="V1464" s="1228"/>
      <c r="W1464" s="648"/>
    </row>
    <row r="1465" spans="1:23" ht="22.95" customHeight="1" x14ac:dyDescent="0.4">
      <c r="A1465" s="788">
        <v>1464</v>
      </c>
      <c r="B1465" s="246" t="s">
        <v>2616</v>
      </c>
      <c r="C1465" s="245" t="s">
        <v>24</v>
      </c>
      <c r="D1465" s="1306">
        <v>6476</v>
      </c>
      <c r="E1465" s="245" t="s">
        <v>4165</v>
      </c>
      <c r="F1465" s="245" t="s">
        <v>4166</v>
      </c>
      <c r="G1465" s="679">
        <v>4059</v>
      </c>
      <c r="H1465" s="245" t="s">
        <v>4082</v>
      </c>
      <c r="I1465" s="246" t="s">
        <v>3971</v>
      </c>
      <c r="J1465" s="648" t="s">
        <v>111</v>
      </c>
      <c r="K1465" s="649" t="s">
        <v>110</v>
      </c>
      <c r="L1465" s="1063">
        <v>0.4</v>
      </c>
      <c r="M1465" s="1641" t="s">
        <v>4133</v>
      </c>
      <c r="N1465" s="827" t="s">
        <v>776</v>
      </c>
      <c r="O1465" s="1641"/>
      <c r="P1465" s="222">
        <v>1</v>
      </c>
      <c r="Q1465" s="1063">
        <v>0.1</v>
      </c>
      <c r="R1465" s="222"/>
      <c r="S1465" s="222">
        <f t="shared" si="44"/>
        <v>0</v>
      </c>
      <c r="T1465" s="765">
        <f t="shared" si="45"/>
        <v>0</v>
      </c>
      <c r="U1465" s="222" t="s">
        <v>34</v>
      </c>
      <c r="V1465" s="1228"/>
      <c r="W1465" s="648"/>
    </row>
    <row r="1466" spans="1:23" ht="22.95" customHeight="1" x14ac:dyDescent="0.4">
      <c r="A1466" s="788">
        <v>1465</v>
      </c>
      <c r="B1466" s="246" t="s">
        <v>2616</v>
      </c>
      <c r="C1466" s="245" t="s">
        <v>24</v>
      </c>
      <c r="D1466" s="1306">
        <v>6476</v>
      </c>
      <c r="E1466" s="245" t="s">
        <v>4165</v>
      </c>
      <c r="F1466" s="245" t="s">
        <v>4166</v>
      </c>
      <c r="G1466" s="679">
        <v>4059</v>
      </c>
      <c r="H1466" s="245" t="s">
        <v>4082</v>
      </c>
      <c r="I1466" s="246" t="s">
        <v>3971</v>
      </c>
      <c r="J1466" s="648" t="s">
        <v>111</v>
      </c>
      <c r="K1466" s="649" t="s">
        <v>110</v>
      </c>
      <c r="L1466" s="1063">
        <v>0.4</v>
      </c>
      <c r="M1466" s="1641" t="s">
        <v>1027</v>
      </c>
      <c r="N1466" s="827" t="s">
        <v>251</v>
      </c>
      <c r="O1466" s="1641"/>
      <c r="P1466" s="222">
        <v>1</v>
      </c>
      <c r="Q1466" s="1063">
        <v>0.05</v>
      </c>
      <c r="R1466" s="222"/>
      <c r="S1466" s="222">
        <f t="shared" si="44"/>
        <v>0</v>
      </c>
      <c r="T1466" s="765">
        <f t="shared" si="45"/>
        <v>0</v>
      </c>
      <c r="U1466" s="222" t="s">
        <v>34</v>
      </c>
      <c r="V1466" s="1228"/>
      <c r="W1466" s="648"/>
    </row>
    <row r="1467" spans="1:23" ht="22.95" customHeight="1" x14ac:dyDescent="0.4">
      <c r="A1467" s="788">
        <v>1466</v>
      </c>
      <c r="B1467" s="246" t="s">
        <v>2616</v>
      </c>
      <c r="C1467" s="245" t="s">
        <v>24</v>
      </c>
      <c r="D1467" s="1306">
        <v>6476</v>
      </c>
      <c r="E1467" s="245" t="s">
        <v>4165</v>
      </c>
      <c r="F1467" s="245" t="s">
        <v>4166</v>
      </c>
      <c r="G1467" s="679">
        <v>4059</v>
      </c>
      <c r="H1467" s="245" t="s">
        <v>4082</v>
      </c>
      <c r="I1467" s="246" t="s">
        <v>3971</v>
      </c>
      <c r="J1467" s="648" t="s">
        <v>111</v>
      </c>
      <c r="K1467" s="649" t="s">
        <v>110</v>
      </c>
      <c r="L1467" s="1063">
        <v>0.4</v>
      </c>
      <c r="M1467" s="1641" t="s">
        <v>4134</v>
      </c>
      <c r="N1467" s="827" t="s">
        <v>252</v>
      </c>
      <c r="O1467" s="1641"/>
      <c r="P1467" s="222">
        <v>1</v>
      </c>
      <c r="Q1467" s="1063">
        <v>0.05</v>
      </c>
      <c r="R1467" s="222"/>
      <c r="S1467" s="222">
        <f t="shared" si="44"/>
        <v>0</v>
      </c>
      <c r="T1467" s="765">
        <f t="shared" si="45"/>
        <v>0</v>
      </c>
      <c r="U1467" s="222" t="s">
        <v>34</v>
      </c>
      <c r="V1467" s="1228"/>
      <c r="W1467" s="648"/>
    </row>
    <row r="1468" spans="1:23" ht="22.95" customHeight="1" x14ac:dyDescent="0.4">
      <c r="A1468" s="788">
        <v>1467</v>
      </c>
      <c r="B1468" s="246" t="s">
        <v>2616</v>
      </c>
      <c r="C1468" s="245" t="s">
        <v>24</v>
      </c>
      <c r="D1468" s="1306">
        <v>6476</v>
      </c>
      <c r="E1468" s="245" t="s">
        <v>4165</v>
      </c>
      <c r="F1468" s="245" t="s">
        <v>4166</v>
      </c>
      <c r="G1468" s="679">
        <v>4059</v>
      </c>
      <c r="H1468" s="245" t="s">
        <v>4082</v>
      </c>
      <c r="I1468" s="246" t="s">
        <v>3971</v>
      </c>
      <c r="J1468" s="648" t="s">
        <v>111</v>
      </c>
      <c r="K1468" s="649" t="s">
        <v>110</v>
      </c>
      <c r="L1468" s="1063">
        <v>0.4</v>
      </c>
      <c r="M1468" s="1641" t="s">
        <v>4135</v>
      </c>
      <c r="N1468" s="827" t="s">
        <v>777</v>
      </c>
      <c r="O1468" s="1641"/>
      <c r="P1468" s="222">
        <v>1</v>
      </c>
      <c r="Q1468" s="1063">
        <v>0.05</v>
      </c>
      <c r="R1468" s="222"/>
      <c r="S1468" s="222">
        <f t="shared" si="44"/>
        <v>0</v>
      </c>
      <c r="T1468" s="765">
        <f t="shared" si="45"/>
        <v>0</v>
      </c>
      <c r="U1468" s="222" t="s">
        <v>34</v>
      </c>
      <c r="V1468" s="1228"/>
      <c r="W1468" s="648"/>
    </row>
    <row r="1469" spans="1:23" ht="22.95" customHeight="1" x14ac:dyDescent="0.4">
      <c r="A1469" s="788">
        <v>1468</v>
      </c>
      <c r="B1469" s="246" t="s">
        <v>2616</v>
      </c>
      <c r="C1469" s="245" t="s">
        <v>24</v>
      </c>
      <c r="D1469" s="1306">
        <v>6476</v>
      </c>
      <c r="E1469" s="245" t="s">
        <v>4165</v>
      </c>
      <c r="F1469" s="245" t="s">
        <v>4166</v>
      </c>
      <c r="G1469" s="679">
        <v>4059</v>
      </c>
      <c r="H1469" s="245" t="s">
        <v>4082</v>
      </c>
      <c r="I1469" s="246" t="s">
        <v>3971</v>
      </c>
      <c r="J1469" s="648" t="s">
        <v>111</v>
      </c>
      <c r="K1469" s="649" t="s">
        <v>110</v>
      </c>
      <c r="L1469" s="1063">
        <v>0.4</v>
      </c>
      <c r="M1469" s="1641" t="s">
        <v>4136</v>
      </c>
      <c r="N1469" s="827" t="s">
        <v>253</v>
      </c>
      <c r="O1469" s="1641"/>
      <c r="P1469" s="222">
        <v>1</v>
      </c>
      <c r="Q1469" s="1063">
        <v>0.05</v>
      </c>
      <c r="R1469" s="222"/>
      <c r="S1469" s="222">
        <f t="shared" si="44"/>
        <v>0</v>
      </c>
      <c r="T1469" s="765">
        <f t="shared" si="45"/>
        <v>0</v>
      </c>
      <c r="U1469" s="222" t="s">
        <v>34</v>
      </c>
      <c r="V1469" s="1228"/>
      <c r="W1469" s="648"/>
    </row>
    <row r="1470" spans="1:23" ht="22.95" customHeight="1" x14ac:dyDescent="0.4">
      <c r="A1470" s="788">
        <v>1469</v>
      </c>
      <c r="B1470" s="187" t="s">
        <v>2616</v>
      </c>
      <c r="C1470" s="236" t="s">
        <v>24</v>
      </c>
      <c r="D1470" s="1130">
        <v>6514</v>
      </c>
      <c r="E1470" s="236" t="s">
        <v>4168</v>
      </c>
      <c r="F1470" s="236" t="s">
        <v>4105</v>
      </c>
      <c r="G1470" s="674">
        <v>2458</v>
      </c>
      <c r="H1470" s="236" t="s">
        <v>4057</v>
      </c>
      <c r="I1470" s="187" t="s">
        <v>3971</v>
      </c>
      <c r="J1470" s="653" t="s">
        <v>58</v>
      </c>
      <c r="K1470" s="653" t="s">
        <v>57</v>
      </c>
      <c r="L1470" s="1052">
        <v>0.6</v>
      </c>
      <c r="M1470" s="1642" t="s">
        <v>4106</v>
      </c>
      <c r="N1470" s="749" t="s">
        <v>4107</v>
      </c>
      <c r="O1470" s="1642"/>
      <c r="P1470" s="953">
        <v>1</v>
      </c>
      <c r="Q1470" s="1490">
        <v>0.05</v>
      </c>
      <c r="R1470" s="953"/>
      <c r="S1470" s="855">
        <f t="shared" si="44"/>
        <v>0</v>
      </c>
      <c r="T1470" s="854">
        <f t="shared" si="45"/>
        <v>0</v>
      </c>
      <c r="U1470" s="953" t="s">
        <v>34</v>
      </c>
      <c r="V1470" s="1488">
        <f>SUM(T1470:T1496)%</f>
        <v>0</v>
      </c>
      <c r="W1470" s="187"/>
    </row>
    <row r="1471" spans="1:23" ht="22.95" customHeight="1" x14ac:dyDescent="0.4">
      <c r="A1471" s="788">
        <v>1470</v>
      </c>
      <c r="B1471" s="246" t="s">
        <v>2616</v>
      </c>
      <c r="C1471" s="245" t="s">
        <v>24</v>
      </c>
      <c r="D1471" s="1134">
        <v>6514</v>
      </c>
      <c r="E1471" s="245" t="s">
        <v>4168</v>
      </c>
      <c r="F1471" s="245" t="s">
        <v>4105</v>
      </c>
      <c r="G1471" s="679">
        <v>2458</v>
      </c>
      <c r="H1471" s="245" t="s">
        <v>4057</v>
      </c>
      <c r="I1471" s="246" t="s">
        <v>3971</v>
      </c>
      <c r="J1471" s="648" t="s">
        <v>58</v>
      </c>
      <c r="K1471" s="649" t="s">
        <v>57</v>
      </c>
      <c r="L1471" s="1145">
        <v>0.6</v>
      </c>
      <c r="M1471" s="771" t="s">
        <v>4108</v>
      </c>
      <c r="N1471" s="827" t="s">
        <v>4109</v>
      </c>
      <c r="O1471" s="771"/>
      <c r="P1471" s="1272">
        <v>1</v>
      </c>
      <c r="Q1471" s="1512">
        <v>0.1</v>
      </c>
      <c r="R1471" s="1272"/>
      <c r="S1471" s="650">
        <f t="shared" si="44"/>
        <v>0</v>
      </c>
      <c r="T1471" s="701">
        <f t="shared" si="45"/>
        <v>0</v>
      </c>
      <c r="U1471" s="1272" t="s">
        <v>34</v>
      </c>
      <c r="V1471" s="1228"/>
      <c r="W1471" s="246"/>
    </row>
    <row r="1472" spans="1:23" ht="22.95" customHeight="1" x14ac:dyDescent="0.4">
      <c r="A1472" s="788">
        <v>1471</v>
      </c>
      <c r="B1472" s="246" t="s">
        <v>2616</v>
      </c>
      <c r="C1472" s="245" t="s">
        <v>24</v>
      </c>
      <c r="D1472" s="1134">
        <v>6514</v>
      </c>
      <c r="E1472" s="245" t="s">
        <v>4168</v>
      </c>
      <c r="F1472" s="245" t="s">
        <v>4105</v>
      </c>
      <c r="G1472" s="679">
        <v>2458</v>
      </c>
      <c r="H1472" s="245" t="s">
        <v>4057</v>
      </c>
      <c r="I1472" s="246" t="s">
        <v>3971</v>
      </c>
      <c r="J1472" s="648" t="s">
        <v>58</v>
      </c>
      <c r="K1472" s="649" t="s">
        <v>57</v>
      </c>
      <c r="L1472" s="1145">
        <v>0.6</v>
      </c>
      <c r="M1472" s="771" t="s">
        <v>4110</v>
      </c>
      <c r="N1472" s="827" t="s">
        <v>4111</v>
      </c>
      <c r="O1472" s="771"/>
      <c r="P1472" s="1272">
        <v>1</v>
      </c>
      <c r="Q1472" s="1512">
        <v>0.15</v>
      </c>
      <c r="R1472" s="1272"/>
      <c r="S1472" s="650">
        <f t="shared" si="44"/>
        <v>0</v>
      </c>
      <c r="T1472" s="701">
        <f t="shared" si="45"/>
        <v>0</v>
      </c>
      <c r="U1472" s="1272" t="s">
        <v>34</v>
      </c>
      <c r="V1472" s="1228"/>
      <c r="W1472" s="246"/>
    </row>
    <row r="1473" spans="1:23" ht="22.95" customHeight="1" x14ac:dyDescent="0.4">
      <c r="A1473" s="788">
        <v>1472</v>
      </c>
      <c r="B1473" s="246" t="s">
        <v>2616</v>
      </c>
      <c r="C1473" s="245" t="s">
        <v>24</v>
      </c>
      <c r="D1473" s="1134">
        <v>6514</v>
      </c>
      <c r="E1473" s="245" t="s">
        <v>4168</v>
      </c>
      <c r="F1473" s="245" t="s">
        <v>4105</v>
      </c>
      <c r="G1473" s="679">
        <v>2458</v>
      </c>
      <c r="H1473" s="245" t="s">
        <v>4057</v>
      </c>
      <c r="I1473" s="246" t="s">
        <v>3971</v>
      </c>
      <c r="J1473" s="648" t="s">
        <v>58</v>
      </c>
      <c r="K1473" s="649" t="s">
        <v>57</v>
      </c>
      <c r="L1473" s="1145">
        <v>0.6</v>
      </c>
      <c r="M1473" s="771" t="s">
        <v>4112</v>
      </c>
      <c r="N1473" s="827" t="s">
        <v>4066</v>
      </c>
      <c r="O1473" s="771"/>
      <c r="P1473" s="1272">
        <v>1</v>
      </c>
      <c r="Q1473" s="1512">
        <v>0.2</v>
      </c>
      <c r="R1473" s="1272"/>
      <c r="S1473" s="650">
        <f t="shared" si="44"/>
        <v>0</v>
      </c>
      <c r="T1473" s="701">
        <f t="shared" si="45"/>
        <v>0</v>
      </c>
      <c r="U1473" s="1272" t="s">
        <v>34</v>
      </c>
      <c r="V1473" s="1228"/>
      <c r="W1473" s="246"/>
    </row>
    <row r="1474" spans="1:23" ht="22.95" customHeight="1" x14ac:dyDescent="0.4">
      <c r="A1474" s="788">
        <v>1473</v>
      </c>
      <c r="B1474" s="246" t="s">
        <v>2616</v>
      </c>
      <c r="C1474" s="245" t="s">
        <v>24</v>
      </c>
      <c r="D1474" s="1134">
        <v>6514</v>
      </c>
      <c r="E1474" s="245" t="s">
        <v>4168</v>
      </c>
      <c r="F1474" s="245" t="s">
        <v>4105</v>
      </c>
      <c r="G1474" s="679">
        <v>2458</v>
      </c>
      <c r="H1474" s="245" t="s">
        <v>4057</v>
      </c>
      <c r="I1474" s="246" t="s">
        <v>3971</v>
      </c>
      <c r="J1474" s="648" t="s">
        <v>58</v>
      </c>
      <c r="K1474" s="649" t="s">
        <v>57</v>
      </c>
      <c r="L1474" s="1145">
        <v>0.6</v>
      </c>
      <c r="M1474" s="771" t="s">
        <v>4113</v>
      </c>
      <c r="N1474" s="827" t="s">
        <v>4114</v>
      </c>
      <c r="O1474" s="771"/>
      <c r="P1474" s="1272">
        <v>1</v>
      </c>
      <c r="Q1474" s="1512">
        <v>0.05</v>
      </c>
      <c r="R1474" s="1272"/>
      <c r="S1474" s="650">
        <f t="shared" ref="S1474:S1537" si="46">ROUND(IF(OR(P1474="",R1474=""),0,IF(AND(P1474=0,R1474=0),1,IF(U1474="+",R1474/P1474,P1474/R1474))),2)</f>
        <v>0</v>
      </c>
      <c r="T1474" s="701">
        <f t="shared" ref="T1474:T1537" si="47">IF(AND(S1474&gt;=60%,S1474&lt;100%),S1474*((Q1474*L1474)),IF(S1474=100%,((Q1474*L1474)*S1474)*100%,IF(S1474&gt;100%,((L1474*Q1474)*100%)*100%,0)))*100</f>
        <v>0</v>
      </c>
      <c r="U1474" s="1272" t="s">
        <v>34</v>
      </c>
      <c r="V1474" s="1228"/>
      <c r="W1474" s="246"/>
    </row>
    <row r="1475" spans="1:23" ht="22.95" customHeight="1" x14ac:dyDescent="0.4">
      <c r="A1475" s="788">
        <v>1474</v>
      </c>
      <c r="B1475" s="246" t="s">
        <v>2616</v>
      </c>
      <c r="C1475" s="245" t="s">
        <v>24</v>
      </c>
      <c r="D1475" s="1134">
        <v>6514</v>
      </c>
      <c r="E1475" s="245" t="s">
        <v>4168</v>
      </c>
      <c r="F1475" s="245" t="s">
        <v>4105</v>
      </c>
      <c r="G1475" s="679">
        <v>2458</v>
      </c>
      <c r="H1475" s="245" t="s">
        <v>4057</v>
      </c>
      <c r="I1475" s="246" t="s">
        <v>3971</v>
      </c>
      <c r="J1475" s="648" t="s">
        <v>58</v>
      </c>
      <c r="K1475" s="649" t="s">
        <v>57</v>
      </c>
      <c r="L1475" s="1145">
        <v>0.6</v>
      </c>
      <c r="M1475" s="771" t="s">
        <v>4115</v>
      </c>
      <c r="N1475" s="827" t="s">
        <v>4116</v>
      </c>
      <c r="O1475" s="771"/>
      <c r="P1475" s="1272">
        <v>1</v>
      </c>
      <c r="Q1475" s="1512">
        <v>0.1</v>
      </c>
      <c r="R1475" s="1272"/>
      <c r="S1475" s="650">
        <f t="shared" si="46"/>
        <v>0</v>
      </c>
      <c r="T1475" s="701">
        <f t="shared" si="47"/>
        <v>0</v>
      </c>
      <c r="U1475" s="1272" t="s">
        <v>34</v>
      </c>
      <c r="V1475" s="1228"/>
      <c r="W1475" s="246"/>
    </row>
    <row r="1476" spans="1:23" ht="22.95" customHeight="1" x14ac:dyDescent="0.4">
      <c r="A1476" s="788">
        <v>1475</v>
      </c>
      <c r="B1476" s="246" t="s">
        <v>2616</v>
      </c>
      <c r="C1476" s="245" t="s">
        <v>24</v>
      </c>
      <c r="D1476" s="1134">
        <v>6514</v>
      </c>
      <c r="E1476" s="245" t="s">
        <v>4168</v>
      </c>
      <c r="F1476" s="245" t="s">
        <v>4105</v>
      </c>
      <c r="G1476" s="679">
        <v>2458</v>
      </c>
      <c r="H1476" s="245" t="s">
        <v>4057</v>
      </c>
      <c r="I1476" s="246" t="s">
        <v>3971</v>
      </c>
      <c r="J1476" s="648" t="s">
        <v>58</v>
      </c>
      <c r="K1476" s="649" t="s">
        <v>57</v>
      </c>
      <c r="L1476" s="1145">
        <v>0.6</v>
      </c>
      <c r="M1476" s="771" t="s">
        <v>4117</v>
      </c>
      <c r="N1476" s="827" t="s">
        <v>4118</v>
      </c>
      <c r="O1476" s="771"/>
      <c r="P1476" s="1272">
        <v>1</v>
      </c>
      <c r="Q1476" s="1512">
        <v>0.05</v>
      </c>
      <c r="R1476" s="1272"/>
      <c r="S1476" s="650">
        <f t="shared" si="46"/>
        <v>0</v>
      </c>
      <c r="T1476" s="701">
        <f t="shared" si="47"/>
        <v>0</v>
      </c>
      <c r="U1476" s="1272" t="s">
        <v>34</v>
      </c>
      <c r="V1476" s="1228"/>
      <c r="W1476" s="246"/>
    </row>
    <row r="1477" spans="1:23" ht="22.95" customHeight="1" x14ac:dyDescent="0.4">
      <c r="A1477" s="788">
        <v>1476</v>
      </c>
      <c r="B1477" s="246" t="s">
        <v>2616</v>
      </c>
      <c r="C1477" s="245" t="s">
        <v>24</v>
      </c>
      <c r="D1477" s="1134">
        <v>6514</v>
      </c>
      <c r="E1477" s="245" t="s">
        <v>4168</v>
      </c>
      <c r="F1477" s="245" t="s">
        <v>4105</v>
      </c>
      <c r="G1477" s="679">
        <v>2458</v>
      </c>
      <c r="H1477" s="245" t="s">
        <v>4057</v>
      </c>
      <c r="I1477" s="246" t="s">
        <v>3971</v>
      </c>
      <c r="J1477" s="648" t="s">
        <v>58</v>
      </c>
      <c r="K1477" s="649" t="s">
        <v>57</v>
      </c>
      <c r="L1477" s="1145">
        <v>0.6</v>
      </c>
      <c r="M1477" s="771" t="s">
        <v>4119</v>
      </c>
      <c r="N1477" s="827" t="s">
        <v>4053</v>
      </c>
      <c r="O1477" s="771"/>
      <c r="P1477" s="1272">
        <v>1</v>
      </c>
      <c r="Q1477" s="1512">
        <v>0.05</v>
      </c>
      <c r="R1477" s="1272"/>
      <c r="S1477" s="650">
        <f t="shared" si="46"/>
        <v>0</v>
      </c>
      <c r="T1477" s="701">
        <f t="shared" si="47"/>
        <v>0</v>
      </c>
      <c r="U1477" s="1272" t="s">
        <v>34</v>
      </c>
      <c r="V1477" s="1228"/>
      <c r="W1477" s="246"/>
    </row>
    <row r="1478" spans="1:23" ht="22.95" customHeight="1" x14ac:dyDescent="0.4">
      <c r="A1478" s="788">
        <v>1477</v>
      </c>
      <c r="B1478" s="246" t="s">
        <v>2616</v>
      </c>
      <c r="C1478" s="245" t="s">
        <v>24</v>
      </c>
      <c r="D1478" s="1134">
        <v>6514</v>
      </c>
      <c r="E1478" s="245" t="s">
        <v>4168</v>
      </c>
      <c r="F1478" s="245" t="s">
        <v>4105</v>
      </c>
      <c r="G1478" s="679">
        <v>2458</v>
      </c>
      <c r="H1478" s="245" t="s">
        <v>4057</v>
      </c>
      <c r="I1478" s="246" t="s">
        <v>3971</v>
      </c>
      <c r="J1478" s="648" t="s">
        <v>58</v>
      </c>
      <c r="K1478" s="649" t="s">
        <v>57</v>
      </c>
      <c r="L1478" s="1145">
        <v>0.6</v>
      </c>
      <c r="M1478" s="771" t="s">
        <v>4120</v>
      </c>
      <c r="N1478" s="827" t="s">
        <v>4121</v>
      </c>
      <c r="O1478" s="771"/>
      <c r="P1478" s="1272">
        <v>1</v>
      </c>
      <c r="Q1478" s="1512">
        <v>0.05</v>
      </c>
      <c r="R1478" s="1272"/>
      <c r="S1478" s="650">
        <f t="shared" si="46"/>
        <v>0</v>
      </c>
      <c r="T1478" s="701">
        <f t="shared" si="47"/>
        <v>0</v>
      </c>
      <c r="U1478" s="1272" t="s">
        <v>34</v>
      </c>
      <c r="V1478" s="1228"/>
      <c r="W1478" s="246"/>
    </row>
    <row r="1479" spans="1:23" ht="22.95" customHeight="1" x14ac:dyDescent="0.4">
      <c r="A1479" s="788">
        <v>1478</v>
      </c>
      <c r="B1479" s="246" t="s">
        <v>2616</v>
      </c>
      <c r="C1479" s="245" t="s">
        <v>24</v>
      </c>
      <c r="D1479" s="1134">
        <v>6514</v>
      </c>
      <c r="E1479" s="245" t="s">
        <v>4168</v>
      </c>
      <c r="F1479" s="245" t="s">
        <v>4105</v>
      </c>
      <c r="G1479" s="679">
        <v>2458</v>
      </c>
      <c r="H1479" s="245" t="s">
        <v>4057</v>
      </c>
      <c r="I1479" s="246" t="s">
        <v>3971</v>
      </c>
      <c r="J1479" s="648" t="s">
        <v>58</v>
      </c>
      <c r="K1479" s="649" t="s">
        <v>57</v>
      </c>
      <c r="L1479" s="1145">
        <v>0.6</v>
      </c>
      <c r="M1479" s="771" t="s">
        <v>4120</v>
      </c>
      <c r="N1479" s="827" t="s">
        <v>4121</v>
      </c>
      <c r="O1479" s="771"/>
      <c r="P1479" s="1272">
        <v>1</v>
      </c>
      <c r="Q1479" s="1512">
        <v>0.1</v>
      </c>
      <c r="R1479" s="1272"/>
      <c r="S1479" s="650">
        <f t="shared" si="46"/>
        <v>0</v>
      </c>
      <c r="T1479" s="701">
        <f t="shared" si="47"/>
        <v>0</v>
      </c>
      <c r="U1479" s="1272" t="s">
        <v>34</v>
      </c>
      <c r="V1479" s="1228"/>
      <c r="W1479" s="246"/>
    </row>
    <row r="1480" spans="1:23" ht="22.95" customHeight="1" x14ac:dyDescent="0.4">
      <c r="A1480" s="788">
        <v>1479</v>
      </c>
      <c r="B1480" s="246" t="s">
        <v>2616</v>
      </c>
      <c r="C1480" s="245" t="s">
        <v>24</v>
      </c>
      <c r="D1480" s="1134">
        <v>6514</v>
      </c>
      <c r="E1480" s="245" t="s">
        <v>4168</v>
      </c>
      <c r="F1480" s="245" t="s">
        <v>4105</v>
      </c>
      <c r="G1480" s="679">
        <v>2458</v>
      </c>
      <c r="H1480" s="245" t="s">
        <v>4057</v>
      </c>
      <c r="I1480" s="246" t="s">
        <v>3971</v>
      </c>
      <c r="J1480" s="253" t="s">
        <v>111</v>
      </c>
      <c r="K1480" s="210" t="s">
        <v>110</v>
      </c>
      <c r="L1480" s="1145">
        <v>0.6</v>
      </c>
      <c r="M1480" s="771" t="s">
        <v>4122</v>
      </c>
      <c r="N1480" s="827" t="s">
        <v>3983</v>
      </c>
      <c r="O1480" s="771"/>
      <c r="P1480" s="1272">
        <v>1</v>
      </c>
      <c r="Q1480" s="1512">
        <v>0.05</v>
      </c>
      <c r="R1480" s="1272"/>
      <c r="S1480" s="650">
        <f t="shared" si="46"/>
        <v>0</v>
      </c>
      <c r="T1480" s="701">
        <f t="shared" si="47"/>
        <v>0</v>
      </c>
      <c r="U1480" s="1272" t="s">
        <v>34</v>
      </c>
      <c r="V1480" s="1228"/>
      <c r="W1480" s="246"/>
    </row>
    <row r="1481" spans="1:23" ht="22.95" customHeight="1" x14ac:dyDescent="0.4">
      <c r="A1481" s="788">
        <v>1480</v>
      </c>
      <c r="B1481" s="246" t="s">
        <v>2616</v>
      </c>
      <c r="C1481" s="245" t="s">
        <v>24</v>
      </c>
      <c r="D1481" s="1134">
        <v>6514</v>
      </c>
      <c r="E1481" s="245" t="s">
        <v>4168</v>
      </c>
      <c r="F1481" s="245" t="s">
        <v>4105</v>
      </c>
      <c r="G1481" s="679">
        <v>2458</v>
      </c>
      <c r="H1481" s="245" t="s">
        <v>4057</v>
      </c>
      <c r="I1481" s="246" t="s">
        <v>3971</v>
      </c>
      <c r="J1481" s="253" t="s">
        <v>111</v>
      </c>
      <c r="K1481" s="210" t="s">
        <v>110</v>
      </c>
      <c r="L1481" s="1145">
        <v>0.6</v>
      </c>
      <c r="M1481" s="771" t="s">
        <v>4123</v>
      </c>
      <c r="N1481" s="827" t="s">
        <v>4016</v>
      </c>
      <c r="O1481" s="771"/>
      <c r="P1481" s="1272">
        <v>1</v>
      </c>
      <c r="Q1481" s="1512">
        <v>0.05</v>
      </c>
      <c r="R1481" s="1272"/>
      <c r="S1481" s="650">
        <f t="shared" si="46"/>
        <v>0</v>
      </c>
      <c r="T1481" s="701">
        <f t="shared" si="47"/>
        <v>0</v>
      </c>
      <c r="U1481" s="1272" t="s">
        <v>34</v>
      </c>
      <c r="V1481" s="1228"/>
      <c r="W1481" s="246"/>
    </row>
    <row r="1482" spans="1:23" ht="22.95" customHeight="1" x14ac:dyDescent="0.4">
      <c r="A1482" s="788">
        <v>1481</v>
      </c>
      <c r="B1482" s="246" t="s">
        <v>2616</v>
      </c>
      <c r="C1482" s="245" t="s">
        <v>24</v>
      </c>
      <c r="D1482" s="1134">
        <v>6514</v>
      </c>
      <c r="E1482" s="245" t="s">
        <v>4168</v>
      </c>
      <c r="F1482" s="245" t="s">
        <v>4105</v>
      </c>
      <c r="G1482" s="679">
        <v>2458</v>
      </c>
      <c r="H1482" s="245" t="s">
        <v>4057</v>
      </c>
      <c r="I1482" s="246" t="s">
        <v>3971</v>
      </c>
      <c r="J1482" s="648" t="s">
        <v>111</v>
      </c>
      <c r="K1482" s="649" t="s">
        <v>110</v>
      </c>
      <c r="L1482" s="1063">
        <v>0.4</v>
      </c>
      <c r="M1482" s="1641" t="s">
        <v>1023</v>
      </c>
      <c r="N1482" s="827" t="s">
        <v>255</v>
      </c>
      <c r="O1482" s="1641"/>
      <c r="P1482" s="222">
        <v>1</v>
      </c>
      <c r="Q1482" s="1063">
        <v>0.05</v>
      </c>
      <c r="R1482" s="222"/>
      <c r="S1482" s="222">
        <f t="shared" si="46"/>
        <v>0</v>
      </c>
      <c r="T1482" s="765">
        <f t="shared" si="47"/>
        <v>0</v>
      </c>
      <c r="U1482" s="222" t="s">
        <v>34</v>
      </c>
      <c r="V1482" s="1228"/>
      <c r="W1482" s="246"/>
    </row>
    <row r="1483" spans="1:23" ht="22.95" customHeight="1" x14ac:dyDescent="0.4">
      <c r="A1483" s="788">
        <v>1482</v>
      </c>
      <c r="B1483" s="246" t="s">
        <v>2616</v>
      </c>
      <c r="C1483" s="245" t="s">
        <v>24</v>
      </c>
      <c r="D1483" s="1134">
        <v>6514</v>
      </c>
      <c r="E1483" s="245" t="s">
        <v>4168</v>
      </c>
      <c r="F1483" s="245" t="s">
        <v>4105</v>
      </c>
      <c r="G1483" s="679">
        <v>2458</v>
      </c>
      <c r="H1483" s="245" t="s">
        <v>4057</v>
      </c>
      <c r="I1483" s="246" t="s">
        <v>3971</v>
      </c>
      <c r="J1483" s="648" t="s">
        <v>111</v>
      </c>
      <c r="K1483" s="649" t="s">
        <v>110</v>
      </c>
      <c r="L1483" s="1063">
        <v>0.4</v>
      </c>
      <c r="M1483" s="1641" t="s">
        <v>4124</v>
      </c>
      <c r="N1483" s="827" t="s">
        <v>768</v>
      </c>
      <c r="O1483" s="1641"/>
      <c r="P1483" s="222">
        <v>1</v>
      </c>
      <c r="Q1483" s="1063">
        <v>0.05</v>
      </c>
      <c r="R1483" s="222"/>
      <c r="S1483" s="222">
        <f t="shared" si="46"/>
        <v>0</v>
      </c>
      <c r="T1483" s="765">
        <f t="shared" si="47"/>
        <v>0</v>
      </c>
      <c r="U1483" s="222" t="s">
        <v>34</v>
      </c>
      <c r="V1483" s="1228"/>
      <c r="W1483" s="246"/>
    </row>
    <row r="1484" spans="1:23" ht="22.95" customHeight="1" x14ac:dyDescent="0.4">
      <c r="A1484" s="788">
        <v>1483</v>
      </c>
      <c r="B1484" s="246" t="s">
        <v>2616</v>
      </c>
      <c r="C1484" s="245" t="s">
        <v>24</v>
      </c>
      <c r="D1484" s="1134">
        <v>6514</v>
      </c>
      <c r="E1484" s="245" t="s">
        <v>4168</v>
      </c>
      <c r="F1484" s="245" t="s">
        <v>4105</v>
      </c>
      <c r="G1484" s="679">
        <v>2458</v>
      </c>
      <c r="H1484" s="245" t="s">
        <v>4057</v>
      </c>
      <c r="I1484" s="246" t="s">
        <v>3971</v>
      </c>
      <c r="J1484" s="648" t="s">
        <v>111</v>
      </c>
      <c r="K1484" s="649" t="s">
        <v>110</v>
      </c>
      <c r="L1484" s="1063">
        <v>0.4</v>
      </c>
      <c r="M1484" s="1641" t="s">
        <v>4125</v>
      </c>
      <c r="N1484" s="827" t="s">
        <v>769</v>
      </c>
      <c r="O1484" s="1641"/>
      <c r="P1484" s="222">
        <v>1</v>
      </c>
      <c r="Q1484" s="1063">
        <v>0.05</v>
      </c>
      <c r="R1484" s="222"/>
      <c r="S1484" s="222">
        <f t="shared" si="46"/>
        <v>0</v>
      </c>
      <c r="T1484" s="765">
        <f t="shared" si="47"/>
        <v>0</v>
      </c>
      <c r="U1484" s="222" t="s">
        <v>34</v>
      </c>
      <c r="V1484" s="1228"/>
      <c r="W1484" s="246"/>
    </row>
    <row r="1485" spans="1:23" ht="22.95" customHeight="1" x14ac:dyDescent="0.4">
      <c r="A1485" s="788">
        <v>1484</v>
      </c>
      <c r="B1485" s="246" t="s">
        <v>2616</v>
      </c>
      <c r="C1485" s="245" t="s">
        <v>24</v>
      </c>
      <c r="D1485" s="1134">
        <v>6514</v>
      </c>
      <c r="E1485" s="245" t="s">
        <v>4168</v>
      </c>
      <c r="F1485" s="245" t="s">
        <v>4105</v>
      </c>
      <c r="G1485" s="679">
        <v>2458</v>
      </c>
      <c r="H1485" s="245" t="s">
        <v>4057</v>
      </c>
      <c r="I1485" s="246" t="s">
        <v>3971</v>
      </c>
      <c r="J1485" s="648" t="s">
        <v>111</v>
      </c>
      <c r="K1485" s="649" t="s">
        <v>110</v>
      </c>
      <c r="L1485" s="1063">
        <v>0.4</v>
      </c>
      <c r="M1485" s="1641" t="s">
        <v>4126</v>
      </c>
      <c r="N1485" s="827" t="s">
        <v>770</v>
      </c>
      <c r="O1485" s="1641"/>
      <c r="P1485" s="222">
        <v>1</v>
      </c>
      <c r="Q1485" s="1063">
        <v>0.1</v>
      </c>
      <c r="R1485" s="222"/>
      <c r="S1485" s="222">
        <f t="shared" si="46"/>
        <v>0</v>
      </c>
      <c r="T1485" s="765">
        <f t="shared" si="47"/>
        <v>0</v>
      </c>
      <c r="U1485" s="222" t="s">
        <v>34</v>
      </c>
      <c r="V1485" s="1228"/>
      <c r="W1485" s="246"/>
    </row>
    <row r="1486" spans="1:23" ht="22.95" customHeight="1" x14ac:dyDescent="0.4">
      <c r="A1486" s="788">
        <v>1485</v>
      </c>
      <c r="B1486" s="246" t="s">
        <v>2616</v>
      </c>
      <c r="C1486" s="245" t="s">
        <v>24</v>
      </c>
      <c r="D1486" s="1134">
        <v>6514</v>
      </c>
      <c r="E1486" s="245" t="s">
        <v>4168</v>
      </c>
      <c r="F1486" s="245" t="s">
        <v>4105</v>
      </c>
      <c r="G1486" s="679">
        <v>2458</v>
      </c>
      <c r="H1486" s="245" t="s">
        <v>4057</v>
      </c>
      <c r="I1486" s="246" t="s">
        <v>3971</v>
      </c>
      <c r="J1486" s="648" t="s">
        <v>111</v>
      </c>
      <c r="K1486" s="649" t="s">
        <v>110</v>
      </c>
      <c r="L1486" s="1063">
        <v>0.4</v>
      </c>
      <c r="M1486" s="1641" t="s">
        <v>4127</v>
      </c>
      <c r="N1486" s="827" t="s">
        <v>254</v>
      </c>
      <c r="O1486" s="1641"/>
      <c r="P1486" s="222">
        <v>1</v>
      </c>
      <c r="Q1486" s="1063">
        <v>0.05</v>
      </c>
      <c r="R1486" s="222"/>
      <c r="S1486" s="222">
        <f t="shared" si="46"/>
        <v>0</v>
      </c>
      <c r="T1486" s="765">
        <f t="shared" si="47"/>
        <v>0</v>
      </c>
      <c r="U1486" s="222" t="s">
        <v>34</v>
      </c>
      <c r="V1486" s="1228"/>
      <c r="W1486" s="246"/>
    </row>
    <row r="1487" spans="1:23" ht="22.95" customHeight="1" x14ac:dyDescent="0.4">
      <c r="A1487" s="788">
        <v>1486</v>
      </c>
      <c r="B1487" s="246" t="s">
        <v>2616</v>
      </c>
      <c r="C1487" s="245" t="s">
        <v>24</v>
      </c>
      <c r="D1487" s="1134">
        <v>6514</v>
      </c>
      <c r="E1487" s="245" t="s">
        <v>4168</v>
      </c>
      <c r="F1487" s="245" t="s">
        <v>4105</v>
      </c>
      <c r="G1487" s="679">
        <v>2458</v>
      </c>
      <c r="H1487" s="245" t="s">
        <v>4057</v>
      </c>
      <c r="I1487" s="246" t="s">
        <v>3971</v>
      </c>
      <c r="J1487" s="648" t="s">
        <v>111</v>
      </c>
      <c r="K1487" s="649" t="s">
        <v>110</v>
      </c>
      <c r="L1487" s="1063">
        <v>0.4</v>
      </c>
      <c r="M1487" s="1641" t="s">
        <v>4128</v>
      </c>
      <c r="N1487" s="827" t="s">
        <v>771</v>
      </c>
      <c r="O1487" s="1641"/>
      <c r="P1487" s="222">
        <v>1</v>
      </c>
      <c r="Q1487" s="1063">
        <v>0.05</v>
      </c>
      <c r="R1487" s="222"/>
      <c r="S1487" s="222">
        <f t="shared" si="46"/>
        <v>0</v>
      </c>
      <c r="T1487" s="765">
        <f t="shared" si="47"/>
        <v>0</v>
      </c>
      <c r="U1487" s="222" t="s">
        <v>34</v>
      </c>
      <c r="V1487" s="1228"/>
      <c r="W1487" s="246"/>
    </row>
    <row r="1488" spans="1:23" ht="22.95" customHeight="1" x14ac:dyDescent="0.4">
      <c r="A1488" s="788">
        <v>1487</v>
      </c>
      <c r="B1488" s="246" t="s">
        <v>2616</v>
      </c>
      <c r="C1488" s="245" t="s">
        <v>24</v>
      </c>
      <c r="D1488" s="1134">
        <v>6514</v>
      </c>
      <c r="E1488" s="245" t="s">
        <v>4168</v>
      </c>
      <c r="F1488" s="245" t="s">
        <v>4105</v>
      </c>
      <c r="G1488" s="679">
        <v>2458</v>
      </c>
      <c r="H1488" s="245" t="s">
        <v>4057</v>
      </c>
      <c r="I1488" s="246" t="s">
        <v>3971</v>
      </c>
      <c r="J1488" s="648" t="s">
        <v>111</v>
      </c>
      <c r="K1488" s="649" t="s">
        <v>110</v>
      </c>
      <c r="L1488" s="1063">
        <v>0.4</v>
      </c>
      <c r="M1488" s="1641" t="s">
        <v>4129</v>
      </c>
      <c r="N1488" s="827" t="s">
        <v>772</v>
      </c>
      <c r="O1488" s="1641"/>
      <c r="P1488" s="222">
        <v>1</v>
      </c>
      <c r="Q1488" s="1063">
        <v>0.1</v>
      </c>
      <c r="R1488" s="222"/>
      <c r="S1488" s="222">
        <f t="shared" si="46"/>
        <v>0</v>
      </c>
      <c r="T1488" s="765">
        <f t="shared" si="47"/>
        <v>0</v>
      </c>
      <c r="U1488" s="222" t="s">
        <v>34</v>
      </c>
      <c r="V1488" s="1228"/>
      <c r="W1488" s="246"/>
    </row>
    <row r="1489" spans="1:23" ht="22.95" customHeight="1" x14ac:dyDescent="0.4">
      <c r="A1489" s="788">
        <v>1488</v>
      </c>
      <c r="B1489" s="246" t="s">
        <v>2616</v>
      </c>
      <c r="C1489" s="245" t="s">
        <v>24</v>
      </c>
      <c r="D1489" s="1134">
        <v>6514</v>
      </c>
      <c r="E1489" s="245" t="s">
        <v>4168</v>
      </c>
      <c r="F1489" s="245" t="s">
        <v>4105</v>
      </c>
      <c r="G1489" s="679">
        <v>2458</v>
      </c>
      <c r="H1489" s="245" t="s">
        <v>4057</v>
      </c>
      <c r="I1489" s="246" t="s">
        <v>3971</v>
      </c>
      <c r="J1489" s="648" t="s">
        <v>111</v>
      </c>
      <c r="K1489" s="649" t="s">
        <v>110</v>
      </c>
      <c r="L1489" s="1063">
        <v>0.4</v>
      </c>
      <c r="M1489" s="1641" t="s">
        <v>4130</v>
      </c>
      <c r="N1489" s="827" t="s">
        <v>773</v>
      </c>
      <c r="O1489" s="1641"/>
      <c r="P1489" s="222">
        <v>1</v>
      </c>
      <c r="Q1489" s="1063">
        <v>0.05</v>
      </c>
      <c r="R1489" s="222"/>
      <c r="S1489" s="222">
        <f t="shared" si="46"/>
        <v>0</v>
      </c>
      <c r="T1489" s="765">
        <f t="shared" si="47"/>
        <v>0</v>
      </c>
      <c r="U1489" s="222" t="s">
        <v>34</v>
      </c>
      <c r="V1489" s="1228"/>
      <c r="W1489" s="246"/>
    </row>
    <row r="1490" spans="1:23" ht="22.95" customHeight="1" x14ac:dyDescent="0.4">
      <c r="A1490" s="788">
        <v>1489</v>
      </c>
      <c r="B1490" s="246" t="s">
        <v>2616</v>
      </c>
      <c r="C1490" s="245" t="s">
        <v>24</v>
      </c>
      <c r="D1490" s="1134">
        <v>6514</v>
      </c>
      <c r="E1490" s="245" t="s">
        <v>4168</v>
      </c>
      <c r="F1490" s="245" t="s">
        <v>4105</v>
      </c>
      <c r="G1490" s="679">
        <v>2458</v>
      </c>
      <c r="H1490" s="245" t="s">
        <v>4057</v>
      </c>
      <c r="I1490" s="246" t="s">
        <v>3971</v>
      </c>
      <c r="J1490" s="648" t="s">
        <v>111</v>
      </c>
      <c r="K1490" s="649" t="s">
        <v>110</v>
      </c>
      <c r="L1490" s="1063">
        <v>0.4</v>
      </c>
      <c r="M1490" s="1641" t="s">
        <v>4131</v>
      </c>
      <c r="N1490" s="827" t="s">
        <v>774</v>
      </c>
      <c r="O1490" s="1641"/>
      <c r="P1490" s="222">
        <v>1</v>
      </c>
      <c r="Q1490" s="1063">
        <v>0.05</v>
      </c>
      <c r="R1490" s="222"/>
      <c r="S1490" s="222">
        <f t="shared" si="46"/>
        <v>0</v>
      </c>
      <c r="T1490" s="765">
        <f t="shared" si="47"/>
        <v>0</v>
      </c>
      <c r="U1490" s="222" t="s">
        <v>34</v>
      </c>
      <c r="V1490" s="1228"/>
      <c r="W1490" s="246"/>
    </row>
    <row r="1491" spans="1:23" ht="22.95" customHeight="1" x14ac:dyDescent="0.4">
      <c r="A1491" s="788">
        <v>1490</v>
      </c>
      <c r="B1491" s="246" t="s">
        <v>2616</v>
      </c>
      <c r="C1491" s="245" t="s">
        <v>24</v>
      </c>
      <c r="D1491" s="1134">
        <v>6514</v>
      </c>
      <c r="E1491" s="245" t="s">
        <v>4168</v>
      </c>
      <c r="F1491" s="245" t="s">
        <v>4105</v>
      </c>
      <c r="G1491" s="679">
        <v>2458</v>
      </c>
      <c r="H1491" s="245" t="s">
        <v>4057</v>
      </c>
      <c r="I1491" s="246" t="s">
        <v>3971</v>
      </c>
      <c r="J1491" s="648" t="s">
        <v>111</v>
      </c>
      <c r="K1491" s="649" t="s">
        <v>110</v>
      </c>
      <c r="L1491" s="1063">
        <v>0.4</v>
      </c>
      <c r="M1491" s="1641" t="s">
        <v>4132</v>
      </c>
      <c r="N1491" s="827" t="s">
        <v>775</v>
      </c>
      <c r="O1491" s="1641"/>
      <c r="P1491" s="222">
        <v>1</v>
      </c>
      <c r="Q1491" s="1063">
        <v>0.05</v>
      </c>
      <c r="R1491" s="222"/>
      <c r="S1491" s="222">
        <f t="shared" si="46"/>
        <v>0</v>
      </c>
      <c r="T1491" s="765">
        <f t="shared" si="47"/>
        <v>0</v>
      </c>
      <c r="U1491" s="222" t="s">
        <v>34</v>
      </c>
      <c r="V1491" s="1228"/>
      <c r="W1491" s="246"/>
    </row>
    <row r="1492" spans="1:23" ht="22.95" customHeight="1" x14ac:dyDescent="0.4">
      <c r="A1492" s="788">
        <v>1491</v>
      </c>
      <c r="B1492" s="246" t="s">
        <v>2616</v>
      </c>
      <c r="C1492" s="245" t="s">
        <v>24</v>
      </c>
      <c r="D1492" s="1134">
        <v>6514</v>
      </c>
      <c r="E1492" s="245" t="s">
        <v>4168</v>
      </c>
      <c r="F1492" s="245" t="s">
        <v>4105</v>
      </c>
      <c r="G1492" s="679">
        <v>2458</v>
      </c>
      <c r="H1492" s="245" t="s">
        <v>4057</v>
      </c>
      <c r="I1492" s="246" t="s">
        <v>3971</v>
      </c>
      <c r="J1492" s="648" t="s">
        <v>111</v>
      </c>
      <c r="K1492" s="649" t="s">
        <v>110</v>
      </c>
      <c r="L1492" s="1063">
        <v>0.4</v>
      </c>
      <c r="M1492" s="1641" t="s">
        <v>4133</v>
      </c>
      <c r="N1492" s="827" t="s">
        <v>776</v>
      </c>
      <c r="O1492" s="1641"/>
      <c r="P1492" s="222">
        <v>1</v>
      </c>
      <c r="Q1492" s="1063">
        <v>0.1</v>
      </c>
      <c r="R1492" s="222"/>
      <c r="S1492" s="222">
        <f t="shared" si="46"/>
        <v>0</v>
      </c>
      <c r="T1492" s="765">
        <f t="shared" si="47"/>
        <v>0</v>
      </c>
      <c r="U1492" s="222" t="s">
        <v>34</v>
      </c>
      <c r="V1492" s="1228"/>
      <c r="W1492" s="246"/>
    </row>
    <row r="1493" spans="1:23" ht="22.95" customHeight="1" x14ac:dyDescent="0.4">
      <c r="A1493" s="788">
        <v>1492</v>
      </c>
      <c r="B1493" s="246" t="s">
        <v>2616</v>
      </c>
      <c r="C1493" s="245" t="s">
        <v>24</v>
      </c>
      <c r="D1493" s="1134">
        <v>6514</v>
      </c>
      <c r="E1493" s="245" t="s">
        <v>4168</v>
      </c>
      <c r="F1493" s="245" t="s">
        <v>4105</v>
      </c>
      <c r="G1493" s="679">
        <v>2458</v>
      </c>
      <c r="H1493" s="245" t="s">
        <v>4057</v>
      </c>
      <c r="I1493" s="246" t="s">
        <v>3971</v>
      </c>
      <c r="J1493" s="648" t="s">
        <v>111</v>
      </c>
      <c r="K1493" s="649" t="s">
        <v>110</v>
      </c>
      <c r="L1493" s="1063">
        <v>0.4</v>
      </c>
      <c r="M1493" s="1641" t="s">
        <v>1027</v>
      </c>
      <c r="N1493" s="827" t="s">
        <v>251</v>
      </c>
      <c r="O1493" s="1641"/>
      <c r="P1493" s="222">
        <v>1</v>
      </c>
      <c r="Q1493" s="1063">
        <v>0.05</v>
      </c>
      <c r="R1493" s="222"/>
      <c r="S1493" s="222">
        <f t="shared" si="46"/>
        <v>0</v>
      </c>
      <c r="T1493" s="765">
        <f t="shared" si="47"/>
        <v>0</v>
      </c>
      <c r="U1493" s="222" t="s">
        <v>34</v>
      </c>
      <c r="V1493" s="1228"/>
      <c r="W1493" s="246"/>
    </row>
    <row r="1494" spans="1:23" ht="22.95" customHeight="1" x14ac:dyDescent="0.4">
      <c r="A1494" s="788">
        <v>1493</v>
      </c>
      <c r="B1494" s="246" t="s">
        <v>2616</v>
      </c>
      <c r="C1494" s="245" t="s">
        <v>24</v>
      </c>
      <c r="D1494" s="1134">
        <v>6514</v>
      </c>
      <c r="E1494" s="245" t="s">
        <v>4168</v>
      </c>
      <c r="F1494" s="245" t="s">
        <v>4105</v>
      </c>
      <c r="G1494" s="679">
        <v>2458</v>
      </c>
      <c r="H1494" s="245" t="s">
        <v>4057</v>
      </c>
      <c r="I1494" s="246" t="s">
        <v>3971</v>
      </c>
      <c r="J1494" s="648" t="s">
        <v>111</v>
      </c>
      <c r="K1494" s="649" t="s">
        <v>110</v>
      </c>
      <c r="L1494" s="1063">
        <v>0.4</v>
      </c>
      <c r="M1494" s="1641" t="s">
        <v>4134</v>
      </c>
      <c r="N1494" s="827" t="s">
        <v>252</v>
      </c>
      <c r="O1494" s="1641"/>
      <c r="P1494" s="222">
        <v>1</v>
      </c>
      <c r="Q1494" s="1063">
        <v>0.15</v>
      </c>
      <c r="R1494" s="222"/>
      <c r="S1494" s="222">
        <f t="shared" si="46"/>
        <v>0</v>
      </c>
      <c r="T1494" s="765">
        <f t="shared" si="47"/>
        <v>0</v>
      </c>
      <c r="U1494" s="222" t="s">
        <v>34</v>
      </c>
      <c r="V1494" s="1228"/>
      <c r="W1494" s="246"/>
    </row>
    <row r="1495" spans="1:23" ht="22.95" customHeight="1" x14ac:dyDescent="0.4">
      <c r="A1495" s="788">
        <v>1494</v>
      </c>
      <c r="B1495" s="246" t="s">
        <v>2616</v>
      </c>
      <c r="C1495" s="245" t="s">
        <v>24</v>
      </c>
      <c r="D1495" s="1134">
        <v>6514</v>
      </c>
      <c r="E1495" s="245" t="s">
        <v>4168</v>
      </c>
      <c r="F1495" s="245" t="s">
        <v>4105</v>
      </c>
      <c r="G1495" s="679">
        <v>2458</v>
      </c>
      <c r="H1495" s="245" t="s">
        <v>4057</v>
      </c>
      <c r="I1495" s="246" t="s">
        <v>3971</v>
      </c>
      <c r="J1495" s="648" t="s">
        <v>111</v>
      </c>
      <c r="K1495" s="649" t="s">
        <v>110</v>
      </c>
      <c r="L1495" s="1063">
        <v>0.4</v>
      </c>
      <c r="M1495" s="1641" t="s">
        <v>4135</v>
      </c>
      <c r="N1495" s="827" t="s">
        <v>777</v>
      </c>
      <c r="O1495" s="1641"/>
      <c r="P1495" s="222">
        <v>1</v>
      </c>
      <c r="Q1495" s="1063">
        <v>0.05</v>
      </c>
      <c r="R1495" s="222"/>
      <c r="S1495" s="222">
        <f t="shared" si="46"/>
        <v>0</v>
      </c>
      <c r="T1495" s="765">
        <f t="shared" si="47"/>
        <v>0</v>
      </c>
      <c r="U1495" s="222" t="s">
        <v>34</v>
      </c>
      <c r="V1495" s="1228"/>
      <c r="W1495" s="246"/>
    </row>
    <row r="1496" spans="1:23" ht="22.95" customHeight="1" x14ac:dyDescent="0.4">
      <c r="A1496" s="788">
        <v>1495</v>
      </c>
      <c r="B1496" s="246" t="s">
        <v>2616</v>
      </c>
      <c r="C1496" s="245" t="s">
        <v>24</v>
      </c>
      <c r="D1496" s="1134">
        <v>6514</v>
      </c>
      <c r="E1496" s="245" t="s">
        <v>4168</v>
      </c>
      <c r="F1496" s="245" t="s">
        <v>4105</v>
      </c>
      <c r="G1496" s="679">
        <v>2458</v>
      </c>
      <c r="H1496" s="245" t="s">
        <v>4057</v>
      </c>
      <c r="I1496" s="246" t="s">
        <v>3971</v>
      </c>
      <c r="J1496" s="648" t="s">
        <v>111</v>
      </c>
      <c r="K1496" s="649" t="s">
        <v>110</v>
      </c>
      <c r="L1496" s="1063">
        <v>0.4</v>
      </c>
      <c r="M1496" s="1641" t="s">
        <v>4136</v>
      </c>
      <c r="N1496" s="827" t="s">
        <v>253</v>
      </c>
      <c r="O1496" s="1641"/>
      <c r="P1496" s="222">
        <v>1</v>
      </c>
      <c r="Q1496" s="1063">
        <v>0.05</v>
      </c>
      <c r="R1496" s="222"/>
      <c r="S1496" s="222">
        <f t="shared" si="46"/>
        <v>0</v>
      </c>
      <c r="T1496" s="765">
        <f t="shared" si="47"/>
        <v>0</v>
      </c>
      <c r="U1496" s="222" t="s">
        <v>34</v>
      </c>
      <c r="V1496" s="1228"/>
      <c r="W1496" s="246"/>
    </row>
    <row r="1497" spans="1:23" ht="22.95" customHeight="1" x14ac:dyDescent="0.4">
      <c r="A1497" s="788">
        <v>1496</v>
      </c>
      <c r="B1497" s="187" t="s">
        <v>2616</v>
      </c>
      <c r="C1497" s="187" t="s">
        <v>24</v>
      </c>
      <c r="D1497" s="1334">
        <v>6541</v>
      </c>
      <c r="E1497" s="187" t="s">
        <v>4169</v>
      </c>
      <c r="F1497" s="187" t="s">
        <v>4170</v>
      </c>
      <c r="G1497" s="674">
        <v>3606</v>
      </c>
      <c r="H1497" s="187" t="s">
        <v>1015</v>
      </c>
      <c r="I1497" s="187" t="s">
        <v>1016</v>
      </c>
      <c r="J1497" s="1643" t="s">
        <v>58</v>
      </c>
      <c r="K1497" s="187" t="s">
        <v>57</v>
      </c>
      <c r="L1497" s="1054">
        <v>1</v>
      </c>
      <c r="M1497" s="1644" t="s">
        <v>4171</v>
      </c>
      <c r="N1497" s="653" t="s">
        <v>4172</v>
      </c>
      <c r="O1497" s="1645"/>
      <c r="P1497" s="835">
        <v>1</v>
      </c>
      <c r="Q1497" s="1054">
        <v>0.4</v>
      </c>
      <c r="R1497" s="835"/>
      <c r="S1497" s="644">
        <f t="shared" si="46"/>
        <v>0</v>
      </c>
      <c r="T1497" s="834">
        <f t="shared" si="47"/>
        <v>0</v>
      </c>
      <c r="U1497" s="835" t="s">
        <v>34</v>
      </c>
      <c r="V1497" s="1133">
        <f>SUM(T1497:T1503)%</f>
        <v>0</v>
      </c>
      <c r="W1497" s="835"/>
    </row>
    <row r="1498" spans="1:23" ht="22.95" customHeight="1" x14ac:dyDescent="0.4">
      <c r="A1498" s="788">
        <v>1497</v>
      </c>
      <c r="B1498" s="199" t="s">
        <v>2616</v>
      </c>
      <c r="C1498" s="199" t="s">
        <v>24</v>
      </c>
      <c r="D1498" s="1336">
        <v>6541</v>
      </c>
      <c r="E1498" s="199" t="s">
        <v>4169</v>
      </c>
      <c r="F1498" s="199" t="s">
        <v>4170</v>
      </c>
      <c r="G1498" s="679">
        <v>3606</v>
      </c>
      <c r="H1498" s="199" t="s">
        <v>1015</v>
      </c>
      <c r="I1498" s="199" t="s">
        <v>1016</v>
      </c>
      <c r="J1498" s="1646" t="s">
        <v>58</v>
      </c>
      <c r="K1498" s="692" t="s">
        <v>57</v>
      </c>
      <c r="L1498" s="1201">
        <v>1</v>
      </c>
      <c r="M1498" s="1647" t="s">
        <v>4173</v>
      </c>
      <c r="N1498" s="79" t="s">
        <v>4174</v>
      </c>
      <c r="O1498" s="1648"/>
      <c r="P1498" s="231">
        <v>1</v>
      </c>
      <c r="Q1498" s="1201">
        <v>0.2</v>
      </c>
      <c r="R1498" s="231"/>
      <c r="S1498" s="647">
        <f t="shared" si="46"/>
        <v>0</v>
      </c>
      <c r="T1498" s="764">
        <f t="shared" si="47"/>
        <v>0</v>
      </c>
      <c r="U1498" s="231" t="s">
        <v>34</v>
      </c>
      <c r="V1498" s="1228"/>
      <c r="W1498" s="799"/>
    </row>
    <row r="1499" spans="1:23" ht="22.95" customHeight="1" x14ac:dyDescent="0.4">
      <c r="A1499" s="788">
        <v>1498</v>
      </c>
      <c r="B1499" s="199" t="s">
        <v>2616</v>
      </c>
      <c r="C1499" s="199" t="s">
        <v>24</v>
      </c>
      <c r="D1499" s="1336">
        <v>6541</v>
      </c>
      <c r="E1499" s="199" t="s">
        <v>4169</v>
      </c>
      <c r="F1499" s="199" t="s">
        <v>4170</v>
      </c>
      <c r="G1499" s="679">
        <v>3606</v>
      </c>
      <c r="H1499" s="199" t="s">
        <v>1015</v>
      </c>
      <c r="I1499" s="199" t="s">
        <v>1016</v>
      </c>
      <c r="J1499" s="1646" t="s">
        <v>58</v>
      </c>
      <c r="K1499" s="692" t="s">
        <v>57</v>
      </c>
      <c r="L1499" s="1201">
        <v>1</v>
      </c>
      <c r="M1499" s="1647" t="s">
        <v>4175</v>
      </c>
      <c r="N1499" s="79" t="s">
        <v>4176</v>
      </c>
      <c r="O1499" s="1646"/>
      <c r="P1499" s="231">
        <v>1</v>
      </c>
      <c r="Q1499" s="1201">
        <v>0.08</v>
      </c>
      <c r="R1499" s="231"/>
      <c r="S1499" s="647">
        <f t="shared" si="46"/>
        <v>0</v>
      </c>
      <c r="T1499" s="764">
        <f t="shared" si="47"/>
        <v>0</v>
      </c>
      <c r="U1499" s="231" t="s">
        <v>34</v>
      </c>
      <c r="V1499" s="1228"/>
      <c r="W1499" s="799"/>
    </row>
    <row r="1500" spans="1:23" ht="22.95" customHeight="1" x14ac:dyDescent="0.4">
      <c r="A1500" s="788">
        <v>1499</v>
      </c>
      <c r="B1500" s="199" t="s">
        <v>2616</v>
      </c>
      <c r="C1500" s="199" t="s">
        <v>24</v>
      </c>
      <c r="D1500" s="1336">
        <v>6541</v>
      </c>
      <c r="E1500" s="199" t="s">
        <v>4169</v>
      </c>
      <c r="F1500" s="199" t="s">
        <v>4170</v>
      </c>
      <c r="G1500" s="679">
        <v>3606</v>
      </c>
      <c r="H1500" s="199" t="s">
        <v>1015</v>
      </c>
      <c r="I1500" s="199" t="s">
        <v>1016</v>
      </c>
      <c r="J1500" s="1646" t="s">
        <v>58</v>
      </c>
      <c r="K1500" s="692" t="s">
        <v>57</v>
      </c>
      <c r="L1500" s="1201">
        <v>1</v>
      </c>
      <c r="M1500" s="1647" t="s">
        <v>4177</v>
      </c>
      <c r="N1500" s="79" t="s">
        <v>4178</v>
      </c>
      <c r="O1500" s="1646"/>
      <c r="P1500" s="231">
        <v>1</v>
      </c>
      <c r="Q1500" s="1201">
        <v>0.08</v>
      </c>
      <c r="R1500" s="231"/>
      <c r="S1500" s="647">
        <f t="shared" si="46"/>
        <v>0</v>
      </c>
      <c r="T1500" s="764">
        <f t="shared" si="47"/>
        <v>0</v>
      </c>
      <c r="U1500" s="231" t="s">
        <v>34</v>
      </c>
      <c r="V1500" s="1228"/>
      <c r="W1500" s="799"/>
    </row>
    <row r="1501" spans="1:23" ht="22.95" customHeight="1" x14ac:dyDescent="0.4">
      <c r="A1501" s="788">
        <v>1500</v>
      </c>
      <c r="B1501" s="199" t="s">
        <v>2616</v>
      </c>
      <c r="C1501" s="199" t="s">
        <v>24</v>
      </c>
      <c r="D1501" s="1336">
        <v>6541</v>
      </c>
      <c r="E1501" s="199" t="s">
        <v>4169</v>
      </c>
      <c r="F1501" s="199" t="s">
        <v>4170</v>
      </c>
      <c r="G1501" s="679">
        <v>3606</v>
      </c>
      <c r="H1501" s="199" t="s">
        <v>1015</v>
      </c>
      <c r="I1501" s="199" t="s">
        <v>1016</v>
      </c>
      <c r="J1501" s="1646" t="s">
        <v>58</v>
      </c>
      <c r="K1501" s="692" t="s">
        <v>57</v>
      </c>
      <c r="L1501" s="1201">
        <v>1</v>
      </c>
      <c r="M1501" s="1647" t="s">
        <v>4179</v>
      </c>
      <c r="N1501" s="79" t="s">
        <v>4180</v>
      </c>
      <c r="O1501" s="1646"/>
      <c r="P1501" s="231">
        <v>1</v>
      </c>
      <c r="Q1501" s="1201">
        <v>0.08</v>
      </c>
      <c r="R1501" s="231"/>
      <c r="S1501" s="647">
        <f t="shared" si="46"/>
        <v>0</v>
      </c>
      <c r="T1501" s="764">
        <f t="shared" si="47"/>
        <v>0</v>
      </c>
      <c r="U1501" s="231" t="s">
        <v>34</v>
      </c>
      <c r="V1501" s="1228"/>
      <c r="W1501" s="799"/>
    </row>
    <row r="1502" spans="1:23" ht="22.95" customHeight="1" x14ac:dyDescent="0.4">
      <c r="A1502" s="788">
        <v>1501</v>
      </c>
      <c r="B1502" s="199" t="s">
        <v>2616</v>
      </c>
      <c r="C1502" s="199" t="s">
        <v>24</v>
      </c>
      <c r="D1502" s="1336">
        <v>6541</v>
      </c>
      <c r="E1502" s="199" t="s">
        <v>4169</v>
      </c>
      <c r="F1502" s="199" t="s">
        <v>4170</v>
      </c>
      <c r="G1502" s="679">
        <v>3606</v>
      </c>
      <c r="H1502" s="199" t="s">
        <v>1015</v>
      </c>
      <c r="I1502" s="199" t="s">
        <v>1016</v>
      </c>
      <c r="J1502" s="1646" t="s">
        <v>58</v>
      </c>
      <c r="K1502" s="692" t="s">
        <v>57</v>
      </c>
      <c r="L1502" s="1201">
        <v>1</v>
      </c>
      <c r="M1502" s="1647" t="s">
        <v>4181</v>
      </c>
      <c r="N1502" s="79" t="s">
        <v>4182</v>
      </c>
      <c r="O1502" s="1646"/>
      <c r="P1502" s="231">
        <v>1</v>
      </c>
      <c r="Q1502" s="1201">
        <v>0.08</v>
      </c>
      <c r="R1502" s="231"/>
      <c r="S1502" s="647">
        <f t="shared" si="46"/>
        <v>0</v>
      </c>
      <c r="T1502" s="764">
        <f t="shared" si="47"/>
        <v>0</v>
      </c>
      <c r="U1502" s="231" t="s">
        <v>34</v>
      </c>
      <c r="V1502" s="1228"/>
      <c r="W1502" s="799"/>
    </row>
    <row r="1503" spans="1:23" ht="22.95" customHeight="1" x14ac:dyDescent="0.4">
      <c r="A1503" s="788">
        <v>1502</v>
      </c>
      <c r="B1503" s="199" t="s">
        <v>2616</v>
      </c>
      <c r="C1503" s="199" t="s">
        <v>24</v>
      </c>
      <c r="D1503" s="1336">
        <v>6541</v>
      </c>
      <c r="E1503" s="199" t="s">
        <v>4169</v>
      </c>
      <c r="F1503" s="199" t="s">
        <v>4170</v>
      </c>
      <c r="G1503" s="679">
        <v>3606</v>
      </c>
      <c r="H1503" s="199" t="s">
        <v>1015</v>
      </c>
      <c r="I1503" s="199" t="s">
        <v>1016</v>
      </c>
      <c r="J1503" s="1646" t="s">
        <v>58</v>
      </c>
      <c r="K1503" s="692" t="s">
        <v>57</v>
      </c>
      <c r="L1503" s="1201">
        <v>1</v>
      </c>
      <c r="M1503" s="1647" t="s">
        <v>1028</v>
      </c>
      <c r="N1503" s="79" t="s">
        <v>1029</v>
      </c>
      <c r="O1503" s="1646"/>
      <c r="P1503" s="231">
        <v>1</v>
      </c>
      <c r="Q1503" s="1201">
        <v>0.08</v>
      </c>
      <c r="R1503" s="231"/>
      <c r="S1503" s="647">
        <f t="shared" si="46"/>
        <v>0</v>
      </c>
      <c r="T1503" s="764">
        <f t="shared" si="47"/>
        <v>0</v>
      </c>
      <c r="U1503" s="231" t="s">
        <v>34</v>
      </c>
      <c r="V1503" s="1228"/>
      <c r="W1503" s="799"/>
    </row>
    <row r="1504" spans="1:23" ht="22.95" customHeight="1" x14ac:dyDescent="0.4">
      <c r="A1504" s="788">
        <v>1503</v>
      </c>
      <c r="B1504" s="187" t="s">
        <v>2616</v>
      </c>
      <c r="C1504" s="187" t="s">
        <v>24</v>
      </c>
      <c r="D1504" s="1200">
        <v>6205</v>
      </c>
      <c r="E1504" s="653" t="s">
        <v>4183</v>
      </c>
      <c r="F1504" s="653" t="s">
        <v>4184</v>
      </c>
      <c r="G1504" s="674">
        <v>3606</v>
      </c>
      <c r="H1504" s="653" t="s">
        <v>1015</v>
      </c>
      <c r="I1504" s="653" t="s">
        <v>1016</v>
      </c>
      <c r="J1504" s="653" t="s">
        <v>58</v>
      </c>
      <c r="K1504" s="187" t="s">
        <v>57</v>
      </c>
      <c r="L1504" s="1297">
        <v>0.5</v>
      </c>
      <c r="M1504" s="653"/>
      <c r="N1504" s="653" t="s">
        <v>4185</v>
      </c>
      <c r="O1504" s="653" t="s">
        <v>4186</v>
      </c>
      <c r="P1504" s="794">
        <v>1</v>
      </c>
      <c r="Q1504" s="1535">
        <v>0.1</v>
      </c>
      <c r="R1504" s="794"/>
      <c r="S1504" s="644">
        <f t="shared" si="46"/>
        <v>0</v>
      </c>
      <c r="T1504" s="295">
        <f t="shared" si="47"/>
        <v>0</v>
      </c>
      <c r="U1504" s="295" t="s">
        <v>34</v>
      </c>
      <c r="V1504" s="1133">
        <f>SUM(T1504:T1518)%</f>
        <v>0</v>
      </c>
      <c r="W1504" s="835"/>
    </row>
    <row r="1505" spans="1:23" ht="22.95" customHeight="1" x14ac:dyDescent="0.4">
      <c r="A1505" s="788">
        <v>1504</v>
      </c>
      <c r="B1505" s="199" t="s">
        <v>2616</v>
      </c>
      <c r="C1505" s="199" t="s">
        <v>24</v>
      </c>
      <c r="D1505" s="1082">
        <v>6205</v>
      </c>
      <c r="E1505" s="649" t="s">
        <v>4183</v>
      </c>
      <c r="F1505" s="649" t="s">
        <v>4184</v>
      </c>
      <c r="G1505" s="679">
        <v>3606</v>
      </c>
      <c r="H1505" s="649" t="s">
        <v>1015</v>
      </c>
      <c r="I1505" s="649" t="s">
        <v>1016</v>
      </c>
      <c r="J1505" s="79" t="s">
        <v>58</v>
      </c>
      <c r="K1505" s="692" t="s">
        <v>57</v>
      </c>
      <c r="L1505" s="1301">
        <v>0.5</v>
      </c>
      <c r="M1505" s="79"/>
      <c r="N1505" s="79" t="s">
        <v>4187</v>
      </c>
      <c r="O1505" s="1009" t="s">
        <v>4188</v>
      </c>
      <c r="P1505" s="815">
        <v>1</v>
      </c>
      <c r="Q1505" s="1537">
        <v>0.08</v>
      </c>
      <c r="R1505" s="815"/>
      <c r="S1505" s="647">
        <f t="shared" si="46"/>
        <v>0</v>
      </c>
      <c r="T1505" s="1400">
        <f t="shared" si="47"/>
        <v>0</v>
      </c>
      <c r="U1505" s="1400" t="s">
        <v>34</v>
      </c>
      <c r="V1505" s="1228"/>
      <c r="W1505" s="799"/>
    </row>
    <row r="1506" spans="1:23" ht="22.95" customHeight="1" x14ac:dyDescent="0.4">
      <c r="A1506" s="788">
        <v>1505</v>
      </c>
      <c r="B1506" s="199" t="s">
        <v>2616</v>
      </c>
      <c r="C1506" s="199" t="s">
        <v>24</v>
      </c>
      <c r="D1506" s="1082">
        <v>6205</v>
      </c>
      <c r="E1506" s="649" t="s">
        <v>4183</v>
      </c>
      <c r="F1506" s="649" t="s">
        <v>4184</v>
      </c>
      <c r="G1506" s="679">
        <v>3606</v>
      </c>
      <c r="H1506" s="649" t="s">
        <v>1015</v>
      </c>
      <c r="I1506" s="649" t="s">
        <v>1016</v>
      </c>
      <c r="J1506" s="79" t="s">
        <v>58</v>
      </c>
      <c r="K1506" s="692" t="s">
        <v>57</v>
      </c>
      <c r="L1506" s="1301">
        <v>0.5</v>
      </c>
      <c r="M1506" s="79"/>
      <c r="N1506" s="79" t="s">
        <v>4189</v>
      </c>
      <c r="O1506" s="79" t="s">
        <v>4190</v>
      </c>
      <c r="P1506" s="815">
        <v>1</v>
      </c>
      <c r="Q1506" s="1537">
        <v>0.1</v>
      </c>
      <c r="R1506" s="815"/>
      <c r="S1506" s="647">
        <f t="shared" si="46"/>
        <v>0</v>
      </c>
      <c r="T1506" s="1400">
        <f t="shared" si="47"/>
        <v>0</v>
      </c>
      <c r="U1506" s="1400" t="s">
        <v>34</v>
      </c>
      <c r="V1506" s="1228"/>
      <c r="W1506" s="799"/>
    </row>
    <row r="1507" spans="1:23" ht="22.95" customHeight="1" x14ac:dyDescent="0.4">
      <c r="A1507" s="788">
        <v>1506</v>
      </c>
      <c r="B1507" s="199" t="s">
        <v>2616</v>
      </c>
      <c r="C1507" s="199" t="s">
        <v>24</v>
      </c>
      <c r="D1507" s="1082">
        <v>6205</v>
      </c>
      <c r="E1507" s="649" t="s">
        <v>4183</v>
      </c>
      <c r="F1507" s="649" t="s">
        <v>4184</v>
      </c>
      <c r="G1507" s="679">
        <v>3606</v>
      </c>
      <c r="H1507" s="649" t="s">
        <v>1015</v>
      </c>
      <c r="I1507" s="649" t="s">
        <v>1016</v>
      </c>
      <c r="J1507" s="79" t="s">
        <v>58</v>
      </c>
      <c r="K1507" s="692" t="s">
        <v>57</v>
      </c>
      <c r="L1507" s="1301">
        <v>0.5</v>
      </c>
      <c r="M1507" s="79"/>
      <c r="N1507" s="79" t="s">
        <v>4191</v>
      </c>
      <c r="O1507" s="79" t="s">
        <v>4192</v>
      </c>
      <c r="P1507" s="815">
        <v>1</v>
      </c>
      <c r="Q1507" s="1537">
        <v>0.1</v>
      </c>
      <c r="R1507" s="815"/>
      <c r="S1507" s="647">
        <f t="shared" si="46"/>
        <v>0</v>
      </c>
      <c r="T1507" s="1400">
        <f t="shared" si="47"/>
        <v>0</v>
      </c>
      <c r="U1507" s="1400" t="s">
        <v>34</v>
      </c>
      <c r="V1507" s="1228"/>
      <c r="W1507" s="799"/>
    </row>
    <row r="1508" spans="1:23" ht="22.95" customHeight="1" x14ac:dyDescent="0.4">
      <c r="A1508" s="788">
        <v>1507</v>
      </c>
      <c r="B1508" s="199" t="s">
        <v>2616</v>
      </c>
      <c r="C1508" s="199" t="s">
        <v>24</v>
      </c>
      <c r="D1508" s="1082">
        <v>6205</v>
      </c>
      <c r="E1508" s="649" t="s">
        <v>4183</v>
      </c>
      <c r="F1508" s="649" t="s">
        <v>4184</v>
      </c>
      <c r="G1508" s="679">
        <v>3606</v>
      </c>
      <c r="H1508" s="649" t="s">
        <v>1015</v>
      </c>
      <c r="I1508" s="649" t="s">
        <v>1016</v>
      </c>
      <c r="J1508" s="79" t="s">
        <v>58</v>
      </c>
      <c r="K1508" s="692" t="s">
        <v>57</v>
      </c>
      <c r="L1508" s="1301">
        <v>0.5</v>
      </c>
      <c r="M1508" s="79"/>
      <c r="N1508" s="79" t="s">
        <v>4193</v>
      </c>
      <c r="O1508" s="79" t="s">
        <v>4194</v>
      </c>
      <c r="P1508" s="815">
        <v>1</v>
      </c>
      <c r="Q1508" s="1537">
        <v>0.1</v>
      </c>
      <c r="R1508" s="815"/>
      <c r="S1508" s="647">
        <f t="shared" si="46"/>
        <v>0</v>
      </c>
      <c r="T1508" s="1400">
        <f t="shared" si="47"/>
        <v>0</v>
      </c>
      <c r="U1508" s="1400" t="s">
        <v>34</v>
      </c>
      <c r="V1508" s="1228"/>
      <c r="W1508" s="799"/>
    </row>
    <row r="1509" spans="1:23" ht="22.95" customHeight="1" x14ac:dyDescent="0.4">
      <c r="A1509" s="788">
        <v>1508</v>
      </c>
      <c r="B1509" s="199" t="s">
        <v>2616</v>
      </c>
      <c r="C1509" s="199" t="s">
        <v>24</v>
      </c>
      <c r="D1509" s="1082">
        <v>6205</v>
      </c>
      <c r="E1509" s="649" t="s">
        <v>4183</v>
      </c>
      <c r="F1509" s="649" t="s">
        <v>4184</v>
      </c>
      <c r="G1509" s="679">
        <v>3606</v>
      </c>
      <c r="H1509" s="649" t="s">
        <v>1015</v>
      </c>
      <c r="I1509" s="649" t="s">
        <v>1016</v>
      </c>
      <c r="J1509" s="79" t="s">
        <v>58</v>
      </c>
      <c r="K1509" s="692" t="s">
        <v>57</v>
      </c>
      <c r="L1509" s="1301">
        <v>0.5</v>
      </c>
      <c r="M1509" s="79"/>
      <c r="N1509" s="79" t="s">
        <v>4195</v>
      </c>
      <c r="O1509" s="79" t="s">
        <v>4196</v>
      </c>
      <c r="P1509" s="815">
        <v>1</v>
      </c>
      <c r="Q1509" s="1537">
        <v>0.05</v>
      </c>
      <c r="R1509" s="815"/>
      <c r="S1509" s="647">
        <f t="shared" si="46"/>
        <v>0</v>
      </c>
      <c r="T1509" s="1400">
        <f t="shared" si="47"/>
        <v>0</v>
      </c>
      <c r="U1509" s="1400" t="s">
        <v>34</v>
      </c>
      <c r="V1509" s="1228"/>
      <c r="W1509" s="799"/>
    </row>
    <row r="1510" spans="1:23" ht="22.95" customHeight="1" x14ac:dyDescent="0.4">
      <c r="A1510" s="788">
        <v>1509</v>
      </c>
      <c r="B1510" s="199" t="s">
        <v>2616</v>
      </c>
      <c r="C1510" s="199" t="s">
        <v>24</v>
      </c>
      <c r="D1510" s="1082">
        <v>6205</v>
      </c>
      <c r="E1510" s="649" t="s">
        <v>4183</v>
      </c>
      <c r="F1510" s="649" t="s">
        <v>4184</v>
      </c>
      <c r="G1510" s="679">
        <v>3606</v>
      </c>
      <c r="H1510" s="649" t="s">
        <v>1015</v>
      </c>
      <c r="I1510" s="649" t="s">
        <v>1016</v>
      </c>
      <c r="J1510" s="79" t="s">
        <v>58</v>
      </c>
      <c r="K1510" s="692" t="s">
        <v>57</v>
      </c>
      <c r="L1510" s="1301">
        <v>0.5</v>
      </c>
      <c r="M1510" s="79"/>
      <c r="N1510" s="79" t="s">
        <v>4197</v>
      </c>
      <c r="O1510" s="79" t="s">
        <v>4198</v>
      </c>
      <c r="P1510" s="815">
        <v>1</v>
      </c>
      <c r="Q1510" s="1537">
        <v>0.1</v>
      </c>
      <c r="R1510" s="815"/>
      <c r="S1510" s="647">
        <f t="shared" si="46"/>
        <v>0</v>
      </c>
      <c r="T1510" s="1400">
        <f t="shared" si="47"/>
        <v>0</v>
      </c>
      <c r="U1510" s="1400" t="s">
        <v>34</v>
      </c>
      <c r="V1510" s="1228"/>
      <c r="W1510" s="799"/>
    </row>
    <row r="1511" spans="1:23" ht="22.95" customHeight="1" x14ac:dyDescent="0.4">
      <c r="A1511" s="788">
        <v>1510</v>
      </c>
      <c r="B1511" s="199" t="s">
        <v>2616</v>
      </c>
      <c r="C1511" s="199" t="s">
        <v>24</v>
      </c>
      <c r="D1511" s="1082">
        <v>6205</v>
      </c>
      <c r="E1511" s="649" t="s">
        <v>4183</v>
      </c>
      <c r="F1511" s="649" t="s">
        <v>4184</v>
      </c>
      <c r="G1511" s="679">
        <v>3606</v>
      </c>
      <c r="H1511" s="649" t="s">
        <v>1015</v>
      </c>
      <c r="I1511" s="649" t="s">
        <v>1016</v>
      </c>
      <c r="J1511" s="79" t="s">
        <v>58</v>
      </c>
      <c r="K1511" s="692" t="s">
        <v>57</v>
      </c>
      <c r="L1511" s="1301">
        <v>0.5</v>
      </c>
      <c r="M1511" s="79"/>
      <c r="N1511" s="79" t="s">
        <v>4199</v>
      </c>
      <c r="O1511" s="79" t="s">
        <v>4200</v>
      </c>
      <c r="P1511" s="815">
        <v>1</v>
      </c>
      <c r="Q1511" s="1537">
        <v>0.05</v>
      </c>
      <c r="R1511" s="815"/>
      <c r="S1511" s="647">
        <f t="shared" si="46"/>
        <v>0</v>
      </c>
      <c r="T1511" s="1400">
        <f t="shared" si="47"/>
        <v>0</v>
      </c>
      <c r="U1511" s="1400" t="s">
        <v>34</v>
      </c>
      <c r="V1511" s="1228"/>
      <c r="W1511" s="799"/>
    </row>
    <row r="1512" spans="1:23" ht="22.95" customHeight="1" x14ac:dyDescent="0.4">
      <c r="A1512" s="788">
        <v>1511</v>
      </c>
      <c r="B1512" s="199" t="s">
        <v>2616</v>
      </c>
      <c r="C1512" s="199" t="s">
        <v>24</v>
      </c>
      <c r="D1512" s="1082">
        <v>6205</v>
      </c>
      <c r="E1512" s="649" t="s">
        <v>4183</v>
      </c>
      <c r="F1512" s="649" t="s">
        <v>4184</v>
      </c>
      <c r="G1512" s="679">
        <v>3606</v>
      </c>
      <c r="H1512" s="649" t="s">
        <v>1015</v>
      </c>
      <c r="I1512" s="649" t="s">
        <v>1016</v>
      </c>
      <c r="J1512" s="79" t="s">
        <v>58</v>
      </c>
      <c r="K1512" s="692" t="s">
        <v>57</v>
      </c>
      <c r="L1512" s="1301">
        <v>0.5</v>
      </c>
      <c r="M1512" s="79"/>
      <c r="N1512" s="79" t="s">
        <v>4201</v>
      </c>
      <c r="O1512" s="1009" t="s">
        <v>4202</v>
      </c>
      <c r="P1512" s="815">
        <v>1</v>
      </c>
      <c r="Q1512" s="1537">
        <v>0.08</v>
      </c>
      <c r="R1512" s="815"/>
      <c r="S1512" s="647">
        <f t="shared" si="46"/>
        <v>0</v>
      </c>
      <c r="T1512" s="1400">
        <f t="shared" si="47"/>
        <v>0</v>
      </c>
      <c r="U1512" s="1400" t="s">
        <v>34</v>
      </c>
      <c r="V1512" s="1228"/>
      <c r="W1512" s="799"/>
    </row>
    <row r="1513" spans="1:23" ht="22.95" customHeight="1" x14ac:dyDescent="0.4">
      <c r="A1513" s="788">
        <v>1512</v>
      </c>
      <c r="B1513" s="199" t="s">
        <v>2616</v>
      </c>
      <c r="C1513" s="199" t="s">
        <v>24</v>
      </c>
      <c r="D1513" s="1082">
        <v>6205</v>
      </c>
      <c r="E1513" s="649" t="s">
        <v>4183</v>
      </c>
      <c r="F1513" s="649" t="s">
        <v>4184</v>
      </c>
      <c r="G1513" s="679">
        <v>3606</v>
      </c>
      <c r="H1513" s="649" t="s">
        <v>1015</v>
      </c>
      <c r="I1513" s="649" t="s">
        <v>1016</v>
      </c>
      <c r="J1513" s="79" t="s">
        <v>58</v>
      </c>
      <c r="K1513" s="692" t="s">
        <v>57</v>
      </c>
      <c r="L1513" s="1301">
        <v>0.5</v>
      </c>
      <c r="M1513" s="79"/>
      <c r="N1513" s="79" t="s">
        <v>4203</v>
      </c>
      <c r="O1513" s="79" t="s">
        <v>4204</v>
      </c>
      <c r="P1513" s="815">
        <v>1</v>
      </c>
      <c r="Q1513" s="1537">
        <v>7.0000000000000007E-2</v>
      </c>
      <c r="R1513" s="815"/>
      <c r="S1513" s="647">
        <f t="shared" si="46"/>
        <v>0</v>
      </c>
      <c r="T1513" s="1400">
        <f t="shared" si="47"/>
        <v>0</v>
      </c>
      <c r="U1513" s="1400" t="s">
        <v>34</v>
      </c>
      <c r="V1513" s="1228"/>
      <c r="W1513" s="799"/>
    </row>
    <row r="1514" spans="1:23" ht="22.95" customHeight="1" x14ac:dyDescent="0.4">
      <c r="A1514" s="788">
        <v>1513</v>
      </c>
      <c r="B1514" s="199" t="s">
        <v>2616</v>
      </c>
      <c r="C1514" s="199" t="s">
        <v>24</v>
      </c>
      <c r="D1514" s="1082">
        <v>6205</v>
      </c>
      <c r="E1514" s="649" t="s">
        <v>4183</v>
      </c>
      <c r="F1514" s="649" t="s">
        <v>4184</v>
      </c>
      <c r="G1514" s="679">
        <v>3606</v>
      </c>
      <c r="H1514" s="649" t="s">
        <v>1015</v>
      </c>
      <c r="I1514" s="649" t="s">
        <v>1016</v>
      </c>
      <c r="J1514" s="79" t="s">
        <v>58</v>
      </c>
      <c r="K1514" s="692" t="s">
        <v>57</v>
      </c>
      <c r="L1514" s="1301">
        <v>0.5</v>
      </c>
      <c r="M1514" s="79"/>
      <c r="N1514" s="79" t="s">
        <v>4205</v>
      </c>
      <c r="O1514" s="1009" t="s">
        <v>4206</v>
      </c>
      <c r="P1514" s="815">
        <v>1</v>
      </c>
      <c r="Q1514" s="1537">
        <v>0.05</v>
      </c>
      <c r="R1514" s="815"/>
      <c r="S1514" s="647">
        <f t="shared" si="46"/>
        <v>0</v>
      </c>
      <c r="T1514" s="1400">
        <f t="shared" si="47"/>
        <v>0</v>
      </c>
      <c r="U1514" s="1400" t="s">
        <v>34</v>
      </c>
      <c r="V1514" s="1228"/>
      <c r="W1514" s="799"/>
    </row>
    <row r="1515" spans="1:23" ht="22.95" customHeight="1" x14ac:dyDescent="0.4">
      <c r="A1515" s="788">
        <v>1514</v>
      </c>
      <c r="B1515" s="199" t="s">
        <v>2616</v>
      </c>
      <c r="C1515" s="199" t="s">
        <v>24</v>
      </c>
      <c r="D1515" s="1082">
        <v>6205</v>
      </c>
      <c r="E1515" s="649" t="s">
        <v>4183</v>
      </c>
      <c r="F1515" s="649" t="s">
        <v>4184</v>
      </c>
      <c r="G1515" s="679">
        <v>3606</v>
      </c>
      <c r="H1515" s="649" t="s">
        <v>1015</v>
      </c>
      <c r="I1515" s="649" t="s">
        <v>1016</v>
      </c>
      <c r="J1515" s="79" t="s">
        <v>58</v>
      </c>
      <c r="K1515" s="692" t="s">
        <v>57</v>
      </c>
      <c r="L1515" s="1301">
        <v>0.5</v>
      </c>
      <c r="M1515" s="79"/>
      <c r="N1515" s="79" t="s">
        <v>4207</v>
      </c>
      <c r="O1515" s="79" t="s">
        <v>4208</v>
      </c>
      <c r="P1515" s="815">
        <v>1</v>
      </c>
      <c r="Q1515" s="1537">
        <v>0.05</v>
      </c>
      <c r="R1515" s="815"/>
      <c r="S1515" s="647">
        <f t="shared" si="46"/>
        <v>0</v>
      </c>
      <c r="T1515" s="1400">
        <f t="shared" si="47"/>
        <v>0</v>
      </c>
      <c r="U1515" s="1400" t="s">
        <v>34</v>
      </c>
      <c r="V1515" s="1228"/>
      <c r="W1515" s="799"/>
    </row>
    <row r="1516" spans="1:23" ht="22.95" customHeight="1" x14ac:dyDescent="0.4">
      <c r="A1516" s="788">
        <v>1515</v>
      </c>
      <c r="B1516" s="199" t="s">
        <v>2616</v>
      </c>
      <c r="C1516" s="199" t="s">
        <v>24</v>
      </c>
      <c r="D1516" s="1082">
        <v>6205</v>
      </c>
      <c r="E1516" s="649" t="s">
        <v>4183</v>
      </c>
      <c r="F1516" s="649" t="s">
        <v>4184</v>
      </c>
      <c r="G1516" s="679">
        <v>3606</v>
      </c>
      <c r="H1516" s="649" t="s">
        <v>1015</v>
      </c>
      <c r="I1516" s="649" t="s">
        <v>1016</v>
      </c>
      <c r="J1516" s="79" t="s">
        <v>58</v>
      </c>
      <c r="K1516" s="692" t="s">
        <v>57</v>
      </c>
      <c r="L1516" s="1301">
        <v>0.5</v>
      </c>
      <c r="M1516" s="79"/>
      <c r="N1516" s="79" t="s">
        <v>4209</v>
      </c>
      <c r="O1516" s="79"/>
      <c r="P1516" s="815">
        <v>1</v>
      </c>
      <c r="Q1516" s="1537">
        <v>7.0000000000000007E-2</v>
      </c>
      <c r="R1516" s="815"/>
      <c r="S1516" s="647">
        <f t="shared" si="46"/>
        <v>0</v>
      </c>
      <c r="T1516" s="1400">
        <f t="shared" si="47"/>
        <v>0</v>
      </c>
      <c r="U1516" s="1400" t="s">
        <v>34</v>
      </c>
      <c r="V1516" s="1228"/>
      <c r="W1516" s="799"/>
    </row>
    <row r="1517" spans="1:23" ht="22.95" customHeight="1" x14ac:dyDescent="0.4">
      <c r="A1517" s="788">
        <v>1516</v>
      </c>
      <c r="B1517" s="199" t="s">
        <v>2616</v>
      </c>
      <c r="C1517" s="199" t="s">
        <v>24</v>
      </c>
      <c r="D1517" s="1082">
        <v>6205</v>
      </c>
      <c r="E1517" s="649" t="s">
        <v>4183</v>
      </c>
      <c r="F1517" s="649" t="s">
        <v>4184</v>
      </c>
      <c r="G1517" s="679">
        <v>3606</v>
      </c>
      <c r="H1517" s="649" t="s">
        <v>1015</v>
      </c>
      <c r="I1517" s="649" t="s">
        <v>1016</v>
      </c>
      <c r="J1517" s="1649" t="s">
        <v>111</v>
      </c>
      <c r="K1517" s="246" t="s">
        <v>110</v>
      </c>
      <c r="L1517" s="1316">
        <v>0.5</v>
      </c>
      <c r="M1517" s="648"/>
      <c r="N1517" s="648" t="s">
        <v>4210</v>
      </c>
      <c r="O1517" s="648"/>
      <c r="P1517" s="1650">
        <v>1</v>
      </c>
      <c r="Q1517" s="1651">
        <v>0.5</v>
      </c>
      <c r="R1517" s="1650"/>
      <c r="S1517" s="874">
        <f t="shared" si="46"/>
        <v>0</v>
      </c>
      <c r="T1517" s="655">
        <f t="shared" si="47"/>
        <v>0</v>
      </c>
      <c r="U1517" s="655" t="s">
        <v>34</v>
      </c>
      <c r="V1517" s="1228"/>
      <c r="W1517" s="799"/>
    </row>
    <row r="1518" spans="1:23" ht="22.95" customHeight="1" x14ac:dyDescent="0.4">
      <c r="A1518" s="788">
        <v>1517</v>
      </c>
      <c r="B1518" s="199" t="s">
        <v>2616</v>
      </c>
      <c r="C1518" s="199" t="s">
        <v>24</v>
      </c>
      <c r="D1518" s="1082">
        <v>6205</v>
      </c>
      <c r="E1518" s="649" t="s">
        <v>4183</v>
      </c>
      <c r="F1518" s="649" t="s">
        <v>4184</v>
      </c>
      <c r="G1518" s="679">
        <v>3606</v>
      </c>
      <c r="H1518" s="649" t="s">
        <v>1015</v>
      </c>
      <c r="I1518" s="649" t="s">
        <v>1016</v>
      </c>
      <c r="J1518" s="1649" t="s">
        <v>111</v>
      </c>
      <c r="K1518" s="246" t="s">
        <v>110</v>
      </c>
      <c r="L1518" s="1316">
        <v>0.5</v>
      </c>
      <c r="M1518" s="648"/>
      <c r="N1518" s="648" t="s">
        <v>4211</v>
      </c>
      <c r="O1518" s="648"/>
      <c r="P1518" s="1650">
        <v>1</v>
      </c>
      <c r="Q1518" s="1651">
        <v>0.5</v>
      </c>
      <c r="R1518" s="1650"/>
      <c r="S1518" s="874">
        <f t="shared" si="46"/>
        <v>0</v>
      </c>
      <c r="T1518" s="655">
        <f t="shared" si="47"/>
        <v>0</v>
      </c>
      <c r="U1518" s="655" t="s">
        <v>34</v>
      </c>
      <c r="V1518" s="1228"/>
      <c r="W1518" s="799"/>
    </row>
    <row r="1519" spans="1:23" ht="22.95" customHeight="1" x14ac:dyDescent="0.4">
      <c r="A1519" s="788">
        <v>1518</v>
      </c>
      <c r="B1519" s="236" t="s">
        <v>2616</v>
      </c>
      <c r="C1519" s="653" t="s">
        <v>24</v>
      </c>
      <c r="D1519" s="1334">
        <v>5101</v>
      </c>
      <c r="E1519" s="653" t="s">
        <v>4212</v>
      </c>
      <c r="F1519" s="653" t="s">
        <v>4213</v>
      </c>
      <c r="G1519" s="674">
        <v>1000</v>
      </c>
      <c r="H1519" s="653" t="s">
        <v>4214</v>
      </c>
      <c r="I1519" s="653" t="s">
        <v>28</v>
      </c>
      <c r="J1519" s="187" t="s">
        <v>58</v>
      </c>
      <c r="K1519" s="653" t="s">
        <v>57</v>
      </c>
      <c r="L1519" s="1297">
        <v>0.6</v>
      </c>
      <c r="M1519" s="748"/>
      <c r="N1519" s="1652" t="s">
        <v>4215</v>
      </c>
      <c r="O1519" s="1131"/>
      <c r="P1519" s="794">
        <v>1</v>
      </c>
      <c r="Q1519" s="1054">
        <v>0.2</v>
      </c>
      <c r="R1519" s="794"/>
      <c r="S1519" s="855">
        <f t="shared" si="46"/>
        <v>0</v>
      </c>
      <c r="T1519" s="854">
        <f t="shared" si="47"/>
        <v>0</v>
      </c>
      <c r="U1519" s="855" t="s">
        <v>34</v>
      </c>
      <c r="V1519" s="1055">
        <f>SUM(T1519:T1528)%</f>
        <v>0</v>
      </c>
      <c r="W1519" s="644"/>
    </row>
    <row r="1520" spans="1:23" ht="22.95" customHeight="1" x14ac:dyDescent="0.4">
      <c r="A1520" s="788">
        <v>1519</v>
      </c>
      <c r="B1520" s="198" t="s">
        <v>2616</v>
      </c>
      <c r="C1520" s="649" t="s">
        <v>24</v>
      </c>
      <c r="D1520" s="1336">
        <v>5101</v>
      </c>
      <c r="E1520" s="649" t="s">
        <v>4212</v>
      </c>
      <c r="F1520" s="648" t="s">
        <v>4213</v>
      </c>
      <c r="G1520" s="679">
        <v>1000</v>
      </c>
      <c r="H1520" s="649" t="s">
        <v>4214</v>
      </c>
      <c r="I1520" s="649" t="s">
        <v>28</v>
      </c>
      <c r="J1520" s="692" t="s">
        <v>58</v>
      </c>
      <c r="K1520" s="79" t="s">
        <v>57</v>
      </c>
      <c r="L1520" s="1201">
        <v>0.6</v>
      </c>
      <c r="M1520" s="756"/>
      <c r="N1520" s="1653" t="s">
        <v>4216</v>
      </c>
      <c r="O1520" s="858" t="s">
        <v>4217</v>
      </c>
      <c r="P1520" s="815">
        <v>1</v>
      </c>
      <c r="Q1520" s="1201">
        <v>0.2</v>
      </c>
      <c r="R1520" s="815"/>
      <c r="S1520" s="204">
        <f t="shared" si="46"/>
        <v>0</v>
      </c>
      <c r="T1520" s="960">
        <f t="shared" si="47"/>
        <v>0</v>
      </c>
      <c r="U1520" s="204" t="s">
        <v>34</v>
      </c>
      <c r="V1520" s="1228"/>
      <c r="W1520" s="799"/>
    </row>
    <row r="1521" spans="1:23" ht="22.95" customHeight="1" x14ac:dyDescent="0.4">
      <c r="A1521" s="788">
        <v>1520</v>
      </c>
      <c r="B1521" s="198" t="s">
        <v>2616</v>
      </c>
      <c r="C1521" s="649" t="s">
        <v>24</v>
      </c>
      <c r="D1521" s="1336">
        <v>5101</v>
      </c>
      <c r="E1521" s="649" t="s">
        <v>4212</v>
      </c>
      <c r="F1521" s="648" t="s">
        <v>4213</v>
      </c>
      <c r="G1521" s="679">
        <v>1000</v>
      </c>
      <c r="H1521" s="649" t="s">
        <v>4214</v>
      </c>
      <c r="I1521" s="649" t="s">
        <v>28</v>
      </c>
      <c r="J1521" s="692" t="s">
        <v>58</v>
      </c>
      <c r="K1521" s="79" t="s">
        <v>57</v>
      </c>
      <c r="L1521" s="1201">
        <v>0.6</v>
      </c>
      <c r="M1521" s="756"/>
      <c r="N1521" s="1653" t="s">
        <v>4218</v>
      </c>
      <c r="O1521" s="858" t="s">
        <v>4219</v>
      </c>
      <c r="P1521" s="815">
        <v>1</v>
      </c>
      <c r="Q1521" s="1201">
        <v>0.2</v>
      </c>
      <c r="R1521" s="815"/>
      <c r="S1521" s="204">
        <f t="shared" si="46"/>
        <v>0</v>
      </c>
      <c r="T1521" s="960">
        <f t="shared" si="47"/>
        <v>0</v>
      </c>
      <c r="U1521" s="204" t="s">
        <v>34</v>
      </c>
      <c r="V1521" s="1228"/>
      <c r="W1521" s="799"/>
    </row>
    <row r="1522" spans="1:23" ht="22.95" customHeight="1" x14ac:dyDescent="0.4">
      <c r="A1522" s="788">
        <v>1521</v>
      </c>
      <c r="B1522" s="198" t="s">
        <v>2616</v>
      </c>
      <c r="C1522" s="649" t="s">
        <v>24</v>
      </c>
      <c r="D1522" s="1336">
        <v>5101</v>
      </c>
      <c r="E1522" s="649" t="s">
        <v>4212</v>
      </c>
      <c r="F1522" s="648" t="s">
        <v>4213</v>
      </c>
      <c r="G1522" s="679">
        <v>1000</v>
      </c>
      <c r="H1522" s="649" t="s">
        <v>4214</v>
      </c>
      <c r="I1522" s="649" t="s">
        <v>28</v>
      </c>
      <c r="J1522" s="692" t="s">
        <v>58</v>
      </c>
      <c r="K1522" s="79" t="s">
        <v>57</v>
      </c>
      <c r="L1522" s="1201">
        <v>0.6</v>
      </c>
      <c r="M1522" s="756"/>
      <c r="N1522" s="1653" t="s">
        <v>4220</v>
      </c>
      <c r="O1522" s="858"/>
      <c r="P1522" s="815">
        <v>1</v>
      </c>
      <c r="Q1522" s="1201">
        <v>0.1</v>
      </c>
      <c r="R1522" s="815"/>
      <c r="S1522" s="204">
        <f t="shared" si="46"/>
        <v>0</v>
      </c>
      <c r="T1522" s="960">
        <f t="shared" si="47"/>
        <v>0</v>
      </c>
      <c r="U1522" s="204" t="s">
        <v>34</v>
      </c>
      <c r="V1522" s="1228"/>
      <c r="W1522" s="799"/>
    </row>
    <row r="1523" spans="1:23" ht="22.95" customHeight="1" x14ac:dyDescent="0.4">
      <c r="A1523" s="788">
        <v>1522</v>
      </c>
      <c r="B1523" s="198" t="s">
        <v>2616</v>
      </c>
      <c r="C1523" s="649" t="s">
        <v>24</v>
      </c>
      <c r="D1523" s="1336">
        <v>5101</v>
      </c>
      <c r="E1523" s="649" t="s">
        <v>4212</v>
      </c>
      <c r="F1523" s="648" t="s">
        <v>4213</v>
      </c>
      <c r="G1523" s="679">
        <v>1000</v>
      </c>
      <c r="H1523" s="649" t="s">
        <v>4214</v>
      </c>
      <c r="I1523" s="649" t="s">
        <v>28</v>
      </c>
      <c r="J1523" s="692" t="s">
        <v>58</v>
      </c>
      <c r="K1523" s="79" t="s">
        <v>57</v>
      </c>
      <c r="L1523" s="1201">
        <v>0.6</v>
      </c>
      <c r="M1523" s="756"/>
      <c r="N1523" s="1653" t="s">
        <v>4221</v>
      </c>
      <c r="O1523" s="858" t="s">
        <v>4222</v>
      </c>
      <c r="P1523" s="815">
        <v>0.6</v>
      </c>
      <c r="Q1523" s="1201">
        <v>0.1</v>
      </c>
      <c r="R1523" s="815"/>
      <c r="S1523" s="204">
        <f t="shared" si="46"/>
        <v>0</v>
      </c>
      <c r="T1523" s="960">
        <f t="shared" si="47"/>
        <v>0</v>
      </c>
      <c r="U1523" s="204" t="s">
        <v>34</v>
      </c>
      <c r="V1523" s="1228"/>
      <c r="W1523" s="799"/>
    </row>
    <row r="1524" spans="1:23" ht="22.95" customHeight="1" x14ac:dyDescent="0.4">
      <c r="A1524" s="788">
        <v>1523</v>
      </c>
      <c r="B1524" s="198" t="s">
        <v>2616</v>
      </c>
      <c r="C1524" s="649" t="s">
        <v>24</v>
      </c>
      <c r="D1524" s="1336">
        <v>5101</v>
      </c>
      <c r="E1524" s="649" t="s">
        <v>4212</v>
      </c>
      <c r="F1524" s="648" t="s">
        <v>4213</v>
      </c>
      <c r="G1524" s="679">
        <v>1000</v>
      </c>
      <c r="H1524" s="649" t="s">
        <v>4214</v>
      </c>
      <c r="I1524" s="649" t="s">
        <v>28</v>
      </c>
      <c r="J1524" s="692" t="s">
        <v>58</v>
      </c>
      <c r="K1524" s="79" t="s">
        <v>57</v>
      </c>
      <c r="L1524" s="1201">
        <v>0.6</v>
      </c>
      <c r="M1524" s="756"/>
      <c r="N1524" s="1653" t="s">
        <v>4223</v>
      </c>
      <c r="O1524" s="858" t="s">
        <v>4224</v>
      </c>
      <c r="P1524" s="815">
        <v>1</v>
      </c>
      <c r="Q1524" s="1201">
        <v>0.1</v>
      </c>
      <c r="R1524" s="815"/>
      <c r="S1524" s="204">
        <f t="shared" si="46"/>
        <v>0</v>
      </c>
      <c r="T1524" s="960">
        <f t="shared" si="47"/>
        <v>0</v>
      </c>
      <c r="U1524" s="204" t="s">
        <v>34</v>
      </c>
      <c r="V1524" s="1228"/>
      <c r="W1524" s="799"/>
    </row>
    <row r="1525" spans="1:23" ht="22.95" customHeight="1" x14ac:dyDescent="0.4">
      <c r="A1525" s="788">
        <v>1524</v>
      </c>
      <c r="B1525" s="198" t="s">
        <v>2616</v>
      </c>
      <c r="C1525" s="649" t="s">
        <v>24</v>
      </c>
      <c r="D1525" s="1336">
        <v>5101</v>
      </c>
      <c r="E1525" s="649" t="s">
        <v>4212</v>
      </c>
      <c r="F1525" s="648" t="s">
        <v>4213</v>
      </c>
      <c r="G1525" s="679">
        <v>1000</v>
      </c>
      <c r="H1525" s="649" t="s">
        <v>4214</v>
      </c>
      <c r="I1525" s="649" t="s">
        <v>28</v>
      </c>
      <c r="J1525" s="692" t="s">
        <v>58</v>
      </c>
      <c r="K1525" s="79" t="s">
        <v>57</v>
      </c>
      <c r="L1525" s="1201">
        <v>0.6</v>
      </c>
      <c r="M1525" s="756"/>
      <c r="N1525" s="1653" t="s">
        <v>4225</v>
      </c>
      <c r="O1525" s="858"/>
      <c r="P1525" s="815">
        <v>1</v>
      </c>
      <c r="Q1525" s="1201">
        <v>0.1</v>
      </c>
      <c r="R1525" s="815"/>
      <c r="S1525" s="204">
        <f t="shared" si="46"/>
        <v>0</v>
      </c>
      <c r="T1525" s="960">
        <f t="shared" si="47"/>
        <v>0</v>
      </c>
      <c r="U1525" s="204" t="s">
        <v>34</v>
      </c>
      <c r="V1525" s="1228"/>
      <c r="W1525" s="799"/>
    </row>
    <row r="1526" spans="1:23" ht="22.95" customHeight="1" x14ac:dyDescent="0.4">
      <c r="A1526" s="788">
        <v>1525</v>
      </c>
      <c r="B1526" s="198" t="s">
        <v>2616</v>
      </c>
      <c r="C1526" s="649" t="s">
        <v>24</v>
      </c>
      <c r="D1526" s="1336">
        <v>5101</v>
      </c>
      <c r="E1526" s="649" t="s">
        <v>4212</v>
      </c>
      <c r="F1526" s="648" t="s">
        <v>4213</v>
      </c>
      <c r="G1526" s="679">
        <v>1000</v>
      </c>
      <c r="H1526" s="649" t="s">
        <v>4214</v>
      </c>
      <c r="I1526" s="649" t="s">
        <v>28</v>
      </c>
      <c r="J1526" s="199" t="s">
        <v>111</v>
      </c>
      <c r="K1526" s="649" t="s">
        <v>110</v>
      </c>
      <c r="L1526" s="1304">
        <v>0.4</v>
      </c>
      <c r="M1526" s="829"/>
      <c r="N1526" s="1654" t="s">
        <v>4226</v>
      </c>
      <c r="O1526" s="1655"/>
      <c r="P1526" s="803">
        <v>0.5</v>
      </c>
      <c r="Q1526" s="1209">
        <v>0.5</v>
      </c>
      <c r="R1526" s="803"/>
      <c r="S1526" s="650">
        <f t="shared" si="46"/>
        <v>0</v>
      </c>
      <c r="T1526" s="701">
        <f t="shared" si="47"/>
        <v>0</v>
      </c>
      <c r="U1526" s="650" t="s">
        <v>34</v>
      </c>
      <c r="V1526" s="1228"/>
      <c r="W1526" s="799"/>
    </row>
    <row r="1527" spans="1:23" ht="22.95" customHeight="1" x14ac:dyDescent="0.4">
      <c r="A1527" s="788">
        <v>1526</v>
      </c>
      <c r="B1527" s="198" t="s">
        <v>2616</v>
      </c>
      <c r="C1527" s="649" t="s">
        <v>24</v>
      </c>
      <c r="D1527" s="1336">
        <v>5101</v>
      </c>
      <c r="E1527" s="649" t="s">
        <v>4212</v>
      </c>
      <c r="F1527" s="648" t="s">
        <v>4213</v>
      </c>
      <c r="G1527" s="679">
        <v>1000</v>
      </c>
      <c r="H1527" s="649" t="s">
        <v>4214</v>
      </c>
      <c r="I1527" s="649" t="s">
        <v>28</v>
      </c>
      <c r="J1527" s="199" t="s">
        <v>111</v>
      </c>
      <c r="K1527" s="649" t="s">
        <v>110</v>
      </c>
      <c r="L1527" s="1304">
        <v>0.4</v>
      </c>
      <c r="M1527" s="829"/>
      <c r="N1527" s="1654" t="s">
        <v>4227</v>
      </c>
      <c r="O1527" s="1655"/>
      <c r="P1527" s="803">
        <v>0.4</v>
      </c>
      <c r="Q1527" s="1209">
        <v>0.25</v>
      </c>
      <c r="R1527" s="803"/>
      <c r="S1527" s="650">
        <f t="shared" si="46"/>
        <v>0</v>
      </c>
      <c r="T1527" s="701">
        <f t="shared" si="47"/>
        <v>0</v>
      </c>
      <c r="U1527" s="650" t="s">
        <v>34</v>
      </c>
      <c r="V1527" s="1228"/>
      <c r="W1527" s="799"/>
    </row>
    <row r="1528" spans="1:23" ht="22.95" customHeight="1" x14ac:dyDescent="0.4">
      <c r="A1528" s="788">
        <v>1527</v>
      </c>
      <c r="B1528" s="198" t="s">
        <v>2616</v>
      </c>
      <c r="C1528" s="649" t="s">
        <v>24</v>
      </c>
      <c r="D1528" s="1336">
        <v>5101</v>
      </c>
      <c r="E1528" s="649" t="s">
        <v>4212</v>
      </c>
      <c r="F1528" s="648" t="s">
        <v>4213</v>
      </c>
      <c r="G1528" s="679">
        <v>1000</v>
      </c>
      <c r="H1528" s="649" t="s">
        <v>4214</v>
      </c>
      <c r="I1528" s="649" t="s">
        <v>28</v>
      </c>
      <c r="J1528" s="649" t="s">
        <v>111</v>
      </c>
      <c r="K1528" s="649" t="s">
        <v>110</v>
      </c>
      <c r="L1528" s="1304">
        <v>0.4</v>
      </c>
      <c r="M1528" s="829"/>
      <c r="N1528" s="1654" t="s">
        <v>4228</v>
      </c>
      <c r="O1528" s="1655"/>
      <c r="P1528" s="803">
        <v>0.4</v>
      </c>
      <c r="Q1528" s="1209">
        <v>0.25</v>
      </c>
      <c r="R1528" s="803"/>
      <c r="S1528" s="650">
        <f t="shared" si="46"/>
        <v>0</v>
      </c>
      <c r="T1528" s="701">
        <f t="shared" si="47"/>
        <v>0</v>
      </c>
      <c r="U1528" s="650" t="s">
        <v>34</v>
      </c>
      <c r="V1528" s="1228"/>
      <c r="W1528" s="799"/>
    </row>
    <row r="1529" spans="1:23" ht="22.95" customHeight="1" x14ac:dyDescent="0.4">
      <c r="A1529" s="788">
        <v>1528</v>
      </c>
      <c r="B1529" s="236" t="s">
        <v>2616</v>
      </c>
      <c r="C1529" s="187" t="s">
        <v>24</v>
      </c>
      <c r="D1529" s="1200">
        <v>1000</v>
      </c>
      <c r="E1529" s="187" t="s">
        <v>4214</v>
      </c>
      <c r="F1529" s="187" t="s">
        <v>4229</v>
      </c>
      <c r="G1529" s="1165">
        <v>3192</v>
      </c>
      <c r="H1529" s="187" t="s">
        <v>2619</v>
      </c>
      <c r="I1529" s="187" t="s">
        <v>28</v>
      </c>
      <c r="J1529" s="653" t="s">
        <v>30</v>
      </c>
      <c r="K1529" s="653" t="s">
        <v>29</v>
      </c>
      <c r="L1529" s="1052">
        <v>0.6</v>
      </c>
      <c r="M1529" s="748" t="s">
        <v>2620</v>
      </c>
      <c r="N1529" s="749" t="s">
        <v>2621</v>
      </c>
      <c r="O1529" s="791"/>
      <c r="P1529" s="1053">
        <v>1856910.8756204764</v>
      </c>
      <c r="Q1529" s="1054">
        <v>0.15</v>
      </c>
      <c r="R1529" s="1053"/>
      <c r="S1529" s="855">
        <f t="shared" si="46"/>
        <v>0</v>
      </c>
      <c r="T1529" s="854">
        <f t="shared" si="47"/>
        <v>0</v>
      </c>
      <c r="U1529" s="966" t="s">
        <v>34</v>
      </c>
      <c r="V1529" s="1055">
        <f>SUM(T1529:T1562)%</f>
        <v>0</v>
      </c>
      <c r="W1529" s="791"/>
    </row>
    <row r="1530" spans="1:23" ht="22.95" customHeight="1" x14ac:dyDescent="0.4">
      <c r="A1530" s="788">
        <v>1529</v>
      </c>
      <c r="B1530" s="198" t="s">
        <v>2616</v>
      </c>
      <c r="C1530" s="246" t="s">
        <v>24</v>
      </c>
      <c r="D1530" s="1134">
        <v>1000</v>
      </c>
      <c r="E1530" s="246" t="s">
        <v>4214</v>
      </c>
      <c r="F1530" s="246" t="s">
        <v>4229</v>
      </c>
      <c r="G1530" s="1170">
        <v>3192</v>
      </c>
      <c r="H1530" s="246" t="s">
        <v>2619</v>
      </c>
      <c r="I1530" s="246" t="s">
        <v>28</v>
      </c>
      <c r="J1530" s="648" t="s">
        <v>30</v>
      </c>
      <c r="K1530" s="649" t="s">
        <v>29</v>
      </c>
      <c r="L1530" s="1059">
        <v>0.6</v>
      </c>
      <c r="M1530" s="1060" t="s">
        <v>2622</v>
      </c>
      <c r="N1530" s="1061" t="s">
        <v>2623</v>
      </c>
      <c r="O1530" s="799"/>
      <c r="P1530" s="1062">
        <v>621419.69473720191</v>
      </c>
      <c r="Q1530" s="1063">
        <v>0.1</v>
      </c>
      <c r="R1530" s="1062"/>
      <c r="S1530" s="215">
        <f t="shared" si="46"/>
        <v>0</v>
      </c>
      <c r="T1530" s="223">
        <f t="shared" si="47"/>
        <v>0</v>
      </c>
      <c r="U1530" s="708" t="s">
        <v>34</v>
      </c>
      <c r="V1530" s="1064"/>
      <c r="W1530" s="799"/>
    </row>
    <row r="1531" spans="1:23" ht="22.95" customHeight="1" x14ac:dyDescent="0.4">
      <c r="A1531" s="788">
        <v>1530</v>
      </c>
      <c r="B1531" s="198" t="s">
        <v>2616</v>
      </c>
      <c r="C1531" s="246" t="s">
        <v>24</v>
      </c>
      <c r="D1531" s="1134">
        <v>1000</v>
      </c>
      <c r="E1531" s="246" t="s">
        <v>4214</v>
      </c>
      <c r="F1531" s="246" t="s">
        <v>4229</v>
      </c>
      <c r="G1531" s="1170">
        <v>3192</v>
      </c>
      <c r="H1531" s="246" t="s">
        <v>2619</v>
      </c>
      <c r="I1531" s="246" t="s">
        <v>28</v>
      </c>
      <c r="J1531" s="648" t="s">
        <v>30</v>
      </c>
      <c r="K1531" s="649" t="s">
        <v>29</v>
      </c>
      <c r="L1531" s="1059">
        <v>0.6</v>
      </c>
      <c r="M1531" s="1060" t="s">
        <v>2624</v>
      </c>
      <c r="N1531" s="1061" t="s">
        <v>2625</v>
      </c>
      <c r="O1531" s="799"/>
      <c r="P1531" s="1062">
        <v>789737.85000000009</v>
      </c>
      <c r="Q1531" s="1063">
        <v>0.1</v>
      </c>
      <c r="R1531" s="1062"/>
      <c r="S1531" s="215">
        <f t="shared" si="46"/>
        <v>0</v>
      </c>
      <c r="T1531" s="223">
        <f t="shared" si="47"/>
        <v>0</v>
      </c>
      <c r="U1531" s="708" t="s">
        <v>34</v>
      </c>
      <c r="V1531" s="1064"/>
      <c r="W1531" s="799"/>
    </row>
    <row r="1532" spans="1:23" ht="22.95" customHeight="1" x14ac:dyDescent="0.4">
      <c r="A1532" s="788">
        <v>1531</v>
      </c>
      <c r="B1532" s="198" t="s">
        <v>2616</v>
      </c>
      <c r="C1532" s="246" t="s">
        <v>24</v>
      </c>
      <c r="D1532" s="1134">
        <v>1000</v>
      </c>
      <c r="E1532" s="246" t="s">
        <v>4214</v>
      </c>
      <c r="F1532" s="246" t="s">
        <v>4229</v>
      </c>
      <c r="G1532" s="1170">
        <v>3192</v>
      </c>
      <c r="H1532" s="246" t="s">
        <v>2619</v>
      </c>
      <c r="I1532" s="246" t="s">
        <v>28</v>
      </c>
      <c r="J1532" s="648" t="s">
        <v>30</v>
      </c>
      <c r="K1532" s="649" t="s">
        <v>29</v>
      </c>
      <c r="L1532" s="1059">
        <v>0.6</v>
      </c>
      <c r="M1532" s="1060" t="s">
        <v>2626</v>
      </c>
      <c r="N1532" s="1061" t="s">
        <v>2627</v>
      </c>
      <c r="O1532" s="799"/>
      <c r="P1532" s="1062">
        <v>1406879.4938896229</v>
      </c>
      <c r="Q1532" s="1063">
        <v>0.05</v>
      </c>
      <c r="R1532" s="1062"/>
      <c r="S1532" s="215">
        <f t="shared" si="46"/>
        <v>0</v>
      </c>
      <c r="T1532" s="223">
        <f t="shared" si="47"/>
        <v>0</v>
      </c>
      <c r="U1532" s="708" t="s">
        <v>34</v>
      </c>
      <c r="V1532" s="1064"/>
      <c r="W1532" s="799"/>
    </row>
    <row r="1533" spans="1:23" ht="22.95" customHeight="1" x14ac:dyDescent="0.4">
      <c r="A1533" s="788">
        <v>1532</v>
      </c>
      <c r="B1533" s="198" t="s">
        <v>2616</v>
      </c>
      <c r="C1533" s="246" t="s">
        <v>24</v>
      </c>
      <c r="D1533" s="1134">
        <v>1000</v>
      </c>
      <c r="E1533" s="246" t="s">
        <v>4214</v>
      </c>
      <c r="F1533" s="246" t="s">
        <v>4229</v>
      </c>
      <c r="G1533" s="1170">
        <v>3192</v>
      </c>
      <c r="H1533" s="246" t="s">
        <v>2619</v>
      </c>
      <c r="I1533" s="246" t="s">
        <v>28</v>
      </c>
      <c r="J1533" s="648" t="s">
        <v>30</v>
      </c>
      <c r="K1533" s="649" t="s">
        <v>29</v>
      </c>
      <c r="L1533" s="1059">
        <v>0.6</v>
      </c>
      <c r="M1533" s="1060" t="s">
        <v>2628</v>
      </c>
      <c r="N1533" s="1061" t="s">
        <v>2629</v>
      </c>
      <c r="O1533" s="799"/>
      <c r="P1533" s="1062">
        <v>48608.249727263406</v>
      </c>
      <c r="Q1533" s="1063">
        <v>0.01</v>
      </c>
      <c r="R1533" s="1062"/>
      <c r="S1533" s="215">
        <f t="shared" si="46"/>
        <v>0</v>
      </c>
      <c r="T1533" s="223">
        <f t="shared" si="47"/>
        <v>0</v>
      </c>
      <c r="U1533" s="708" t="s">
        <v>34</v>
      </c>
      <c r="V1533" s="1064"/>
      <c r="W1533" s="799"/>
    </row>
    <row r="1534" spans="1:23" ht="22.95" customHeight="1" x14ac:dyDescent="0.4">
      <c r="A1534" s="788">
        <v>1533</v>
      </c>
      <c r="B1534" s="198" t="s">
        <v>2616</v>
      </c>
      <c r="C1534" s="246" t="s">
        <v>24</v>
      </c>
      <c r="D1534" s="1134">
        <v>1000</v>
      </c>
      <c r="E1534" s="246" t="s">
        <v>4214</v>
      </c>
      <c r="F1534" s="246" t="s">
        <v>4229</v>
      </c>
      <c r="G1534" s="1170">
        <v>3192</v>
      </c>
      <c r="H1534" s="246" t="s">
        <v>2619</v>
      </c>
      <c r="I1534" s="246" t="s">
        <v>28</v>
      </c>
      <c r="J1534" s="648" t="s">
        <v>30</v>
      </c>
      <c r="K1534" s="649" t="s">
        <v>29</v>
      </c>
      <c r="L1534" s="1059">
        <v>0.6</v>
      </c>
      <c r="M1534" s="1060" t="s">
        <v>2630</v>
      </c>
      <c r="N1534" s="1061" t="s">
        <v>2631</v>
      </c>
      <c r="O1534" s="799"/>
      <c r="P1534" s="1062">
        <v>48600000</v>
      </c>
      <c r="Q1534" s="1063">
        <v>0.03</v>
      </c>
      <c r="R1534" s="1062"/>
      <c r="S1534" s="215">
        <f t="shared" si="46"/>
        <v>0</v>
      </c>
      <c r="T1534" s="223">
        <f t="shared" si="47"/>
        <v>0</v>
      </c>
      <c r="U1534" s="708" t="s">
        <v>34</v>
      </c>
      <c r="V1534" s="1064"/>
      <c r="W1534" s="799"/>
    </row>
    <row r="1535" spans="1:23" ht="22.95" customHeight="1" x14ac:dyDescent="0.4">
      <c r="A1535" s="788">
        <v>1534</v>
      </c>
      <c r="B1535" s="198" t="s">
        <v>2616</v>
      </c>
      <c r="C1535" s="246" t="s">
        <v>24</v>
      </c>
      <c r="D1535" s="1134">
        <v>1000</v>
      </c>
      <c r="E1535" s="246" t="s">
        <v>4214</v>
      </c>
      <c r="F1535" s="246" t="s">
        <v>4229</v>
      </c>
      <c r="G1535" s="1170">
        <v>3192</v>
      </c>
      <c r="H1535" s="246" t="s">
        <v>2619</v>
      </c>
      <c r="I1535" s="246" t="s">
        <v>28</v>
      </c>
      <c r="J1535" s="648" t="s">
        <v>30</v>
      </c>
      <c r="K1535" s="649" t="s">
        <v>29</v>
      </c>
      <c r="L1535" s="1059">
        <v>0.6</v>
      </c>
      <c r="M1535" s="1060" t="s">
        <v>41</v>
      </c>
      <c r="N1535" s="1061" t="s">
        <v>2632</v>
      </c>
      <c r="O1535" s="799"/>
      <c r="P1535" s="1062">
        <v>98000</v>
      </c>
      <c r="Q1535" s="1063">
        <v>0.01</v>
      </c>
      <c r="R1535" s="1062"/>
      <c r="S1535" s="215">
        <f t="shared" si="46"/>
        <v>0</v>
      </c>
      <c r="T1535" s="223">
        <f t="shared" si="47"/>
        <v>0</v>
      </c>
      <c r="U1535" s="708" t="s">
        <v>34</v>
      </c>
      <c r="V1535" s="1064"/>
      <c r="W1535" s="799"/>
    </row>
    <row r="1536" spans="1:23" ht="22.95" customHeight="1" x14ac:dyDescent="0.4">
      <c r="A1536" s="788">
        <v>1535</v>
      </c>
      <c r="B1536" s="198" t="s">
        <v>2616</v>
      </c>
      <c r="C1536" s="246" t="s">
        <v>24</v>
      </c>
      <c r="D1536" s="1134">
        <v>1000</v>
      </c>
      <c r="E1536" s="246" t="s">
        <v>4214</v>
      </c>
      <c r="F1536" s="246" t="s">
        <v>4229</v>
      </c>
      <c r="G1536" s="1170">
        <v>3192</v>
      </c>
      <c r="H1536" s="246" t="s">
        <v>2619</v>
      </c>
      <c r="I1536" s="246" t="s">
        <v>28</v>
      </c>
      <c r="J1536" s="648" t="s">
        <v>30</v>
      </c>
      <c r="K1536" s="649" t="s">
        <v>29</v>
      </c>
      <c r="L1536" s="1059">
        <v>0.6</v>
      </c>
      <c r="M1536" s="1060" t="s">
        <v>2633</v>
      </c>
      <c r="N1536" s="1061" t="s">
        <v>2634</v>
      </c>
      <c r="O1536" s="799"/>
      <c r="P1536" s="1062">
        <v>42860.330649873424</v>
      </c>
      <c r="Q1536" s="1063">
        <v>0.02</v>
      </c>
      <c r="R1536" s="1062"/>
      <c r="S1536" s="215">
        <f t="shared" si="46"/>
        <v>0</v>
      </c>
      <c r="T1536" s="223">
        <f t="shared" si="47"/>
        <v>0</v>
      </c>
      <c r="U1536" s="708" t="s">
        <v>34</v>
      </c>
      <c r="V1536" s="1064"/>
      <c r="W1536" s="799"/>
    </row>
    <row r="1537" spans="1:23" ht="22.95" customHeight="1" x14ac:dyDescent="0.4">
      <c r="A1537" s="788">
        <v>1536</v>
      </c>
      <c r="B1537" s="198" t="s">
        <v>2616</v>
      </c>
      <c r="C1537" s="246" t="s">
        <v>24</v>
      </c>
      <c r="D1537" s="1134">
        <v>1000</v>
      </c>
      <c r="E1537" s="246" t="s">
        <v>4214</v>
      </c>
      <c r="F1537" s="246" t="s">
        <v>4229</v>
      </c>
      <c r="G1537" s="1170">
        <v>3192</v>
      </c>
      <c r="H1537" s="246" t="s">
        <v>2619</v>
      </c>
      <c r="I1537" s="246" t="s">
        <v>28</v>
      </c>
      <c r="J1537" s="648" t="s">
        <v>30</v>
      </c>
      <c r="K1537" s="649" t="s">
        <v>29</v>
      </c>
      <c r="L1537" s="1059">
        <v>0.6</v>
      </c>
      <c r="M1537" s="1060" t="s">
        <v>2635</v>
      </c>
      <c r="N1537" s="1061" t="s">
        <v>2636</v>
      </c>
      <c r="O1537" s="799"/>
      <c r="P1537" s="1062">
        <v>1822851.8475738494</v>
      </c>
      <c r="Q1537" s="1063">
        <v>0.15</v>
      </c>
      <c r="R1537" s="1062"/>
      <c r="S1537" s="215">
        <f t="shared" si="46"/>
        <v>0</v>
      </c>
      <c r="T1537" s="223">
        <f t="shared" si="47"/>
        <v>0</v>
      </c>
      <c r="U1537" s="708" t="s">
        <v>34</v>
      </c>
      <c r="V1537" s="1064"/>
      <c r="W1537" s="799"/>
    </row>
    <row r="1538" spans="1:23" ht="22.95" customHeight="1" x14ac:dyDescent="0.4">
      <c r="A1538" s="788">
        <v>1537</v>
      </c>
      <c r="B1538" s="198" t="s">
        <v>2616</v>
      </c>
      <c r="C1538" s="246" t="s">
        <v>24</v>
      </c>
      <c r="D1538" s="1134">
        <v>1000</v>
      </c>
      <c r="E1538" s="246" t="s">
        <v>4214</v>
      </c>
      <c r="F1538" s="246" t="s">
        <v>4229</v>
      </c>
      <c r="G1538" s="1170">
        <v>3192</v>
      </c>
      <c r="H1538" s="246" t="s">
        <v>2619</v>
      </c>
      <c r="I1538" s="246" t="s">
        <v>28</v>
      </c>
      <c r="J1538" s="648" t="s">
        <v>30</v>
      </c>
      <c r="K1538" s="649" t="s">
        <v>29</v>
      </c>
      <c r="L1538" s="1059">
        <v>0.6</v>
      </c>
      <c r="M1538" s="1060" t="s">
        <v>2637</v>
      </c>
      <c r="N1538" s="1061" t="s">
        <v>2638</v>
      </c>
      <c r="O1538" s="799"/>
      <c r="P1538" s="1062">
        <v>632149.86058619968</v>
      </c>
      <c r="Q1538" s="1063">
        <v>0.1</v>
      </c>
      <c r="R1538" s="1062"/>
      <c r="S1538" s="215">
        <f t="shared" ref="S1538:S1601" si="48">ROUND(IF(OR(P1538="",R1538=""),0,IF(AND(P1538=0,R1538=0),1,IF(U1538="+",R1538/P1538,P1538/R1538))),2)</f>
        <v>0</v>
      </c>
      <c r="T1538" s="223">
        <f t="shared" ref="T1538:T1601" si="49">IF(AND(S1538&gt;=60%,S1538&lt;100%),S1538*((Q1538*L1538)),IF(S1538=100%,((Q1538*L1538)*S1538)*100%,IF(S1538&gt;100%,((L1538*Q1538)*100%)*100%,0)))*100</f>
        <v>0</v>
      </c>
      <c r="U1538" s="708" t="s">
        <v>34</v>
      </c>
      <c r="V1538" s="1064"/>
      <c r="W1538" s="799"/>
    </row>
    <row r="1539" spans="1:23" ht="22.95" customHeight="1" x14ac:dyDescent="0.4">
      <c r="A1539" s="788">
        <v>1538</v>
      </c>
      <c r="B1539" s="198" t="s">
        <v>2616</v>
      </c>
      <c r="C1539" s="246" t="s">
        <v>24</v>
      </c>
      <c r="D1539" s="1134">
        <v>1000</v>
      </c>
      <c r="E1539" s="246" t="s">
        <v>4214</v>
      </c>
      <c r="F1539" s="246" t="s">
        <v>4229</v>
      </c>
      <c r="G1539" s="1170">
        <v>3192</v>
      </c>
      <c r="H1539" s="246" t="s">
        <v>2619</v>
      </c>
      <c r="I1539" s="246" t="s">
        <v>28</v>
      </c>
      <c r="J1539" s="648" t="s">
        <v>30</v>
      </c>
      <c r="K1539" s="649" t="s">
        <v>29</v>
      </c>
      <c r="L1539" s="1059">
        <v>0.6</v>
      </c>
      <c r="M1539" s="1060" t="s">
        <v>2639</v>
      </c>
      <c r="N1539" s="1061" t="s">
        <v>2640</v>
      </c>
      <c r="O1539" s="799"/>
      <c r="P1539" s="1062">
        <v>1582673.167066941</v>
      </c>
      <c r="Q1539" s="1063">
        <v>0.05</v>
      </c>
      <c r="R1539" s="1062"/>
      <c r="S1539" s="215">
        <f t="shared" si="48"/>
        <v>0</v>
      </c>
      <c r="T1539" s="223">
        <f t="shared" si="49"/>
        <v>0</v>
      </c>
      <c r="U1539" s="708" t="s">
        <v>34</v>
      </c>
      <c r="V1539" s="1064"/>
      <c r="W1539" s="799"/>
    </row>
    <row r="1540" spans="1:23" ht="22.95" customHeight="1" x14ac:dyDescent="0.4">
      <c r="A1540" s="788">
        <v>1539</v>
      </c>
      <c r="B1540" s="198" t="s">
        <v>2616</v>
      </c>
      <c r="C1540" s="246" t="s">
        <v>24</v>
      </c>
      <c r="D1540" s="1134">
        <v>1000</v>
      </c>
      <c r="E1540" s="246" t="s">
        <v>4214</v>
      </c>
      <c r="F1540" s="246" t="s">
        <v>4229</v>
      </c>
      <c r="G1540" s="1170">
        <v>3192</v>
      </c>
      <c r="H1540" s="246" t="s">
        <v>2619</v>
      </c>
      <c r="I1540" s="246" t="s">
        <v>28</v>
      </c>
      <c r="J1540" s="648" t="s">
        <v>30</v>
      </c>
      <c r="K1540" s="649" t="s">
        <v>29</v>
      </c>
      <c r="L1540" s="1059">
        <v>0.6</v>
      </c>
      <c r="M1540" s="1060" t="s">
        <v>2641</v>
      </c>
      <c r="N1540" s="1061" t="s">
        <v>2642</v>
      </c>
      <c r="O1540" s="799"/>
      <c r="P1540" s="1062">
        <v>52500</v>
      </c>
      <c r="Q1540" s="1063">
        <v>0.01</v>
      </c>
      <c r="R1540" s="1062"/>
      <c r="S1540" s="215">
        <f t="shared" si="48"/>
        <v>0</v>
      </c>
      <c r="T1540" s="223">
        <f t="shared" si="49"/>
        <v>0</v>
      </c>
      <c r="U1540" s="708" t="s">
        <v>34</v>
      </c>
      <c r="V1540" s="1064"/>
      <c r="W1540" s="799"/>
    </row>
    <row r="1541" spans="1:23" ht="22.95" customHeight="1" x14ac:dyDescent="0.4">
      <c r="A1541" s="788">
        <v>1540</v>
      </c>
      <c r="B1541" s="198" t="s">
        <v>2616</v>
      </c>
      <c r="C1541" s="246" t="s">
        <v>24</v>
      </c>
      <c r="D1541" s="1134">
        <v>1000</v>
      </c>
      <c r="E1541" s="246" t="s">
        <v>4214</v>
      </c>
      <c r="F1541" s="246" t="s">
        <v>4229</v>
      </c>
      <c r="G1541" s="1170">
        <v>3192</v>
      </c>
      <c r="H1541" s="246" t="s">
        <v>2619</v>
      </c>
      <c r="I1541" s="246" t="s">
        <v>28</v>
      </c>
      <c r="J1541" s="648" t="s">
        <v>30</v>
      </c>
      <c r="K1541" s="649" t="s">
        <v>29</v>
      </c>
      <c r="L1541" s="1059">
        <v>0.6</v>
      </c>
      <c r="M1541" s="1060" t="s">
        <v>2643</v>
      </c>
      <c r="N1541" s="1061" t="s">
        <v>2644</v>
      </c>
      <c r="O1541" s="799"/>
      <c r="P1541" s="1062">
        <v>28325616.5089917</v>
      </c>
      <c r="Q1541" s="1063">
        <v>0.03</v>
      </c>
      <c r="R1541" s="1062"/>
      <c r="S1541" s="215">
        <f t="shared" si="48"/>
        <v>0</v>
      </c>
      <c r="T1541" s="223">
        <f t="shared" si="49"/>
        <v>0</v>
      </c>
      <c r="U1541" s="708" t="s">
        <v>34</v>
      </c>
      <c r="V1541" s="1064"/>
      <c r="W1541" s="799"/>
    </row>
    <row r="1542" spans="1:23" ht="22.95" customHeight="1" x14ac:dyDescent="0.4">
      <c r="A1542" s="788">
        <v>1541</v>
      </c>
      <c r="B1542" s="198" t="s">
        <v>2616</v>
      </c>
      <c r="C1542" s="246" t="s">
        <v>24</v>
      </c>
      <c r="D1542" s="1134">
        <v>1000</v>
      </c>
      <c r="E1542" s="246" t="s">
        <v>4214</v>
      </c>
      <c r="F1542" s="246" t="s">
        <v>4229</v>
      </c>
      <c r="G1542" s="1170">
        <v>3192</v>
      </c>
      <c r="H1542" s="246" t="s">
        <v>2619</v>
      </c>
      <c r="I1542" s="246" t="s">
        <v>28</v>
      </c>
      <c r="J1542" s="648" t="s">
        <v>30</v>
      </c>
      <c r="K1542" s="649" t="s">
        <v>29</v>
      </c>
      <c r="L1542" s="1059">
        <v>0.6</v>
      </c>
      <c r="M1542" s="1060" t="s">
        <v>51</v>
      </c>
      <c r="N1542" s="1061" t="s">
        <v>2645</v>
      </c>
      <c r="O1542" s="799"/>
      <c r="P1542" s="1062">
        <v>350000</v>
      </c>
      <c r="Q1542" s="1063">
        <v>0.01</v>
      </c>
      <c r="R1542" s="1062"/>
      <c r="S1542" s="215">
        <f t="shared" si="48"/>
        <v>0</v>
      </c>
      <c r="T1542" s="223">
        <f t="shared" si="49"/>
        <v>0</v>
      </c>
      <c r="U1542" s="708" t="s">
        <v>34</v>
      </c>
      <c r="V1542" s="1064"/>
      <c r="W1542" s="799"/>
    </row>
    <row r="1543" spans="1:23" ht="22.95" customHeight="1" x14ac:dyDescent="0.4">
      <c r="A1543" s="788">
        <v>1542</v>
      </c>
      <c r="B1543" s="198" t="s">
        <v>2616</v>
      </c>
      <c r="C1543" s="246" t="s">
        <v>24</v>
      </c>
      <c r="D1543" s="1134">
        <v>1000</v>
      </c>
      <c r="E1543" s="246" t="s">
        <v>4214</v>
      </c>
      <c r="F1543" s="246" t="s">
        <v>4229</v>
      </c>
      <c r="G1543" s="1170">
        <v>3192</v>
      </c>
      <c r="H1543" s="246" t="s">
        <v>2619</v>
      </c>
      <c r="I1543" s="246" t="s">
        <v>28</v>
      </c>
      <c r="J1543" s="648" t="s">
        <v>30</v>
      </c>
      <c r="K1543" s="649" t="s">
        <v>29</v>
      </c>
      <c r="L1543" s="1059">
        <v>0.6</v>
      </c>
      <c r="M1543" s="1060" t="s">
        <v>2646</v>
      </c>
      <c r="N1543" s="1061" t="s">
        <v>2647</v>
      </c>
      <c r="O1543" s="799"/>
      <c r="P1543" s="1062">
        <v>12008.568758934001</v>
      </c>
      <c r="Q1543" s="1063">
        <v>0.01</v>
      </c>
      <c r="R1543" s="1062"/>
      <c r="S1543" s="215">
        <f t="shared" si="48"/>
        <v>0</v>
      </c>
      <c r="T1543" s="223">
        <f t="shared" si="49"/>
        <v>0</v>
      </c>
      <c r="U1543" s="708" t="s">
        <v>34</v>
      </c>
      <c r="V1543" s="1064"/>
      <c r="W1543" s="799"/>
    </row>
    <row r="1544" spans="1:23" ht="22.95" customHeight="1" x14ac:dyDescent="0.4">
      <c r="A1544" s="788">
        <v>1543</v>
      </c>
      <c r="B1544" s="198" t="s">
        <v>2616</v>
      </c>
      <c r="C1544" s="246" t="s">
        <v>24</v>
      </c>
      <c r="D1544" s="1134">
        <v>1000</v>
      </c>
      <c r="E1544" s="246" t="s">
        <v>4214</v>
      </c>
      <c r="F1544" s="246" t="s">
        <v>4229</v>
      </c>
      <c r="G1544" s="1170">
        <v>3192</v>
      </c>
      <c r="H1544" s="246" t="s">
        <v>2619</v>
      </c>
      <c r="I1544" s="246" t="s">
        <v>28</v>
      </c>
      <c r="J1544" s="648" t="s">
        <v>30</v>
      </c>
      <c r="K1544" s="649" t="s">
        <v>29</v>
      </c>
      <c r="L1544" s="1059">
        <v>0.6</v>
      </c>
      <c r="M1544" s="1060" t="s">
        <v>2648</v>
      </c>
      <c r="N1544" s="1061" t="s">
        <v>2649</v>
      </c>
      <c r="O1544" s="799"/>
      <c r="P1544" s="1065">
        <v>0.25021096971668699</v>
      </c>
      <c r="Q1544" s="1063">
        <v>0.1</v>
      </c>
      <c r="R1544" s="1065"/>
      <c r="S1544" s="215">
        <f t="shared" si="48"/>
        <v>0</v>
      </c>
      <c r="T1544" s="223">
        <f t="shared" si="49"/>
        <v>0</v>
      </c>
      <c r="U1544" s="708" t="s">
        <v>34</v>
      </c>
      <c r="V1544" s="1064"/>
      <c r="W1544" s="799"/>
    </row>
    <row r="1545" spans="1:23" ht="22.95" customHeight="1" x14ac:dyDescent="0.4">
      <c r="A1545" s="788">
        <v>1544</v>
      </c>
      <c r="B1545" s="198" t="s">
        <v>2616</v>
      </c>
      <c r="C1545" s="246" t="s">
        <v>24</v>
      </c>
      <c r="D1545" s="1134">
        <v>1000</v>
      </c>
      <c r="E1545" s="246" t="s">
        <v>4214</v>
      </c>
      <c r="F1545" s="246" t="s">
        <v>4229</v>
      </c>
      <c r="G1545" s="1170">
        <v>3192</v>
      </c>
      <c r="H1545" s="246" t="s">
        <v>2619</v>
      </c>
      <c r="I1545" s="246" t="s">
        <v>28</v>
      </c>
      <c r="J1545" s="648" t="s">
        <v>30</v>
      </c>
      <c r="K1545" s="649" t="s">
        <v>29</v>
      </c>
      <c r="L1545" s="1059">
        <v>0.6</v>
      </c>
      <c r="M1545" s="1060" t="s">
        <v>2650</v>
      </c>
      <c r="N1545" s="1061" t="s">
        <v>2651</v>
      </c>
      <c r="O1545" s="799"/>
      <c r="P1545" s="1065">
        <v>0.12657225245499898</v>
      </c>
      <c r="Q1545" s="1063">
        <v>7.0000000000000007E-2</v>
      </c>
      <c r="R1545" s="1065"/>
      <c r="S1545" s="215">
        <f t="shared" si="48"/>
        <v>0</v>
      </c>
      <c r="T1545" s="223">
        <f t="shared" si="49"/>
        <v>0</v>
      </c>
      <c r="U1545" s="708" t="s">
        <v>34</v>
      </c>
      <c r="V1545" s="1064"/>
      <c r="W1545" s="799"/>
    </row>
    <row r="1546" spans="1:23" ht="22.95" customHeight="1" x14ac:dyDescent="0.4">
      <c r="A1546" s="788">
        <v>1545</v>
      </c>
      <c r="B1546" s="198" t="s">
        <v>2616</v>
      </c>
      <c r="C1546" s="246" t="s">
        <v>24</v>
      </c>
      <c r="D1546" s="1134">
        <v>1000</v>
      </c>
      <c r="E1546" s="246" t="s">
        <v>4214</v>
      </c>
      <c r="F1546" s="246" t="s">
        <v>4229</v>
      </c>
      <c r="G1546" s="1170">
        <v>3192</v>
      </c>
      <c r="H1546" s="246" t="s">
        <v>2619</v>
      </c>
      <c r="I1546" s="246" t="s">
        <v>28</v>
      </c>
      <c r="J1546" s="79" t="s">
        <v>58</v>
      </c>
      <c r="K1546" s="1656" t="s">
        <v>57</v>
      </c>
      <c r="L1546" s="1301">
        <v>0.15</v>
      </c>
      <c r="M1546" s="821" t="s">
        <v>4230</v>
      </c>
      <c r="N1546" s="757" t="s">
        <v>4231</v>
      </c>
      <c r="O1546" s="840"/>
      <c r="P1546" s="647">
        <v>0.9</v>
      </c>
      <c r="Q1546" s="1657">
        <v>0.15</v>
      </c>
      <c r="R1546" s="647"/>
      <c r="S1546" s="204">
        <f t="shared" si="48"/>
        <v>0</v>
      </c>
      <c r="T1546" s="960">
        <f t="shared" si="49"/>
        <v>0</v>
      </c>
      <c r="U1546" s="1492" t="s">
        <v>34</v>
      </c>
      <c r="V1546" s="1545"/>
      <c r="W1546" s="799"/>
    </row>
    <row r="1547" spans="1:23" ht="22.95" customHeight="1" x14ac:dyDescent="0.4">
      <c r="A1547" s="788">
        <v>1546</v>
      </c>
      <c r="B1547" s="198" t="s">
        <v>2616</v>
      </c>
      <c r="C1547" s="246" t="s">
        <v>24</v>
      </c>
      <c r="D1547" s="1134">
        <v>1000</v>
      </c>
      <c r="E1547" s="246" t="s">
        <v>4214</v>
      </c>
      <c r="F1547" s="246" t="s">
        <v>4229</v>
      </c>
      <c r="G1547" s="1170">
        <v>3192</v>
      </c>
      <c r="H1547" s="246" t="s">
        <v>2619</v>
      </c>
      <c r="I1547" s="246" t="s">
        <v>28</v>
      </c>
      <c r="J1547" s="79" t="s">
        <v>58</v>
      </c>
      <c r="K1547" s="1656" t="s">
        <v>57</v>
      </c>
      <c r="L1547" s="1301">
        <v>0.15</v>
      </c>
      <c r="M1547" s="756" t="s">
        <v>4232</v>
      </c>
      <c r="N1547" s="818" t="s">
        <v>4233</v>
      </c>
      <c r="O1547" s="840"/>
      <c r="P1547" s="647">
        <v>0.9</v>
      </c>
      <c r="Q1547" s="1657">
        <v>0.06</v>
      </c>
      <c r="R1547" s="647"/>
      <c r="S1547" s="204">
        <f t="shared" si="48"/>
        <v>0</v>
      </c>
      <c r="T1547" s="960">
        <f t="shared" si="49"/>
        <v>0</v>
      </c>
      <c r="U1547" s="1492" t="s">
        <v>34</v>
      </c>
      <c r="V1547" s="1545"/>
      <c r="W1547" s="799"/>
    </row>
    <row r="1548" spans="1:23" ht="22.95" customHeight="1" x14ac:dyDescent="0.4">
      <c r="A1548" s="788">
        <v>1547</v>
      </c>
      <c r="B1548" s="198" t="s">
        <v>2616</v>
      </c>
      <c r="C1548" s="246" t="s">
        <v>24</v>
      </c>
      <c r="D1548" s="1134">
        <v>1000</v>
      </c>
      <c r="E1548" s="246" t="s">
        <v>4214</v>
      </c>
      <c r="F1548" s="246" t="s">
        <v>4229</v>
      </c>
      <c r="G1548" s="1170">
        <v>3192</v>
      </c>
      <c r="H1548" s="246" t="s">
        <v>2619</v>
      </c>
      <c r="I1548" s="246" t="s">
        <v>28</v>
      </c>
      <c r="J1548" s="79" t="s">
        <v>58</v>
      </c>
      <c r="K1548" s="1656" t="s">
        <v>57</v>
      </c>
      <c r="L1548" s="1301">
        <v>0.15</v>
      </c>
      <c r="M1548" s="756" t="s">
        <v>4234</v>
      </c>
      <c r="N1548" s="819" t="s">
        <v>4235</v>
      </c>
      <c r="O1548" s="840"/>
      <c r="P1548" s="647">
        <v>0.8</v>
      </c>
      <c r="Q1548" s="1657">
        <v>0.06</v>
      </c>
      <c r="R1548" s="647"/>
      <c r="S1548" s="204">
        <f t="shared" si="48"/>
        <v>0</v>
      </c>
      <c r="T1548" s="960">
        <f t="shared" si="49"/>
        <v>0</v>
      </c>
      <c r="U1548" s="1492" t="s">
        <v>34</v>
      </c>
      <c r="V1548" s="1545"/>
      <c r="W1548" s="799"/>
    </row>
    <row r="1549" spans="1:23" ht="22.95" customHeight="1" x14ac:dyDescent="0.4">
      <c r="A1549" s="788">
        <v>1548</v>
      </c>
      <c r="B1549" s="198" t="s">
        <v>2616</v>
      </c>
      <c r="C1549" s="246" t="s">
        <v>24</v>
      </c>
      <c r="D1549" s="1134">
        <v>1000</v>
      </c>
      <c r="E1549" s="246" t="s">
        <v>4214</v>
      </c>
      <c r="F1549" s="246" t="s">
        <v>4229</v>
      </c>
      <c r="G1549" s="1170">
        <v>3192</v>
      </c>
      <c r="H1549" s="246" t="s">
        <v>2619</v>
      </c>
      <c r="I1549" s="246" t="s">
        <v>28</v>
      </c>
      <c r="J1549" s="79" t="s">
        <v>58</v>
      </c>
      <c r="K1549" s="1656" t="s">
        <v>57</v>
      </c>
      <c r="L1549" s="1301">
        <v>0.15</v>
      </c>
      <c r="M1549" s="821" t="s">
        <v>4236</v>
      </c>
      <c r="N1549" s="819" t="s">
        <v>4237</v>
      </c>
      <c r="O1549" s="840"/>
      <c r="P1549" s="647">
        <v>0.95</v>
      </c>
      <c r="Q1549" s="1657">
        <v>0.1</v>
      </c>
      <c r="R1549" s="647"/>
      <c r="S1549" s="204">
        <f t="shared" si="48"/>
        <v>0</v>
      </c>
      <c r="T1549" s="960">
        <f t="shared" si="49"/>
        <v>0</v>
      </c>
      <c r="U1549" s="1492" t="s">
        <v>34</v>
      </c>
      <c r="V1549" s="1545"/>
      <c r="W1549" s="799"/>
    </row>
    <row r="1550" spans="1:23" ht="22.95" customHeight="1" x14ac:dyDescent="0.4">
      <c r="A1550" s="788">
        <v>1549</v>
      </c>
      <c r="B1550" s="198" t="s">
        <v>2616</v>
      </c>
      <c r="C1550" s="246" t="s">
        <v>24</v>
      </c>
      <c r="D1550" s="1134">
        <v>1000</v>
      </c>
      <c r="E1550" s="246" t="s">
        <v>4214</v>
      </c>
      <c r="F1550" s="246" t="s">
        <v>4229</v>
      </c>
      <c r="G1550" s="1170">
        <v>3192</v>
      </c>
      <c r="H1550" s="246" t="s">
        <v>2619</v>
      </c>
      <c r="I1550" s="246" t="s">
        <v>28</v>
      </c>
      <c r="J1550" s="79" t="s">
        <v>58</v>
      </c>
      <c r="K1550" s="1656" t="s">
        <v>57</v>
      </c>
      <c r="L1550" s="1301">
        <v>0.15</v>
      </c>
      <c r="M1550" s="821" t="s">
        <v>4238</v>
      </c>
      <c r="N1550" s="818" t="s">
        <v>4239</v>
      </c>
      <c r="O1550" s="840"/>
      <c r="P1550" s="647">
        <v>0.95</v>
      </c>
      <c r="Q1550" s="1657">
        <v>0.1</v>
      </c>
      <c r="R1550" s="647"/>
      <c r="S1550" s="204">
        <f t="shared" si="48"/>
        <v>0</v>
      </c>
      <c r="T1550" s="960">
        <f t="shared" si="49"/>
        <v>0</v>
      </c>
      <c r="U1550" s="1492" t="s">
        <v>34</v>
      </c>
      <c r="V1550" s="1545"/>
      <c r="W1550" s="799"/>
    </row>
    <row r="1551" spans="1:23" ht="22.95" customHeight="1" x14ac:dyDescent="0.4">
      <c r="A1551" s="788">
        <v>1550</v>
      </c>
      <c r="B1551" s="198" t="s">
        <v>2616</v>
      </c>
      <c r="C1551" s="246" t="s">
        <v>24</v>
      </c>
      <c r="D1551" s="1134">
        <v>1000</v>
      </c>
      <c r="E1551" s="246" t="s">
        <v>4214</v>
      </c>
      <c r="F1551" s="246" t="s">
        <v>4229</v>
      </c>
      <c r="G1551" s="1170">
        <v>3192</v>
      </c>
      <c r="H1551" s="246" t="s">
        <v>2619</v>
      </c>
      <c r="I1551" s="246" t="s">
        <v>28</v>
      </c>
      <c r="J1551" s="79" t="s">
        <v>58</v>
      </c>
      <c r="K1551" s="1656" t="s">
        <v>57</v>
      </c>
      <c r="L1551" s="1301">
        <v>0.15</v>
      </c>
      <c r="M1551" s="756" t="s">
        <v>4240</v>
      </c>
      <c r="N1551" s="819" t="s">
        <v>4241</v>
      </c>
      <c r="O1551" s="840"/>
      <c r="P1551" s="764">
        <v>90</v>
      </c>
      <c r="Q1551" s="1657">
        <v>0.05</v>
      </c>
      <c r="R1551" s="764"/>
      <c r="S1551" s="204">
        <f t="shared" si="48"/>
        <v>0</v>
      </c>
      <c r="T1551" s="960">
        <f t="shared" si="49"/>
        <v>0</v>
      </c>
      <c r="U1551" s="1492" t="s">
        <v>34</v>
      </c>
      <c r="V1551" s="1545"/>
      <c r="W1551" s="799"/>
    </row>
    <row r="1552" spans="1:23" ht="22.95" customHeight="1" x14ac:dyDescent="0.4">
      <c r="A1552" s="788">
        <v>1551</v>
      </c>
      <c r="B1552" s="198" t="s">
        <v>2616</v>
      </c>
      <c r="C1552" s="246" t="s">
        <v>24</v>
      </c>
      <c r="D1552" s="1134">
        <v>1000</v>
      </c>
      <c r="E1552" s="246" t="s">
        <v>4214</v>
      </c>
      <c r="F1552" s="246" t="s">
        <v>4229</v>
      </c>
      <c r="G1552" s="1170">
        <v>3192</v>
      </c>
      <c r="H1552" s="246" t="s">
        <v>2619</v>
      </c>
      <c r="I1552" s="246" t="s">
        <v>28</v>
      </c>
      <c r="J1552" s="79" t="s">
        <v>58</v>
      </c>
      <c r="K1552" s="1656" t="s">
        <v>57</v>
      </c>
      <c r="L1552" s="1301">
        <v>0.15</v>
      </c>
      <c r="M1552" s="821" t="s">
        <v>4242</v>
      </c>
      <c r="N1552" s="818" t="s">
        <v>4243</v>
      </c>
      <c r="O1552" s="840"/>
      <c r="P1552" s="647">
        <v>0.99</v>
      </c>
      <c r="Q1552" s="1657">
        <v>0.15</v>
      </c>
      <c r="R1552" s="647"/>
      <c r="S1552" s="204">
        <f t="shared" si="48"/>
        <v>0</v>
      </c>
      <c r="T1552" s="960">
        <f t="shared" si="49"/>
        <v>0</v>
      </c>
      <c r="U1552" s="1492" t="s">
        <v>34</v>
      </c>
      <c r="V1552" s="1545"/>
      <c r="W1552" s="799"/>
    </row>
    <row r="1553" spans="1:23" ht="22.95" customHeight="1" x14ac:dyDescent="0.4">
      <c r="A1553" s="788">
        <v>1552</v>
      </c>
      <c r="B1553" s="198" t="s">
        <v>2616</v>
      </c>
      <c r="C1553" s="246" t="s">
        <v>24</v>
      </c>
      <c r="D1553" s="1134">
        <v>1000</v>
      </c>
      <c r="E1553" s="246" t="s">
        <v>4214</v>
      </c>
      <c r="F1553" s="246" t="s">
        <v>4229</v>
      </c>
      <c r="G1553" s="1170">
        <v>3192</v>
      </c>
      <c r="H1553" s="246" t="s">
        <v>2619</v>
      </c>
      <c r="I1553" s="246" t="s">
        <v>28</v>
      </c>
      <c r="J1553" s="79" t="s">
        <v>58</v>
      </c>
      <c r="K1553" s="1656" t="s">
        <v>57</v>
      </c>
      <c r="L1553" s="1301">
        <v>0.15</v>
      </c>
      <c r="M1553" s="821" t="s">
        <v>4244</v>
      </c>
      <c r="N1553" s="819" t="s">
        <v>4245</v>
      </c>
      <c r="O1553" s="1658" t="s">
        <v>4246</v>
      </c>
      <c r="P1553" s="823">
        <v>0.01</v>
      </c>
      <c r="Q1553" s="1657">
        <v>0.05</v>
      </c>
      <c r="R1553" s="823"/>
      <c r="S1553" s="204">
        <f t="shared" si="48"/>
        <v>0</v>
      </c>
      <c r="T1553" s="960">
        <f t="shared" si="49"/>
        <v>0</v>
      </c>
      <c r="U1553" s="1492" t="s">
        <v>83</v>
      </c>
      <c r="V1553" s="1545"/>
      <c r="W1553" s="799"/>
    </row>
    <row r="1554" spans="1:23" ht="22.95" customHeight="1" x14ac:dyDescent="0.4">
      <c r="A1554" s="788">
        <v>1553</v>
      </c>
      <c r="B1554" s="198" t="s">
        <v>2616</v>
      </c>
      <c r="C1554" s="246" t="s">
        <v>24</v>
      </c>
      <c r="D1554" s="1134">
        <v>1000</v>
      </c>
      <c r="E1554" s="246" t="s">
        <v>4214</v>
      </c>
      <c r="F1554" s="246" t="s">
        <v>4229</v>
      </c>
      <c r="G1554" s="1170">
        <v>3192</v>
      </c>
      <c r="H1554" s="246" t="s">
        <v>2619</v>
      </c>
      <c r="I1554" s="246" t="s">
        <v>28</v>
      </c>
      <c r="J1554" s="79" t="s">
        <v>58</v>
      </c>
      <c r="K1554" s="1656" t="s">
        <v>57</v>
      </c>
      <c r="L1554" s="1301">
        <v>0.15</v>
      </c>
      <c r="M1554" s="821" t="s">
        <v>4247</v>
      </c>
      <c r="N1554" s="819" t="s">
        <v>4248</v>
      </c>
      <c r="O1554" s="1658" t="s">
        <v>4249</v>
      </c>
      <c r="P1554" s="647">
        <v>0.03</v>
      </c>
      <c r="Q1554" s="1657">
        <v>0.03</v>
      </c>
      <c r="R1554" s="647"/>
      <c r="S1554" s="204">
        <f t="shared" si="48"/>
        <v>0</v>
      </c>
      <c r="T1554" s="960">
        <f t="shared" si="49"/>
        <v>0</v>
      </c>
      <c r="U1554" s="1492" t="s">
        <v>83</v>
      </c>
      <c r="V1554" s="1545"/>
      <c r="W1554" s="799"/>
    </row>
    <row r="1555" spans="1:23" ht="22.95" customHeight="1" x14ac:dyDescent="0.4">
      <c r="A1555" s="788">
        <v>1554</v>
      </c>
      <c r="B1555" s="198" t="s">
        <v>2616</v>
      </c>
      <c r="C1555" s="246" t="s">
        <v>24</v>
      </c>
      <c r="D1555" s="1134">
        <v>1000</v>
      </c>
      <c r="E1555" s="246" t="s">
        <v>4214</v>
      </c>
      <c r="F1555" s="246" t="s">
        <v>4229</v>
      </c>
      <c r="G1555" s="1170">
        <v>3192</v>
      </c>
      <c r="H1555" s="246" t="s">
        <v>2619</v>
      </c>
      <c r="I1555" s="246" t="s">
        <v>28</v>
      </c>
      <c r="J1555" s="79" t="s">
        <v>58</v>
      </c>
      <c r="K1555" s="1656" t="s">
        <v>57</v>
      </c>
      <c r="L1555" s="1301">
        <v>0.15</v>
      </c>
      <c r="M1555" s="821" t="s">
        <v>4250</v>
      </c>
      <c r="N1555" s="819" t="s">
        <v>4251</v>
      </c>
      <c r="O1555" s="840" t="s">
        <v>4252</v>
      </c>
      <c r="P1555" s="647">
        <v>0.95</v>
      </c>
      <c r="Q1555" s="1657">
        <v>0.05</v>
      </c>
      <c r="R1555" s="647"/>
      <c r="S1555" s="204">
        <f t="shared" si="48"/>
        <v>0</v>
      </c>
      <c r="T1555" s="960">
        <f t="shared" si="49"/>
        <v>0</v>
      </c>
      <c r="U1555" s="1492" t="s">
        <v>34</v>
      </c>
      <c r="V1555" s="1545"/>
      <c r="W1555" s="799"/>
    </row>
    <row r="1556" spans="1:23" ht="22.95" customHeight="1" x14ac:dyDescent="0.4">
      <c r="A1556" s="788">
        <v>1555</v>
      </c>
      <c r="B1556" s="198" t="s">
        <v>2616</v>
      </c>
      <c r="C1556" s="246" t="s">
        <v>24</v>
      </c>
      <c r="D1556" s="1134">
        <v>1000</v>
      </c>
      <c r="E1556" s="246" t="s">
        <v>4214</v>
      </c>
      <c r="F1556" s="246" t="s">
        <v>4229</v>
      </c>
      <c r="G1556" s="1170">
        <v>3192</v>
      </c>
      <c r="H1556" s="246" t="s">
        <v>2619</v>
      </c>
      <c r="I1556" s="246" t="s">
        <v>28</v>
      </c>
      <c r="J1556" s="79" t="s">
        <v>58</v>
      </c>
      <c r="K1556" s="1656" t="s">
        <v>57</v>
      </c>
      <c r="L1556" s="1301">
        <v>0.15</v>
      </c>
      <c r="M1556" s="756" t="s">
        <v>4253</v>
      </c>
      <c r="N1556" s="819" t="s">
        <v>4254</v>
      </c>
      <c r="O1556" s="840"/>
      <c r="P1556" s="764">
        <v>2</v>
      </c>
      <c r="Q1556" s="1657">
        <v>0.05</v>
      </c>
      <c r="R1556" s="764"/>
      <c r="S1556" s="204">
        <f t="shared" si="48"/>
        <v>0</v>
      </c>
      <c r="T1556" s="960">
        <f t="shared" si="49"/>
        <v>0</v>
      </c>
      <c r="U1556" s="1492" t="s">
        <v>34</v>
      </c>
      <c r="V1556" s="1545"/>
      <c r="W1556" s="799"/>
    </row>
    <row r="1557" spans="1:23" ht="22.95" customHeight="1" x14ac:dyDescent="0.4">
      <c r="A1557" s="788">
        <v>1556</v>
      </c>
      <c r="B1557" s="198" t="s">
        <v>2616</v>
      </c>
      <c r="C1557" s="246" t="s">
        <v>24</v>
      </c>
      <c r="D1557" s="1134">
        <v>1000</v>
      </c>
      <c r="E1557" s="246" t="s">
        <v>4214</v>
      </c>
      <c r="F1557" s="246" t="s">
        <v>4229</v>
      </c>
      <c r="G1557" s="1170">
        <v>3192</v>
      </c>
      <c r="H1557" s="246" t="s">
        <v>2619</v>
      </c>
      <c r="I1557" s="246" t="s">
        <v>28</v>
      </c>
      <c r="J1557" s="79" t="s">
        <v>58</v>
      </c>
      <c r="K1557" s="1656" t="s">
        <v>57</v>
      </c>
      <c r="L1557" s="1301">
        <v>0.15</v>
      </c>
      <c r="M1557" s="756" t="s">
        <v>4255</v>
      </c>
      <c r="N1557" s="819" t="s">
        <v>4256</v>
      </c>
      <c r="O1557" s="840"/>
      <c r="P1557" s="647">
        <v>0.75</v>
      </c>
      <c r="Q1557" s="1657">
        <v>0.05</v>
      </c>
      <c r="R1557" s="647"/>
      <c r="S1557" s="204">
        <f t="shared" si="48"/>
        <v>0</v>
      </c>
      <c r="T1557" s="960">
        <f t="shared" si="49"/>
        <v>0</v>
      </c>
      <c r="U1557" s="1492" t="s">
        <v>34</v>
      </c>
      <c r="V1557" s="1545"/>
      <c r="W1557" s="799"/>
    </row>
    <row r="1558" spans="1:23" ht="22.95" customHeight="1" x14ac:dyDescent="0.4">
      <c r="A1558" s="788">
        <v>1557</v>
      </c>
      <c r="B1558" s="198" t="s">
        <v>2616</v>
      </c>
      <c r="C1558" s="246" t="s">
        <v>24</v>
      </c>
      <c r="D1558" s="1134">
        <v>1000</v>
      </c>
      <c r="E1558" s="246" t="s">
        <v>4214</v>
      </c>
      <c r="F1558" s="246" t="s">
        <v>4229</v>
      </c>
      <c r="G1558" s="1170">
        <v>3192</v>
      </c>
      <c r="H1558" s="246" t="s">
        <v>2619</v>
      </c>
      <c r="I1558" s="246" t="s">
        <v>28</v>
      </c>
      <c r="J1558" s="79" t="s">
        <v>58</v>
      </c>
      <c r="K1558" s="1656" t="s">
        <v>57</v>
      </c>
      <c r="L1558" s="1301">
        <v>0.15</v>
      </c>
      <c r="M1558" s="821" t="s">
        <v>4257</v>
      </c>
      <c r="N1558" s="819" t="s">
        <v>4258</v>
      </c>
      <c r="O1558" s="840"/>
      <c r="P1558" s="764">
        <v>1</v>
      </c>
      <c r="Q1558" s="1657">
        <v>0.05</v>
      </c>
      <c r="R1558" s="764"/>
      <c r="S1558" s="204">
        <f t="shared" si="48"/>
        <v>0</v>
      </c>
      <c r="T1558" s="960">
        <f t="shared" si="49"/>
        <v>0</v>
      </c>
      <c r="U1558" s="1492" t="s">
        <v>83</v>
      </c>
      <c r="V1558" s="1545"/>
      <c r="W1558" s="799"/>
    </row>
    <row r="1559" spans="1:23" ht="22.95" customHeight="1" x14ac:dyDescent="0.4">
      <c r="A1559" s="788">
        <v>1558</v>
      </c>
      <c r="B1559" s="198" t="s">
        <v>2616</v>
      </c>
      <c r="C1559" s="246" t="s">
        <v>24</v>
      </c>
      <c r="D1559" s="1134">
        <v>1000</v>
      </c>
      <c r="E1559" s="246" t="s">
        <v>4214</v>
      </c>
      <c r="F1559" s="246" t="s">
        <v>4229</v>
      </c>
      <c r="G1559" s="1170">
        <v>3192</v>
      </c>
      <c r="H1559" s="246" t="s">
        <v>2619</v>
      </c>
      <c r="I1559" s="246" t="s">
        <v>28</v>
      </c>
      <c r="J1559" s="79" t="s">
        <v>58</v>
      </c>
      <c r="K1559" s="1656" t="s">
        <v>57</v>
      </c>
      <c r="L1559" s="1301">
        <v>0.15</v>
      </c>
      <c r="M1559" s="756" t="s">
        <v>4259</v>
      </c>
      <c r="N1559" s="819" t="s">
        <v>4260</v>
      </c>
      <c r="O1559" s="840"/>
      <c r="P1559" s="647">
        <v>0.95</v>
      </c>
      <c r="Q1559" s="1657">
        <v>0.05</v>
      </c>
      <c r="R1559" s="647"/>
      <c r="S1559" s="204">
        <f t="shared" si="48"/>
        <v>0</v>
      </c>
      <c r="T1559" s="960">
        <f t="shared" si="49"/>
        <v>0</v>
      </c>
      <c r="U1559" s="1492" t="s">
        <v>34</v>
      </c>
      <c r="V1559" s="1545"/>
      <c r="W1559" s="799"/>
    </row>
    <row r="1560" spans="1:23" ht="22.95" customHeight="1" x14ac:dyDescent="0.4">
      <c r="A1560" s="788">
        <v>1559</v>
      </c>
      <c r="B1560" s="198" t="s">
        <v>2616</v>
      </c>
      <c r="C1560" s="246" t="s">
        <v>24</v>
      </c>
      <c r="D1560" s="1134">
        <v>1000</v>
      </c>
      <c r="E1560" s="246" t="s">
        <v>4214</v>
      </c>
      <c r="F1560" s="246" t="s">
        <v>4229</v>
      </c>
      <c r="G1560" s="1170">
        <v>3192</v>
      </c>
      <c r="H1560" s="246" t="s">
        <v>2619</v>
      </c>
      <c r="I1560" s="246" t="s">
        <v>28</v>
      </c>
      <c r="J1560" s="648" t="s">
        <v>111</v>
      </c>
      <c r="K1560" s="649" t="s">
        <v>110</v>
      </c>
      <c r="L1560" s="1059">
        <v>0.25</v>
      </c>
      <c r="M1560" s="1060" t="s">
        <v>4261</v>
      </c>
      <c r="N1560" s="1659" t="s">
        <v>4262</v>
      </c>
      <c r="O1560" s="799"/>
      <c r="P1560" s="222">
        <v>1</v>
      </c>
      <c r="Q1560" s="1063">
        <v>0.35</v>
      </c>
      <c r="R1560" s="222"/>
      <c r="S1560" s="215">
        <f t="shared" si="48"/>
        <v>0</v>
      </c>
      <c r="T1560" s="223">
        <f t="shared" si="49"/>
        <v>0</v>
      </c>
      <c r="U1560" s="708" t="s">
        <v>34</v>
      </c>
      <c r="V1560" s="1064"/>
      <c r="W1560" s="799"/>
    </row>
    <row r="1561" spans="1:23" ht="22.95" customHeight="1" x14ac:dyDescent="0.4">
      <c r="A1561" s="788">
        <v>1560</v>
      </c>
      <c r="B1561" s="198" t="s">
        <v>2616</v>
      </c>
      <c r="C1561" s="246" t="s">
        <v>24</v>
      </c>
      <c r="D1561" s="1134">
        <v>1000</v>
      </c>
      <c r="E1561" s="246" t="s">
        <v>4214</v>
      </c>
      <c r="F1561" s="246" t="s">
        <v>4229</v>
      </c>
      <c r="G1561" s="1170">
        <v>3192</v>
      </c>
      <c r="H1561" s="246" t="s">
        <v>2619</v>
      </c>
      <c r="I1561" s="246" t="s">
        <v>28</v>
      </c>
      <c r="J1561" s="648" t="s">
        <v>111</v>
      </c>
      <c r="K1561" s="649" t="s">
        <v>110</v>
      </c>
      <c r="L1561" s="1059">
        <v>0.25</v>
      </c>
      <c r="M1561" s="829" t="s">
        <v>4263</v>
      </c>
      <c r="N1561" s="826" t="s">
        <v>4264</v>
      </c>
      <c r="O1561" s="799"/>
      <c r="P1561" s="222">
        <v>1</v>
      </c>
      <c r="Q1561" s="1063">
        <v>0.35</v>
      </c>
      <c r="R1561" s="222"/>
      <c r="S1561" s="215">
        <f t="shared" si="48"/>
        <v>0</v>
      </c>
      <c r="T1561" s="223">
        <f t="shared" si="49"/>
        <v>0</v>
      </c>
      <c r="U1561" s="708" t="s">
        <v>34</v>
      </c>
      <c r="V1561" s="1064"/>
      <c r="W1561" s="799"/>
    </row>
    <row r="1562" spans="1:23" ht="22.95" customHeight="1" x14ac:dyDescent="0.4">
      <c r="A1562" s="788">
        <v>1561</v>
      </c>
      <c r="B1562" s="198" t="s">
        <v>2616</v>
      </c>
      <c r="C1562" s="246" t="s">
        <v>24</v>
      </c>
      <c r="D1562" s="1134">
        <v>1000</v>
      </c>
      <c r="E1562" s="246" t="s">
        <v>4214</v>
      </c>
      <c r="F1562" s="246" t="s">
        <v>4229</v>
      </c>
      <c r="G1562" s="1170">
        <v>3192</v>
      </c>
      <c r="H1562" s="246" t="s">
        <v>2619</v>
      </c>
      <c r="I1562" s="246" t="s">
        <v>28</v>
      </c>
      <c r="J1562" s="648" t="s">
        <v>111</v>
      </c>
      <c r="K1562" s="649" t="s">
        <v>110</v>
      </c>
      <c r="L1562" s="1059">
        <v>0.25</v>
      </c>
      <c r="M1562" s="829" t="s">
        <v>4265</v>
      </c>
      <c r="N1562" s="827" t="s">
        <v>4266</v>
      </c>
      <c r="O1562" s="799"/>
      <c r="P1562" s="222">
        <v>1</v>
      </c>
      <c r="Q1562" s="1063">
        <v>0.3</v>
      </c>
      <c r="R1562" s="222"/>
      <c r="S1562" s="215">
        <f t="shared" si="48"/>
        <v>0</v>
      </c>
      <c r="T1562" s="223">
        <f t="shared" si="49"/>
        <v>0</v>
      </c>
      <c r="U1562" s="708" t="s">
        <v>34</v>
      </c>
      <c r="V1562" s="1064"/>
      <c r="W1562" s="799"/>
    </row>
    <row r="1563" spans="1:23" ht="22.95" customHeight="1" x14ac:dyDescent="0.4">
      <c r="A1563" s="788">
        <v>1562</v>
      </c>
      <c r="B1563" s="236" t="s">
        <v>2616</v>
      </c>
      <c r="C1563" s="187" t="s">
        <v>24</v>
      </c>
      <c r="D1563" s="1130">
        <v>2502</v>
      </c>
      <c r="E1563" s="187" t="s">
        <v>4267</v>
      </c>
      <c r="F1563" s="187" t="s">
        <v>4268</v>
      </c>
      <c r="G1563" s="1165">
        <v>3192</v>
      </c>
      <c r="H1563" s="187" t="s">
        <v>2619</v>
      </c>
      <c r="I1563" s="187" t="s">
        <v>28</v>
      </c>
      <c r="J1563" s="187" t="s">
        <v>30</v>
      </c>
      <c r="K1563" s="653" t="s">
        <v>29</v>
      </c>
      <c r="L1563" s="1052">
        <v>0.6</v>
      </c>
      <c r="M1563" s="748" t="s">
        <v>2620</v>
      </c>
      <c r="N1563" s="749" t="s">
        <v>2621</v>
      </c>
      <c r="O1563" s="1053"/>
      <c r="P1563" s="1053">
        <v>1856910.8756204764</v>
      </c>
      <c r="Q1563" s="1054">
        <v>0.15</v>
      </c>
      <c r="R1563" s="1053"/>
      <c r="S1563" s="855">
        <f t="shared" si="48"/>
        <v>0</v>
      </c>
      <c r="T1563" s="854">
        <f t="shared" si="49"/>
        <v>0</v>
      </c>
      <c r="U1563" s="966" t="s">
        <v>34</v>
      </c>
      <c r="V1563" s="1055">
        <f>SUM(T1563:T1610)%</f>
        <v>0</v>
      </c>
      <c r="W1563" s="791"/>
    </row>
    <row r="1564" spans="1:23" ht="22.95" customHeight="1" x14ac:dyDescent="0.4">
      <c r="A1564" s="788">
        <v>1563</v>
      </c>
      <c r="B1564" s="198" t="s">
        <v>2616</v>
      </c>
      <c r="C1564" s="246" t="s">
        <v>24</v>
      </c>
      <c r="D1564" s="1134">
        <v>2502</v>
      </c>
      <c r="E1564" s="246" t="s">
        <v>4267</v>
      </c>
      <c r="F1564" s="246" t="s">
        <v>4268</v>
      </c>
      <c r="G1564" s="1170">
        <v>3192</v>
      </c>
      <c r="H1564" s="246" t="s">
        <v>2619</v>
      </c>
      <c r="I1564" s="246" t="s">
        <v>28</v>
      </c>
      <c r="J1564" s="246" t="s">
        <v>30</v>
      </c>
      <c r="K1564" s="648" t="s">
        <v>29</v>
      </c>
      <c r="L1564" s="1059">
        <v>0.6</v>
      </c>
      <c r="M1564" s="1060" t="s">
        <v>2622</v>
      </c>
      <c r="N1564" s="1061" t="s">
        <v>2623</v>
      </c>
      <c r="O1564" s="1062"/>
      <c r="P1564" s="1062">
        <v>621419.69473720191</v>
      </c>
      <c r="Q1564" s="1063">
        <v>0.1</v>
      </c>
      <c r="R1564" s="1062"/>
      <c r="S1564" s="215">
        <f t="shared" si="48"/>
        <v>0</v>
      </c>
      <c r="T1564" s="223">
        <f t="shared" si="49"/>
        <v>0</v>
      </c>
      <c r="U1564" s="708" t="s">
        <v>34</v>
      </c>
      <c r="V1564" s="1064"/>
      <c r="W1564" s="799"/>
    </row>
    <row r="1565" spans="1:23" ht="22.95" customHeight="1" x14ac:dyDescent="0.4">
      <c r="A1565" s="788">
        <v>1564</v>
      </c>
      <c r="B1565" s="198" t="s">
        <v>2616</v>
      </c>
      <c r="C1565" s="246" t="s">
        <v>24</v>
      </c>
      <c r="D1565" s="1134">
        <v>2502</v>
      </c>
      <c r="E1565" s="246" t="s">
        <v>4267</v>
      </c>
      <c r="F1565" s="246" t="s">
        <v>4268</v>
      </c>
      <c r="G1565" s="1170">
        <v>3192</v>
      </c>
      <c r="H1565" s="246" t="s">
        <v>2619</v>
      </c>
      <c r="I1565" s="246" t="s">
        <v>28</v>
      </c>
      <c r="J1565" s="246" t="s">
        <v>30</v>
      </c>
      <c r="K1565" s="648" t="s">
        <v>29</v>
      </c>
      <c r="L1565" s="1059">
        <v>0.6</v>
      </c>
      <c r="M1565" s="1060" t="s">
        <v>2624</v>
      </c>
      <c r="N1565" s="1061" t="s">
        <v>2625</v>
      </c>
      <c r="O1565" s="1062"/>
      <c r="P1565" s="1062">
        <v>789737.85000000009</v>
      </c>
      <c r="Q1565" s="1063">
        <v>0.1</v>
      </c>
      <c r="R1565" s="1062"/>
      <c r="S1565" s="215">
        <f t="shared" si="48"/>
        <v>0</v>
      </c>
      <c r="T1565" s="223">
        <f t="shared" si="49"/>
        <v>0</v>
      </c>
      <c r="U1565" s="708" t="s">
        <v>34</v>
      </c>
      <c r="V1565" s="1064"/>
      <c r="W1565" s="799"/>
    </row>
    <row r="1566" spans="1:23" ht="22.95" customHeight="1" x14ac:dyDescent="0.4">
      <c r="A1566" s="788">
        <v>1565</v>
      </c>
      <c r="B1566" s="198" t="s">
        <v>2616</v>
      </c>
      <c r="C1566" s="246" t="s">
        <v>24</v>
      </c>
      <c r="D1566" s="1134">
        <v>2502</v>
      </c>
      <c r="E1566" s="246" t="s">
        <v>4267</v>
      </c>
      <c r="F1566" s="246" t="s">
        <v>4268</v>
      </c>
      <c r="G1566" s="1170">
        <v>3192</v>
      </c>
      <c r="H1566" s="246" t="s">
        <v>2619</v>
      </c>
      <c r="I1566" s="246" t="s">
        <v>28</v>
      </c>
      <c r="J1566" s="246" t="s">
        <v>30</v>
      </c>
      <c r="K1566" s="648" t="s">
        <v>29</v>
      </c>
      <c r="L1566" s="1059">
        <v>0.6</v>
      </c>
      <c r="M1566" s="1060" t="s">
        <v>2626</v>
      </c>
      <c r="N1566" s="1061" t="s">
        <v>2627</v>
      </c>
      <c r="O1566" s="1062"/>
      <c r="P1566" s="1062">
        <v>1406879.4938896229</v>
      </c>
      <c r="Q1566" s="1063">
        <v>0.05</v>
      </c>
      <c r="R1566" s="1062"/>
      <c r="S1566" s="215">
        <f t="shared" si="48"/>
        <v>0</v>
      </c>
      <c r="T1566" s="223">
        <f t="shared" si="49"/>
        <v>0</v>
      </c>
      <c r="U1566" s="708" t="s">
        <v>34</v>
      </c>
      <c r="V1566" s="1064"/>
      <c r="W1566" s="799"/>
    </row>
    <row r="1567" spans="1:23" ht="22.95" customHeight="1" x14ac:dyDescent="0.4">
      <c r="A1567" s="788">
        <v>1566</v>
      </c>
      <c r="B1567" s="198" t="s">
        <v>2616</v>
      </c>
      <c r="C1567" s="246" t="s">
        <v>24</v>
      </c>
      <c r="D1567" s="1134">
        <v>2502</v>
      </c>
      <c r="E1567" s="246" t="s">
        <v>4267</v>
      </c>
      <c r="F1567" s="246" t="s">
        <v>4268</v>
      </c>
      <c r="G1567" s="1170">
        <v>3192</v>
      </c>
      <c r="H1567" s="246" t="s">
        <v>2619</v>
      </c>
      <c r="I1567" s="246" t="s">
        <v>28</v>
      </c>
      <c r="J1567" s="246" t="s">
        <v>30</v>
      </c>
      <c r="K1567" s="648" t="s">
        <v>29</v>
      </c>
      <c r="L1567" s="1059">
        <v>0.6</v>
      </c>
      <c r="M1567" s="1060" t="s">
        <v>2628</v>
      </c>
      <c r="N1567" s="1061" t="s">
        <v>2629</v>
      </c>
      <c r="O1567" s="1062"/>
      <c r="P1567" s="1062">
        <v>48608.249727263406</v>
      </c>
      <c r="Q1567" s="1063">
        <v>0.01</v>
      </c>
      <c r="R1567" s="1062"/>
      <c r="S1567" s="215">
        <f t="shared" si="48"/>
        <v>0</v>
      </c>
      <c r="T1567" s="223">
        <f t="shared" si="49"/>
        <v>0</v>
      </c>
      <c r="U1567" s="708" t="s">
        <v>34</v>
      </c>
      <c r="V1567" s="1064"/>
      <c r="W1567" s="799"/>
    </row>
    <row r="1568" spans="1:23" ht="22.95" customHeight="1" x14ac:dyDescent="0.4">
      <c r="A1568" s="788">
        <v>1567</v>
      </c>
      <c r="B1568" s="198" t="s">
        <v>2616</v>
      </c>
      <c r="C1568" s="246" t="s">
        <v>24</v>
      </c>
      <c r="D1568" s="1134">
        <v>2502</v>
      </c>
      <c r="E1568" s="246" t="s">
        <v>4267</v>
      </c>
      <c r="F1568" s="246" t="s">
        <v>4268</v>
      </c>
      <c r="G1568" s="1170">
        <v>3192</v>
      </c>
      <c r="H1568" s="246" t="s">
        <v>2619</v>
      </c>
      <c r="I1568" s="246" t="s">
        <v>28</v>
      </c>
      <c r="J1568" s="246" t="s">
        <v>30</v>
      </c>
      <c r="K1568" s="648" t="s">
        <v>29</v>
      </c>
      <c r="L1568" s="1059">
        <v>0.6</v>
      </c>
      <c r="M1568" s="1060" t="s">
        <v>2630</v>
      </c>
      <c r="N1568" s="1061" t="s">
        <v>2631</v>
      </c>
      <c r="O1568" s="1062"/>
      <c r="P1568" s="1062">
        <v>48600000</v>
      </c>
      <c r="Q1568" s="1063">
        <v>0.03</v>
      </c>
      <c r="R1568" s="1062"/>
      <c r="S1568" s="215">
        <f t="shared" si="48"/>
        <v>0</v>
      </c>
      <c r="T1568" s="223">
        <f t="shared" si="49"/>
        <v>0</v>
      </c>
      <c r="U1568" s="708" t="s">
        <v>34</v>
      </c>
      <c r="V1568" s="1064"/>
      <c r="W1568" s="799"/>
    </row>
    <row r="1569" spans="1:23" ht="22.95" customHeight="1" x14ac:dyDescent="0.4">
      <c r="A1569" s="788">
        <v>1568</v>
      </c>
      <c r="B1569" s="198" t="s">
        <v>2616</v>
      </c>
      <c r="C1569" s="246" t="s">
        <v>24</v>
      </c>
      <c r="D1569" s="1134">
        <v>2502</v>
      </c>
      <c r="E1569" s="246" t="s">
        <v>4267</v>
      </c>
      <c r="F1569" s="246" t="s">
        <v>4268</v>
      </c>
      <c r="G1569" s="1170">
        <v>3192</v>
      </c>
      <c r="H1569" s="246" t="s">
        <v>2619</v>
      </c>
      <c r="I1569" s="246" t="s">
        <v>28</v>
      </c>
      <c r="J1569" s="246" t="s">
        <v>30</v>
      </c>
      <c r="K1569" s="648" t="s">
        <v>29</v>
      </c>
      <c r="L1569" s="1059">
        <v>0.6</v>
      </c>
      <c r="M1569" s="1060" t="s">
        <v>41</v>
      </c>
      <c r="N1569" s="1061" t="s">
        <v>2632</v>
      </c>
      <c r="O1569" s="1062"/>
      <c r="P1569" s="1062">
        <v>98000</v>
      </c>
      <c r="Q1569" s="1063">
        <v>0.01</v>
      </c>
      <c r="R1569" s="1062"/>
      <c r="S1569" s="215">
        <f t="shared" si="48"/>
        <v>0</v>
      </c>
      <c r="T1569" s="223">
        <f t="shared" si="49"/>
        <v>0</v>
      </c>
      <c r="U1569" s="708" t="s">
        <v>34</v>
      </c>
      <c r="V1569" s="1064"/>
      <c r="W1569" s="799"/>
    </row>
    <row r="1570" spans="1:23" ht="22.95" customHeight="1" x14ac:dyDescent="0.4">
      <c r="A1570" s="788">
        <v>1569</v>
      </c>
      <c r="B1570" s="198" t="s">
        <v>2616</v>
      </c>
      <c r="C1570" s="246" t="s">
        <v>24</v>
      </c>
      <c r="D1570" s="1134">
        <v>2502</v>
      </c>
      <c r="E1570" s="246" t="s">
        <v>4267</v>
      </c>
      <c r="F1570" s="246" t="s">
        <v>4268</v>
      </c>
      <c r="G1570" s="1170">
        <v>3192</v>
      </c>
      <c r="H1570" s="246" t="s">
        <v>2619</v>
      </c>
      <c r="I1570" s="246" t="s">
        <v>28</v>
      </c>
      <c r="J1570" s="246" t="s">
        <v>30</v>
      </c>
      <c r="K1570" s="648" t="s">
        <v>29</v>
      </c>
      <c r="L1570" s="1059">
        <v>0.6</v>
      </c>
      <c r="M1570" s="1060" t="s">
        <v>2633</v>
      </c>
      <c r="N1570" s="1061" t="s">
        <v>2634</v>
      </c>
      <c r="O1570" s="1062"/>
      <c r="P1570" s="1062">
        <v>42860.330649873424</v>
      </c>
      <c r="Q1570" s="1063">
        <v>0.02</v>
      </c>
      <c r="R1570" s="1062"/>
      <c r="S1570" s="215">
        <f t="shared" si="48"/>
        <v>0</v>
      </c>
      <c r="T1570" s="223">
        <f t="shared" si="49"/>
        <v>0</v>
      </c>
      <c r="U1570" s="708" t="s">
        <v>34</v>
      </c>
      <c r="V1570" s="1064"/>
      <c r="W1570" s="799"/>
    </row>
    <row r="1571" spans="1:23" ht="22.95" customHeight="1" x14ac:dyDescent="0.4">
      <c r="A1571" s="788">
        <v>1570</v>
      </c>
      <c r="B1571" s="198" t="s">
        <v>2616</v>
      </c>
      <c r="C1571" s="246" t="s">
        <v>24</v>
      </c>
      <c r="D1571" s="1134">
        <v>2502</v>
      </c>
      <c r="E1571" s="246" t="s">
        <v>4267</v>
      </c>
      <c r="F1571" s="246" t="s">
        <v>4268</v>
      </c>
      <c r="G1571" s="1170">
        <v>3192</v>
      </c>
      <c r="H1571" s="246" t="s">
        <v>2619</v>
      </c>
      <c r="I1571" s="246" t="s">
        <v>28</v>
      </c>
      <c r="J1571" s="246" t="s">
        <v>30</v>
      </c>
      <c r="K1571" s="648" t="s">
        <v>29</v>
      </c>
      <c r="L1571" s="1059">
        <v>0.6</v>
      </c>
      <c r="M1571" s="1060" t="s">
        <v>2635</v>
      </c>
      <c r="N1571" s="1061" t="s">
        <v>2636</v>
      </c>
      <c r="O1571" s="1062"/>
      <c r="P1571" s="1062">
        <v>1822851.8475738494</v>
      </c>
      <c r="Q1571" s="1063">
        <v>0.15</v>
      </c>
      <c r="R1571" s="1062"/>
      <c r="S1571" s="215">
        <f t="shared" si="48"/>
        <v>0</v>
      </c>
      <c r="T1571" s="223">
        <f t="shared" si="49"/>
        <v>0</v>
      </c>
      <c r="U1571" s="708" t="s">
        <v>34</v>
      </c>
      <c r="V1571" s="1064"/>
      <c r="W1571" s="799"/>
    </row>
    <row r="1572" spans="1:23" ht="22.95" customHeight="1" x14ac:dyDescent="0.4">
      <c r="A1572" s="788">
        <v>1571</v>
      </c>
      <c r="B1572" s="198" t="s">
        <v>2616</v>
      </c>
      <c r="C1572" s="246" t="s">
        <v>24</v>
      </c>
      <c r="D1572" s="1134">
        <v>2502</v>
      </c>
      <c r="E1572" s="246" t="s">
        <v>4267</v>
      </c>
      <c r="F1572" s="246" t="s">
        <v>4268</v>
      </c>
      <c r="G1572" s="1170">
        <v>3192</v>
      </c>
      <c r="H1572" s="246" t="s">
        <v>2619</v>
      </c>
      <c r="I1572" s="246" t="s">
        <v>28</v>
      </c>
      <c r="J1572" s="246" t="s">
        <v>30</v>
      </c>
      <c r="K1572" s="648" t="s">
        <v>29</v>
      </c>
      <c r="L1572" s="1059">
        <v>0.6</v>
      </c>
      <c r="M1572" s="1060" t="s">
        <v>2637</v>
      </c>
      <c r="N1572" s="1061" t="s">
        <v>2638</v>
      </c>
      <c r="O1572" s="1062"/>
      <c r="P1572" s="1062">
        <v>632149.86058619968</v>
      </c>
      <c r="Q1572" s="1063">
        <v>0.1</v>
      </c>
      <c r="R1572" s="1062"/>
      <c r="S1572" s="215">
        <f t="shared" si="48"/>
        <v>0</v>
      </c>
      <c r="T1572" s="223">
        <f t="shared" si="49"/>
        <v>0</v>
      </c>
      <c r="U1572" s="708" t="s">
        <v>34</v>
      </c>
      <c r="V1572" s="1064"/>
      <c r="W1572" s="799"/>
    </row>
    <row r="1573" spans="1:23" ht="22.95" customHeight="1" x14ac:dyDescent="0.4">
      <c r="A1573" s="788">
        <v>1572</v>
      </c>
      <c r="B1573" s="198" t="s">
        <v>2616</v>
      </c>
      <c r="C1573" s="246" t="s">
        <v>24</v>
      </c>
      <c r="D1573" s="1134">
        <v>2502</v>
      </c>
      <c r="E1573" s="246" t="s">
        <v>4267</v>
      </c>
      <c r="F1573" s="246" t="s">
        <v>4268</v>
      </c>
      <c r="G1573" s="1170">
        <v>3192</v>
      </c>
      <c r="H1573" s="246" t="s">
        <v>2619</v>
      </c>
      <c r="I1573" s="246" t="s">
        <v>28</v>
      </c>
      <c r="J1573" s="246" t="s">
        <v>30</v>
      </c>
      <c r="K1573" s="648" t="s">
        <v>29</v>
      </c>
      <c r="L1573" s="1059">
        <v>0.6</v>
      </c>
      <c r="M1573" s="1060" t="s">
        <v>2639</v>
      </c>
      <c r="N1573" s="1061" t="s">
        <v>2640</v>
      </c>
      <c r="O1573" s="1062"/>
      <c r="P1573" s="1062">
        <v>1582673.167066941</v>
      </c>
      <c r="Q1573" s="1063">
        <v>0.05</v>
      </c>
      <c r="R1573" s="1062"/>
      <c r="S1573" s="215">
        <f t="shared" si="48"/>
        <v>0</v>
      </c>
      <c r="T1573" s="223">
        <f t="shared" si="49"/>
        <v>0</v>
      </c>
      <c r="U1573" s="708" t="s">
        <v>34</v>
      </c>
      <c r="V1573" s="1064"/>
      <c r="W1573" s="799"/>
    </row>
    <row r="1574" spans="1:23" ht="22.95" customHeight="1" x14ac:dyDescent="0.4">
      <c r="A1574" s="788">
        <v>1573</v>
      </c>
      <c r="B1574" s="198" t="s">
        <v>2616</v>
      </c>
      <c r="C1574" s="246" t="s">
        <v>24</v>
      </c>
      <c r="D1574" s="1134">
        <v>2502</v>
      </c>
      <c r="E1574" s="246" t="s">
        <v>4267</v>
      </c>
      <c r="F1574" s="246" t="s">
        <v>4268</v>
      </c>
      <c r="G1574" s="1170">
        <v>3192</v>
      </c>
      <c r="H1574" s="246" t="s">
        <v>2619</v>
      </c>
      <c r="I1574" s="246" t="s">
        <v>28</v>
      </c>
      <c r="J1574" s="246" t="s">
        <v>30</v>
      </c>
      <c r="K1574" s="648" t="s">
        <v>29</v>
      </c>
      <c r="L1574" s="1059">
        <v>0.6</v>
      </c>
      <c r="M1574" s="1060" t="s">
        <v>2641</v>
      </c>
      <c r="N1574" s="1061" t="s">
        <v>2642</v>
      </c>
      <c r="O1574" s="1062"/>
      <c r="P1574" s="1062">
        <v>52500</v>
      </c>
      <c r="Q1574" s="1063">
        <v>0.01</v>
      </c>
      <c r="R1574" s="1062"/>
      <c r="S1574" s="215">
        <f t="shared" si="48"/>
        <v>0</v>
      </c>
      <c r="T1574" s="223">
        <f t="shared" si="49"/>
        <v>0</v>
      </c>
      <c r="U1574" s="708" t="s">
        <v>34</v>
      </c>
      <c r="V1574" s="1064"/>
      <c r="W1574" s="799"/>
    </row>
    <row r="1575" spans="1:23" ht="22.95" customHeight="1" x14ac:dyDescent="0.4">
      <c r="A1575" s="788">
        <v>1574</v>
      </c>
      <c r="B1575" s="198" t="s">
        <v>2616</v>
      </c>
      <c r="C1575" s="246" t="s">
        <v>24</v>
      </c>
      <c r="D1575" s="1134">
        <v>2502</v>
      </c>
      <c r="E1575" s="246" t="s">
        <v>4267</v>
      </c>
      <c r="F1575" s="246" t="s">
        <v>4268</v>
      </c>
      <c r="G1575" s="1170">
        <v>3192</v>
      </c>
      <c r="H1575" s="246" t="s">
        <v>2619</v>
      </c>
      <c r="I1575" s="246" t="s">
        <v>28</v>
      </c>
      <c r="J1575" s="246" t="s">
        <v>30</v>
      </c>
      <c r="K1575" s="648" t="s">
        <v>29</v>
      </c>
      <c r="L1575" s="1059">
        <v>0.6</v>
      </c>
      <c r="M1575" s="1060" t="s">
        <v>2643</v>
      </c>
      <c r="N1575" s="1061" t="s">
        <v>2644</v>
      </c>
      <c r="O1575" s="1062"/>
      <c r="P1575" s="1062">
        <v>28325616.5089917</v>
      </c>
      <c r="Q1575" s="1063">
        <v>0.03</v>
      </c>
      <c r="R1575" s="1062"/>
      <c r="S1575" s="215">
        <f t="shared" si="48"/>
        <v>0</v>
      </c>
      <c r="T1575" s="223">
        <f t="shared" si="49"/>
        <v>0</v>
      </c>
      <c r="U1575" s="708" t="s">
        <v>34</v>
      </c>
      <c r="V1575" s="1064"/>
      <c r="W1575" s="799"/>
    </row>
    <row r="1576" spans="1:23" ht="22.95" customHeight="1" x14ac:dyDescent="0.4">
      <c r="A1576" s="788">
        <v>1575</v>
      </c>
      <c r="B1576" s="198" t="s">
        <v>2616</v>
      </c>
      <c r="C1576" s="246" t="s">
        <v>24</v>
      </c>
      <c r="D1576" s="1134">
        <v>2502</v>
      </c>
      <c r="E1576" s="246" t="s">
        <v>4267</v>
      </c>
      <c r="F1576" s="246" t="s">
        <v>4268</v>
      </c>
      <c r="G1576" s="1170">
        <v>3192</v>
      </c>
      <c r="H1576" s="246" t="s">
        <v>2619</v>
      </c>
      <c r="I1576" s="246" t="s">
        <v>28</v>
      </c>
      <c r="J1576" s="246" t="s">
        <v>30</v>
      </c>
      <c r="K1576" s="648" t="s">
        <v>29</v>
      </c>
      <c r="L1576" s="1059">
        <v>0.6</v>
      </c>
      <c r="M1576" s="1060" t="s">
        <v>51</v>
      </c>
      <c r="N1576" s="1061" t="s">
        <v>2645</v>
      </c>
      <c r="O1576" s="1062"/>
      <c r="P1576" s="1062">
        <v>350000</v>
      </c>
      <c r="Q1576" s="1063">
        <v>0.01</v>
      </c>
      <c r="R1576" s="1062"/>
      <c r="S1576" s="215">
        <f t="shared" si="48"/>
        <v>0</v>
      </c>
      <c r="T1576" s="223">
        <f t="shared" si="49"/>
        <v>0</v>
      </c>
      <c r="U1576" s="708" t="s">
        <v>34</v>
      </c>
      <c r="V1576" s="1064"/>
      <c r="W1576" s="799"/>
    </row>
    <row r="1577" spans="1:23" ht="22.95" customHeight="1" x14ac:dyDescent="0.4">
      <c r="A1577" s="788">
        <v>1576</v>
      </c>
      <c r="B1577" s="198" t="s">
        <v>2616</v>
      </c>
      <c r="C1577" s="246" t="s">
        <v>24</v>
      </c>
      <c r="D1577" s="1134">
        <v>2502</v>
      </c>
      <c r="E1577" s="246" t="s">
        <v>4267</v>
      </c>
      <c r="F1577" s="246" t="s">
        <v>4268</v>
      </c>
      <c r="G1577" s="1170">
        <v>3192</v>
      </c>
      <c r="H1577" s="246" t="s">
        <v>2619</v>
      </c>
      <c r="I1577" s="246" t="s">
        <v>28</v>
      </c>
      <c r="J1577" s="246" t="s">
        <v>30</v>
      </c>
      <c r="K1577" s="648" t="s">
        <v>29</v>
      </c>
      <c r="L1577" s="1059">
        <v>0.6</v>
      </c>
      <c r="M1577" s="1060" t="s">
        <v>2646</v>
      </c>
      <c r="N1577" s="1061" t="s">
        <v>2647</v>
      </c>
      <c r="O1577" s="1062"/>
      <c r="P1577" s="1062">
        <v>12008.568758934001</v>
      </c>
      <c r="Q1577" s="1063">
        <v>0.01</v>
      </c>
      <c r="R1577" s="1062"/>
      <c r="S1577" s="215">
        <f t="shared" si="48"/>
        <v>0</v>
      </c>
      <c r="T1577" s="223">
        <f t="shared" si="49"/>
        <v>0</v>
      </c>
      <c r="U1577" s="708" t="s">
        <v>34</v>
      </c>
      <c r="V1577" s="1064"/>
      <c r="W1577" s="799"/>
    </row>
    <row r="1578" spans="1:23" ht="22.95" customHeight="1" x14ac:dyDescent="0.4">
      <c r="A1578" s="788">
        <v>1577</v>
      </c>
      <c r="B1578" s="198" t="s">
        <v>2616</v>
      </c>
      <c r="C1578" s="246" t="s">
        <v>24</v>
      </c>
      <c r="D1578" s="1134">
        <v>2502</v>
      </c>
      <c r="E1578" s="246" t="s">
        <v>4267</v>
      </c>
      <c r="F1578" s="246" t="s">
        <v>4268</v>
      </c>
      <c r="G1578" s="1170">
        <v>3192</v>
      </c>
      <c r="H1578" s="246" t="s">
        <v>2619</v>
      </c>
      <c r="I1578" s="246" t="s">
        <v>28</v>
      </c>
      <c r="J1578" s="246" t="s">
        <v>30</v>
      </c>
      <c r="K1578" s="648" t="s">
        <v>29</v>
      </c>
      <c r="L1578" s="1059">
        <v>0.6</v>
      </c>
      <c r="M1578" s="1060" t="s">
        <v>2648</v>
      </c>
      <c r="N1578" s="1061" t="s">
        <v>2649</v>
      </c>
      <c r="O1578" s="799"/>
      <c r="P1578" s="1065">
        <v>0.25021096971668699</v>
      </c>
      <c r="Q1578" s="1063">
        <v>0.1</v>
      </c>
      <c r="R1578" s="1065"/>
      <c r="S1578" s="215">
        <f t="shared" si="48"/>
        <v>0</v>
      </c>
      <c r="T1578" s="223">
        <f t="shared" si="49"/>
        <v>0</v>
      </c>
      <c r="U1578" s="708" t="s">
        <v>34</v>
      </c>
      <c r="V1578" s="1064"/>
      <c r="W1578" s="799"/>
    </row>
    <row r="1579" spans="1:23" ht="22.95" customHeight="1" x14ac:dyDescent="0.4">
      <c r="A1579" s="788">
        <v>1578</v>
      </c>
      <c r="B1579" s="198" t="s">
        <v>2616</v>
      </c>
      <c r="C1579" s="246" t="s">
        <v>24</v>
      </c>
      <c r="D1579" s="1134">
        <v>2502</v>
      </c>
      <c r="E1579" s="246" t="s">
        <v>4267</v>
      </c>
      <c r="F1579" s="246" t="s">
        <v>4268</v>
      </c>
      <c r="G1579" s="1170">
        <v>3192</v>
      </c>
      <c r="H1579" s="246" t="s">
        <v>2619</v>
      </c>
      <c r="I1579" s="246" t="s">
        <v>28</v>
      </c>
      <c r="J1579" s="246" t="s">
        <v>30</v>
      </c>
      <c r="K1579" s="648" t="s">
        <v>29</v>
      </c>
      <c r="L1579" s="1059">
        <v>0.6</v>
      </c>
      <c r="M1579" s="1060" t="s">
        <v>2650</v>
      </c>
      <c r="N1579" s="1061" t="s">
        <v>2651</v>
      </c>
      <c r="O1579" s="799"/>
      <c r="P1579" s="1065">
        <v>0.12657225245499898</v>
      </c>
      <c r="Q1579" s="1063">
        <v>7.0000000000000007E-2</v>
      </c>
      <c r="R1579" s="1065"/>
      <c r="S1579" s="215">
        <f t="shared" si="48"/>
        <v>0</v>
      </c>
      <c r="T1579" s="223">
        <f t="shared" si="49"/>
        <v>0</v>
      </c>
      <c r="U1579" s="708" t="s">
        <v>34</v>
      </c>
      <c r="V1579" s="1064"/>
      <c r="W1579" s="799"/>
    </row>
    <row r="1580" spans="1:23" ht="22.95" customHeight="1" x14ac:dyDescent="0.4">
      <c r="A1580" s="788">
        <v>1579</v>
      </c>
      <c r="B1580" s="198" t="s">
        <v>2616</v>
      </c>
      <c r="C1580" s="246" t="s">
        <v>24</v>
      </c>
      <c r="D1580" s="1134">
        <v>2502</v>
      </c>
      <c r="E1580" s="246" t="s">
        <v>4267</v>
      </c>
      <c r="F1580" s="246" t="s">
        <v>4268</v>
      </c>
      <c r="G1580" s="1170">
        <v>3192</v>
      </c>
      <c r="H1580" s="246" t="s">
        <v>2619</v>
      </c>
      <c r="I1580" s="246" t="s">
        <v>28</v>
      </c>
      <c r="J1580" s="692" t="s">
        <v>58</v>
      </c>
      <c r="K1580" s="692" t="s">
        <v>57</v>
      </c>
      <c r="L1580" s="1301">
        <v>0.15</v>
      </c>
      <c r="M1580" s="821" t="s">
        <v>4230</v>
      </c>
      <c r="N1580" s="757" t="s">
        <v>4231</v>
      </c>
      <c r="O1580" s="840"/>
      <c r="P1580" s="647">
        <v>0.9</v>
      </c>
      <c r="Q1580" s="1657">
        <v>0.1</v>
      </c>
      <c r="R1580" s="647"/>
      <c r="S1580" s="215">
        <f t="shared" si="48"/>
        <v>0</v>
      </c>
      <c r="T1580" s="223">
        <f t="shared" si="49"/>
        <v>0</v>
      </c>
      <c r="U1580" s="708" t="s">
        <v>34</v>
      </c>
      <c r="V1580" s="1064"/>
      <c r="W1580" s="799"/>
    </row>
    <row r="1581" spans="1:23" ht="22.95" customHeight="1" x14ac:dyDescent="0.4">
      <c r="A1581" s="788">
        <v>1580</v>
      </c>
      <c r="B1581" s="198" t="s">
        <v>2616</v>
      </c>
      <c r="C1581" s="246" t="s">
        <v>24</v>
      </c>
      <c r="D1581" s="1134">
        <v>2502</v>
      </c>
      <c r="E1581" s="246" t="s">
        <v>4267</v>
      </c>
      <c r="F1581" s="246" t="s">
        <v>4268</v>
      </c>
      <c r="G1581" s="1170">
        <v>3192</v>
      </c>
      <c r="H1581" s="246" t="s">
        <v>2619</v>
      </c>
      <c r="I1581" s="246" t="s">
        <v>28</v>
      </c>
      <c r="J1581" s="692" t="s">
        <v>58</v>
      </c>
      <c r="K1581" s="692" t="s">
        <v>57</v>
      </c>
      <c r="L1581" s="1301">
        <v>0.15</v>
      </c>
      <c r="M1581" s="756" t="s">
        <v>4232</v>
      </c>
      <c r="N1581" s="818" t="s">
        <v>4269</v>
      </c>
      <c r="O1581" s="840" t="s">
        <v>4270</v>
      </c>
      <c r="P1581" s="647">
        <v>0.9</v>
      </c>
      <c r="Q1581" s="1657">
        <v>0.06</v>
      </c>
      <c r="R1581" s="647"/>
      <c r="S1581" s="215">
        <f t="shared" si="48"/>
        <v>0</v>
      </c>
      <c r="T1581" s="223">
        <f t="shared" si="49"/>
        <v>0</v>
      </c>
      <c r="U1581" s="708" t="s">
        <v>34</v>
      </c>
      <c r="V1581" s="1064"/>
      <c r="W1581" s="799"/>
    </row>
    <row r="1582" spans="1:23" ht="22.95" customHeight="1" x14ac:dyDescent="0.4">
      <c r="A1582" s="788">
        <v>1581</v>
      </c>
      <c r="B1582" s="198" t="s">
        <v>2616</v>
      </c>
      <c r="C1582" s="246" t="s">
        <v>24</v>
      </c>
      <c r="D1582" s="1134">
        <v>2502</v>
      </c>
      <c r="E1582" s="246" t="s">
        <v>4267</v>
      </c>
      <c r="F1582" s="246" t="s">
        <v>4268</v>
      </c>
      <c r="G1582" s="1170">
        <v>3192</v>
      </c>
      <c r="H1582" s="246" t="s">
        <v>2619</v>
      </c>
      <c r="I1582" s="246" t="s">
        <v>28</v>
      </c>
      <c r="J1582" s="692" t="s">
        <v>58</v>
      </c>
      <c r="K1582" s="692" t="s">
        <v>57</v>
      </c>
      <c r="L1582" s="1301">
        <v>0.15</v>
      </c>
      <c r="M1582" s="756" t="s">
        <v>4234</v>
      </c>
      <c r="N1582" s="819" t="s">
        <v>4235</v>
      </c>
      <c r="O1582" s="840"/>
      <c r="P1582" s="647">
        <v>0.8</v>
      </c>
      <c r="Q1582" s="1657">
        <v>0.06</v>
      </c>
      <c r="R1582" s="647"/>
      <c r="S1582" s="215">
        <f t="shared" si="48"/>
        <v>0</v>
      </c>
      <c r="T1582" s="223">
        <f t="shared" si="49"/>
        <v>0</v>
      </c>
      <c r="U1582" s="708" t="s">
        <v>34</v>
      </c>
      <c r="V1582" s="1064"/>
      <c r="W1582" s="799"/>
    </row>
    <row r="1583" spans="1:23" ht="22.95" customHeight="1" x14ac:dyDescent="0.4">
      <c r="A1583" s="788">
        <v>1582</v>
      </c>
      <c r="B1583" s="198" t="s">
        <v>2616</v>
      </c>
      <c r="C1583" s="246" t="s">
        <v>24</v>
      </c>
      <c r="D1583" s="1134">
        <v>2502</v>
      </c>
      <c r="E1583" s="246" t="s">
        <v>4267</v>
      </c>
      <c r="F1583" s="246" t="s">
        <v>4268</v>
      </c>
      <c r="G1583" s="1170">
        <v>3192</v>
      </c>
      <c r="H1583" s="246" t="s">
        <v>2619</v>
      </c>
      <c r="I1583" s="246" t="s">
        <v>28</v>
      </c>
      <c r="J1583" s="692" t="s">
        <v>58</v>
      </c>
      <c r="K1583" s="692" t="s">
        <v>57</v>
      </c>
      <c r="L1583" s="1301">
        <v>0.15</v>
      </c>
      <c r="M1583" s="821" t="s">
        <v>4236</v>
      </c>
      <c r="N1583" s="819" t="s">
        <v>4237</v>
      </c>
      <c r="O1583" s="840"/>
      <c r="P1583" s="647">
        <v>0.95</v>
      </c>
      <c r="Q1583" s="1657">
        <v>0.1</v>
      </c>
      <c r="R1583" s="647"/>
      <c r="S1583" s="215">
        <f t="shared" si="48"/>
        <v>0</v>
      </c>
      <c r="T1583" s="223">
        <f t="shared" si="49"/>
        <v>0</v>
      </c>
      <c r="U1583" s="708" t="s">
        <v>34</v>
      </c>
      <c r="V1583" s="1064"/>
      <c r="W1583" s="799"/>
    </row>
    <row r="1584" spans="1:23" ht="22.95" customHeight="1" x14ac:dyDescent="0.4">
      <c r="A1584" s="788">
        <v>1583</v>
      </c>
      <c r="B1584" s="198" t="s">
        <v>2616</v>
      </c>
      <c r="C1584" s="246" t="s">
        <v>24</v>
      </c>
      <c r="D1584" s="1134">
        <v>2502</v>
      </c>
      <c r="E1584" s="246" t="s">
        <v>4267</v>
      </c>
      <c r="F1584" s="246" t="s">
        <v>4268</v>
      </c>
      <c r="G1584" s="1170">
        <v>3192</v>
      </c>
      <c r="H1584" s="246" t="s">
        <v>2619</v>
      </c>
      <c r="I1584" s="246" t="s">
        <v>28</v>
      </c>
      <c r="J1584" s="692" t="s">
        <v>58</v>
      </c>
      <c r="K1584" s="692" t="s">
        <v>57</v>
      </c>
      <c r="L1584" s="1301">
        <v>0.15</v>
      </c>
      <c r="M1584" s="821" t="s">
        <v>4238</v>
      </c>
      <c r="N1584" s="819" t="s">
        <v>4271</v>
      </c>
      <c r="O1584" s="840" t="s">
        <v>4272</v>
      </c>
      <c r="P1584" s="647">
        <v>0.95</v>
      </c>
      <c r="Q1584" s="1657">
        <v>0.1</v>
      </c>
      <c r="R1584" s="647"/>
      <c r="S1584" s="215">
        <f t="shared" si="48"/>
        <v>0</v>
      </c>
      <c r="T1584" s="223">
        <f t="shared" si="49"/>
        <v>0</v>
      </c>
      <c r="U1584" s="708" t="s">
        <v>34</v>
      </c>
      <c r="V1584" s="1064"/>
      <c r="W1584" s="799"/>
    </row>
    <row r="1585" spans="1:23" ht="22.95" customHeight="1" x14ac:dyDescent="0.4">
      <c r="A1585" s="788">
        <v>1584</v>
      </c>
      <c r="B1585" s="198" t="s">
        <v>2616</v>
      </c>
      <c r="C1585" s="246" t="s">
        <v>24</v>
      </c>
      <c r="D1585" s="1134">
        <v>2502</v>
      </c>
      <c r="E1585" s="246" t="s">
        <v>4267</v>
      </c>
      <c r="F1585" s="246" t="s">
        <v>4268</v>
      </c>
      <c r="G1585" s="1170">
        <v>3192</v>
      </c>
      <c r="H1585" s="246" t="s">
        <v>2619</v>
      </c>
      <c r="I1585" s="246" t="s">
        <v>28</v>
      </c>
      <c r="J1585" s="692" t="s">
        <v>58</v>
      </c>
      <c r="K1585" s="692" t="s">
        <v>57</v>
      </c>
      <c r="L1585" s="1301">
        <v>0.15</v>
      </c>
      <c r="M1585" s="756" t="s">
        <v>4240</v>
      </c>
      <c r="N1585" s="819" t="s">
        <v>4241</v>
      </c>
      <c r="O1585" s="840"/>
      <c r="P1585" s="764">
        <v>90</v>
      </c>
      <c r="Q1585" s="1657">
        <v>0.05</v>
      </c>
      <c r="R1585" s="764"/>
      <c r="S1585" s="215">
        <f t="shared" si="48"/>
        <v>0</v>
      </c>
      <c r="T1585" s="223">
        <f t="shared" si="49"/>
        <v>0</v>
      </c>
      <c r="U1585" s="708" t="s">
        <v>34</v>
      </c>
      <c r="V1585" s="1064"/>
      <c r="W1585" s="799"/>
    </row>
    <row r="1586" spans="1:23" ht="22.95" customHeight="1" x14ac:dyDescent="0.4">
      <c r="A1586" s="788">
        <v>1585</v>
      </c>
      <c r="B1586" s="198" t="s">
        <v>2616</v>
      </c>
      <c r="C1586" s="246" t="s">
        <v>24</v>
      </c>
      <c r="D1586" s="1134">
        <v>2502</v>
      </c>
      <c r="E1586" s="246" t="s">
        <v>4267</v>
      </c>
      <c r="F1586" s="246" t="s">
        <v>4268</v>
      </c>
      <c r="G1586" s="1170">
        <v>3192</v>
      </c>
      <c r="H1586" s="246" t="s">
        <v>2619</v>
      </c>
      <c r="I1586" s="246" t="s">
        <v>28</v>
      </c>
      <c r="J1586" s="692" t="s">
        <v>58</v>
      </c>
      <c r="K1586" s="692" t="s">
        <v>57</v>
      </c>
      <c r="L1586" s="1301">
        <v>0.15</v>
      </c>
      <c r="M1586" s="821" t="s">
        <v>4242</v>
      </c>
      <c r="N1586" s="819" t="s">
        <v>4273</v>
      </c>
      <c r="O1586" s="840" t="s">
        <v>4274</v>
      </c>
      <c r="P1586" s="647">
        <v>0.99</v>
      </c>
      <c r="Q1586" s="1657">
        <v>0.1</v>
      </c>
      <c r="R1586" s="647"/>
      <c r="S1586" s="215">
        <f t="shared" si="48"/>
        <v>0</v>
      </c>
      <c r="T1586" s="223">
        <f t="shared" si="49"/>
        <v>0</v>
      </c>
      <c r="U1586" s="708" t="s">
        <v>34</v>
      </c>
      <c r="V1586" s="1064"/>
      <c r="W1586" s="799"/>
    </row>
    <row r="1587" spans="1:23" ht="22.95" customHeight="1" x14ac:dyDescent="0.4">
      <c r="A1587" s="788">
        <v>1586</v>
      </c>
      <c r="B1587" s="198" t="s">
        <v>2616</v>
      </c>
      <c r="C1587" s="246" t="s">
        <v>24</v>
      </c>
      <c r="D1587" s="1134">
        <v>2502</v>
      </c>
      <c r="E1587" s="246" t="s">
        <v>4267</v>
      </c>
      <c r="F1587" s="246" t="s">
        <v>4268</v>
      </c>
      <c r="G1587" s="1170">
        <v>3192</v>
      </c>
      <c r="H1587" s="246" t="s">
        <v>2619</v>
      </c>
      <c r="I1587" s="246" t="s">
        <v>28</v>
      </c>
      <c r="J1587" s="692" t="s">
        <v>58</v>
      </c>
      <c r="K1587" s="692" t="s">
        <v>57</v>
      </c>
      <c r="L1587" s="1301">
        <v>0.15</v>
      </c>
      <c r="M1587" s="821" t="s">
        <v>4244</v>
      </c>
      <c r="N1587" s="819" t="s">
        <v>4245</v>
      </c>
      <c r="O1587" s="840" t="s">
        <v>4246</v>
      </c>
      <c r="P1587" s="823">
        <v>0.01</v>
      </c>
      <c r="Q1587" s="1657">
        <v>0.05</v>
      </c>
      <c r="R1587" s="823"/>
      <c r="S1587" s="215">
        <f t="shared" si="48"/>
        <v>0</v>
      </c>
      <c r="T1587" s="223">
        <f t="shared" si="49"/>
        <v>0</v>
      </c>
      <c r="U1587" s="708" t="s">
        <v>83</v>
      </c>
      <c r="V1587" s="1064"/>
      <c r="W1587" s="799"/>
    </row>
    <row r="1588" spans="1:23" ht="22.95" customHeight="1" x14ac:dyDescent="0.4">
      <c r="A1588" s="788">
        <v>1587</v>
      </c>
      <c r="B1588" s="198" t="s">
        <v>2616</v>
      </c>
      <c r="C1588" s="246" t="s">
        <v>24</v>
      </c>
      <c r="D1588" s="1134">
        <v>2502</v>
      </c>
      <c r="E1588" s="246" t="s">
        <v>4267</v>
      </c>
      <c r="F1588" s="246" t="s">
        <v>4268</v>
      </c>
      <c r="G1588" s="1170">
        <v>3192</v>
      </c>
      <c r="H1588" s="246" t="s">
        <v>2619</v>
      </c>
      <c r="I1588" s="246" t="s">
        <v>28</v>
      </c>
      <c r="J1588" s="692" t="s">
        <v>58</v>
      </c>
      <c r="K1588" s="692" t="s">
        <v>57</v>
      </c>
      <c r="L1588" s="1301">
        <v>0.15</v>
      </c>
      <c r="M1588" s="821" t="s">
        <v>4247</v>
      </c>
      <c r="N1588" s="819" t="s">
        <v>4248</v>
      </c>
      <c r="O1588" s="840" t="s">
        <v>4249</v>
      </c>
      <c r="P1588" s="647">
        <v>0.03</v>
      </c>
      <c r="Q1588" s="1657">
        <v>0.03</v>
      </c>
      <c r="R1588" s="647"/>
      <c r="S1588" s="215">
        <f t="shared" si="48"/>
        <v>0</v>
      </c>
      <c r="T1588" s="223">
        <f t="shared" si="49"/>
        <v>0</v>
      </c>
      <c r="U1588" s="708" t="s">
        <v>83</v>
      </c>
      <c r="V1588" s="1064"/>
      <c r="W1588" s="799"/>
    </row>
    <row r="1589" spans="1:23" ht="22.95" customHeight="1" x14ac:dyDescent="0.4">
      <c r="A1589" s="788">
        <v>1588</v>
      </c>
      <c r="B1589" s="198" t="s">
        <v>2616</v>
      </c>
      <c r="C1589" s="246" t="s">
        <v>24</v>
      </c>
      <c r="D1589" s="1134">
        <v>2502</v>
      </c>
      <c r="E1589" s="246" t="s">
        <v>4267</v>
      </c>
      <c r="F1589" s="246" t="s">
        <v>4268</v>
      </c>
      <c r="G1589" s="1170">
        <v>3192</v>
      </c>
      <c r="H1589" s="246" t="s">
        <v>2619</v>
      </c>
      <c r="I1589" s="246" t="s">
        <v>28</v>
      </c>
      <c r="J1589" s="692" t="s">
        <v>58</v>
      </c>
      <c r="K1589" s="692" t="s">
        <v>57</v>
      </c>
      <c r="L1589" s="1301">
        <v>0.15</v>
      </c>
      <c r="M1589" s="821" t="s">
        <v>4250</v>
      </c>
      <c r="N1589" s="819" t="s">
        <v>4251</v>
      </c>
      <c r="O1589" s="840" t="s">
        <v>4252</v>
      </c>
      <c r="P1589" s="647">
        <v>0.95</v>
      </c>
      <c r="Q1589" s="1657">
        <v>0.05</v>
      </c>
      <c r="R1589" s="647"/>
      <c r="S1589" s="215">
        <f t="shared" si="48"/>
        <v>0</v>
      </c>
      <c r="T1589" s="223">
        <f t="shared" si="49"/>
        <v>0</v>
      </c>
      <c r="U1589" s="708" t="s">
        <v>34</v>
      </c>
      <c r="V1589" s="1064"/>
      <c r="W1589" s="799"/>
    </row>
    <row r="1590" spans="1:23" ht="22.95" customHeight="1" x14ac:dyDescent="0.4">
      <c r="A1590" s="788">
        <v>1589</v>
      </c>
      <c r="B1590" s="198" t="s">
        <v>2616</v>
      </c>
      <c r="C1590" s="246" t="s">
        <v>24</v>
      </c>
      <c r="D1590" s="1134">
        <v>2502</v>
      </c>
      <c r="E1590" s="246" t="s">
        <v>4267</v>
      </c>
      <c r="F1590" s="246" t="s">
        <v>4268</v>
      </c>
      <c r="G1590" s="1170">
        <v>3192</v>
      </c>
      <c r="H1590" s="246" t="s">
        <v>2619</v>
      </c>
      <c r="I1590" s="246" t="s">
        <v>28</v>
      </c>
      <c r="J1590" s="692" t="s">
        <v>58</v>
      </c>
      <c r="K1590" s="692" t="s">
        <v>57</v>
      </c>
      <c r="L1590" s="1301">
        <v>0.15</v>
      </c>
      <c r="M1590" s="756" t="s">
        <v>4253</v>
      </c>
      <c r="N1590" s="819" t="s">
        <v>4254</v>
      </c>
      <c r="O1590" s="840"/>
      <c r="P1590" s="764">
        <v>2</v>
      </c>
      <c r="Q1590" s="1657">
        <v>0.05</v>
      </c>
      <c r="R1590" s="764"/>
      <c r="S1590" s="215">
        <f t="shared" si="48"/>
        <v>0</v>
      </c>
      <c r="T1590" s="223">
        <f t="shared" si="49"/>
        <v>0</v>
      </c>
      <c r="U1590" s="708" t="s">
        <v>34</v>
      </c>
      <c r="V1590" s="1064"/>
      <c r="W1590" s="799"/>
    </row>
    <row r="1591" spans="1:23" ht="22.95" customHeight="1" x14ac:dyDescent="0.4">
      <c r="A1591" s="788">
        <v>1590</v>
      </c>
      <c r="B1591" s="198" t="s">
        <v>2616</v>
      </c>
      <c r="C1591" s="246" t="s">
        <v>24</v>
      </c>
      <c r="D1591" s="1134">
        <v>2502</v>
      </c>
      <c r="E1591" s="246" t="s">
        <v>4267</v>
      </c>
      <c r="F1591" s="246" t="s">
        <v>4268</v>
      </c>
      <c r="G1591" s="1170">
        <v>3192</v>
      </c>
      <c r="H1591" s="246" t="s">
        <v>2619</v>
      </c>
      <c r="I1591" s="246" t="s">
        <v>28</v>
      </c>
      <c r="J1591" s="692" t="s">
        <v>58</v>
      </c>
      <c r="K1591" s="692" t="s">
        <v>57</v>
      </c>
      <c r="L1591" s="1301">
        <v>0.15</v>
      </c>
      <c r="M1591" s="756" t="s">
        <v>4255</v>
      </c>
      <c r="N1591" s="819" t="s">
        <v>4256</v>
      </c>
      <c r="O1591" s="840"/>
      <c r="P1591" s="647">
        <v>0.75</v>
      </c>
      <c r="Q1591" s="1657">
        <v>0.05</v>
      </c>
      <c r="R1591" s="647"/>
      <c r="S1591" s="215">
        <f t="shared" si="48"/>
        <v>0</v>
      </c>
      <c r="T1591" s="223">
        <f t="shared" si="49"/>
        <v>0</v>
      </c>
      <c r="U1591" s="708" t="s">
        <v>34</v>
      </c>
      <c r="V1591" s="1064"/>
      <c r="W1591" s="799"/>
    </row>
    <row r="1592" spans="1:23" ht="22.95" customHeight="1" x14ac:dyDescent="0.4">
      <c r="A1592" s="788">
        <v>1591</v>
      </c>
      <c r="B1592" s="198" t="s">
        <v>2616</v>
      </c>
      <c r="C1592" s="246" t="s">
        <v>24</v>
      </c>
      <c r="D1592" s="1134">
        <v>2502</v>
      </c>
      <c r="E1592" s="246" t="s">
        <v>4267</v>
      </c>
      <c r="F1592" s="246" t="s">
        <v>4268</v>
      </c>
      <c r="G1592" s="1170">
        <v>3192</v>
      </c>
      <c r="H1592" s="246" t="s">
        <v>2619</v>
      </c>
      <c r="I1592" s="246" t="s">
        <v>28</v>
      </c>
      <c r="J1592" s="692" t="s">
        <v>58</v>
      </c>
      <c r="K1592" s="692" t="s">
        <v>57</v>
      </c>
      <c r="L1592" s="1301">
        <v>0.15</v>
      </c>
      <c r="M1592" s="821" t="s">
        <v>4257</v>
      </c>
      <c r="N1592" s="819" t="s">
        <v>4258</v>
      </c>
      <c r="O1592" s="840"/>
      <c r="P1592" s="764">
        <v>1</v>
      </c>
      <c r="Q1592" s="1657">
        <v>0.05</v>
      </c>
      <c r="R1592" s="764"/>
      <c r="S1592" s="215">
        <f t="shared" si="48"/>
        <v>0</v>
      </c>
      <c r="T1592" s="223">
        <f t="shared" si="49"/>
        <v>0</v>
      </c>
      <c r="U1592" s="708" t="s">
        <v>83</v>
      </c>
      <c r="V1592" s="1064"/>
      <c r="W1592" s="799"/>
    </row>
    <row r="1593" spans="1:23" ht="22.95" customHeight="1" x14ac:dyDescent="0.4">
      <c r="A1593" s="788">
        <v>1592</v>
      </c>
      <c r="B1593" s="198" t="s">
        <v>2616</v>
      </c>
      <c r="C1593" s="246" t="s">
        <v>24</v>
      </c>
      <c r="D1593" s="1134">
        <v>2502</v>
      </c>
      <c r="E1593" s="246" t="s">
        <v>4267</v>
      </c>
      <c r="F1593" s="246" t="s">
        <v>4268</v>
      </c>
      <c r="G1593" s="1170">
        <v>3192</v>
      </c>
      <c r="H1593" s="246" t="s">
        <v>2619</v>
      </c>
      <c r="I1593" s="246" t="s">
        <v>28</v>
      </c>
      <c r="J1593" s="692" t="s">
        <v>58</v>
      </c>
      <c r="K1593" s="692" t="s">
        <v>57</v>
      </c>
      <c r="L1593" s="1301">
        <v>0.15</v>
      </c>
      <c r="M1593" s="756" t="s">
        <v>4259</v>
      </c>
      <c r="N1593" s="819" t="s">
        <v>4260</v>
      </c>
      <c r="O1593" s="840"/>
      <c r="P1593" s="647">
        <v>0.95</v>
      </c>
      <c r="Q1593" s="1657">
        <v>0.05</v>
      </c>
      <c r="R1593" s="647"/>
      <c r="S1593" s="215">
        <f t="shared" si="48"/>
        <v>0</v>
      </c>
      <c r="T1593" s="223">
        <f t="shared" si="49"/>
        <v>0</v>
      </c>
      <c r="U1593" s="708" t="s">
        <v>34</v>
      </c>
      <c r="V1593" s="1064"/>
      <c r="W1593" s="799"/>
    </row>
    <row r="1594" spans="1:23" ht="22.95" customHeight="1" x14ac:dyDescent="0.4">
      <c r="A1594" s="788">
        <v>1593</v>
      </c>
      <c r="B1594" s="198" t="s">
        <v>2616</v>
      </c>
      <c r="C1594" s="246" t="s">
        <v>24</v>
      </c>
      <c r="D1594" s="1134">
        <v>2502</v>
      </c>
      <c r="E1594" s="246" t="s">
        <v>4267</v>
      </c>
      <c r="F1594" s="246" t="s">
        <v>4268</v>
      </c>
      <c r="G1594" s="1170">
        <v>3192</v>
      </c>
      <c r="H1594" s="246" t="s">
        <v>2619</v>
      </c>
      <c r="I1594" s="246" t="s">
        <v>28</v>
      </c>
      <c r="J1594" s="692" t="s">
        <v>58</v>
      </c>
      <c r="K1594" s="692" t="s">
        <v>57</v>
      </c>
      <c r="L1594" s="1301">
        <v>0.15</v>
      </c>
      <c r="M1594" s="756" t="s">
        <v>4275</v>
      </c>
      <c r="N1594" s="819" t="s">
        <v>4276</v>
      </c>
      <c r="O1594" s="840" t="s">
        <v>4277</v>
      </c>
      <c r="P1594" s="647">
        <v>0.85</v>
      </c>
      <c r="Q1594" s="1657">
        <v>0.05</v>
      </c>
      <c r="R1594" s="647"/>
      <c r="S1594" s="215">
        <f t="shared" si="48"/>
        <v>0</v>
      </c>
      <c r="T1594" s="223">
        <f t="shared" si="49"/>
        <v>0</v>
      </c>
      <c r="U1594" s="708" t="s">
        <v>34</v>
      </c>
      <c r="V1594" s="1064"/>
      <c r="W1594" s="799"/>
    </row>
    <row r="1595" spans="1:23" ht="22.95" customHeight="1" x14ac:dyDescent="0.4">
      <c r="A1595" s="788">
        <v>1594</v>
      </c>
      <c r="B1595" s="198" t="s">
        <v>2616</v>
      </c>
      <c r="C1595" s="246" t="s">
        <v>24</v>
      </c>
      <c r="D1595" s="1134">
        <v>2502</v>
      </c>
      <c r="E1595" s="246" t="s">
        <v>4267</v>
      </c>
      <c r="F1595" s="246" t="s">
        <v>4268</v>
      </c>
      <c r="G1595" s="1170">
        <v>3192</v>
      </c>
      <c r="H1595" s="246" t="s">
        <v>2619</v>
      </c>
      <c r="I1595" s="246" t="s">
        <v>28</v>
      </c>
      <c r="J1595" s="692" t="s">
        <v>58</v>
      </c>
      <c r="K1595" s="692" t="s">
        <v>57</v>
      </c>
      <c r="L1595" s="1301">
        <v>0.15</v>
      </c>
      <c r="M1595" s="756" t="s">
        <v>4278</v>
      </c>
      <c r="N1595" s="959" t="s">
        <v>4279</v>
      </c>
      <c r="O1595" s="840" t="s">
        <v>4280</v>
      </c>
      <c r="P1595" s="647">
        <v>0.95</v>
      </c>
      <c r="Q1595" s="1657">
        <v>0.05</v>
      </c>
      <c r="R1595" s="647"/>
      <c r="S1595" s="215">
        <f t="shared" si="48"/>
        <v>0</v>
      </c>
      <c r="T1595" s="223">
        <f t="shared" si="49"/>
        <v>0</v>
      </c>
      <c r="U1595" s="708" t="s">
        <v>34</v>
      </c>
      <c r="V1595" s="1064"/>
      <c r="W1595" s="799"/>
    </row>
    <row r="1596" spans="1:23" ht="22.95" customHeight="1" x14ac:dyDescent="0.4">
      <c r="A1596" s="788">
        <v>1595</v>
      </c>
      <c r="B1596" s="198" t="s">
        <v>2616</v>
      </c>
      <c r="C1596" s="246" t="s">
        <v>24</v>
      </c>
      <c r="D1596" s="1134">
        <v>2502</v>
      </c>
      <c r="E1596" s="246" t="s">
        <v>4267</v>
      </c>
      <c r="F1596" s="246" t="s">
        <v>4268</v>
      </c>
      <c r="G1596" s="1170">
        <v>3192</v>
      </c>
      <c r="H1596" s="246" t="s">
        <v>2619</v>
      </c>
      <c r="I1596" s="246" t="s">
        <v>28</v>
      </c>
      <c r="J1596" s="246" t="s">
        <v>111</v>
      </c>
      <c r="K1596" s="648" t="s">
        <v>110</v>
      </c>
      <c r="L1596" s="1059">
        <v>0.25</v>
      </c>
      <c r="M1596" s="1660" t="s">
        <v>4261</v>
      </c>
      <c r="N1596" s="1661" t="s">
        <v>4281</v>
      </c>
      <c r="O1596" s="799" t="s">
        <v>4282</v>
      </c>
      <c r="P1596" s="222">
        <v>1</v>
      </c>
      <c r="Q1596" s="1063">
        <v>0.05</v>
      </c>
      <c r="R1596" s="222"/>
      <c r="S1596" s="215">
        <f t="shared" si="48"/>
        <v>0</v>
      </c>
      <c r="T1596" s="223">
        <f t="shared" si="49"/>
        <v>0</v>
      </c>
      <c r="U1596" s="708" t="s">
        <v>34</v>
      </c>
      <c r="V1596" s="1064"/>
      <c r="W1596" s="799"/>
    </row>
    <row r="1597" spans="1:23" ht="22.95" customHeight="1" x14ac:dyDescent="0.4">
      <c r="A1597" s="788">
        <v>1596</v>
      </c>
      <c r="B1597" s="198" t="s">
        <v>2616</v>
      </c>
      <c r="C1597" s="246" t="s">
        <v>24</v>
      </c>
      <c r="D1597" s="1134">
        <v>2502</v>
      </c>
      <c r="E1597" s="246" t="s">
        <v>4267</v>
      </c>
      <c r="F1597" s="246" t="s">
        <v>4268</v>
      </c>
      <c r="G1597" s="1170">
        <v>3192</v>
      </c>
      <c r="H1597" s="246" t="s">
        <v>2619</v>
      </c>
      <c r="I1597" s="246" t="s">
        <v>28</v>
      </c>
      <c r="J1597" s="246" t="s">
        <v>111</v>
      </c>
      <c r="K1597" s="648" t="s">
        <v>110</v>
      </c>
      <c r="L1597" s="1059">
        <v>0.25</v>
      </c>
      <c r="M1597" s="1439" t="s">
        <v>4263</v>
      </c>
      <c r="N1597" s="1662" t="s">
        <v>4264</v>
      </c>
      <c r="O1597" s="799"/>
      <c r="P1597" s="222">
        <v>1</v>
      </c>
      <c r="Q1597" s="1063">
        <v>0.05</v>
      </c>
      <c r="R1597" s="222"/>
      <c r="S1597" s="215">
        <f t="shared" si="48"/>
        <v>0</v>
      </c>
      <c r="T1597" s="223">
        <f t="shared" si="49"/>
        <v>0</v>
      </c>
      <c r="U1597" s="708" t="s">
        <v>34</v>
      </c>
      <c r="V1597" s="1064"/>
      <c r="W1597" s="799"/>
    </row>
    <row r="1598" spans="1:23" ht="22.95" customHeight="1" x14ac:dyDescent="0.4">
      <c r="A1598" s="788">
        <v>1597</v>
      </c>
      <c r="B1598" s="198" t="s">
        <v>2616</v>
      </c>
      <c r="C1598" s="246" t="s">
        <v>24</v>
      </c>
      <c r="D1598" s="1134">
        <v>2502</v>
      </c>
      <c r="E1598" s="246" t="s">
        <v>4267</v>
      </c>
      <c r="F1598" s="246" t="s">
        <v>4268</v>
      </c>
      <c r="G1598" s="1170">
        <v>3192</v>
      </c>
      <c r="H1598" s="246" t="s">
        <v>2619</v>
      </c>
      <c r="I1598" s="246" t="s">
        <v>28</v>
      </c>
      <c r="J1598" s="246" t="s">
        <v>111</v>
      </c>
      <c r="K1598" s="648" t="s">
        <v>110</v>
      </c>
      <c r="L1598" s="1059">
        <v>0.25</v>
      </c>
      <c r="M1598" s="1439" t="s">
        <v>4283</v>
      </c>
      <c r="N1598" s="827" t="s">
        <v>127</v>
      </c>
      <c r="O1598" s="799" t="s">
        <v>4284</v>
      </c>
      <c r="P1598" s="222">
        <v>0.85</v>
      </c>
      <c r="Q1598" s="1063">
        <v>0.1</v>
      </c>
      <c r="R1598" s="222"/>
      <c r="S1598" s="215">
        <f t="shared" si="48"/>
        <v>0</v>
      </c>
      <c r="T1598" s="223">
        <f t="shared" si="49"/>
        <v>0</v>
      </c>
      <c r="U1598" s="708" t="s">
        <v>34</v>
      </c>
      <c r="V1598" s="1064"/>
      <c r="W1598" s="799"/>
    </row>
    <row r="1599" spans="1:23" ht="22.95" customHeight="1" x14ac:dyDescent="0.4">
      <c r="A1599" s="788">
        <v>1598</v>
      </c>
      <c r="B1599" s="198" t="s">
        <v>2616</v>
      </c>
      <c r="C1599" s="246" t="s">
        <v>24</v>
      </c>
      <c r="D1599" s="1134">
        <v>2502</v>
      </c>
      <c r="E1599" s="246" t="s">
        <v>4267</v>
      </c>
      <c r="F1599" s="246" t="s">
        <v>4268</v>
      </c>
      <c r="G1599" s="1170">
        <v>3192</v>
      </c>
      <c r="H1599" s="246" t="s">
        <v>2619</v>
      </c>
      <c r="I1599" s="246" t="s">
        <v>28</v>
      </c>
      <c r="J1599" s="246" t="s">
        <v>111</v>
      </c>
      <c r="K1599" s="648" t="s">
        <v>110</v>
      </c>
      <c r="L1599" s="1059">
        <v>0.25</v>
      </c>
      <c r="M1599" s="1439" t="s">
        <v>4285</v>
      </c>
      <c r="N1599" s="827" t="s">
        <v>132</v>
      </c>
      <c r="O1599" s="799"/>
      <c r="P1599" s="222">
        <v>0.85</v>
      </c>
      <c r="Q1599" s="1063">
        <v>0.05</v>
      </c>
      <c r="R1599" s="222"/>
      <c r="S1599" s="215">
        <f t="shared" si="48"/>
        <v>0</v>
      </c>
      <c r="T1599" s="223">
        <f t="shared" si="49"/>
        <v>0</v>
      </c>
      <c r="U1599" s="708" t="s">
        <v>34</v>
      </c>
      <c r="V1599" s="1064"/>
      <c r="W1599" s="799"/>
    </row>
    <row r="1600" spans="1:23" ht="22.95" customHeight="1" x14ac:dyDescent="0.4">
      <c r="A1600" s="788">
        <v>1599</v>
      </c>
      <c r="B1600" s="198" t="s">
        <v>2616</v>
      </c>
      <c r="C1600" s="246" t="s">
        <v>24</v>
      </c>
      <c r="D1600" s="1134">
        <v>2502</v>
      </c>
      <c r="E1600" s="246" t="s">
        <v>4267</v>
      </c>
      <c r="F1600" s="246" t="s">
        <v>4268</v>
      </c>
      <c r="G1600" s="1170">
        <v>3192</v>
      </c>
      <c r="H1600" s="246" t="s">
        <v>2619</v>
      </c>
      <c r="I1600" s="246" t="s">
        <v>28</v>
      </c>
      <c r="J1600" s="246" t="s">
        <v>111</v>
      </c>
      <c r="K1600" s="648" t="s">
        <v>110</v>
      </c>
      <c r="L1600" s="1059">
        <v>0.25</v>
      </c>
      <c r="M1600" s="1660" t="s">
        <v>4286</v>
      </c>
      <c r="N1600" s="1061" t="s">
        <v>4287</v>
      </c>
      <c r="O1600" s="799"/>
      <c r="P1600" s="222">
        <v>0.75</v>
      </c>
      <c r="Q1600" s="1063">
        <v>0.1</v>
      </c>
      <c r="R1600" s="222"/>
      <c r="S1600" s="215">
        <f t="shared" si="48"/>
        <v>0</v>
      </c>
      <c r="T1600" s="223">
        <f t="shared" si="49"/>
        <v>0</v>
      </c>
      <c r="U1600" s="708" t="s">
        <v>34</v>
      </c>
      <c r="V1600" s="1064"/>
      <c r="W1600" s="799"/>
    </row>
    <row r="1601" spans="1:23" ht="22.95" customHeight="1" x14ac:dyDescent="0.4">
      <c r="A1601" s="788">
        <v>1600</v>
      </c>
      <c r="B1601" s="198" t="s">
        <v>2616</v>
      </c>
      <c r="C1601" s="246" t="s">
        <v>24</v>
      </c>
      <c r="D1601" s="1134">
        <v>2502</v>
      </c>
      <c r="E1601" s="246" t="s">
        <v>4267</v>
      </c>
      <c r="F1601" s="246" t="s">
        <v>4268</v>
      </c>
      <c r="G1601" s="1170">
        <v>3192</v>
      </c>
      <c r="H1601" s="246" t="s">
        <v>2619</v>
      </c>
      <c r="I1601" s="246" t="s">
        <v>28</v>
      </c>
      <c r="J1601" s="246" t="s">
        <v>111</v>
      </c>
      <c r="K1601" s="648" t="s">
        <v>110</v>
      </c>
      <c r="L1601" s="1059">
        <v>0.25</v>
      </c>
      <c r="M1601" s="1439" t="s">
        <v>4265</v>
      </c>
      <c r="N1601" s="827" t="s">
        <v>4266</v>
      </c>
      <c r="O1601" s="799"/>
      <c r="P1601" s="222">
        <v>1</v>
      </c>
      <c r="Q1601" s="1063">
        <v>0.05</v>
      </c>
      <c r="R1601" s="222"/>
      <c r="S1601" s="215">
        <f t="shared" si="48"/>
        <v>0</v>
      </c>
      <c r="T1601" s="223">
        <f t="shared" si="49"/>
        <v>0</v>
      </c>
      <c r="U1601" s="708" t="s">
        <v>34</v>
      </c>
      <c r="V1601" s="1064"/>
      <c r="W1601" s="799"/>
    </row>
    <row r="1602" spans="1:23" ht="22.95" customHeight="1" x14ac:dyDescent="0.4">
      <c r="A1602" s="788">
        <v>1601</v>
      </c>
      <c r="B1602" s="198" t="s">
        <v>2616</v>
      </c>
      <c r="C1602" s="246" t="s">
        <v>24</v>
      </c>
      <c r="D1602" s="1134">
        <v>2502</v>
      </c>
      <c r="E1602" s="246" t="s">
        <v>4267</v>
      </c>
      <c r="F1602" s="246" t="s">
        <v>4268</v>
      </c>
      <c r="G1602" s="1170">
        <v>3192</v>
      </c>
      <c r="H1602" s="246" t="s">
        <v>2619</v>
      </c>
      <c r="I1602" s="246" t="s">
        <v>28</v>
      </c>
      <c r="J1602" s="246" t="s">
        <v>111</v>
      </c>
      <c r="K1602" s="648" t="s">
        <v>110</v>
      </c>
      <c r="L1602" s="1059">
        <v>0.25</v>
      </c>
      <c r="M1602" s="1660" t="s">
        <v>4288</v>
      </c>
      <c r="N1602" s="827" t="s">
        <v>4289</v>
      </c>
      <c r="O1602" s="799"/>
      <c r="P1602" s="222">
        <v>1</v>
      </c>
      <c r="Q1602" s="1063">
        <v>7.0000000000000007E-2</v>
      </c>
      <c r="R1602" s="222"/>
      <c r="S1602" s="215">
        <f t="shared" ref="S1602:S1665" si="50">ROUND(IF(OR(P1602="",R1602=""),0,IF(AND(P1602=0,R1602=0),1,IF(U1602="+",R1602/P1602,P1602/R1602))),2)</f>
        <v>0</v>
      </c>
      <c r="T1602" s="223">
        <f t="shared" ref="T1602:T1665" si="51">IF(AND(S1602&gt;=60%,S1602&lt;100%),S1602*((Q1602*L1602)),IF(S1602=100%,((Q1602*L1602)*S1602)*100%,IF(S1602&gt;100%,((L1602*Q1602)*100%)*100%,0)))*100</f>
        <v>0</v>
      </c>
      <c r="U1602" s="708" t="s">
        <v>34</v>
      </c>
      <c r="V1602" s="1064"/>
      <c r="W1602" s="799"/>
    </row>
    <row r="1603" spans="1:23" ht="22.95" customHeight="1" x14ac:dyDescent="0.4">
      <c r="A1603" s="788">
        <v>1602</v>
      </c>
      <c r="B1603" s="198" t="s">
        <v>2616</v>
      </c>
      <c r="C1603" s="246" t="s">
        <v>24</v>
      </c>
      <c r="D1603" s="1134">
        <v>2502</v>
      </c>
      <c r="E1603" s="246" t="s">
        <v>4267</v>
      </c>
      <c r="F1603" s="246" t="s">
        <v>4268</v>
      </c>
      <c r="G1603" s="1170">
        <v>3192</v>
      </c>
      <c r="H1603" s="246" t="s">
        <v>2619</v>
      </c>
      <c r="I1603" s="246" t="s">
        <v>28</v>
      </c>
      <c r="J1603" s="246" t="s">
        <v>111</v>
      </c>
      <c r="K1603" s="648" t="s">
        <v>110</v>
      </c>
      <c r="L1603" s="1059">
        <v>0.25</v>
      </c>
      <c r="M1603" s="1660" t="s">
        <v>4290</v>
      </c>
      <c r="N1603" s="1061" t="s">
        <v>4291</v>
      </c>
      <c r="O1603" s="799"/>
      <c r="P1603" s="222">
        <v>0.85</v>
      </c>
      <c r="Q1603" s="1063">
        <v>7.0000000000000007E-2</v>
      </c>
      <c r="R1603" s="222"/>
      <c r="S1603" s="215">
        <f t="shared" si="50"/>
        <v>0</v>
      </c>
      <c r="T1603" s="223">
        <f t="shared" si="51"/>
        <v>0</v>
      </c>
      <c r="U1603" s="708" t="s">
        <v>34</v>
      </c>
      <c r="V1603" s="1064"/>
      <c r="W1603" s="799"/>
    </row>
    <row r="1604" spans="1:23" ht="22.95" customHeight="1" x14ac:dyDescent="0.4">
      <c r="A1604" s="788">
        <v>1603</v>
      </c>
      <c r="B1604" s="198" t="s">
        <v>2616</v>
      </c>
      <c r="C1604" s="246" t="s">
        <v>24</v>
      </c>
      <c r="D1604" s="1134">
        <v>2502</v>
      </c>
      <c r="E1604" s="246" t="s">
        <v>4267</v>
      </c>
      <c r="F1604" s="246" t="s">
        <v>4268</v>
      </c>
      <c r="G1604" s="1170">
        <v>3192</v>
      </c>
      <c r="H1604" s="246" t="s">
        <v>2619</v>
      </c>
      <c r="I1604" s="246" t="s">
        <v>28</v>
      </c>
      <c r="J1604" s="246" t="s">
        <v>111</v>
      </c>
      <c r="K1604" s="648" t="s">
        <v>110</v>
      </c>
      <c r="L1604" s="1059">
        <v>0.25</v>
      </c>
      <c r="M1604" s="1660" t="s">
        <v>4292</v>
      </c>
      <c r="N1604" s="1061" t="s">
        <v>4293</v>
      </c>
      <c r="O1604" s="799"/>
      <c r="P1604" s="222">
        <v>0.85</v>
      </c>
      <c r="Q1604" s="1063">
        <v>0.1</v>
      </c>
      <c r="R1604" s="222"/>
      <c r="S1604" s="215">
        <f t="shared" si="50"/>
        <v>0</v>
      </c>
      <c r="T1604" s="223">
        <f t="shared" si="51"/>
        <v>0</v>
      </c>
      <c r="U1604" s="708" t="s">
        <v>34</v>
      </c>
      <c r="V1604" s="1064"/>
      <c r="W1604" s="799"/>
    </row>
    <row r="1605" spans="1:23" ht="22.95" customHeight="1" x14ac:dyDescent="0.4">
      <c r="A1605" s="788">
        <v>1604</v>
      </c>
      <c r="B1605" s="198" t="s">
        <v>2616</v>
      </c>
      <c r="C1605" s="246" t="s">
        <v>24</v>
      </c>
      <c r="D1605" s="1134">
        <v>2502</v>
      </c>
      <c r="E1605" s="246" t="s">
        <v>4267</v>
      </c>
      <c r="F1605" s="246" t="s">
        <v>4268</v>
      </c>
      <c r="G1605" s="1170">
        <v>3192</v>
      </c>
      <c r="H1605" s="246" t="s">
        <v>2619</v>
      </c>
      <c r="I1605" s="246" t="s">
        <v>28</v>
      </c>
      <c r="J1605" s="246" t="s">
        <v>111</v>
      </c>
      <c r="K1605" s="648" t="s">
        <v>110</v>
      </c>
      <c r="L1605" s="1059">
        <v>0.25</v>
      </c>
      <c r="M1605" s="1660" t="s">
        <v>4294</v>
      </c>
      <c r="N1605" s="1061" t="s">
        <v>4295</v>
      </c>
      <c r="O1605" s="799" t="s">
        <v>4296</v>
      </c>
      <c r="P1605" s="222">
        <v>0.75</v>
      </c>
      <c r="Q1605" s="1063">
        <v>7.0000000000000007E-2</v>
      </c>
      <c r="R1605" s="222"/>
      <c r="S1605" s="215">
        <f t="shared" si="50"/>
        <v>0</v>
      </c>
      <c r="T1605" s="223">
        <f t="shared" si="51"/>
        <v>0</v>
      </c>
      <c r="U1605" s="708" t="s">
        <v>34</v>
      </c>
      <c r="V1605" s="1064"/>
      <c r="W1605" s="799"/>
    </row>
    <row r="1606" spans="1:23" ht="22.95" customHeight="1" x14ac:dyDescent="0.4">
      <c r="A1606" s="788">
        <v>1605</v>
      </c>
      <c r="B1606" s="198" t="s">
        <v>2616</v>
      </c>
      <c r="C1606" s="246" t="s">
        <v>24</v>
      </c>
      <c r="D1606" s="1134">
        <v>2502</v>
      </c>
      <c r="E1606" s="246" t="s">
        <v>4267</v>
      </c>
      <c r="F1606" s="246" t="s">
        <v>4268</v>
      </c>
      <c r="G1606" s="1170">
        <v>3192</v>
      </c>
      <c r="H1606" s="246" t="s">
        <v>2619</v>
      </c>
      <c r="I1606" s="246" t="s">
        <v>28</v>
      </c>
      <c r="J1606" s="246" t="s">
        <v>111</v>
      </c>
      <c r="K1606" s="648" t="s">
        <v>110</v>
      </c>
      <c r="L1606" s="1059">
        <v>0.25</v>
      </c>
      <c r="M1606" s="1660" t="s">
        <v>4297</v>
      </c>
      <c r="N1606" s="1061" t="s">
        <v>4298</v>
      </c>
      <c r="O1606" s="799"/>
      <c r="P1606" s="222">
        <v>0.75</v>
      </c>
      <c r="Q1606" s="1063">
        <v>0.09</v>
      </c>
      <c r="R1606" s="222"/>
      <c r="S1606" s="215">
        <f t="shared" si="50"/>
        <v>0</v>
      </c>
      <c r="T1606" s="223">
        <f t="shared" si="51"/>
        <v>0</v>
      </c>
      <c r="U1606" s="708" t="s">
        <v>34</v>
      </c>
      <c r="V1606" s="1064"/>
      <c r="W1606" s="799"/>
    </row>
    <row r="1607" spans="1:23" ht="22.95" customHeight="1" x14ac:dyDescent="0.4">
      <c r="A1607" s="788">
        <v>1606</v>
      </c>
      <c r="B1607" s="198" t="s">
        <v>2616</v>
      </c>
      <c r="C1607" s="246" t="s">
        <v>24</v>
      </c>
      <c r="D1607" s="1134">
        <v>2502</v>
      </c>
      <c r="E1607" s="246" t="s">
        <v>4267</v>
      </c>
      <c r="F1607" s="246" t="s">
        <v>4268</v>
      </c>
      <c r="G1607" s="1170">
        <v>3192</v>
      </c>
      <c r="H1607" s="246" t="s">
        <v>2619</v>
      </c>
      <c r="I1607" s="246" t="s">
        <v>28</v>
      </c>
      <c r="J1607" s="246" t="s">
        <v>111</v>
      </c>
      <c r="K1607" s="648" t="s">
        <v>110</v>
      </c>
      <c r="L1607" s="1059">
        <v>0.25</v>
      </c>
      <c r="M1607" s="1660" t="s">
        <v>4299</v>
      </c>
      <c r="N1607" s="1061" t="s">
        <v>4300</v>
      </c>
      <c r="O1607" s="799"/>
      <c r="P1607" s="222">
        <v>0.85</v>
      </c>
      <c r="Q1607" s="1063">
        <v>0.05</v>
      </c>
      <c r="R1607" s="222"/>
      <c r="S1607" s="215">
        <f t="shared" si="50"/>
        <v>0</v>
      </c>
      <c r="T1607" s="223">
        <f t="shared" si="51"/>
        <v>0</v>
      </c>
      <c r="U1607" s="708" t="s">
        <v>34</v>
      </c>
      <c r="V1607" s="1064"/>
      <c r="W1607" s="799"/>
    </row>
    <row r="1608" spans="1:23" ht="22.95" customHeight="1" x14ac:dyDescent="0.4">
      <c r="A1608" s="788">
        <v>1607</v>
      </c>
      <c r="B1608" s="198" t="s">
        <v>2616</v>
      </c>
      <c r="C1608" s="246" t="s">
        <v>24</v>
      </c>
      <c r="D1608" s="1134">
        <v>2502</v>
      </c>
      <c r="E1608" s="246" t="s">
        <v>4267</v>
      </c>
      <c r="F1608" s="246" t="s">
        <v>4268</v>
      </c>
      <c r="G1608" s="1170">
        <v>3192</v>
      </c>
      <c r="H1608" s="246" t="s">
        <v>2619</v>
      </c>
      <c r="I1608" s="246" t="s">
        <v>28</v>
      </c>
      <c r="J1608" s="246" t="s">
        <v>111</v>
      </c>
      <c r="K1608" s="648" t="s">
        <v>110</v>
      </c>
      <c r="L1608" s="1059">
        <v>0.25</v>
      </c>
      <c r="M1608" s="1660" t="s">
        <v>4301</v>
      </c>
      <c r="N1608" s="1061" t="s">
        <v>4302</v>
      </c>
      <c r="O1608" s="799"/>
      <c r="P1608" s="222">
        <v>0.75</v>
      </c>
      <c r="Q1608" s="1063">
        <v>0.05</v>
      </c>
      <c r="R1608" s="222"/>
      <c r="S1608" s="215">
        <f t="shared" si="50"/>
        <v>0</v>
      </c>
      <c r="T1608" s="223">
        <f t="shared" si="51"/>
        <v>0</v>
      </c>
      <c r="U1608" s="708" t="s">
        <v>34</v>
      </c>
      <c r="V1608" s="1064"/>
      <c r="W1608" s="799"/>
    </row>
    <row r="1609" spans="1:23" ht="22.95" customHeight="1" x14ac:dyDescent="0.4">
      <c r="A1609" s="788">
        <v>1608</v>
      </c>
      <c r="B1609" s="198" t="s">
        <v>2616</v>
      </c>
      <c r="C1609" s="246" t="s">
        <v>24</v>
      </c>
      <c r="D1609" s="1134">
        <v>2502</v>
      </c>
      <c r="E1609" s="246" t="s">
        <v>4267</v>
      </c>
      <c r="F1609" s="246" t="s">
        <v>4268</v>
      </c>
      <c r="G1609" s="1170">
        <v>3192</v>
      </c>
      <c r="H1609" s="246" t="s">
        <v>2619</v>
      </c>
      <c r="I1609" s="246" t="s">
        <v>28</v>
      </c>
      <c r="J1609" s="246" t="s">
        <v>111</v>
      </c>
      <c r="K1609" s="648" t="s">
        <v>110</v>
      </c>
      <c r="L1609" s="1059">
        <v>0.25</v>
      </c>
      <c r="M1609" s="1660" t="s">
        <v>4303</v>
      </c>
      <c r="N1609" s="1061" t="s">
        <v>4304</v>
      </c>
      <c r="O1609" s="799"/>
      <c r="P1609" s="222">
        <v>1</v>
      </c>
      <c r="Q1609" s="1063">
        <v>0.05</v>
      </c>
      <c r="R1609" s="222"/>
      <c r="S1609" s="215">
        <f t="shared" si="50"/>
        <v>0</v>
      </c>
      <c r="T1609" s="223">
        <f t="shared" si="51"/>
        <v>0</v>
      </c>
      <c r="U1609" s="708" t="s">
        <v>34</v>
      </c>
      <c r="V1609" s="1064"/>
      <c r="W1609" s="799"/>
    </row>
    <row r="1610" spans="1:23" ht="22.95" customHeight="1" x14ac:dyDescent="0.4">
      <c r="A1610" s="788">
        <v>1609</v>
      </c>
      <c r="B1610" s="198" t="s">
        <v>2616</v>
      </c>
      <c r="C1610" s="246" t="s">
        <v>24</v>
      </c>
      <c r="D1610" s="1134">
        <v>2502</v>
      </c>
      <c r="E1610" s="246" t="s">
        <v>4267</v>
      </c>
      <c r="F1610" s="246" t="s">
        <v>4268</v>
      </c>
      <c r="G1610" s="1170">
        <v>3192</v>
      </c>
      <c r="H1610" s="246" t="s">
        <v>2619</v>
      </c>
      <c r="I1610" s="246" t="s">
        <v>28</v>
      </c>
      <c r="J1610" s="246" t="s">
        <v>111</v>
      </c>
      <c r="K1610" s="648" t="s">
        <v>110</v>
      </c>
      <c r="L1610" s="1059">
        <v>0.25</v>
      </c>
      <c r="M1610" s="1660" t="s">
        <v>4305</v>
      </c>
      <c r="N1610" s="1061" t="s">
        <v>4306</v>
      </c>
      <c r="O1610" s="799"/>
      <c r="P1610" s="222">
        <v>1</v>
      </c>
      <c r="Q1610" s="1063">
        <v>0.05</v>
      </c>
      <c r="R1610" s="222"/>
      <c r="S1610" s="215">
        <f t="shared" si="50"/>
        <v>0</v>
      </c>
      <c r="T1610" s="223">
        <f t="shared" si="51"/>
        <v>0</v>
      </c>
      <c r="U1610" s="708" t="s">
        <v>34</v>
      </c>
      <c r="V1610" s="1064"/>
      <c r="W1610" s="799"/>
    </row>
    <row r="1611" spans="1:23" ht="22.95" customHeight="1" x14ac:dyDescent="0.4">
      <c r="A1611" s="788">
        <v>1610</v>
      </c>
      <c r="B1611" s="236" t="s">
        <v>2616</v>
      </c>
      <c r="C1611" s="1460" t="s">
        <v>24</v>
      </c>
      <c r="D1611" s="1663">
        <v>4049</v>
      </c>
      <c r="E1611" s="1664" t="s">
        <v>4307</v>
      </c>
      <c r="F1611" s="1664" t="s">
        <v>4308</v>
      </c>
      <c r="G1611" s="1487">
        <v>3192</v>
      </c>
      <c r="H1611" s="1664" t="s">
        <v>2619</v>
      </c>
      <c r="I1611" s="1664" t="s">
        <v>28</v>
      </c>
      <c r="J1611" s="187" t="s">
        <v>58</v>
      </c>
      <c r="K1611" s="187" t="s">
        <v>57</v>
      </c>
      <c r="L1611" s="1246">
        <v>0.45</v>
      </c>
      <c r="M1611" s="1665" t="s">
        <v>4309</v>
      </c>
      <c r="N1611" s="1168" t="s">
        <v>4310</v>
      </c>
      <c r="O1611" s="1167"/>
      <c r="P1611" s="644">
        <v>1</v>
      </c>
      <c r="Q1611" s="1666">
        <v>1</v>
      </c>
      <c r="R1611" s="644"/>
      <c r="S1611" s="957">
        <f t="shared" si="50"/>
        <v>0</v>
      </c>
      <c r="T1611" s="1667">
        <f t="shared" si="51"/>
        <v>0</v>
      </c>
      <c r="U1611" s="855" t="s">
        <v>34</v>
      </c>
      <c r="V1611" s="1055">
        <f>SUM(T1611:T1631)%</f>
        <v>0</v>
      </c>
      <c r="W1611" s="791"/>
    </row>
    <row r="1612" spans="1:23" ht="22.95" customHeight="1" x14ac:dyDescent="0.4">
      <c r="A1612" s="788">
        <v>1611</v>
      </c>
      <c r="B1612" s="198" t="s">
        <v>2616</v>
      </c>
      <c r="C1612" s="1466" t="s">
        <v>24</v>
      </c>
      <c r="D1612" s="1668">
        <v>4049</v>
      </c>
      <c r="E1612" s="1337" t="s">
        <v>4307</v>
      </c>
      <c r="F1612" s="1337" t="s">
        <v>4308</v>
      </c>
      <c r="G1612" s="1489">
        <v>3192</v>
      </c>
      <c r="H1612" s="1337" t="s">
        <v>2619</v>
      </c>
      <c r="I1612" s="1337" t="s">
        <v>28</v>
      </c>
      <c r="J1612" s="220" t="s">
        <v>111</v>
      </c>
      <c r="K1612" s="220" t="s">
        <v>110</v>
      </c>
      <c r="L1612" s="1281">
        <v>0.55000000000000004</v>
      </c>
      <c r="M1612" s="1669" t="s">
        <v>4311</v>
      </c>
      <c r="N1612" s="1175" t="s">
        <v>4312</v>
      </c>
      <c r="O1612" s="1108"/>
      <c r="P1612" s="803">
        <v>1</v>
      </c>
      <c r="Q1612" s="1670">
        <v>0.06</v>
      </c>
      <c r="R1612" s="803"/>
      <c r="S1612" s="1671">
        <f t="shared" si="50"/>
        <v>0</v>
      </c>
      <c r="T1612" s="1672">
        <f t="shared" si="51"/>
        <v>0</v>
      </c>
      <c r="U1612" s="650" t="s">
        <v>34</v>
      </c>
      <c r="V1612" s="1145"/>
      <c r="W1612" s="799"/>
    </row>
    <row r="1613" spans="1:23" ht="22.95" customHeight="1" x14ac:dyDescent="0.4">
      <c r="A1613" s="788">
        <v>1612</v>
      </c>
      <c r="B1613" s="198" t="s">
        <v>2616</v>
      </c>
      <c r="C1613" s="1466" t="s">
        <v>24</v>
      </c>
      <c r="D1613" s="1668">
        <v>4049</v>
      </c>
      <c r="E1613" s="1337" t="s">
        <v>4307</v>
      </c>
      <c r="F1613" s="1337" t="s">
        <v>4308</v>
      </c>
      <c r="G1613" s="1489">
        <v>3192</v>
      </c>
      <c r="H1613" s="1337" t="s">
        <v>2619</v>
      </c>
      <c r="I1613" s="1337" t="s">
        <v>28</v>
      </c>
      <c r="J1613" s="220" t="s">
        <v>111</v>
      </c>
      <c r="K1613" s="220" t="s">
        <v>110</v>
      </c>
      <c r="L1613" s="1281">
        <v>0.55000000000000004</v>
      </c>
      <c r="M1613" s="1669" t="s">
        <v>4313</v>
      </c>
      <c r="N1613" s="1175" t="s">
        <v>4314</v>
      </c>
      <c r="O1613" s="1108"/>
      <c r="P1613" s="803">
        <v>1</v>
      </c>
      <c r="Q1613" s="1670">
        <v>0.04</v>
      </c>
      <c r="R1613" s="803"/>
      <c r="S1613" s="1671">
        <f t="shared" si="50"/>
        <v>0</v>
      </c>
      <c r="T1613" s="1672">
        <f t="shared" si="51"/>
        <v>0</v>
      </c>
      <c r="U1613" s="650" t="s">
        <v>34</v>
      </c>
      <c r="V1613" s="1145"/>
      <c r="W1613" s="799"/>
    </row>
    <row r="1614" spans="1:23" ht="22.95" customHeight="1" x14ac:dyDescent="0.4">
      <c r="A1614" s="788">
        <v>1613</v>
      </c>
      <c r="B1614" s="198" t="s">
        <v>2616</v>
      </c>
      <c r="C1614" s="1466" t="s">
        <v>24</v>
      </c>
      <c r="D1614" s="1668">
        <v>4049</v>
      </c>
      <c r="E1614" s="1337" t="s">
        <v>4307</v>
      </c>
      <c r="F1614" s="1337" t="s">
        <v>4308</v>
      </c>
      <c r="G1614" s="1489">
        <v>3192</v>
      </c>
      <c r="H1614" s="1337" t="s">
        <v>2619</v>
      </c>
      <c r="I1614" s="1337" t="s">
        <v>28</v>
      </c>
      <c r="J1614" s="220" t="s">
        <v>111</v>
      </c>
      <c r="K1614" s="220" t="s">
        <v>110</v>
      </c>
      <c r="L1614" s="1281">
        <v>0.55000000000000004</v>
      </c>
      <c r="M1614" s="1669" t="s">
        <v>4315</v>
      </c>
      <c r="N1614" s="1175" t="s">
        <v>4316</v>
      </c>
      <c r="O1614" s="1108"/>
      <c r="P1614" s="803">
        <v>1</v>
      </c>
      <c r="Q1614" s="1670">
        <v>7.0000000000000007E-2</v>
      </c>
      <c r="R1614" s="803"/>
      <c r="S1614" s="1671">
        <f t="shared" si="50"/>
        <v>0</v>
      </c>
      <c r="T1614" s="1672">
        <f t="shared" si="51"/>
        <v>0</v>
      </c>
      <c r="U1614" s="650" t="s">
        <v>34</v>
      </c>
      <c r="V1614" s="1145"/>
      <c r="W1614" s="799"/>
    </row>
    <row r="1615" spans="1:23" ht="22.95" customHeight="1" x14ac:dyDescent="0.4">
      <c r="A1615" s="788">
        <v>1614</v>
      </c>
      <c r="B1615" s="198" t="s">
        <v>2616</v>
      </c>
      <c r="C1615" s="1466" t="s">
        <v>24</v>
      </c>
      <c r="D1615" s="1668">
        <v>4049</v>
      </c>
      <c r="E1615" s="1337" t="s">
        <v>4307</v>
      </c>
      <c r="F1615" s="1337" t="s">
        <v>4308</v>
      </c>
      <c r="G1615" s="1489">
        <v>3192</v>
      </c>
      <c r="H1615" s="1337" t="s">
        <v>2619</v>
      </c>
      <c r="I1615" s="1337" t="s">
        <v>28</v>
      </c>
      <c r="J1615" s="220" t="s">
        <v>111</v>
      </c>
      <c r="K1615" s="220" t="s">
        <v>110</v>
      </c>
      <c r="L1615" s="1281">
        <v>0.55000000000000004</v>
      </c>
      <c r="M1615" s="1669" t="s">
        <v>4317</v>
      </c>
      <c r="N1615" s="1175" t="s">
        <v>4318</v>
      </c>
      <c r="O1615" s="1108" t="s">
        <v>4319</v>
      </c>
      <c r="P1615" s="803">
        <v>1</v>
      </c>
      <c r="Q1615" s="1670">
        <v>7.0000000000000007E-2</v>
      </c>
      <c r="R1615" s="803"/>
      <c r="S1615" s="1671">
        <f t="shared" si="50"/>
        <v>0</v>
      </c>
      <c r="T1615" s="1672">
        <f t="shared" si="51"/>
        <v>0</v>
      </c>
      <c r="U1615" s="650" t="s">
        <v>34</v>
      </c>
      <c r="V1615" s="1145"/>
      <c r="W1615" s="799"/>
    </row>
    <row r="1616" spans="1:23" ht="22.95" customHeight="1" x14ac:dyDescent="0.4">
      <c r="A1616" s="788">
        <v>1615</v>
      </c>
      <c r="B1616" s="198" t="s">
        <v>2616</v>
      </c>
      <c r="C1616" s="1466" t="s">
        <v>24</v>
      </c>
      <c r="D1616" s="1668">
        <v>4049</v>
      </c>
      <c r="E1616" s="1337" t="s">
        <v>4307</v>
      </c>
      <c r="F1616" s="220" t="s">
        <v>4308</v>
      </c>
      <c r="G1616" s="1489">
        <v>3192</v>
      </c>
      <c r="H1616" s="1337" t="s">
        <v>2619</v>
      </c>
      <c r="I1616" s="1337" t="s">
        <v>28</v>
      </c>
      <c r="J1616" s="220" t="s">
        <v>111</v>
      </c>
      <c r="K1616" s="220" t="s">
        <v>110</v>
      </c>
      <c r="L1616" s="1281">
        <v>0.55000000000000004</v>
      </c>
      <c r="M1616" s="1669" t="s">
        <v>4320</v>
      </c>
      <c r="N1616" s="1175" t="s">
        <v>4321</v>
      </c>
      <c r="O1616" s="1673" t="s">
        <v>4322</v>
      </c>
      <c r="P1616" s="803">
        <v>1</v>
      </c>
      <c r="Q1616" s="1670">
        <v>0.08</v>
      </c>
      <c r="R1616" s="803"/>
      <c r="S1616" s="1671">
        <f t="shared" si="50"/>
        <v>0</v>
      </c>
      <c r="T1616" s="1672">
        <f t="shared" si="51"/>
        <v>0</v>
      </c>
      <c r="U1616" s="650" t="s">
        <v>34</v>
      </c>
      <c r="V1616" s="1145"/>
      <c r="W1616" s="799"/>
    </row>
    <row r="1617" spans="1:23" ht="22.95" customHeight="1" x14ac:dyDescent="0.4">
      <c r="A1617" s="788">
        <v>1616</v>
      </c>
      <c r="B1617" s="198" t="s">
        <v>2616</v>
      </c>
      <c r="C1617" s="1466" t="s">
        <v>24</v>
      </c>
      <c r="D1617" s="1668">
        <v>4049</v>
      </c>
      <c r="E1617" s="1337" t="s">
        <v>4307</v>
      </c>
      <c r="F1617" s="220" t="s">
        <v>4308</v>
      </c>
      <c r="G1617" s="1489">
        <v>3192</v>
      </c>
      <c r="H1617" s="1337" t="s">
        <v>2619</v>
      </c>
      <c r="I1617" s="1337" t="s">
        <v>28</v>
      </c>
      <c r="J1617" s="220" t="s">
        <v>111</v>
      </c>
      <c r="K1617" s="220" t="s">
        <v>110</v>
      </c>
      <c r="L1617" s="1281">
        <v>0.55000000000000004</v>
      </c>
      <c r="M1617" s="1669" t="s">
        <v>4323</v>
      </c>
      <c r="N1617" s="1175" t="s">
        <v>4324</v>
      </c>
      <c r="O1617" s="1673" t="s">
        <v>4325</v>
      </c>
      <c r="P1617" s="803">
        <v>1</v>
      </c>
      <c r="Q1617" s="1670">
        <v>7.0000000000000007E-2</v>
      </c>
      <c r="R1617" s="803"/>
      <c r="S1617" s="1671">
        <f t="shared" si="50"/>
        <v>0</v>
      </c>
      <c r="T1617" s="1672">
        <f t="shared" si="51"/>
        <v>0</v>
      </c>
      <c r="U1617" s="650" t="s">
        <v>34</v>
      </c>
      <c r="V1617" s="1145"/>
      <c r="W1617" s="799"/>
    </row>
    <row r="1618" spans="1:23" ht="22.95" customHeight="1" x14ac:dyDescent="0.4">
      <c r="A1618" s="788">
        <v>1617</v>
      </c>
      <c r="B1618" s="198" t="s">
        <v>2616</v>
      </c>
      <c r="C1618" s="1466" t="s">
        <v>24</v>
      </c>
      <c r="D1618" s="1668">
        <v>4049</v>
      </c>
      <c r="E1618" s="1337" t="s">
        <v>4307</v>
      </c>
      <c r="F1618" s="220" t="s">
        <v>4308</v>
      </c>
      <c r="G1618" s="1489">
        <v>3192</v>
      </c>
      <c r="H1618" s="1337" t="s">
        <v>2619</v>
      </c>
      <c r="I1618" s="1337" t="s">
        <v>28</v>
      </c>
      <c r="J1618" s="220" t="s">
        <v>111</v>
      </c>
      <c r="K1618" s="220" t="s">
        <v>110</v>
      </c>
      <c r="L1618" s="1281">
        <v>0.55000000000000004</v>
      </c>
      <c r="M1618" s="1669" t="s">
        <v>4326</v>
      </c>
      <c r="N1618" s="1175" t="s">
        <v>4327</v>
      </c>
      <c r="O1618" s="1673"/>
      <c r="P1618" s="803">
        <v>1</v>
      </c>
      <c r="Q1618" s="1670">
        <v>0.05</v>
      </c>
      <c r="R1618" s="803"/>
      <c r="S1618" s="1671">
        <f t="shared" si="50"/>
        <v>0</v>
      </c>
      <c r="T1618" s="1672">
        <f t="shared" si="51"/>
        <v>0</v>
      </c>
      <c r="U1618" s="650" t="s">
        <v>34</v>
      </c>
      <c r="V1618" s="1145"/>
      <c r="W1618" s="799"/>
    </row>
    <row r="1619" spans="1:23" ht="22.95" customHeight="1" x14ac:dyDescent="0.4">
      <c r="A1619" s="788">
        <v>1618</v>
      </c>
      <c r="B1619" s="198" t="s">
        <v>2616</v>
      </c>
      <c r="C1619" s="1466" t="s">
        <v>24</v>
      </c>
      <c r="D1619" s="1668">
        <v>4049</v>
      </c>
      <c r="E1619" s="1337" t="s">
        <v>4307</v>
      </c>
      <c r="F1619" s="220" t="s">
        <v>4308</v>
      </c>
      <c r="G1619" s="1489">
        <v>3192</v>
      </c>
      <c r="H1619" s="1337" t="s">
        <v>2619</v>
      </c>
      <c r="I1619" s="1337" t="s">
        <v>28</v>
      </c>
      <c r="J1619" s="220" t="s">
        <v>111</v>
      </c>
      <c r="K1619" s="220" t="s">
        <v>110</v>
      </c>
      <c r="L1619" s="1281">
        <v>0.55000000000000004</v>
      </c>
      <c r="M1619" s="1669" t="s">
        <v>4328</v>
      </c>
      <c r="N1619" s="1175" t="s">
        <v>4329</v>
      </c>
      <c r="O1619" s="1673"/>
      <c r="P1619" s="803">
        <v>1</v>
      </c>
      <c r="Q1619" s="1670">
        <v>0.06</v>
      </c>
      <c r="R1619" s="803"/>
      <c r="S1619" s="1671">
        <f t="shared" si="50"/>
        <v>0</v>
      </c>
      <c r="T1619" s="1672">
        <f t="shared" si="51"/>
        <v>0</v>
      </c>
      <c r="U1619" s="650" t="s">
        <v>34</v>
      </c>
      <c r="V1619" s="1145"/>
      <c r="W1619" s="799"/>
    </row>
    <row r="1620" spans="1:23" ht="22.95" customHeight="1" x14ac:dyDescent="0.4">
      <c r="A1620" s="788">
        <v>1619</v>
      </c>
      <c r="B1620" s="198" t="s">
        <v>2616</v>
      </c>
      <c r="C1620" s="1466" t="s">
        <v>24</v>
      </c>
      <c r="D1620" s="1668">
        <v>4049</v>
      </c>
      <c r="E1620" s="1337" t="s">
        <v>4307</v>
      </c>
      <c r="F1620" s="220" t="s">
        <v>4308</v>
      </c>
      <c r="G1620" s="1489">
        <v>3192</v>
      </c>
      <c r="H1620" s="1337" t="s">
        <v>2619</v>
      </c>
      <c r="I1620" s="1337" t="s">
        <v>28</v>
      </c>
      <c r="J1620" s="220" t="s">
        <v>111</v>
      </c>
      <c r="K1620" s="220" t="s">
        <v>110</v>
      </c>
      <c r="L1620" s="1281">
        <v>0.55000000000000004</v>
      </c>
      <c r="M1620" s="1669" t="s">
        <v>4330</v>
      </c>
      <c r="N1620" s="1175" t="s">
        <v>4331</v>
      </c>
      <c r="O1620" s="1673"/>
      <c r="P1620" s="803">
        <v>1</v>
      </c>
      <c r="Q1620" s="1670">
        <v>0.06</v>
      </c>
      <c r="R1620" s="803"/>
      <c r="S1620" s="1671">
        <f t="shared" si="50"/>
        <v>0</v>
      </c>
      <c r="T1620" s="1672">
        <f t="shared" si="51"/>
        <v>0</v>
      </c>
      <c r="U1620" s="650" t="s">
        <v>34</v>
      </c>
      <c r="V1620" s="1145"/>
      <c r="W1620" s="799"/>
    </row>
    <row r="1621" spans="1:23" ht="22.95" customHeight="1" x14ac:dyDescent="0.4">
      <c r="A1621" s="788">
        <v>1620</v>
      </c>
      <c r="B1621" s="198" t="s">
        <v>2616</v>
      </c>
      <c r="C1621" s="1466" t="s">
        <v>24</v>
      </c>
      <c r="D1621" s="1668">
        <v>4049</v>
      </c>
      <c r="E1621" s="1337" t="s">
        <v>4307</v>
      </c>
      <c r="F1621" s="220" t="s">
        <v>4308</v>
      </c>
      <c r="G1621" s="1489">
        <v>3192</v>
      </c>
      <c r="H1621" s="1337" t="s">
        <v>2619</v>
      </c>
      <c r="I1621" s="1337" t="s">
        <v>28</v>
      </c>
      <c r="J1621" s="220" t="s">
        <v>111</v>
      </c>
      <c r="K1621" s="220" t="s">
        <v>110</v>
      </c>
      <c r="L1621" s="1281">
        <v>0.55000000000000004</v>
      </c>
      <c r="M1621" s="1669" t="s">
        <v>4332</v>
      </c>
      <c r="N1621" s="1175" t="s">
        <v>4333</v>
      </c>
      <c r="O1621" s="1673" t="s">
        <v>4334</v>
      </c>
      <c r="P1621" s="803">
        <v>1</v>
      </c>
      <c r="Q1621" s="1670">
        <v>0.05</v>
      </c>
      <c r="R1621" s="803"/>
      <c r="S1621" s="1671">
        <f t="shared" si="50"/>
        <v>0</v>
      </c>
      <c r="T1621" s="1672">
        <f t="shared" si="51"/>
        <v>0</v>
      </c>
      <c r="U1621" s="650" t="s">
        <v>34</v>
      </c>
      <c r="V1621" s="1145"/>
      <c r="W1621" s="799"/>
    </row>
    <row r="1622" spans="1:23" ht="22.95" customHeight="1" x14ac:dyDescent="0.4">
      <c r="A1622" s="788">
        <v>1621</v>
      </c>
      <c r="B1622" s="198" t="s">
        <v>2616</v>
      </c>
      <c r="C1622" s="1466" t="s">
        <v>24</v>
      </c>
      <c r="D1622" s="1668">
        <v>4049</v>
      </c>
      <c r="E1622" s="1337" t="s">
        <v>4307</v>
      </c>
      <c r="F1622" s="220" t="s">
        <v>4308</v>
      </c>
      <c r="G1622" s="1489">
        <v>3192</v>
      </c>
      <c r="H1622" s="1337" t="s">
        <v>2619</v>
      </c>
      <c r="I1622" s="1337" t="s">
        <v>28</v>
      </c>
      <c r="J1622" s="220" t="s">
        <v>111</v>
      </c>
      <c r="K1622" s="220" t="s">
        <v>110</v>
      </c>
      <c r="L1622" s="1281">
        <v>0.55000000000000004</v>
      </c>
      <c r="M1622" s="1669" t="s">
        <v>4335</v>
      </c>
      <c r="N1622" s="1175" t="s">
        <v>4336</v>
      </c>
      <c r="O1622" s="1673"/>
      <c r="P1622" s="803">
        <v>1</v>
      </c>
      <c r="Q1622" s="1670">
        <v>0.05</v>
      </c>
      <c r="R1622" s="803"/>
      <c r="S1622" s="1671">
        <f t="shared" si="50"/>
        <v>0</v>
      </c>
      <c r="T1622" s="1672">
        <f t="shared" si="51"/>
        <v>0</v>
      </c>
      <c r="U1622" s="650" t="s">
        <v>34</v>
      </c>
      <c r="V1622" s="1145"/>
      <c r="W1622" s="799"/>
    </row>
    <row r="1623" spans="1:23" ht="22.95" customHeight="1" x14ac:dyDescent="0.4">
      <c r="A1623" s="788">
        <v>1622</v>
      </c>
      <c r="B1623" s="198" t="s">
        <v>2616</v>
      </c>
      <c r="C1623" s="1466" t="s">
        <v>24</v>
      </c>
      <c r="D1623" s="1668">
        <v>4049</v>
      </c>
      <c r="E1623" s="1337" t="s">
        <v>4307</v>
      </c>
      <c r="F1623" s="220" t="s">
        <v>4308</v>
      </c>
      <c r="G1623" s="1489">
        <v>3192</v>
      </c>
      <c r="H1623" s="1337" t="s">
        <v>2619</v>
      </c>
      <c r="I1623" s="1337" t="s">
        <v>28</v>
      </c>
      <c r="J1623" s="220" t="s">
        <v>111</v>
      </c>
      <c r="K1623" s="220" t="s">
        <v>110</v>
      </c>
      <c r="L1623" s="1281">
        <v>0.55000000000000004</v>
      </c>
      <c r="M1623" s="1669" t="s">
        <v>4337</v>
      </c>
      <c r="N1623" s="1175" t="s">
        <v>4338</v>
      </c>
      <c r="O1623" s="1673"/>
      <c r="P1623" s="803">
        <v>1</v>
      </c>
      <c r="Q1623" s="1670">
        <v>0.05</v>
      </c>
      <c r="R1623" s="803"/>
      <c r="S1623" s="1671">
        <f t="shared" si="50"/>
        <v>0</v>
      </c>
      <c r="T1623" s="1672">
        <f t="shared" si="51"/>
        <v>0</v>
      </c>
      <c r="U1623" s="650" t="s">
        <v>34</v>
      </c>
      <c r="V1623" s="1145"/>
      <c r="W1623" s="799"/>
    </row>
    <row r="1624" spans="1:23" ht="22.95" customHeight="1" x14ac:dyDescent="0.4">
      <c r="A1624" s="788">
        <v>1623</v>
      </c>
      <c r="B1624" s="198" t="s">
        <v>2616</v>
      </c>
      <c r="C1624" s="1466" t="s">
        <v>24</v>
      </c>
      <c r="D1624" s="1668">
        <v>4049</v>
      </c>
      <c r="E1624" s="1337" t="s">
        <v>4307</v>
      </c>
      <c r="F1624" s="220" t="s">
        <v>4308</v>
      </c>
      <c r="G1624" s="1489">
        <v>3192</v>
      </c>
      <c r="H1624" s="1337" t="s">
        <v>2619</v>
      </c>
      <c r="I1624" s="1337" t="s">
        <v>28</v>
      </c>
      <c r="J1624" s="220" t="s">
        <v>111</v>
      </c>
      <c r="K1624" s="220" t="s">
        <v>110</v>
      </c>
      <c r="L1624" s="1281">
        <v>0.55000000000000004</v>
      </c>
      <c r="M1624" s="1669" t="s">
        <v>4339</v>
      </c>
      <c r="N1624" s="1175" t="s">
        <v>4340</v>
      </c>
      <c r="O1624" s="1673"/>
      <c r="P1624" s="803">
        <v>1</v>
      </c>
      <c r="Q1624" s="1670">
        <v>0.05</v>
      </c>
      <c r="R1624" s="803"/>
      <c r="S1624" s="1671">
        <f t="shared" si="50"/>
        <v>0</v>
      </c>
      <c r="T1624" s="1672">
        <f t="shared" si="51"/>
        <v>0</v>
      </c>
      <c r="U1624" s="650" t="s">
        <v>34</v>
      </c>
      <c r="V1624" s="1145"/>
      <c r="W1624" s="799"/>
    </row>
    <row r="1625" spans="1:23" ht="22.95" customHeight="1" x14ac:dyDescent="0.4">
      <c r="A1625" s="788">
        <v>1624</v>
      </c>
      <c r="B1625" s="198" t="s">
        <v>2616</v>
      </c>
      <c r="C1625" s="1466" t="s">
        <v>24</v>
      </c>
      <c r="D1625" s="1668">
        <v>4049</v>
      </c>
      <c r="E1625" s="1337" t="s">
        <v>4307</v>
      </c>
      <c r="F1625" s="220" t="s">
        <v>4308</v>
      </c>
      <c r="G1625" s="1489">
        <v>3192</v>
      </c>
      <c r="H1625" s="1337" t="s">
        <v>2619</v>
      </c>
      <c r="I1625" s="1337" t="s">
        <v>28</v>
      </c>
      <c r="J1625" s="220" t="s">
        <v>111</v>
      </c>
      <c r="K1625" s="220" t="s">
        <v>110</v>
      </c>
      <c r="L1625" s="1281">
        <v>0.55000000000000004</v>
      </c>
      <c r="M1625" s="1669" t="s">
        <v>4341</v>
      </c>
      <c r="N1625" s="1175" t="s">
        <v>4342</v>
      </c>
      <c r="O1625" s="1673"/>
      <c r="P1625" s="803">
        <v>1</v>
      </c>
      <c r="Q1625" s="1670">
        <v>0.04</v>
      </c>
      <c r="R1625" s="803"/>
      <c r="S1625" s="1671">
        <f t="shared" si="50"/>
        <v>0</v>
      </c>
      <c r="T1625" s="1672">
        <f t="shared" si="51"/>
        <v>0</v>
      </c>
      <c r="U1625" s="650" t="s">
        <v>34</v>
      </c>
      <c r="V1625" s="1145"/>
      <c r="W1625" s="799"/>
    </row>
    <row r="1626" spans="1:23" ht="22.95" customHeight="1" x14ac:dyDescent="0.4">
      <c r="A1626" s="788">
        <v>1625</v>
      </c>
      <c r="B1626" s="198" t="s">
        <v>2616</v>
      </c>
      <c r="C1626" s="1466" t="s">
        <v>24</v>
      </c>
      <c r="D1626" s="1668">
        <v>4049</v>
      </c>
      <c r="E1626" s="1337" t="s">
        <v>4307</v>
      </c>
      <c r="F1626" s="220" t="s">
        <v>4308</v>
      </c>
      <c r="G1626" s="1489">
        <v>3192</v>
      </c>
      <c r="H1626" s="1337" t="s">
        <v>2619</v>
      </c>
      <c r="I1626" s="1337" t="s">
        <v>28</v>
      </c>
      <c r="J1626" s="220" t="s">
        <v>111</v>
      </c>
      <c r="K1626" s="220" t="s">
        <v>110</v>
      </c>
      <c r="L1626" s="1281">
        <v>0.55000000000000004</v>
      </c>
      <c r="M1626" s="1669" t="s">
        <v>4343</v>
      </c>
      <c r="N1626" s="1175" t="s">
        <v>4344</v>
      </c>
      <c r="O1626" s="1673"/>
      <c r="P1626" s="803">
        <v>1</v>
      </c>
      <c r="Q1626" s="1670">
        <v>0.04</v>
      </c>
      <c r="R1626" s="803"/>
      <c r="S1626" s="1671">
        <f t="shared" si="50"/>
        <v>0</v>
      </c>
      <c r="T1626" s="1672">
        <f t="shared" si="51"/>
        <v>0</v>
      </c>
      <c r="U1626" s="650" t="s">
        <v>34</v>
      </c>
      <c r="V1626" s="1145"/>
      <c r="W1626" s="799"/>
    </row>
    <row r="1627" spans="1:23" ht="22.95" customHeight="1" x14ac:dyDescent="0.4">
      <c r="A1627" s="788">
        <v>1626</v>
      </c>
      <c r="B1627" s="198" t="s">
        <v>2616</v>
      </c>
      <c r="C1627" s="1466" t="s">
        <v>24</v>
      </c>
      <c r="D1627" s="1668">
        <v>4049</v>
      </c>
      <c r="E1627" s="1337" t="s">
        <v>4307</v>
      </c>
      <c r="F1627" s="220" t="s">
        <v>4308</v>
      </c>
      <c r="G1627" s="1489">
        <v>3192</v>
      </c>
      <c r="H1627" s="1337" t="s">
        <v>2619</v>
      </c>
      <c r="I1627" s="1337" t="s">
        <v>28</v>
      </c>
      <c r="J1627" s="220" t="s">
        <v>111</v>
      </c>
      <c r="K1627" s="220" t="s">
        <v>110</v>
      </c>
      <c r="L1627" s="1281">
        <v>0.55000000000000004</v>
      </c>
      <c r="M1627" s="1669" t="s">
        <v>4345</v>
      </c>
      <c r="N1627" s="1175" t="s">
        <v>4346</v>
      </c>
      <c r="O1627" s="1673"/>
      <c r="P1627" s="803">
        <v>1</v>
      </c>
      <c r="Q1627" s="1670">
        <v>0.03</v>
      </c>
      <c r="R1627" s="803"/>
      <c r="S1627" s="1671">
        <f t="shared" si="50"/>
        <v>0</v>
      </c>
      <c r="T1627" s="1672">
        <f t="shared" si="51"/>
        <v>0</v>
      </c>
      <c r="U1627" s="650" t="s">
        <v>34</v>
      </c>
      <c r="V1627" s="1145"/>
      <c r="W1627" s="799"/>
    </row>
    <row r="1628" spans="1:23" ht="22.95" customHeight="1" x14ac:dyDescent="0.4">
      <c r="A1628" s="788">
        <v>1627</v>
      </c>
      <c r="B1628" s="198" t="s">
        <v>2616</v>
      </c>
      <c r="C1628" s="1466" t="s">
        <v>24</v>
      </c>
      <c r="D1628" s="1668">
        <v>4049</v>
      </c>
      <c r="E1628" s="1337" t="s">
        <v>4307</v>
      </c>
      <c r="F1628" s="220" t="s">
        <v>4308</v>
      </c>
      <c r="G1628" s="1489">
        <v>3192</v>
      </c>
      <c r="H1628" s="1337" t="s">
        <v>2619</v>
      </c>
      <c r="I1628" s="1337" t="s">
        <v>28</v>
      </c>
      <c r="J1628" s="220" t="s">
        <v>111</v>
      </c>
      <c r="K1628" s="220" t="s">
        <v>110</v>
      </c>
      <c r="L1628" s="1281">
        <v>0.55000000000000004</v>
      </c>
      <c r="M1628" s="1669" t="s">
        <v>4347</v>
      </c>
      <c r="N1628" s="1175" t="s">
        <v>4348</v>
      </c>
      <c r="O1628" s="1673"/>
      <c r="P1628" s="803">
        <v>1</v>
      </c>
      <c r="Q1628" s="1670">
        <v>0.04</v>
      </c>
      <c r="R1628" s="803"/>
      <c r="S1628" s="1671">
        <f t="shared" si="50"/>
        <v>0</v>
      </c>
      <c r="T1628" s="1672">
        <f t="shared" si="51"/>
        <v>0</v>
      </c>
      <c r="U1628" s="650" t="s">
        <v>34</v>
      </c>
      <c r="V1628" s="1145"/>
      <c r="W1628" s="799"/>
    </row>
    <row r="1629" spans="1:23" ht="22.95" customHeight="1" x14ac:dyDescent="0.4">
      <c r="A1629" s="788">
        <v>1628</v>
      </c>
      <c r="B1629" s="198" t="s">
        <v>2616</v>
      </c>
      <c r="C1629" s="1466" t="s">
        <v>24</v>
      </c>
      <c r="D1629" s="1668">
        <v>4049</v>
      </c>
      <c r="E1629" s="1337" t="s">
        <v>4307</v>
      </c>
      <c r="F1629" s="220" t="s">
        <v>4308</v>
      </c>
      <c r="G1629" s="1489">
        <v>3192</v>
      </c>
      <c r="H1629" s="1337" t="s">
        <v>2619</v>
      </c>
      <c r="I1629" s="1337" t="s">
        <v>28</v>
      </c>
      <c r="J1629" s="220" t="s">
        <v>111</v>
      </c>
      <c r="K1629" s="220" t="s">
        <v>110</v>
      </c>
      <c r="L1629" s="1281">
        <v>0.55000000000000004</v>
      </c>
      <c r="M1629" s="1669"/>
      <c r="N1629" s="1175" t="s">
        <v>4349</v>
      </c>
      <c r="O1629" s="1673"/>
      <c r="P1629" s="803">
        <v>1</v>
      </c>
      <c r="Q1629" s="1670">
        <v>0.03</v>
      </c>
      <c r="R1629" s="803"/>
      <c r="S1629" s="1671">
        <f t="shared" si="50"/>
        <v>0</v>
      </c>
      <c r="T1629" s="1672">
        <f t="shared" si="51"/>
        <v>0</v>
      </c>
      <c r="U1629" s="650" t="s">
        <v>34</v>
      </c>
      <c r="V1629" s="1145"/>
      <c r="W1629" s="799"/>
    </row>
    <row r="1630" spans="1:23" ht="22.95" customHeight="1" x14ac:dyDescent="0.4">
      <c r="A1630" s="788">
        <v>1629</v>
      </c>
      <c r="B1630" s="198" t="s">
        <v>2616</v>
      </c>
      <c r="C1630" s="1466" t="s">
        <v>24</v>
      </c>
      <c r="D1630" s="1668">
        <v>4049</v>
      </c>
      <c r="E1630" s="1337" t="s">
        <v>4307</v>
      </c>
      <c r="F1630" s="220" t="s">
        <v>4308</v>
      </c>
      <c r="G1630" s="1489">
        <v>3192</v>
      </c>
      <c r="H1630" s="1337" t="s">
        <v>2619</v>
      </c>
      <c r="I1630" s="1337" t="s">
        <v>28</v>
      </c>
      <c r="J1630" s="220" t="s">
        <v>111</v>
      </c>
      <c r="K1630" s="220" t="s">
        <v>110</v>
      </c>
      <c r="L1630" s="1281">
        <v>0.55000000000000004</v>
      </c>
      <c r="M1630" s="1669" t="s">
        <v>4350</v>
      </c>
      <c r="N1630" s="1175" t="s">
        <v>4351</v>
      </c>
      <c r="O1630" s="1673"/>
      <c r="P1630" s="803">
        <v>1</v>
      </c>
      <c r="Q1630" s="1670">
        <v>0.02</v>
      </c>
      <c r="R1630" s="803"/>
      <c r="S1630" s="1671">
        <f t="shared" si="50"/>
        <v>0</v>
      </c>
      <c r="T1630" s="1672">
        <f t="shared" si="51"/>
        <v>0</v>
      </c>
      <c r="U1630" s="650" t="s">
        <v>34</v>
      </c>
      <c r="V1630" s="1145"/>
      <c r="W1630" s="799"/>
    </row>
    <row r="1631" spans="1:23" ht="22.95" customHeight="1" x14ac:dyDescent="0.4">
      <c r="A1631" s="788">
        <v>1630</v>
      </c>
      <c r="B1631" s="198" t="s">
        <v>2616</v>
      </c>
      <c r="C1631" s="1466" t="s">
        <v>24</v>
      </c>
      <c r="D1631" s="1668">
        <v>4049</v>
      </c>
      <c r="E1631" s="1337" t="s">
        <v>4307</v>
      </c>
      <c r="F1631" s="220" t="s">
        <v>4308</v>
      </c>
      <c r="G1631" s="1489">
        <v>3192</v>
      </c>
      <c r="H1631" s="1337" t="s">
        <v>2619</v>
      </c>
      <c r="I1631" s="1337" t="s">
        <v>28</v>
      </c>
      <c r="J1631" s="220" t="s">
        <v>111</v>
      </c>
      <c r="K1631" s="220" t="s">
        <v>110</v>
      </c>
      <c r="L1631" s="1281">
        <v>0.55000000000000004</v>
      </c>
      <c r="M1631" s="1669" t="s">
        <v>4352</v>
      </c>
      <c r="N1631" s="1175" t="s">
        <v>4353</v>
      </c>
      <c r="O1631" s="1673"/>
      <c r="P1631" s="803">
        <v>1</v>
      </c>
      <c r="Q1631" s="1670">
        <v>0.04</v>
      </c>
      <c r="R1631" s="803"/>
      <c r="S1631" s="1671">
        <f t="shared" si="50"/>
        <v>0</v>
      </c>
      <c r="T1631" s="1672">
        <f t="shared" si="51"/>
        <v>0</v>
      </c>
      <c r="U1631" s="650" t="s">
        <v>34</v>
      </c>
      <c r="V1631" s="1145"/>
      <c r="W1631" s="799"/>
    </row>
    <row r="1632" spans="1:23" ht="22.95" customHeight="1" x14ac:dyDescent="0.4">
      <c r="A1632" s="788">
        <v>1631</v>
      </c>
      <c r="B1632" s="187" t="s">
        <v>2616</v>
      </c>
      <c r="C1632" s="187" t="s">
        <v>24</v>
      </c>
      <c r="D1632" s="1663">
        <v>2469</v>
      </c>
      <c r="E1632" s="236" t="s">
        <v>4354</v>
      </c>
      <c r="F1632" s="236" t="s">
        <v>4355</v>
      </c>
      <c r="G1632" s="1487">
        <v>6356</v>
      </c>
      <c r="H1632" s="236" t="s">
        <v>4356</v>
      </c>
      <c r="I1632" s="236" t="s">
        <v>4357</v>
      </c>
      <c r="J1632" s="187" t="s">
        <v>58</v>
      </c>
      <c r="K1632" s="187" t="s">
        <v>57</v>
      </c>
      <c r="L1632" s="1052">
        <v>0.4</v>
      </c>
      <c r="M1632" s="694" t="s">
        <v>2635</v>
      </c>
      <c r="N1632" s="186" t="s">
        <v>2636</v>
      </c>
      <c r="O1632" s="239"/>
      <c r="P1632" s="982">
        <v>1822851.8475738494</v>
      </c>
      <c r="Q1632" s="1054">
        <v>0.16666666666666666</v>
      </c>
      <c r="R1632" s="982"/>
      <c r="S1632" s="195">
        <f t="shared" si="50"/>
        <v>0</v>
      </c>
      <c r="T1632" s="196">
        <f t="shared" si="51"/>
        <v>0</v>
      </c>
      <c r="U1632" s="197" t="s">
        <v>34</v>
      </c>
      <c r="V1632" s="1248">
        <f>SUM(T1632:T1646)%</f>
        <v>0</v>
      </c>
      <c r="W1632" s="295"/>
    </row>
    <row r="1633" spans="1:23" ht="22.95" customHeight="1" x14ac:dyDescent="0.4">
      <c r="A1633" s="788">
        <v>1632</v>
      </c>
      <c r="B1633" s="246" t="s">
        <v>2616</v>
      </c>
      <c r="C1633" s="246" t="s">
        <v>24</v>
      </c>
      <c r="D1633" s="1668">
        <v>2469</v>
      </c>
      <c r="E1633" s="198" t="s">
        <v>4354</v>
      </c>
      <c r="F1633" s="198" t="s">
        <v>4355</v>
      </c>
      <c r="G1633" s="1489">
        <v>6356</v>
      </c>
      <c r="H1633" s="198" t="s">
        <v>4356</v>
      </c>
      <c r="I1633" s="198" t="s">
        <v>4357</v>
      </c>
      <c r="J1633" s="692" t="s">
        <v>58</v>
      </c>
      <c r="K1633" s="692" t="s">
        <v>57</v>
      </c>
      <c r="L1633" s="1067">
        <v>0.4</v>
      </c>
      <c r="M1633" s="1674" t="s">
        <v>2637</v>
      </c>
      <c r="N1633" s="1674" t="s">
        <v>2638</v>
      </c>
      <c r="O1633" s="211"/>
      <c r="P1633" s="991">
        <v>632149.86058619968</v>
      </c>
      <c r="Q1633" s="1201">
        <v>0.1111111111111111</v>
      </c>
      <c r="R1633" s="991"/>
      <c r="S1633" s="206">
        <f t="shared" si="50"/>
        <v>0</v>
      </c>
      <c r="T1633" s="207">
        <f t="shared" si="51"/>
        <v>0</v>
      </c>
      <c r="U1633" s="208" t="s">
        <v>34</v>
      </c>
      <c r="V1633" s="1197"/>
      <c r="W1633" s="303"/>
    </row>
    <row r="1634" spans="1:23" ht="22.95" customHeight="1" x14ac:dyDescent="0.4">
      <c r="A1634" s="788">
        <v>1633</v>
      </c>
      <c r="B1634" s="246" t="s">
        <v>2616</v>
      </c>
      <c r="C1634" s="246" t="s">
        <v>24</v>
      </c>
      <c r="D1634" s="1668">
        <v>2469</v>
      </c>
      <c r="E1634" s="198" t="s">
        <v>4354</v>
      </c>
      <c r="F1634" s="198" t="s">
        <v>4355</v>
      </c>
      <c r="G1634" s="1489">
        <v>6356</v>
      </c>
      <c r="H1634" s="198" t="s">
        <v>4356</v>
      </c>
      <c r="I1634" s="198" t="s">
        <v>4357</v>
      </c>
      <c r="J1634" s="692" t="s">
        <v>58</v>
      </c>
      <c r="K1634" s="692" t="s">
        <v>57</v>
      </c>
      <c r="L1634" s="1067">
        <v>0.4</v>
      </c>
      <c r="M1634" s="1674" t="s">
        <v>2639</v>
      </c>
      <c r="N1634" s="1674" t="s">
        <v>2640</v>
      </c>
      <c r="O1634" s="211"/>
      <c r="P1634" s="991">
        <v>1582673.167066941</v>
      </c>
      <c r="Q1634" s="1201">
        <v>8.3333333333333329E-2</v>
      </c>
      <c r="R1634" s="991"/>
      <c r="S1634" s="206">
        <f t="shared" si="50"/>
        <v>0</v>
      </c>
      <c r="T1634" s="207">
        <f t="shared" si="51"/>
        <v>0</v>
      </c>
      <c r="U1634" s="208" t="s">
        <v>34</v>
      </c>
      <c r="V1634" s="1197"/>
      <c r="W1634" s="303"/>
    </row>
    <row r="1635" spans="1:23" ht="22.95" customHeight="1" x14ac:dyDescent="0.4">
      <c r="A1635" s="788">
        <v>1634</v>
      </c>
      <c r="B1635" s="246" t="s">
        <v>2616</v>
      </c>
      <c r="C1635" s="246" t="s">
        <v>24</v>
      </c>
      <c r="D1635" s="1668">
        <v>2469</v>
      </c>
      <c r="E1635" s="198" t="s">
        <v>4354</v>
      </c>
      <c r="F1635" s="198" t="s">
        <v>4355</v>
      </c>
      <c r="G1635" s="1489">
        <v>6356</v>
      </c>
      <c r="H1635" s="198" t="s">
        <v>4356</v>
      </c>
      <c r="I1635" s="198" t="s">
        <v>4357</v>
      </c>
      <c r="J1635" s="692" t="s">
        <v>58</v>
      </c>
      <c r="K1635" s="692" t="s">
        <v>57</v>
      </c>
      <c r="L1635" s="1067">
        <v>0.4</v>
      </c>
      <c r="M1635" s="1674" t="s">
        <v>2641</v>
      </c>
      <c r="N1635" s="1674" t="s">
        <v>2642</v>
      </c>
      <c r="O1635" s="211"/>
      <c r="P1635" s="991">
        <v>52500</v>
      </c>
      <c r="Q1635" s="1201">
        <v>2.7777777777777776E-2</v>
      </c>
      <c r="R1635" s="991"/>
      <c r="S1635" s="206">
        <f t="shared" si="50"/>
        <v>0</v>
      </c>
      <c r="T1635" s="207">
        <f t="shared" si="51"/>
        <v>0</v>
      </c>
      <c r="U1635" s="208" t="s">
        <v>34</v>
      </c>
      <c r="V1635" s="1197"/>
      <c r="W1635" s="303"/>
    </row>
    <row r="1636" spans="1:23" ht="22.95" customHeight="1" x14ac:dyDescent="0.4">
      <c r="A1636" s="788">
        <v>1635</v>
      </c>
      <c r="B1636" s="246" t="s">
        <v>2616</v>
      </c>
      <c r="C1636" s="246" t="s">
        <v>24</v>
      </c>
      <c r="D1636" s="1668">
        <v>2469</v>
      </c>
      <c r="E1636" s="198" t="s">
        <v>4354</v>
      </c>
      <c r="F1636" s="198" t="s">
        <v>4355</v>
      </c>
      <c r="G1636" s="1489">
        <v>6356</v>
      </c>
      <c r="H1636" s="198" t="s">
        <v>4356</v>
      </c>
      <c r="I1636" s="198" t="s">
        <v>4357</v>
      </c>
      <c r="J1636" s="692" t="s">
        <v>58</v>
      </c>
      <c r="K1636" s="692" t="s">
        <v>57</v>
      </c>
      <c r="L1636" s="1067">
        <v>0.4</v>
      </c>
      <c r="M1636" s="1674" t="s">
        <v>2643</v>
      </c>
      <c r="N1636" s="1674" t="s">
        <v>2644</v>
      </c>
      <c r="O1636" s="211"/>
      <c r="P1636" s="991">
        <v>28325616.5089917</v>
      </c>
      <c r="Q1636" s="1201">
        <v>5.5555555555555552E-2</v>
      </c>
      <c r="R1636" s="991"/>
      <c r="S1636" s="206">
        <f t="shared" si="50"/>
        <v>0</v>
      </c>
      <c r="T1636" s="207">
        <f t="shared" si="51"/>
        <v>0</v>
      </c>
      <c r="U1636" s="208" t="s">
        <v>34</v>
      </c>
      <c r="V1636" s="1197"/>
      <c r="W1636" s="303"/>
    </row>
    <row r="1637" spans="1:23" ht="22.95" customHeight="1" x14ac:dyDescent="0.4">
      <c r="A1637" s="788">
        <v>1636</v>
      </c>
      <c r="B1637" s="246" t="s">
        <v>2616</v>
      </c>
      <c r="C1637" s="246" t="s">
        <v>24</v>
      </c>
      <c r="D1637" s="1668">
        <v>2469</v>
      </c>
      <c r="E1637" s="198" t="s">
        <v>4354</v>
      </c>
      <c r="F1637" s="198" t="s">
        <v>4355</v>
      </c>
      <c r="G1637" s="1489">
        <v>6356</v>
      </c>
      <c r="H1637" s="198" t="s">
        <v>4356</v>
      </c>
      <c r="I1637" s="198" t="s">
        <v>4357</v>
      </c>
      <c r="J1637" s="692" t="s">
        <v>58</v>
      </c>
      <c r="K1637" s="692" t="s">
        <v>57</v>
      </c>
      <c r="L1637" s="1067">
        <v>0.4</v>
      </c>
      <c r="M1637" s="1674" t="s">
        <v>51</v>
      </c>
      <c r="N1637" s="1674" t="s">
        <v>2645</v>
      </c>
      <c r="O1637" s="211"/>
      <c r="P1637" s="991">
        <v>350000</v>
      </c>
      <c r="Q1637" s="1201">
        <v>2.7777777777777776E-2</v>
      </c>
      <c r="R1637" s="991"/>
      <c r="S1637" s="206">
        <f t="shared" si="50"/>
        <v>0</v>
      </c>
      <c r="T1637" s="207">
        <f t="shared" si="51"/>
        <v>0</v>
      </c>
      <c r="U1637" s="208" t="s">
        <v>34</v>
      </c>
      <c r="V1637" s="1197"/>
      <c r="W1637" s="303"/>
    </row>
    <row r="1638" spans="1:23" ht="22.95" customHeight="1" x14ac:dyDescent="0.4">
      <c r="A1638" s="788">
        <v>1637</v>
      </c>
      <c r="B1638" s="246" t="s">
        <v>2616</v>
      </c>
      <c r="C1638" s="246" t="s">
        <v>24</v>
      </c>
      <c r="D1638" s="1668">
        <v>2469</v>
      </c>
      <c r="E1638" s="198" t="s">
        <v>4354</v>
      </c>
      <c r="F1638" s="198" t="s">
        <v>4355</v>
      </c>
      <c r="G1638" s="1489">
        <v>6356</v>
      </c>
      <c r="H1638" s="198" t="s">
        <v>4356</v>
      </c>
      <c r="I1638" s="198" t="s">
        <v>4357</v>
      </c>
      <c r="J1638" s="692" t="s">
        <v>58</v>
      </c>
      <c r="K1638" s="692" t="s">
        <v>57</v>
      </c>
      <c r="L1638" s="1067">
        <v>0.4</v>
      </c>
      <c r="M1638" s="1674" t="s">
        <v>2646</v>
      </c>
      <c r="N1638" s="1674" t="s">
        <v>2647</v>
      </c>
      <c r="O1638" s="211"/>
      <c r="P1638" s="991">
        <v>12008.568758934001</v>
      </c>
      <c r="Q1638" s="1201">
        <v>2.7777777777777776E-2</v>
      </c>
      <c r="R1638" s="991"/>
      <c r="S1638" s="206">
        <f t="shared" si="50"/>
        <v>0</v>
      </c>
      <c r="T1638" s="207">
        <f t="shared" si="51"/>
        <v>0</v>
      </c>
      <c r="U1638" s="208" t="s">
        <v>34</v>
      </c>
      <c r="V1638" s="1197"/>
      <c r="W1638" s="303"/>
    </row>
    <row r="1639" spans="1:23" ht="22.95" customHeight="1" x14ac:dyDescent="0.4">
      <c r="A1639" s="788">
        <v>1638</v>
      </c>
      <c r="B1639" s="246" t="s">
        <v>2616</v>
      </c>
      <c r="C1639" s="246" t="s">
        <v>24</v>
      </c>
      <c r="D1639" s="1668">
        <v>2469</v>
      </c>
      <c r="E1639" s="198" t="s">
        <v>4354</v>
      </c>
      <c r="F1639" s="198" t="s">
        <v>4355</v>
      </c>
      <c r="G1639" s="1489">
        <v>6356</v>
      </c>
      <c r="H1639" s="198" t="s">
        <v>4356</v>
      </c>
      <c r="I1639" s="198" t="s">
        <v>4357</v>
      </c>
      <c r="J1639" s="692" t="s">
        <v>58</v>
      </c>
      <c r="K1639" s="692" t="s">
        <v>57</v>
      </c>
      <c r="L1639" s="1067">
        <v>0.4</v>
      </c>
      <c r="M1639" s="1674" t="s">
        <v>4358</v>
      </c>
      <c r="N1639" s="1674" t="s">
        <v>4359</v>
      </c>
      <c r="O1639" s="211"/>
      <c r="P1639" s="647">
        <v>1</v>
      </c>
      <c r="Q1639" s="1201">
        <v>0.15</v>
      </c>
      <c r="R1639" s="647"/>
      <c r="S1639" s="206">
        <f t="shared" si="50"/>
        <v>0</v>
      </c>
      <c r="T1639" s="207">
        <f t="shared" si="51"/>
        <v>0</v>
      </c>
      <c r="U1639" s="208" t="s">
        <v>34</v>
      </c>
      <c r="V1639" s="1197"/>
      <c r="W1639" s="303"/>
    </row>
    <row r="1640" spans="1:23" ht="22.95" customHeight="1" x14ac:dyDescent="0.4">
      <c r="A1640" s="788">
        <v>1639</v>
      </c>
      <c r="B1640" s="246" t="s">
        <v>2616</v>
      </c>
      <c r="C1640" s="246" t="s">
        <v>24</v>
      </c>
      <c r="D1640" s="1668">
        <v>2469</v>
      </c>
      <c r="E1640" s="198" t="s">
        <v>4354</v>
      </c>
      <c r="F1640" s="198" t="s">
        <v>4355</v>
      </c>
      <c r="G1640" s="1489">
        <v>6356</v>
      </c>
      <c r="H1640" s="198" t="s">
        <v>4356</v>
      </c>
      <c r="I1640" s="198" t="s">
        <v>4357</v>
      </c>
      <c r="J1640" s="692" t="s">
        <v>58</v>
      </c>
      <c r="K1640" s="692" t="s">
        <v>57</v>
      </c>
      <c r="L1640" s="1067">
        <v>0.4</v>
      </c>
      <c r="M1640" s="1674"/>
      <c r="N1640" s="1674" t="s">
        <v>4360</v>
      </c>
      <c r="O1640" s="211"/>
      <c r="P1640" s="647">
        <v>1</v>
      </c>
      <c r="Q1640" s="1201">
        <v>0.12</v>
      </c>
      <c r="R1640" s="647"/>
      <c r="S1640" s="206">
        <f t="shared" si="50"/>
        <v>0</v>
      </c>
      <c r="T1640" s="207">
        <f t="shared" si="51"/>
        <v>0</v>
      </c>
      <c r="U1640" s="208" t="s">
        <v>34</v>
      </c>
      <c r="V1640" s="1197"/>
      <c r="W1640" s="303"/>
    </row>
    <row r="1641" spans="1:23" ht="22.95" customHeight="1" x14ac:dyDescent="0.4">
      <c r="A1641" s="788">
        <v>1640</v>
      </c>
      <c r="B1641" s="246" t="s">
        <v>2616</v>
      </c>
      <c r="C1641" s="246" t="s">
        <v>24</v>
      </c>
      <c r="D1641" s="1668">
        <v>2469</v>
      </c>
      <c r="E1641" s="198" t="s">
        <v>4354</v>
      </c>
      <c r="F1641" s="198" t="s">
        <v>4355</v>
      </c>
      <c r="G1641" s="1489">
        <v>6356</v>
      </c>
      <c r="H1641" s="198" t="s">
        <v>4356</v>
      </c>
      <c r="I1641" s="198" t="s">
        <v>4357</v>
      </c>
      <c r="J1641" s="692" t="s">
        <v>58</v>
      </c>
      <c r="K1641" s="692" t="s">
        <v>57</v>
      </c>
      <c r="L1641" s="1067">
        <v>0.4</v>
      </c>
      <c r="M1641" s="1674" t="s">
        <v>4361</v>
      </c>
      <c r="N1641" s="1674" t="s">
        <v>4362</v>
      </c>
      <c r="O1641" s="211"/>
      <c r="P1641" s="647">
        <v>1</v>
      </c>
      <c r="Q1641" s="1201">
        <v>0.05</v>
      </c>
      <c r="R1641" s="647"/>
      <c r="S1641" s="206">
        <f t="shared" si="50"/>
        <v>0</v>
      </c>
      <c r="T1641" s="207">
        <f t="shared" si="51"/>
        <v>0</v>
      </c>
      <c r="U1641" s="208" t="s">
        <v>34</v>
      </c>
      <c r="V1641" s="1197"/>
      <c r="W1641" s="303"/>
    </row>
    <row r="1642" spans="1:23" ht="22.95" customHeight="1" x14ac:dyDescent="0.4">
      <c r="A1642" s="788">
        <v>1641</v>
      </c>
      <c r="B1642" s="246" t="s">
        <v>2616</v>
      </c>
      <c r="C1642" s="246" t="s">
        <v>24</v>
      </c>
      <c r="D1642" s="1668">
        <v>2469</v>
      </c>
      <c r="E1642" s="198" t="s">
        <v>4354</v>
      </c>
      <c r="F1642" s="198" t="s">
        <v>4355</v>
      </c>
      <c r="G1642" s="1489">
        <v>6356</v>
      </c>
      <c r="H1642" s="198" t="s">
        <v>4356</v>
      </c>
      <c r="I1642" s="198" t="s">
        <v>4357</v>
      </c>
      <c r="J1642" s="692" t="s">
        <v>58</v>
      </c>
      <c r="K1642" s="692" t="s">
        <v>57</v>
      </c>
      <c r="L1642" s="1067">
        <v>0.4</v>
      </c>
      <c r="M1642" s="1674" t="s">
        <v>4363</v>
      </c>
      <c r="N1642" s="1674" t="s">
        <v>4364</v>
      </c>
      <c r="O1642" s="211"/>
      <c r="P1642" s="647">
        <v>0.9</v>
      </c>
      <c r="Q1642" s="1201">
        <v>0.1</v>
      </c>
      <c r="R1642" s="647"/>
      <c r="S1642" s="206">
        <f t="shared" si="50"/>
        <v>0</v>
      </c>
      <c r="T1642" s="207">
        <f t="shared" si="51"/>
        <v>0</v>
      </c>
      <c r="U1642" s="208" t="s">
        <v>34</v>
      </c>
      <c r="V1642" s="1197"/>
      <c r="W1642" s="303"/>
    </row>
    <row r="1643" spans="1:23" ht="22.95" customHeight="1" x14ac:dyDescent="0.4">
      <c r="A1643" s="788">
        <v>1642</v>
      </c>
      <c r="B1643" s="246" t="s">
        <v>2616</v>
      </c>
      <c r="C1643" s="246" t="s">
        <v>24</v>
      </c>
      <c r="D1643" s="1668">
        <v>2469</v>
      </c>
      <c r="E1643" s="198" t="s">
        <v>4354</v>
      </c>
      <c r="F1643" s="198" t="s">
        <v>4355</v>
      </c>
      <c r="G1643" s="1489">
        <v>6356</v>
      </c>
      <c r="H1643" s="198" t="s">
        <v>4356</v>
      </c>
      <c r="I1643" s="198" t="s">
        <v>4357</v>
      </c>
      <c r="J1643" s="692" t="s">
        <v>58</v>
      </c>
      <c r="K1643" s="692" t="s">
        <v>57</v>
      </c>
      <c r="L1643" s="1067">
        <v>0.4</v>
      </c>
      <c r="M1643" s="1674" t="s">
        <v>4365</v>
      </c>
      <c r="N1643" s="1674" t="s">
        <v>4366</v>
      </c>
      <c r="O1643" s="211"/>
      <c r="P1643" s="647">
        <v>1</v>
      </c>
      <c r="Q1643" s="1201">
        <v>0.08</v>
      </c>
      <c r="R1643" s="647"/>
      <c r="S1643" s="206">
        <f t="shared" si="50"/>
        <v>0</v>
      </c>
      <c r="T1643" s="207">
        <f t="shared" si="51"/>
        <v>0</v>
      </c>
      <c r="U1643" s="208" t="s">
        <v>34</v>
      </c>
      <c r="V1643" s="1197"/>
      <c r="W1643" s="303"/>
    </row>
    <row r="1644" spans="1:23" ht="22.95" customHeight="1" x14ac:dyDescent="0.4">
      <c r="A1644" s="788">
        <v>1643</v>
      </c>
      <c r="B1644" s="246" t="s">
        <v>2616</v>
      </c>
      <c r="C1644" s="246" t="s">
        <v>24</v>
      </c>
      <c r="D1644" s="1668">
        <v>2469</v>
      </c>
      <c r="E1644" s="198" t="s">
        <v>4354</v>
      </c>
      <c r="F1644" s="198" t="s">
        <v>4355</v>
      </c>
      <c r="G1644" s="1489">
        <v>6356</v>
      </c>
      <c r="H1644" s="198" t="s">
        <v>4356</v>
      </c>
      <c r="I1644" s="198" t="s">
        <v>4357</v>
      </c>
      <c r="J1644" s="199" t="s">
        <v>111</v>
      </c>
      <c r="K1644" s="199" t="s">
        <v>110</v>
      </c>
      <c r="L1644" s="1145">
        <v>0.6</v>
      </c>
      <c r="M1644" s="698" t="s">
        <v>4367</v>
      </c>
      <c r="N1644" s="699" t="s">
        <v>4368</v>
      </c>
      <c r="O1644" s="220"/>
      <c r="P1644" s="222">
        <v>1</v>
      </c>
      <c r="Q1644" s="1063">
        <v>0.35</v>
      </c>
      <c r="R1644" s="222"/>
      <c r="S1644" s="216">
        <f t="shared" si="50"/>
        <v>0</v>
      </c>
      <c r="T1644" s="217">
        <f t="shared" si="51"/>
        <v>0</v>
      </c>
      <c r="U1644" s="218" t="s">
        <v>34</v>
      </c>
      <c r="V1644" s="1198"/>
      <c r="W1644" s="303"/>
    </row>
    <row r="1645" spans="1:23" ht="22.95" customHeight="1" x14ac:dyDescent="0.4">
      <c r="A1645" s="788">
        <v>1644</v>
      </c>
      <c r="B1645" s="246" t="s">
        <v>2616</v>
      </c>
      <c r="C1645" s="246" t="s">
        <v>24</v>
      </c>
      <c r="D1645" s="1668">
        <v>2469</v>
      </c>
      <c r="E1645" s="198" t="s">
        <v>4354</v>
      </c>
      <c r="F1645" s="198" t="s">
        <v>4355</v>
      </c>
      <c r="G1645" s="1489">
        <v>6356</v>
      </c>
      <c r="H1645" s="198" t="s">
        <v>4356</v>
      </c>
      <c r="I1645" s="198" t="s">
        <v>4357</v>
      </c>
      <c r="J1645" s="199" t="s">
        <v>111</v>
      </c>
      <c r="K1645" s="199" t="s">
        <v>110</v>
      </c>
      <c r="L1645" s="1145">
        <v>0.6</v>
      </c>
      <c r="M1645" s="698" t="s">
        <v>4369</v>
      </c>
      <c r="N1645" s="699" t="s">
        <v>4370</v>
      </c>
      <c r="O1645" s="220"/>
      <c r="P1645" s="222">
        <v>0.5</v>
      </c>
      <c r="Q1645" s="1063">
        <v>0.35</v>
      </c>
      <c r="R1645" s="222"/>
      <c r="S1645" s="216">
        <f t="shared" si="50"/>
        <v>0</v>
      </c>
      <c r="T1645" s="217">
        <f t="shared" si="51"/>
        <v>0</v>
      </c>
      <c r="U1645" s="218" t="s">
        <v>34</v>
      </c>
      <c r="V1645" s="1198"/>
      <c r="W1645" s="303"/>
    </row>
    <row r="1646" spans="1:23" ht="22.95" customHeight="1" x14ac:dyDescent="0.4">
      <c r="A1646" s="788">
        <v>1645</v>
      </c>
      <c r="B1646" s="246" t="s">
        <v>2616</v>
      </c>
      <c r="C1646" s="246" t="s">
        <v>24</v>
      </c>
      <c r="D1646" s="1668">
        <v>2469</v>
      </c>
      <c r="E1646" s="198" t="s">
        <v>4354</v>
      </c>
      <c r="F1646" s="198" t="s">
        <v>4355</v>
      </c>
      <c r="G1646" s="1489">
        <v>6356</v>
      </c>
      <c r="H1646" s="198" t="s">
        <v>4356</v>
      </c>
      <c r="I1646" s="198" t="s">
        <v>4357</v>
      </c>
      <c r="J1646" s="199" t="s">
        <v>111</v>
      </c>
      <c r="K1646" s="199" t="s">
        <v>110</v>
      </c>
      <c r="L1646" s="1145">
        <v>0.6</v>
      </c>
      <c r="M1646" s="698" t="s">
        <v>4371</v>
      </c>
      <c r="N1646" s="699" t="s">
        <v>4372</v>
      </c>
      <c r="O1646" s="220"/>
      <c r="P1646" s="222">
        <v>1</v>
      </c>
      <c r="Q1646" s="1063">
        <v>0.3</v>
      </c>
      <c r="R1646" s="222"/>
      <c r="S1646" s="216">
        <f t="shared" si="50"/>
        <v>0</v>
      </c>
      <c r="T1646" s="217">
        <f t="shared" si="51"/>
        <v>0</v>
      </c>
      <c r="U1646" s="218" t="s">
        <v>34</v>
      </c>
      <c r="V1646" s="1198"/>
      <c r="W1646" s="303"/>
    </row>
    <row r="1647" spans="1:23" ht="22.95" customHeight="1" x14ac:dyDescent="0.4">
      <c r="A1647" s="788">
        <v>1646</v>
      </c>
      <c r="B1647" s="653" t="s">
        <v>2616</v>
      </c>
      <c r="C1647" s="653" t="s">
        <v>24</v>
      </c>
      <c r="D1647" s="1663">
        <v>3029</v>
      </c>
      <c r="E1647" s="187" t="s">
        <v>4373</v>
      </c>
      <c r="F1647" s="187" t="s">
        <v>4374</v>
      </c>
      <c r="G1647" s="1487">
        <v>2469</v>
      </c>
      <c r="H1647" s="187" t="s">
        <v>4375</v>
      </c>
      <c r="I1647" s="187" t="s">
        <v>4357</v>
      </c>
      <c r="J1647" s="187" t="s">
        <v>58</v>
      </c>
      <c r="K1647" s="187" t="s">
        <v>57</v>
      </c>
      <c r="L1647" s="1054">
        <v>0.9</v>
      </c>
      <c r="M1647" s="653"/>
      <c r="N1647" s="653" t="s">
        <v>4376</v>
      </c>
      <c r="O1647" s="1008" t="s">
        <v>4377</v>
      </c>
      <c r="P1647" s="644">
        <v>1</v>
      </c>
      <c r="Q1647" s="1054">
        <v>0.5</v>
      </c>
      <c r="R1647" s="644"/>
      <c r="S1647" s="644">
        <f t="shared" si="50"/>
        <v>0</v>
      </c>
      <c r="T1647" s="834">
        <f t="shared" si="51"/>
        <v>0</v>
      </c>
      <c r="U1647" s="644" t="s">
        <v>34</v>
      </c>
      <c r="V1647" s="1248">
        <f>SUM(T1647:T1653)%</f>
        <v>0</v>
      </c>
      <c r="W1647" s="295"/>
    </row>
    <row r="1648" spans="1:23" ht="22.95" customHeight="1" x14ac:dyDescent="0.4">
      <c r="A1648" s="788">
        <v>1647</v>
      </c>
      <c r="B1648" s="246" t="s">
        <v>2616</v>
      </c>
      <c r="C1648" s="1655" t="s">
        <v>24</v>
      </c>
      <c r="D1648" s="1668">
        <v>3029</v>
      </c>
      <c r="E1648" s="199" t="s">
        <v>4373</v>
      </c>
      <c r="F1648" s="199" t="s">
        <v>4374</v>
      </c>
      <c r="G1648" s="1489">
        <v>2469</v>
      </c>
      <c r="H1648" s="199" t="s">
        <v>4375</v>
      </c>
      <c r="I1648" s="199" t="s">
        <v>4357</v>
      </c>
      <c r="J1648" s="692" t="s">
        <v>58</v>
      </c>
      <c r="K1648" s="692" t="s">
        <v>57</v>
      </c>
      <c r="L1648" s="1201">
        <v>0.9</v>
      </c>
      <c r="M1648" s="1009"/>
      <c r="N1648" s="1009" t="s">
        <v>4378</v>
      </c>
      <c r="O1648" s="1009" t="s">
        <v>4379</v>
      </c>
      <c r="P1648" s="647">
        <v>0.15</v>
      </c>
      <c r="Q1648" s="1201">
        <v>0.1</v>
      </c>
      <c r="R1648" s="647"/>
      <c r="S1648" s="647">
        <f t="shared" si="50"/>
        <v>0</v>
      </c>
      <c r="T1648" s="764">
        <f t="shared" si="51"/>
        <v>0</v>
      </c>
      <c r="U1648" s="647" t="s">
        <v>34</v>
      </c>
      <c r="V1648" s="1201"/>
      <c r="W1648" s="303"/>
    </row>
    <row r="1649" spans="1:23" ht="22.95" customHeight="1" x14ac:dyDescent="0.4">
      <c r="A1649" s="788">
        <v>1648</v>
      </c>
      <c r="B1649" s="246" t="s">
        <v>2616</v>
      </c>
      <c r="C1649" s="649" t="s">
        <v>24</v>
      </c>
      <c r="D1649" s="1668">
        <v>3029</v>
      </c>
      <c r="E1649" s="199" t="s">
        <v>4373</v>
      </c>
      <c r="F1649" s="199" t="s">
        <v>4374</v>
      </c>
      <c r="G1649" s="1489">
        <v>2469</v>
      </c>
      <c r="H1649" s="199" t="s">
        <v>4375</v>
      </c>
      <c r="I1649" s="199" t="s">
        <v>4357</v>
      </c>
      <c r="J1649" s="692" t="s">
        <v>58</v>
      </c>
      <c r="K1649" s="692" t="s">
        <v>57</v>
      </c>
      <c r="L1649" s="1201">
        <v>0.9</v>
      </c>
      <c r="M1649" s="79"/>
      <c r="N1649" s="79" t="s">
        <v>4380</v>
      </c>
      <c r="O1649" s="959" t="s">
        <v>4381</v>
      </c>
      <c r="P1649" s="647">
        <v>0.05</v>
      </c>
      <c r="Q1649" s="1201">
        <v>0.1</v>
      </c>
      <c r="R1649" s="647"/>
      <c r="S1649" s="647">
        <f t="shared" si="50"/>
        <v>0</v>
      </c>
      <c r="T1649" s="764">
        <f t="shared" si="51"/>
        <v>0</v>
      </c>
      <c r="U1649" s="647" t="s">
        <v>34</v>
      </c>
      <c r="V1649" s="1201"/>
      <c r="W1649" s="303"/>
    </row>
    <row r="1650" spans="1:23" ht="22.95" customHeight="1" x14ac:dyDescent="0.4">
      <c r="A1650" s="788">
        <v>1649</v>
      </c>
      <c r="B1650" s="246" t="s">
        <v>2616</v>
      </c>
      <c r="C1650" s="1655" t="s">
        <v>24</v>
      </c>
      <c r="D1650" s="1668">
        <v>3029</v>
      </c>
      <c r="E1650" s="199" t="s">
        <v>4373</v>
      </c>
      <c r="F1650" s="199" t="s">
        <v>4374</v>
      </c>
      <c r="G1650" s="1489">
        <v>2469</v>
      </c>
      <c r="H1650" s="199" t="s">
        <v>4375</v>
      </c>
      <c r="I1650" s="199" t="s">
        <v>4357</v>
      </c>
      <c r="J1650" s="692" t="s">
        <v>58</v>
      </c>
      <c r="K1650" s="692" t="s">
        <v>57</v>
      </c>
      <c r="L1650" s="1201">
        <v>0.9</v>
      </c>
      <c r="M1650" s="1009"/>
      <c r="N1650" s="1009" t="s">
        <v>4382</v>
      </c>
      <c r="O1650" s="1009" t="s">
        <v>4383</v>
      </c>
      <c r="P1650" s="1675">
        <v>0.05</v>
      </c>
      <c r="Q1650" s="1201">
        <v>0.1</v>
      </c>
      <c r="R1650" s="1675"/>
      <c r="S1650" s="647">
        <f t="shared" si="50"/>
        <v>0</v>
      </c>
      <c r="T1650" s="764">
        <f t="shared" si="51"/>
        <v>0</v>
      </c>
      <c r="U1650" s="204" t="s">
        <v>83</v>
      </c>
      <c r="V1650" s="1201"/>
      <c r="W1650" s="303"/>
    </row>
    <row r="1651" spans="1:23" ht="22.95" customHeight="1" x14ac:dyDescent="0.4">
      <c r="A1651" s="788">
        <v>1650</v>
      </c>
      <c r="B1651" s="246" t="s">
        <v>2616</v>
      </c>
      <c r="C1651" s="649" t="s">
        <v>24</v>
      </c>
      <c r="D1651" s="1668">
        <v>3029</v>
      </c>
      <c r="E1651" s="199" t="s">
        <v>4373</v>
      </c>
      <c r="F1651" s="199" t="s">
        <v>4374</v>
      </c>
      <c r="G1651" s="1489">
        <v>2469</v>
      </c>
      <c r="H1651" s="199" t="s">
        <v>4375</v>
      </c>
      <c r="I1651" s="199" t="s">
        <v>4357</v>
      </c>
      <c r="J1651" s="692" t="s">
        <v>58</v>
      </c>
      <c r="K1651" s="692" t="s">
        <v>57</v>
      </c>
      <c r="L1651" s="1201">
        <v>0.9</v>
      </c>
      <c r="M1651" s="79"/>
      <c r="N1651" s="79" t="s">
        <v>212</v>
      </c>
      <c r="O1651" s="1009" t="s">
        <v>4384</v>
      </c>
      <c r="P1651" s="764">
        <v>15</v>
      </c>
      <c r="Q1651" s="1201">
        <v>0.15</v>
      </c>
      <c r="R1651" s="764"/>
      <c r="S1651" s="647">
        <f t="shared" si="50"/>
        <v>0</v>
      </c>
      <c r="T1651" s="764">
        <f t="shared" si="51"/>
        <v>0</v>
      </c>
      <c r="U1651" s="647" t="s">
        <v>34</v>
      </c>
      <c r="V1651" s="1201"/>
      <c r="W1651" s="303"/>
    </row>
    <row r="1652" spans="1:23" ht="22.95" customHeight="1" x14ac:dyDescent="0.4">
      <c r="A1652" s="788">
        <v>1651</v>
      </c>
      <c r="B1652" s="246" t="s">
        <v>2616</v>
      </c>
      <c r="C1652" s="649" t="s">
        <v>24</v>
      </c>
      <c r="D1652" s="1668">
        <v>3029</v>
      </c>
      <c r="E1652" s="199" t="s">
        <v>4373</v>
      </c>
      <c r="F1652" s="199" t="s">
        <v>4374</v>
      </c>
      <c r="G1652" s="1489">
        <v>2469</v>
      </c>
      <c r="H1652" s="199" t="s">
        <v>4375</v>
      </c>
      <c r="I1652" s="199" t="s">
        <v>4357</v>
      </c>
      <c r="J1652" s="692" t="s">
        <v>58</v>
      </c>
      <c r="K1652" s="692" t="s">
        <v>57</v>
      </c>
      <c r="L1652" s="1201">
        <v>0.9</v>
      </c>
      <c r="M1652" s="79"/>
      <c r="N1652" s="79" t="s">
        <v>4385</v>
      </c>
      <c r="O1652" s="757" t="s">
        <v>4386</v>
      </c>
      <c r="P1652" s="1676">
        <v>1</v>
      </c>
      <c r="Q1652" s="1201">
        <v>0.05</v>
      </c>
      <c r="R1652" s="1676"/>
      <c r="S1652" s="647">
        <f t="shared" si="50"/>
        <v>0</v>
      </c>
      <c r="T1652" s="764">
        <f t="shared" si="51"/>
        <v>0</v>
      </c>
      <c r="U1652" s="647" t="s">
        <v>34</v>
      </c>
      <c r="V1652" s="1537"/>
      <c r="W1652" s="303"/>
    </row>
    <row r="1653" spans="1:23" ht="22.95" customHeight="1" x14ac:dyDescent="0.4">
      <c r="A1653" s="788">
        <v>1652</v>
      </c>
      <c r="B1653" s="246" t="s">
        <v>2616</v>
      </c>
      <c r="C1653" s="649" t="s">
        <v>24</v>
      </c>
      <c r="D1653" s="1668">
        <v>3029</v>
      </c>
      <c r="E1653" s="199" t="s">
        <v>4373</v>
      </c>
      <c r="F1653" s="649" t="s">
        <v>4374</v>
      </c>
      <c r="G1653" s="1489">
        <v>2469</v>
      </c>
      <c r="H1653" s="649" t="s">
        <v>4375</v>
      </c>
      <c r="I1653" s="649" t="s">
        <v>4357</v>
      </c>
      <c r="J1653" s="649" t="s">
        <v>111</v>
      </c>
      <c r="K1653" s="649" t="s">
        <v>110</v>
      </c>
      <c r="L1653" s="1063">
        <v>0.1</v>
      </c>
      <c r="M1653" s="649"/>
      <c r="N1653" s="649" t="s">
        <v>4387</v>
      </c>
      <c r="O1653" s="827" t="s">
        <v>4388</v>
      </c>
      <c r="P1653" s="1677">
        <v>1</v>
      </c>
      <c r="Q1653" s="1063">
        <v>1</v>
      </c>
      <c r="R1653" s="1677"/>
      <c r="S1653" s="222">
        <f t="shared" si="50"/>
        <v>0</v>
      </c>
      <c r="T1653" s="765">
        <f t="shared" si="51"/>
        <v>0</v>
      </c>
      <c r="U1653" s="222" t="s">
        <v>34</v>
      </c>
      <c r="V1653" s="1678"/>
      <c r="W1653" s="303"/>
    </row>
    <row r="1654" spans="1:23" ht="22.95" customHeight="1" x14ac:dyDescent="0.4">
      <c r="A1654" s="788">
        <v>1653</v>
      </c>
      <c r="B1654" s="236" t="s">
        <v>2616</v>
      </c>
      <c r="C1654" s="187" t="s">
        <v>24</v>
      </c>
      <c r="D1654" s="1164">
        <v>2490</v>
      </c>
      <c r="E1654" s="236" t="s">
        <v>4389</v>
      </c>
      <c r="F1654" s="236" t="s">
        <v>4390</v>
      </c>
      <c r="G1654" s="747">
        <v>2469</v>
      </c>
      <c r="H1654" s="236" t="s">
        <v>4375</v>
      </c>
      <c r="I1654" s="236" t="s">
        <v>4357</v>
      </c>
      <c r="J1654" s="187" t="s">
        <v>58</v>
      </c>
      <c r="K1654" s="187" t="s">
        <v>57</v>
      </c>
      <c r="L1654" s="1052">
        <v>0.7</v>
      </c>
      <c r="M1654" s="694" t="s">
        <v>4391</v>
      </c>
      <c r="N1654" s="186" t="s">
        <v>4392</v>
      </c>
      <c r="O1654" s="193" t="s">
        <v>4393</v>
      </c>
      <c r="P1654" s="644">
        <v>1</v>
      </c>
      <c r="Q1654" s="1054">
        <v>0.25</v>
      </c>
      <c r="R1654" s="644"/>
      <c r="S1654" s="195">
        <f t="shared" si="50"/>
        <v>0</v>
      </c>
      <c r="T1654" s="196">
        <f t="shared" si="51"/>
        <v>0</v>
      </c>
      <c r="U1654" s="197" t="s">
        <v>34</v>
      </c>
      <c r="V1654" s="1248">
        <f>SUM(T1654:T1661)%</f>
        <v>0</v>
      </c>
      <c r="W1654" s="195"/>
    </row>
    <row r="1655" spans="1:23" ht="22.95" customHeight="1" x14ac:dyDescent="0.4">
      <c r="A1655" s="788">
        <v>1654</v>
      </c>
      <c r="B1655" s="198" t="s">
        <v>2616</v>
      </c>
      <c r="C1655" s="199" t="s">
        <v>24</v>
      </c>
      <c r="D1655" s="1169">
        <v>2490</v>
      </c>
      <c r="E1655" s="198" t="s">
        <v>4389</v>
      </c>
      <c r="F1655" s="198" t="s">
        <v>4390</v>
      </c>
      <c r="G1655" s="755">
        <v>2469</v>
      </c>
      <c r="H1655" s="198" t="s">
        <v>4375</v>
      </c>
      <c r="I1655" s="198" t="s">
        <v>4357</v>
      </c>
      <c r="J1655" s="692" t="s">
        <v>58</v>
      </c>
      <c r="K1655" s="692" t="s">
        <v>57</v>
      </c>
      <c r="L1655" s="1067">
        <v>0.7</v>
      </c>
      <c r="M1655" s="1674" t="s">
        <v>4394</v>
      </c>
      <c r="N1655" s="682" t="s">
        <v>4395</v>
      </c>
      <c r="O1655" s="211" t="s">
        <v>4396</v>
      </c>
      <c r="P1655" s="647">
        <v>1</v>
      </c>
      <c r="Q1655" s="1201">
        <v>0.2</v>
      </c>
      <c r="R1655" s="647"/>
      <c r="S1655" s="206">
        <f t="shared" si="50"/>
        <v>0</v>
      </c>
      <c r="T1655" s="207">
        <f t="shared" si="51"/>
        <v>0</v>
      </c>
      <c r="U1655" s="208" t="s">
        <v>34</v>
      </c>
      <c r="V1655" s="1197"/>
      <c r="W1655" s="216"/>
    </row>
    <row r="1656" spans="1:23" ht="22.95" customHeight="1" x14ac:dyDescent="0.4">
      <c r="A1656" s="788">
        <v>1655</v>
      </c>
      <c r="B1656" s="198" t="s">
        <v>2616</v>
      </c>
      <c r="C1656" s="199" t="s">
        <v>24</v>
      </c>
      <c r="D1656" s="1169">
        <v>2490</v>
      </c>
      <c r="E1656" s="198" t="s">
        <v>4389</v>
      </c>
      <c r="F1656" s="198" t="s">
        <v>4390</v>
      </c>
      <c r="G1656" s="755">
        <v>2469</v>
      </c>
      <c r="H1656" s="198" t="s">
        <v>4375</v>
      </c>
      <c r="I1656" s="198" t="s">
        <v>4357</v>
      </c>
      <c r="J1656" s="692" t="s">
        <v>58</v>
      </c>
      <c r="K1656" s="692" t="s">
        <v>57</v>
      </c>
      <c r="L1656" s="1067">
        <v>0.7</v>
      </c>
      <c r="M1656" s="1674" t="s">
        <v>4397</v>
      </c>
      <c r="N1656" s="682" t="s">
        <v>4398</v>
      </c>
      <c r="O1656" s="211"/>
      <c r="P1656" s="647">
        <v>1</v>
      </c>
      <c r="Q1656" s="1201">
        <v>0.15</v>
      </c>
      <c r="R1656" s="647"/>
      <c r="S1656" s="206">
        <f t="shared" si="50"/>
        <v>0</v>
      </c>
      <c r="T1656" s="207">
        <f t="shared" si="51"/>
        <v>0</v>
      </c>
      <c r="U1656" s="208" t="s">
        <v>34</v>
      </c>
      <c r="V1656" s="1197"/>
      <c r="W1656" s="216"/>
    </row>
    <row r="1657" spans="1:23" ht="22.95" customHeight="1" x14ac:dyDescent="0.4">
      <c r="A1657" s="788">
        <v>1656</v>
      </c>
      <c r="B1657" s="245" t="s">
        <v>2616</v>
      </c>
      <c r="C1657" s="246" t="s">
        <v>24</v>
      </c>
      <c r="D1657" s="1277">
        <v>2490</v>
      </c>
      <c r="E1657" s="245" t="s">
        <v>4389</v>
      </c>
      <c r="F1657" s="245" t="s">
        <v>4390</v>
      </c>
      <c r="G1657" s="1679">
        <v>2469</v>
      </c>
      <c r="H1657" s="245" t="s">
        <v>4375</v>
      </c>
      <c r="I1657" s="245" t="s">
        <v>4357</v>
      </c>
      <c r="J1657" s="692" t="s">
        <v>58</v>
      </c>
      <c r="K1657" s="692" t="s">
        <v>57</v>
      </c>
      <c r="L1657" s="1067">
        <v>0.7</v>
      </c>
      <c r="M1657" s="1674" t="s">
        <v>4399</v>
      </c>
      <c r="N1657" s="682" t="s">
        <v>4400</v>
      </c>
      <c r="O1657" s="211" t="s">
        <v>4401</v>
      </c>
      <c r="P1657" s="647">
        <v>1</v>
      </c>
      <c r="Q1657" s="1201">
        <v>0.2</v>
      </c>
      <c r="R1657" s="647"/>
      <c r="S1657" s="206">
        <f t="shared" si="50"/>
        <v>0</v>
      </c>
      <c r="T1657" s="207">
        <f t="shared" si="51"/>
        <v>0</v>
      </c>
      <c r="U1657" s="208" t="s">
        <v>34</v>
      </c>
      <c r="V1657" s="1197"/>
      <c r="W1657" s="262"/>
    </row>
    <row r="1658" spans="1:23" ht="22.95" customHeight="1" x14ac:dyDescent="0.4">
      <c r="A1658" s="788">
        <v>1657</v>
      </c>
      <c r="B1658" s="245" t="s">
        <v>2616</v>
      </c>
      <c r="C1658" s="246" t="s">
        <v>24</v>
      </c>
      <c r="D1658" s="1277">
        <v>2490</v>
      </c>
      <c r="E1658" s="245" t="s">
        <v>4389</v>
      </c>
      <c r="F1658" s="245" t="s">
        <v>4390</v>
      </c>
      <c r="G1658" s="1679">
        <v>2469</v>
      </c>
      <c r="H1658" s="245" t="s">
        <v>4375</v>
      </c>
      <c r="I1658" s="245" t="s">
        <v>4357</v>
      </c>
      <c r="J1658" s="692" t="s">
        <v>58</v>
      </c>
      <c r="K1658" s="692" t="s">
        <v>57</v>
      </c>
      <c r="L1658" s="1067">
        <v>0.7</v>
      </c>
      <c r="M1658" s="1674" t="s">
        <v>4402</v>
      </c>
      <c r="N1658" s="682" t="s">
        <v>4387</v>
      </c>
      <c r="O1658" s="211" t="s">
        <v>4388</v>
      </c>
      <c r="P1658" s="647">
        <v>1</v>
      </c>
      <c r="Q1658" s="1201">
        <v>0.1</v>
      </c>
      <c r="R1658" s="647"/>
      <c r="S1658" s="206">
        <f t="shared" si="50"/>
        <v>0</v>
      </c>
      <c r="T1658" s="207">
        <f t="shared" si="51"/>
        <v>0</v>
      </c>
      <c r="U1658" s="208" t="s">
        <v>34</v>
      </c>
      <c r="V1658" s="1197"/>
      <c r="W1658" s="262"/>
    </row>
    <row r="1659" spans="1:23" ht="22.95" customHeight="1" x14ac:dyDescent="0.4">
      <c r="A1659" s="788">
        <v>1658</v>
      </c>
      <c r="B1659" s="245" t="s">
        <v>2616</v>
      </c>
      <c r="C1659" s="246" t="s">
        <v>24</v>
      </c>
      <c r="D1659" s="1277">
        <v>2490</v>
      </c>
      <c r="E1659" s="245" t="s">
        <v>4389</v>
      </c>
      <c r="F1659" s="245" t="s">
        <v>4390</v>
      </c>
      <c r="G1659" s="1679">
        <v>2469</v>
      </c>
      <c r="H1659" s="245" t="s">
        <v>4375</v>
      </c>
      <c r="I1659" s="245" t="s">
        <v>4357</v>
      </c>
      <c r="J1659" s="692" t="s">
        <v>58</v>
      </c>
      <c r="K1659" s="692" t="s">
        <v>57</v>
      </c>
      <c r="L1659" s="1067">
        <v>0.7</v>
      </c>
      <c r="M1659" s="1674" t="s">
        <v>4403</v>
      </c>
      <c r="N1659" s="682" t="s">
        <v>4404</v>
      </c>
      <c r="O1659" s="211" t="s">
        <v>4405</v>
      </c>
      <c r="P1659" s="647">
        <v>1</v>
      </c>
      <c r="Q1659" s="1201">
        <v>0.1</v>
      </c>
      <c r="R1659" s="647"/>
      <c r="S1659" s="206">
        <f t="shared" si="50"/>
        <v>0</v>
      </c>
      <c r="T1659" s="207">
        <f t="shared" si="51"/>
        <v>0</v>
      </c>
      <c r="U1659" s="208" t="s">
        <v>34</v>
      </c>
      <c r="V1659" s="1197"/>
      <c r="W1659" s="262"/>
    </row>
    <row r="1660" spans="1:23" ht="32.549999999999997" customHeight="1" x14ac:dyDescent="0.4">
      <c r="A1660" s="788">
        <v>1659</v>
      </c>
      <c r="B1660" s="245" t="s">
        <v>2616</v>
      </c>
      <c r="C1660" s="246" t="s">
        <v>24</v>
      </c>
      <c r="D1660" s="1277">
        <v>2490</v>
      </c>
      <c r="E1660" s="245" t="s">
        <v>4389</v>
      </c>
      <c r="F1660" s="245" t="s">
        <v>4390</v>
      </c>
      <c r="G1660" s="1679">
        <v>2469</v>
      </c>
      <c r="H1660" s="245" t="s">
        <v>4375</v>
      </c>
      <c r="I1660" s="245" t="s">
        <v>4357</v>
      </c>
      <c r="J1660" s="246" t="s">
        <v>111</v>
      </c>
      <c r="K1660" s="246" t="s">
        <v>110</v>
      </c>
      <c r="L1660" s="1059">
        <v>0.3</v>
      </c>
      <c r="M1660" s="1680" t="s">
        <v>4406</v>
      </c>
      <c r="N1660" s="1681" t="s">
        <v>4407</v>
      </c>
      <c r="O1660" s="260" t="s">
        <v>4408</v>
      </c>
      <c r="P1660" s="874">
        <v>1</v>
      </c>
      <c r="Q1660" s="1209">
        <v>0.5</v>
      </c>
      <c r="R1660" s="874"/>
      <c r="S1660" s="262">
        <f t="shared" si="50"/>
        <v>0</v>
      </c>
      <c r="T1660" s="263">
        <f t="shared" si="51"/>
        <v>0</v>
      </c>
      <c r="U1660" s="687" t="s">
        <v>34</v>
      </c>
      <c r="V1660" s="1237"/>
      <c r="W1660" s="262"/>
    </row>
    <row r="1661" spans="1:23" ht="27" customHeight="1" x14ac:dyDescent="0.4">
      <c r="A1661" s="788">
        <v>1660</v>
      </c>
      <c r="B1661" s="245" t="s">
        <v>2616</v>
      </c>
      <c r="C1661" s="246" t="s">
        <v>24</v>
      </c>
      <c r="D1661" s="1277">
        <v>2490</v>
      </c>
      <c r="E1661" s="245" t="s">
        <v>4389</v>
      </c>
      <c r="F1661" s="245" t="s">
        <v>4390</v>
      </c>
      <c r="G1661" s="1679">
        <v>2469</v>
      </c>
      <c r="H1661" s="245" t="s">
        <v>4375</v>
      </c>
      <c r="I1661" s="245" t="s">
        <v>4357</v>
      </c>
      <c r="J1661" s="246" t="s">
        <v>111</v>
      </c>
      <c r="K1661" s="246" t="s">
        <v>110</v>
      </c>
      <c r="L1661" s="1059">
        <v>0.3</v>
      </c>
      <c r="M1661" s="1680" t="s">
        <v>4409</v>
      </c>
      <c r="N1661" s="1681" t="s">
        <v>4410</v>
      </c>
      <c r="O1661" s="260" t="s">
        <v>4411</v>
      </c>
      <c r="P1661" s="874">
        <v>1</v>
      </c>
      <c r="Q1661" s="1209">
        <v>0.5</v>
      </c>
      <c r="R1661" s="874"/>
      <c r="S1661" s="262">
        <f t="shared" si="50"/>
        <v>0</v>
      </c>
      <c r="T1661" s="263">
        <f t="shared" si="51"/>
        <v>0</v>
      </c>
      <c r="U1661" s="687" t="s">
        <v>34</v>
      </c>
      <c r="V1661" s="1237"/>
      <c r="W1661" s="262"/>
    </row>
    <row r="1662" spans="1:23" ht="22.95" customHeight="1" x14ac:dyDescent="0.4">
      <c r="A1662" s="788">
        <v>1661</v>
      </c>
      <c r="B1662" s="236" t="s">
        <v>2616</v>
      </c>
      <c r="C1662" s="187" t="s">
        <v>24</v>
      </c>
      <c r="D1662" s="1164">
        <v>4056</v>
      </c>
      <c r="E1662" s="236" t="s">
        <v>4412</v>
      </c>
      <c r="F1662" s="236" t="s">
        <v>4413</v>
      </c>
      <c r="G1662" s="1165">
        <v>2490</v>
      </c>
      <c r="H1662" s="236" t="s">
        <v>4389</v>
      </c>
      <c r="I1662" s="236" t="s">
        <v>4357</v>
      </c>
      <c r="J1662" s="187" t="s">
        <v>58</v>
      </c>
      <c r="K1662" s="187" t="s">
        <v>57</v>
      </c>
      <c r="L1662" s="1052">
        <v>0.7</v>
      </c>
      <c r="M1662" s="694"/>
      <c r="N1662" s="1682" t="s">
        <v>4414</v>
      </c>
      <c r="O1662" s="193"/>
      <c r="P1662" s="644">
        <v>1</v>
      </c>
      <c r="Q1662" s="1054">
        <v>0.6</v>
      </c>
      <c r="R1662" s="644"/>
      <c r="S1662" s="195">
        <f t="shared" si="50"/>
        <v>0</v>
      </c>
      <c r="T1662" s="196">
        <f t="shared" si="51"/>
        <v>0</v>
      </c>
      <c r="U1662" s="197" t="s">
        <v>34</v>
      </c>
      <c r="V1662" s="1194">
        <f>SUM(T1662:T1665)%</f>
        <v>0</v>
      </c>
      <c r="W1662" s="195"/>
    </row>
    <row r="1663" spans="1:23" ht="22.95" customHeight="1" x14ac:dyDescent="0.4">
      <c r="A1663" s="788">
        <v>1662</v>
      </c>
      <c r="B1663" s="198" t="s">
        <v>2616</v>
      </c>
      <c r="C1663" s="199" t="s">
        <v>24</v>
      </c>
      <c r="D1663" s="1169">
        <v>4056</v>
      </c>
      <c r="E1663" s="198" t="s">
        <v>4412</v>
      </c>
      <c r="F1663" s="198" t="s">
        <v>4413</v>
      </c>
      <c r="G1663" s="1170">
        <v>2490</v>
      </c>
      <c r="H1663" s="198" t="s">
        <v>4389</v>
      </c>
      <c r="I1663" s="198" t="s">
        <v>4357</v>
      </c>
      <c r="J1663" s="692" t="s">
        <v>58</v>
      </c>
      <c r="K1663" s="692" t="s">
        <v>57</v>
      </c>
      <c r="L1663" s="1067">
        <v>0.7</v>
      </c>
      <c r="M1663" s="1674"/>
      <c r="N1663" s="682" t="s">
        <v>4415</v>
      </c>
      <c r="O1663" s="211"/>
      <c r="P1663" s="647">
        <v>1</v>
      </c>
      <c r="Q1663" s="1201">
        <v>0.4</v>
      </c>
      <c r="R1663" s="647"/>
      <c r="S1663" s="206">
        <f t="shared" si="50"/>
        <v>0</v>
      </c>
      <c r="T1663" s="207">
        <f t="shared" si="51"/>
        <v>0</v>
      </c>
      <c r="U1663" s="208" t="s">
        <v>34</v>
      </c>
      <c r="V1663" s="1197"/>
      <c r="W1663" s="262"/>
    </row>
    <row r="1664" spans="1:23" ht="22.95" customHeight="1" x14ac:dyDescent="0.4">
      <c r="A1664" s="788">
        <v>1663</v>
      </c>
      <c r="B1664" s="198" t="s">
        <v>2616</v>
      </c>
      <c r="C1664" s="199" t="s">
        <v>24</v>
      </c>
      <c r="D1664" s="1169">
        <v>4056</v>
      </c>
      <c r="E1664" s="198" t="s">
        <v>4412</v>
      </c>
      <c r="F1664" s="198" t="s">
        <v>4413</v>
      </c>
      <c r="G1664" s="1170">
        <v>2490</v>
      </c>
      <c r="H1664" s="198" t="s">
        <v>4389</v>
      </c>
      <c r="I1664" s="198" t="s">
        <v>4357</v>
      </c>
      <c r="J1664" s="199" t="s">
        <v>111</v>
      </c>
      <c r="K1664" s="199" t="s">
        <v>110</v>
      </c>
      <c r="L1664" s="1145">
        <v>0.3</v>
      </c>
      <c r="M1664" s="698"/>
      <c r="N1664" s="699" t="s">
        <v>4416</v>
      </c>
      <c r="O1664" s="220"/>
      <c r="P1664" s="222">
        <v>1</v>
      </c>
      <c r="Q1664" s="1063">
        <v>0.5</v>
      </c>
      <c r="R1664" s="222"/>
      <c r="S1664" s="262">
        <f t="shared" si="50"/>
        <v>0</v>
      </c>
      <c r="T1664" s="263">
        <f t="shared" si="51"/>
        <v>0</v>
      </c>
      <c r="U1664" s="687" t="s">
        <v>34</v>
      </c>
      <c r="V1664" s="1198"/>
      <c r="W1664" s="262"/>
    </row>
    <row r="1665" spans="1:23" ht="22.95" customHeight="1" x14ac:dyDescent="0.4">
      <c r="A1665" s="788">
        <v>1664</v>
      </c>
      <c r="B1665" s="198" t="s">
        <v>2616</v>
      </c>
      <c r="C1665" s="199" t="s">
        <v>24</v>
      </c>
      <c r="D1665" s="1169">
        <v>4056</v>
      </c>
      <c r="E1665" s="198" t="s">
        <v>4412</v>
      </c>
      <c r="F1665" s="198" t="s">
        <v>4413</v>
      </c>
      <c r="G1665" s="1170">
        <v>2490</v>
      </c>
      <c r="H1665" s="198" t="s">
        <v>4389</v>
      </c>
      <c r="I1665" s="198" t="s">
        <v>4357</v>
      </c>
      <c r="J1665" s="199" t="s">
        <v>111</v>
      </c>
      <c r="K1665" s="199" t="s">
        <v>110</v>
      </c>
      <c r="L1665" s="1145">
        <v>0.3</v>
      </c>
      <c r="M1665" s="698"/>
      <c r="N1665" s="1683" t="s">
        <v>4417</v>
      </c>
      <c r="O1665" s="220"/>
      <c r="P1665" s="222">
        <v>1</v>
      </c>
      <c r="Q1665" s="1063">
        <v>0.5</v>
      </c>
      <c r="R1665" s="222"/>
      <c r="S1665" s="262">
        <f t="shared" si="50"/>
        <v>0</v>
      </c>
      <c r="T1665" s="263">
        <f t="shared" si="51"/>
        <v>0</v>
      </c>
      <c r="U1665" s="687" t="s">
        <v>34</v>
      </c>
      <c r="V1665" s="1198"/>
      <c r="W1665" s="262"/>
    </row>
    <row r="1666" spans="1:23" ht="22.95" customHeight="1" x14ac:dyDescent="0.4">
      <c r="A1666" s="788">
        <v>1665</v>
      </c>
      <c r="B1666" s="236" t="s">
        <v>2616</v>
      </c>
      <c r="C1666" s="1008" t="s">
        <v>24</v>
      </c>
      <c r="D1666" s="1663">
        <v>2500</v>
      </c>
      <c r="E1666" s="1664" t="s">
        <v>4418</v>
      </c>
      <c r="F1666" s="1664" t="s">
        <v>4419</v>
      </c>
      <c r="G1666" s="1487">
        <v>2469</v>
      </c>
      <c r="H1666" s="1664" t="s">
        <v>4375</v>
      </c>
      <c r="I1666" s="1664" t="s">
        <v>4357</v>
      </c>
      <c r="J1666" s="1008" t="s">
        <v>58</v>
      </c>
      <c r="K1666" s="1008" t="s">
        <v>57</v>
      </c>
      <c r="L1666" s="1684">
        <v>0.5</v>
      </c>
      <c r="M1666" s="1220" t="s">
        <v>4420</v>
      </c>
      <c r="N1666" s="1220" t="s">
        <v>4421</v>
      </c>
      <c r="O1666" s="1220"/>
      <c r="P1666" s="1685">
        <v>0.7</v>
      </c>
      <c r="Q1666" s="1666">
        <v>0.4</v>
      </c>
      <c r="R1666" s="1685"/>
      <c r="S1666" s="957">
        <f t="shared" ref="S1666:S1729" si="52">ROUND(IF(OR(P1666="",R1666=""),0,IF(AND(P1666=0,R1666=0),1,IF(U1666="+",R1666/P1666,P1666/R1666))),2)</f>
        <v>0</v>
      </c>
      <c r="T1666" s="1667">
        <f t="shared" ref="T1666:T1729" si="53">IF(AND(S1666&gt;=60%,S1666&lt;100%),S1666*((Q1666*L1666)),IF(S1666=100%,((Q1666*L1666)*S1666)*100%,IF(S1666&gt;100%,((L1666*Q1666)*100%)*100%,0)))*100</f>
        <v>0</v>
      </c>
      <c r="U1666" s="957" t="s">
        <v>34</v>
      </c>
      <c r="V1666" s="1686">
        <f>SUM(T1666:T1669)%</f>
        <v>0</v>
      </c>
      <c r="W1666" s="195"/>
    </row>
    <row r="1667" spans="1:23" ht="22.95" customHeight="1" x14ac:dyDescent="0.4">
      <c r="A1667" s="788">
        <v>1666</v>
      </c>
      <c r="B1667" s="198" t="s">
        <v>2616</v>
      </c>
      <c r="C1667" s="1655" t="s">
        <v>24</v>
      </c>
      <c r="D1667" s="1668">
        <v>2500</v>
      </c>
      <c r="E1667" s="1337" t="s">
        <v>4418</v>
      </c>
      <c r="F1667" s="1337" t="s">
        <v>4419</v>
      </c>
      <c r="G1667" s="1489">
        <v>2469</v>
      </c>
      <c r="H1667" s="1337" t="s">
        <v>4375</v>
      </c>
      <c r="I1667" s="1337" t="s">
        <v>4357</v>
      </c>
      <c r="J1667" s="1009" t="s">
        <v>58</v>
      </c>
      <c r="K1667" s="1009" t="s">
        <v>57</v>
      </c>
      <c r="L1667" s="1687">
        <v>0.5</v>
      </c>
      <c r="M1667" s="1223" t="s">
        <v>4422</v>
      </c>
      <c r="N1667" s="1223" t="s">
        <v>4423</v>
      </c>
      <c r="O1667" s="1223"/>
      <c r="P1667" s="1688">
        <v>0.5</v>
      </c>
      <c r="Q1667" s="1689">
        <v>0.3</v>
      </c>
      <c r="R1667" s="1688"/>
      <c r="S1667" s="1030">
        <f t="shared" si="52"/>
        <v>0</v>
      </c>
      <c r="T1667" s="1690">
        <f t="shared" si="53"/>
        <v>0</v>
      </c>
      <c r="U1667" s="1030" t="s">
        <v>34</v>
      </c>
      <c r="V1667" s="1689"/>
      <c r="W1667" s="262"/>
    </row>
    <row r="1668" spans="1:23" ht="22.95" customHeight="1" x14ac:dyDescent="0.4">
      <c r="A1668" s="788">
        <v>1667</v>
      </c>
      <c r="B1668" s="198" t="s">
        <v>2616</v>
      </c>
      <c r="C1668" s="1655" t="s">
        <v>24</v>
      </c>
      <c r="D1668" s="1668">
        <v>2500</v>
      </c>
      <c r="E1668" s="1337" t="s">
        <v>4418</v>
      </c>
      <c r="F1668" s="1337" t="s">
        <v>4419</v>
      </c>
      <c r="G1668" s="1489">
        <v>2469</v>
      </c>
      <c r="H1668" s="1337" t="s">
        <v>4375</v>
      </c>
      <c r="I1668" s="1337" t="s">
        <v>4357</v>
      </c>
      <c r="J1668" s="1009" t="s">
        <v>58</v>
      </c>
      <c r="K1668" s="1009" t="s">
        <v>57</v>
      </c>
      <c r="L1668" s="1687">
        <v>0.5</v>
      </c>
      <c r="M1668" s="1223" t="s">
        <v>4363</v>
      </c>
      <c r="N1668" s="1223" t="s">
        <v>4424</v>
      </c>
      <c r="O1668" s="1223"/>
      <c r="P1668" s="1688">
        <v>0.9</v>
      </c>
      <c r="Q1668" s="1689">
        <v>0.3</v>
      </c>
      <c r="R1668" s="1688"/>
      <c r="S1668" s="1030">
        <f t="shared" si="52"/>
        <v>0</v>
      </c>
      <c r="T1668" s="1690">
        <f t="shared" si="53"/>
        <v>0</v>
      </c>
      <c r="U1668" s="1030" t="s">
        <v>34</v>
      </c>
      <c r="V1668" s="1689"/>
      <c r="W1668" s="262"/>
    </row>
    <row r="1669" spans="1:23" ht="22.95" customHeight="1" x14ac:dyDescent="0.4">
      <c r="A1669" s="788">
        <v>1668</v>
      </c>
      <c r="B1669" s="198" t="s">
        <v>2616</v>
      </c>
      <c r="C1669" s="1655" t="s">
        <v>24</v>
      </c>
      <c r="D1669" s="1668">
        <v>2500</v>
      </c>
      <c r="E1669" s="1337" t="s">
        <v>4418</v>
      </c>
      <c r="F1669" s="1337" t="s">
        <v>4419</v>
      </c>
      <c r="G1669" s="1489">
        <v>2469</v>
      </c>
      <c r="H1669" s="1337" t="s">
        <v>4375</v>
      </c>
      <c r="I1669" s="1337" t="s">
        <v>4357</v>
      </c>
      <c r="J1669" s="1655" t="s">
        <v>111</v>
      </c>
      <c r="K1669" s="1655" t="s">
        <v>110</v>
      </c>
      <c r="L1669" s="1691">
        <v>0.5</v>
      </c>
      <c r="M1669" s="1225" t="s">
        <v>4425</v>
      </c>
      <c r="N1669" s="1225" t="s">
        <v>4426</v>
      </c>
      <c r="O1669" s="1225"/>
      <c r="P1669" s="1692">
        <v>0.7</v>
      </c>
      <c r="Q1669" s="1670">
        <v>1</v>
      </c>
      <c r="R1669" s="1692"/>
      <c r="S1669" s="1671">
        <f t="shared" si="52"/>
        <v>0</v>
      </c>
      <c r="T1669" s="1672">
        <f t="shared" si="53"/>
        <v>0</v>
      </c>
      <c r="U1669" s="1671" t="s">
        <v>34</v>
      </c>
      <c r="V1669" s="1670"/>
      <c r="W1669" s="262"/>
    </row>
    <row r="1670" spans="1:23" ht="22.95" customHeight="1" x14ac:dyDescent="0.4">
      <c r="A1670" s="788">
        <v>1669</v>
      </c>
      <c r="B1670" s="236" t="s">
        <v>2616</v>
      </c>
      <c r="C1670" s="1008" t="s">
        <v>24</v>
      </c>
      <c r="D1670" s="1663">
        <v>2465</v>
      </c>
      <c r="E1670" s="1664" t="s">
        <v>4427</v>
      </c>
      <c r="F1670" s="1664" t="s">
        <v>3885</v>
      </c>
      <c r="G1670" s="1487">
        <v>2500</v>
      </c>
      <c r="H1670" s="1664" t="s">
        <v>4418</v>
      </c>
      <c r="I1670" s="1664" t="s">
        <v>4357</v>
      </c>
      <c r="J1670" s="239" t="s">
        <v>58</v>
      </c>
      <c r="K1670" s="1009" t="s">
        <v>57</v>
      </c>
      <c r="L1670" s="1666">
        <v>0.5</v>
      </c>
      <c r="M1670" s="1220"/>
      <c r="N1670" s="1220" t="s">
        <v>4428</v>
      </c>
      <c r="O1670" s="1220" t="s">
        <v>4429</v>
      </c>
      <c r="P1670" s="1685">
        <v>0.7</v>
      </c>
      <c r="Q1670" s="1666">
        <v>0.4</v>
      </c>
      <c r="R1670" s="1685"/>
      <c r="S1670" s="957">
        <f t="shared" si="52"/>
        <v>0</v>
      </c>
      <c r="T1670" s="1667">
        <f t="shared" si="53"/>
        <v>0</v>
      </c>
      <c r="U1670" s="957" t="s">
        <v>34</v>
      </c>
      <c r="V1670" s="1686">
        <f>SUM(T1670:T1673)%</f>
        <v>0</v>
      </c>
      <c r="W1670" s="195"/>
    </row>
    <row r="1671" spans="1:23" ht="22.95" customHeight="1" x14ac:dyDescent="0.4">
      <c r="A1671" s="788">
        <v>1670</v>
      </c>
      <c r="B1671" s="198" t="s">
        <v>2616</v>
      </c>
      <c r="C1671" s="1655" t="s">
        <v>24</v>
      </c>
      <c r="D1671" s="1668">
        <v>2465</v>
      </c>
      <c r="E1671" s="1337" t="s">
        <v>4427</v>
      </c>
      <c r="F1671" s="1337" t="s">
        <v>3885</v>
      </c>
      <c r="G1671" s="1489">
        <v>2500</v>
      </c>
      <c r="H1671" s="1337" t="s">
        <v>4418</v>
      </c>
      <c r="I1671" s="1337" t="s">
        <v>4357</v>
      </c>
      <c r="J1671" s="249" t="s">
        <v>58</v>
      </c>
      <c r="K1671" s="1009" t="s">
        <v>57</v>
      </c>
      <c r="L1671" s="1689">
        <v>0.5</v>
      </c>
      <c r="M1671" s="1223" t="s">
        <v>4363</v>
      </c>
      <c r="N1671" s="1223" t="s">
        <v>4424</v>
      </c>
      <c r="O1671" s="1223" t="s">
        <v>4430</v>
      </c>
      <c r="P1671" s="1688">
        <v>0.9</v>
      </c>
      <c r="Q1671" s="1689">
        <v>0.3</v>
      </c>
      <c r="R1671" s="1688"/>
      <c r="S1671" s="1030">
        <f t="shared" si="52"/>
        <v>0</v>
      </c>
      <c r="T1671" s="1690">
        <f t="shared" si="53"/>
        <v>0</v>
      </c>
      <c r="U1671" s="1030" t="s">
        <v>34</v>
      </c>
      <c r="V1671" s="1689"/>
      <c r="W1671" s="262"/>
    </row>
    <row r="1672" spans="1:23" ht="22.95" customHeight="1" x14ac:dyDescent="0.4">
      <c r="A1672" s="788">
        <v>1671</v>
      </c>
      <c r="B1672" s="198" t="s">
        <v>2616</v>
      </c>
      <c r="C1672" s="1655" t="s">
        <v>24</v>
      </c>
      <c r="D1672" s="1668">
        <v>2465</v>
      </c>
      <c r="E1672" s="1337" t="s">
        <v>4427</v>
      </c>
      <c r="F1672" s="1337" t="s">
        <v>3885</v>
      </c>
      <c r="G1672" s="1489">
        <v>2500</v>
      </c>
      <c r="H1672" s="1337" t="s">
        <v>4418</v>
      </c>
      <c r="I1672" s="1337" t="s">
        <v>4357</v>
      </c>
      <c r="J1672" s="249" t="s">
        <v>58</v>
      </c>
      <c r="K1672" s="1009" t="s">
        <v>57</v>
      </c>
      <c r="L1672" s="1689">
        <v>0.5</v>
      </c>
      <c r="M1672" s="1223"/>
      <c r="N1672" s="1223" t="s">
        <v>4431</v>
      </c>
      <c r="O1672" s="1223" t="s">
        <v>4432</v>
      </c>
      <c r="P1672" s="1688">
        <v>0.5</v>
      </c>
      <c r="Q1672" s="1689">
        <v>0.3</v>
      </c>
      <c r="R1672" s="1688"/>
      <c r="S1672" s="1030">
        <f t="shared" si="52"/>
        <v>0</v>
      </c>
      <c r="T1672" s="1690">
        <f t="shared" si="53"/>
        <v>0</v>
      </c>
      <c r="U1672" s="1030" t="s">
        <v>34</v>
      </c>
      <c r="V1672" s="1689"/>
      <c r="W1672" s="262"/>
    </row>
    <row r="1673" spans="1:23" ht="22.95" customHeight="1" x14ac:dyDescent="0.4">
      <c r="A1673" s="788">
        <v>1672</v>
      </c>
      <c r="B1673" s="198" t="s">
        <v>2616</v>
      </c>
      <c r="C1673" s="1655" t="s">
        <v>24</v>
      </c>
      <c r="D1673" s="1668">
        <v>2465</v>
      </c>
      <c r="E1673" s="1337" t="s">
        <v>4427</v>
      </c>
      <c r="F1673" s="1337" t="s">
        <v>3885</v>
      </c>
      <c r="G1673" s="1489">
        <v>2500</v>
      </c>
      <c r="H1673" s="1337" t="s">
        <v>4418</v>
      </c>
      <c r="I1673" s="1337" t="s">
        <v>4357</v>
      </c>
      <c r="J1673" s="1655" t="s">
        <v>111</v>
      </c>
      <c r="K1673" s="1655" t="s">
        <v>110</v>
      </c>
      <c r="L1673" s="1670">
        <v>0.5</v>
      </c>
      <c r="M1673" s="1225"/>
      <c r="N1673" s="1225" t="s">
        <v>4433</v>
      </c>
      <c r="O1673" s="1225"/>
      <c r="P1673" s="1693">
        <v>0.7</v>
      </c>
      <c r="Q1673" s="1670">
        <v>1</v>
      </c>
      <c r="R1673" s="1693"/>
      <c r="S1673" s="1671">
        <f t="shared" si="52"/>
        <v>0</v>
      </c>
      <c r="T1673" s="1672">
        <f t="shared" si="53"/>
        <v>0</v>
      </c>
      <c r="U1673" s="1671" t="s">
        <v>34</v>
      </c>
      <c r="V1673" s="1670"/>
      <c r="W1673" s="262"/>
    </row>
    <row r="1674" spans="1:23" ht="22.95" customHeight="1" x14ac:dyDescent="0.4">
      <c r="A1674" s="788">
        <v>1673</v>
      </c>
      <c r="B1674" s="236" t="s">
        <v>2616</v>
      </c>
      <c r="C1674" s="1460" t="s">
        <v>24</v>
      </c>
      <c r="D1674" s="1663">
        <v>2475</v>
      </c>
      <c r="E1674" s="237" t="s">
        <v>4434</v>
      </c>
      <c r="F1674" s="237" t="s">
        <v>3885</v>
      </c>
      <c r="G1674" s="1487">
        <v>2500</v>
      </c>
      <c r="H1674" s="237" t="s">
        <v>4418</v>
      </c>
      <c r="I1674" s="237" t="s">
        <v>4357</v>
      </c>
      <c r="J1674" s="1460" t="s">
        <v>58</v>
      </c>
      <c r="K1674" s="1460" t="s">
        <v>57</v>
      </c>
      <c r="L1674" s="1666">
        <v>0.5</v>
      </c>
      <c r="M1674" s="1694"/>
      <c r="N1674" s="1220" t="s">
        <v>4421</v>
      </c>
      <c r="O1674" s="1682" t="s">
        <v>4421</v>
      </c>
      <c r="P1674" s="1695">
        <v>0.7</v>
      </c>
      <c r="Q1674" s="1696">
        <v>0.4</v>
      </c>
      <c r="R1674" s="1695"/>
      <c r="S1674" s="1697">
        <f t="shared" si="52"/>
        <v>0</v>
      </c>
      <c r="T1674" s="1698">
        <f t="shared" si="53"/>
        <v>0</v>
      </c>
      <c r="U1674" s="1695" t="s">
        <v>34</v>
      </c>
      <c r="V1674" s="1686">
        <f>SUM(T1674:T1677)%</f>
        <v>0</v>
      </c>
      <c r="W1674" s="195"/>
    </row>
    <row r="1675" spans="1:23" ht="22.95" customHeight="1" x14ac:dyDescent="0.4">
      <c r="A1675" s="788">
        <v>1674</v>
      </c>
      <c r="B1675" s="198" t="s">
        <v>2616</v>
      </c>
      <c r="C1675" s="1655" t="s">
        <v>24</v>
      </c>
      <c r="D1675" s="1668">
        <v>2475</v>
      </c>
      <c r="E1675" s="646" t="s">
        <v>4434</v>
      </c>
      <c r="F1675" s="646" t="s">
        <v>3885</v>
      </c>
      <c r="G1675" s="1489">
        <v>2500</v>
      </c>
      <c r="H1675" s="646" t="s">
        <v>4418</v>
      </c>
      <c r="I1675" s="646" t="s">
        <v>4357</v>
      </c>
      <c r="J1675" s="1463" t="s">
        <v>58</v>
      </c>
      <c r="K1675" s="1463" t="s">
        <v>57</v>
      </c>
      <c r="L1675" s="1689">
        <v>0.5</v>
      </c>
      <c r="M1675" s="1699"/>
      <c r="N1675" s="1699" t="s">
        <v>4424</v>
      </c>
      <c r="O1675" s="1700" t="s">
        <v>4430</v>
      </c>
      <c r="P1675" s="1701">
        <v>0.9</v>
      </c>
      <c r="Q1675" s="1356">
        <v>0.3</v>
      </c>
      <c r="R1675" s="1701"/>
      <c r="S1675" s="1702">
        <f t="shared" si="52"/>
        <v>0</v>
      </c>
      <c r="T1675" s="1703">
        <f t="shared" si="53"/>
        <v>0</v>
      </c>
      <c r="U1675" s="1701" t="s">
        <v>34</v>
      </c>
      <c r="V1675" s="1704"/>
      <c r="W1675" s="262"/>
    </row>
    <row r="1676" spans="1:23" ht="22.95" customHeight="1" x14ac:dyDescent="0.4">
      <c r="A1676" s="788">
        <v>1675</v>
      </c>
      <c r="B1676" s="198" t="s">
        <v>2616</v>
      </c>
      <c r="C1676" s="1655" t="s">
        <v>24</v>
      </c>
      <c r="D1676" s="1668">
        <v>2475</v>
      </c>
      <c r="E1676" s="646" t="s">
        <v>4434</v>
      </c>
      <c r="F1676" s="646" t="s">
        <v>3885</v>
      </c>
      <c r="G1676" s="1489">
        <v>2500</v>
      </c>
      <c r="H1676" s="646" t="s">
        <v>4418</v>
      </c>
      <c r="I1676" s="646" t="s">
        <v>4357</v>
      </c>
      <c r="J1676" s="1463" t="s">
        <v>58</v>
      </c>
      <c r="K1676" s="1463" t="s">
        <v>57</v>
      </c>
      <c r="L1676" s="1689">
        <v>0.5</v>
      </c>
      <c r="M1676" s="1699"/>
      <c r="N1676" s="1699" t="s">
        <v>4431</v>
      </c>
      <c r="O1676" s="1700" t="s">
        <v>4432</v>
      </c>
      <c r="P1676" s="1701">
        <v>0.5</v>
      </c>
      <c r="Q1676" s="1356">
        <v>0.3</v>
      </c>
      <c r="R1676" s="1701"/>
      <c r="S1676" s="1702">
        <f t="shared" si="52"/>
        <v>0</v>
      </c>
      <c r="T1676" s="1703">
        <f t="shared" si="53"/>
        <v>0</v>
      </c>
      <c r="U1676" s="1701" t="s">
        <v>34</v>
      </c>
      <c r="V1676" s="1704"/>
      <c r="W1676" s="262"/>
    </row>
    <row r="1677" spans="1:23" ht="22.95" customHeight="1" x14ac:dyDescent="0.4">
      <c r="A1677" s="788">
        <v>1676</v>
      </c>
      <c r="B1677" s="198" t="s">
        <v>2616</v>
      </c>
      <c r="C1677" s="1655" t="s">
        <v>24</v>
      </c>
      <c r="D1677" s="1668">
        <v>2475</v>
      </c>
      <c r="E1677" s="646" t="s">
        <v>4434</v>
      </c>
      <c r="F1677" s="646" t="s">
        <v>3885</v>
      </c>
      <c r="G1677" s="1489">
        <v>2500</v>
      </c>
      <c r="H1677" s="646" t="s">
        <v>4418</v>
      </c>
      <c r="I1677" s="646" t="s">
        <v>4357</v>
      </c>
      <c r="J1677" s="1337" t="s">
        <v>111</v>
      </c>
      <c r="K1677" s="1337" t="s">
        <v>110</v>
      </c>
      <c r="L1677" s="1670">
        <v>0.5</v>
      </c>
      <c r="M1677" s="1705"/>
      <c r="N1677" s="698" t="s">
        <v>4435</v>
      </c>
      <c r="O1677" s="1683"/>
      <c r="P1677" s="806">
        <v>0.7</v>
      </c>
      <c r="Q1677" s="1706">
        <v>1</v>
      </c>
      <c r="R1677" s="806"/>
      <c r="S1677" s="1367">
        <f t="shared" si="52"/>
        <v>0</v>
      </c>
      <c r="T1677" s="1707">
        <f t="shared" si="53"/>
        <v>0</v>
      </c>
      <c r="U1677" s="806" t="s">
        <v>34</v>
      </c>
      <c r="V1677" s="1708"/>
      <c r="W1677" s="262"/>
    </row>
    <row r="1678" spans="1:23" ht="22.95" customHeight="1" x14ac:dyDescent="0.4">
      <c r="A1678" s="788">
        <v>1677</v>
      </c>
      <c r="B1678" s="236" t="s">
        <v>2616</v>
      </c>
      <c r="C1678" s="1460" t="s">
        <v>24</v>
      </c>
      <c r="D1678" s="1663">
        <v>3582</v>
      </c>
      <c r="E1678" s="237" t="s">
        <v>4436</v>
      </c>
      <c r="F1678" s="237" t="s">
        <v>4437</v>
      </c>
      <c r="G1678" s="1487">
        <v>2500</v>
      </c>
      <c r="H1678" s="237" t="s">
        <v>4418</v>
      </c>
      <c r="I1678" s="237" t="s">
        <v>4357</v>
      </c>
      <c r="J1678" s="1460" t="s">
        <v>58</v>
      </c>
      <c r="K1678" s="1460" t="s">
        <v>57</v>
      </c>
      <c r="L1678" s="1666">
        <v>0.5</v>
      </c>
      <c r="M1678" s="1694"/>
      <c r="N1678" s="694" t="s">
        <v>4438</v>
      </c>
      <c r="O1678" s="1682"/>
      <c r="P1678" s="1695">
        <v>1</v>
      </c>
      <c r="Q1678" s="1696">
        <v>0.4</v>
      </c>
      <c r="R1678" s="1695"/>
      <c r="S1678" s="1697">
        <f t="shared" si="52"/>
        <v>0</v>
      </c>
      <c r="T1678" s="1698">
        <f t="shared" si="53"/>
        <v>0</v>
      </c>
      <c r="U1678" s="1695" t="s">
        <v>34</v>
      </c>
      <c r="V1678" s="1686">
        <f>SUM(T1678:T1680)%</f>
        <v>0</v>
      </c>
      <c r="W1678" s="195"/>
    </row>
    <row r="1679" spans="1:23" ht="22.95" customHeight="1" x14ac:dyDescent="0.4">
      <c r="A1679" s="788">
        <v>1678</v>
      </c>
      <c r="B1679" s="198" t="s">
        <v>2616</v>
      </c>
      <c r="C1679" s="1709" t="s">
        <v>24</v>
      </c>
      <c r="D1679" s="1668">
        <v>3582</v>
      </c>
      <c r="E1679" s="646" t="s">
        <v>4436</v>
      </c>
      <c r="F1679" s="646" t="s">
        <v>4437</v>
      </c>
      <c r="G1679" s="1489">
        <v>2500</v>
      </c>
      <c r="H1679" s="646" t="s">
        <v>4418</v>
      </c>
      <c r="I1679" s="646" t="s">
        <v>4357</v>
      </c>
      <c r="J1679" s="1463" t="s">
        <v>58</v>
      </c>
      <c r="K1679" s="1463" t="s">
        <v>57</v>
      </c>
      <c r="L1679" s="1689">
        <v>0.5</v>
      </c>
      <c r="M1679" s="1699"/>
      <c r="N1679" s="1674" t="s">
        <v>4421</v>
      </c>
      <c r="O1679" s="1700"/>
      <c r="P1679" s="1701">
        <v>0.7</v>
      </c>
      <c r="Q1679" s="1356">
        <v>0.6</v>
      </c>
      <c r="R1679" s="1701"/>
      <c r="S1679" s="1702">
        <f t="shared" si="52"/>
        <v>0</v>
      </c>
      <c r="T1679" s="1703">
        <f t="shared" si="53"/>
        <v>0</v>
      </c>
      <c r="U1679" s="1701" t="s">
        <v>34</v>
      </c>
      <c r="V1679" s="1704"/>
      <c r="W1679" s="262"/>
    </row>
    <row r="1680" spans="1:23" ht="22.95" customHeight="1" x14ac:dyDescent="0.4">
      <c r="A1680" s="788">
        <v>1679</v>
      </c>
      <c r="B1680" s="198" t="s">
        <v>2616</v>
      </c>
      <c r="C1680" s="1709" t="s">
        <v>24</v>
      </c>
      <c r="D1680" s="1668">
        <v>3582</v>
      </c>
      <c r="E1680" s="646" t="s">
        <v>4436</v>
      </c>
      <c r="F1680" s="646" t="s">
        <v>4437</v>
      </c>
      <c r="G1680" s="1489">
        <v>2500</v>
      </c>
      <c r="H1680" s="646" t="s">
        <v>4418</v>
      </c>
      <c r="I1680" s="646" t="s">
        <v>4357</v>
      </c>
      <c r="J1680" s="1337" t="s">
        <v>111</v>
      </c>
      <c r="K1680" s="1337" t="s">
        <v>110</v>
      </c>
      <c r="L1680" s="1670">
        <v>0.5</v>
      </c>
      <c r="M1680" s="1705"/>
      <c r="N1680" s="698" t="s">
        <v>4435</v>
      </c>
      <c r="O1680" s="1683"/>
      <c r="P1680" s="806">
        <v>0.7</v>
      </c>
      <c r="Q1680" s="1706">
        <v>1</v>
      </c>
      <c r="R1680" s="806"/>
      <c r="S1680" s="1367">
        <f t="shared" si="52"/>
        <v>0</v>
      </c>
      <c r="T1680" s="1707">
        <f t="shared" si="53"/>
        <v>0</v>
      </c>
      <c r="U1680" s="806" t="s">
        <v>34</v>
      </c>
      <c r="V1680" s="1708"/>
      <c r="W1680" s="262"/>
    </row>
    <row r="1681" spans="1:23" ht="22.95" customHeight="1" x14ac:dyDescent="0.4">
      <c r="A1681" s="788">
        <v>1680</v>
      </c>
      <c r="B1681" s="236" t="s">
        <v>2616</v>
      </c>
      <c r="C1681" s="1460" t="s">
        <v>24</v>
      </c>
      <c r="D1681" s="1663">
        <v>2444</v>
      </c>
      <c r="E1681" s="237" t="s">
        <v>4439</v>
      </c>
      <c r="F1681" s="237" t="s">
        <v>4440</v>
      </c>
      <c r="G1681" s="1487">
        <v>2500</v>
      </c>
      <c r="H1681" s="237" t="s">
        <v>4418</v>
      </c>
      <c r="I1681" s="237" t="s">
        <v>4357</v>
      </c>
      <c r="J1681" s="1460" t="s">
        <v>58</v>
      </c>
      <c r="K1681" s="1460" t="s">
        <v>57</v>
      </c>
      <c r="L1681" s="1666">
        <v>0.5</v>
      </c>
      <c r="M1681" s="1694"/>
      <c r="N1681" s="694" t="s">
        <v>4441</v>
      </c>
      <c r="O1681" s="1682"/>
      <c r="P1681" s="1695">
        <v>1</v>
      </c>
      <c r="Q1681" s="1696">
        <v>0.5</v>
      </c>
      <c r="R1681" s="1695"/>
      <c r="S1681" s="1697">
        <f t="shared" si="52"/>
        <v>0</v>
      </c>
      <c r="T1681" s="1698">
        <f t="shared" si="53"/>
        <v>0</v>
      </c>
      <c r="U1681" s="1695" t="s">
        <v>34</v>
      </c>
      <c r="V1681" s="1686">
        <f>SUM(T1681:T1683)%</f>
        <v>0</v>
      </c>
      <c r="W1681" s="195"/>
    </row>
    <row r="1682" spans="1:23" ht="22.95" customHeight="1" x14ac:dyDescent="0.4">
      <c r="A1682" s="788">
        <v>1681</v>
      </c>
      <c r="B1682" s="198" t="s">
        <v>2616</v>
      </c>
      <c r="C1682" s="1709" t="s">
        <v>24</v>
      </c>
      <c r="D1682" s="1668">
        <v>2444</v>
      </c>
      <c r="E1682" s="646" t="s">
        <v>4439</v>
      </c>
      <c r="F1682" s="646" t="s">
        <v>4440</v>
      </c>
      <c r="G1682" s="1489">
        <v>2500</v>
      </c>
      <c r="H1682" s="646" t="s">
        <v>4418</v>
      </c>
      <c r="I1682" s="646" t="s">
        <v>4357</v>
      </c>
      <c r="J1682" s="1463" t="s">
        <v>58</v>
      </c>
      <c r="K1682" s="1463" t="s">
        <v>57</v>
      </c>
      <c r="L1682" s="1689">
        <v>0.5</v>
      </c>
      <c r="M1682" s="1699"/>
      <c r="N1682" s="1674" t="s">
        <v>4442</v>
      </c>
      <c r="O1682" s="1700"/>
      <c r="P1682" s="1701">
        <v>0.7</v>
      </c>
      <c r="Q1682" s="1356">
        <v>0.5</v>
      </c>
      <c r="R1682" s="1701"/>
      <c r="S1682" s="1702">
        <f t="shared" si="52"/>
        <v>0</v>
      </c>
      <c r="T1682" s="1703">
        <f t="shared" si="53"/>
        <v>0</v>
      </c>
      <c r="U1682" s="1701" t="s">
        <v>34</v>
      </c>
      <c r="V1682" s="1704"/>
      <c r="W1682" s="262"/>
    </row>
    <row r="1683" spans="1:23" ht="22.95" customHeight="1" x14ac:dyDescent="0.4">
      <c r="A1683" s="788">
        <v>1682</v>
      </c>
      <c r="B1683" s="198" t="s">
        <v>2616</v>
      </c>
      <c r="C1683" s="1709" t="s">
        <v>24</v>
      </c>
      <c r="D1683" s="1668">
        <v>2444</v>
      </c>
      <c r="E1683" s="646" t="s">
        <v>4439</v>
      </c>
      <c r="F1683" s="646" t="s">
        <v>4440</v>
      </c>
      <c r="G1683" s="1489">
        <v>2500</v>
      </c>
      <c r="H1683" s="646" t="s">
        <v>4418</v>
      </c>
      <c r="I1683" s="646" t="s">
        <v>4357</v>
      </c>
      <c r="J1683" s="1337" t="s">
        <v>111</v>
      </c>
      <c r="K1683" s="1337" t="s">
        <v>110</v>
      </c>
      <c r="L1683" s="1670">
        <v>0.5</v>
      </c>
      <c r="M1683" s="1705"/>
      <c r="N1683" s="698" t="s">
        <v>4443</v>
      </c>
      <c r="O1683" s="1683"/>
      <c r="P1683" s="806">
        <v>0.7</v>
      </c>
      <c r="Q1683" s="1706">
        <v>1</v>
      </c>
      <c r="R1683" s="806"/>
      <c r="S1683" s="1367">
        <f t="shared" si="52"/>
        <v>0</v>
      </c>
      <c r="T1683" s="1707">
        <f t="shared" si="53"/>
        <v>0</v>
      </c>
      <c r="U1683" s="806" t="s">
        <v>34</v>
      </c>
      <c r="V1683" s="1708"/>
      <c r="W1683" s="262"/>
    </row>
    <row r="1684" spans="1:23" ht="22.95" customHeight="1" x14ac:dyDescent="0.4">
      <c r="A1684" s="788">
        <v>1683</v>
      </c>
      <c r="B1684" s="236" t="s">
        <v>2616</v>
      </c>
      <c r="C1684" s="187" t="s">
        <v>24</v>
      </c>
      <c r="D1684" s="1200">
        <v>2463</v>
      </c>
      <c r="E1684" s="187" t="s">
        <v>4444</v>
      </c>
      <c r="F1684" s="187" t="s">
        <v>4445</v>
      </c>
      <c r="G1684" s="1165">
        <v>3029</v>
      </c>
      <c r="H1684" s="187" t="s">
        <v>4373</v>
      </c>
      <c r="I1684" s="187" t="s">
        <v>4357</v>
      </c>
      <c r="J1684" s="1460" t="s">
        <v>58</v>
      </c>
      <c r="K1684" s="1460" t="s">
        <v>57</v>
      </c>
      <c r="L1684" s="1054">
        <v>1</v>
      </c>
      <c r="M1684" s="295"/>
      <c r="N1684" s="653" t="s">
        <v>4446</v>
      </c>
      <c r="O1684" s="749" t="s">
        <v>4447</v>
      </c>
      <c r="P1684" s="1710">
        <v>1</v>
      </c>
      <c r="Q1684" s="1054">
        <v>0.5</v>
      </c>
      <c r="R1684" s="1710"/>
      <c r="S1684" s="644">
        <f t="shared" si="52"/>
        <v>0</v>
      </c>
      <c r="T1684" s="834">
        <f t="shared" si="53"/>
        <v>0</v>
      </c>
      <c r="U1684" s="644" t="s">
        <v>34</v>
      </c>
      <c r="V1684" s="1248">
        <f>SUM(T1684:T1687)%</f>
        <v>0</v>
      </c>
      <c r="W1684" s="295"/>
    </row>
    <row r="1685" spans="1:23" ht="22.95" customHeight="1" x14ac:dyDescent="0.4">
      <c r="A1685" s="788">
        <v>1684</v>
      </c>
      <c r="B1685" s="198" t="s">
        <v>2616</v>
      </c>
      <c r="C1685" s="246" t="s">
        <v>24</v>
      </c>
      <c r="D1685" s="1306">
        <v>2463</v>
      </c>
      <c r="E1685" s="246" t="s">
        <v>4444</v>
      </c>
      <c r="F1685" s="246" t="s">
        <v>4445</v>
      </c>
      <c r="G1685" s="1711">
        <v>3029</v>
      </c>
      <c r="H1685" s="246" t="s">
        <v>4373</v>
      </c>
      <c r="I1685" s="246" t="s">
        <v>4357</v>
      </c>
      <c r="J1685" s="1463" t="s">
        <v>58</v>
      </c>
      <c r="K1685" s="1463" t="s">
        <v>57</v>
      </c>
      <c r="L1685" s="1201">
        <v>1</v>
      </c>
      <c r="M1685" s="1400"/>
      <c r="N1685" s="79" t="s">
        <v>4448</v>
      </c>
      <c r="O1685" s="757" t="s">
        <v>4449</v>
      </c>
      <c r="P1685" s="1676">
        <v>1</v>
      </c>
      <c r="Q1685" s="1201">
        <v>0.15</v>
      </c>
      <c r="R1685" s="1676"/>
      <c r="S1685" s="647">
        <f t="shared" si="52"/>
        <v>0</v>
      </c>
      <c r="T1685" s="764">
        <f t="shared" si="53"/>
        <v>0</v>
      </c>
      <c r="U1685" s="647" t="s">
        <v>34</v>
      </c>
      <c r="V1685" s="1537"/>
      <c r="W1685" s="303"/>
    </row>
    <row r="1686" spans="1:23" ht="22.95" customHeight="1" x14ac:dyDescent="0.4">
      <c r="A1686" s="788">
        <v>1685</v>
      </c>
      <c r="B1686" s="198" t="s">
        <v>2616</v>
      </c>
      <c r="C1686" s="246" t="s">
        <v>24</v>
      </c>
      <c r="D1686" s="1306">
        <v>2463</v>
      </c>
      <c r="E1686" s="246" t="s">
        <v>4444</v>
      </c>
      <c r="F1686" s="246" t="s">
        <v>4445</v>
      </c>
      <c r="G1686" s="1711">
        <v>3029</v>
      </c>
      <c r="H1686" s="246" t="s">
        <v>4373</v>
      </c>
      <c r="I1686" s="246" t="s">
        <v>4357</v>
      </c>
      <c r="J1686" s="1463" t="s">
        <v>58</v>
      </c>
      <c r="K1686" s="1463" t="s">
        <v>57</v>
      </c>
      <c r="L1686" s="1201">
        <v>1</v>
      </c>
      <c r="M1686" s="1400"/>
      <c r="N1686" s="79" t="s">
        <v>4450</v>
      </c>
      <c r="O1686" s="858" t="s">
        <v>4451</v>
      </c>
      <c r="P1686" s="1675">
        <v>1</v>
      </c>
      <c r="Q1686" s="1201">
        <v>0.3</v>
      </c>
      <c r="R1686" s="1675"/>
      <c r="S1686" s="647">
        <f t="shared" si="52"/>
        <v>0</v>
      </c>
      <c r="T1686" s="764">
        <f t="shared" si="53"/>
        <v>0</v>
      </c>
      <c r="U1686" s="647" t="s">
        <v>34</v>
      </c>
      <c r="V1686" s="1537"/>
      <c r="W1686" s="303"/>
    </row>
    <row r="1687" spans="1:23" ht="22.95" customHeight="1" x14ac:dyDescent="0.4">
      <c r="A1687" s="788">
        <v>1686</v>
      </c>
      <c r="B1687" s="198" t="s">
        <v>2616</v>
      </c>
      <c r="C1687" s="246" t="s">
        <v>24</v>
      </c>
      <c r="D1687" s="1306">
        <v>2463</v>
      </c>
      <c r="E1687" s="246" t="s">
        <v>4444</v>
      </c>
      <c r="F1687" s="246" t="s">
        <v>4445</v>
      </c>
      <c r="G1687" s="1711">
        <v>3029</v>
      </c>
      <c r="H1687" s="246" t="s">
        <v>4373</v>
      </c>
      <c r="I1687" s="246" t="s">
        <v>4357</v>
      </c>
      <c r="J1687" s="1463" t="s">
        <v>58</v>
      </c>
      <c r="K1687" s="1463" t="s">
        <v>57</v>
      </c>
      <c r="L1687" s="1201">
        <v>1</v>
      </c>
      <c r="M1687" s="1400"/>
      <c r="N1687" s="79" t="s">
        <v>4385</v>
      </c>
      <c r="O1687" s="757" t="s">
        <v>4386</v>
      </c>
      <c r="P1687" s="1676">
        <v>0.8</v>
      </c>
      <c r="Q1687" s="1201">
        <v>0.05</v>
      </c>
      <c r="R1687" s="1676"/>
      <c r="S1687" s="647">
        <f t="shared" si="52"/>
        <v>0</v>
      </c>
      <c r="T1687" s="764">
        <f t="shared" si="53"/>
        <v>0</v>
      </c>
      <c r="U1687" s="647" t="s">
        <v>34</v>
      </c>
      <c r="V1687" s="1537"/>
      <c r="W1687" s="303"/>
    </row>
    <row r="1688" spans="1:23" ht="22.95" customHeight="1" x14ac:dyDescent="0.4">
      <c r="A1688" s="788">
        <v>1687</v>
      </c>
      <c r="B1688" s="236" t="s">
        <v>2616</v>
      </c>
      <c r="C1688" s="236" t="s">
        <v>24</v>
      </c>
      <c r="D1688" s="1226">
        <v>3863</v>
      </c>
      <c r="E1688" s="236" t="s">
        <v>4452</v>
      </c>
      <c r="F1688" s="236" t="s">
        <v>4453</v>
      </c>
      <c r="G1688" s="1165">
        <v>3029</v>
      </c>
      <c r="H1688" s="236" t="s">
        <v>4373</v>
      </c>
      <c r="I1688" s="236" t="s">
        <v>4357</v>
      </c>
      <c r="J1688" s="187" t="s">
        <v>58</v>
      </c>
      <c r="K1688" s="187" t="s">
        <v>57</v>
      </c>
      <c r="L1688" s="1052">
        <v>1</v>
      </c>
      <c r="M1688" s="243"/>
      <c r="N1688" s="243" t="s">
        <v>4454</v>
      </c>
      <c r="O1688" s="1664" t="s">
        <v>4455</v>
      </c>
      <c r="P1688" s="855">
        <v>1</v>
      </c>
      <c r="Q1688" s="1052">
        <v>0.5</v>
      </c>
      <c r="R1688" s="855"/>
      <c r="S1688" s="855">
        <f t="shared" si="52"/>
        <v>0</v>
      </c>
      <c r="T1688" s="854">
        <f t="shared" si="53"/>
        <v>0</v>
      </c>
      <c r="U1688" s="855" t="s">
        <v>34</v>
      </c>
      <c r="V1688" s="1055">
        <f>SUM(T1688:T1692)%</f>
        <v>0</v>
      </c>
      <c r="W1688" s="295"/>
    </row>
    <row r="1689" spans="1:23" ht="22.95" customHeight="1" x14ac:dyDescent="0.4">
      <c r="A1689" s="788">
        <v>1688</v>
      </c>
      <c r="B1689" s="245" t="s">
        <v>2616</v>
      </c>
      <c r="C1689" s="245" t="s">
        <v>24</v>
      </c>
      <c r="D1689" s="1518">
        <v>3863</v>
      </c>
      <c r="E1689" s="245" t="s">
        <v>4452</v>
      </c>
      <c r="F1689" s="245" t="s">
        <v>4453</v>
      </c>
      <c r="G1689" s="1170">
        <v>3029</v>
      </c>
      <c r="H1689" s="245" t="s">
        <v>4373</v>
      </c>
      <c r="I1689" s="245" t="s">
        <v>4357</v>
      </c>
      <c r="J1689" s="692" t="s">
        <v>58</v>
      </c>
      <c r="K1689" s="692" t="s">
        <v>57</v>
      </c>
      <c r="L1689" s="1067">
        <v>1</v>
      </c>
      <c r="M1689" s="1712"/>
      <c r="N1689" s="1712" t="s">
        <v>4378</v>
      </c>
      <c r="O1689" s="1712" t="s">
        <v>4379</v>
      </c>
      <c r="P1689" s="204">
        <v>0.15</v>
      </c>
      <c r="Q1689" s="1067">
        <v>0.1</v>
      </c>
      <c r="R1689" s="204"/>
      <c r="S1689" s="204">
        <f t="shared" si="52"/>
        <v>0</v>
      </c>
      <c r="T1689" s="960">
        <f t="shared" si="53"/>
        <v>0</v>
      </c>
      <c r="U1689" s="204" t="s">
        <v>34</v>
      </c>
      <c r="V1689" s="1067"/>
      <c r="W1689" s="303"/>
    </row>
    <row r="1690" spans="1:23" ht="22.95" customHeight="1" x14ac:dyDescent="0.4">
      <c r="A1690" s="788">
        <v>1689</v>
      </c>
      <c r="B1690" s="245" t="s">
        <v>2616</v>
      </c>
      <c r="C1690" s="245" t="s">
        <v>24</v>
      </c>
      <c r="D1690" s="1518">
        <v>3863</v>
      </c>
      <c r="E1690" s="245" t="s">
        <v>4452</v>
      </c>
      <c r="F1690" s="245" t="s">
        <v>4453</v>
      </c>
      <c r="G1690" s="1170">
        <v>3029</v>
      </c>
      <c r="H1690" s="245" t="s">
        <v>4373</v>
      </c>
      <c r="I1690" s="245" t="s">
        <v>4357</v>
      </c>
      <c r="J1690" s="692" t="s">
        <v>58</v>
      </c>
      <c r="K1690" s="692" t="s">
        <v>57</v>
      </c>
      <c r="L1690" s="1067">
        <v>1</v>
      </c>
      <c r="M1690" s="959"/>
      <c r="N1690" s="959" t="s">
        <v>4380</v>
      </c>
      <c r="O1690" s="959" t="s">
        <v>4381</v>
      </c>
      <c r="P1690" s="204">
        <v>0.05</v>
      </c>
      <c r="Q1690" s="1067">
        <v>0.1</v>
      </c>
      <c r="R1690" s="204"/>
      <c r="S1690" s="204">
        <f t="shared" si="52"/>
        <v>0</v>
      </c>
      <c r="T1690" s="960">
        <f t="shared" si="53"/>
        <v>0</v>
      </c>
      <c r="U1690" s="204" t="s">
        <v>34</v>
      </c>
      <c r="V1690" s="1067"/>
      <c r="W1690" s="303"/>
    </row>
    <row r="1691" spans="1:23" ht="22.95" customHeight="1" x14ac:dyDescent="0.4">
      <c r="A1691" s="788">
        <v>1690</v>
      </c>
      <c r="B1691" s="245" t="s">
        <v>2616</v>
      </c>
      <c r="C1691" s="245" t="s">
        <v>24</v>
      </c>
      <c r="D1691" s="1518">
        <v>3863</v>
      </c>
      <c r="E1691" s="245" t="s">
        <v>4452</v>
      </c>
      <c r="F1691" s="245" t="s">
        <v>4453</v>
      </c>
      <c r="G1691" s="1170">
        <v>3029</v>
      </c>
      <c r="H1691" s="245" t="s">
        <v>4373</v>
      </c>
      <c r="I1691" s="245" t="s">
        <v>4357</v>
      </c>
      <c r="J1691" s="692" t="s">
        <v>58</v>
      </c>
      <c r="K1691" s="692" t="s">
        <v>57</v>
      </c>
      <c r="L1691" s="1067">
        <v>1</v>
      </c>
      <c r="M1691" s="1712"/>
      <c r="N1691" s="1712" t="s">
        <v>4456</v>
      </c>
      <c r="O1691" s="1712" t="s">
        <v>4383</v>
      </c>
      <c r="P1691" s="1713">
        <v>0.05</v>
      </c>
      <c r="Q1691" s="1067">
        <v>0.1</v>
      </c>
      <c r="R1691" s="1713"/>
      <c r="S1691" s="204">
        <f t="shared" si="52"/>
        <v>0</v>
      </c>
      <c r="T1691" s="960">
        <f t="shared" si="53"/>
        <v>0</v>
      </c>
      <c r="U1691" s="723" t="s">
        <v>83</v>
      </c>
      <c r="V1691" s="1067"/>
      <c r="W1691" s="303"/>
    </row>
    <row r="1692" spans="1:23" ht="22.95" customHeight="1" x14ac:dyDescent="0.4">
      <c r="A1692" s="788">
        <v>1691</v>
      </c>
      <c r="B1692" s="245" t="s">
        <v>2616</v>
      </c>
      <c r="C1692" s="245" t="s">
        <v>24</v>
      </c>
      <c r="D1692" s="1518">
        <v>3863</v>
      </c>
      <c r="E1692" s="245" t="s">
        <v>4452</v>
      </c>
      <c r="F1692" s="245" t="s">
        <v>4453</v>
      </c>
      <c r="G1692" s="1170">
        <v>3029</v>
      </c>
      <c r="H1692" s="245" t="s">
        <v>4373</v>
      </c>
      <c r="I1692" s="245" t="s">
        <v>4357</v>
      </c>
      <c r="J1692" s="692" t="s">
        <v>58</v>
      </c>
      <c r="K1692" s="692" t="s">
        <v>57</v>
      </c>
      <c r="L1692" s="1067">
        <v>1</v>
      </c>
      <c r="M1692" s="959"/>
      <c r="N1692" s="959" t="s">
        <v>212</v>
      </c>
      <c r="O1692" s="1712" t="s">
        <v>4457</v>
      </c>
      <c r="P1692" s="960">
        <v>15</v>
      </c>
      <c r="Q1692" s="1067">
        <v>0.2</v>
      </c>
      <c r="R1692" s="960"/>
      <c r="S1692" s="204">
        <f t="shared" si="52"/>
        <v>0</v>
      </c>
      <c r="T1692" s="960">
        <f t="shared" si="53"/>
        <v>0</v>
      </c>
      <c r="U1692" s="204" t="s">
        <v>34</v>
      </c>
      <c r="V1692" s="1067"/>
      <c r="W1692" s="303"/>
    </row>
    <row r="1693" spans="1:23" ht="22.95" customHeight="1" x14ac:dyDescent="0.4">
      <c r="A1693" s="788">
        <v>1692</v>
      </c>
      <c r="B1693" s="236" t="s">
        <v>2616</v>
      </c>
      <c r="C1693" s="236" t="s">
        <v>24</v>
      </c>
      <c r="D1693" s="1226">
        <v>3879</v>
      </c>
      <c r="E1693" s="236" t="s">
        <v>4458</v>
      </c>
      <c r="F1693" s="236" t="s">
        <v>4459</v>
      </c>
      <c r="G1693" s="1165">
        <v>3029</v>
      </c>
      <c r="H1693" s="236" t="s">
        <v>4373</v>
      </c>
      <c r="I1693" s="236" t="s">
        <v>4357</v>
      </c>
      <c r="J1693" s="187" t="s">
        <v>58</v>
      </c>
      <c r="K1693" s="187" t="s">
        <v>57</v>
      </c>
      <c r="L1693" s="1052">
        <v>1</v>
      </c>
      <c r="M1693" s="243"/>
      <c r="N1693" s="243" t="s">
        <v>4454</v>
      </c>
      <c r="O1693" s="1664" t="s">
        <v>4455</v>
      </c>
      <c r="P1693" s="855">
        <v>1</v>
      </c>
      <c r="Q1693" s="1052">
        <v>0.5</v>
      </c>
      <c r="R1693" s="855"/>
      <c r="S1693" s="855">
        <f t="shared" si="52"/>
        <v>0</v>
      </c>
      <c r="T1693" s="854">
        <f t="shared" si="53"/>
        <v>0</v>
      </c>
      <c r="U1693" s="855" t="s">
        <v>34</v>
      </c>
      <c r="V1693" s="1055">
        <f>SUM(T1693:T1697)%</f>
        <v>0</v>
      </c>
      <c r="W1693" s="295"/>
    </row>
    <row r="1694" spans="1:23" ht="22.95" customHeight="1" x14ac:dyDescent="0.4">
      <c r="A1694" s="788">
        <v>1693</v>
      </c>
      <c r="B1694" s="245" t="s">
        <v>2616</v>
      </c>
      <c r="C1694" s="245" t="s">
        <v>24</v>
      </c>
      <c r="D1694" s="1518">
        <v>3879</v>
      </c>
      <c r="E1694" s="245" t="s">
        <v>4458</v>
      </c>
      <c r="F1694" s="245" t="s">
        <v>4459</v>
      </c>
      <c r="G1694" s="1170">
        <v>3029</v>
      </c>
      <c r="H1694" s="245" t="s">
        <v>4373</v>
      </c>
      <c r="I1694" s="245" t="s">
        <v>4357</v>
      </c>
      <c r="J1694" s="692" t="s">
        <v>58</v>
      </c>
      <c r="K1694" s="692" t="s">
        <v>57</v>
      </c>
      <c r="L1694" s="1067">
        <v>1</v>
      </c>
      <c r="M1694" s="1712"/>
      <c r="N1694" s="1712" t="s">
        <v>4378</v>
      </c>
      <c r="O1694" s="1712" t="s">
        <v>4379</v>
      </c>
      <c r="P1694" s="204">
        <v>0.15</v>
      </c>
      <c r="Q1694" s="1067">
        <v>0.1</v>
      </c>
      <c r="R1694" s="204"/>
      <c r="S1694" s="204">
        <f t="shared" si="52"/>
        <v>0</v>
      </c>
      <c r="T1694" s="960">
        <f t="shared" si="53"/>
        <v>0</v>
      </c>
      <c r="U1694" s="204" t="s">
        <v>34</v>
      </c>
      <c r="V1694" s="1067"/>
      <c r="W1694" s="303"/>
    </row>
    <row r="1695" spans="1:23" ht="22.95" customHeight="1" x14ac:dyDescent="0.4">
      <c r="A1695" s="788">
        <v>1694</v>
      </c>
      <c r="B1695" s="245" t="s">
        <v>2616</v>
      </c>
      <c r="C1695" s="245" t="s">
        <v>24</v>
      </c>
      <c r="D1695" s="1518">
        <v>3879</v>
      </c>
      <c r="E1695" s="245" t="s">
        <v>4458</v>
      </c>
      <c r="F1695" s="245" t="s">
        <v>4459</v>
      </c>
      <c r="G1695" s="1170">
        <v>3029</v>
      </c>
      <c r="H1695" s="245" t="s">
        <v>4373</v>
      </c>
      <c r="I1695" s="245" t="s">
        <v>4357</v>
      </c>
      <c r="J1695" s="692" t="s">
        <v>58</v>
      </c>
      <c r="K1695" s="692" t="s">
        <v>57</v>
      </c>
      <c r="L1695" s="1067">
        <v>1</v>
      </c>
      <c r="M1695" s="959"/>
      <c r="N1695" s="959" t="s">
        <v>4380</v>
      </c>
      <c r="O1695" s="959" t="s">
        <v>4381</v>
      </c>
      <c r="P1695" s="204">
        <v>0.05</v>
      </c>
      <c r="Q1695" s="1067">
        <v>0.1</v>
      </c>
      <c r="R1695" s="204"/>
      <c r="S1695" s="204">
        <f t="shared" si="52"/>
        <v>0</v>
      </c>
      <c r="T1695" s="960">
        <f t="shared" si="53"/>
        <v>0</v>
      </c>
      <c r="U1695" s="204" t="s">
        <v>34</v>
      </c>
      <c r="V1695" s="1067"/>
      <c r="W1695" s="303"/>
    </row>
    <row r="1696" spans="1:23" ht="22.95" customHeight="1" x14ac:dyDescent="0.4">
      <c r="A1696" s="788">
        <v>1695</v>
      </c>
      <c r="B1696" s="245" t="s">
        <v>2616</v>
      </c>
      <c r="C1696" s="245" t="s">
        <v>24</v>
      </c>
      <c r="D1696" s="1518">
        <v>3879</v>
      </c>
      <c r="E1696" s="245" t="s">
        <v>4458</v>
      </c>
      <c r="F1696" s="245" t="s">
        <v>4459</v>
      </c>
      <c r="G1696" s="1170">
        <v>3029</v>
      </c>
      <c r="H1696" s="245" t="s">
        <v>4373</v>
      </c>
      <c r="I1696" s="245" t="s">
        <v>4357</v>
      </c>
      <c r="J1696" s="692" t="s">
        <v>58</v>
      </c>
      <c r="K1696" s="692" t="s">
        <v>57</v>
      </c>
      <c r="L1696" s="1067">
        <v>1</v>
      </c>
      <c r="M1696" s="1712"/>
      <c r="N1696" s="1712" t="s">
        <v>4456</v>
      </c>
      <c r="O1696" s="1712" t="s">
        <v>4383</v>
      </c>
      <c r="P1696" s="1713">
        <v>0.05</v>
      </c>
      <c r="Q1696" s="1067">
        <v>0.1</v>
      </c>
      <c r="R1696" s="1713"/>
      <c r="S1696" s="204">
        <f t="shared" si="52"/>
        <v>0</v>
      </c>
      <c r="T1696" s="960">
        <f t="shared" si="53"/>
        <v>0</v>
      </c>
      <c r="U1696" s="723" t="s">
        <v>83</v>
      </c>
      <c r="V1696" s="1067"/>
      <c r="W1696" s="303"/>
    </row>
    <row r="1697" spans="1:23" ht="22.95" customHeight="1" x14ac:dyDescent="0.4">
      <c r="A1697" s="788">
        <v>1696</v>
      </c>
      <c r="B1697" s="245" t="s">
        <v>2616</v>
      </c>
      <c r="C1697" s="245" t="s">
        <v>24</v>
      </c>
      <c r="D1697" s="1518">
        <v>3879</v>
      </c>
      <c r="E1697" s="245" t="s">
        <v>4458</v>
      </c>
      <c r="F1697" s="245" t="s">
        <v>4459</v>
      </c>
      <c r="G1697" s="1170">
        <v>3029</v>
      </c>
      <c r="H1697" s="245" t="s">
        <v>4373</v>
      </c>
      <c r="I1697" s="245" t="s">
        <v>4357</v>
      </c>
      <c r="J1697" s="692" t="s">
        <v>58</v>
      </c>
      <c r="K1697" s="692" t="s">
        <v>57</v>
      </c>
      <c r="L1697" s="1067">
        <v>1</v>
      </c>
      <c r="M1697" s="959"/>
      <c r="N1697" s="959" t="s">
        <v>212</v>
      </c>
      <c r="O1697" s="1712" t="s">
        <v>4457</v>
      </c>
      <c r="P1697" s="960">
        <v>3</v>
      </c>
      <c r="Q1697" s="1067">
        <v>0.2</v>
      </c>
      <c r="R1697" s="960"/>
      <c r="S1697" s="204">
        <f t="shared" si="52"/>
        <v>0</v>
      </c>
      <c r="T1697" s="960">
        <f t="shared" si="53"/>
        <v>0</v>
      </c>
      <c r="U1697" s="204" t="s">
        <v>34</v>
      </c>
      <c r="V1697" s="1067"/>
      <c r="W1697" s="303"/>
    </row>
    <row r="1698" spans="1:23" ht="22.95" customHeight="1" x14ac:dyDescent="0.4">
      <c r="A1698" s="788">
        <v>1697</v>
      </c>
      <c r="B1698" s="236" t="s">
        <v>2616</v>
      </c>
      <c r="C1698" s="236" t="s">
        <v>24</v>
      </c>
      <c r="D1698" s="1226">
        <v>4055</v>
      </c>
      <c r="E1698" s="236" t="s">
        <v>4460</v>
      </c>
      <c r="F1698" s="236" t="s">
        <v>4459</v>
      </c>
      <c r="G1698" s="1165">
        <v>3029</v>
      </c>
      <c r="H1698" s="236" t="s">
        <v>4373</v>
      </c>
      <c r="I1698" s="236" t="s">
        <v>4357</v>
      </c>
      <c r="J1698" s="187" t="s">
        <v>58</v>
      </c>
      <c r="K1698" s="187" t="s">
        <v>57</v>
      </c>
      <c r="L1698" s="1052">
        <v>1</v>
      </c>
      <c r="M1698" s="243"/>
      <c r="N1698" s="243" t="s">
        <v>4454</v>
      </c>
      <c r="O1698" s="1664" t="s">
        <v>4455</v>
      </c>
      <c r="P1698" s="855">
        <v>1</v>
      </c>
      <c r="Q1698" s="1052">
        <v>0.5</v>
      </c>
      <c r="R1698" s="855"/>
      <c r="S1698" s="855">
        <f t="shared" si="52"/>
        <v>0</v>
      </c>
      <c r="T1698" s="854">
        <f t="shared" si="53"/>
        <v>0</v>
      </c>
      <c r="U1698" s="855" t="s">
        <v>34</v>
      </c>
      <c r="V1698" s="1055">
        <f>SUM(T1698:T1702)%</f>
        <v>0</v>
      </c>
      <c r="W1698" s="295"/>
    </row>
    <row r="1699" spans="1:23" ht="22.95" customHeight="1" x14ac:dyDescent="0.4">
      <c r="A1699" s="788">
        <v>1698</v>
      </c>
      <c r="B1699" s="245" t="s">
        <v>2616</v>
      </c>
      <c r="C1699" s="245" t="s">
        <v>24</v>
      </c>
      <c r="D1699" s="1518">
        <v>4055</v>
      </c>
      <c r="E1699" s="245" t="s">
        <v>4460</v>
      </c>
      <c r="F1699" s="245" t="s">
        <v>4459</v>
      </c>
      <c r="G1699" s="1170">
        <v>3029</v>
      </c>
      <c r="H1699" s="245" t="s">
        <v>4373</v>
      </c>
      <c r="I1699" s="245" t="s">
        <v>4357</v>
      </c>
      <c r="J1699" s="692" t="s">
        <v>58</v>
      </c>
      <c r="K1699" s="692" t="s">
        <v>57</v>
      </c>
      <c r="L1699" s="1067">
        <v>1</v>
      </c>
      <c r="M1699" s="1712"/>
      <c r="N1699" s="1712" t="s">
        <v>4378</v>
      </c>
      <c r="O1699" s="1712" t="s">
        <v>4379</v>
      </c>
      <c r="P1699" s="204">
        <v>0.15</v>
      </c>
      <c r="Q1699" s="1067">
        <v>0.1</v>
      </c>
      <c r="R1699" s="204"/>
      <c r="S1699" s="204">
        <f t="shared" si="52"/>
        <v>0</v>
      </c>
      <c r="T1699" s="960">
        <f t="shared" si="53"/>
        <v>0</v>
      </c>
      <c r="U1699" s="204" t="s">
        <v>34</v>
      </c>
      <c r="V1699" s="1067"/>
      <c r="W1699" s="303"/>
    </row>
    <row r="1700" spans="1:23" ht="22.95" customHeight="1" x14ac:dyDescent="0.4">
      <c r="A1700" s="788">
        <v>1699</v>
      </c>
      <c r="B1700" s="245" t="s">
        <v>2616</v>
      </c>
      <c r="C1700" s="245" t="s">
        <v>24</v>
      </c>
      <c r="D1700" s="1518">
        <v>4055</v>
      </c>
      <c r="E1700" s="245" t="s">
        <v>4460</v>
      </c>
      <c r="F1700" s="245" t="s">
        <v>4459</v>
      </c>
      <c r="G1700" s="1170">
        <v>3029</v>
      </c>
      <c r="H1700" s="245" t="s">
        <v>4373</v>
      </c>
      <c r="I1700" s="245" t="s">
        <v>4357</v>
      </c>
      <c r="J1700" s="692" t="s">
        <v>58</v>
      </c>
      <c r="K1700" s="692" t="s">
        <v>57</v>
      </c>
      <c r="L1700" s="1067">
        <v>1</v>
      </c>
      <c r="M1700" s="959"/>
      <c r="N1700" s="959" t="s">
        <v>4380</v>
      </c>
      <c r="O1700" s="959" t="s">
        <v>4381</v>
      </c>
      <c r="P1700" s="204">
        <v>0.05</v>
      </c>
      <c r="Q1700" s="1067">
        <v>0.1</v>
      </c>
      <c r="R1700" s="204"/>
      <c r="S1700" s="204">
        <f t="shared" si="52"/>
        <v>0</v>
      </c>
      <c r="T1700" s="960">
        <f t="shared" si="53"/>
        <v>0</v>
      </c>
      <c r="U1700" s="204" t="s">
        <v>34</v>
      </c>
      <c r="V1700" s="1067"/>
      <c r="W1700" s="303"/>
    </row>
    <row r="1701" spans="1:23" ht="22.95" customHeight="1" x14ac:dyDescent="0.4">
      <c r="A1701" s="788">
        <v>1700</v>
      </c>
      <c r="B1701" s="245" t="s">
        <v>2616</v>
      </c>
      <c r="C1701" s="245" t="s">
        <v>24</v>
      </c>
      <c r="D1701" s="1518">
        <v>4055</v>
      </c>
      <c r="E1701" s="245" t="s">
        <v>4460</v>
      </c>
      <c r="F1701" s="245" t="s">
        <v>4459</v>
      </c>
      <c r="G1701" s="1170">
        <v>3029</v>
      </c>
      <c r="H1701" s="245" t="s">
        <v>4373</v>
      </c>
      <c r="I1701" s="245" t="s">
        <v>4357</v>
      </c>
      <c r="J1701" s="692" t="s">
        <v>58</v>
      </c>
      <c r="K1701" s="692" t="s">
        <v>57</v>
      </c>
      <c r="L1701" s="1067">
        <v>1</v>
      </c>
      <c r="M1701" s="1712"/>
      <c r="N1701" s="1712" t="s">
        <v>4456</v>
      </c>
      <c r="O1701" s="1712" t="s">
        <v>4383</v>
      </c>
      <c r="P1701" s="1713">
        <v>0.05</v>
      </c>
      <c r="Q1701" s="1067">
        <v>0.1</v>
      </c>
      <c r="R1701" s="1713"/>
      <c r="S1701" s="204">
        <f t="shared" si="52"/>
        <v>0</v>
      </c>
      <c r="T1701" s="960">
        <f t="shared" si="53"/>
        <v>0</v>
      </c>
      <c r="U1701" s="723" t="s">
        <v>83</v>
      </c>
      <c r="V1701" s="1067"/>
      <c r="W1701" s="303"/>
    </row>
    <row r="1702" spans="1:23" ht="22.95" customHeight="1" x14ac:dyDescent="0.4">
      <c r="A1702" s="788">
        <v>1701</v>
      </c>
      <c r="B1702" s="245" t="s">
        <v>2616</v>
      </c>
      <c r="C1702" s="245" t="s">
        <v>24</v>
      </c>
      <c r="D1702" s="1518">
        <v>4055</v>
      </c>
      <c r="E1702" s="245" t="s">
        <v>4460</v>
      </c>
      <c r="F1702" s="245" t="s">
        <v>4459</v>
      </c>
      <c r="G1702" s="1170">
        <v>3029</v>
      </c>
      <c r="H1702" s="245" t="s">
        <v>4373</v>
      </c>
      <c r="I1702" s="245" t="s">
        <v>4357</v>
      </c>
      <c r="J1702" s="692" t="s">
        <v>58</v>
      </c>
      <c r="K1702" s="692" t="s">
        <v>57</v>
      </c>
      <c r="L1702" s="1067">
        <v>1</v>
      </c>
      <c r="M1702" s="959"/>
      <c r="N1702" s="959" t="s">
        <v>212</v>
      </c>
      <c r="O1702" s="1712" t="s">
        <v>4457</v>
      </c>
      <c r="P1702" s="960">
        <v>3</v>
      </c>
      <c r="Q1702" s="1067">
        <v>0.2</v>
      </c>
      <c r="R1702" s="960"/>
      <c r="S1702" s="204">
        <f t="shared" si="52"/>
        <v>0</v>
      </c>
      <c r="T1702" s="960">
        <f t="shared" si="53"/>
        <v>0</v>
      </c>
      <c r="U1702" s="204" t="s">
        <v>34</v>
      </c>
      <c r="V1702" s="1067"/>
      <c r="W1702" s="303"/>
    </row>
    <row r="1703" spans="1:23" ht="22.95" customHeight="1" x14ac:dyDescent="0.4">
      <c r="A1703" s="788">
        <v>1702</v>
      </c>
      <c r="B1703" s="187" t="s">
        <v>2616</v>
      </c>
      <c r="C1703" s="1189" t="s">
        <v>24</v>
      </c>
      <c r="D1703" s="1714">
        <v>2491</v>
      </c>
      <c r="E1703" s="1189" t="s">
        <v>4461</v>
      </c>
      <c r="F1703" s="1189" t="s">
        <v>4462</v>
      </c>
      <c r="G1703" s="1715">
        <v>3192</v>
      </c>
      <c r="H1703" s="1189" t="s">
        <v>3380</v>
      </c>
      <c r="I1703" s="1189" t="s">
        <v>4463</v>
      </c>
      <c r="J1703" s="1716" t="s">
        <v>30</v>
      </c>
      <c r="K1703" s="1716" t="s">
        <v>29</v>
      </c>
      <c r="L1703" s="1717">
        <v>0.6</v>
      </c>
      <c r="M1703" s="1718" t="s">
        <v>2620</v>
      </c>
      <c r="N1703" s="1719" t="s">
        <v>2621</v>
      </c>
      <c r="O1703" s="1720"/>
      <c r="P1703" s="1720">
        <v>1856910.8756204764</v>
      </c>
      <c r="Q1703" s="1717">
        <v>0.15</v>
      </c>
      <c r="R1703" s="1720"/>
      <c r="S1703" s="1721">
        <f t="shared" si="52"/>
        <v>0</v>
      </c>
      <c r="T1703" s="1722">
        <f t="shared" si="53"/>
        <v>0</v>
      </c>
      <c r="U1703" s="1723" t="s">
        <v>34</v>
      </c>
      <c r="V1703" s="1724">
        <f>SUM(T1703:T1735)%</f>
        <v>0</v>
      </c>
      <c r="W1703" s="1189"/>
    </row>
    <row r="1704" spans="1:23" ht="22.95" customHeight="1" x14ac:dyDescent="0.4">
      <c r="A1704" s="788">
        <v>1703</v>
      </c>
      <c r="B1704" s="246" t="s">
        <v>2616</v>
      </c>
      <c r="C1704" s="199" t="s">
        <v>24</v>
      </c>
      <c r="D1704" s="1134">
        <v>2491</v>
      </c>
      <c r="E1704" s="246" t="s">
        <v>4461</v>
      </c>
      <c r="F1704" s="246" t="s">
        <v>4462</v>
      </c>
      <c r="G1704" s="679">
        <v>3192</v>
      </c>
      <c r="H1704" s="246" t="s">
        <v>3380</v>
      </c>
      <c r="I1704" s="246" t="s">
        <v>4463</v>
      </c>
      <c r="J1704" s="648" t="s">
        <v>30</v>
      </c>
      <c r="K1704" s="648" t="s">
        <v>29</v>
      </c>
      <c r="L1704" s="1063">
        <v>0.6</v>
      </c>
      <c r="M1704" s="1060" t="s">
        <v>2622</v>
      </c>
      <c r="N1704" s="1061" t="s">
        <v>2623</v>
      </c>
      <c r="O1704" s="1062"/>
      <c r="P1704" s="1062">
        <v>621419.69473720191</v>
      </c>
      <c r="Q1704" s="1063">
        <v>0.1</v>
      </c>
      <c r="R1704" s="1062"/>
      <c r="S1704" s="262">
        <f t="shared" si="52"/>
        <v>0</v>
      </c>
      <c r="T1704" s="263">
        <f t="shared" si="53"/>
        <v>0</v>
      </c>
      <c r="U1704" s="687" t="s">
        <v>34</v>
      </c>
      <c r="V1704" s="1725"/>
      <c r="W1704" s="246"/>
    </row>
    <row r="1705" spans="1:23" ht="22.95" customHeight="1" x14ac:dyDescent="0.4">
      <c r="A1705" s="788">
        <v>1704</v>
      </c>
      <c r="B1705" s="246" t="s">
        <v>2616</v>
      </c>
      <c r="C1705" s="199" t="s">
        <v>24</v>
      </c>
      <c r="D1705" s="1134">
        <v>2491</v>
      </c>
      <c r="E1705" s="246" t="s">
        <v>4461</v>
      </c>
      <c r="F1705" s="246" t="s">
        <v>4462</v>
      </c>
      <c r="G1705" s="679">
        <v>3192</v>
      </c>
      <c r="H1705" s="246" t="s">
        <v>3380</v>
      </c>
      <c r="I1705" s="246" t="s">
        <v>4463</v>
      </c>
      <c r="J1705" s="648" t="s">
        <v>30</v>
      </c>
      <c r="K1705" s="648" t="s">
        <v>29</v>
      </c>
      <c r="L1705" s="1063">
        <v>0.6</v>
      </c>
      <c r="M1705" s="1060" t="s">
        <v>2624</v>
      </c>
      <c r="N1705" s="1061" t="s">
        <v>2625</v>
      </c>
      <c r="O1705" s="1062"/>
      <c r="P1705" s="1062">
        <v>789737.85000000009</v>
      </c>
      <c r="Q1705" s="1063">
        <v>0.1</v>
      </c>
      <c r="R1705" s="1062"/>
      <c r="S1705" s="262">
        <f t="shared" si="52"/>
        <v>0</v>
      </c>
      <c r="T1705" s="263">
        <f t="shared" si="53"/>
        <v>0</v>
      </c>
      <c r="U1705" s="687" t="s">
        <v>34</v>
      </c>
      <c r="V1705" s="1725"/>
      <c r="W1705" s="246"/>
    </row>
    <row r="1706" spans="1:23" ht="22.95" customHeight="1" x14ac:dyDescent="0.4">
      <c r="A1706" s="788">
        <v>1705</v>
      </c>
      <c r="B1706" s="246" t="s">
        <v>2616</v>
      </c>
      <c r="C1706" s="199" t="s">
        <v>24</v>
      </c>
      <c r="D1706" s="1134">
        <v>2491</v>
      </c>
      <c r="E1706" s="246" t="s">
        <v>4461</v>
      </c>
      <c r="F1706" s="246" t="s">
        <v>4462</v>
      </c>
      <c r="G1706" s="679">
        <v>3192</v>
      </c>
      <c r="H1706" s="246" t="s">
        <v>3380</v>
      </c>
      <c r="I1706" s="246" t="s">
        <v>4463</v>
      </c>
      <c r="J1706" s="648" t="s">
        <v>30</v>
      </c>
      <c r="K1706" s="648" t="s">
        <v>29</v>
      </c>
      <c r="L1706" s="1063">
        <v>0.6</v>
      </c>
      <c r="M1706" s="1060" t="s">
        <v>2626</v>
      </c>
      <c r="N1706" s="1061" t="s">
        <v>2627</v>
      </c>
      <c r="O1706" s="1062"/>
      <c r="P1706" s="1062">
        <v>1406879.4938896229</v>
      </c>
      <c r="Q1706" s="1063">
        <v>0.05</v>
      </c>
      <c r="R1706" s="1062"/>
      <c r="S1706" s="262">
        <f t="shared" si="52"/>
        <v>0</v>
      </c>
      <c r="T1706" s="263">
        <f t="shared" si="53"/>
        <v>0</v>
      </c>
      <c r="U1706" s="687" t="s">
        <v>34</v>
      </c>
      <c r="V1706" s="1725"/>
      <c r="W1706" s="246"/>
    </row>
    <row r="1707" spans="1:23" ht="22.95" customHeight="1" x14ac:dyDescent="0.4">
      <c r="A1707" s="788">
        <v>1706</v>
      </c>
      <c r="B1707" s="246" t="s">
        <v>2616</v>
      </c>
      <c r="C1707" s="199" t="s">
        <v>24</v>
      </c>
      <c r="D1707" s="1134">
        <v>2491</v>
      </c>
      <c r="E1707" s="246" t="s">
        <v>4461</v>
      </c>
      <c r="F1707" s="246" t="s">
        <v>4462</v>
      </c>
      <c r="G1707" s="679">
        <v>3192</v>
      </c>
      <c r="H1707" s="246" t="s">
        <v>3380</v>
      </c>
      <c r="I1707" s="246" t="s">
        <v>4463</v>
      </c>
      <c r="J1707" s="648" t="s">
        <v>30</v>
      </c>
      <c r="K1707" s="648" t="s">
        <v>29</v>
      </c>
      <c r="L1707" s="1063">
        <v>0.6</v>
      </c>
      <c r="M1707" s="1060" t="s">
        <v>2628</v>
      </c>
      <c r="N1707" s="1061" t="s">
        <v>2629</v>
      </c>
      <c r="O1707" s="1062"/>
      <c r="P1707" s="1062">
        <v>48608.249727263406</v>
      </c>
      <c r="Q1707" s="1063">
        <v>0.01</v>
      </c>
      <c r="R1707" s="1062"/>
      <c r="S1707" s="262">
        <f t="shared" si="52"/>
        <v>0</v>
      </c>
      <c r="T1707" s="263">
        <f t="shared" si="53"/>
        <v>0</v>
      </c>
      <c r="U1707" s="687" t="s">
        <v>34</v>
      </c>
      <c r="V1707" s="1725"/>
      <c r="W1707" s="246"/>
    </row>
    <row r="1708" spans="1:23" ht="22.95" customHeight="1" x14ac:dyDescent="0.4">
      <c r="A1708" s="788">
        <v>1707</v>
      </c>
      <c r="B1708" s="246" t="s">
        <v>2616</v>
      </c>
      <c r="C1708" s="199" t="s">
        <v>24</v>
      </c>
      <c r="D1708" s="1134">
        <v>2491</v>
      </c>
      <c r="E1708" s="246" t="s">
        <v>4461</v>
      </c>
      <c r="F1708" s="246" t="s">
        <v>4462</v>
      </c>
      <c r="G1708" s="679">
        <v>3192</v>
      </c>
      <c r="H1708" s="246" t="s">
        <v>3380</v>
      </c>
      <c r="I1708" s="246" t="s">
        <v>4463</v>
      </c>
      <c r="J1708" s="648" t="s">
        <v>30</v>
      </c>
      <c r="K1708" s="648" t="s">
        <v>29</v>
      </c>
      <c r="L1708" s="1063">
        <v>0.6</v>
      </c>
      <c r="M1708" s="1060" t="s">
        <v>2630</v>
      </c>
      <c r="N1708" s="1061" t="s">
        <v>2631</v>
      </c>
      <c r="O1708" s="1062"/>
      <c r="P1708" s="1062">
        <v>48600000</v>
      </c>
      <c r="Q1708" s="1063">
        <v>0.03</v>
      </c>
      <c r="R1708" s="1062"/>
      <c r="S1708" s="262">
        <f t="shared" si="52"/>
        <v>0</v>
      </c>
      <c r="T1708" s="263">
        <f t="shared" si="53"/>
        <v>0</v>
      </c>
      <c r="U1708" s="687" t="s">
        <v>34</v>
      </c>
      <c r="V1708" s="1725"/>
      <c r="W1708" s="246"/>
    </row>
    <row r="1709" spans="1:23" ht="22.95" customHeight="1" x14ac:dyDescent="0.4">
      <c r="A1709" s="788">
        <v>1708</v>
      </c>
      <c r="B1709" s="246" t="s">
        <v>2616</v>
      </c>
      <c r="C1709" s="199" t="s">
        <v>24</v>
      </c>
      <c r="D1709" s="1134">
        <v>2491</v>
      </c>
      <c r="E1709" s="246" t="s">
        <v>4461</v>
      </c>
      <c r="F1709" s="246" t="s">
        <v>4462</v>
      </c>
      <c r="G1709" s="679">
        <v>3192</v>
      </c>
      <c r="H1709" s="246" t="s">
        <v>3380</v>
      </c>
      <c r="I1709" s="246" t="s">
        <v>4463</v>
      </c>
      <c r="J1709" s="648" t="s">
        <v>30</v>
      </c>
      <c r="K1709" s="648" t="s">
        <v>29</v>
      </c>
      <c r="L1709" s="1063">
        <v>0.6</v>
      </c>
      <c r="M1709" s="1060" t="s">
        <v>41</v>
      </c>
      <c r="N1709" s="1061" t="s">
        <v>2632</v>
      </c>
      <c r="O1709" s="1062"/>
      <c r="P1709" s="1062">
        <v>98000</v>
      </c>
      <c r="Q1709" s="1063">
        <v>0.01</v>
      </c>
      <c r="R1709" s="1062"/>
      <c r="S1709" s="262">
        <f t="shared" si="52"/>
        <v>0</v>
      </c>
      <c r="T1709" s="263">
        <f t="shared" si="53"/>
        <v>0</v>
      </c>
      <c r="U1709" s="687" t="s">
        <v>34</v>
      </c>
      <c r="V1709" s="1725"/>
      <c r="W1709" s="246"/>
    </row>
    <row r="1710" spans="1:23" ht="22.95" customHeight="1" x14ac:dyDescent="0.4">
      <c r="A1710" s="788">
        <v>1709</v>
      </c>
      <c r="B1710" s="246" t="s">
        <v>2616</v>
      </c>
      <c r="C1710" s="199" t="s">
        <v>24</v>
      </c>
      <c r="D1710" s="1134">
        <v>2491</v>
      </c>
      <c r="E1710" s="246" t="s">
        <v>4461</v>
      </c>
      <c r="F1710" s="246" t="s">
        <v>4462</v>
      </c>
      <c r="G1710" s="679">
        <v>3192</v>
      </c>
      <c r="H1710" s="246" t="s">
        <v>3380</v>
      </c>
      <c r="I1710" s="246" t="s">
        <v>4463</v>
      </c>
      <c r="J1710" s="648" t="s">
        <v>30</v>
      </c>
      <c r="K1710" s="648" t="s">
        <v>29</v>
      </c>
      <c r="L1710" s="1063">
        <v>0.6</v>
      </c>
      <c r="M1710" s="1060" t="s">
        <v>2633</v>
      </c>
      <c r="N1710" s="1061" t="s">
        <v>2634</v>
      </c>
      <c r="O1710" s="1062"/>
      <c r="P1710" s="1062">
        <v>42860.330649873424</v>
      </c>
      <c r="Q1710" s="1063">
        <v>0.02</v>
      </c>
      <c r="R1710" s="1062"/>
      <c r="S1710" s="262">
        <f t="shared" si="52"/>
        <v>0</v>
      </c>
      <c r="T1710" s="263">
        <f t="shared" si="53"/>
        <v>0</v>
      </c>
      <c r="U1710" s="687" t="s">
        <v>34</v>
      </c>
      <c r="V1710" s="1725"/>
      <c r="W1710" s="246"/>
    </row>
    <row r="1711" spans="1:23" ht="22.95" customHeight="1" x14ac:dyDescent="0.4">
      <c r="A1711" s="788">
        <v>1710</v>
      </c>
      <c r="B1711" s="246" t="s">
        <v>2616</v>
      </c>
      <c r="C1711" s="199" t="s">
        <v>24</v>
      </c>
      <c r="D1711" s="1134">
        <v>2491</v>
      </c>
      <c r="E1711" s="246" t="s">
        <v>4461</v>
      </c>
      <c r="F1711" s="246" t="s">
        <v>4462</v>
      </c>
      <c r="G1711" s="679">
        <v>3192</v>
      </c>
      <c r="H1711" s="246" t="s">
        <v>3380</v>
      </c>
      <c r="I1711" s="246" t="s">
        <v>4463</v>
      </c>
      <c r="J1711" s="648" t="s">
        <v>30</v>
      </c>
      <c r="K1711" s="648" t="s">
        <v>29</v>
      </c>
      <c r="L1711" s="1063">
        <v>0.6</v>
      </c>
      <c r="M1711" s="1060" t="s">
        <v>2635</v>
      </c>
      <c r="N1711" s="1061" t="s">
        <v>2636</v>
      </c>
      <c r="O1711" s="1062"/>
      <c r="P1711" s="1062">
        <v>1822851.8475738494</v>
      </c>
      <c r="Q1711" s="1063">
        <v>0.15</v>
      </c>
      <c r="R1711" s="1062"/>
      <c r="S1711" s="262">
        <f t="shared" si="52"/>
        <v>0</v>
      </c>
      <c r="T1711" s="263">
        <f t="shared" si="53"/>
        <v>0</v>
      </c>
      <c r="U1711" s="687" t="s">
        <v>34</v>
      </c>
      <c r="V1711" s="1725"/>
      <c r="W1711" s="246"/>
    </row>
    <row r="1712" spans="1:23" ht="22.95" customHeight="1" x14ac:dyDescent="0.4">
      <c r="A1712" s="788">
        <v>1711</v>
      </c>
      <c r="B1712" s="246" t="s">
        <v>2616</v>
      </c>
      <c r="C1712" s="199" t="s">
        <v>24</v>
      </c>
      <c r="D1712" s="1134">
        <v>2491</v>
      </c>
      <c r="E1712" s="246" t="s">
        <v>4461</v>
      </c>
      <c r="F1712" s="246" t="s">
        <v>4462</v>
      </c>
      <c r="G1712" s="679">
        <v>3192</v>
      </c>
      <c r="H1712" s="246" t="s">
        <v>3380</v>
      </c>
      <c r="I1712" s="246" t="s">
        <v>4463</v>
      </c>
      <c r="J1712" s="648" t="s">
        <v>30</v>
      </c>
      <c r="K1712" s="648" t="s">
        <v>29</v>
      </c>
      <c r="L1712" s="1063">
        <v>0.6</v>
      </c>
      <c r="M1712" s="1060" t="s">
        <v>2637</v>
      </c>
      <c r="N1712" s="1061" t="s">
        <v>2638</v>
      </c>
      <c r="O1712" s="1062"/>
      <c r="P1712" s="1062">
        <v>632149.86058619968</v>
      </c>
      <c r="Q1712" s="1063">
        <v>0.1</v>
      </c>
      <c r="R1712" s="1062"/>
      <c r="S1712" s="262">
        <f t="shared" si="52"/>
        <v>0</v>
      </c>
      <c r="T1712" s="263">
        <f t="shared" si="53"/>
        <v>0</v>
      </c>
      <c r="U1712" s="687" t="s">
        <v>34</v>
      </c>
      <c r="V1712" s="1725"/>
      <c r="W1712" s="246"/>
    </row>
    <row r="1713" spans="1:23" ht="22.95" customHeight="1" x14ac:dyDescent="0.4">
      <c r="A1713" s="788">
        <v>1712</v>
      </c>
      <c r="B1713" s="246" t="s">
        <v>2616</v>
      </c>
      <c r="C1713" s="199" t="s">
        <v>24</v>
      </c>
      <c r="D1713" s="1134">
        <v>2491</v>
      </c>
      <c r="E1713" s="246" t="s">
        <v>4461</v>
      </c>
      <c r="F1713" s="246" t="s">
        <v>4462</v>
      </c>
      <c r="G1713" s="679">
        <v>3192</v>
      </c>
      <c r="H1713" s="246" t="s">
        <v>3380</v>
      </c>
      <c r="I1713" s="246" t="s">
        <v>4463</v>
      </c>
      <c r="J1713" s="648" t="s">
        <v>30</v>
      </c>
      <c r="K1713" s="648" t="s">
        <v>29</v>
      </c>
      <c r="L1713" s="1063">
        <v>0.6</v>
      </c>
      <c r="M1713" s="1060" t="s">
        <v>2639</v>
      </c>
      <c r="N1713" s="1061" t="s">
        <v>2640</v>
      </c>
      <c r="O1713" s="1062"/>
      <c r="P1713" s="1062">
        <v>1582673.167066941</v>
      </c>
      <c r="Q1713" s="1063">
        <v>0.05</v>
      </c>
      <c r="R1713" s="1062"/>
      <c r="S1713" s="262">
        <f t="shared" si="52"/>
        <v>0</v>
      </c>
      <c r="T1713" s="263">
        <f t="shared" si="53"/>
        <v>0</v>
      </c>
      <c r="U1713" s="687" t="s">
        <v>34</v>
      </c>
      <c r="V1713" s="1725"/>
      <c r="W1713" s="246"/>
    </row>
    <row r="1714" spans="1:23" ht="22.95" customHeight="1" x14ac:dyDescent="0.4">
      <c r="A1714" s="788">
        <v>1713</v>
      </c>
      <c r="B1714" s="246" t="s">
        <v>2616</v>
      </c>
      <c r="C1714" s="199" t="s">
        <v>24</v>
      </c>
      <c r="D1714" s="1134">
        <v>2491</v>
      </c>
      <c r="E1714" s="246" t="s">
        <v>4461</v>
      </c>
      <c r="F1714" s="246" t="s">
        <v>4462</v>
      </c>
      <c r="G1714" s="679">
        <v>3192</v>
      </c>
      <c r="H1714" s="246" t="s">
        <v>3380</v>
      </c>
      <c r="I1714" s="246" t="s">
        <v>4463</v>
      </c>
      <c r="J1714" s="648" t="s">
        <v>30</v>
      </c>
      <c r="K1714" s="648" t="s">
        <v>29</v>
      </c>
      <c r="L1714" s="1063">
        <v>0.6</v>
      </c>
      <c r="M1714" s="1060" t="s">
        <v>2641</v>
      </c>
      <c r="N1714" s="1061" t="s">
        <v>2642</v>
      </c>
      <c r="O1714" s="1062"/>
      <c r="P1714" s="1062">
        <v>52500</v>
      </c>
      <c r="Q1714" s="1063">
        <v>0.01</v>
      </c>
      <c r="R1714" s="1062"/>
      <c r="S1714" s="262">
        <f t="shared" si="52"/>
        <v>0</v>
      </c>
      <c r="T1714" s="263">
        <f t="shared" si="53"/>
        <v>0</v>
      </c>
      <c r="U1714" s="687" t="s">
        <v>34</v>
      </c>
      <c r="V1714" s="1725"/>
      <c r="W1714" s="246"/>
    </row>
    <row r="1715" spans="1:23" ht="22.95" customHeight="1" x14ac:dyDescent="0.4">
      <c r="A1715" s="788">
        <v>1714</v>
      </c>
      <c r="B1715" s="246" t="s">
        <v>2616</v>
      </c>
      <c r="C1715" s="199" t="s">
        <v>24</v>
      </c>
      <c r="D1715" s="1134">
        <v>2491</v>
      </c>
      <c r="E1715" s="246" t="s">
        <v>4461</v>
      </c>
      <c r="F1715" s="246" t="s">
        <v>4462</v>
      </c>
      <c r="G1715" s="679">
        <v>3192</v>
      </c>
      <c r="H1715" s="246" t="s">
        <v>3380</v>
      </c>
      <c r="I1715" s="246" t="s">
        <v>4463</v>
      </c>
      <c r="J1715" s="648" t="s">
        <v>30</v>
      </c>
      <c r="K1715" s="648" t="s">
        <v>29</v>
      </c>
      <c r="L1715" s="1063">
        <v>0.6</v>
      </c>
      <c r="M1715" s="1060" t="s">
        <v>2643</v>
      </c>
      <c r="N1715" s="1061" t="s">
        <v>2644</v>
      </c>
      <c r="O1715" s="1062"/>
      <c r="P1715" s="1062">
        <v>28325616.5089917</v>
      </c>
      <c r="Q1715" s="1063">
        <v>0.03</v>
      </c>
      <c r="R1715" s="1062"/>
      <c r="S1715" s="262">
        <f t="shared" si="52"/>
        <v>0</v>
      </c>
      <c r="T1715" s="263">
        <f t="shared" si="53"/>
        <v>0</v>
      </c>
      <c r="U1715" s="687" t="s">
        <v>34</v>
      </c>
      <c r="V1715" s="1725"/>
      <c r="W1715" s="246"/>
    </row>
    <row r="1716" spans="1:23" ht="22.95" customHeight="1" x14ac:dyDescent="0.4">
      <c r="A1716" s="788">
        <v>1715</v>
      </c>
      <c r="B1716" s="246" t="s">
        <v>2616</v>
      </c>
      <c r="C1716" s="199" t="s">
        <v>24</v>
      </c>
      <c r="D1716" s="1134">
        <v>2491</v>
      </c>
      <c r="E1716" s="246" t="s">
        <v>4461</v>
      </c>
      <c r="F1716" s="246" t="s">
        <v>4462</v>
      </c>
      <c r="G1716" s="679">
        <v>3192</v>
      </c>
      <c r="H1716" s="246" t="s">
        <v>3380</v>
      </c>
      <c r="I1716" s="246" t="s">
        <v>4463</v>
      </c>
      <c r="J1716" s="648" t="s">
        <v>30</v>
      </c>
      <c r="K1716" s="648" t="s">
        <v>29</v>
      </c>
      <c r="L1716" s="1063">
        <v>0.6</v>
      </c>
      <c r="M1716" s="1060" t="s">
        <v>51</v>
      </c>
      <c r="N1716" s="1061" t="s">
        <v>2645</v>
      </c>
      <c r="O1716" s="1062"/>
      <c r="P1716" s="1062">
        <v>350000</v>
      </c>
      <c r="Q1716" s="1063">
        <v>0.01</v>
      </c>
      <c r="R1716" s="1062"/>
      <c r="S1716" s="262">
        <f t="shared" si="52"/>
        <v>0</v>
      </c>
      <c r="T1716" s="263">
        <f t="shared" si="53"/>
        <v>0</v>
      </c>
      <c r="U1716" s="687" t="s">
        <v>34</v>
      </c>
      <c r="V1716" s="1725"/>
      <c r="W1716" s="246"/>
    </row>
    <row r="1717" spans="1:23" ht="22.95" customHeight="1" x14ac:dyDescent="0.4">
      <c r="A1717" s="788">
        <v>1716</v>
      </c>
      <c r="B1717" s="246" t="s">
        <v>2616</v>
      </c>
      <c r="C1717" s="199" t="s">
        <v>24</v>
      </c>
      <c r="D1717" s="1134">
        <v>2491</v>
      </c>
      <c r="E1717" s="246" t="s">
        <v>4461</v>
      </c>
      <c r="F1717" s="246" t="s">
        <v>4462</v>
      </c>
      <c r="G1717" s="679">
        <v>3192</v>
      </c>
      <c r="H1717" s="246" t="s">
        <v>3380</v>
      </c>
      <c r="I1717" s="246" t="s">
        <v>4463</v>
      </c>
      <c r="J1717" s="648" t="s">
        <v>30</v>
      </c>
      <c r="K1717" s="648" t="s">
        <v>29</v>
      </c>
      <c r="L1717" s="1063">
        <v>0.6</v>
      </c>
      <c r="M1717" s="1060" t="s">
        <v>2646</v>
      </c>
      <c r="N1717" s="1061" t="s">
        <v>2647</v>
      </c>
      <c r="O1717" s="1062"/>
      <c r="P1717" s="1062">
        <v>12008.568758934001</v>
      </c>
      <c r="Q1717" s="1063">
        <v>0.01</v>
      </c>
      <c r="R1717" s="1062"/>
      <c r="S1717" s="262">
        <f t="shared" si="52"/>
        <v>0</v>
      </c>
      <c r="T1717" s="263">
        <f t="shared" si="53"/>
        <v>0</v>
      </c>
      <c r="U1717" s="687" t="s">
        <v>34</v>
      </c>
      <c r="V1717" s="1725"/>
      <c r="W1717" s="246"/>
    </row>
    <row r="1718" spans="1:23" ht="22.95" customHeight="1" x14ac:dyDescent="0.4">
      <c r="A1718" s="788">
        <v>1717</v>
      </c>
      <c r="B1718" s="246" t="s">
        <v>2616</v>
      </c>
      <c r="C1718" s="199" t="s">
        <v>24</v>
      </c>
      <c r="D1718" s="1134">
        <v>2491</v>
      </c>
      <c r="E1718" s="246" t="s">
        <v>4461</v>
      </c>
      <c r="F1718" s="246" t="s">
        <v>4462</v>
      </c>
      <c r="G1718" s="679">
        <v>3192</v>
      </c>
      <c r="H1718" s="246" t="s">
        <v>3380</v>
      </c>
      <c r="I1718" s="246" t="s">
        <v>4463</v>
      </c>
      <c r="J1718" s="648" t="s">
        <v>30</v>
      </c>
      <c r="K1718" s="648" t="s">
        <v>29</v>
      </c>
      <c r="L1718" s="1063">
        <v>0.6</v>
      </c>
      <c r="M1718" s="1060" t="s">
        <v>2648</v>
      </c>
      <c r="N1718" s="1061" t="s">
        <v>2649</v>
      </c>
      <c r="O1718" s="799"/>
      <c r="P1718" s="1065">
        <v>0.25021096971668699</v>
      </c>
      <c r="Q1718" s="1063">
        <v>0.1</v>
      </c>
      <c r="R1718" s="1065"/>
      <c r="S1718" s="262">
        <f t="shared" si="52"/>
        <v>0</v>
      </c>
      <c r="T1718" s="263">
        <f t="shared" si="53"/>
        <v>0</v>
      </c>
      <c r="U1718" s="687" t="s">
        <v>34</v>
      </c>
      <c r="V1718" s="1725"/>
      <c r="W1718" s="246"/>
    </row>
    <row r="1719" spans="1:23" ht="22.95" customHeight="1" x14ac:dyDescent="0.4">
      <c r="A1719" s="788">
        <v>1718</v>
      </c>
      <c r="B1719" s="246" t="s">
        <v>2616</v>
      </c>
      <c r="C1719" s="199" t="s">
        <v>24</v>
      </c>
      <c r="D1719" s="1134">
        <v>2491</v>
      </c>
      <c r="E1719" s="246" t="s">
        <v>4461</v>
      </c>
      <c r="F1719" s="246" t="s">
        <v>4462</v>
      </c>
      <c r="G1719" s="679">
        <v>3192</v>
      </c>
      <c r="H1719" s="246" t="s">
        <v>3380</v>
      </c>
      <c r="I1719" s="246" t="s">
        <v>4463</v>
      </c>
      <c r="J1719" s="648" t="s">
        <v>30</v>
      </c>
      <c r="K1719" s="648" t="s">
        <v>29</v>
      </c>
      <c r="L1719" s="1063">
        <v>0.6</v>
      </c>
      <c r="M1719" s="1060" t="s">
        <v>2650</v>
      </c>
      <c r="N1719" s="1061" t="s">
        <v>2651</v>
      </c>
      <c r="O1719" s="799"/>
      <c r="P1719" s="1065">
        <v>0.12657225245499898</v>
      </c>
      <c r="Q1719" s="1063">
        <v>7.0000000000000007E-2</v>
      </c>
      <c r="R1719" s="1065"/>
      <c r="S1719" s="262">
        <f t="shared" si="52"/>
        <v>0</v>
      </c>
      <c r="T1719" s="263">
        <f t="shared" si="53"/>
        <v>0</v>
      </c>
      <c r="U1719" s="687" t="s">
        <v>34</v>
      </c>
      <c r="V1719" s="1725"/>
      <c r="W1719" s="246"/>
    </row>
    <row r="1720" spans="1:23" ht="22.95" customHeight="1" x14ac:dyDescent="0.4">
      <c r="A1720" s="788">
        <v>1719</v>
      </c>
      <c r="B1720" s="246" t="s">
        <v>2616</v>
      </c>
      <c r="C1720" s="199" t="s">
        <v>24</v>
      </c>
      <c r="D1720" s="1134">
        <v>2491</v>
      </c>
      <c r="E1720" s="246" t="s">
        <v>4461</v>
      </c>
      <c r="F1720" s="246" t="s">
        <v>4462</v>
      </c>
      <c r="G1720" s="679">
        <v>3192</v>
      </c>
      <c r="H1720" s="246" t="s">
        <v>3380</v>
      </c>
      <c r="I1720" s="246" t="s">
        <v>4463</v>
      </c>
      <c r="J1720" s="79" t="s">
        <v>4464</v>
      </c>
      <c r="K1720" s="79" t="s">
        <v>4465</v>
      </c>
      <c r="L1720" s="1196">
        <v>0.4</v>
      </c>
      <c r="M1720" s="756" t="s">
        <v>4466</v>
      </c>
      <c r="N1720" s="757" t="s">
        <v>4467</v>
      </c>
      <c r="O1720" s="757"/>
      <c r="P1720" s="208">
        <v>1</v>
      </c>
      <c r="Q1720" s="1196">
        <v>0.08</v>
      </c>
      <c r="R1720" s="208"/>
      <c r="S1720" s="206">
        <f t="shared" si="52"/>
        <v>0</v>
      </c>
      <c r="T1720" s="207">
        <f t="shared" si="53"/>
        <v>0</v>
      </c>
      <c r="U1720" s="208" t="s">
        <v>34</v>
      </c>
      <c r="V1720" s="1486"/>
      <c r="W1720" s="246"/>
    </row>
    <row r="1721" spans="1:23" ht="22.95" customHeight="1" x14ac:dyDescent="0.4">
      <c r="A1721" s="788">
        <v>1720</v>
      </c>
      <c r="B1721" s="246" t="s">
        <v>2616</v>
      </c>
      <c r="C1721" s="199" t="s">
        <v>24</v>
      </c>
      <c r="D1721" s="1134">
        <v>2491</v>
      </c>
      <c r="E1721" s="246" t="s">
        <v>4461</v>
      </c>
      <c r="F1721" s="246" t="s">
        <v>4462</v>
      </c>
      <c r="G1721" s="679">
        <v>3192</v>
      </c>
      <c r="H1721" s="246" t="s">
        <v>3380</v>
      </c>
      <c r="I1721" s="246" t="s">
        <v>4463</v>
      </c>
      <c r="J1721" s="79" t="s">
        <v>4464</v>
      </c>
      <c r="K1721" s="79" t="s">
        <v>4465</v>
      </c>
      <c r="L1721" s="1196">
        <v>0.4</v>
      </c>
      <c r="M1721" s="756" t="s">
        <v>4468</v>
      </c>
      <c r="N1721" s="757" t="s">
        <v>4469</v>
      </c>
      <c r="O1721" s="757"/>
      <c r="P1721" s="208">
        <v>1</v>
      </c>
      <c r="Q1721" s="1196">
        <v>0.06</v>
      </c>
      <c r="R1721" s="208"/>
      <c r="S1721" s="206">
        <f t="shared" si="52"/>
        <v>0</v>
      </c>
      <c r="T1721" s="207">
        <f t="shared" si="53"/>
        <v>0</v>
      </c>
      <c r="U1721" s="208" t="s">
        <v>34</v>
      </c>
      <c r="V1721" s="1486"/>
      <c r="W1721" s="246"/>
    </row>
    <row r="1722" spans="1:23" ht="22.95" customHeight="1" x14ac:dyDescent="0.4">
      <c r="A1722" s="788">
        <v>1721</v>
      </c>
      <c r="B1722" s="246" t="s">
        <v>2616</v>
      </c>
      <c r="C1722" s="199" t="s">
        <v>24</v>
      </c>
      <c r="D1722" s="1134">
        <v>2491</v>
      </c>
      <c r="E1722" s="246" t="s">
        <v>4461</v>
      </c>
      <c r="F1722" s="246" t="s">
        <v>4462</v>
      </c>
      <c r="G1722" s="679">
        <v>3192</v>
      </c>
      <c r="H1722" s="246" t="s">
        <v>3380</v>
      </c>
      <c r="I1722" s="246" t="s">
        <v>4463</v>
      </c>
      <c r="J1722" s="79" t="s">
        <v>4464</v>
      </c>
      <c r="K1722" s="79" t="s">
        <v>4465</v>
      </c>
      <c r="L1722" s="1196">
        <v>0.4</v>
      </c>
      <c r="M1722" s="756" t="s">
        <v>4470</v>
      </c>
      <c r="N1722" s="757" t="s">
        <v>4471</v>
      </c>
      <c r="O1722" s="757"/>
      <c r="P1722" s="208">
        <v>1</v>
      </c>
      <c r="Q1722" s="1196">
        <v>0.06</v>
      </c>
      <c r="R1722" s="208"/>
      <c r="S1722" s="206">
        <f t="shared" si="52"/>
        <v>0</v>
      </c>
      <c r="T1722" s="207">
        <f t="shared" si="53"/>
        <v>0</v>
      </c>
      <c r="U1722" s="208" t="s">
        <v>34</v>
      </c>
      <c r="V1722" s="1486"/>
      <c r="W1722" s="246"/>
    </row>
    <row r="1723" spans="1:23" ht="22.95" customHeight="1" x14ac:dyDescent="0.4">
      <c r="A1723" s="788">
        <v>1722</v>
      </c>
      <c r="B1723" s="246" t="s">
        <v>2616</v>
      </c>
      <c r="C1723" s="199" t="s">
        <v>24</v>
      </c>
      <c r="D1723" s="1134">
        <v>2491</v>
      </c>
      <c r="E1723" s="246" t="s">
        <v>4461</v>
      </c>
      <c r="F1723" s="246" t="s">
        <v>4462</v>
      </c>
      <c r="G1723" s="679">
        <v>3192</v>
      </c>
      <c r="H1723" s="246" t="s">
        <v>3380</v>
      </c>
      <c r="I1723" s="246" t="s">
        <v>4463</v>
      </c>
      <c r="J1723" s="79" t="s">
        <v>4464</v>
      </c>
      <c r="K1723" s="79" t="s">
        <v>4465</v>
      </c>
      <c r="L1723" s="1196">
        <v>0.4</v>
      </c>
      <c r="M1723" s="756" t="s">
        <v>4472</v>
      </c>
      <c r="N1723" s="757" t="s">
        <v>4473</v>
      </c>
      <c r="O1723" s="757"/>
      <c r="P1723" s="208">
        <v>1</v>
      </c>
      <c r="Q1723" s="1196">
        <v>0.05</v>
      </c>
      <c r="R1723" s="208"/>
      <c r="S1723" s="206">
        <f t="shared" si="52"/>
        <v>0</v>
      </c>
      <c r="T1723" s="207">
        <f t="shared" si="53"/>
        <v>0</v>
      </c>
      <c r="U1723" s="208" t="s">
        <v>34</v>
      </c>
      <c r="V1723" s="1486"/>
      <c r="W1723" s="246"/>
    </row>
    <row r="1724" spans="1:23" ht="22.95" customHeight="1" x14ac:dyDescent="0.4">
      <c r="A1724" s="788">
        <v>1723</v>
      </c>
      <c r="B1724" s="246" t="s">
        <v>2616</v>
      </c>
      <c r="C1724" s="199" t="s">
        <v>24</v>
      </c>
      <c r="D1724" s="1134">
        <v>2491</v>
      </c>
      <c r="E1724" s="246" t="s">
        <v>4461</v>
      </c>
      <c r="F1724" s="246" t="s">
        <v>4462</v>
      </c>
      <c r="G1724" s="679">
        <v>3192</v>
      </c>
      <c r="H1724" s="246" t="s">
        <v>3380</v>
      </c>
      <c r="I1724" s="246" t="s">
        <v>4463</v>
      </c>
      <c r="J1724" s="79" t="s">
        <v>4464</v>
      </c>
      <c r="K1724" s="79" t="s">
        <v>4465</v>
      </c>
      <c r="L1724" s="1196">
        <v>0.4</v>
      </c>
      <c r="M1724" s="756" t="s">
        <v>4474</v>
      </c>
      <c r="N1724" s="757" t="s">
        <v>4475</v>
      </c>
      <c r="O1724" s="757"/>
      <c r="P1724" s="208">
        <v>1</v>
      </c>
      <c r="Q1724" s="1196">
        <v>0.03</v>
      </c>
      <c r="R1724" s="208"/>
      <c r="S1724" s="206">
        <f t="shared" si="52"/>
        <v>0</v>
      </c>
      <c r="T1724" s="207">
        <f t="shared" si="53"/>
        <v>0</v>
      </c>
      <c r="U1724" s="208" t="s">
        <v>34</v>
      </c>
      <c r="V1724" s="1486"/>
      <c r="W1724" s="246"/>
    </row>
    <row r="1725" spans="1:23" ht="22.95" customHeight="1" x14ac:dyDescent="0.4">
      <c r="A1725" s="788">
        <v>1724</v>
      </c>
      <c r="B1725" s="246" t="s">
        <v>2616</v>
      </c>
      <c r="C1725" s="199" t="s">
        <v>24</v>
      </c>
      <c r="D1725" s="1134">
        <v>2491</v>
      </c>
      <c r="E1725" s="246" t="s">
        <v>4461</v>
      </c>
      <c r="F1725" s="246" t="s">
        <v>4462</v>
      </c>
      <c r="G1725" s="679">
        <v>3192</v>
      </c>
      <c r="H1725" s="246" t="s">
        <v>3380</v>
      </c>
      <c r="I1725" s="246" t="s">
        <v>4463</v>
      </c>
      <c r="J1725" s="79" t="s">
        <v>4464</v>
      </c>
      <c r="K1725" s="79" t="s">
        <v>4465</v>
      </c>
      <c r="L1725" s="1196">
        <v>0.4</v>
      </c>
      <c r="M1725" s="756" t="s">
        <v>4476</v>
      </c>
      <c r="N1725" s="757" t="s">
        <v>4477</v>
      </c>
      <c r="O1725" s="757" t="s">
        <v>4478</v>
      </c>
      <c r="P1725" s="255">
        <v>75</v>
      </c>
      <c r="Q1725" s="1196">
        <v>0.06</v>
      </c>
      <c r="R1725" s="255"/>
      <c r="S1725" s="206">
        <f t="shared" si="52"/>
        <v>0</v>
      </c>
      <c r="T1725" s="207">
        <f t="shared" si="53"/>
        <v>0</v>
      </c>
      <c r="U1725" s="208" t="s">
        <v>34</v>
      </c>
      <c r="V1725" s="1486"/>
      <c r="W1725" s="246"/>
    </row>
    <row r="1726" spans="1:23" ht="22.95" customHeight="1" x14ac:dyDescent="0.4">
      <c r="A1726" s="788">
        <v>1725</v>
      </c>
      <c r="B1726" s="246" t="s">
        <v>2616</v>
      </c>
      <c r="C1726" s="199" t="s">
        <v>24</v>
      </c>
      <c r="D1726" s="1134">
        <v>2491</v>
      </c>
      <c r="E1726" s="246" t="s">
        <v>4461</v>
      </c>
      <c r="F1726" s="246" t="s">
        <v>4462</v>
      </c>
      <c r="G1726" s="679">
        <v>3192</v>
      </c>
      <c r="H1726" s="246" t="s">
        <v>3380</v>
      </c>
      <c r="I1726" s="246" t="s">
        <v>4463</v>
      </c>
      <c r="J1726" s="79" t="s">
        <v>4464</v>
      </c>
      <c r="K1726" s="79" t="s">
        <v>4465</v>
      </c>
      <c r="L1726" s="1196">
        <v>0.4</v>
      </c>
      <c r="M1726" s="756" t="s">
        <v>4479</v>
      </c>
      <c r="N1726" s="757" t="s">
        <v>4480</v>
      </c>
      <c r="O1726" s="757"/>
      <c r="P1726" s="208">
        <v>1</v>
      </c>
      <c r="Q1726" s="1196">
        <v>0.09</v>
      </c>
      <c r="R1726" s="208"/>
      <c r="S1726" s="206">
        <f t="shared" si="52"/>
        <v>0</v>
      </c>
      <c r="T1726" s="207">
        <f t="shared" si="53"/>
        <v>0</v>
      </c>
      <c r="U1726" s="208" t="s">
        <v>34</v>
      </c>
      <c r="V1726" s="1486"/>
      <c r="W1726" s="246"/>
    </row>
    <row r="1727" spans="1:23" ht="22.95" customHeight="1" x14ac:dyDescent="0.4">
      <c r="A1727" s="788">
        <v>1726</v>
      </c>
      <c r="B1727" s="246" t="s">
        <v>2616</v>
      </c>
      <c r="C1727" s="199" t="s">
        <v>24</v>
      </c>
      <c r="D1727" s="1134">
        <v>2491</v>
      </c>
      <c r="E1727" s="246" t="s">
        <v>4461</v>
      </c>
      <c r="F1727" s="246" t="s">
        <v>4462</v>
      </c>
      <c r="G1727" s="679">
        <v>3192</v>
      </c>
      <c r="H1727" s="246" t="s">
        <v>3380</v>
      </c>
      <c r="I1727" s="246" t="s">
        <v>4463</v>
      </c>
      <c r="J1727" s="79" t="s">
        <v>4464</v>
      </c>
      <c r="K1727" s="79" t="s">
        <v>4465</v>
      </c>
      <c r="L1727" s="1196">
        <v>0.4</v>
      </c>
      <c r="M1727" s="756" t="s">
        <v>4481</v>
      </c>
      <c r="N1727" s="757" t="s">
        <v>4482</v>
      </c>
      <c r="O1727" s="757"/>
      <c r="P1727" s="208">
        <v>1</v>
      </c>
      <c r="Q1727" s="1196">
        <v>0.06</v>
      </c>
      <c r="R1727" s="208"/>
      <c r="S1727" s="206">
        <f t="shared" si="52"/>
        <v>0</v>
      </c>
      <c r="T1727" s="207">
        <f t="shared" si="53"/>
        <v>0</v>
      </c>
      <c r="U1727" s="208" t="s">
        <v>34</v>
      </c>
      <c r="V1727" s="1486"/>
      <c r="W1727" s="246"/>
    </row>
    <row r="1728" spans="1:23" ht="22.95" customHeight="1" x14ac:dyDescent="0.4">
      <c r="A1728" s="788">
        <v>1727</v>
      </c>
      <c r="B1728" s="246" t="s">
        <v>2616</v>
      </c>
      <c r="C1728" s="199" t="s">
        <v>24</v>
      </c>
      <c r="D1728" s="1134">
        <v>2491</v>
      </c>
      <c r="E1728" s="246" t="s">
        <v>4461</v>
      </c>
      <c r="F1728" s="246" t="s">
        <v>4462</v>
      </c>
      <c r="G1728" s="679">
        <v>3192</v>
      </c>
      <c r="H1728" s="246" t="s">
        <v>3380</v>
      </c>
      <c r="I1728" s="246" t="s">
        <v>4463</v>
      </c>
      <c r="J1728" s="79" t="s">
        <v>4464</v>
      </c>
      <c r="K1728" s="79" t="s">
        <v>4465</v>
      </c>
      <c r="L1728" s="1196">
        <v>0.4</v>
      </c>
      <c r="M1728" s="756" t="s">
        <v>4483</v>
      </c>
      <c r="N1728" s="757" t="s">
        <v>4484</v>
      </c>
      <c r="O1728" s="757" t="s">
        <v>4485</v>
      </c>
      <c r="P1728" s="255">
        <v>15</v>
      </c>
      <c r="Q1728" s="1196">
        <v>0.05</v>
      </c>
      <c r="R1728" s="255"/>
      <c r="S1728" s="206">
        <f t="shared" si="52"/>
        <v>0</v>
      </c>
      <c r="T1728" s="207">
        <f t="shared" si="53"/>
        <v>0</v>
      </c>
      <c r="U1728" s="208" t="s">
        <v>34</v>
      </c>
      <c r="V1728" s="1486"/>
      <c r="W1728" s="246"/>
    </row>
    <row r="1729" spans="1:23" ht="22.95" customHeight="1" x14ac:dyDescent="0.4">
      <c r="A1729" s="788">
        <v>1728</v>
      </c>
      <c r="B1729" s="246" t="s">
        <v>2616</v>
      </c>
      <c r="C1729" s="199" t="s">
        <v>24</v>
      </c>
      <c r="D1729" s="1134">
        <v>2491</v>
      </c>
      <c r="E1729" s="246" t="s">
        <v>4461</v>
      </c>
      <c r="F1729" s="246" t="s">
        <v>4462</v>
      </c>
      <c r="G1729" s="679">
        <v>3192</v>
      </c>
      <c r="H1729" s="246" t="s">
        <v>3380</v>
      </c>
      <c r="I1729" s="246" t="s">
        <v>4463</v>
      </c>
      <c r="J1729" s="79" t="s">
        <v>4464</v>
      </c>
      <c r="K1729" s="79" t="s">
        <v>4465</v>
      </c>
      <c r="L1729" s="1196">
        <v>0.4</v>
      </c>
      <c r="M1729" s="756" t="s">
        <v>4486</v>
      </c>
      <c r="N1729" s="757" t="s">
        <v>4487</v>
      </c>
      <c r="O1729" s="757"/>
      <c r="P1729" s="255">
        <v>4</v>
      </c>
      <c r="Q1729" s="1196">
        <v>0.02</v>
      </c>
      <c r="R1729" s="255"/>
      <c r="S1729" s="206">
        <f t="shared" si="52"/>
        <v>0</v>
      </c>
      <c r="T1729" s="207">
        <f t="shared" si="53"/>
        <v>0</v>
      </c>
      <c r="U1729" s="208" t="s">
        <v>34</v>
      </c>
      <c r="V1729" s="1486"/>
      <c r="W1729" s="246"/>
    </row>
    <row r="1730" spans="1:23" ht="22.95" customHeight="1" x14ac:dyDescent="0.4">
      <c r="A1730" s="788">
        <v>1729</v>
      </c>
      <c r="B1730" s="246" t="s">
        <v>2616</v>
      </c>
      <c r="C1730" s="199" t="s">
        <v>24</v>
      </c>
      <c r="D1730" s="1134">
        <v>2491</v>
      </c>
      <c r="E1730" s="246" t="s">
        <v>4461</v>
      </c>
      <c r="F1730" s="246" t="s">
        <v>4462</v>
      </c>
      <c r="G1730" s="679">
        <v>3192</v>
      </c>
      <c r="H1730" s="246" t="s">
        <v>3380</v>
      </c>
      <c r="I1730" s="246" t="s">
        <v>4463</v>
      </c>
      <c r="J1730" s="79" t="s">
        <v>4464</v>
      </c>
      <c r="K1730" s="79" t="s">
        <v>4465</v>
      </c>
      <c r="L1730" s="1196">
        <v>0.4</v>
      </c>
      <c r="M1730" s="756" t="s">
        <v>4488</v>
      </c>
      <c r="N1730" s="757" t="s">
        <v>4489</v>
      </c>
      <c r="O1730" s="990" t="s">
        <v>4490</v>
      </c>
      <c r="P1730" s="208">
        <v>1</v>
      </c>
      <c r="Q1730" s="1196">
        <v>0.06</v>
      </c>
      <c r="R1730" s="208"/>
      <c r="S1730" s="206">
        <f t="shared" ref="S1730:S1793" si="54">ROUND(IF(OR(P1730="",R1730=""),0,IF(AND(P1730=0,R1730=0),1,IF(U1730="+",R1730/P1730,P1730/R1730))),2)</f>
        <v>0</v>
      </c>
      <c r="T1730" s="207">
        <f t="shared" ref="T1730:T1793" si="55">IF(AND(S1730&gt;=60%,S1730&lt;100%),S1730*((Q1730*L1730)),IF(S1730=100%,((Q1730*L1730)*S1730)*100%,IF(S1730&gt;100%,((L1730*Q1730)*100%)*100%,0)))*100</f>
        <v>0</v>
      </c>
      <c r="U1730" s="208" t="s">
        <v>34</v>
      </c>
      <c r="V1730" s="1486"/>
      <c r="W1730" s="246"/>
    </row>
    <row r="1731" spans="1:23" ht="22.95" customHeight="1" x14ac:dyDescent="0.4">
      <c r="A1731" s="788">
        <v>1730</v>
      </c>
      <c r="B1731" s="246" t="s">
        <v>2616</v>
      </c>
      <c r="C1731" s="199" t="s">
        <v>24</v>
      </c>
      <c r="D1731" s="1134">
        <v>2491</v>
      </c>
      <c r="E1731" s="246" t="s">
        <v>4461</v>
      </c>
      <c r="F1731" s="246" t="s">
        <v>4462</v>
      </c>
      <c r="G1731" s="679">
        <v>3192</v>
      </c>
      <c r="H1731" s="246" t="s">
        <v>3380</v>
      </c>
      <c r="I1731" s="246" t="s">
        <v>4463</v>
      </c>
      <c r="J1731" s="79" t="s">
        <v>4464</v>
      </c>
      <c r="K1731" s="79" t="s">
        <v>4465</v>
      </c>
      <c r="L1731" s="1196">
        <v>0.4</v>
      </c>
      <c r="M1731" s="756" t="s">
        <v>4491</v>
      </c>
      <c r="N1731" s="757" t="s">
        <v>4492</v>
      </c>
      <c r="O1731" s="757"/>
      <c r="P1731" s="255">
        <v>20</v>
      </c>
      <c r="Q1731" s="1196">
        <v>7.0000000000000007E-2</v>
      </c>
      <c r="R1731" s="255"/>
      <c r="S1731" s="206">
        <f t="shared" si="54"/>
        <v>0</v>
      </c>
      <c r="T1731" s="207">
        <f t="shared" si="55"/>
        <v>0</v>
      </c>
      <c r="U1731" s="208" t="s">
        <v>34</v>
      </c>
      <c r="V1731" s="1486"/>
      <c r="W1731" s="246"/>
    </row>
    <row r="1732" spans="1:23" ht="22.95" customHeight="1" x14ac:dyDescent="0.4">
      <c r="A1732" s="788">
        <v>1731</v>
      </c>
      <c r="B1732" s="246" t="s">
        <v>2616</v>
      </c>
      <c r="C1732" s="199" t="s">
        <v>24</v>
      </c>
      <c r="D1732" s="1134">
        <v>2491</v>
      </c>
      <c r="E1732" s="246" t="s">
        <v>4461</v>
      </c>
      <c r="F1732" s="246" t="s">
        <v>4462</v>
      </c>
      <c r="G1732" s="679">
        <v>3192</v>
      </c>
      <c r="H1732" s="246" t="s">
        <v>3380</v>
      </c>
      <c r="I1732" s="246" t="s">
        <v>4463</v>
      </c>
      <c r="J1732" s="79" t="s">
        <v>4464</v>
      </c>
      <c r="K1732" s="79" t="s">
        <v>4465</v>
      </c>
      <c r="L1732" s="1196">
        <v>0.4</v>
      </c>
      <c r="M1732" s="756" t="s">
        <v>4493</v>
      </c>
      <c r="N1732" s="757" t="s">
        <v>4494</v>
      </c>
      <c r="O1732" s="757" t="s">
        <v>4495</v>
      </c>
      <c r="P1732" s="255">
        <v>1</v>
      </c>
      <c r="Q1732" s="1196">
        <v>7.0000000000000007E-2</v>
      </c>
      <c r="R1732" s="255"/>
      <c r="S1732" s="206">
        <f t="shared" si="54"/>
        <v>0</v>
      </c>
      <c r="T1732" s="207">
        <f t="shared" si="55"/>
        <v>0</v>
      </c>
      <c r="U1732" s="208" t="s">
        <v>34</v>
      </c>
      <c r="V1732" s="1486"/>
      <c r="W1732" s="246"/>
    </row>
    <row r="1733" spans="1:23" ht="22.95" customHeight="1" x14ac:dyDescent="0.4">
      <c r="A1733" s="788">
        <v>1732</v>
      </c>
      <c r="B1733" s="246" t="s">
        <v>2616</v>
      </c>
      <c r="C1733" s="199" t="s">
        <v>24</v>
      </c>
      <c r="D1733" s="1134">
        <v>2491</v>
      </c>
      <c r="E1733" s="246" t="s">
        <v>4461</v>
      </c>
      <c r="F1733" s="246" t="s">
        <v>4462</v>
      </c>
      <c r="G1733" s="679">
        <v>3192</v>
      </c>
      <c r="H1733" s="246" t="s">
        <v>3380</v>
      </c>
      <c r="I1733" s="246" t="s">
        <v>4463</v>
      </c>
      <c r="J1733" s="79" t="s">
        <v>4464</v>
      </c>
      <c r="K1733" s="79" t="s">
        <v>4465</v>
      </c>
      <c r="L1733" s="1196">
        <v>0.4</v>
      </c>
      <c r="M1733" s="756" t="s">
        <v>4496</v>
      </c>
      <c r="N1733" s="757" t="s">
        <v>4497</v>
      </c>
      <c r="O1733" s="757"/>
      <c r="P1733" s="208">
        <v>1</v>
      </c>
      <c r="Q1733" s="1196">
        <v>0.08</v>
      </c>
      <c r="R1733" s="208"/>
      <c r="S1733" s="206">
        <f t="shared" si="54"/>
        <v>0</v>
      </c>
      <c r="T1733" s="207">
        <f t="shared" si="55"/>
        <v>0</v>
      </c>
      <c r="U1733" s="208" t="s">
        <v>34</v>
      </c>
      <c r="V1733" s="1486"/>
      <c r="W1733" s="246"/>
    </row>
    <row r="1734" spans="1:23" ht="22.95" customHeight="1" x14ac:dyDescent="0.4">
      <c r="A1734" s="788">
        <v>1733</v>
      </c>
      <c r="B1734" s="246" t="s">
        <v>2616</v>
      </c>
      <c r="C1734" s="199" t="s">
        <v>24</v>
      </c>
      <c r="D1734" s="1134">
        <v>2491</v>
      </c>
      <c r="E1734" s="246" t="s">
        <v>4461</v>
      </c>
      <c r="F1734" s="246" t="s">
        <v>4462</v>
      </c>
      <c r="G1734" s="679">
        <v>3192</v>
      </c>
      <c r="H1734" s="246" t="s">
        <v>3380</v>
      </c>
      <c r="I1734" s="246" t="s">
        <v>4463</v>
      </c>
      <c r="J1734" s="79" t="s">
        <v>4464</v>
      </c>
      <c r="K1734" s="79" t="s">
        <v>4465</v>
      </c>
      <c r="L1734" s="1196">
        <v>0.4</v>
      </c>
      <c r="M1734" s="756" t="s">
        <v>4498</v>
      </c>
      <c r="N1734" s="757" t="s">
        <v>4499</v>
      </c>
      <c r="O1734" s="757"/>
      <c r="P1734" s="208">
        <v>1</v>
      </c>
      <c r="Q1734" s="1196">
        <v>0.08</v>
      </c>
      <c r="R1734" s="208"/>
      <c r="S1734" s="206">
        <f t="shared" si="54"/>
        <v>0</v>
      </c>
      <c r="T1734" s="207">
        <f t="shared" si="55"/>
        <v>0</v>
      </c>
      <c r="U1734" s="208" t="s">
        <v>34</v>
      </c>
      <c r="V1734" s="1486"/>
      <c r="W1734" s="246"/>
    </row>
    <row r="1735" spans="1:23" ht="22.95" customHeight="1" x14ac:dyDescent="0.4">
      <c r="A1735" s="788">
        <v>1734</v>
      </c>
      <c r="B1735" s="246" t="s">
        <v>2616</v>
      </c>
      <c r="C1735" s="199" t="s">
        <v>24</v>
      </c>
      <c r="D1735" s="1134">
        <v>2491</v>
      </c>
      <c r="E1735" s="246" t="s">
        <v>4461</v>
      </c>
      <c r="F1735" s="246" t="s">
        <v>4462</v>
      </c>
      <c r="G1735" s="679">
        <v>3192</v>
      </c>
      <c r="H1735" s="246" t="s">
        <v>3380</v>
      </c>
      <c r="I1735" s="246" t="s">
        <v>4463</v>
      </c>
      <c r="J1735" s="79" t="s">
        <v>4464</v>
      </c>
      <c r="K1735" s="79" t="s">
        <v>4465</v>
      </c>
      <c r="L1735" s="1196">
        <v>0.4</v>
      </c>
      <c r="M1735" s="756" t="s">
        <v>4500</v>
      </c>
      <c r="N1735" s="757" t="s">
        <v>4501</v>
      </c>
      <c r="O1735" s="757"/>
      <c r="P1735" s="255">
        <v>9</v>
      </c>
      <c r="Q1735" s="1196">
        <v>0.08</v>
      </c>
      <c r="R1735" s="255"/>
      <c r="S1735" s="206">
        <f t="shared" si="54"/>
        <v>0</v>
      </c>
      <c r="T1735" s="207">
        <f t="shared" si="55"/>
        <v>0</v>
      </c>
      <c r="U1735" s="208" t="s">
        <v>34</v>
      </c>
      <c r="V1735" s="1486"/>
      <c r="W1735" s="246"/>
    </row>
    <row r="1736" spans="1:23" ht="22.95" customHeight="1" x14ac:dyDescent="0.4">
      <c r="A1736" s="788">
        <v>1735</v>
      </c>
      <c r="B1736" s="187" t="s">
        <v>2616</v>
      </c>
      <c r="C1736" s="187" t="s">
        <v>24</v>
      </c>
      <c r="D1736" s="1334">
        <v>2509</v>
      </c>
      <c r="E1736" s="653" t="s">
        <v>4502</v>
      </c>
      <c r="F1736" s="187" t="s">
        <v>4503</v>
      </c>
      <c r="G1736" s="674">
        <v>2471</v>
      </c>
      <c r="H1736" s="653" t="s">
        <v>4504</v>
      </c>
      <c r="I1736" s="187" t="s">
        <v>4463</v>
      </c>
      <c r="J1736" s="187" t="s">
        <v>58</v>
      </c>
      <c r="K1736" s="187" t="s">
        <v>57</v>
      </c>
      <c r="L1736" s="1684">
        <v>0.6</v>
      </c>
      <c r="M1736" s="1532" t="s">
        <v>4505</v>
      </c>
      <c r="N1736" s="1532" t="s">
        <v>4506</v>
      </c>
      <c r="O1736" s="791"/>
      <c r="P1736" s="1532">
        <v>40</v>
      </c>
      <c r="Q1736" s="1191">
        <v>0.27</v>
      </c>
      <c r="R1736" s="1532"/>
      <c r="S1736" s="195">
        <f t="shared" si="54"/>
        <v>0</v>
      </c>
      <c r="T1736" s="196">
        <f t="shared" si="55"/>
        <v>0</v>
      </c>
      <c r="U1736" s="197" t="s">
        <v>34</v>
      </c>
      <c r="V1736" s="1724">
        <f>SUM(T1736:T1746)%</f>
        <v>0</v>
      </c>
      <c r="W1736" s="791"/>
    </row>
    <row r="1737" spans="1:23" ht="22.95" customHeight="1" x14ac:dyDescent="0.4">
      <c r="A1737" s="788">
        <v>1736</v>
      </c>
      <c r="B1737" s="246" t="s">
        <v>2616</v>
      </c>
      <c r="C1737" s="199" t="s">
        <v>24</v>
      </c>
      <c r="D1737" s="1082">
        <v>2509</v>
      </c>
      <c r="E1737" s="649" t="s">
        <v>4502</v>
      </c>
      <c r="F1737" s="246" t="s">
        <v>4503</v>
      </c>
      <c r="G1737" s="1575">
        <v>2471</v>
      </c>
      <c r="H1737" s="649" t="s">
        <v>4504</v>
      </c>
      <c r="I1737" s="246" t="s">
        <v>4463</v>
      </c>
      <c r="J1737" s="692" t="s">
        <v>58</v>
      </c>
      <c r="K1737" s="692" t="s">
        <v>57</v>
      </c>
      <c r="L1737" s="1687">
        <v>0.6</v>
      </c>
      <c r="M1737" s="1536" t="s">
        <v>4507</v>
      </c>
      <c r="N1737" s="1536" t="s">
        <v>4508</v>
      </c>
      <c r="O1737" s="840"/>
      <c r="P1737" s="1536">
        <v>2</v>
      </c>
      <c r="Q1737" s="1069">
        <v>0.25</v>
      </c>
      <c r="R1737" s="1536"/>
      <c r="S1737" s="206">
        <f t="shared" si="54"/>
        <v>0</v>
      </c>
      <c r="T1737" s="207">
        <f t="shared" si="55"/>
        <v>0</v>
      </c>
      <c r="U1737" s="208" t="s">
        <v>34</v>
      </c>
      <c r="V1737" s="1203"/>
      <c r="W1737" s="799"/>
    </row>
    <row r="1738" spans="1:23" ht="22.95" customHeight="1" x14ac:dyDescent="0.4">
      <c r="A1738" s="788">
        <v>1737</v>
      </c>
      <c r="B1738" s="246" t="s">
        <v>2616</v>
      </c>
      <c r="C1738" s="199" t="s">
        <v>24</v>
      </c>
      <c r="D1738" s="1082">
        <v>2509</v>
      </c>
      <c r="E1738" s="649" t="s">
        <v>4502</v>
      </c>
      <c r="F1738" s="246" t="s">
        <v>4503</v>
      </c>
      <c r="G1738" s="679">
        <v>2471</v>
      </c>
      <c r="H1738" s="649" t="s">
        <v>4504</v>
      </c>
      <c r="I1738" s="246" t="s">
        <v>4463</v>
      </c>
      <c r="J1738" s="692" t="s">
        <v>58</v>
      </c>
      <c r="K1738" s="692" t="s">
        <v>57</v>
      </c>
      <c r="L1738" s="1687">
        <v>0.6</v>
      </c>
      <c r="M1738" s="1536" t="s">
        <v>4509</v>
      </c>
      <c r="N1738" s="1536" t="s">
        <v>4510</v>
      </c>
      <c r="O1738" s="840"/>
      <c r="P1738" s="1536">
        <v>3</v>
      </c>
      <c r="Q1738" s="1069">
        <v>0.03</v>
      </c>
      <c r="R1738" s="1536"/>
      <c r="S1738" s="206">
        <f t="shared" si="54"/>
        <v>0</v>
      </c>
      <c r="T1738" s="207">
        <f t="shared" si="55"/>
        <v>0</v>
      </c>
      <c r="U1738" s="208" t="s">
        <v>34</v>
      </c>
      <c r="V1738" s="1203"/>
      <c r="W1738" s="799"/>
    </row>
    <row r="1739" spans="1:23" ht="22.95" customHeight="1" x14ac:dyDescent="0.4">
      <c r="A1739" s="788">
        <v>1738</v>
      </c>
      <c r="B1739" s="246" t="s">
        <v>2616</v>
      </c>
      <c r="C1739" s="199" t="s">
        <v>24</v>
      </c>
      <c r="D1739" s="1082">
        <v>2509</v>
      </c>
      <c r="E1739" s="649" t="s">
        <v>4502</v>
      </c>
      <c r="F1739" s="246" t="s">
        <v>4503</v>
      </c>
      <c r="G1739" s="679">
        <v>2471</v>
      </c>
      <c r="H1739" s="649" t="s">
        <v>4504</v>
      </c>
      <c r="I1739" s="246" t="s">
        <v>4463</v>
      </c>
      <c r="J1739" s="692" t="s">
        <v>58</v>
      </c>
      <c r="K1739" s="692" t="s">
        <v>57</v>
      </c>
      <c r="L1739" s="1687">
        <v>0.6</v>
      </c>
      <c r="M1739" s="1536" t="s">
        <v>4511</v>
      </c>
      <c r="N1739" s="1536" t="s">
        <v>4512</v>
      </c>
      <c r="O1739" s="840"/>
      <c r="P1739" s="1536">
        <v>7</v>
      </c>
      <c r="Q1739" s="1069">
        <v>0.2</v>
      </c>
      <c r="R1739" s="1536"/>
      <c r="S1739" s="206">
        <f t="shared" si="54"/>
        <v>0</v>
      </c>
      <c r="T1739" s="207">
        <f t="shared" si="55"/>
        <v>0</v>
      </c>
      <c r="U1739" s="208" t="s">
        <v>34</v>
      </c>
      <c r="V1739" s="1203"/>
      <c r="W1739" s="799"/>
    </row>
    <row r="1740" spans="1:23" ht="22.95" customHeight="1" x14ac:dyDescent="0.4">
      <c r="A1740" s="788">
        <v>1739</v>
      </c>
      <c r="B1740" s="246" t="s">
        <v>2616</v>
      </c>
      <c r="C1740" s="199" t="s">
        <v>24</v>
      </c>
      <c r="D1740" s="1082">
        <v>2509</v>
      </c>
      <c r="E1740" s="649" t="s">
        <v>4502</v>
      </c>
      <c r="F1740" s="246" t="s">
        <v>4503</v>
      </c>
      <c r="G1740" s="679">
        <v>2471</v>
      </c>
      <c r="H1740" s="649" t="s">
        <v>4504</v>
      </c>
      <c r="I1740" s="246" t="s">
        <v>4463</v>
      </c>
      <c r="J1740" s="692" t="s">
        <v>58</v>
      </c>
      <c r="K1740" s="692" t="s">
        <v>57</v>
      </c>
      <c r="L1740" s="1687">
        <v>0.6</v>
      </c>
      <c r="M1740" s="1536" t="s">
        <v>4513</v>
      </c>
      <c r="N1740" s="1536" t="s">
        <v>4514</v>
      </c>
      <c r="O1740" s="840"/>
      <c r="P1740" s="1536">
        <v>10</v>
      </c>
      <c r="Q1740" s="1069">
        <v>0.2</v>
      </c>
      <c r="R1740" s="1536"/>
      <c r="S1740" s="206">
        <f t="shared" si="54"/>
        <v>0</v>
      </c>
      <c r="T1740" s="207">
        <f t="shared" si="55"/>
        <v>0</v>
      </c>
      <c r="U1740" s="208" t="s">
        <v>34</v>
      </c>
      <c r="V1740" s="1203"/>
      <c r="W1740" s="799"/>
    </row>
    <row r="1741" spans="1:23" ht="22.95" customHeight="1" x14ac:dyDescent="0.4">
      <c r="A1741" s="788">
        <v>1740</v>
      </c>
      <c r="B1741" s="246" t="s">
        <v>2616</v>
      </c>
      <c r="C1741" s="199" t="s">
        <v>24</v>
      </c>
      <c r="D1741" s="1082">
        <v>2509</v>
      </c>
      <c r="E1741" s="649" t="s">
        <v>4502</v>
      </c>
      <c r="F1741" s="246" t="s">
        <v>4503</v>
      </c>
      <c r="G1741" s="679">
        <v>2471</v>
      </c>
      <c r="H1741" s="649" t="s">
        <v>4504</v>
      </c>
      <c r="I1741" s="246" t="s">
        <v>4463</v>
      </c>
      <c r="J1741" s="692" t="s">
        <v>58</v>
      </c>
      <c r="K1741" s="692" t="s">
        <v>57</v>
      </c>
      <c r="L1741" s="1687">
        <v>0.6</v>
      </c>
      <c r="M1741" s="1536" t="s">
        <v>4515</v>
      </c>
      <c r="N1741" s="1536" t="s">
        <v>4516</v>
      </c>
      <c r="O1741" s="840"/>
      <c r="P1741" s="1536">
        <v>5</v>
      </c>
      <c r="Q1741" s="1069">
        <v>0.05</v>
      </c>
      <c r="R1741" s="1536"/>
      <c r="S1741" s="206">
        <f t="shared" si="54"/>
        <v>0</v>
      </c>
      <c r="T1741" s="207">
        <f t="shared" si="55"/>
        <v>0</v>
      </c>
      <c r="U1741" s="208" t="s">
        <v>34</v>
      </c>
      <c r="V1741" s="1203"/>
      <c r="W1741" s="799"/>
    </row>
    <row r="1742" spans="1:23" ht="22.95" customHeight="1" x14ac:dyDescent="0.4">
      <c r="A1742" s="788">
        <v>1741</v>
      </c>
      <c r="B1742" s="246" t="s">
        <v>2616</v>
      </c>
      <c r="C1742" s="199" t="s">
        <v>24</v>
      </c>
      <c r="D1742" s="1082">
        <v>2509</v>
      </c>
      <c r="E1742" s="649" t="s">
        <v>4502</v>
      </c>
      <c r="F1742" s="246" t="s">
        <v>4503</v>
      </c>
      <c r="G1742" s="679">
        <v>2471</v>
      </c>
      <c r="H1742" s="649" t="s">
        <v>4504</v>
      </c>
      <c r="I1742" s="246" t="s">
        <v>4463</v>
      </c>
      <c r="J1742" s="199" t="s">
        <v>111</v>
      </c>
      <c r="K1742" s="199" t="s">
        <v>110</v>
      </c>
      <c r="L1742" s="1691">
        <v>0.4</v>
      </c>
      <c r="M1742" s="1726" t="s">
        <v>4517</v>
      </c>
      <c r="N1742" s="1726" t="s">
        <v>4518</v>
      </c>
      <c r="O1742" s="799"/>
      <c r="P1742" s="1726">
        <v>1</v>
      </c>
      <c r="Q1742" s="1240">
        <v>0.3</v>
      </c>
      <c r="R1742" s="1726"/>
      <c r="S1742" s="262">
        <f t="shared" si="54"/>
        <v>0</v>
      </c>
      <c r="T1742" s="263">
        <f t="shared" si="55"/>
        <v>0</v>
      </c>
      <c r="U1742" s="687" t="s">
        <v>34</v>
      </c>
      <c r="V1742" s="1228"/>
      <c r="W1742" s="799"/>
    </row>
    <row r="1743" spans="1:23" ht="22.95" customHeight="1" x14ac:dyDescent="0.4">
      <c r="A1743" s="788">
        <v>1742</v>
      </c>
      <c r="B1743" s="246" t="s">
        <v>2616</v>
      </c>
      <c r="C1743" s="199" t="s">
        <v>24</v>
      </c>
      <c r="D1743" s="1082">
        <v>2509</v>
      </c>
      <c r="E1743" s="649" t="s">
        <v>4502</v>
      </c>
      <c r="F1743" s="246" t="s">
        <v>4503</v>
      </c>
      <c r="G1743" s="679">
        <v>2471</v>
      </c>
      <c r="H1743" s="649" t="s">
        <v>4504</v>
      </c>
      <c r="I1743" s="246" t="s">
        <v>4463</v>
      </c>
      <c r="J1743" s="199" t="s">
        <v>111</v>
      </c>
      <c r="K1743" s="199" t="s">
        <v>110</v>
      </c>
      <c r="L1743" s="1691">
        <v>0.4</v>
      </c>
      <c r="M1743" s="1726" t="s">
        <v>4519</v>
      </c>
      <c r="N1743" s="1726" t="s">
        <v>4520</v>
      </c>
      <c r="O1743" s="799"/>
      <c r="P1743" s="1726">
        <v>1</v>
      </c>
      <c r="Q1743" s="1240">
        <v>0.3</v>
      </c>
      <c r="R1743" s="1726"/>
      <c r="S1743" s="262">
        <f t="shared" si="54"/>
        <v>0</v>
      </c>
      <c r="T1743" s="263">
        <f t="shared" si="55"/>
        <v>0</v>
      </c>
      <c r="U1743" s="687" t="s">
        <v>34</v>
      </c>
      <c r="V1743" s="1228"/>
      <c r="W1743" s="799"/>
    </row>
    <row r="1744" spans="1:23" ht="22.95" customHeight="1" x14ac:dyDescent="0.4">
      <c r="A1744" s="788">
        <v>1743</v>
      </c>
      <c r="B1744" s="246" t="s">
        <v>2616</v>
      </c>
      <c r="C1744" s="199" t="s">
        <v>24</v>
      </c>
      <c r="D1744" s="1082">
        <v>2509</v>
      </c>
      <c r="E1744" s="649" t="s">
        <v>4502</v>
      </c>
      <c r="F1744" s="246" t="s">
        <v>4503</v>
      </c>
      <c r="G1744" s="679">
        <v>2471</v>
      </c>
      <c r="H1744" s="649" t="s">
        <v>4504</v>
      </c>
      <c r="I1744" s="246" t="s">
        <v>4463</v>
      </c>
      <c r="J1744" s="199" t="s">
        <v>111</v>
      </c>
      <c r="K1744" s="199" t="s">
        <v>110</v>
      </c>
      <c r="L1744" s="1691">
        <v>0.4</v>
      </c>
      <c r="M1744" s="1726" t="s">
        <v>4521</v>
      </c>
      <c r="N1744" s="1726" t="s">
        <v>4522</v>
      </c>
      <c r="O1744" s="799"/>
      <c r="P1744" s="1726">
        <v>5</v>
      </c>
      <c r="Q1744" s="1240">
        <v>0.2</v>
      </c>
      <c r="R1744" s="1726"/>
      <c r="S1744" s="262">
        <f t="shared" si="54"/>
        <v>0</v>
      </c>
      <c r="T1744" s="263">
        <f t="shared" si="55"/>
        <v>0</v>
      </c>
      <c r="U1744" s="687" t="s">
        <v>34</v>
      </c>
      <c r="V1744" s="1228"/>
      <c r="W1744" s="799"/>
    </row>
    <row r="1745" spans="1:23" ht="22.95" customHeight="1" x14ac:dyDescent="0.4">
      <c r="A1745" s="788">
        <v>1744</v>
      </c>
      <c r="B1745" s="246" t="s">
        <v>2616</v>
      </c>
      <c r="C1745" s="199" t="s">
        <v>24</v>
      </c>
      <c r="D1745" s="1082">
        <v>2509</v>
      </c>
      <c r="E1745" s="649" t="s">
        <v>4502</v>
      </c>
      <c r="F1745" s="246" t="s">
        <v>4503</v>
      </c>
      <c r="G1745" s="679">
        <v>2471</v>
      </c>
      <c r="H1745" s="649" t="s">
        <v>4504</v>
      </c>
      <c r="I1745" s="246" t="s">
        <v>4463</v>
      </c>
      <c r="J1745" s="199" t="s">
        <v>111</v>
      </c>
      <c r="K1745" s="199" t="s">
        <v>110</v>
      </c>
      <c r="L1745" s="1691">
        <v>0.4</v>
      </c>
      <c r="M1745" s="1726" t="s">
        <v>4523</v>
      </c>
      <c r="N1745" s="1726" t="s">
        <v>4524</v>
      </c>
      <c r="O1745" s="799"/>
      <c r="P1745" s="1726">
        <v>20</v>
      </c>
      <c r="Q1745" s="1240">
        <v>0.15</v>
      </c>
      <c r="R1745" s="1726"/>
      <c r="S1745" s="262">
        <f t="shared" si="54"/>
        <v>0</v>
      </c>
      <c r="T1745" s="263">
        <f t="shared" si="55"/>
        <v>0</v>
      </c>
      <c r="U1745" s="687" t="s">
        <v>34</v>
      </c>
      <c r="V1745" s="1228"/>
      <c r="W1745" s="799"/>
    </row>
    <row r="1746" spans="1:23" ht="22.95" customHeight="1" x14ac:dyDescent="0.4">
      <c r="A1746" s="788">
        <v>1745</v>
      </c>
      <c r="B1746" s="246" t="s">
        <v>2616</v>
      </c>
      <c r="C1746" s="199" t="s">
        <v>24</v>
      </c>
      <c r="D1746" s="1082">
        <v>2509</v>
      </c>
      <c r="E1746" s="649" t="s">
        <v>4502</v>
      </c>
      <c r="F1746" s="246" t="s">
        <v>4503</v>
      </c>
      <c r="G1746" s="679">
        <v>2471</v>
      </c>
      <c r="H1746" s="649" t="s">
        <v>4504</v>
      </c>
      <c r="I1746" s="246" t="s">
        <v>4463</v>
      </c>
      <c r="J1746" s="199" t="s">
        <v>111</v>
      </c>
      <c r="K1746" s="199" t="s">
        <v>110</v>
      </c>
      <c r="L1746" s="1691">
        <v>0.4</v>
      </c>
      <c r="M1746" s="1726" t="s">
        <v>4525</v>
      </c>
      <c r="N1746" s="1726" t="s">
        <v>4526</v>
      </c>
      <c r="O1746" s="799"/>
      <c r="P1746" s="1726">
        <v>5</v>
      </c>
      <c r="Q1746" s="1240">
        <v>0.05</v>
      </c>
      <c r="R1746" s="1726"/>
      <c r="S1746" s="262">
        <f t="shared" si="54"/>
        <v>0</v>
      </c>
      <c r="T1746" s="263">
        <f t="shared" si="55"/>
        <v>0</v>
      </c>
      <c r="U1746" s="687" t="s">
        <v>34</v>
      </c>
      <c r="V1746" s="1228"/>
      <c r="W1746" s="799"/>
    </row>
    <row r="1747" spans="1:23" ht="22.95" customHeight="1" x14ac:dyDescent="0.4">
      <c r="A1747" s="788">
        <v>1746</v>
      </c>
      <c r="B1747" s="187" t="s">
        <v>2616</v>
      </c>
      <c r="C1747" s="1449" t="s">
        <v>24</v>
      </c>
      <c r="D1747" s="1200">
        <v>2440</v>
      </c>
      <c r="E1747" s="295" t="s">
        <v>4527</v>
      </c>
      <c r="F1747" s="653" t="s">
        <v>4528</v>
      </c>
      <c r="G1747" s="795">
        <v>2491</v>
      </c>
      <c r="H1747" s="187" t="s">
        <v>4461</v>
      </c>
      <c r="I1747" s="187" t="s">
        <v>4463</v>
      </c>
      <c r="J1747" s="187" t="s">
        <v>58</v>
      </c>
      <c r="K1747" s="187" t="s">
        <v>57</v>
      </c>
      <c r="L1747" s="1727">
        <v>0.8</v>
      </c>
      <c r="M1747" s="790" t="s">
        <v>4529</v>
      </c>
      <c r="N1747" s="1008" t="s">
        <v>4530</v>
      </c>
      <c r="O1747" s="791"/>
      <c r="P1747" s="790">
        <v>1</v>
      </c>
      <c r="Q1747" s="1728">
        <v>0.2</v>
      </c>
      <c r="R1747" s="790"/>
      <c r="S1747" s="195">
        <f t="shared" si="54"/>
        <v>0</v>
      </c>
      <c r="T1747" s="196">
        <f t="shared" si="55"/>
        <v>0</v>
      </c>
      <c r="U1747" s="197" t="s">
        <v>34</v>
      </c>
      <c r="V1747" s="1724">
        <f>SUM(T1747:T1757)%</f>
        <v>0</v>
      </c>
      <c r="W1747" s="791"/>
    </row>
    <row r="1748" spans="1:23" ht="22.95" customHeight="1" x14ac:dyDescent="0.4">
      <c r="A1748" s="788">
        <v>1747</v>
      </c>
      <c r="B1748" s="246" t="s">
        <v>2616</v>
      </c>
      <c r="C1748" s="1626" t="s">
        <v>24</v>
      </c>
      <c r="D1748" s="1082">
        <v>2440</v>
      </c>
      <c r="E1748" s="303" t="s">
        <v>4527</v>
      </c>
      <c r="F1748" s="649" t="s">
        <v>4528</v>
      </c>
      <c r="G1748" s="679">
        <v>2491</v>
      </c>
      <c r="H1748" s="649" t="s">
        <v>4461</v>
      </c>
      <c r="I1748" s="246" t="s">
        <v>4463</v>
      </c>
      <c r="J1748" s="692" t="s">
        <v>58</v>
      </c>
      <c r="K1748" s="692" t="s">
        <v>57</v>
      </c>
      <c r="L1748" s="1729">
        <v>0.8</v>
      </c>
      <c r="M1748" s="79" t="s">
        <v>4531</v>
      </c>
      <c r="N1748" s="1009" t="s">
        <v>4532</v>
      </c>
      <c r="O1748" s="840"/>
      <c r="P1748" s="928">
        <v>2</v>
      </c>
      <c r="Q1748" s="1138">
        <v>0.15</v>
      </c>
      <c r="R1748" s="928"/>
      <c r="S1748" s="206">
        <f t="shared" si="54"/>
        <v>0</v>
      </c>
      <c r="T1748" s="207">
        <f t="shared" si="55"/>
        <v>0</v>
      </c>
      <c r="U1748" s="208" t="s">
        <v>34</v>
      </c>
      <c r="V1748" s="1203"/>
      <c r="W1748" s="799"/>
    </row>
    <row r="1749" spans="1:23" ht="22.95" customHeight="1" x14ac:dyDescent="0.4">
      <c r="A1749" s="788">
        <v>1748</v>
      </c>
      <c r="B1749" s="246" t="s">
        <v>2616</v>
      </c>
      <c r="C1749" s="1626" t="s">
        <v>24</v>
      </c>
      <c r="D1749" s="1082">
        <v>2440</v>
      </c>
      <c r="E1749" s="303" t="s">
        <v>4527</v>
      </c>
      <c r="F1749" s="649" t="s">
        <v>4528</v>
      </c>
      <c r="G1749" s="679">
        <v>2491</v>
      </c>
      <c r="H1749" s="649" t="s">
        <v>4461</v>
      </c>
      <c r="I1749" s="246" t="s">
        <v>4463</v>
      </c>
      <c r="J1749" s="692" t="s">
        <v>58</v>
      </c>
      <c r="K1749" s="692" t="s">
        <v>57</v>
      </c>
      <c r="L1749" s="1729">
        <v>0.8</v>
      </c>
      <c r="M1749" s="928" t="s">
        <v>4533</v>
      </c>
      <c r="N1749" s="1009" t="s">
        <v>4534</v>
      </c>
      <c r="O1749" s="840"/>
      <c r="P1749" s="928">
        <v>3</v>
      </c>
      <c r="Q1749" s="1138">
        <v>0.15</v>
      </c>
      <c r="R1749" s="928"/>
      <c r="S1749" s="206">
        <f t="shared" si="54"/>
        <v>0</v>
      </c>
      <c r="T1749" s="207">
        <f t="shared" si="55"/>
        <v>0</v>
      </c>
      <c r="U1749" s="208" t="s">
        <v>34</v>
      </c>
      <c r="V1749" s="1203"/>
      <c r="W1749" s="799"/>
    </row>
    <row r="1750" spans="1:23" ht="22.95" customHeight="1" x14ac:dyDescent="0.4">
      <c r="A1750" s="788">
        <v>1749</v>
      </c>
      <c r="B1750" s="246" t="s">
        <v>2616</v>
      </c>
      <c r="C1750" s="1626" t="s">
        <v>24</v>
      </c>
      <c r="D1750" s="1082">
        <v>2440</v>
      </c>
      <c r="E1750" s="303" t="s">
        <v>4527</v>
      </c>
      <c r="F1750" s="649" t="s">
        <v>4528</v>
      </c>
      <c r="G1750" s="679">
        <v>2491</v>
      </c>
      <c r="H1750" s="649" t="s">
        <v>4461</v>
      </c>
      <c r="I1750" s="246" t="s">
        <v>4463</v>
      </c>
      <c r="J1750" s="692" t="s">
        <v>58</v>
      </c>
      <c r="K1750" s="692" t="s">
        <v>57</v>
      </c>
      <c r="L1750" s="1729">
        <v>0.8</v>
      </c>
      <c r="M1750" s="928" t="s">
        <v>4535</v>
      </c>
      <c r="N1750" s="1009" t="s">
        <v>4536</v>
      </c>
      <c r="O1750" s="840"/>
      <c r="P1750" s="928">
        <v>1</v>
      </c>
      <c r="Q1750" s="1138">
        <v>0.2</v>
      </c>
      <c r="R1750" s="928"/>
      <c r="S1750" s="206">
        <f t="shared" si="54"/>
        <v>0</v>
      </c>
      <c r="T1750" s="207">
        <f t="shared" si="55"/>
        <v>0</v>
      </c>
      <c r="U1750" s="208" t="s">
        <v>34</v>
      </c>
      <c r="V1750" s="1203"/>
      <c r="W1750" s="799"/>
    </row>
    <row r="1751" spans="1:23" ht="22.95" customHeight="1" x14ac:dyDescent="0.4">
      <c r="A1751" s="788">
        <v>1750</v>
      </c>
      <c r="B1751" s="246" t="s">
        <v>2616</v>
      </c>
      <c r="C1751" s="1626" t="s">
        <v>24</v>
      </c>
      <c r="D1751" s="1082">
        <v>2440</v>
      </c>
      <c r="E1751" s="303" t="s">
        <v>4527</v>
      </c>
      <c r="F1751" s="649" t="s">
        <v>4528</v>
      </c>
      <c r="G1751" s="679">
        <v>2491</v>
      </c>
      <c r="H1751" s="649" t="s">
        <v>4461</v>
      </c>
      <c r="I1751" s="246" t="s">
        <v>4463</v>
      </c>
      <c r="J1751" s="692" t="s">
        <v>58</v>
      </c>
      <c r="K1751" s="692" t="s">
        <v>57</v>
      </c>
      <c r="L1751" s="1729">
        <v>0.8</v>
      </c>
      <c r="M1751" s="928" t="s">
        <v>4537</v>
      </c>
      <c r="N1751" s="1009" t="s">
        <v>4538</v>
      </c>
      <c r="O1751" s="840"/>
      <c r="P1751" s="928">
        <v>3</v>
      </c>
      <c r="Q1751" s="1138">
        <v>0.1</v>
      </c>
      <c r="R1751" s="928"/>
      <c r="S1751" s="206">
        <f t="shared" si="54"/>
        <v>0</v>
      </c>
      <c r="T1751" s="207">
        <f t="shared" si="55"/>
        <v>0</v>
      </c>
      <c r="U1751" s="208" t="s">
        <v>34</v>
      </c>
      <c r="V1751" s="1203"/>
      <c r="W1751" s="799"/>
    </row>
    <row r="1752" spans="1:23" ht="22.95" customHeight="1" x14ac:dyDescent="0.4">
      <c r="A1752" s="788">
        <v>1751</v>
      </c>
      <c r="B1752" s="246" t="s">
        <v>2616</v>
      </c>
      <c r="C1752" s="1626" t="s">
        <v>24</v>
      </c>
      <c r="D1752" s="1082">
        <v>2440</v>
      </c>
      <c r="E1752" s="303" t="s">
        <v>4527</v>
      </c>
      <c r="F1752" s="649" t="s">
        <v>4528</v>
      </c>
      <c r="G1752" s="679">
        <v>2491</v>
      </c>
      <c r="H1752" s="649" t="s">
        <v>4461</v>
      </c>
      <c r="I1752" s="246" t="s">
        <v>4463</v>
      </c>
      <c r="J1752" s="692" t="s">
        <v>58</v>
      </c>
      <c r="K1752" s="692" t="s">
        <v>57</v>
      </c>
      <c r="L1752" s="1729">
        <v>0.8</v>
      </c>
      <c r="M1752" s="928" t="s">
        <v>4539</v>
      </c>
      <c r="N1752" s="1009" t="s">
        <v>4540</v>
      </c>
      <c r="O1752" s="840"/>
      <c r="P1752" s="928">
        <v>1</v>
      </c>
      <c r="Q1752" s="1138">
        <v>0.1</v>
      </c>
      <c r="R1752" s="928"/>
      <c r="S1752" s="206">
        <f t="shared" si="54"/>
        <v>0</v>
      </c>
      <c r="T1752" s="207">
        <f t="shared" si="55"/>
        <v>0</v>
      </c>
      <c r="U1752" s="208" t="s">
        <v>34</v>
      </c>
      <c r="V1752" s="1203"/>
      <c r="W1752" s="799"/>
    </row>
    <row r="1753" spans="1:23" ht="22.95" customHeight="1" x14ac:dyDescent="0.4">
      <c r="A1753" s="788">
        <v>1752</v>
      </c>
      <c r="B1753" s="246" t="s">
        <v>2616</v>
      </c>
      <c r="C1753" s="1626" t="s">
        <v>24</v>
      </c>
      <c r="D1753" s="1082">
        <v>2440</v>
      </c>
      <c r="E1753" s="303" t="s">
        <v>4527</v>
      </c>
      <c r="F1753" s="649" t="s">
        <v>4528</v>
      </c>
      <c r="G1753" s="679">
        <v>2491</v>
      </c>
      <c r="H1753" s="649" t="s">
        <v>4461</v>
      </c>
      <c r="I1753" s="246" t="s">
        <v>4463</v>
      </c>
      <c r="J1753" s="692" t="s">
        <v>58</v>
      </c>
      <c r="K1753" s="692" t="s">
        <v>57</v>
      </c>
      <c r="L1753" s="1729">
        <v>0.8</v>
      </c>
      <c r="M1753" s="928" t="s">
        <v>4541</v>
      </c>
      <c r="N1753" s="1009" t="s">
        <v>4542</v>
      </c>
      <c r="O1753" s="840"/>
      <c r="P1753" s="928">
        <v>1</v>
      </c>
      <c r="Q1753" s="1138">
        <v>0.1</v>
      </c>
      <c r="R1753" s="928"/>
      <c r="S1753" s="206">
        <f t="shared" si="54"/>
        <v>0</v>
      </c>
      <c r="T1753" s="207">
        <f t="shared" si="55"/>
        <v>0</v>
      </c>
      <c r="U1753" s="208" t="s">
        <v>34</v>
      </c>
      <c r="V1753" s="1203"/>
      <c r="W1753" s="799"/>
    </row>
    <row r="1754" spans="1:23" ht="22.95" customHeight="1" x14ac:dyDescent="0.4">
      <c r="A1754" s="788">
        <v>1753</v>
      </c>
      <c r="B1754" s="246" t="s">
        <v>2616</v>
      </c>
      <c r="C1754" s="1626" t="s">
        <v>24</v>
      </c>
      <c r="D1754" s="1082">
        <v>2440</v>
      </c>
      <c r="E1754" s="303" t="s">
        <v>4527</v>
      </c>
      <c r="F1754" s="649" t="s">
        <v>4528</v>
      </c>
      <c r="G1754" s="679">
        <v>2491</v>
      </c>
      <c r="H1754" s="649" t="s">
        <v>4461</v>
      </c>
      <c r="I1754" s="246" t="s">
        <v>4463</v>
      </c>
      <c r="J1754" s="199" t="s">
        <v>111</v>
      </c>
      <c r="K1754" s="199" t="s">
        <v>110</v>
      </c>
      <c r="L1754" s="1730">
        <v>0.2</v>
      </c>
      <c r="M1754" s="1609" t="s">
        <v>4543</v>
      </c>
      <c r="N1754" s="1655" t="s">
        <v>4544</v>
      </c>
      <c r="O1754" s="799"/>
      <c r="P1754" s="798">
        <v>1</v>
      </c>
      <c r="Q1754" s="1430">
        <v>0.3</v>
      </c>
      <c r="R1754" s="798"/>
      <c r="S1754" s="262">
        <f t="shared" si="54"/>
        <v>0</v>
      </c>
      <c r="T1754" s="263">
        <f t="shared" si="55"/>
        <v>0</v>
      </c>
      <c r="U1754" s="687" t="s">
        <v>34</v>
      </c>
      <c r="V1754" s="1228"/>
      <c r="W1754" s="799"/>
    </row>
    <row r="1755" spans="1:23" ht="22.95" customHeight="1" x14ac:dyDescent="0.4">
      <c r="A1755" s="788">
        <v>1754</v>
      </c>
      <c r="B1755" s="649" t="s">
        <v>2616</v>
      </c>
      <c r="C1755" s="1731" t="s">
        <v>24</v>
      </c>
      <c r="D1755" s="1082">
        <v>2440</v>
      </c>
      <c r="E1755" s="649" t="s">
        <v>4527</v>
      </c>
      <c r="F1755" s="649" t="s">
        <v>4528</v>
      </c>
      <c r="G1755" s="679">
        <v>2491</v>
      </c>
      <c r="H1755" s="649" t="s">
        <v>4461</v>
      </c>
      <c r="I1755" s="649" t="s">
        <v>4463</v>
      </c>
      <c r="J1755" s="199" t="s">
        <v>111</v>
      </c>
      <c r="K1755" s="199" t="s">
        <v>110</v>
      </c>
      <c r="L1755" s="1730">
        <v>0.2</v>
      </c>
      <c r="M1755" s="1609" t="s">
        <v>4545</v>
      </c>
      <c r="N1755" s="1655" t="s">
        <v>4546</v>
      </c>
      <c r="O1755" s="799"/>
      <c r="P1755" s="798">
        <v>1</v>
      </c>
      <c r="Q1755" s="1430">
        <v>0.1</v>
      </c>
      <c r="R1755" s="798"/>
      <c r="S1755" s="262">
        <f t="shared" si="54"/>
        <v>0</v>
      </c>
      <c r="T1755" s="263">
        <f t="shared" si="55"/>
        <v>0</v>
      </c>
      <c r="U1755" s="687" t="s">
        <v>34</v>
      </c>
      <c r="V1755" s="1228"/>
      <c r="W1755" s="799"/>
    </row>
    <row r="1756" spans="1:23" ht="22.95" customHeight="1" x14ac:dyDescent="0.4">
      <c r="A1756" s="788">
        <v>1755</v>
      </c>
      <c r="B1756" s="649" t="s">
        <v>2616</v>
      </c>
      <c r="C1756" s="1731" t="s">
        <v>24</v>
      </c>
      <c r="D1756" s="1082">
        <v>2440</v>
      </c>
      <c r="E1756" s="649" t="s">
        <v>4527</v>
      </c>
      <c r="F1756" s="649" t="s">
        <v>4528</v>
      </c>
      <c r="G1756" s="679">
        <v>2491</v>
      </c>
      <c r="H1756" s="649" t="s">
        <v>4461</v>
      </c>
      <c r="I1756" s="649" t="s">
        <v>4463</v>
      </c>
      <c r="J1756" s="199" t="s">
        <v>111</v>
      </c>
      <c r="K1756" s="199" t="s">
        <v>110</v>
      </c>
      <c r="L1756" s="1730">
        <v>0.2</v>
      </c>
      <c r="M1756" s="1609" t="s">
        <v>4547</v>
      </c>
      <c r="N1756" s="1655" t="s">
        <v>4548</v>
      </c>
      <c r="O1756" s="799"/>
      <c r="P1756" s="798">
        <v>1</v>
      </c>
      <c r="Q1756" s="1430">
        <v>0.1</v>
      </c>
      <c r="R1756" s="798"/>
      <c r="S1756" s="262">
        <f t="shared" si="54"/>
        <v>0</v>
      </c>
      <c r="T1756" s="263">
        <f t="shared" si="55"/>
        <v>0</v>
      </c>
      <c r="U1756" s="687" t="s">
        <v>34</v>
      </c>
      <c r="V1756" s="1228"/>
      <c r="W1756" s="799"/>
    </row>
    <row r="1757" spans="1:23" ht="22.95" customHeight="1" x14ac:dyDescent="0.4">
      <c r="A1757" s="788">
        <v>1756</v>
      </c>
      <c r="B1757" s="649" t="s">
        <v>2616</v>
      </c>
      <c r="C1757" s="1731" t="s">
        <v>24</v>
      </c>
      <c r="D1757" s="1082">
        <v>2440</v>
      </c>
      <c r="E1757" s="649" t="s">
        <v>4527</v>
      </c>
      <c r="F1757" s="649" t="s">
        <v>4528</v>
      </c>
      <c r="G1757" s="679">
        <v>2491</v>
      </c>
      <c r="H1757" s="649" t="s">
        <v>4461</v>
      </c>
      <c r="I1757" s="649" t="s">
        <v>4463</v>
      </c>
      <c r="J1757" s="199" t="s">
        <v>111</v>
      </c>
      <c r="K1757" s="199" t="s">
        <v>110</v>
      </c>
      <c r="L1757" s="1730">
        <v>0.2</v>
      </c>
      <c r="M1757" s="1732" t="s">
        <v>4549</v>
      </c>
      <c r="N1757" s="1655" t="s">
        <v>4550</v>
      </c>
      <c r="O1757" s="799"/>
      <c r="P1757" s="798">
        <v>1</v>
      </c>
      <c r="Q1757" s="1733">
        <v>0.5</v>
      </c>
      <c r="R1757" s="798"/>
      <c r="S1757" s="262">
        <f t="shared" si="54"/>
        <v>0</v>
      </c>
      <c r="T1757" s="263">
        <f t="shared" si="55"/>
        <v>0</v>
      </c>
      <c r="U1757" s="687" t="s">
        <v>34</v>
      </c>
      <c r="V1757" s="1228"/>
      <c r="W1757" s="799"/>
    </row>
    <row r="1758" spans="1:23" ht="22.95" customHeight="1" x14ac:dyDescent="0.4">
      <c r="A1758" s="788">
        <v>1757</v>
      </c>
      <c r="B1758" s="653" t="s">
        <v>2616</v>
      </c>
      <c r="C1758" s="1734" t="s">
        <v>24</v>
      </c>
      <c r="D1758" s="1200">
        <v>2410</v>
      </c>
      <c r="E1758" s="295" t="s">
        <v>4551</v>
      </c>
      <c r="F1758" s="653" t="s">
        <v>4552</v>
      </c>
      <c r="G1758" s="674">
        <v>2491</v>
      </c>
      <c r="H1758" s="653" t="s">
        <v>4461</v>
      </c>
      <c r="I1758" s="653" t="s">
        <v>4463</v>
      </c>
      <c r="J1758" s="187" t="s">
        <v>58</v>
      </c>
      <c r="K1758" s="187" t="s">
        <v>57</v>
      </c>
      <c r="L1758" s="1735">
        <v>0.7</v>
      </c>
      <c r="M1758" s="1532" t="s">
        <v>4553</v>
      </c>
      <c r="N1758" s="1008" t="s">
        <v>4554</v>
      </c>
      <c r="O1758" s="791"/>
      <c r="P1758" s="790">
        <v>2</v>
      </c>
      <c r="Q1758" s="1728">
        <v>0.15</v>
      </c>
      <c r="R1758" s="790"/>
      <c r="S1758" s="195">
        <f t="shared" si="54"/>
        <v>0</v>
      </c>
      <c r="T1758" s="196">
        <f t="shared" si="55"/>
        <v>0</v>
      </c>
      <c r="U1758" s="197" t="s">
        <v>34</v>
      </c>
      <c r="V1758" s="1724">
        <f>SUM(T1758:T1766)%</f>
        <v>0</v>
      </c>
      <c r="W1758" s="791"/>
    </row>
    <row r="1759" spans="1:23" ht="22.95" customHeight="1" x14ac:dyDescent="0.4">
      <c r="A1759" s="788">
        <v>1758</v>
      </c>
      <c r="B1759" s="649" t="s">
        <v>2616</v>
      </c>
      <c r="C1759" s="1731" t="s">
        <v>24</v>
      </c>
      <c r="D1759" s="1082">
        <v>2410</v>
      </c>
      <c r="E1759" s="303" t="s">
        <v>4551</v>
      </c>
      <c r="F1759" s="649" t="s">
        <v>4552</v>
      </c>
      <c r="G1759" s="679">
        <v>2491</v>
      </c>
      <c r="H1759" s="649" t="s">
        <v>4461</v>
      </c>
      <c r="I1759" s="649" t="s">
        <v>4463</v>
      </c>
      <c r="J1759" s="692" t="s">
        <v>58</v>
      </c>
      <c r="K1759" s="692" t="s">
        <v>57</v>
      </c>
      <c r="L1759" s="1687">
        <v>0.7</v>
      </c>
      <c r="M1759" s="1536" t="s">
        <v>4555</v>
      </c>
      <c r="N1759" s="1009" t="s">
        <v>4556</v>
      </c>
      <c r="O1759" s="840"/>
      <c r="P1759" s="928">
        <v>2</v>
      </c>
      <c r="Q1759" s="1138">
        <v>0.15</v>
      </c>
      <c r="R1759" s="928"/>
      <c r="S1759" s="206">
        <f t="shared" si="54"/>
        <v>0</v>
      </c>
      <c r="T1759" s="207">
        <f t="shared" si="55"/>
        <v>0</v>
      </c>
      <c r="U1759" s="208" t="s">
        <v>34</v>
      </c>
      <c r="V1759" s="1203"/>
      <c r="W1759" s="799"/>
    </row>
    <row r="1760" spans="1:23" ht="22.95" customHeight="1" x14ac:dyDescent="0.4">
      <c r="A1760" s="788">
        <v>1759</v>
      </c>
      <c r="B1760" s="649" t="s">
        <v>2616</v>
      </c>
      <c r="C1760" s="1731" t="s">
        <v>24</v>
      </c>
      <c r="D1760" s="1082">
        <v>2410</v>
      </c>
      <c r="E1760" s="303" t="s">
        <v>4551</v>
      </c>
      <c r="F1760" s="649" t="s">
        <v>4552</v>
      </c>
      <c r="G1760" s="679">
        <v>2491</v>
      </c>
      <c r="H1760" s="649" t="s">
        <v>4461</v>
      </c>
      <c r="I1760" s="649" t="s">
        <v>4463</v>
      </c>
      <c r="J1760" s="692" t="s">
        <v>58</v>
      </c>
      <c r="K1760" s="692" t="s">
        <v>57</v>
      </c>
      <c r="L1760" s="1687">
        <v>0.7</v>
      </c>
      <c r="M1760" s="1536" t="s">
        <v>4557</v>
      </c>
      <c r="N1760" s="1009" t="s">
        <v>4558</v>
      </c>
      <c r="O1760" s="840"/>
      <c r="P1760" s="928">
        <v>2</v>
      </c>
      <c r="Q1760" s="1138">
        <v>0.15</v>
      </c>
      <c r="R1760" s="928"/>
      <c r="S1760" s="206">
        <f t="shared" si="54"/>
        <v>0</v>
      </c>
      <c r="T1760" s="207">
        <f t="shared" si="55"/>
        <v>0</v>
      </c>
      <c r="U1760" s="208" t="s">
        <v>34</v>
      </c>
      <c r="V1760" s="1203"/>
      <c r="W1760" s="799"/>
    </row>
    <row r="1761" spans="1:23" ht="22.95" customHeight="1" x14ac:dyDescent="0.4">
      <c r="A1761" s="788">
        <v>1760</v>
      </c>
      <c r="B1761" s="649" t="s">
        <v>2616</v>
      </c>
      <c r="C1761" s="1731" t="s">
        <v>24</v>
      </c>
      <c r="D1761" s="1082">
        <v>2410</v>
      </c>
      <c r="E1761" s="303" t="s">
        <v>4551</v>
      </c>
      <c r="F1761" s="649" t="s">
        <v>4552</v>
      </c>
      <c r="G1761" s="679">
        <v>2491</v>
      </c>
      <c r="H1761" s="649" t="s">
        <v>4461</v>
      </c>
      <c r="I1761" s="649" t="s">
        <v>4463</v>
      </c>
      <c r="J1761" s="692" t="s">
        <v>58</v>
      </c>
      <c r="K1761" s="692" t="s">
        <v>57</v>
      </c>
      <c r="L1761" s="1687">
        <v>0.7</v>
      </c>
      <c r="M1761" s="1536" t="s">
        <v>4559</v>
      </c>
      <c r="N1761" s="1009" t="s">
        <v>4560</v>
      </c>
      <c r="O1761" s="840"/>
      <c r="P1761" s="928">
        <v>2</v>
      </c>
      <c r="Q1761" s="1138">
        <v>0.15</v>
      </c>
      <c r="R1761" s="928"/>
      <c r="S1761" s="206">
        <f t="shared" si="54"/>
        <v>0</v>
      </c>
      <c r="T1761" s="207">
        <f t="shared" si="55"/>
        <v>0</v>
      </c>
      <c r="U1761" s="208" t="s">
        <v>34</v>
      </c>
      <c r="V1761" s="1203"/>
      <c r="W1761" s="799"/>
    </row>
    <row r="1762" spans="1:23" ht="22.95" customHeight="1" x14ac:dyDescent="0.4">
      <c r="A1762" s="788">
        <v>1761</v>
      </c>
      <c r="B1762" s="649" t="s">
        <v>2616</v>
      </c>
      <c r="C1762" s="1731" t="s">
        <v>24</v>
      </c>
      <c r="D1762" s="1082">
        <v>2410</v>
      </c>
      <c r="E1762" s="303" t="s">
        <v>4551</v>
      </c>
      <c r="F1762" s="649" t="s">
        <v>4552</v>
      </c>
      <c r="G1762" s="679">
        <v>2491</v>
      </c>
      <c r="H1762" s="649" t="s">
        <v>4461</v>
      </c>
      <c r="I1762" s="649" t="s">
        <v>4463</v>
      </c>
      <c r="J1762" s="692" t="s">
        <v>58</v>
      </c>
      <c r="K1762" s="692" t="s">
        <v>57</v>
      </c>
      <c r="L1762" s="1687">
        <v>0.7</v>
      </c>
      <c r="M1762" s="1536" t="s">
        <v>4561</v>
      </c>
      <c r="N1762" s="1009" t="s">
        <v>4562</v>
      </c>
      <c r="O1762" s="840"/>
      <c r="P1762" s="928">
        <v>2</v>
      </c>
      <c r="Q1762" s="1138">
        <v>0.15</v>
      </c>
      <c r="R1762" s="928"/>
      <c r="S1762" s="206">
        <f t="shared" si="54"/>
        <v>0</v>
      </c>
      <c r="T1762" s="207">
        <f t="shared" si="55"/>
        <v>0</v>
      </c>
      <c r="U1762" s="208" t="s">
        <v>34</v>
      </c>
      <c r="V1762" s="1203"/>
      <c r="W1762" s="799"/>
    </row>
    <row r="1763" spans="1:23" ht="22.95" customHeight="1" x14ac:dyDescent="0.4">
      <c r="A1763" s="788">
        <v>1762</v>
      </c>
      <c r="B1763" s="649" t="s">
        <v>2616</v>
      </c>
      <c r="C1763" s="1731" t="s">
        <v>24</v>
      </c>
      <c r="D1763" s="1082">
        <v>2410</v>
      </c>
      <c r="E1763" s="303" t="s">
        <v>4551</v>
      </c>
      <c r="F1763" s="649" t="s">
        <v>4552</v>
      </c>
      <c r="G1763" s="679">
        <v>2491</v>
      </c>
      <c r="H1763" s="649" t="s">
        <v>4461</v>
      </c>
      <c r="I1763" s="649" t="s">
        <v>4463</v>
      </c>
      <c r="J1763" s="692" t="s">
        <v>58</v>
      </c>
      <c r="K1763" s="692" t="s">
        <v>57</v>
      </c>
      <c r="L1763" s="1687">
        <v>0.7</v>
      </c>
      <c r="M1763" s="1536" t="s">
        <v>4563</v>
      </c>
      <c r="N1763" s="1009" t="s">
        <v>4564</v>
      </c>
      <c r="O1763" s="840"/>
      <c r="P1763" s="928">
        <v>1</v>
      </c>
      <c r="Q1763" s="1729">
        <v>0.1</v>
      </c>
      <c r="R1763" s="928"/>
      <c r="S1763" s="206">
        <f t="shared" si="54"/>
        <v>0</v>
      </c>
      <c r="T1763" s="207">
        <f t="shared" si="55"/>
        <v>0</v>
      </c>
      <c r="U1763" s="208" t="s">
        <v>34</v>
      </c>
      <c r="V1763" s="1203"/>
      <c r="W1763" s="799"/>
    </row>
    <row r="1764" spans="1:23" ht="22.95" customHeight="1" x14ac:dyDescent="0.4">
      <c r="A1764" s="788">
        <v>1763</v>
      </c>
      <c r="B1764" s="649" t="s">
        <v>2616</v>
      </c>
      <c r="C1764" s="1731" t="s">
        <v>24</v>
      </c>
      <c r="D1764" s="1082">
        <v>2410</v>
      </c>
      <c r="E1764" s="303" t="s">
        <v>4551</v>
      </c>
      <c r="F1764" s="649" t="s">
        <v>4552</v>
      </c>
      <c r="G1764" s="679">
        <v>2491</v>
      </c>
      <c r="H1764" s="649" t="s">
        <v>4461</v>
      </c>
      <c r="I1764" s="649" t="s">
        <v>4463</v>
      </c>
      <c r="J1764" s="692" t="s">
        <v>58</v>
      </c>
      <c r="K1764" s="692" t="s">
        <v>57</v>
      </c>
      <c r="L1764" s="1687">
        <v>0.7</v>
      </c>
      <c r="M1764" s="1536" t="s">
        <v>4565</v>
      </c>
      <c r="N1764" s="1009" t="s">
        <v>4566</v>
      </c>
      <c r="O1764" s="840"/>
      <c r="P1764" s="928">
        <v>1</v>
      </c>
      <c r="Q1764" s="1138">
        <v>0.15</v>
      </c>
      <c r="R1764" s="928"/>
      <c r="S1764" s="206">
        <f t="shared" si="54"/>
        <v>0</v>
      </c>
      <c r="T1764" s="207">
        <f t="shared" si="55"/>
        <v>0</v>
      </c>
      <c r="U1764" s="208" t="s">
        <v>34</v>
      </c>
      <c r="V1764" s="1203"/>
      <c r="W1764" s="799"/>
    </row>
    <row r="1765" spans="1:23" ht="22.95" customHeight="1" x14ac:dyDescent="0.4">
      <c r="A1765" s="788">
        <v>1764</v>
      </c>
      <c r="B1765" s="649" t="s">
        <v>2616</v>
      </c>
      <c r="C1765" s="1731" t="s">
        <v>24</v>
      </c>
      <c r="D1765" s="1082">
        <v>2410</v>
      </c>
      <c r="E1765" s="1736" t="s">
        <v>4551</v>
      </c>
      <c r="F1765" s="1737" t="s">
        <v>4552</v>
      </c>
      <c r="G1765" s="1738">
        <v>2491</v>
      </c>
      <c r="H1765" s="1737" t="s">
        <v>4461</v>
      </c>
      <c r="I1765" s="1737" t="s">
        <v>4463</v>
      </c>
      <c r="J1765" s="199" t="s">
        <v>111</v>
      </c>
      <c r="K1765" s="199" t="s">
        <v>110</v>
      </c>
      <c r="L1765" s="1739">
        <v>0.3</v>
      </c>
      <c r="M1765" s="1726" t="s">
        <v>4567</v>
      </c>
      <c r="N1765" s="1655" t="s">
        <v>4568</v>
      </c>
      <c r="O1765" s="799"/>
      <c r="P1765" s="798">
        <v>1</v>
      </c>
      <c r="Q1765" s="1733">
        <v>0.35</v>
      </c>
      <c r="R1765" s="798"/>
      <c r="S1765" s="262">
        <f t="shared" si="54"/>
        <v>0</v>
      </c>
      <c r="T1765" s="263">
        <f t="shared" si="55"/>
        <v>0</v>
      </c>
      <c r="U1765" s="687" t="s">
        <v>34</v>
      </c>
      <c r="V1765" s="1228"/>
      <c r="W1765" s="799"/>
    </row>
    <row r="1766" spans="1:23" ht="22.95" customHeight="1" x14ac:dyDescent="0.4">
      <c r="A1766" s="788">
        <v>1765</v>
      </c>
      <c r="B1766" s="649" t="s">
        <v>2616</v>
      </c>
      <c r="C1766" s="1731" t="s">
        <v>24</v>
      </c>
      <c r="D1766" s="1082">
        <v>2410</v>
      </c>
      <c r="E1766" s="1736" t="s">
        <v>4551</v>
      </c>
      <c r="F1766" s="1737" t="s">
        <v>4552</v>
      </c>
      <c r="G1766" s="1738">
        <v>2491</v>
      </c>
      <c r="H1766" s="1737" t="s">
        <v>4461</v>
      </c>
      <c r="I1766" s="1737" t="s">
        <v>4463</v>
      </c>
      <c r="J1766" s="199" t="s">
        <v>111</v>
      </c>
      <c r="K1766" s="199" t="s">
        <v>110</v>
      </c>
      <c r="L1766" s="1739">
        <v>0.3</v>
      </c>
      <c r="M1766" s="1726" t="s">
        <v>4569</v>
      </c>
      <c r="N1766" s="1655" t="s">
        <v>4570</v>
      </c>
      <c r="O1766" s="799"/>
      <c r="P1766" s="798">
        <v>3</v>
      </c>
      <c r="Q1766" s="1733">
        <v>0.65</v>
      </c>
      <c r="R1766" s="798"/>
      <c r="S1766" s="262">
        <f t="shared" si="54"/>
        <v>0</v>
      </c>
      <c r="T1766" s="263">
        <f t="shared" si="55"/>
        <v>0</v>
      </c>
      <c r="U1766" s="687" t="s">
        <v>34</v>
      </c>
      <c r="V1766" s="1228"/>
      <c r="W1766" s="799"/>
    </row>
    <row r="1767" spans="1:23" ht="22.95" customHeight="1" x14ac:dyDescent="0.4">
      <c r="A1767" s="788">
        <v>1766</v>
      </c>
      <c r="B1767" s="653" t="s">
        <v>2616</v>
      </c>
      <c r="C1767" s="1734" t="s">
        <v>24</v>
      </c>
      <c r="D1767" s="1334">
        <v>2426</v>
      </c>
      <c r="E1767" s="1740" t="s">
        <v>4571</v>
      </c>
      <c r="F1767" s="1296" t="s">
        <v>4572</v>
      </c>
      <c r="G1767" s="1741">
        <v>2410</v>
      </c>
      <c r="H1767" s="1742" t="s">
        <v>4551</v>
      </c>
      <c r="I1767" s="1310" t="s">
        <v>4463</v>
      </c>
      <c r="J1767" s="1310" t="s">
        <v>58</v>
      </c>
      <c r="K1767" s="1310" t="s">
        <v>57</v>
      </c>
      <c r="L1767" s="1735">
        <v>0.7</v>
      </c>
      <c r="M1767" s="1743" t="s">
        <v>4553</v>
      </c>
      <c r="N1767" s="1743" t="s">
        <v>4554</v>
      </c>
      <c r="O1767" s="1742"/>
      <c r="P1767" s="1744">
        <v>2</v>
      </c>
      <c r="Q1767" s="1745">
        <v>0.2</v>
      </c>
      <c r="R1767" s="1744"/>
      <c r="S1767" s="1746">
        <f t="shared" si="54"/>
        <v>0</v>
      </c>
      <c r="T1767" s="1747">
        <f t="shared" si="55"/>
        <v>0</v>
      </c>
      <c r="U1767" s="1748" t="s">
        <v>34</v>
      </c>
      <c r="V1767" s="1724">
        <f>SUM(T1767:T1772)%</f>
        <v>0</v>
      </c>
      <c r="W1767" s="1742"/>
    </row>
    <row r="1768" spans="1:23" ht="22.95" customHeight="1" x14ac:dyDescent="0.4">
      <c r="A1768" s="788">
        <v>1767</v>
      </c>
      <c r="B1768" s="649" t="s">
        <v>2616</v>
      </c>
      <c r="C1768" s="1731" t="s">
        <v>24</v>
      </c>
      <c r="D1768" s="1485">
        <v>2426</v>
      </c>
      <c r="E1768" s="655" t="s">
        <v>4571</v>
      </c>
      <c r="F1768" s="649" t="s">
        <v>4572</v>
      </c>
      <c r="G1768" s="679">
        <v>2410</v>
      </c>
      <c r="H1768" s="799" t="s">
        <v>4551</v>
      </c>
      <c r="I1768" s="649" t="s">
        <v>4463</v>
      </c>
      <c r="J1768" s="692" t="s">
        <v>58</v>
      </c>
      <c r="K1768" s="692" t="s">
        <v>57</v>
      </c>
      <c r="L1768" s="1687">
        <v>0.7</v>
      </c>
      <c r="M1768" s="1712" t="s">
        <v>4555</v>
      </c>
      <c r="N1768" s="1712" t="s">
        <v>4556</v>
      </c>
      <c r="O1768" s="840"/>
      <c r="P1768" s="959">
        <v>2</v>
      </c>
      <c r="Q1768" s="1069">
        <v>0.2</v>
      </c>
      <c r="R1768" s="959"/>
      <c r="S1768" s="206">
        <f t="shared" si="54"/>
        <v>0</v>
      </c>
      <c r="T1768" s="207">
        <f t="shared" si="55"/>
        <v>0</v>
      </c>
      <c r="U1768" s="208" t="s">
        <v>34</v>
      </c>
      <c r="V1768" s="1203"/>
      <c r="W1768" s="799"/>
    </row>
    <row r="1769" spans="1:23" ht="22.95" customHeight="1" x14ac:dyDescent="0.4">
      <c r="A1769" s="788">
        <v>1768</v>
      </c>
      <c r="B1769" s="649" t="s">
        <v>2616</v>
      </c>
      <c r="C1769" s="1731" t="s">
        <v>24</v>
      </c>
      <c r="D1769" s="1485">
        <v>2426</v>
      </c>
      <c r="E1769" s="655" t="s">
        <v>4571</v>
      </c>
      <c r="F1769" s="649" t="s">
        <v>4572</v>
      </c>
      <c r="G1769" s="679">
        <v>2410</v>
      </c>
      <c r="H1769" s="799" t="s">
        <v>4551</v>
      </c>
      <c r="I1769" s="649" t="s">
        <v>4463</v>
      </c>
      <c r="J1769" s="692" t="s">
        <v>58</v>
      </c>
      <c r="K1769" s="692" t="s">
        <v>57</v>
      </c>
      <c r="L1769" s="1687">
        <v>0.7</v>
      </c>
      <c r="M1769" s="1712" t="s">
        <v>4557</v>
      </c>
      <c r="N1769" s="1712" t="s">
        <v>4558</v>
      </c>
      <c r="O1769" s="840"/>
      <c r="P1769" s="959">
        <v>2</v>
      </c>
      <c r="Q1769" s="1069">
        <v>0.2</v>
      </c>
      <c r="R1769" s="959"/>
      <c r="S1769" s="206">
        <f t="shared" si="54"/>
        <v>0</v>
      </c>
      <c r="T1769" s="207">
        <f t="shared" si="55"/>
        <v>0</v>
      </c>
      <c r="U1769" s="208" t="s">
        <v>34</v>
      </c>
      <c r="V1769" s="1203"/>
      <c r="W1769" s="799"/>
    </row>
    <row r="1770" spans="1:23" ht="22.95" customHeight="1" x14ac:dyDescent="0.4">
      <c r="A1770" s="788">
        <v>1769</v>
      </c>
      <c r="B1770" s="649" t="s">
        <v>2616</v>
      </c>
      <c r="C1770" s="1731" t="s">
        <v>24</v>
      </c>
      <c r="D1770" s="1485">
        <v>2426</v>
      </c>
      <c r="E1770" s="655" t="s">
        <v>4571</v>
      </c>
      <c r="F1770" s="649" t="s">
        <v>4572</v>
      </c>
      <c r="G1770" s="679">
        <v>2410</v>
      </c>
      <c r="H1770" s="799" t="s">
        <v>4551</v>
      </c>
      <c r="I1770" s="649" t="s">
        <v>4463</v>
      </c>
      <c r="J1770" s="692" t="s">
        <v>58</v>
      </c>
      <c r="K1770" s="692" t="s">
        <v>57</v>
      </c>
      <c r="L1770" s="1687">
        <v>0.7</v>
      </c>
      <c r="M1770" s="1712" t="s">
        <v>4559</v>
      </c>
      <c r="N1770" s="1712" t="s">
        <v>4560</v>
      </c>
      <c r="O1770" s="840"/>
      <c r="P1770" s="959">
        <v>2</v>
      </c>
      <c r="Q1770" s="1069">
        <v>0.2</v>
      </c>
      <c r="R1770" s="959"/>
      <c r="S1770" s="206">
        <f t="shared" si="54"/>
        <v>0</v>
      </c>
      <c r="T1770" s="207">
        <f t="shared" si="55"/>
        <v>0</v>
      </c>
      <c r="U1770" s="208" t="s">
        <v>34</v>
      </c>
      <c r="V1770" s="1203"/>
      <c r="W1770" s="799"/>
    </row>
    <row r="1771" spans="1:23" ht="22.95" customHeight="1" x14ac:dyDescent="0.4">
      <c r="A1771" s="788">
        <v>1770</v>
      </c>
      <c r="B1771" s="649" t="s">
        <v>2616</v>
      </c>
      <c r="C1771" s="1731" t="s">
        <v>24</v>
      </c>
      <c r="D1771" s="1485">
        <v>2426</v>
      </c>
      <c r="E1771" s="655" t="s">
        <v>4571</v>
      </c>
      <c r="F1771" s="649" t="s">
        <v>4572</v>
      </c>
      <c r="G1771" s="679">
        <v>2410</v>
      </c>
      <c r="H1771" s="799" t="s">
        <v>4551</v>
      </c>
      <c r="I1771" s="649" t="s">
        <v>4463</v>
      </c>
      <c r="J1771" s="692" t="s">
        <v>58</v>
      </c>
      <c r="K1771" s="692" t="s">
        <v>57</v>
      </c>
      <c r="L1771" s="1687">
        <v>0.7</v>
      </c>
      <c r="M1771" s="1712" t="s">
        <v>4561</v>
      </c>
      <c r="N1771" s="1712" t="s">
        <v>4562</v>
      </c>
      <c r="O1771" s="840"/>
      <c r="P1771" s="959">
        <v>2</v>
      </c>
      <c r="Q1771" s="1069">
        <v>0.2</v>
      </c>
      <c r="R1771" s="959"/>
      <c r="S1771" s="206">
        <f t="shared" si="54"/>
        <v>0</v>
      </c>
      <c r="T1771" s="207">
        <f t="shared" si="55"/>
        <v>0</v>
      </c>
      <c r="U1771" s="208" t="s">
        <v>34</v>
      </c>
      <c r="V1771" s="1203"/>
      <c r="W1771" s="799"/>
    </row>
    <row r="1772" spans="1:23" ht="22.95" customHeight="1" x14ac:dyDescent="0.4">
      <c r="A1772" s="788">
        <v>1771</v>
      </c>
      <c r="B1772" s="1001" t="s">
        <v>2616</v>
      </c>
      <c r="C1772" s="1749" t="s">
        <v>24</v>
      </c>
      <c r="D1772" s="1750">
        <v>2426</v>
      </c>
      <c r="E1772" s="1751" t="s">
        <v>4571</v>
      </c>
      <c r="F1772" s="1001" t="s">
        <v>4572</v>
      </c>
      <c r="G1772" s="1152">
        <v>2410</v>
      </c>
      <c r="H1772" s="1476" t="s">
        <v>4551</v>
      </c>
      <c r="I1772" s="1001" t="s">
        <v>4463</v>
      </c>
      <c r="J1772" s="1752" t="s">
        <v>111</v>
      </c>
      <c r="K1772" s="1752" t="s">
        <v>110</v>
      </c>
      <c r="L1772" s="1753">
        <v>0.3</v>
      </c>
      <c r="M1772" s="1754" t="s">
        <v>4569</v>
      </c>
      <c r="N1772" s="1754" t="s">
        <v>4570</v>
      </c>
      <c r="O1772" s="1476"/>
      <c r="P1772" s="1154">
        <v>3</v>
      </c>
      <c r="Q1772" s="1755">
        <v>1</v>
      </c>
      <c r="R1772" s="1154"/>
      <c r="S1772" s="262">
        <f t="shared" si="54"/>
        <v>0</v>
      </c>
      <c r="T1772" s="263">
        <f t="shared" si="55"/>
        <v>0</v>
      </c>
      <c r="U1772" s="687" t="s">
        <v>34</v>
      </c>
      <c r="V1772" s="1228"/>
      <c r="W1772" s="799"/>
    </row>
    <row r="1773" spans="1:23" ht="22.95" customHeight="1" x14ac:dyDescent="0.4">
      <c r="A1773" s="788">
        <v>1772</v>
      </c>
      <c r="B1773" s="653" t="s">
        <v>2616</v>
      </c>
      <c r="C1773" s="1734" t="s">
        <v>24</v>
      </c>
      <c r="D1773" s="1200">
        <v>2493</v>
      </c>
      <c r="E1773" s="653" t="s">
        <v>4573</v>
      </c>
      <c r="F1773" s="653" t="s">
        <v>4574</v>
      </c>
      <c r="G1773" s="674">
        <v>2491</v>
      </c>
      <c r="H1773" s="653" t="s">
        <v>4461</v>
      </c>
      <c r="I1773" s="1716" t="s">
        <v>4463</v>
      </c>
      <c r="J1773" s="187" t="s">
        <v>58</v>
      </c>
      <c r="K1773" s="187" t="s">
        <v>57</v>
      </c>
      <c r="L1773" s="1684">
        <v>0.5</v>
      </c>
      <c r="M1773" s="1756" t="s">
        <v>4575</v>
      </c>
      <c r="N1773" s="1756"/>
      <c r="O1773" s="791"/>
      <c r="P1773" s="1757">
        <v>1</v>
      </c>
      <c r="Q1773" s="1684">
        <v>0.2</v>
      </c>
      <c r="R1773" s="1757"/>
      <c r="S1773" s="195">
        <f t="shared" si="54"/>
        <v>0</v>
      </c>
      <c r="T1773" s="196">
        <f t="shared" si="55"/>
        <v>0</v>
      </c>
      <c r="U1773" s="197" t="s">
        <v>34</v>
      </c>
      <c r="V1773" s="1724">
        <f>SUM(T1773:T1790)%</f>
        <v>0</v>
      </c>
      <c r="W1773" s="791"/>
    </row>
    <row r="1774" spans="1:23" ht="22.95" customHeight="1" x14ac:dyDescent="0.4">
      <c r="A1774" s="788">
        <v>1773</v>
      </c>
      <c r="B1774" s="1001" t="s">
        <v>2616</v>
      </c>
      <c r="C1774" s="1749" t="s">
        <v>24</v>
      </c>
      <c r="D1774" s="1082">
        <v>2493</v>
      </c>
      <c r="E1774" s="649" t="s">
        <v>4573</v>
      </c>
      <c r="F1774" s="649" t="s">
        <v>4574</v>
      </c>
      <c r="G1774" s="679">
        <v>2491</v>
      </c>
      <c r="H1774" s="649" t="s">
        <v>4461</v>
      </c>
      <c r="I1774" s="1001" t="s">
        <v>4463</v>
      </c>
      <c r="J1774" s="692" t="s">
        <v>58</v>
      </c>
      <c r="K1774" s="692" t="s">
        <v>57</v>
      </c>
      <c r="L1774" s="1758">
        <v>0.5</v>
      </c>
      <c r="M1774" s="1759" t="s">
        <v>4576</v>
      </c>
      <c r="N1774" s="1759"/>
      <c r="O1774" s="840"/>
      <c r="P1774" s="1009">
        <v>1</v>
      </c>
      <c r="Q1774" s="1687">
        <v>0.06</v>
      </c>
      <c r="R1774" s="1009"/>
      <c r="S1774" s="206">
        <f t="shared" si="54"/>
        <v>0</v>
      </c>
      <c r="T1774" s="207">
        <f t="shared" si="55"/>
        <v>0</v>
      </c>
      <c r="U1774" s="208" t="s">
        <v>34</v>
      </c>
      <c r="V1774" s="1203"/>
      <c r="W1774" s="799"/>
    </row>
    <row r="1775" spans="1:23" ht="22.95" customHeight="1" x14ac:dyDescent="0.4">
      <c r="A1775" s="788">
        <v>1774</v>
      </c>
      <c r="B1775" s="649" t="s">
        <v>2616</v>
      </c>
      <c r="C1775" s="1731" t="s">
        <v>24</v>
      </c>
      <c r="D1775" s="1082">
        <v>2493</v>
      </c>
      <c r="E1775" s="649" t="s">
        <v>4573</v>
      </c>
      <c r="F1775" s="649" t="s">
        <v>4574</v>
      </c>
      <c r="G1775" s="679">
        <v>2491</v>
      </c>
      <c r="H1775" s="649" t="s">
        <v>4461</v>
      </c>
      <c r="I1775" s="1001" t="s">
        <v>4463</v>
      </c>
      <c r="J1775" s="692" t="s">
        <v>58</v>
      </c>
      <c r="K1775" s="692" t="s">
        <v>57</v>
      </c>
      <c r="L1775" s="1758">
        <v>0.5</v>
      </c>
      <c r="M1775" s="1759" t="s">
        <v>4476</v>
      </c>
      <c r="N1775" s="1759"/>
      <c r="O1775" s="840"/>
      <c r="P1775" s="1760">
        <v>1</v>
      </c>
      <c r="Q1775" s="1687">
        <v>0.08</v>
      </c>
      <c r="R1775" s="1760"/>
      <c r="S1775" s="206">
        <f t="shared" si="54"/>
        <v>0</v>
      </c>
      <c r="T1775" s="207">
        <f t="shared" si="55"/>
        <v>0</v>
      </c>
      <c r="U1775" s="208" t="s">
        <v>34</v>
      </c>
      <c r="V1775" s="1203"/>
      <c r="W1775" s="799"/>
    </row>
    <row r="1776" spans="1:23" ht="22.95" customHeight="1" x14ac:dyDescent="0.4">
      <c r="A1776" s="788">
        <v>1775</v>
      </c>
      <c r="B1776" s="1001" t="s">
        <v>2616</v>
      </c>
      <c r="C1776" s="1749" t="s">
        <v>24</v>
      </c>
      <c r="D1776" s="1082">
        <v>2493</v>
      </c>
      <c r="E1776" s="649" t="s">
        <v>4573</v>
      </c>
      <c r="F1776" s="649" t="s">
        <v>4574</v>
      </c>
      <c r="G1776" s="679">
        <v>2491</v>
      </c>
      <c r="H1776" s="649" t="s">
        <v>4461</v>
      </c>
      <c r="I1776" s="1001" t="s">
        <v>4463</v>
      </c>
      <c r="J1776" s="692" t="s">
        <v>58</v>
      </c>
      <c r="K1776" s="692" t="s">
        <v>57</v>
      </c>
      <c r="L1776" s="1758">
        <v>0.5</v>
      </c>
      <c r="M1776" s="1761" t="s">
        <v>4577</v>
      </c>
      <c r="N1776" s="1761"/>
      <c r="O1776" s="840"/>
      <c r="P1776" s="1760">
        <v>1</v>
      </c>
      <c r="Q1776" s="1687">
        <v>0.08</v>
      </c>
      <c r="R1776" s="1760"/>
      <c r="S1776" s="206">
        <f t="shared" si="54"/>
        <v>0</v>
      </c>
      <c r="T1776" s="207">
        <f t="shared" si="55"/>
        <v>0</v>
      </c>
      <c r="U1776" s="208" t="s">
        <v>34</v>
      </c>
      <c r="V1776" s="1203"/>
      <c r="W1776" s="799"/>
    </row>
    <row r="1777" spans="1:23" ht="22.95" customHeight="1" x14ac:dyDescent="0.4">
      <c r="A1777" s="788">
        <v>1776</v>
      </c>
      <c r="B1777" s="649" t="s">
        <v>2616</v>
      </c>
      <c r="C1777" s="1731" t="s">
        <v>24</v>
      </c>
      <c r="D1777" s="1082">
        <v>2493</v>
      </c>
      <c r="E1777" s="649" t="s">
        <v>4573</v>
      </c>
      <c r="F1777" s="649" t="s">
        <v>4574</v>
      </c>
      <c r="G1777" s="679">
        <v>2491</v>
      </c>
      <c r="H1777" s="649" t="s">
        <v>4461</v>
      </c>
      <c r="I1777" s="1001" t="s">
        <v>4463</v>
      </c>
      <c r="J1777" s="692" t="s">
        <v>58</v>
      </c>
      <c r="K1777" s="692" t="s">
        <v>57</v>
      </c>
      <c r="L1777" s="1758">
        <v>0.5</v>
      </c>
      <c r="M1777" s="1759" t="s">
        <v>4578</v>
      </c>
      <c r="N1777" s="1759"/>
      <c r="O1777" s="840"/>
      <c r="P1777" s="1760">
        <v>1</v>
      </c>
      <c r="Q1777" s="1687">
        <v>0.08</v>
      </c>
      <c r="R1777" s="1760"/>
      <c r="S1777" s="206">
        <f t="shared" si="54"/>
        <v>0</v>
      </c>
      <c r="T1777" s="207">
        <f t="shared" si="55"/>
        <v>0</v>
      </c>
      <c r="U1777" s="208" t="s">
        <v>34</v>
      </c>
      <c r="V1777" s="1203"/>
      <c r="W1777" s="799"/>
    </row>
    <row r="1778" spans="1:23" ht="22.95" customHeight="1" x14ac:dyDescent="0.4">
      <c r="A1778" s="788">
        <v>1777</v>
      </c>
      <c r="B1778" s="1001" t="s">
        <v>2616</v>
      </c>
      <c r="C1778" s="1749" t="s">
        <v>24</v>
      </c>
      <c r="D1778" s="1082">
        <v>2493</v>
      </c>
      <c r="E1778" s="649" t="s">
        <v>4573</v>
      </c>
      <c r="F1778" s="649" t="s">
        <v>4574</v>
      </c>
      <c r="G1778" s="679">
        <v>2491</v>
      </c>
      <c r="H1778" s="649" t="s">
        <v>4461</v>
      </c>
      <c r="I1778" s="1001" t="s">
        <v>4463</v>
      </c>
      <c r="J1778" s="692" t="s">
        <v>58</v>
      </c>
      <c r="K1778" s="692" t="s">
        <v>57</v>
      </c>
      <c r="L1778" s="1758">
        <v>0.5</v>
      </c>
      <c r="M1778" s="1759" t="s">
        <v>4579</v>
      </c>
      <c r="N1778" s="1759"/>
      <c r="O1778" s="840"/>
      <c r="P1778" s="1760">
        <v>1</v>
      </c>
      <c r="Q1778" s="1687">
        <v>0.1</v>
      </c>
      <c r="R1778" s="1760"/>
      <c r="S1778" s="206">
        <f t="shared" si="54"/>
        <v>0</v>
      </c>
      <c r="T1778" s="207">
        <f t="shared" si="55"/>
        <v>0</v>
      </c>
      <c r="U1778" s="208" t="s">
        <v>34</v>
      </c>
      <c r="V1778" s="1203"/>
      <c r="W1778" s="799"/>
    </row>
    <row r="1779" spans="1:23" ht="22.95" customHeight="1" x14ac:dyDescent="0.4">
      <c r="A1779" s="788">
        <v>1778</v>
      </c>
      <c r="B1779" s="649" t="s">
        <v>2616</v>
      </c>
      <c r="C1779" s="1731" t="s">
        <v>24</v>
      </c>
      <c r="D1779" s="1082">
        <v>2493</v>
      </c>
      <c r="E1779" s="649" t="s">
        <v>4573</v>
      </c>
      <c r="F1779" s="649" t="s">
        <v>4574</v>
      </c>
      <c r="G1779" s="679">
        <v>2491</v>
      </c>
      <c r="H1779" s="649" t="s">
        <v>4461</v>
      </c>
      <c r="I1779" s="1001" t="s">
        <v>4463</v>
      </c>
      <c r="J1779" s="692" t="s">
        <v>58</v>
      </c>
      <c r="K1779" s="692" t="s">
        <v>57</v>
      </c>
      <c r="L1779" s="1758">
        <v>0.5</v>
      </c>
      <c r="M1779" s="1759" t="s">
        <v>4491</v>
      </c>
      <c r="N1779" s="1759"/>
      <c r="O1779" s="840"/>
      <c r="P1779" s="1760">
        <v>1</v>
      </c>
      <c r="Q1779" s="1687">
        <v>0.08</v>
      </c>
      <c r="R1779" s="1760"/>
      <c r="S1779" s="206">
        <f t="shared" si="54"/>
        <v>0</v>
      </c>
      <c r="T1779" s="207">
        <f t="shared" si="55"/>
        <v>0</v>
      </c>
      <c r="U1779" s="208" t="s">
        <v>34</v>
      </c>
      <c r="V1779" s="1203"/>
      <c r="W1779" s="799"/>
    </row>
    <row r="1780" spans="1:23" ht="22.95" customHeight="1" x14ac:dyDescent="0.4">
      <c r="A1780" s="788">
        <v>1779</v>
      </c>
      <c r="B1780" s="1001" t="s">
        <v>2616</v>
      </c>
      <c r="C1780" s="1749" t="s">
        <v>24</v>
      </c>
      <c r="D1780" s="1082">
        <v>2493</v>
      </c>
      <c r="E1780" s="649" t="s">
        <v>4573</v>
      </c>
      <c r="F1780" s="649" t="s">
        <v>4574</v>
      </c>
      <c r="G1780" s="679">
        <v>2491</v>
      </c>
      <c r="H1780" s="649" t="s">
        <v>4461</v>
      </c>
      <c r="I1780" s="1001" t="s">
        <v>4463</v>
      </c>
      <c r="J1780" s="692" t="s">
        <v>58</v>
      </c>
      <c r="K1780" s="692" t="s">
        <v>57</v>
      </c>
      <c r="L1780" s="1758">
        <v>0.5</v>
      </c>
      <c r="M1780" s="1759" t="s">
        <v>4580</v>
      </c>
      <c r="N1780" s="1759"/>
      <c r="O1780" s="840"/>
      <c r="P1780" s="1760">
        <v>1</v>
      </c>
      <c r="Q1780" s="1687">
        <v>0.08</v>
      </c>
      <c r="R1780" s="1760"/>
      <c r="S1780" s="206">
        <f t="shared" si="54"/>
        <v>0</v>
      </c>
      <c r="T1780" s="207">
        <f t="shared" si="55"/>
        <v>0</v>
      </c>
      <c r="U1780" s="208" t="s">
        <v>34</v>
      </c>
      <c r="V1780" s="1203"/>
      <c r="W1780" s="799"/>
    </row>
    <row r="1781" spans="1:23" ht="22.95" customHeight="1" x14ac:dyDescent="0.4">
      <c r="A1781" s="788">
        <v>1780</v>
      </c>
      <c r="B1781" s="649" t="s">
        <v>2616</v>
      </c>
      <c r="C1781" s="1731" t="s">
        <v>24</v>
      </c>
      <c r="D1781" s="1082">
        <v>2493</v>
      </c>
      <c r="E1781" s="649" t="s">
        <v>4573</v>
      </c>
      <c r="F1781" s="649" t="s">
        <v>4574</v>
      </c>
      <c r="G1781" s="679">
        <v>2491</v>
      </c>
      <c r="H1781" s="649" t="s">
        <v>4461</v>
      </c>
      <c r="I1781" s="1001" t="s">
        <v>4463</v>
      </c>
      <c r="J1781" s="692" t="s">
        <v>58</v>
      </c>
      <c r="K1781" s="692" t="s">
        <v>57</v>
      </c>
      <c r="L1781" s="1758">
        <v>0.5</v>
      </c>
      <c r="M1781" s="1759" t="s">
        <v>4581</v>
      </c>
      <c r="N1781" s="1759"/>
      <c r="O1781" s="840"/>
      <c r="P1781" s="1760">
        <v>1</v>
      </c>
      <c r="Q1781" s="1687">
        <v>0.08</v>
      </c>
      <c r="R1781" s="1760"/>
      <c r="S1781" s="206">
        <f t="shared" si="54"/>
        <v>0</v>
      </c>
      <c r="T1781" s="207">
        <f t="shared" si="55"/>
        <v>0</v>
      </c>
      <c r="U1781" s="208" t="s">
        <v>34</v>
      </c>
      <c r="V1781" s="1203"/>
      <c r="W1781" s="799"/>
    </row>
    <row r="1782" spans="1:23" ht="22.95" customHeight="1" x14ac:dyDescent="0.4">
      <c r="A1782" s="788">
        <v>1781</v>
      </c>
      <c r="B1782" s="1001" t="s">
        <v>2616</v>
      </c>
      <c r="C1782" s="1749" t="s">
        <v>24</v>
      </c>
      <c r="D1782" s="1082">
        <v>2493</v>
      </c>
      <c r="E1782" s="649" t="s">
        <v>4573</v>
      </c>
      <c r="F1782" s="649" t="s">
        <v>4574</v>
      </c>
      <c r="G1782" s="679">
        <v>2491</v>
      </c>
      <c r="H1782" s="649" t="s">
        <v>4461</v>
      </c>
      <c r="I1782" s="1001" t="s">
        <v>4463</v>
      </c>
      <c r="J1782" s="692" t="s">
        <v>58</v>
      </c>
      <c r="K1782" s="692" t="s">
        <v>57</v>
      </c>
      <c r="L1782" s="1758">
        <v>0.5</v>
      </c>
      <c r="M1782" s="1759" t="s">
        <v>4582</v>
      </c>
      <c r="N1782" s="1759"/>
      <c r="O1782" s="840"/>
      <c r="P1782" s="1760">
        <v>1</v>
      </c>
      <c r="Q1782" s="1687">
        <v>0.08</v>
      </c>
      <c r="R1782" s="1760"/>
      <c r="S1782" s="206">
        <f t="shared" si="54"/>
        <v>0</v>
      </c>
      <c r="T1782" s="207">
        <f t="shared" si="55"/>
        <v>0</v>
      </c>
      <c r="U1782" s="208" t="s">
        <v>34</v>
      </c>
      <c r="V1782" s="1203"/>
      <c r="W1782" s="799"/>
    </row>
    <row r="1783" spans="1:23" ht="22.95" customHeight="1" x14ac:dyDescent="0.4">
      <c r="A1783" s="788">
        <v>1782</v>
      </c>
      <c r="B1783" s="649" t="s">
        <v>2616</v>
      </c>
      <c r="C1783" s="1731" t="s">
        <v>24</v>
      </c>
      <c r="D1783" s="1082">
        <v>2493</v>
      </c>
      <c r="E1783" s="649" t="s">
        <v>4573</v>
      </c>
      <c r="F1783" s="649" t="s">
        <v>4574</v>
      </c>
      <c r="G1783" s="679">
        <v>2491</v>
      </c>
      <c r="H1783" s="649" t="s">
        <v>4461</v>
      </c>
      <c r="I1783" s="1001" t="s">
        <v>4463</v>
      </c>
      <c r="J1783" s="692" t="s">
        <v>58</v>
      </c>
      <c r="K1783" s="692" t="s">
        <v>57</v>
      </c>
      <c r="L1783" s="1758">
        <v>0.5</v>
      </c>
      <c r="M1783" s="1759" t="s">
        <v>4483</v>
      </c>
      <c r="N1783" s="1759"/>
      <c r="O1783" s="840"/>
      <c r="P1783" s="1760">
        <v>1</v>
      </c>
      <c r="Q1783" s="1687">
        <v>0.08</v>
      </c>
      <c r="R1783" s="1760"/>
      <c r="S1783" s="206">
        <f t="shared" si="54"/>
        <v>0</v>
      </c>
      <c r="T1783" s="207">
        <f t="shared" si="55"/>
        <v>0</v>
      </c>
      <c r="U1783" s="208" t="s">
        <v>34</v>
      </c>
      <c r="V1783" s="1203"/>
      <c r="W1783" s="799"/>
    </row>
    <row r="1784" spans="1:23" ht="22.95" customHeight="1" x14ac:dyDescent="0.4">
      <c r="A1784" s="788">
        <v>1783</v>
      </c>
      <c r="B1784" s="1001" t="s">
        <v>2616</v>
      </c>
      <c r="C1784" s="1749" t="s">
        <v>24</v>
      </c>
      <c r="D1784" s="1082">
        <v>2493</v>
      </c>
      <c r="E1784" s="649" t="s">
        <v>4573</v>
      </c>
      <c r="F1784" s="649" t="s">
        <v>4574</v>
      </c>
      <c r="G1784" s="679">
        <v>2491</v>
      </c>
      <c r="H1784" s="649" t="s">
        <v>4461</v>
      </c>
      <c r="I1784" s="1001" t="s">
        <v>4463</v>
      </c>
      <c r="J1784" s="1752" t="s">
        <v>111</v>
      </c>
      <c r="K1784" s="1752" t="s">
        <v>110</v>
      </c>
      <c r="L1784" s="1739">
        <v>0.5</v>
      </c>
      <c r="M1784" s="1762" t="s">
        <v>4583</v>
      </c>
      <c r="N1784" s="1762"/>
      <c r="O1784" s="799"/>
      <c r="P1784" s="1655">
        <v>1</v>
      </c>
      <c r="Q1784" s="1691">
        <v>0.2</v>
      </c>
      <c r="R1784" s="1655"/>
      <c r="S1784" s="262">
        <f t="shared" si="54"/>
        <v>0</v>
      </c>
      <c r="T1784" s="263">
        <f t="shared" si="55"/>
        <v>0</v>
      </c>
      <c r="U1784" s="687" t="s">
        <v>34</v>
      </c>
      <c r="V1784" s="1228"/>
      <c r="W1784" s="799"/>
    </row>
    <row r="1785" spans="1:23" ht="22.95" customHeight="1" x14ac:dyDescent="0.4">
      <c r="A1785" s="788">
        <v>1784</v>
      </c>
      <c r="B1785" s="649" t="s">
        <v>2616</v>
      </c>
      <c r="C1785" s="1731" t="s">
        <v>24</v>
      </c>
      <c r="D1785" s="1082">
        <v>2493</v>
      </c>
      <c r="E1785" s="649" t="s">
        <v>4573</v>
      </c>
      <c r="F1785" s="649" t="s">
        <v>4574</v>
      </c>
      <c r="G1785" s="679">
        <v>2491</v>
      </c>
      <c r="H1785" s="649" t="s">
        <v>4461</v>
      </c>
      <c r="I1785" s="1001" t="s">
        <v>4463</v>
      </c>
      <c r="J1785" s="1752" t="s">
        <v>111</v>
      </c>
      <c r="K1785" s="1752" t="s">
        <v>110</v>
      </c>
      <c r="L1785" s="1739">
        <v>0.5</v>
      </c>
      <c r="M1785" s="1762" t="s">
        <v>4584</v>
      </c>
      <c r="N1785" s="1762"/>
      <c r="O1785" s="799"/>
      <c r="P1785" s="1763">
        <v>1</v>
      </c>
      <c r="Q1785" s="1764">
        <v>0.2</v>
      </c>
      <c r="R1785" s="1763"/>
      <c r="S1785" s="262">
        <f t="shared" si="54"/>
        <v>0</v>
      </c>
      <c r="T1785" s="263">
        <f t="shared" si="55"/>
        <v>0</v>
      </c>
      <c r="U1785" s="687" t="s">
        <v>34</v>
      </c>
      <c r="V1785" s="1228"/>
      <c r="W1785" s="799"/>
    </row>
    <row r="1786" spans="1:23" ht="22.95" customHeight="1" x14ac:dyDescent="0.4">
      <c r="A1786" s="788">
        <v>1785</v>
      </c>
      <c r="B1786" s="1001" t="s">
        <v>2616</v>
      </c>
      <c r="C1786" s="1749" t="s">
        <v>24</v>
      </c>
      <c r="D1786" s="1082">
        <v>2493</v>
      </c>
      <c r="E1786" s="649" t="s">
        <v>4573</v>
      </c>
      <c r="F1786" s="649" t="s">
        <v>4574</v>
      </c>
      <c r="G1786" s="679">
        <v>2491</v>
      </c>
      <c r="H1786" s="649" t="s">
        <v>4461</v>
      </c>
      <c r="I1786" s="1001" t="s">
        <v>4463</v>
      </c>
      <c r="J1786" s="1752" t="s">
        <v>111</v>
      </c>
      <c r="K1786" s="1752" t="s">
        <v>110</v>
      </c>
      <c r="L1786" s="1739">
        <v>0.5</v>
      </c>
      <c r="M1786" s="1762" t="s">
        <v>4585</v>
      </c>
      <c r="N1786" s="1762"/>
      <c r="O1786" s="799"/>
      <c r="P1786" s="1655">
        <v>1</v>
      </c>
      <c r="Q1786" s="1764">
        <v>0.2</v>
      </c>
      <c r="R1786" s="1655"/>
      <c r="S1786" s="262">
        <f t="shared" si="54"/>
        <v>0</v>
      </c>
      <c r="T1786" s="263">
        <f t="shared" si="55"/>
        <v>0</v>
      </c>
      <c r="U1786" s="687" t="s">
        <v>34</v>
      </c>
      <c r="V1786" s="1228"/>
      <c r="W1786" s="799"/>
    </row>
    <row r="1787" spans="1:23" ht="22.95" customHeight="1" x14ac:dyDescent="0.4">
      <c r="A1787" s="788">
        <v>1786</v>
      </c>
      <c r="B1787" s="649" t="s">
        <v>2616</v>
      </c>
      <c r="C1787" s="1731" t="s">
        <v>24</v>
      </c>
      <c r="D1787" s="1082">
        <v>2493</v>
      </c>
      <c r="E1787" s="649" t="s">
        <v>4573</v>
      </c>
      <c r="F1787" s="649" t="s">
        <v>4574</v>
      </c>
      <c r="G1787" s="679">
        <v>2491</v>
      </c>
      <c r="H1787" s="649" t="s">
        <v>4461</v>
      </c>
      <c r="I1787" s="1001" t="s">
        <v>4463</v>
      </c>
      <c r="J1787" s="1752" t="s">
        <v>111</v>
      </c>
      <c r="K1787" s="1752" t="s">
        <v>110</v>
      </c>
      <c r="L1787" s="1739">
        <v>0.5</v>
      </c>
      <c r="M1787" s="1762" t="s">
        <v>4586</v>
      </c>
      <c r="N1787" s="1762"/>
      <c r="O1787" s="799"/>
      <c r="P1787" s="1763">
        <v>1</v>
      </c>
      <c r="Q1787" s="1764">
        <v>0.1</v>
      </c>
      <c r="R1787" s="1763"/>
      <c r="S1787" s="262">
        <f t="shared" si="54"/>
        <v>0</v>
      </c>
      <c r="T1787" s="263">
        <f t="shared" si="55"/>
        <v>0</v>
      </c>
      <c r="U1787" s="687" t="s">
        <v>34</v>
      </c>
      <c r="V1787" s="1228"/>
      <c r="W1787" s="799"/>
    </row>
    <row r="1788" spans="1:23" ht="22.95" customHeight="1" x14ac:dyDescent="0.4">
      <c r="A1788" s="788">
        <v>1787</v>
      </c>
      <c r="B1788" s="1001" t="s">
        <v>2616</v>
      </c>
      <c r="C1788" s="1749" t="s">
        <v>24</v>
      </c>
      <c r="D1788" s="1082">
        <v>2493</v>
      </c>
      <c r="E1788" s="649" t="s">
        <v>4573</v>
      </c>
      <c r="F1788" s="649" t="s">
        <v>4574</v>
      </c>
      <c r="G1788" s="679">
        <v>2491</v>
      </c>
      <c r="H1788" s="649" t="s">
        <v>4461</v>
      </c>
      <c r="I1788" s="1001" t="s">
        <v>4463</v>
      </c>
      <c r="J1788" s="1752" t="s">
        <v>111</v>
      </c>
      <c r="K1788" s="1752" t="s">
        <v>110</v>
      </c>
      <c r="L1788" s="1739">
        <v>0.5</v>
      </c>
      <c r="M1788" s="1762" t="s">
        <v>4587</v>
      </c>
      <c r="N1788" s="1762"/>
      <c r="O1788" s="799"/>
      <c r="P1788" s="1763">
        <v>1</v>
      </c>
      <c r="Q1788" s="1764">
        <v>0.1</v>
      </c>
      <c r="R1788" s="1763"/>
      <c r="S1788" s="262">
        <f t="shared" si="54"/>
        <v>0</v>
      </c>
      <c r="T1788" s="263">
        <f t="shared" si="55"/>
        <v>0</v>
      </c>
      <c r="U1788" s="687" t="s">
        <v>34</v>
      </c>
      <c r="V1788" s="1228"/>
      <c r="W1788" s="799"/>
    </row>
    <row r="1789" spans="1:23" ht="22.95" customHeight="1" x14ac:dyDescent="0.4">
      <c r="A1789" s="788">
        <v>1788</v>
      </c>
      <c r="B1789" s="649" t="s">
        <v>2616</v>
      </c>
      <c r="C1789" s="1731" t="s">
        <v>24</v>
      </c>
      <c r="D1789" s="1082">
        <v>2493</v>
      </c>
      <c r="E1789" s="649" t="s">
        <v>4573</v>
      </c>
      <c r="F1789" s="649" t="s">
        <v>4574</v>
      </c>
      <c r="G1789" s="679">
        <v>2491</v>
      </c>
      <c r="H1789" s="649" t="s">
        <v>4461</v>
      </c>
      <c r="I1789" s="1001" t="s">
        <v>4463</v>
      </c>
      <c r="J1789" s="1752" t="s">
        <v>111</v>
      </c>
      <c r="K1789" s="1752" t="s">
        <v>110</v>
      </c>
      <c r="L1789" s="1739">
        <v>0.5</v>
      </c>
      <c r="M1789" s="1762" t="s">
        <v>4588</v>
      </c>
      <c r="N1789" s="1762"/>
      <c r="O1789" s="799"/>
      <c r="P1789" s="1763">
        <v>1</v>
      </c>
      <c r="Q1789" s="1764">
        <v>0.1</v>
      </c>
      <c r="R1789" s="1763"/>
      <c r="S1789" s="262">
        <f t="shared" si="54"/>
        <v>0</v>
      </c>
      <c r="T1789" s="263">
        <f t="shared" si="55"/>
        <v>0</v>
      </c>
      <c r="U1789" s="687" t="s">
        <v>34</v>
      </c>
      <c r="V1789" s="1228"/>
      <c r="W1789" s="799"/>
    </row>
    <row r="1790" spans="1:23" ht="22.95" customHeight="1" x14ac:dyDescent="0.4">
      <c r="A1790" s="788">
        <v>1789</v>
      </c>
      <c r="B1790" s="1001" t="s">
        <v>2616</v>
      </c>
      <c r="C1790" s="1749" t="s">
        <v>24</v>
      </c>
      <c r="D1790" s="1082">
        <v>2493</v>
      </c>
      <c r="E1790" s="649" t="s">
        <v>4573</v>
      </c>
      <c r="F1790" s="649" t="s">
        <v>4574</v>
      </c>
      <c r="G1790" s="679">
        <v>2491</v>
      </c>
      <c r="H1790" s="649" t="s">
        <v>4461</v>
      </c>
      <c r="I1790" s="1001" t="s">
        <v>4463</v>
      </c>
      <c r="J1790" s="1752" t="s">
        <v>111</v>
      </c>
      <c r="K1790" s="1752" t="s">
        <v>110</v>
      </c>
      <c r="L1790" s="1691">
        <v>0.5</v>
      </c>
      <c r="M1790" s="1762" t="s">
        <v>4589</v>
      </c>
      <c r="N1790" s="1762"/>
      <c r="O1790" s="799"/>
      <c r="P1790" s="1763">
        <v>1</v>
      </c>
      <c r="Q1790" s="1764">
        <v>0.1</v>
      </c>
      <c r="R1790" s="1763"/>
      <c r="S1790" s="262">
        <f t="shared" si="54"/>
        <v>0</v>
      </c>
      <c r="T1790" s="263">
        <f t="shared" si="55"/>
        <v>0</v>
      </c>
      <c r="U1790" s="687" t="s">
        <v>34</v>
      </c>
      <c r="V1790" s="1228"/>
      <c r="W1790" s="799"/>
    </row>
    <row r="1791" spans="1:23" ht="22.95" customHeight="1" x14ac:dyDescent="0.4">
      <c r="A1791" s="788">
        <v>1790</v>
      </c>
      <c r="B1791" s="653" t="s">
        <v>2616</v>
      </c>
      <c r="C1791" s="653" t="s">
        <v>24</v>
      </c>
      <c r="D1791" s="1334">
        <v>2471</v>
      </c>
      <c r="E1791" s="653" t="s">
        <v>4504</v>
      </c>
      <c r="F1791" s="653" t="s">
        <v>4590</v>
      </c>
      <c r="G1791" s="674">
        <v>2491</v>
      </c>
      <c r="H1791" s="653" t="s">
        <v>4461</v>
      </c>
      <c r="I1791" s="653" t="s">
        <v>4463</v>
      </c>
      <c r="J1791" s="187" t="s">
        <v>58</v>
      </c>
      <c r="K1791" s="187" t="s">
        <v>57</v>
      </c>
      <c r="L1791" s="1684">
        <v>0.5</v>
      </c>
      <c r="M1791" s="1532" t="s">
        <v>4591</v>
      </c>
      <c r="N1791" s="1532" t="s">
        <v>4592</v>
      </c>
      <c r="O1791" s="791"/>
      <c r="P1791" s="1532">
        <v>1</v>
      </c>
      <c r="Q1791" s="1191">
        <v>0.05</v>
      </c>
      <c r="R1791" s="1532"/>
      <c r="S1791" s="195">
        <f t="shared" si="54"/>
        <v>0</v>
      </c>
      <c r="T1791" s="196">
        <f t="shared" si="55"/>
        <v>0</v>
      </c>
      <c r="U1791" s="197" t="s">
        <v>34</v>
      </c>
      <c r="V1791" s="1724">
        <f>SUM(T1791:T1810)%</f>
        <v>0</v>
      </c>
      <c r="W1791" s="791"/>
    </row>
    <row r="1792" spans="1:23" ht="22.95" customHeight="1" x14ac:dyDescent="0.4">
      <c r="A1792" s="788">
        <v>1791</v>
      </c>
      <c r="B1792" s="649" t="s">
        <v>2616</v>
      </c>
      <c r="C1792" s="649" t="s">
        <v>24</v>
      </c>
      <c r="D1792" s="1082">
        <v>2471</v>
      </c>
      <c r="E1792" s="649" t="s">
        <v>4504</v>
      </c>
      <c r="F1792" s="649" t="s">
        <v>4590</v>
      </c>
      <c r="G1792" s="679">
        <v>2491</v>
      </c>
      <c r="H1792" s="649" t="s">
        <v>4461</v>
      </c>
      <c r="I1792" s="649" t="s">
        <v>4463</v>
      </c>
      <c r="J1792" s="692" t="s">
        <v>58</v>
      </c>
      <c r="K1792" s="692" t="s">
        <v>57</v>
      </c>
      <c r="L1792" s="1687">
        <v>0.5</v>
      </c>
      <c r="M1792" s="1712" t="s">
        <v>4593</v>
      </c>
      <c r="N1792" s="1536" t="s">
        <v>4594</v>
      </c>
      <c r="O1792" s="840"/>
      <c r="P1792" s="1536">
        <v>10</v>
      </c>
      <c r="Q1792" s="1069">
        <v>0.02</v>
      </c>
      <c r="R1792" s="1536"/>
      <c r="S1792" s="206">
        <f t="shared" si="54"/>
        <v>0</v>
      </c>
      <c r="T1792" s="207">
        <f t="shared" si="55"/>
        <v>0</v>
      </c>
      <c r="U1792" s="208" t="s">
        <v>34</v>
      </c>
      <c r="V1792" s="1203"/>
      <c r="W1792" s="799"/>
    </row>
    <row r="1793" spans="1:23" ht="22.95" customHeight="1" x14ac:dyDescent="0.4">
      <c r="A1793" s="788">
        <v>1792</v>
      </c>
      <c r="B1793" s="649" t="s">
        <v>2616</v>
      </c>
      <c r="C1793" s="649" t="s">
        <v>24</v>
      </c>
      <c r="D1793" s="1082">
        <v>2471</v>
      </c>
      <c r="E1793" s="649" t="s">
        <v>4504</v>
      </c>
      <c r="F1793" s="649" t="s">
        <v>4590</v>
      </c>
      <c r="G1793" s="679">
        <v>2491</v>
      </c>
      <c r="H1793" s="649" t="s">
        <v>4461</v>
      </c>
      <c r="I1793" s="649" t="s">
        <v>4463</v>
      </c>
      <c r="J1793" s="692" t="s">
        <v>58</v>
      </c>
      <c r="K1793" s="692" t="s">
        <v>57</v>
      </c>
      <c r="L1793" s="1687">
        <v>0.5</v>
      </c>
      <c r="M1793" s="1712" t="s">
        <v>4595</v>
      </c>
      <c r="N1793" s="1536" t="s">
        <v>4596</v>
      </c>
      <c r="O1793" s="840"/>
      <c r="P1793" s="1536">
        <v>38</v>
      </c>
      <c r="Q1793" s="1069">
        <v>0.2</v>
      </c>
      <c r="R1793" s="1536"/>
      <c r="S1793" s="206">
        <f t="shared" si="54"/>
        <v>0</v>
      </c>
      <c r="T1793" s="207">
        <f t="shared" si="55"/>
        <v>0</v>
      </c>
      <c r="U1793" s="208" t="s">
        <v>34</v>
      </c>
      <c r="V1793" s="1203"/>
      <c r="W1793" s="799"/>
    </row>
    <row r="1794" spans="1:23" ht="22.95" customHeight="1" x14ac:dyDescent="0.4">
      <c r="A1794" s="788">
        <v>1793</v>
      </c>
      <c r="B1794" s="649" t="s">
        <v>2616</v>
      </c>
      <c r="C1794" s="649" t="s">
        <v>24</v>
      </c>
      <c r="D1794" s="1082">
        <v>2471</v>
      </c>
      <c r="E1794" s="649" t="s">
        <v>4504</v>
      </c>
      <c r="F1794" s="649" t="s">
        <v>4590</v>
      </c>
      <c r="G1794" s="679">
        <v>2491</v>
      </c>
      <c r="H1794" s="649" t="s">
        <v>4461</v>
      </c>
      <c r="I1794" s="649" t="s">
        <v>4463</v>
      </c>
      <c r="J1794" s="692" t="s">
        <v>58</v>
      </c>
      <c r="K1794" s="692" t="s">
        <v>57</v>
      </c>
      <c r="L1794" s="1687">
        <v>0.5</v>
      </c>
      <c r="M1794" s="1536" t="s">
        <v>4597</v>
      </c>
      <c r="N1794" s="1536" t="s">
        <v>4598</v>
      </c>
      <c r="O1794" s="840"/>
      <c r="P1794" s="1536">
        <v>60</v>
      </c>
      <c r="Q1794" s="1069">
        <v>0.25</v>
      </c>
      <c r="R1794" s="1536"/>
      <c r="S1794" s="206">
        <f t="shared" ref="S1794:S1857" si="56">ROUND(IF(OR(P1794="",R1794=""),0,IF(AND(P1794=0,R1794=0),1,IF(U1794="+",R1794/P1794,P1794/R1794))),2)</f>
        <v>0</v>
      </c>
      <c r="T1794" s="207">
        <f t="shared" ref="T1794:T1857" si="57">IF(AND(S1794&gt;=60%,S1794&lt;100%),S1794*((Q1794*L1794)),IF(S1794=100%,((Q1794*L1794)*S1794)*100%,IF(S1794&gt;100%,((L1794*Q1794)*100%)*100%,0)))*100</f>
        <v>0</v>
      </c>
      <c r="U1794" s="208" t="s">
        <v>34</v>
      </c>
      <c r="V1794" s="1203"/>
      <c r="W1794" s="799"/>
    </row>
    <row r="1795" spans="1:23" ht="22.95" customHeight="1" x14ac:dyDescent="0.4">
      <c r="A1795" s="788">
        <v>1794</v>
      </c>
      <c r="B1795" s="649" t="s">
        <v>2616</v>
      </c>
      <c r="C1795" s="649" t="s">
        <v>24</v>
      </c>
      <c r="D1795" s="1082">
        <v>2471</v>
      </c>
      <c r="E1795" s="649" t="s">
        <v>4504</v>
      </c>
      <c r="F1795" s="649" t="s">
        <v>4590</v>
      </c>
      <c r="G1795" s="679">
        <v>2491</v>
      </c>
      <c r="H1795" s="649" t="s">
        <v>4461</v>
      </c>
      <c r="I1795" s="649" t="s">
        <v>4463</v>
      </c>
      <c r="J1795" s="692" t="s">
        <v>58</v>
      </c>
      <c r="K1795" s="692" t="s">
        <v>57</v>
      </c>
      <c r="L1795" s="1687">
        <v>0.5</v>
      </c>
      <c r="M1795" s="1536" t="s">
        <v>4599</v>
      </c>
      <c r="N1795" s="1536" t="s">
        <v>4600</v>
      </c>
      <c r="O1795" s="840"/>
      <c r="P1795" s="1536">
        <v>9</v>
      </c>
      <c r="Q1795" s="1069">
        <v>0.02</v>
      </c>
      <c r="R1795" s="1536"/>
      <c r="S1795" s="206">
        <f t="shared" si="56"/>
        <v>0</v>
      </c>
      <c r="T1795" s="207">
        <f t="shared" si="57"/>
        <v>0</v>
      </c>
      <c r="U1795" s="208" t="s">
        <v>34</v>
      </c>
      <c r="V1795" s="1203"/>
      <c r="W1795" s="799"/>
    </row>
    <row r="1796" spans="1:23" ht="22.95" customHeight="1" x14ac:dyDescent="0.4">
      <c r="A1796" s="788">
        <v>1795</v>
      </c>
      <c r="B1796" s="649" t="s">
        <v>2616</v>
      </c>
      <c r="C1796" s="649" t="s">
        <v>24</v>
      </c>
      <c r="D1796" s="1082">
        <v>2471</v>
      </c>
      <c r="E1796" s="649" t="s">
        <v>4504</v>
      </c>
      <c r="F1796" s="649" t="s">
        <v>4590</v>
      </c>
      <c r="G1796" s="679">
        <v>2491</v>
      </c>
      <c r="H1796" s="649" t="s">
        <v>4461</v>
      </c>
      <c r="I1796" s="649" t="s">
        <v>4463</v>
      </c>
      <c r="J1796" s="692" t="s">
        <v>58</v>
      </c>
      <c r="K1796" s="692" t="s">
        <v>57</v>
      </c>
      <c r="L1796" s="1687">
        <v>0.5</v>
      </c>
      <c r="M1796" s="1536" t="s">
        <v>4515</v>
      </c>
      <c r="N1796" s="1536" t="s">
        <v>4516</v>
      </c>
      <c r="O1796" s="840"/>
      <c r="P1796" s="1536">
        <v>5</v>
      </c>
      <c r="Q1796" s="1069">
        <v>0.05</v>
      </c>
      <c r="R1796" s="1536"/>
      <c r="S1796" s="206">
        <f t="shared" si="56"/>
        <v>0</v>
      </c>
      <c r="T1796" s="207">
        <f t="shared" si="57"/>
        <v>0</v>
      </c>
      <c r="U1796" s="208" t="s">
        <v>34</v>
      </c>
      <c r="V1796" s="1203"/>
      <c r="W1796" s="799"/>
    </row>
    <row r="1797" spans="1:23" ht="22.95" customHeight="1" x14ac:dyDescent="0.4">
      <c r="A1797" s="788">
        <v>1796</v>
      </c>
      <c r="B1797" s="649" t="s">
        <v>2616</v>
      </c>
      <c r="C1797" s="649" t="s">
        <v>24</v>
      </c>
      <c r="D1797" s="1082">
        <v>2471</v>
      </c>
      <c r="E1797" s="649" t="s">
        <v>4504</v>
      </c>
      <c r="F1797" s="649" t="s">
        <v>4590</v>
      </c>
      <c r="G1797" s="679">
        <v>2491</v>
      </c>
      <c r="H1797" s="649" t="s">
        <v>4461</v>
      </c>
      <c r="I1797" s="649" t="s">
        <v>4463</v>
      </c>
      <c r="J1797" s="692" t="s">
        <v>58</v>
      </c>
      <c r="K1797" s="692" t="s">
        <v>57</v>
      </c>
      <c r="L1797" s="1687">
        <v>0.5</v>
      </c>
      <c r="M1797" s="1536" t="s">
        <v>4601</v>
      </c>
      <c r="N1797" s="1536" t="s">
        <v>4602</v>
      </c>
      <c r="O1797" s="840"/>
      <c r="P1797" s="1536">
        <v>3</v>
      </c>
      <c r="Q1797" s="1069">
        <v>0.15</v>
      </c>
      <c r="R1797" s="1536"/>
      <c r="S1797" s="206">
        <f t="shared" si="56"/>
        <v>0</v>
      </c>
      <c r="T1797" s="207">
        <f t="shared" si="57"/>
        <v>0</v>
      </c>
      <c r="U1797" s="208" t="s">
        <v>34</v>
      </c>
      <c r="V1797" s="1203"/>
      <c r="W1797" s="799"/>
    </row>
    <row r="1798" spans="1:23" ht="22.95" customHeight="1" x14ac:dyDescent="0.4">
      <c r="A1798" s="788">
        <v>1797</v>
      </c>
      <c r="B1798" s="649" t="s">
        <v>2616</v>
      </c>
      <c r="C1798" s="649" t="s">
        <v>24</v>
      </c>
      <c r="D1798" s="1082">
        <v>2471</v>
      </c>
      <c r="E1798" s="649" t="s">
        <v>4504</v>
      </c>
      <c r="F1798" s="649" t="s">
        <v>4590</v>
      </c>
      <c r="G1798" s="679">
        <v>2491</v>
      </c>
      <c r="H1798" s="649" t="s">
        <v>4461</v>
      </c>
      <c r="I1798" s="649" t="s">
        <v>4463</v>
      </c>
      <c r="J1798" s="692" t="s">
        <v>58</v>
      </c>
      <c r="K1798" s="692" t="s">
        <v>57</v>
      </c>
      <c r="L1798" s="1687">
        <v>0.5</v>
      </c>
      <c r="M1798" s="1536" t="s">
        <v>4603</v>
      </c>
      <c r="N1798" s="1536" t="s">
        <v>4604</v>
      </c>
      <c r="O1798" s="840"/>
      <c r="P1798" s="1536">
        <v>4</v>
      </c>
      <c r="Q1798" s="1069">
        <v>0.02</v>
      </c>
      <c r="R1798" s="1536"/>
      <c r="S1798" s="206">
        <f t="shared" si="56"/>
        <v>0</v>
      </c>
      <c r="T1798" s="207">
        <f t="shared" si="57"/>
        <v>0</v>
      </c>
      <c r="U1798" s="208" t="s">
        <v>34</v>
      </c>
      <c r="V1798" s="1203"/>
      <c r="W1798" s="799"/>
    </row>
    <row r="1799" spans="1:23" ht="22.95" customHeight="1" x14ac:dyDescent="0.4">
      <c r="A1799" s="788">
        <v>1798</v>
      </c>
      <c r="B1799" s="649" t="s">
        <v>2616</v>
      </c>
      <c r="C1799" s="649" t="s">
        <v>24</v>
      </c>
      <c r="D1799" s="1082">
        <v>2471</v>
      </c>
      <c r="E1799" s="649" t="s">
        <v>4504</v>
      </c>
      <c r="F1799" s="649" t="s">
        <v>4590</v>
      </c>
      <c r="G1799" s="679">
        <v>2491</v>
      </c>
      <c r="H1799" s="649" t="s">
        <v>4461</v>
      </c>
      <c r="I1799" s="649" t="s">
        <v>4463</v>
      </c>
      <c r="J1799" s="692" t="s">
        <v>58</v>
      </c>
      <c r="K1799" s="692" t="s">
        <v>57</v>
      </c>
      <c r="L1799" s="1687">
        <v>0.5</v>
      </c>
      <c r="M1799" s="1536" t="s">
        <v>4605</v>
      </c>
      <c r="N1799" s="1536" t="s">
        <v>4606</v>
      </c>
      <c r="O1799" s="840"/>
      <c r="P1799" s="1536">
        <v>3</v>
      </c>
      <c r="Q1799" s="1069">
        <v>0.02</v>
      </c>
      <c r="R1799" s="1536"/>
      <c r="S1799" s="206">
        <f t="shared" si="56"/>
        <v>0</v>
      </c>
      <c r="T1799" s="207">
        <f t="shared" si="57"/>
        <v>0</v>
      </c>
      <c r="U1799" s="208" t="s">
        <v>34</v>
      </c>
      <c r="V1799" s="1203"/>
      <c r="W1799" s="799"/>
    </row>
    <row r="1800" spans="1:23" ht="22.95" customHeight="1" x14ac:dyDescent="0.4">
      <c r="A1800" s="788">
        <v>1799</v>
      </c>
      <c r="B1800" s="649" t="s">
        <v>2616</v>
      </c>
      <c r="C1800" s="649" t="s">
        <v>24</v>
      </c>
      <c r="D1800" s="1082">
        <v>2471</v>
      </c>
      <c r="E1800" s="649" t="s">
        <v>4504</v>
      </c>
      <c r="F1800" s="649" t="s">
        <v>4590</v>
      </c>
      <c r="G1800" s="679">
        <v>2491</v>
      </c>
      <c r="H1800" s="649" t="s">
        <v>4461</v>
      </c>
      <c r="I1800" s="649" t="s">
        <v>4463</v>
      </c>
      <c r="J1800" s="692" t="s">
        <v>58</v>
      </c>
      <c r="K1800" s="692" t="s">
        <v>57</v>
      </c>
      <c r="L1800" s="1687">
        <v>0.5</v>
      </c>
      <c r="M1800" s="1536" t="s">
        <v>4607</v>
      </c>
      <c r="N1800" s="1536" t="s">
        <v>4608</v>
      </c>
      <c r="O1800" s="840"/>
      <c r="P1800" s="1536">
        <v>4</v>
      </c>
      <c r="Q1800" s="1069">
        <v>0.02</v>
      </c>
      <c r="R1800" s="1536"/>
      <c r="S1800" s="206">
        <f t="shared" si="56"/>
        <v>0</v>
      </c>
      <c r="T1800" s="207">
        <f t="shared" si="57"/>
        <v>0</v>
      </c>
      <c r="U1800" s="208" t="s">
        <v>34</v>
      </c>
      <c r="V1800" s="1203"/>
      <c r="W1800" s="799"/>
    </row>
    <row r="1801" spans="1:23" ht="22.95" customHeight="1" x14ac:dyDescent="0.4">
      <c r="A1801" s="788">
        <v>1800</v>
      </c>
      <c r="B1801" s="649" t="s">
        <v>2616</v>
      </c>
      <c r="C1801" s="649" t="s">
        <v>24</v>
      </c>
      <c r="D1801" s="1082">
        <v>2471</v>
      </c>
      <c r="E1801" s="649" t="s">
        <v>4504</v>
      </c>
      <c r="F1801" s="649" t="s">
        <v>4590</v>
      </c>
      <c r="G1801" s="679">
        <v>2491</v>
      </c>
      <c r="H1801" s="649" t="s">
        <v>4461</v>
      </c>
      <c r="I1801" s="649" t="s">
        <v>4463</v>
      </c>
      <c r="J1801" s="692" t="s">
        <v>58</v>
      </c>
      <c r="K1801" s="692" t="s">
        <v>57</v>
      </c>
      <c r="L1801" s="1687">
        <v>0.5</v>
      </c>
      <c r="M1801" s="1009" t="s">
        <v>4519</v>
      </c>
      <c r="N1801" s="1536" t="s">
        <v>4609</v>
      </c>
      <c r="O1801" s="840"/>
      <c r="P1801" s="1536">
        <v>1</v>
      </c>
      <c r="Q1801" s="1069">
        <v>0.1</v>
      </c>
      <c r="R1801" s="1536"/>
      <c r="S1801" s="206">
        <f t="shared" si="56"/>
        <v>0</v>
      </c>
      <c r="T1801" s="207">
        <f t="shared" si="57"/>
        <v>0</v>
      </c>
      <c r="U1801" s="208" t="s">
        <v>34</v>
      </c>
      <c r="V1801" s="1203"/>
      <c r="W1801" s="799"/>
    </row>
    <row r="1802" spans="1:23" ht="22.95" customHeight="1" x14ac:dyDescent="0.4">
      <c r="A1802" s="788">
        <v>1801</v>
      </c>
      <c r="B1802" s="649" t="s">
        <v>2616</v>
      </c>
      <c r="C1802" s="649" t="s">
        <v>24</v>
      </c>
      <c r="D1802" s="1082">
        <v>2471</v>
      </c>
      <c r="E1802" s="649" t="s">
        <v>4504</v>
      </c>
      <c r="F1802" s="649" t="s">
        <v>4590</v>
      </c>
      <c r="G1802" s="679">
        <v>2491</v>
      </c>
      <c r="H1802" s="649" t="s">
        <v>4461</v>
      </c>
      <c r="I1802" s="649" t="s">
        <v>4463</v>
      </c>
      <c r="J1802" s="692" t="s">
        <v>58</v>
      </c>
      <c r="K1802" s="692" t="s">
        <v>57</v>
      </c>
      <c r="L1802" s="1687">
        <v>0.5</v>
      </c>
      <c r="M1802" s="1536" t="s">
        <v>4610</v>
      </c>
      <c r="N1802" s="1536" t="s">
        <v>4611</v>
      </c>
      <c r="O1802" s="840"/>
      <c r="P1802" s="1536">
        <v>1</v>
      </c>
      <c r="Q1802" s="1069">
        <v>0.1</v>
      </c>
      <c r="R1802" s="1536"/>
      <c r="S1802" s="206">
        <f t="shared" si="56"/>
        <v>0</v>
      </c>
      <c r="T1802" s="207">
        <f t="shared" si="57"/>
        <v>0</v>
      </c>
      <c r="U1802" s="208" t="s">
        <v>34</v>
      </c>
      <c r="V1802" s="1203"/>
      <c r="W1802" s="799"/>
    </row>
    <row r="1803" spans="1:23" ht="22.95" customHeight="1" x14ac:dyDescent="0.4">
      <c r="A1803" s="788">
        <v>1802</v>
      </c>
      <c r="B1803" s="649" t="s">
        <v>2616</v>
      </c>
      <c r="C1803" s="649" t="s">
        <v>24</v>
      </c>
      <c r="D1803" s="1082">
        <v>2471</v>
      </c>
      <c r="E1803" s="649" t="s">
        <v>4504</v>
      </c>
      <c r="F1803" s="649" t="s">
        <v>4590</v>
      </c>
      <c r="G1803" s="679">
        <v>2491</v>
      </c>
      <c r="H1803" s="649" t="s">
        <v>4461</v>
      </c>
      <c r="I1803" s="649" t="s">
        <v>4463</v>
      </c>
      <c r="J1803" s="1752" t="s">
        <v>111</v>
      </c>
      <c r="K1803" s="1752" t="s">
        <v>110</v>
      </c>
      <c r="L1803" s="1739">
        <v>0.5</v>
      </c>
      <c r="M1803" s="1726" t="s">
        <v>4612</v>
      </c>
      <c r="N1803" s="1765" t="s">
        <v>4613</v>
      </c>
      <c r="O1803" s="799"/>
      <c r="P1803" s="1726">
        <v>1</v>
      </c>
      <c r="Q1803" s="1240">
        <v>0.1</v>
      </c>
      <c r="R1803" s="1726"/>
      <c r="S1803" s="262">
        <f t="shared" si="56"/>
        <v>0</v>
      </c>
      <c r="T1803" s="263">
        <f t="shared" si="57"/>
        <v>0</v>
      </c>
      <c r="U1803" s="687" t="s">
        <v>34</v>
      </c>
      <c r="V1803" s="1228"/>
      <c r="W1803" s="799"/>
    </row>
    <row r="1804" spans="1:23" ht="22.95" customHeight="1" x14ac:dyDescent="0.4">
      <c r="A1804" s="788">
        <v>1803</v>
      </c>
      <c r="B1804" s="649" t="s">
        <v>2616</v>
      </c>
      <c r="C1804" s="649" t="s">
        <v>24</v>
      </c>
      <c r="D1804" s="1082">
        <v>2471</v>
      </c>
      <c r="E1804" s="649" t="s">
        <v>4504</v>
      </c>
      <c r="F1804" s="649" t="s">
        <v>4590</v>
      </c>
      <c r="G1804" s="679">
        <v>2491</v>
      </c>
      <c r="H1804" s="649" t="s">
        <v>4461</v>
      </c>
      <c r="I1804" s="649" t="s">
        <v>4463</v>
      </c>
      <c r="J1804" s="1752" t="s">
        <v>111</v>
      </c>
      <c r="K1804" s="1752" t="s">
        <v>110</v>
      </c>
      <c r="L1804" s="1739">
        <v>0.5</v>
      </c>
      <c r="M1804" s="1726" t="s">
        <v>4614</v>
      </c>
      <c r="N1804" s="1765" t="s">
        <v>4615</v>
      </c>
      <c r="O1804" s="799"/>
      <c r="P1804" s="1726">
        <v>5</v>
      </c>
      <c r="Q1804" s="1240">
        <v>0.1</v>
      </c>
      <c r="R1804" s="1726"/>
      <c r="S1804" s="262">
        <f t="shared" si="56"/>
        <v>0</v>
      </c>
      <c r="T1804" s="263">
        <f t="shared" si="57"/>
        <v>0</v>
      </c>
      <c r="U1804" s="687" t="s">
        <v>34</v>
      </c>
      <c r="V1804" s="1228"/>
      <c r="W1804" s="799"/>
    </row>
    <row r="1805" spans="1:23" ht="22.95" customHeight="1" x14ac:dyDescent="0.4">
      <c r="A1805" s="788">
        <v>1804</v>
      </c>
      <c r="B1805" s="649" t="s">
        <v>2616</v>
      </c>
      <c r="C1805" s="649" t="s">
        <v>24</v>
      </c>
      <c r="D1805" s="1082">
        <v>2471</v>
      </c>
      <c r="E1805" s="649" t="s">
        <v>4504</v>
      </c>
      <c r="F1805" s="649" t="s">
        <v>4590</v>
      </c>
      <c r="G1805" s="679">
        <v>2491</v>
      </c>
      <c r="H1805" s="649" t="s">
        <v>4461</v>
      </c>
      <c r="I1805" s="649" t="s">
        <v>4463</v>
      </c>
      <c r="J1805" s="1752" t="s">
        <v>111</v>
      </c>
      <c r="K1805" s="1752" t="s">
        <v>110</v>
      </c>
      <c r="L1805" s="1739">
        <v>0.5</v>
      </c>
      <c r="M1805" s="1726" t="s">
        <v>4616</v>
      </c>
      <c r="N1805" s="1765" t="s">
        <v>4617</v>
      </c>
      <c r="O1805" s="799"/>
      <c r="P1805" s="1726">
        <v>5</v>
      </c>
      <c r="Q1805" s="1240">
        <v>0.1</v>
      </c>
      <c r="R1805" s="1726"/>
      <c r="S1805" s="262">
        <f t="shared" si="56"/>
        <v>0</v>
      </c>
      <c r="T1805" s="263">
        <f t="shared" si="57"/>
        <v>0</v>
      </c>
      <c r="U1805" s="687" t="s">
        <v>34</v>
      </c>
      <c r="V1805" s="1228"/>
      <c r="W1805" s="799"/>
    </row>
    <row r="1806" spans="1:23" ht="22.95" customHeight="1" x14ac:dyDescent="0.4">
      <c r="A1806" s="788">
        <v>1805</v>
      </c>
      <c r="B1806" s="649" t="s">
        <v>2616</v>
      </c>
      <c r="C1806" s="649" t="s">
        <v>24</v>
      </c>
      <c r="D1806" s="1082">
        <v>2471</v>
      </c>
      <c r="E1806" s="649" t="s">
        <v>4504</v>
      </c>
      <c r="F1806" s="649" t="s">
        <v>4590</v>
      </c>
      <c r="G1806" s="679">
        <v>2491</v>
      </c>
      <c r="H1806" s="649" t="s">
        <v>4461</v>
      </c>
      <c r="I1806" s="649" t="s">
        <v>4463</v>
      </c>
      <c r="J1806" s="1752" t="s">
        <v>111</v>
      </c>
      <c r="K1806" s="1752" t="s">
        <v>110</v>
      </c>
      <c r="L1806" s="1739">
        <v>0.5</v>
      </c>
      <c r="M1806" s="1726" t="s">
        <v>4618</v>
      </c>
      <c r="N1806" s="1765" t="s">
        <v>4619</v>
      </c>
      <c r="O1806" s="799"/>
      <c r="P1806" s="1726">
        <v>1</v>
      </c>
      <c r="Q1806" s="1240">
        <v>0.2</v>
      </c>
      <c r="R1806" s="1726"/>
      <c r="S1806" s="262">
        <f t="shared" si="56"/>
        <v>0</v>
      </c>
      <c r="T1806" s="263">
        <f t="shared" si="57"/>
        <v>0</v>
      </c>
      <c r="U1806" s="687" t="s">
        <v>34</v>
      </c>
      <c r="V1806" s="1228"/>
      <c r="W1806" s="799"/>
    </row>
    <row r="1807" spans="1:23" ht="22.95" customHeight="1" x14ac:dyDescent="0.4">
      <c r="A1807" s="788">
        <v>1806</v>
      </c>
      <c r="B1807" s="649" t="s">
        <v>2616</v>
      </c>
      <c r="C1807" s="649" t="s">
        <v>24</v>
      </c>
      <c r="D1807" s="1082">
        <v>2471</v>
      </c>
      <c r="E1807" s="649" t="s">
        <v>4504</v>
      </c>
      <c r="F1807" s="649" t="s">
        <v>4590</v>
      </c>
      <c r="G1807" s="679">
        <v>2491</v>
      </c>
      <c r="H1807" s="649" t="s">
        <v>4461</v>
      </c>
      <c r="I1807" s="649" t="s">
        <v>4463</v>
      </c>
      <c r="J1807" s="1752" t="s">
        <v>111</v>
      </c>
      <c r="K1807" s="1752" t="s">
        <v>110</v>
      </c>
      <c r="L1807" s="1739">
        <v>0.5</v>
      </c>
      <c r="M1807" s="1709" t="s">
        <v>4620</v>
      </c>
      <c r="N1807" s="1765" t="s">
        <v>4621</v>
      </c>
      <c r="O1807" s="799"/>
      <c r="P1807" s="1726">
        <v>1</v>
      </c>
      <c r="Q1807" s="1240">
        <v>0.15</v>
      </c>
      <c r="R1807" s="1726"/>
      <c r="S1807" s="262">
        <f t="shared" si="56"/>
        <v>0</v>
      </c>
      <c r="T1807" s="263">
        <f t="shared" si="57"/>
        <v>0</v>
      </c>
      <c r="U1807" s="687" t="s">
        <v>34</v>
      </c>
      <c r="V1807" s="1228"/>
      <c r="W1807" s="799"/>
    </row>
    <row r="1808" spans="1:23" ht="22.95" customHeight="1" x14ac:dyDescent="0.4">
      <c r="A1808" s="788">
        <v>1807</v>
      </c>
      <c r="B1808" s="649" t="s">
        <v>2616</v>
      </c>
      <c r="C1808" s="649" t="s">
        <v>24</v>
      </c>
      <c r="D1808" s="1082">
        <v>2471</v>
      </c>
      <c r="E1808" s="649" t="s">
        <v>4504</v>
      </c>
      <c r="F1808" s="649" t="s">
        <v>4590</v>
      </c>
      <c r="G1808" s="679">
        <v>2491</v>
      </c>
      <c r="H1808" s="649" t="s">
        <v>4461</v>
      </c>
      <c r="I1808" s="649" t="s">
        <v>4463</v>
      </c>
      <c r="J1808" s="1752" t="s">
        <v>111</v>
      </c>
      <c r="K1808" s="1752" t="s">
        <v>110</v>
      </c>
      <c r="L1808" s="1739">
        <v>0.5</v>
      </c>
      <c r="M1808" s="1726" t="s">
        <v>4521</v>
      </c>
      <c r="N1808" s="1765" t="s">
        <v>4622</v>
      </c>
      <c r="O1808" s="799"/>
      <c r="P1808" s="1726">
        <v>5</v>
      </c>
      <c r="Q1808" s="1240">
        <v>0.15</v>
      </c>
      <c r="R1808" s="1726"/>
      <c r="S1808" s="262">
        <f t="shared" si="56"/>
        <v>0</v>
      </c>
      <c r="T1808" s="263">
        <f t="shared" si="57"/>
        <v>0</v>
      </c>
      <c r="U1808" s="687" t="s">
        <v>34</v>
      </c>
      <c r="V1808" s="1228"/>
      <c r="W1808" s="799"/>
    </row>
    <row r="1809" spans="1:23" ht="22.95" customHeight="1" x14ac:dyDescent="0.4">
      <c r="A1809" s="788">
        <v>1808</v>
      </c>
      <c r="B1809" s="649" t="s">
        <v>2616</v>
      </c>
      <c r="C1809" s="649" t="s">
        <v>24</v>
      </c>
      <c r="D1809" s="1082">
        <v>2471</v>
      </c>
      <c r="E1809" s="649" t="s">
        <v>4504</v>
      </c>
      <c r="F1809" s="649" t="s">
        <v>4590</v>
      </c>
      <c r="G1809" s="679">
        <v>2491</v>
      </c>
      <c r="H1809" s="649" t="s">
        <v>4461</v>
      </c>
      <c r="I1809" s="649" t="s">
        <v>4463</v>
      </c>
      <c r="J1809" s="1752" t="s">
        <v>111</v>
      </c>
      <c r="K1809" s="1752" t="s">
        <v>110</v>
      </c>
      <c r="L1809" s="1739">
        <v>0.5</v>
      </c>
      <c r="M1809" s="1726" t="s">
        <v>4623</v>
      </c>
      <c r="N1809" s="1726" t="s">
        <v>4624</v>
      </c>
      <c r="O1809" s="799"/>
      <c r="P1809" s="1726">
        <v>1</v>
      </c>
      <c r="Q1809" s="1148">
        <v>0.1</v>
      </c>
      <c r="R1809" s="1726"/>
      <c r="S1809" s="262">
        <f t="shared" si="56"/>
        <v>0</v>
      </c>
      <c r="T1809" s="263">
        <f t="shared" si="57"/>
        <v>0</v>
      </c>
      <c r="U1809" s="687" t="s">
        <v>34</v>
      </c>
      <c r="V1809" s="1228"/>
      <c r="W1809" s="799"/>
    </row>
    <row r="1810" spans="1:23" ht="22.95" customHeight="1" x14ac:dyDescent="0.4">
      <c r="A1810" s="788">
        <v>1809</v>
      </c>
      <c r="B1810" s="649" t="s">
        <v>2616</v>
      </c>
      <c r="C1810" s="649" t="s">
        <v>24</v>
      </c>
      <c r="D1810" s="1082">
        <v>2471</v>
      </c>
      <c r="E1810" s="649" t="s">
        <v>4504</v>
      </c>
      <c r="F1810" s="649" t="s">
        <v>4590</v>
      </c>
      <c r="G1810" s="679">
        <v>2491</v>
      </c>
      <c r="H1810" s="649" t="s">
        <v>4461</v>
      </c>
      <c r="I1810" s="649" t="s">
        <v>4463</v>
      </c>
      <c r="J1810" s="1752" t="s">
        <v>111</v>
      </c>
      <c r="K1810" s="1752" t="s">
        <v>110</v>
      </c>
      <c r="L1810" s="1739">
        <v>0.5</v>
      </c>
      <c r="M1810" s="1337" t="s">
        <v>4625</v>
      </c>
      <c r="N1810" s="1726" t="s">
        <v>4626</v>
      </c>
      <c r="O1810" s="799"/>
      <c r="P1810" s="1726">
        <v>1</v>
      </c>
      <c r="Q1810" s="1148">
        <v>0.1</v>
      </c>
      <c r="R1810" s="1726"/>
      <c r="S1810" s="262">
        <f t="shared" si="56"/>
        <v>0</v>
      </c>
      <c r="T1810" s="263">
        <f t="shared" si="57"/>
        <v>0</v>
      </c>
      <c r="U1810" s="687" t="s">
        <v>34</v>
      </c>
      <c r="V1810" s="1228"/>
      <c r="W1810" s="799"/>
    </row>
    <row r="1811" spans="1:23" ht="22.95" customHeight="1" x14ac:dyDescent="0.4">
      <c r="A1811" s="788">
        <v>1810</v>
      </c>
      <c r="B1811" s="653" t="s">
        <v>2616</v>
      </c>
      <c r="C1811" s="653" t="s">
        <v>24</v>
      </c>
      <c r="D1811" s="1334">
        <v>2492</v>
      </c>
      <c r="E1811" s="653" t="s">
        <v>4627</v>
      </c>
      <c r="F1811" s="653" t="s">
        <v>4574</v>
      </c>
      <c r="G1811" s="674">
        <v>2491</v>
      </c>
      <c r="H1811" s="653" t="s">
        <v>4461</v>
      </c>
      <c r="I1811" s="653" t="s">
        <v>4463</v>
      </c>
      <c r="J1811" s="187" t="s">
        <v>58</v>
      </c>
      <c r="K1811" s="187" t="s">
        <v>57</v>
      </c>
      <c r="L1811" s="1684">
        <v>0.35</v>
      </c>
      <c r="M1811" s="1766" t="s">
        <v>4628</v>
      </c>
      <c r="N1811" s="791"/>
      <c r="O1811" s="791"/>
      <c r="P1811" s="1757">
        <v>1</v>
      </c>
      <c r="Q1811" s="1684">
        <v>0.1</v>
      </c>
      <c r="R1811" s="1757"/>
      <c r="S1811" s="195">
        <f t="shared" si="56"/>
        <v>0</v>
      </c>
      <c r="T1811" s="196">
        <f t="shared" si="57"/>
        <v>0</v>
      </c>
      <c r="U1811" s="197" t="s">
        <v>34</v>
      </c>
      <c r="V1811" s="1724">
        <f>SUM(T1811:T1830)%</f>
        <v>0</v>
      </c>
      <c r="W1811" s="791"/>
    </row>
    <row r="1812" spans="1:23" ht="22.95" customHeight="1" x14ac:dyDescent="0.4">
      <c r="A1812" s="788">
        <v>1811</v>
      </c>
      <c r="B1812" s="649" t="s">
        <v>2616</v>
      </c>
      <c r="C1812" s="649" t="s">
        <v>24</v>
      </c>
      <c r="D1812" s="1485">
        <v>2492</v>
      </c>
      <c r="E1812" s="303" t="s">
        <v>4627</v>
      </c>
      <c r="F1812" s="649" t="s">
        <v>4574</v>
      </c>
      <c r="G1812" s="679">
        <v>2491</v>
      </c>
      <c r="H1812" s="649" t="s">
        <v>4461</v>
      </c>
      <c r="I1812" s="649" t="s">
        <v>4463</v>
      </c>
      <c r="J1812" s="692" t="s">
        <v>58</v>
      </c>
      <c r="K1812" s="692" t="s">
        <v>57</v>
      </c>
      <c r="L1812" s="1687">
        <v>0.35</v>
      </c>
      <c r="M1812" s="1767" t="s">
        <v>4629</v>
      </c>
      <c r="N1812" s="840"/>
      <c r="O1812" s="840"/>
      <c r="P1812" s="1009">
        <v>1</v>
      </c>
      <c r="Q1812" s="1687">
        <v>0.15</v>
      </c>
      <c r="R1812" s="1009"/>
      <c r="S1812" s="206">
        <f t="shared" si="56"/>
        <v>0</v>
      </c>
      <c r="T1812" s="207">
        <f t="shared" si="57"/>
        <v>0</v>
      </c>
      <c r="U1812" s="208" t="s">
        <v>34</v>
      </c>
      <c r="V1812" s="1203"/>
      <c r="W1812" s="799"/>
    </row>
    <row r="1813" spans="1:23" ht="22.95" customHeight="1" x14ac:dyDescent="0.4">
      <c r="A1813" s="788">
        <v>1812</v>
      </c>
      <c r="B1813" s="649" t="s">
        <v>2616</v>
      </c>
      <c r="C1813" s="649" t="s">
        <v>24</v>
      </c>
      <c r="D1813" s="1485">
        <v>2492</v>
      </c>
      <c r="E1813" s="303" t="s">
        <v>4627</v>
      </c>
      <c r="F1813" s="649" t="s">
        <v>4574</v>
      </c>
      <c r="G1813" s="679">
        <v>2491</v>
      </c>
      <c r="H1813" s="649" t="s">
        <v>4461</v>
      </c>
      <c r="I1813" s="649" t="s">
        <v>4463</v>
      </c>
      <c r="J1813" s="692" t="s">
        <v>58</v>
      </c>
      <c r="K1813" s="692" t="s">
        <v>57</v>
      </c>
      <c r="L1813" s="1687">
        <v>0.35</v>
      </c>
      <c r="M1813" s="1767" t="s">
        <v>4630</v>
      </c>
      <c r="N1813" s="840"/>
      <c r="O1813" s="840"/>
      <c r="P1813" s="1760">
        <v>1</v>
      </c>
      <c r="Q1813" s="1687">
        <v>0.08</v>
      </c>
      <c r="R1813" s="1760"/>
      <c r="S1813" s="206">
        <f t="shared" si="56"/>
        <v>0</v>
      </c>
      <c r="T1813" s="207">
        <f t="shared" si="57"/>
        <v>0</v>
      </c>
      <c r="U1813" s="208" t="s">
        <v>34</v>
      </c>
      <c r="V1813" s="1203"/>
      <c r="W1813" s="799"/>
    </row>
    <row r="1814" spans="1:23" ht="22.95" customHeight="1" x14ac:dyDescent="0.4">
      <c r="A1814" s="788">
        <v>1813</v>
      </c>
      <c r="B1814" s="649" t="s">
        <v>2616</v>
      </c>
      <c r="C1814" s="649" t="s">
        <v>24</v>
      </c>
      <c r="D1814" s="1485">
        <v>2492</v>
      </c>
      <c r="E1814" s="303" t="s">
        <v>4627</v>
      </c>
      <c r="F1814" s="649" t="s">
        <v>4574</v>
      </c>
      <c r="G1814" s="679">
        <v>2491</v>
      </c>
      <c r="H1814" s="649" t="s">
        <v>4461</v>
      </c>
      <c r="I1814" s="649" t="s">
        <v>4463</v>
      </c>
      <c r="J1814" s="692" t="s">
        <v>58</v>
      </c>
      <c r="K1814" s="692" t="s">
        <v>57</v>
      </c>
      <c r="L1814" s="1687">
        <v>0.35</v>
      </c>
      <c r="M1814" s="1767" t="s">
        <v>4631</v>
      </c>
      <c r="N1814" s="840"/>
      <c r="O1814" s="840"/>
      <c r="P1814" s="1760">
        <v>1</v>
      </c>
      <c r="Q1814" s="1687">
        <v>0.12</v>
      </c>
      <c r="R1814" s="1760"/>
      <c r="S1814" s="206">
        <f t="shared" si="56"/>
        <v>0</v>
      </c>
      <c r="T1814" s="207">
        <f t="shared" si="57"/>
        <v>0</v>
      </c>
      <c r="U1814" s="208" t="s">
        <v>34</v>
      </c>
      <c r="V1814" s="1203"/>
      <c r="W1814" s="799"/>
    </row>
    <row r="1815" spans="1:23" ht="22.95" customHeight="1" x14ac:dyDescent="0.4">
      <c r="A1815" s="788">
        <v>1814</v>
      </c>
      <c r="B1815" s="649" t="s">
        <v>2616</v>
      </c>
      <c r="C1815" s="649" t="s">
        <v>24</v>
      </c>
      <c r="D1815" s="1485">
        <v>2492</v>
      </c>
      <c r="E1815" s="303" t="s">
        <v>4627</v>
      </c>
      <c r="F1815" s="649" t="s">
        <v>4574</v>
      </c>
      <c r="G1815" s="679">
        <v>2491</v>
      </c>
      <c r="H1815" s="649" t="s">
        <v>4461</v>
      </c>
      <c r="I1815" s="649" t="s">
        <v>4463</v>
      </c>
      <c r="J1815" s="692" t="s">
        <v>58</v>
      </c>
      <c r="K1815" s="692" t="s">
        <v>57</v>
      </c>
      <c r="L1815" s="1687">
        <v>0.35</v>
      </c>
      <c r="M1815" s="1767" t="s">
        <v>4632</v>
      </c>
      <c r="N1815" s="840"/>
      <c r="O1815" s="840"/>
      <c r="P1815" s="1760">
        <v>1</v>
      </c>
      <c r="Q1815" s="1768">
        <v>0.15</v>
      </c>
      <c r="R1815" s="1760"/>
      <c r="S1815" s="206">
        <f t="shared" si="56"/>
        <v>0</v>
      </c>
      <c r="T1815" s="207">
        <f t="shared" si="57"/>
        <v>0</v>
      </c>
      <c r="U1815" s="208" t="s">
        <v>34</v>
      </c>
      <c r="V1815" s="1203"/>
      <c r="W1815" s="799"/>
    </row>
    <row r="1816" spans="1:23" ht="22.95" customHeight="1" x14ac:dyDescent="0.4">
      <c r="A1816" s="788">
        <v>1815</v>
      </c>
      <c r="B1816" s="649" t="s">
        <v>2616</v>
      </c>
      <c r="C1816" s="649" t="s">
        <v>24</v>
      </c>
      <c r="D1816" s="1485">
        <v>2492</v>
      </c>
      <c r="E1816" s="303" t="s">
        <v>4627</v>
      </c>
      <c r="F1816" s="649" t="s">
        <v>4574</v>
      </c>
      <c r="G1816" s="679">
        <v>2491</v>
      </c>
      <c r="H1816" s="649" t="s">
        <v>4461</v>
      </c>
      <c r="I1816" s="649" t="s">
        <v>4463</v>
      </c>
      <c r="J1816" s="692" t="s">
        <v>58</v>
      </c>
      <c r="K1816" s="692" t="s">
        <v>57</v>
      </c>
      <c r="L1816" s="1687">
        <v>0.35</v>
      </c>
      <c r="M1816" s="1767" t="s">
        <v>4633</v>
      </c>
      <c r="N1816" s="840"/>
      <c r="O1816" s="840"/>
      <c r="P1816" s="1009">
        <v>1</v>
      </c>
      <c r="Q1816" s="1768">
        <v>0.15</v>
      </c>
      <c r="R1816" s="1009"/>
      <c r="S1816" s="206">
        <f t="shared" si="56"/>
        <v>0</v>
      </c>
      <c r="T1816" s="207">
        <f t="shared" si="57"/>
        <v>0</v>
      </c>
      <c r="U1816" s="208" t="s">
        <v>34</v>
      </c>
      <c r="V1816" s="1203"/>
      <c r="W1816" s="799"/>
    </row>
    <row r="1817" spans="1:23" ht="22.95" customHeight="1" x14ac:dyDescent="0.4">
      <c r="A1817" s="788">
        <v>1816</v>
      </c>
      <c r="B1817" s="649" t="s">
        <v>2616</v>
      </c>
      <c r="C1817" s="649" t="s">
        <v>24</v>
      </c>
      <c r="D1817" s="1485">
        <v>2492</v>
      </c>
      <c r="E1817" s="303" t="s">
        <v>4627</v>
      </c>
      <c r="F1817" s="649" t="s">
        <v>4574</v>
      </c>
      <c r="G1817" s="679">
        <v>2491</v>
      </c>
      <c r="H1817" s="649" t="s">
        <v>4461</v>
      </c>
      <c r="I1817" s="649" t="s">
        <v>4463</v>
      </c>
      <c r="J1817" s="692" t="s">
        <v>58</v>
      </c>
      <c r="K1817" s="692" t="s">
        <v>57</v>
      </c>
      <c r="L1817" s="1687">
        <v>0.35</v>
      </c>
      <c r="M1817" s="1767" t="s">
        <v>4634</v>
      </c>
      <c r="N1817" s="840"/>
      <c r="O1817" s="840"/>
      <c r="P1817" s="1009">
        <v>1</v>
      </c>
      <c r="Q1817" s="1768">
        <v>0.1</v>
      </c>
      <c r="R1817" s="1009"/>
      <c r="S1817" s="206">
        <f t="shared" si="56"/>
        <v>0</v>
      </c>
      <c r="T1817" s="207">
        <f t="shared" si="57"/>
        <v>0</v>
      </c>
      <c r="U1817" s="208" t="s">
        <v>34</v>
      </c>
      <c r="V1817" s="1203"/>
      <c r="W1817" s="799"/>
    </row>
    <row r="1818" spans="1:23" ht="22.95" customHeight="1" x14ac:dyDescent="0.4">
      <c r="A1818" s="788">
        <v>1817</v>
      </c>
      <c r="B1818" s="649" t="s">
        <v>2616</v>
      </c>
      <c r="C1818" s="649" t="s">
        <v>24</v>
      </c>
      <c r="D1818" s="1485">
        <v>2492</v>
      </c>
      <c r="E1818" s="303" t="s">
        <v>4627</v>
      </c>
      <c r="F1818" s="649" t="s">
        <v>4574</v>
      </c>
      <c r="G1818" s="679">
        <v>2491</v>
      </c>
      <c r="H1818" s="649" t="s">
        <v>4461</v>
      </c>
      <c r="I1818" s="649" t="s">
        <v>4463</v>
      </c>
      <c r="J1818" s="692" t="s">
        <v>58</v>
      </c>
      <c r="K1818" s="692" t="s">
        <v>57</v>
      </c>
      <c r="L1818" s="1687">
        <v>0.35</v>
      </c>
      <c r="M1818" s="1767" t="s">
        <v>4635</v>
      </c>
      <c r="N1818" s="840"/>
      <c r="O1818" s="840"/>
      <c r="P1818" s="1760">
        <v>1</v>
      </c>
      <c r="Q1818" s="1768">
        <v>0.15</v>
      </c>
      <c r="R1818" s="1760"/>
      <c r="S1818" s="206">
        <f t="shared" si="56"/>
        <v>0</v>
      </c>
      <c r="T1818" s="207">
        <f t="shared" si="57"/>
        <v>0</v>
      </c>
      <c r="U1818" s="208" t="s">
        <v>34</v>
      </c>
      <c r="V1818" s="1203"/>
      <c r="W1818" s="799"/>
    </row>
    <row r="1819" spans="1:23" ht="22.95" customHeight="1" x14ac:dyDescent="0.4">
      <c r="A1819" s="788">
        <v>1818</v>
      </c>
      <c r="B1819" s="649" t="s">
        <v>2616</v>
      </c>
      <c r="C1819" s="649" t="s">
        <v>24</v>
      </c>
      <c r="D1819" s="1485">
        <v>2492</v>
      </c>
      <c r="E1819" s="303" t="s">
        <v>4627</v>
      </c>
      <c r="F1819" s="649" t="s">
        <v>4574</v>
      </c>
      <c r="G1819" s="679">
        <v>2491</v>
      </c>
      <c r="H1819" s="649" t="s">
        <v>4461</v>
      </c>
      <c r="I1819" s="649" t="s">
        <v>4463</v>
      </c>
      <c r="J1819" s="1150" t="s">
        <v>111</v>
      </c>
      <c r="K1819" s="246" t="s">
        <v>110</v>
      </c>
      <c r="L1819" s="1739">
        <v>0.65</v>
      </c>
      <c r="M1819" s="1769" t="s">
        <v>4636</v>
      </c>
      <c r="N1819" s="949"/>
      <c r="O1819" s="949"/>
      <c r="P1819" s="1770">
        <v>1</v>
      </c>
      <c r="Q1819" s="1771">
        <v>0.1</v>
      </c>
      <c r="R1819" s="1770"/>
      <c r="S1819" s="262">
        <f t="shared" si="56"/>
        <v>0</v>
      </c>
      <c r="T1819" s="263">
        <f t="shared" si="57"/>
        <v>0</v>
      </c>
      <c r="U1819" s="687" t="s">
        <v>34</v>
      </c>
      <c r="V1819" s="1211"/>
      <c r="W1819" s="799"/>
    </row>
    <row r="1820" spans="1:23" ht="22.95" customHeight="1" x14ac:dyDescent="0.4">
      <c r="A1820" s="788">
        <v>1819</v>
      </c>
      <c r="B1820" s="649" t="s">
        <v>2616</v>
      </c>
      <c r="C1820" s="649" t="s">
        <v>24</v>
      </c>
      <c r="D1820" s="1485">
        <v>2492</v>
      </c>
      <c r="E1820" s="303" t="s">
        <v>4627</v>
      </c>
      <c r="F1820" s="649" t="s">
        <v>4574</v>
      </c>
      <c r="G1820" s="679">
        <v>2491</v>
      </c>
      <c r="H1820" s="649" t="s">
        <v>4461</v>
      </c>
      <c r="I1820" s="649" t="s">
        <v>4463</v>
      </c>
      <c r="J1820" s="1150" t="s">
        <v>111</v>
      </c>
      <c r="K1820" s="246" t="s">
        <v>110</v>
      </c>
      <c r="L1820" s="1739">
        <v>0.65</v>
      </c>
      <c r="M1820" s="1769" t="s">
        <v>4618</v>
      </c>
      <c r="N1820" s="949"/>
      <c r="O1820" s="949"/>
      <c r="P1820" s="1770">
        <v>1</v>
      </c>
      <c r="Q1820" s="1771">
        <v>0.1</v>
      </c>
      <c r="R1820" s="1770"/>
      <c r="S1820" s="262">
        <f t="shared" si="56"/>
        <v>0</v>
      </c>
      <c r="T1820" s="263">
        <f t="shared" si="57"/>
        <v>0</v>
      </c>
      <c r="U1820" s="687" t="s">
        <v>34</v>
      </c>
      <c r="V1820" s="1211"/>
      <c r="W1820" s="799"/>
    </row>
    <row r="1821" spans="1:23" ht="22.95" customHeight="1" x14ac:dyDescent="0.4">
      <c r="A1821" s="788">
        <v>1820</v>
      </c>
      <c r="B1821" s="649" t="s">
        <v>2616</v>
      </c>
      <c r="C1821" s="649" t="s">
        <v>24</v>
      </c>
      <c r="D1821" s="1485">
        <v>2492</v>
      </c>
      <c r="E1821" s="303" t="s">
        <v>4627</v>
      </c>
      <c r="F1821" s="649" t="s">
        <v>4574</v>
      </c>
      <c r="G1821" s="679">
        <v>2491</v>
      </c>
      <c r="H1821" s="649" t="s">
        <v>4461</v>
      </c>
      <c r="I1821" s="649" t="s">
        <v>4463</v>
      </c>
      <c r="J1821" s="1150" t="s">
        <v>111</v>
      </c>
      <c r="K1821" s="246" t="s">
        <v>110</v>
      </c>
      <c r="L1821" s="1739">
        <v>0.65</v>
      </c>
      <c r="M1821" s="1769" t="s">
        <v>4637</v>
      </c>
      <c r="N1821" s="949"/>
      <c r="O1821" s="949"/>
      <c r="P1821" s="1010">
        <v>1</v>
      </c>
      <c r="Q1821" s="1771">
        <v>7.0000000000000007E-2</v>
      </c>
      <c r="R1821" s="1010"/>
      <c r="S1821" s="262">
        <f t="shared" si="56"/>
        <v>0</v>
      </c>
      <c r="T1821" s="263">
        <f t="shared" si="57"/>
        <v>0</v>
      </c>
      <c r="U1821" s="687" t="s">
        <v>34</v>
      </c>
      <c r="V1821" s="1211"/>
      <c r="W1821" s="799"/>
    </row>
    <row r="1822" spans="1:23" ht="22.95" customHeight="1" x14ac:dyDescent="0.4">
      <c r="A1822" s="788">
        <v>1821</v>
      </c>
      <c r="B1822" s="649" t="s">
        <v>2616</v>
      </c>
      <c r="C1822" s="649" t="s">
        <v>24</v>
      </c>
      <c r="D1822" s="1485">
        <v>2492</v>
      </c>
      <c r="E1822" s="303" t="s">
        <v>4627</v>
      </c>
      <c r="F1822" s="649" t="s">
        <v>4574</v>
      </c>
      <c r="G1822" s="679">
        <v>2491</v>
      </c>
      <c r="H1822" s="649" t="s">
        <v>4461</v>
      </c>
      <c r="I1822" s="649" t="s">
        <v>4463</v>
      </c>
      <c r="J1822" s="1150" t="s">
        <v>111</v>
      </c>
      <c r="K1822" s="246" t="s">
        <v>110</v>
      </c>
      <c r="L1822" s="1739">
        <v>0.65</v>
      </c>
      <c r="M1822" s="1769" t="s">
        <v>4638</v>
      </c>
      <c r="N1822" s="949"/>
      <c r="O1822" s="949"/>
      <c r="P1822" s="1770">
        <v>1</v>
      </c>
      <c r="Q1822" s="1771">
        <v>0.1</v>
      </c>
      <c r="R1822" s="1770"/>
      <c r="S1822" s="262">
        <f t="shared" si="56"/>
        <v>0</v>
      </c>
      <c r="T1822" s="263">
        <f t="shared" si="57"/>
        <v>0</v>
      </c>
      <c r="U1822" s="687" t="s">
        <v>34</v>
      </c>
      <c r="V1822" s="1211"/>
      <c r="W1822" s="799"/>
    </row>
    <row r="1823" spans="1:23" ht="22.95" customHeight="1" x14ac:dyDescent="0.4">
      <c r="A1823" s="788">
        <v>1822</v>
      </c>
      <c r="B1823" s="649" t="s">
        <v>2616</v>
      </c>
      <c r="C1823" s="649" t="s">
        <v>24</v>
      </c>
      <c r="D1823" s="1485">
        <v>2492</v>
      </c>
      <c r="E1823" s="303" t="s">
        <v>4627</v>
      </c>
      <c r="F1823" s="649" t="s">
        <v>4574</v>
      </c>
      <c r="G1823" s="679">
        <v>2491</v>
      </c>
      <c r="H1823" s="649" t="s">
        <v>4461</v>
      </c>
      <c r="I1823" s="649" t="s">
        <v>4463</v>
      </c>
      <c r="J1823" s="1150" t="s">
        <v>111</v>
      </c>
      <c r="K1823" s="246" t="s">
        <v>110</v>
      </c>
      <c r="L1823" s="1739">
        <v>0.65</v>
      </c>
      <c r="M1823" s="1769" t="s">
        <v>4639</v>
      </c>
      <c r="N1823" s="949"/>
      <c r="O1823" s="949"/>
      <c r="P1823" s="1010">
        <v>1</v>
      </c>
      <c r="Q1823" s="1771">
        <v>0.05</v>
      </c>
      <c r="R1823" s="1010"/>
      <c r="S1823" s="262">
        <f t="shared" si="56"/>
        <v>0</v>
      </c>
      <c r="T1823" s="263">
        <f t="shared" si="57"/>
        <v>0</v>
      </c>
      <c r="U1823" s="687" t="s">
        <v>34</v>
      </c>
      <c r="V1823" s="1211"/>
      <c r="W1823" s="799"/>
    </row>
    <row r="1824" spans="1:23" ht="22.95" customHeight="1" x14ac:dyDescent="0.4">
      <c r="A1824" s="788">
        <v>1823</v>
      </c>
      <c r="B1824" s="649" t="s">
        <v>2616</v>
      </c>
      <c r="C1824" s="649" t="s">
        <v>24</v>
      </c>
      <c r="D1824" s="1485">
        <v>2492</v>
      </c>
      <c r="E1824" s="303" t="s">
        <v>4627</v>
      </c>
      <c r="F1824" s="649" t="s">
        <v>4574</v>
      </c>
      <c r="G1824" s="679">
        <v>2491</v>
      </c>
      <c r="H1824" s="649" t="s">
        <v>4461</v>
      </c>
      <c r="I1824" s="649" t="s">
        <v>4463</v>
      </c>
      <c r="J1824" s="1150" t="s">
        <v>111</v>
      </c>
      <c r="K1824" s="246" t="s">
        <v>110</v>
      </c>
      <c r="L1824" s="1739">
        <v>0.65</v>
      </c>
      <c r="M1824" s="1769" t="s">
        <v>4640</v>
      </c>
      <c r="N1824" s="949"/>
      <c r="O1824" s="949"/>
      <c r="P1824" s="1770">
        <v>1</v>
      </c>
      <c r="Q1824" s="1771">
        <v>0.1</v>
      </c>
      <c r="R1824" s="1770"/>
      <c r="S1824" s="262">
        <f t="shared" si="56"/>
        <v>0</v>
      </c>
      <c r="T1824" s="263">
        <f t="shared" si="57"/>
        <v>0</v>
      </c>
      <c r="U1824" s="687" t="s">
        <v>34</v>
      </c>
      <c r="V1824" s="1211"/>
      <c r="W1824" s="799"/>
    </row>
    <row r="1825" spans="1:23" ht="22.95" customHeight="1" x14ac:dyDescent="0.4">
      <c r="A1825" s="788">
        <v>1824</v>
      </c>
      <c r="B1825" s="649" t="s">
        <v>2616</v>
      </c>
      <c r="C1825" s="649" t="s">
        <v>24</v>
      </c>
      <c r="D1825" s="1485">
        <v>2492</v>
      </c>
      <c r="E1825" s="303" t="s">
        <v>4627</v>
      </c>
      <c r="F1825" s="649" t="s">
        <v>4574</v>
      </c>
      <c r="G1825" s="679">
        <v>2491</v>
      </c>
      <c r="H1825" s="649" t="s">
        <v>4461</v>
      </c>
      <c r="I1825" s="649" t="s">
        <v>4463</v>
      </c>
      <c r="J1825" s="1752" t="s">
        <v>111</v>
      </c>
      <c r="K1825" s="199" t="s">
        <v>110</v>
      </c>
      <c r="L1825" s="1691">
        <v>0.65</v>
      </c>
      <c r="M1825" s="1772" t="s">
        <v>4641</v>
      </c>
      <c r="N1825" s="799"/>
      <c r="O1825" s="799"/>
      <c r="P1825" s="1655">
        <v>1</v>
      </c>
      <c r="Q1825" s="1771">
        <v>0.1</v>
      </c>
      <c r="R1825" s="1655"/>
      <c r="S1825" s="262">
        <f t="shared" si="56"/>
        <v>0</v>
      </c>
      <c r="T1825" s="263">
        <f t="shared" si="57"/>
        <v>0</v>
      </c>
      <c r="U1825" s="687" t="s">
        <v>34</v>
      </c>
      <c r="V1825" s="1228"/>
      <c r="W1825" s="799"/>
    </row>
    <row r="1826" spans="1:23" ht="22.95" customHeight="1" x14ac:dyDescent="0.4">
      <c r="A1826" s="788">
        <v>1825</v>
      </c>
      <c r="B1826" s="649" t="s">
        <v>2616</v>
      </c>
      <c r="C1826" s="649" t="s">
        <v>24</v>
      </c>
      <c r="D1826" s="1485">
        <v>2492</v>
      </c>
      <c r="E1826" s="303" t="s">
        <v>4627</v>
      </c>
      <c r="F1826" s="649" t="s">
        <v>4574</v>
      </c>
      <c r="G1826" s="679">
        <v>2491</v>
      </c>
      <c r="H1826" s="649" t="s">
        <v>4461</v>
      </c>
      <c r="I1826" s="649" t="s">
        <v>4463</v>
      </c>
      <c r="J1826" s="1752" t="s">
        <v>111</v>
      </c>
      <c r="K1826" s="199" t="s">
        <v>110</v>
      </c>
      <c r="L1826" s="1691">
        <v>0.65</v>
      </c>
      <c r="M1826" s="1772" t="s">
        <v>4642</v>
      </c>
      <c r="N1826" s="799"/>
      <c r="O1826" s="799"/>
      <c r="P1826" s="1763">
        <v>1</v>
      </c>
      <c r="Q1826" s="1771">
        <v>0.1</v>
      </c>
      <c r="R1826" s="1763"/>
      <c r="S1826" s="262">
        <f t="shared" si="56"/>
        <v>0</v>
      </c>
      <c r="T1826" s="263">
        <f t="shared" si="57"/>
        <v>0</v>
      </c>
      <c r="U1826" s="687" t="s">
        <v>34</v>
      </c>
      <c r="V1826" s="1228"/>
      <c r="W1826" s="799"/>
    </row>
    <row r="1827" spans="1:23" ht="22.95" customHeight="1" x14ac:dyDescent="0.4">
      <c r="A1827" s="788">
        <v>1826</v>
      </c>
      <c r="B1827" s="649" t="s">
        <v>2616</v>
      </c>
      <c r="C1827" s="649" t="s">
        <v>24</v>
      </c>
      <c r="D1827" s="1485">
        <v>2492</v>
      </c>
      <c r="E1827" s="303" t="s">
        <v>4627</v>
      </c>
      <c r="F1827" s="649" t="s">
        <v>4574</v>
      </c>
      <c r="G1827" s="679">
        <v>2491</v>
      </c>
      <c r="H1827" s="649" t="s">
        <v>4461</v>
      </c>
      <c r="I1827" s="649" t="s">
        <v>4463</v>
      </c>
      <c r="J1827" s="1752" t="s">
        <v>111</v>
      </c>
      <c r="K1827" s="199" t="s">
        <v>110</v>
      </c>
      <c r="L1827" s="1691">
        <v>0.65</v>
      </c>
      <c r="M1827" s="1772" t="s">
        <v>4643</v>
      </c>
      <c r="N1827" s="799"/>
      <c r="O1827" s="799"/>
      <c r="P1827" s="1763">
        <v>1</v>
      </c>
      <c r="Q1827" s="1771">
        <v>0.08</v>
      </c>
      <c r="R1827" s="1763"/>
      <c r="S1827" s="262">
        <f t="shared" si="56"/>
        <v>0</v>
      </c>
      <c r="T1827" s="263">
        <f t="shared" si="57"/>
        <v>0</v>
      </c>
      <c r="U1827" s="687" t="s">
        <v>34</v>
      </c>
      <c r="V1827" s="1228"/>
      <c r="W1827" s="799"/>
    </row>
    <row r="1828" spans="1:23" ht="22.95" customHeight="1" x14ac:dyDescent="0.4">
      <c r="A1828" s="788">
        <v>1827</v>
      </c>
      <c r="B1828" s="649" t="s">
        <v>2616</v>
      </c>
      <c r="C1828" s="649" t="s">
        <v>24</v>
      </c>
      <c r="D1828" s="1485">
        <v>2492</v>
      </c>
      <c r="E1828" s="303" t="s">
        <v>4627</v>
      </c>
      <c r="F1828" s="649" t="s">
        <v>4574</v>
      </c>
      <c r="G1828" s="679">
        <v>2491</v>
      </c>
      <c r="H1828" s="649" t="s">
        <v>4461</v>
      </c>
      <c r="I1828" s="649" t="s">
        <v>4463</v>
      </c>
      <c r="J1828" s="1752" t="s">
        <v>111</v>
      </c>
      <c r="K1828" s="199" t="s">
        <v>110</v>
      </c>
      <c r="L1828" s="1691">
        <v>0.65</v>
      </c>
      <c r="M1828" s="1772" t="s">
        <v>4644</v>
      </c>
      <c r="N1828" s="799"/>
      <c r="O1828" s="799"/>
      <c r="P1828" s="1763">
        <v>1</v>
      </c>
      <c r="Q1828" s="1771">
        <v>0.08</v>
      </c>
      <c r="R1828" s="1763"/>
      <c r="S1828" s="262">
        <f t="shared" si="56"/>
        <v>0</v>
      </c>
      <c r="T1828" s="263">
        <f t="shared" si="57"/>
        <v>0</v>
      </c>
      <c r="U1828" s="687" t="s">
        <v>34</v>
      </c>
      <c r="V1828" s="1228"/>
      <c r="W1828" s="799"/>
    </row>
    <row r="1829" spans="1:23" ht="22.95" customHeight="1" x14ac:dyDescent="0.4">
      <c r="A1829" s="788">
        <v>1828</v>
      </c>
      <c r="B1829" s="649" t="s">
        <v>2616</v>
      </c>
      <c r="C1829" s="649" t="s">
        <v>24</v>
      </c>
      <c r="D1829" s="1485">
        <v>2492</v>
      </c>
      <c r="E1829" s="303" t="s">
        <v>4627</v>
      </c>
      <c r="F1829" s="649" t="s">
        <v>4574</v>
      </c>
      <c r="G1829" s="679">
        <v>2491</v>
      </c>
      <c r="H1829" s="649" t="s">
        <v>4461</v>
      </c>
      <c r="I1829" s="649" t="s">
        <v>4463</v>
      </c>
      <c r="J1829" s="1752" t="s">
        <v>111</v>
      </c>
      <c r="K1829" s="199" t="s">
        <v>110</v>
      </c>
      <c r="L1829" s="1691">
        <v>0.65</v>
      </c>
      <c r="M1829" s="1772" t="s">
        <v>4645</v>
      </c>
      <c r="N1829" s="799"/>
      <c r="O1829" s="799"/>
      <c r="P1829" s="1763">
        <v>1</v>
      </c>
      <c r="Q1829" s="1430">
        <v>0.06</v>
      </c>
      <c r="R1829" s="1763"/>
      <c r="S1829" s="262">
        <f t="shared" si="56"/>
        <v>0</v>
      </c>
      <c r="T1829" s="263">
        <f t="shared" si="57"/>
        <v>0</v>
      </c>
      <c r="U1829" s="687" t="s">
        <v>34</v>
      </c>
      <c r="V1829" s="1228"/>
      <c r="W1829" s="799"/>
    </row>
    <row r="1830" spans="1:23" ht="22.95" customHeight="1" x14ac:dyDescent="0.4">
      <c r="A1830" s="788">
        <v>1829</v>
      </c>
      <c r="B1830" s="649" t="s">
        <v>2616</v>
      </c>
      <c r="C1830" s="649" t="s">
        <v>24</v>
      </c>
      <c r="D1830" s="1485">
        <v>2492</v>
      </c>
      <c r="E1830" s="303" t="s">
        <v>4627</v>
      </c>
      <c r="F1830" s="649" t="s">
        <v>4574</v>
      </c>
      <c r="G1830" s="679">
        <v>2491</v>
      </c>
      <c r="H1830" s="649" t="s">
        <v>4461</v>
      </c>
      <c r="I1830" s="649" t="s">
        <v>4463</v>
      </c>
      <c r="J1830" s="1752" t="s">
        <v>111</v>
      </c>
      <c r="K1830" s="199" t="s">
        <v>110</v>
      </c>
      <c r="L1830" s="1691">
        <v>0.65</v>
      </c>
      <c r="M1830" s="1772" t="s">
        <v>4646</v>
      </c>
      <c r="N1830" s="799"/>
      <c r="O1830" s="799"/>
      <c r="P1830" s="1763">
        <v>1</v>
      </c>
      <c r="Q1830" s="1430">
        <v>0.06</v>
      </c>
      <c r="R1830" s="1763"/>
      <c r="S1830" s="262">
        <f t="shared" si="56"/>
        <v>0</v>
      </c>
      <c r="T1830" s="263">
        <f t="shared" si="57"/>
        <v>0</v>
      </c>
      <c r="U1830" s="687" t="s">
        <v>34</v>
      </c>
      <c r="V1830" s="1228"/>
      <c r="W1830" s="799"/>
    </row>
    <row r="1831" spans="1:23" ht="22.95" customHeight="1" x14ac:dyDescent="0.4">
      <c r="A1831" s="788">
        <v>1830</v>
      </c>
      <c r="B1831" s="653" t="s">
        <v>2616</v>
      </c>
      <c r="C1831" s="653" t="s">
        <v>24</v>
      </c>
      <c r="D1831" s="1334">
        <v>2503</v>
      </c>
      <c r="E1831" s="295" t="s">
        <v>4647</v>
      </c>
      <c r="F1831" s="653" t="s">
        <v>4648</v>
      </c>
      <c r="G1831" s="674">
        <v>2493</v>
      </c>
      <c r="H1831" s="295" t="s">
        <v>4573</v>
      </c>
      <c r="I1831" s="653" t="s">
        <v>4463</v>
      </c>
      <c r="J1831" s="187" t="s">
        <v>58</v>
      </c>
      <c r="K1831" s="187" t="s">
        <v>57</v>
      </c>
      <c r="L1831" s="1684">
        <v>0.5</v>
      </c>
      <c r="M1831" s="1478" t="s">
        <v>4575</v>
      </c>
      <c r="N1831" s="791"/>
      <c r="O1831" s="791"/>
      <c r="P1831" s="1532">
        <v>1</v>
      </c>
      <c r="Q1831" s="1191">
        <v>0.1</v>
      </c>
      <c r="R1831" s="1532"/>
      <c r="S1831" s="195">
        <f t="shared" si="56"/>
        <v>0</v>
      </c>
      <c r="T1831" s="196">
        <f t="shared" si="57"/>
        <v>0</v>
      </c>
      <c r="U1831" s="197" t="s">
        <v>34</v>
      </c>
      <c r="V1831" s="1724">
        <f>SUM(T1831:T1846)%</f>
        <v>0</v>
      </c>
      <c r="W1831" s="791"/>
    </row>
    <row r="1832" spans="1:23" ht="22.95" customHeight="1" x14ac:dyDescent="0.4">
      <c r="A1832" s="788">
        <v>1831</v>
      </c>
      <c r="B1832" s="649" t="s">
        <v>2616</v>
      </c>
      <c r="C1832" s="649" t="s">
        <v>24</v>
      </c>
      <c r="D1832" s="1082">
        <v>2503</v>
      </c>
      <c r="E1832" s="303" t="s">
        <v>4647</v>
      </c>
      <c r="F1832" s="649" t="s">
        <v>4648</v>
      </c>
      <c r="G1832" s="679">
        <v>2493</v>
      </c>
      <c r="H1832" s="303" t="s">
        <v>4573</v>
      </c>
      <c r="I1832" s="649" t="s">
        <v>4463</v>
      </c>
      <c r="J1832" s="692" t="s">
        <v>58</v>
      </c>
      <c r="K1832" s="692" t="s">
        <v>57</v>
      </c>
      <c r="L1832" s="1687">
        <v>0.5</v>
      </c>
      <c r="M1832" s="1479" t="s">
        <v>4649</v>
      </c>
      <c r="N1832" s="840"/>
      <c r="O1832" s="840"/>
      <c r="P1832" s="1536">
        <v>1</v>
      </c>
      <c r="Q1832" s="1069">
        <v>0.05</v>
      </c>
      <c r="R1832" s="1536"/>
      <c r="S1832" s="206">
        <f t="shared" si="56"/>
        <v>0</v>
      </c>
      <c r="T1832" s="207">
        <f t="shared" si="57"/>
        <v>0</v>
      </c>
      <c r="U1832" s="208" t="s">
        <v>34</v>
      </c>
      <c r="V1832" s="1203"/>
      <c r="W1832" s="799"/>
    </row>
    <row r="1833" spans="1:23" ht="22.95" customHeight="1" x14ac:dyDescent="0.4">
      <c r="A1833" s="788">
        <v>1832</v>
      </c>
      <c r="B1833" s="649" t="s">
        <v>2616</v>
      </c>
      <c r="C1833" s="649" t="s">
        <v>24</v>
      </c>
      <c r="D1833" s="1082">
        <v>2503</v>
      </c>
      <c r="E1833" s="303" t="s">
        <v>4647</v>
      </c>
      <c r="F1833" s="649" t="s">
        <v>4648</v>
      </c>
      <c r="G1833" s="679">
        <v>2493</v>
      </c>
      <c r="H1833" s="303" t="s">
        <v>4573</v>
      </c>
      <c r="I1833" s="649" t="s">
        <v>4463</v>
      </c>
      <c r="J1833" s="692" t="s">
        <v>58</v>
      </c>
      <c r="K1833" s="692" t="s">
        <v>57</v>
      </c>
      <c r="L1833" s="1687">
        <v>0.5</v>
      </c>
      <c r="M1833" s="1479" t="s">
        <v>4476</v>
      </c>
      <c r="N1833" s="840"/>
      <c r="O1833" s="840"/>
      <c r="P1833" s="1536">
        <v>1</v>
      </c>
      <c r="Q1833" s="1069">
        <v>0.08</v>
      </c>
      <c r="R1833" s="1536"/>
      <c r="S1833" s="206">
        <f t="shared" si="56"/>
        <v>0</v>
      </c>
      <c r="T1833" s="207">
        <f t="shared" si="57"/>
        <v>0</v>
      </c>
      <c r="U1833" s="208" t="s">
        <v>34</v>
      </c>
      <c r="V1833" s="1203"/>
      <c r="W1833" s="799"/>
    </row>
    <row r="1834" spans="1:23" ht="22.95" customHeight="1" x14ac:dyDescent="0.4">
      <c r="A1834" s="788">
        <v>1833</v>
      </c>
      <c r="B1834" s="649" t="s">
        <v>2616</v>
      </c>
      <c r="C1834" s="649" t="s">
        <v>24</v>
      </c>
      <c r="D1834" s="1082">
        <v>2503</v>
      </c>
      <c r="E1834" s="303" t="s">
        <v>4647</v>
      </c>
      <c r="F1834" s="649" t="s">
        <v>4648</v>
      </c>
      <c r="G1834" s="679">
        <v>2493</v>
      </c>
      <c r="H1834" s="303" t="s">
        <v>4573</v>
      </c>
      <c r="I1834" s="649" t="s">
        <v>4463</v>
      </c>
      <c r="J1834" s="692" t="s">
        <v>58</v>
      </c>
      <c r="K1834" s="692" t="s">
        <v>57</v>
      </c>
      <c r="L1834" s="1687">
        <v>0.5</v>
      </c>
      <c r="M1834" s="1479" t="s">
        <v>4650</v>
      </c>
      <c r="N1834" s="840"/>
      <c r="O1834" s="840"/>
      <c r="P1834" s="1536">
        <v>1</v>
      </c>
      <c r="Q1834" s="1069">
        <v>0.05</v>
      </c>
      <c r="R1834" s="1536"/>
      <c r="S1834" s="206">
        <f t="shared" si="56"/>
        <v>0</v>
      </c>
      <c r="T1834" s="207">
        <f t="shared" si="57"/>
        <v>0</v>
      </c>
      <c r="U1834" s="208" t="s">
        <v>34</v>
      </c>
      <c r="V1834" s="1203"/>
      <c r="W1834" s="799"/>
    </row>
    <row r="1835" spans="1:23" ht="22.95" customHeight="1" x14ac:dyDescent="0.4">
      <c r="A1835" s="788">
        <v>1834</v>
      </c>
      <c r="B1835" s="649" t="s">
        <v>2616</v>
      </c>
      <c r="C1835" s="649" t="s">
        <v>24</v>
      </c>
      <c r="D1835" s="1082">
        <v>2503</v>
      </c>
      <c r="E1835" s="303" t="s">
        <v>4647</v>
      </c>
      <c r="F1835" s="649" t="s">
        <v>4648</v>
      </c>
      <c r="G1835" s="679">
        <v>2493</v>
      </c>
      <c r="H1835" s="303" t="s">
        <v>4573</v>
      </c>
      <c r="I1835" s="649" t="s">
        <v>4463</v>
      </c>
      <c r="J1835" s="692" t="s">
        <v>58</v>
      </c>
      <c r="K1835" s="692" t="s">
        <v>57</v>
      </c>
      <c r="L1835" s="1687">
        <v>0.5</v>
      </c>
      <c r="M1835" s="1479" t="s">
        <v>4651</v>
      </c>
      <c r="N1835" s="840"/>
      <c r="O1835" s="840"/>
      <c r="P1835" s="1536">
        <v>1</v>
      </c>
      <c r="Q1835" s="1069">
        <v>0.05</v>
      </c>
      <c r="R1835" s="1536"/>
      <c r="S1835" s="206">
        <f t="shared" si="56"/>
        <v>0</v>
      </c>
      <c r="T1835" s="207">
        <f t="shared" si="57"/>
        <v>0</v>
      </c>
      <c r="U1835" s="208" t="s">
        <v>34</v>
      </c>
      <c r="V1835" s="1203"/>
      <c r="W1835" s="799"/>
    </row>
    <row r="1836" spans="1:23" ht="22.95" customHeight="1" x14ac:dyDescent="0.4">
      <c r="A1836" s="788">
        <v>1835</v>
      </c>
      <c r="B1836" s="649" t="s">
        <v>2616</v>
      </c>
      <c r="C1836" s="649" t="s">
        <v>24</v>
      </c>
      <c r="D1836" s="1082">
        <v>2503</v>
      </c>
      <c r="E1836" s="303" t="s">
        <v>4647</v>
      </c>
      <c r="F1836" s="649" t="s">
        <v>4648</v>
      </c>
      <c r="G1836" s="679">
        <v>2493</v>
      </c>
      <c r="H1836" s="303" t="s">
        <v>4573</v>
      </c>
      <c r="I1836" s="649" t="s">
        <v>4463</v>
      </c>
      <c r="J1836" s="692" t="s">
        <v>58</v>
      </c>
      <c r="K1836" s="692" t="s">
        <v>57</v>
      </c>
      <c r="L1836" s="1687">
        <v>0.5</v>
      </c>
      <c r="M1836" s="1479" t="s">
        <v>4491</v>
      </c>
      <c r="N1836" s="840"/>
      <c r="O1836" s="840"/>
      <c r="P1836" s="1712">
        <v>1</v>
      </c>
      <c r="Q1836" s="1069">
        <v>0.1</v>
      </c>
      <c r="R1836" s="1712"/>
      <c r="S1836" s="206">
        <f t="shared" si="56"/>
        <v>0</v>
      </c>
      <c r="T1836" s="207">
        <f t="shared" si="57"/>
        <v>0</v>
      </c>
      <c r="U1836" s="208" t="s">
        <v>34</v>
      </c>
      <c r="V1836" s="1203"/>
      <c r="W1836" s="799"/>
    </row>
    <row r="1837" spans="1:23" ht="22.95" customHeight="1" x14ac:dyDescent="0.4">
      <c r="A1837" s="788">
        <v>1836</v>
      </c>
      <c r="B1837" s="649" t="s">
        <v>2616</v>
      </c>
      <c r="C1837" s="649" t="s">
        <v>24</v>
      </c>
      <c r="D1837" s="1082">
        <v>2503</v>
      </c>
      <c r="E1837" s="303" t="s">
        <v>4647</v>
      </c>
      <c r="F1837" s="649" t="s">
        <v>4648</v>
      </c>
      <c r="G1837" s="679">
        <v>2493</v>
      </c>
      <c r="H1837" s="303" t="s">
        <v>4573</v>
      </c>
      <c r="I1837" s="649" t="s">
        <v>4463</v>
      </c>
      <c r="J1837" s="692" t="s">
        <v>58</v>
      </c>
      <c r="K1837" s="692" t="s">
        <v>57</v>
      </c>
      <c r="L1837" s="1687">
        <v>0.5</v>
      </c>
      <c r="M1837" s="1479" t="s">
        <v>4652</v>
      </c>
      <c r="N1837" s="840"/>
      <c r="O1837" s="840"/>
      <c r="P1837" s="1536">
        <v>1</v>
      </c>
      <c r="Q1837" s="1069">
        <v>0.1</v>
      </c>
      <c r="R1837" s="1536"/>
      <c r="S1837" s="206">
        <f t="shared" si="56"/>
        <v>0</v>
      </c>
      <c r="T1837" s="207">
        <f t="shared" si="57"/>
        <v>0</v>
      </c>
      <c r="U1837" s="208" t="s">
        <v>34</v>
      </c>
      <c r="V1837" s="1203"/>
      <c r="W1837" s="799"/>
    </row>
    <row r="1838" spans="1:23" ht="22.95" customHeight="1" x14ac:dyDescent="0.4">
      <c r="A1838" s="788">
        <v>1837</v>
      </c>
      <c r="B1838" s="649" t="s">
        <v>2616</v>
      </c>
      <c r="C1838" s="649" t="s">
        <v>24</v>
      </c>
      <c r="D1838" s="1082">
        <v>2503</v>
      </c>
      <c r="E1838" s="303" t="s">
        <v>4647</v>
      </c>
      <c r="F1838" s="649" t="s">
        <v>4648</v>
      </c>
      <c r="G1838" s="679">
        <v>2493</v>
      </c>
      <c r="H1838" s="303" t="s">
        <v>4573</v>
      </c>
      <c r="I1838" s="649" t="s">
        <v>4463</v>
      </c>
      <c r="J1838" s="692" t="s">
        <v>58</v>
      </c>
      <c r="K1838" s="692" t="s">
        <v>57</v>
      </c>
      <c r="L1838" s="1687">
        <v>0.5</v>
      </c>
      <c r="M1838" s="1479" t="s">
        <v>4653</v>
      </c>
      <c r="N1838" s="840"/>
      <c r="O1838" s="840"/>
      <c r="P1838" s="1712">
        <v>1</v>
      </c>
      <c r="Q1838" s="1069">
        <v>0.1</v>
      </c>
      <c r="R1838" s="1712"/>
      <c r="S1838" s="206">
        <f t="shared" si="56"/>
        <v>0</v>
      </c>
      <c r="T1838" s="207">
        <f t="shared" si="57"/>
        <v>0</v>
      </c>
      <c r="U1838" s="208" t="s">
        <v>34</v>
      </c>
      <c r="V1838" s="1203"/>
      <c r="W1838" s="799"/>
    </row>
    <row r="1839" spans="1:23" ht="22.95" customHeight="1" x14ac:dyDescent="0.4">
      <c r="A1839" s="788">
        <v>1838</v>
      </c>
      <c r="B1839" s="649" t="s">
        <v>2616</v>
      </c>
      <c r="C1839" s="649" t="s">
        <v>24</v>
      </c>
      <c r="D1839" s="1082">
        <v>2503</v>
      </c>
      <c r="E1839" s="303" t="s">
        <v>4647</v>
      </c>
      <c r="F1839" s="649" t="s">
        <v>4648</v>
      </c>
      <c r="G1839" s="679">
        <v>2493</v>
      </c>
      <c r="H1839" s="303" t="s">
        <v>4573</v>
      </c>
      <c r="I1839" s="649" t="s">
        <v>4463</v>
      </c>
      <c r="J1839" s="692" t="s">
        <v>58</v>
      </c>
      <c r="K1839" s="692" t="s">
        <v>57</v>
      </c>
      <c r="L1839" s="1687">
        <v>0.5</v>
      </c>
      <c r="M1839" s="1479" t="s">
        <v>4579</v>
      </c>
      <c r="N1839" s="840"/>
      <c r="O1839" s="840"/>
      <c r="P1839" s="1536">
        <v>1</v>
      </c>
      <c r="Q1839" s="1069">
        <v>0.15</v>
      </c>
      <c r="R1839" s="1536"/>
      <c r="S1839" s="206">
        <f t="shared" si="56"/>
        <v>0</v>
      </c>
      <c r="T1839" s="207">
        <f t="shared" si="57"/>
        <v>0</v>
      </c>
      <c r="U1839" s="208" t="s">
        <v>34</v>
      </c>
      <c r="V1839" s="1203"/>
      <c r="W1839" s="799"/>
    </row>
    <row r="1840" spans="1:23" ht="22.95" customHeight="1" x14ac:dyDescent="0.4">
      <c r="A1840" s="788">
        <v>1839</v>
      </c>
      <c r="B1840" s="649" t="s">
        <v>2616</v>
      </c>
      <c r="C1840" s="649" t="s">
        <v>24</v>
      </c>
      <c r="D1840" s="1082">
        <v>2503</v>
      </c>
      <c r="E1840" s="303" t="s">
        <v>4647</v>
      </c>
      <c r="F1840" s="649" t="s">
        <v>4648</v>
      </c>
      <c r="G1840" s="679">
        <v>2493</v>
      </c>
      <c r="H1840" s="303" t="s">
        <v>4573</v>
      </c>
      <c r="I1840" s="649" t="s">
        <v>4463</v>
      </c>
      <c r="J1840" s="692" t="s">
        <v>58</v>
      </c>
      <c r="K1840" s="692" t="s">
        <v>57</v>
      </c>
      <c r="L1840" s="1687">
        <v>0.5</v>
      </c>
      <c r="M1840" s="1479" t="s">
        <v>4483</v>
      </c>
      <c r="N1840" s="840"/>
      <c r="O1840" s="840"/>
      <c r="P1840" s="1712">
        <v>1</v>
      </c>
      <c r="Q1840" s="1069">
        <v>7.0000000000000007E-2</v>
      </c>
      <c r="R1840" s="1712"/>
      <c r="S1840" s="206">
        <f t="shared" si="56"/>
        <v>0</v>
      </c>
      <c r="T1840" s="207">
        <f t="shared" si="57"/>
        <v>0</v>
      </c>
      <c r="U1840" s="208" t="s">
        <v>34</v>
      </c>
      <c r="V1840" s="1203"/>
      <c r="W1840" s="799"/>
    </row>
    <row r="1841" spans="1:23" ht="22.95" customHeight="1" x14ac:dyDescent="0.4">
      <c r="A1841" s="788">
        <v>1840</v>
      </c>
      <c r="B1841" s="649" t="s">
        <v>2616</v>
      </c>
      <c r="C1841" s="649" t="s">
        <v>24</v>
      </c>
      <c r="D1841" s="1082">
        <v>2503</v>
      </c>
      <c r="E1841" s="303" t="s">
        <v>4647</v>
      </c>
      <c r="F1841" s="649" t="s">
        <v>4648</v>
      </c>
      <c r="G1841" s="679">
        <v>2493</v>
      </c>
      <c r="H1841" s="303" t="s">
        <v>4573</v>
      </c>
      <c r="I1841" s="649" t="s">
        <v>4463</v>
      </c>
      <c r="J1841" s="692" t="s">
        <v>58</v>
      </c>
      <c r="K1841" s="692" t="s">
        <v>57</v>
      </c>
      <c r="L1841" s="1687">
        <v>0.5</v>
      </c>
      <c r="M1841" s="1479" t="s">
        <v>4654</v>
      </c>
      <c r="N1841" s="840"/>
      <c r="O1841" s="840"/>
      <c r="P1841" s="1712">
        <v>1</v>
      </c>
      <c r="Q1841" s="1687">
        <v>0.05</v>
      </c>
      <c r="R1841" s="1712"/>
      <c r="S1841" s="206">
        <f t="shared" si="56"/>
        <v>0</v>
      </c>
      <c r="T1841" s="207">
        <f t="shared" si="57"/>
        <v>0</v>
      </c>
      <c r="U1841" s="208" t="s">
        <v>34</v>
      </c>
      <c r="V1841" s="1203"/>
      <c r="W1841" s="799"/>
    </row>
    <row r="1842" spans="1:23" ht="22.95" customHeight="1" x14ac:dyDescent="0.4">
      <c r="A1842" s="788">
        <v>1841</v>
      </c>
      <c r="B1842" s="649" t="s">
        <v>2616</v>
      </c>
      <c r="C1842" s="649" t="s">
        <v>24</v>
      </c>
      <c r="D1842" s="1082">
        <v>2503</v>
      </c>
      <c r="E1842" s="303" t="s">
        <v>4647</v>
      </c>
      <c r="F1842" s="649" t="s">
        <v>4648</v>
      </c>
      <c r="G1842" s="679">
        <v>2493</v>
      </c>
      <c r="H1842" s="303" t="s">
        <v>4573</v>
      </c>
      <c r="I1842" s="649" t="s">
        <v>4463</v>
      </c>
      <c r="J1842" s="692" t="s">
        <v>58</v>
      </c>
      <c r="K1842" s="692" t="s">
        <v>57</v>
      </c>
      <c r="L1842" s="1687">
        <v>0.5</v>
      </c>
      <c r="M1842" s="1479" t="s">
        <v>4655</v>
      </c>
      <c r="N1842" s="840"/>
      <c r="O1842" s="840"/>
      <c r="P1842" s="1712">
        <v>1</v>
      </c>
      <c r="Q1842" s="1687">
        <v>0.1</v>
      </c>
      <c r="R1842" s="1712"/>
      <c r="S1842" s="206">
        <f t="shared" si="56"/>
        <v>0</v>
      </c>
      <c r="T1842" s="207">
        <f t="shared" si="57"/>
        <v>0</v>
      </c>
      <c r="U1842" s="208" t="s">
        <v>34</v>
      </c>
      <c r="V1842" s="1203"/>
      <c r="W1842" s="799"/>
    </row>
    <row r="1843" spans="1:23" ht="22.95" customHeight="1" x14ac:dyDescent="0.4">
      <c r="A1843" s="788">
        <v>1842</v>
      </c>
      <c r="B1843" s="649" t="s">
        <v>2616</v>
      </c>
      <c r="C1843" s="649" t="s">
        <v>24</v>
      </c>
      <c r="D1843" s="1082">
        <v>2503</v>
      </c>
      <c r="E1843" s="303" t="s">
        <v>4647</v>
      </c>
      <c r="F1843" s="649" t="s">
        <v>4648</v>
      </c>
      <c r="G1843" s="679">
        <v>2493</v>
      </c>
      <c r="H1843" s="303" t="s">
        <v>4573</v>
      </c>
      <c r="I1843" s="649" t="s">
        <v>4463</v>
      </c>
      <c r="J1843" s="1752" t="s">
        <v>111</v>
      </c>
      <c r="K1843" s="199" t="s">
        <v>110</v>
      </c>
      <c r="L1843" s="1691">
        <v>0.5</v>
      </c>
      <c r="M1843" s="1557" t="s">
        <v>4656</v>
      </c>
      <c r="N1843" s="799"/>
      <c r="O1843" s="799"/>
      <c r="P1843" s="1337">
        <v>1</v>
      </c>
      <c r="Q1843" s="1691">
        <v>0.3</v>
      </c>
      <c r="R1843" s="1337"/>
      <c r="S1843" s="262">
        <f t="shared" si="56"/>
        <v>0</v>
      </c>
      <c r="T1843" s="263">
        <f t="shared" si="57"/>
        <v>0</v>
      </c>
      <c r="U1843" s="687" t="s">
        <v>34</v>
      </c>
      <c r="V1843" s="1228"/>
      <c r="W1843" s="799"/>
    </row>
    <row r="1844" spans="1:23" ht="22.95" customHeight="1" x14ac:dyDescent="0.4">
      <c r="A1844" s="788">
        <v>1843</v>
      </c>
      <c r="B1844" s="649" t="s">
        <v>2616</v>
      </c>
      <c r="C1844" s="649" t="s">
        <v>24</v>
      </c>
      <c r="D1844" s="1082">
        <v>2503</v>
      </c>
      <c r="E1844" s="303" t="s">
        <v>4647</v>
      </c>
      <c r="F1844" s="649" t="s">
        <v>4648</v>
      </c>
      <c r="G1844" s="679">
        <v>2493</v>
      </c>
      <c r="H1844" s="303" t="s">
        <v>4573</v>
      </c>
      <c r="I1844" s="649" t="s">
        <v>4463</v>
      </c>
      <c r="J1844" s="1752" t="s">
        <v>111</v>
      </c>
      <c r="K1844" s="199" t="s">
        <v>110</v>
      </c>
      <c r="L1844" s="1691">
        <v>0.5</v>
      </c>
      <c r="M1844" s="1557" t="s">
        <v>4657</v>
      </c>
      <c r="N1844" s="799"/>
      <c r="O1844" s="799"/>
      <c r="P1844" s="1337">
        <v>1</v>
      </c>
      <c r="Q1844" s="1691">
        <v>0.3</v>
      </c>
      <c r="R1844" s="1337"/>
      <c r="S1844" s="262">
        <f t="shared" si="56"/>
        <v>0</v>
      </c>
      <c r="T1844" s="263">
        <f t="shared" si="57"/>
        <v>0</v>
      </c>
      <c r="U1844" s="687" t="s">
        <v>34</v>
      </c>
      <c r="V1844" s="1228"/>
      <c r="W1844" s="799"/>
    </row>
    <row r="1845" spans="1:23" ht="22.95" customHeight="1" x14ac:dyDescent="0.4">
      <c r="A1845" s="788">
        <v>1844</v>
      </c>
      <c r="B1845" s="649" t="s">
        <v>2616</v>
      </c>
      <c r="C1845" s="649" t="s">
        <v>24</v>
      </c>
      <c r="D1845" s="1082">
        <v>2503</v>
      </c>
      <c r="E1845" s="303" t="s">
        <v>4647</v>
      </c>
      <c r="F1845" s="649" t="s">
        <v>4648</v>
      </c>
      <c r="G1845" s="679">
        <v>2493</v>
      </c>
      <c r="H1845" s="303" t="s">
        <v>4573</v>
      </c>
      <c r="I1845" s="649" t="s">
        <v>4463</v>
      </c>
      <c r="J1845" s="1752" t="s">
        <v>111</v>
      </c>
      <c r="K1845" s="199" t="s">
        <v>110</v>
      </c>
      <c r="L1845" s="1691">
        <v>0.5</v>
      </c>
      <c r="M1845" s="1557" t="s">
        <v>4588</v>
      </c>
      <c r="N1845" s="799"/>
      <c r="O1845" s="799"/>
      <c r="P1845" s="1337">
        <v>1</v>
      </c>
      <c r="Q1845" s="1691">
        <v>0.3</v>
      </c>
      <c r="R1845" s="1337"/>
      <c r="S1845" s="262">
        <f t="shared" si="56"/>
        <v>0</v>
      </c>
      <c r="T1845" s="263">
        <f t="shared" si="57"/>
        <v>0</v>
      </c>
      <c r="U1845" s="687" t="s">
        <v>34</v>
      </c>
      <c r="V1845" s="1228"/>
      <c r="W1845" s="799"/>
    </row>
    <row r="1846" spans="1:23" ht="22.95" customHeight="1" x14ac:dyDescent="0.4">
      <c r="A1846" s="788">
        <v>1845</v>
      </c>
      <c r="B1846" s="649" t="s">
        <v>2616</v>
      </c>
      <c r="C1846" s="649" t="s">
        <v>24</v>
      </c>
      <c r="D1846" s="1082">
        <v>2503</v>
      </c>
      <c r="E1846" s="303" t="s">
        <v>4647</v>
      </c>
      <c r="F1846" s="649" t="s">
        <v>4648</v>
      </c>
      <c r="G1846" s="679">
        <v>2493</v>
      </c>
      <c r="H1846" s="303" t="s">
        <v>4573</v>
      </c>
      <c r="I1846" s="649" t="s">
        <v>4463</v>
      </c>
      <c r="J1846" s="1752" t="s">
        <v>111</v>
      </c>
      <c r="K1846" s="199" t="s">
        <v>110</v>
      </c>
      <c r="L1846" s="1691">
        <v>0.5</v>
      </c>
      <c r="M1846" s="1557" t="s">
        <v>4589</v>
      </c>
      <c r="N1846" s="799"/>
      <c r="O1846" s="799"/>
      <c r="P1846" s="1337">
        <v>1</v>
      </c>
      <c r="Q1846" s="1691">
        <v>0.1</v>
      </c>
      <c r="R1846" s="1337"/>
      <c r="S1846" s="262">
        <f t="shared" si="56"/>
        <v>0</v>
      </c>
      <c r="T1846" s="263">
        <f t="shared" si="57"/>
        <v>0</v>
      </c>
      <c r="U1846" s="687" t="s">
        <v>34</v>
      </c>
      <c r="V1846" s="1228"/>
      <c r="W1846" s="799"/>
    </row>
    <row r="1847" spans="1:23" ht="22.95" customHeight="1" x14ac:dyDescent="0.4">
      <c r="A1847" s="788">
        <v>1846</v>
      </c>
      <c r="B1847" s="653" t="s">
        <v>2616</v>
      </c>
      <c r="C1847" s="653" t="s">
        <v>24</v>
      </c>
      <c r="D1847" s="1334">
        <v>2470</v>
      </c>
      <c r="E1847" s="295" t="s">
        <v>4658</v>
      </c>
      <c r="F1847" s="653" t="s">
        <v>4659</v>
      </c>
      <c r="G1847" s="674">
        <v>2503</v>
      </c>
      <c r="H1847" s="653" t="s">
        <v>4647</v>
      </c>
      <c r="I1847" s="653" t="s">
        <v>4463</v>
      </c>
      <c r="J1847" s="187" t="s">
        <v>58</v>
      </c>
      <c r="K1847" s="187" t="s">
        <v>57</v>
      </c>
      <c r="L1847" s="1684">
        <v>0.6</v>
      </c>
      <c r="M1847" s="1773" t="s">
        <v>4654</v>
      </c>
      <c r="N1847" s="1532"/>
      <c r="O1847" s="1478"/>
      <c r="P1847" s="1532">
        <v>1</v>
      </c>
      <c r="Q1847" s="1191">
        <v>0.1</v>
      </c>
      <c r="R1847" s="1532"/>
      <c r="S1847" s="1746">
        <f t="shared" si="56"/>
        <v>0</v>
      </c>
      <c r="T1847" s="1747">
        <f t="shared" si="57"/>
        <v>0</v>
      </c>
      <c r="U1847" s="1748" t="s">
        <v>34</v>
      </c>
      <c r="V1847" s="1724">
        <f>SUM(T1847:T1858)%</f>
        <v>0</v>
      </c>
      <c r="W1847" s="791"/>
    </row>
    <row r="1848" spans="1:23" ht="22.95" customHeight="1" x14ac:dyDescent="0.4">
      <c r="A1848" s="788">
        <v>1847</v>
      </c>
      <c r="B1848" s="649" t="s">
        <v>2616</v>
      </c>
      <c r="C1848" s="649" t="s">
        <v>24</v>
      </c>
      <c r="D1848" s="1082">
        <v>2470</v>
      </c>
      <c r="E1848" s="303" t="s">
        <v>4658</v>
      </c>
      <c r="F1848" s="649" t="s">
        <v>4659</v>
      </c>
      <c r="G1848" s="679">
        <v>2503</v>
      </c>
      <c r="H1848" s="649" t="s">
        <v>4647</v>
      </c>
      <c r="I1848" s="649" t="s">
        <v>4463</v>
      </c>
      <c r="J1848" s="692" t="s">
        <v>58</v>
      </c>
      <c r="K1848" s="692" t="s">
        <v>57</v>
      </c>
      <c r="L1848" s="1687">
        <v>0.6</v>
      </c>
      <c r="M1848" s="1774" t="s">
        <v>4660</v>
      </c>
      <c r="N1848" s="1536"/>
      <c r="O1848" s="1479"/>
      <c r="P1848" s="1536">
        <v>1</v>
      </c>
      <c r="Q1848" s="1069">
        <v>0.1</v>
      </c>
      <c r="R1848" s="1536"/>
      <c r="S1848" s="206">
        <f t="shared" si="56"/>
        <v>0</v>
      </c>
      <c r="T1848" s="207">
        <f t="shared" si="57"/>
        <v>0</v>
      </c>
      <c r="U1848" s="208" t="s">
        <v>34</v>
      </c>
      <c r="V1848" s="1203"/>
      <c r="W1848" s="799"/>
    </row>
    <row r="1849" spans="1:23" ht="22.95" customHeight="1" x14ac:dyDescent="0.4">
      <c r="A1849" s="788">
        <v>1848</v>
      </c>
      <c r="B1849" s="649" t="s">
        <v>2616</v>
      </c>
      <c r="C1849" s="649" t="s">
        <v>24</v>
      </c>
      <c r="D1849" s="1082">
        <v>2470</v>
      </c>
      <c r="E1849" s="303" t="s">
        <v>4658</v>
      </c>
      <c r="F1849" s="649" t="s">
        <v>4659</v>
      </c>
      <c r="G1849" s="679">
        <v>2503</v>
      </c>
      <c r="H1849" s="649" t="s">
        <v>4647</v>
      </c>
      <c r="I1849" s="649" t="s">
        <v>4463</v>
      </c>
      <c r="J1849" s="692" t="s">
        <v>58</v>
      </c>
      <c r="K1849" s="692" t="s">
        <v>57</v>
      </c>
      <c r="L1849" s="1687">
        <v>0.6</v>
      </c>
      <c r="M1849" s="1774" t="s">
        <v>4661</v>
      </c>
      <c r="N1849" s="1536"/>
      <c r="O1849" s="1479"/>
      <c r="P1849" s="1536">
        <v>1</v>
      </c>
      <c r="Q1849" s="1069">
        <v>0.1</v>
      </c>
      <c r="R1849" s="1536"/>
      <c r="S1849" s="206">
        <f t="shared" si="56"/>
        <v>0</v>
      </c>
      <c r="T1849" s="207">
        <f t="shared" si="57"/>
        <v>0</v>
      </c>
      <c r="U1849" s="208" t="s">
        <v>34</v>
      </c>
      <c r="V1849" s="1203"/>
      <c r="W1849" s="799"/>
    </row>
    <row r="1850" spans="1:23" ht="22.95" customHeight="1" x14ac:dyDescent="0.4">
      <c r="A1850" s="788">
        <v>1849</v>
      </c>
      <c r="B1850" s="649" t="s">
        <v>2616</v>
      </c>
      <c r="C1850" s="649" t="s">
        <v>24</v>
      </c>
      <c r="D1850" s="1082">
        <v>2470</v>
      </c>
      <c r="E1850" s="303" t="s">
        <v>4658</v>
      </c>
      <c r="F1850" s="649" t="s">
        <v>4659</v>
      </c>
      <c r="G1850" s="679">
        <v>2503</v>
      </c>
      <c r="H1850" s="649" t="s">
        <v>4647</v>
      </c>
      <c r="I1850" s="649" t="s">
        <v>4463</v>
      </c>
      <c r="J1850" s="692" t="s">
        <v>58</v>
      </c>
      <c r="K1850" s="692" t="s">
        <v>57</v>
      </c>
      <c r="L1850" s="1687">
        <v>0.6</v>
      </c>
      <c r="M1850" s="1774" t="s">
        <v>4662</v>
      </c>
      <c r="N1850" s="1536"/>
      <c r="O1850" s="1479"/>
      <c r="P1850" s="1536">
        <v>1</v>
      </c>
      <c r="Q1850" s="1069">
        <v>0.15</v>
      </c>
      <c r="R1850" s="1536"/>
      <c r="S1850" s="206">
        <f t="shared" si="56"/>
        <v>0</v>
      </c>
      <c r="T1850" s="207">
        <f t="shared" si="57"/>
        <v>0</v>
      </c>
      <c r="U1850" s="208" t="s">
        <v>34</v>
      </c>
      <c r="V1850" s="1203"/>
      <c r="W1850" s="799"/>
    </row>
    <row r="1851" spans="1:23" ht="22.95" customHeight="1" x14ac:dyDescent="0.4">
      <c r="A1851" s="788">
        <v>1850</v>
      </c>
      <c r="B1851" s="649" t="s">
        <v>2616</v>
      </c>
      <c r="C1851" s="649" t="s">
        <v>24</v>
      </c>
      <c r="D1851" s="1082">
        <v>2470</v>
      </c>
      <c r="E1851" s="303" t="s">
        <v>4658</v>
      </c>
      <c r="F1851" s="649" t="s">
        <v>4659</v>
      </c>
      <c r="G1851" s="679">
        <v>2503</v>
      </c>
      <c r="H1851" s="649" t="s">
        <v>4647</v>
      </c>
      <c r="I1851" s="649" t="s">
        <v>4463</v>
      </c>
      <c r="J1851" s="692" t="s">
        <v>58</v>
      </c>
      <c r="K1851" s="692" t="s">
        <v>57</v>
      </c>
      <c r="L1851" s="1687">
        <v>0.6</v>
      </c>
      <c r="M1851" s="1774" t="s">
        <v>4663</v>
      </c>
      <c r="N1851" s="1536"/>
      <c r="O1851" s="1479"/>
      <c r="P1851" s="1536">
        <v>1</v>
      </c>
      <c r="Q1851" s="1069">
        <v>0.25</v>
      </c>
      <c r="R1851" s="1536"/>
      <c r="S1851" s="206">
        <f t="shared" si="56"/>
        <v>0</v>
      </c>
      <c r="T1851" s="207">
        <f t="shared" si="57"/>
        <v>0</v>
      </c>
      <c r="U1851" s="208" t="s">
        <v>34</v>
      </c>
      <c r="V1851" s="1203"/>
      <c r="W1851" s="799"/>
    </row>
    <row r="1852" spans="1:23" ht="22.95" customHeight="1" x14ac:dyDescent="0.4">
      <c r="A1852" s="788">
        <v>1851</v>
      </c>
      <c r="B1852" s="649" t="s">
        <v>2616</v>
      </c>
      <c r="C1852" s="649" t="s">
        <v>24</v>
      </c>
      <c r="D1852" s="1082">
        <v>2470</v>
      </c>
      <c r="E1852" s="303" t="s">
        <v>4658</v>
      </c>
      <c r="F1852" s="649" t="s">
        <v>4659</v>
      </c>
      <c r="G1852" s="679">
        <v>2503</v>
      </c>
      <c r="H1852" s="649" t="s">
        <v>4647</v>
      </c>
      <c r="I1852" s="649" t="s">
        <v>4463</v>
      </c>
      <c r="J1852" s="692" t="s">
        <v>58</v>
      </c>
      <c r="K1852" s="692" t="s">
        <v>57</v>
      </c>
      <c r="L1852" s="1687">
        <v>0.6</v>
      </c>
      <c r="M1852" s="1774" t="s">
        <v>4664</v>
      </c>
      <c r="N1852" s="1536"/>
      <c r="O1852" s="1479"/>
      <c r="P1852" s="1712">
        <v>1</v>
      </c>
      <c r="Q1852" s="1069">
        <v>0.1</v>
      </c>
      <c r="R1852" s="1712"/>
      <c r="S1852" s="206">
        <f t="shared" si="56"/>
        <v>0</v>
      </c>
      <c r="T1852" s="207">
        <f t="shared" si="57"/>
        <v>0</v>
      </c>
      <c r="U1852" s="208" t="s">
        <v>34</v>
      </c>
      <c r="V1852" s="1203"/>
      <c r="W1852" s="799"/>
    </row>
    <row r="1853" spans="1:23" ht="22.95" customHeight="1" x14ac:dyDescent="0.4">
      <c r="A1853" s="788">
        <v>1852</v>
      </c>
      <c r="B1853" s="649" t="s">
        <v>2616</v>
      </c>
      <c r="C1853" s="649" t="s">
        <v>24</v>
      </c>
      <c r="D1853" s="1082">
        <v>2470</v>
      </c>
      <c r="E1853" s="303" t="s">
        <v>4658</v>
      </c>
      <c r="F1853" s="649" t="s">
        <v>4659</v>
      </c>
      <c r="G1853" s="679">
        <v>2503</v>
      </c>
      <c r="H1853" s="649" t="s">
        <v>4647</v>
      </c>
      <c r="I1853" s="649" t="s">
        <v>4463</v>
      </c>
      <c r="J1853" s="692" t="s">
        <v>58</v>
      </c>
      <c r="K1853" s="692" t="s">
        <v>57</v>
      </c>
      <c r="L1853" s="1687">
        <v>0.6</v>
      </c>
      <c r="M1853" s="1774" t="s">
        <v>4665</v>
      </c>
      <c r="N1853" s="1536"/>
      <c r="O1853" s="1479"/>
      <c r="P1853" s="1712">
        <v>1</v>
      </c>
      <c r="Q1853" s="1069">
        <v>0.1</v>
      </c>
      <c r="R1853" s="1712"/>
      <c r="S1853" s="206">
        <f t="shared" si="56"/>
        <v>0</v>
      </c>
      <c r="T1853" s="207">
        <f t="shared" si="57"/>
        <v>0</v>
      </c>
      <c r="U1853" s="208" t="s">
        <v>34</v>
      </c>
      <c r="V1853" s="1203"/>
      <c r="W1853" s="799"/>
    </row>
    <row r="1854" spans="1:23" ht="22.95" customHeight="1" x14ac:dyDescent="0.4">
      <c r="A1854" s="788">
        <v>1853</v>
      </c>
      <c r="B1854" s="649" t="s">
        <v>2616</v>
      </c>
      <c r="C1854" s="649" t="s">
        <v>24</v>
      </c>
      <c r="D1854" s="1082">
        <v>2470</v>
      </c>
      <c r="E1854" s="303" t="s">
        <v>4658</v>
      </c>
      <c r="F1854" s="649" t="s">
        <v>4659</v>
      </c>
      <c r="G1854" s="679">
        <v>2503</v>
      </c>
      <c r="H1854" s="649" t="s">
        <v>4647</v>
      </c>
      <c r="I1854" s="649" t="s">
        <v>4463</v>
      </c>
      <c r="J1854" s="692" t="s">
        <v>58</v>
      </c>
      <c r="K1854" s="692" t="s">
        <v>57</v>
      </c>
      <c r="L1854" s="1687">
        <v>0.6</v>
      </c>
      <c r="M1854" s="1774" t="s">
        <v>4666</v>
      </c>
      <c r="N1854" s="1536"/>
      <c r="O1854" s="1479"/>
      <c r="P1854" s="1712">
        <v>1</v>
      </c>
      <c r="Q1854" s="1069">
        <v>0.05</v>
      </c>
      <c r="R1854" s="1712"/>
      <c r="S1854" s="206">
        <f t="shared" si="56"/>
        <v>0</v>
      </c>
      <c r="T1854" s="207">
        <f t="shared" si="57"/>
        <v>0</v>
      </c>
      <c r="U1854" s="208" t="s">
        <v>34</v>
      </c>
      <c r="V1854" s="1203"/>
      <c r="W1854" s="799"/>
    </row>
    <row r="1855" spans="1:23" ht="22.95" customHeight="1" x14ac:dyDescent="0.4">
      <c r="A1855" s="788">
        <v>1854</v>
      </c>
      <c r="B1855" s="649" t="s">
        <v>2616</v>
      </c>
      <c r="C1855" s="649" t="s">
        <v>24</v>
      </c>
      <c r="D1855" s="1082">
        <v>2470</v>
      </c>
      <c r="E1855" s="303" t="s">
        <v>4658</v>
      </c>
      <c r="F1855" s="649" t="s">
        <v>4659</v>
      </c>
      <c r="G1855" s="679">
        <v>2503</v>
      </c>
      <c r="H1855" s="649" t="s">
        <v>4647</v>
      </c>
      <c r="I1855" s="649" t="s">
        <v>4463</v>
      </c>
      <c r="J1855" s="692" t="s">
        <v>58</v>
      </c>
      <c r="K1855" s="692" t="s">
        <v>57</v>
      </c>
      <c r="L1855" s="1687">
        <v>0.6</v>
      </c>
      <c r="M1855" s="1774" t="s">
        <v>4667</v>
      </c>
      <c r="N1855" s="1536"/>
      <c r="O1855" s="1479"/>
      <c r="P1855" s="1712">
        <v>1</v>
      </c>
      <c r="Q1855" s="1069">
        <v>0.05</v>
      </c>
      <c r="R1855" s="1712"/>
      <c r="S1855" s="206">
        <f t="shared" si="56"/>
        <v>0</v>
      </c>
      <c r="T1855" s="207">
        <f t="shared" si="57"/>
        <v>0</v>
      </c>
      <c r="U1855" s="208" t="s">
        <v>34</v>
      </c>
      <c r="V1855" s="1203"/>
      <c r="W1855" s="799"/>
    </row>
    <row r="1856" spans="1:23" ht="22.95" customHeight="1" x14ac:dyDescent="0.4">
      <c r="A1856" s="788">
        <v>1855</v>
      </c>
      <c r="B1856" s="649" t="s">
        <v>2616</v>
      </c>
      <c r="C1856" s="649" t="s">
        <v>24</v>
      </c>
      <c r="D1856" s="1082">
        <v>2470</v>
      </c>
      <c r="E1856" s="303" t="s">
        <v>4658</v>
      </c>
      <c r="F1856" s="649" t="s">
        <v>4659</v>
      </c>
      <c r="G1856" s="679">
        <v>2503</v>
      </c>
      <c r="H1856" s="649" t="s">
        <v>4647</v>
      </c>
      <c r="I1856" s="649" t="s">
        <v>4463</v>
      </c>
      <c r="J1856" s="199" t="s">
        <v>111</v>
      </c>
      <c r="K1856" s="199" t="s">
        <v>110</v>
      </c>
      <c r="L1856" s="1739">
        <v>0.4</v>
      </c>
      <c r="M1856" s="1775" t="s">
        <v>4668</v>
      </c>
      <c r="N1856" s="1655"/>
      <c r="O1856" s="1557"/>
      <c r="P1856" s="210">
        <v>1</v>
      </c>
      <c r="Q1856" s="1691">
        <v>0.4</v>
      </c>
      <c r="R1856" s="210"/>
      <c r="S1856" s="262">
        <f t="shared" si="56"/>
        <v>0</v>
      </c>
      <c r="T1856" s="263">
        <f t="shared" si="57"/>
        <v>0</v>
      </c>
      <c r="U1856" s="687" t="s">
        <v>34</v>
      </c>
      <c r="V1856" s="1228"/>
      <c r="W1856" s="799"/>
    </row>
    <row r="1857" spans="1:23" ht="22.95" customHeight="1" x14ac:dyDescent="0.4">
      <c r="A1857" s="788">
        <v>1856</v>
      </c>
      <c r="B1857" s="649" t="s">
        <v>2616</v>
      </c>
      <c r="C1857" s="649" t="s">
        <v>24</v>
      </c>
      <c r="D1857" s="1082">
        <v>2470</v>
      </c>
      <c r="E1857" s="303" t="s">
        <v>4658</v>
      </c>
      <c r="F1857" s="649" t="s">
        <v>4659</v>
      </c>
      <c r="G1857" s="679">
        <v>2503</v>
      </c>
      <c r="H1857" s="649" t="s">
        <v>4647</v>
      </c>
      <c r="I1857" s="649" t="s">
        <v>4463</v>
      </c>
      <c r="J1857" s="199" t="s">
        <v>111</v>
      </c>
      <c r="K1857" s="199" t="s">
        <v>110</v>
      </c>
      <c r="L1857" s="1739">
        <v>0.4</v>
      </c>
      <c r="M1857" s="1775" t="s">
        <v>4669</v>
      </c>
      <c r="N1857" s="1655"/>
      <c r="O1857" s="1557"/>
      <c r="P1857" s="210">
        <v>1</v>
      </c>
      <c r="Q1857" s="1691">
        <v>0.4</v>
      </c>
      <c r="R1857" s="210"/>
      <c r="S1857" s="262">
        <f t="shared" si="56"/>
        <v>0</v>
      </c>
      <c r="T1857" s="263">
        <f t="shared" si="57"/>
        <v>0</v>
      </c>
      <c r="U1857" s="687" t="s">
        <v>34</v>
      </c>
      <c r="V1857" s="1228"/>
      <c r="W1857" s="799"/>
    </row>
    <row r="1858" spans="1:23" ht="22.95" customHeight="1" x14ac:dyDescent="0.4">
      <c r="A1858" s="788">
        <v>1857</v>
      </c>
      <c r="B1858" s="649" t="s">
        <v>2616</v>
      </c>
      <c r="C1858" s="649" t="s">
        <v>24</v>
      </c>
      <c r="D1858" s="1082">
        <v>2470</v>
      </c>
      <c r="E1858" s="303" t="s">
        <v>4658</v>
      </c>
      <c r="F1858" s="649" t="s">
        <v>4659</v>
      </c>
      <c r="G1858" s="679">
        <v>2503</v>
      </c>
      <c r="H1858" s="649" t="s">
        <v>4647</v>
      </c>
      <c r="I1858" s="649" t="s">
        <v>4463</v>
      </c>
      <c r="J1858" s="199" t="s">
        <v>111</v>
      </c>
      <c r="K1858" s="199" t="s">
        <v>110</v>
      </c>
      <c r="L1858" s="1739">
        <v>0.4</v>
      </c>
      <c r="M1858" s="1775" t="s">
        <v>4670</v>
      </c>
      <c r="N1858" s="1655"/>
      <c r="O1858" s="1557"/>
      <c r="P1858" s="210">
        <v>1</v>
      </c>
      <c r="Q1858" s="1691">
        <v>0.2</v>
      </c>
      <c r="R1858" s="210"/>
      <c r="S1858" s="262">
        <f t="shared" ref="S1858:S1921" si="58">ROUND(IF(OR(P1858="",R1858=""),0,IF(AND(P1858=0,R1858=0),1,IF(U1858="+",R1858/P1858,P1858/R1858))),2)</f>
        <v>0</v>
      </c>
      <c r="T1858" s="263">
        <f t="shared" ref="T1858:T1921" si="59">IF(AND(S1858&gt;=60%,S1858&lt;100%),S1858*((Q1858*L1858)),IF(S1858=100%,((Q1858*L1858)*S1858)*100%,IF(S1858&gt;100%,((L1858*Q1858)*100%)*100%,0)))*100</f>
        <v>0</v>
      </c>
      <c r="U1858" s="687" t="s">
        <v>34</v>
      </c>
      <c r="V1858" s="1228"/>
      <c r="W1858" s="799"/>
    </row>
    <row r="1859" spans="1:23" ht="22.95" customHeight="1" x14ac:dyDescent="0.4">
      <c r="A1859" s="788">
        <v>1858</v>
      </c>
      <c r="B1859" s="653" t="s">
        <v>2616</v>
      </c>
      <c r="C1859" s="1296" t="s">
        <v>24</v>
      </c>
      <c r="D1859" s="1200">
        <v>3604</v>
      </c>
      <c r="E1859" s="295" t="s">
        <v>4671</v>
      </c>
      <c r="F1859" s="653" t="s">
        <v>4672</v>
      </c>
      <c r="G1859" s="674">
        <v>2503</v>
      </c>
      <c r="H1859" s="653" t="s">
        <v>4647</v>
      </c>
      <c r="I1859" s="1296" t="s">
        <v>4463</v>
      </c>
      <c r="J1859" s="187" t="s">
        <v>58</v>
      </c>
      <c r="K1859" s="187" t="s">
        <v>57</v>
      </c>
      <c r="L1859" s="1684">
        <v>0.7</v>
      </c>
      <c r="M1859" s="1773" t="s">
        <v>4673</v>
      </c>
      <c r="N1859" s="1532"/>
      <c r="O1859" s="1478"/>
      <c r="P1859" s="1532">
        <v>1</v>
      </c>
      <c r="Q1859" s="1191">
        <v>0.05</v>
      </c>
      <c r="R1859" s="1532"/>
      <c r="S1859" s="195">
        <f t="shared" si="58"/>
        <v>0</v>
      </c>
      <c r="T1859" s="196">
        <f t="shared" si="59"/>
        <v>0</v>
      </c>
      <c r="U1859" s="197" t="s">
        <v>34</v>
      </c>
      <c r="V1859" s="1724">
        <f>SUM(T1859:T1874)%</f>
        <v>0</v>
      </c>
      <c r="W1859" s="791"/>
    </row>
    <row r="1860" spans="1:23" ht="22.95" customHeight="1" x14ac:dyDescent="0.4">
      <c r="A1860" s="788">
        <v>1859</v>
      </c>
      <c r="B1860" s="649" t="s">
        <v>2616</v>
      </c>
      <c r="C1860" s="649" t="s">
        <v>24</v>
      </c>
      <c r="D1860" s="1082">
        <v>3604</v>
      </c>
      <c r="E1860" s="303" t="s">
        <v>4671</v>
      </c>
      <c r="F1860" s="649" t="s">
        <v>4672</v>
      </c>
      <c r="G1860" s="679">
        <v>2503</v>
      </c>
      <c r="H1860" s="649" t="s">
        <v>4647</v>
      </c>
      <c r="I1860" s="649" t="s">
        <v>4463</v>
      </c>
      <c r="J1860" s="692" t="s">
        <v>58</v>
      </c>
      <c r="K1860" s="692" t="s">
        <v>57</v>
      </c>
      <c r="L1860" s="1687">
        <v>0.7</v>
      </c>
      <c r="M1860" s="1774" t="s">
        <v>4674</v>
      </c>
      <c r="N1860" s="1536"/>
      <c r="O1860" s="1479"/>
      <c r="P1860" s="1536">
        <v>1</v>
      </c>
      <c r="Q1860" s="1069">
        <v>0.05</v>
      </c>
      <c r="R1860" s="1536"/>
      <c r="S1860" s="206">
        <f t="shared" si="58"/>
        <v>0</v>
      </c>
      <c r="T1860" s="207">
        <f t="shared" si="59"/>
        <v>0</v>
      </c>
      <c r="U1860" s="208" t="s">
        <v>34</v>
      </c>
      <c r="V1860" s="1203"/>
      <c r="W1860" s="799"/>
    </row>
    <row r="1861" spans="1:23" ht="22.95" customHeight="1" x14ac:dyDescent="0.4">
      <c r="A1861" s="788">
        <v>1860</v>
      </c>
      <c r="B1861" s="649" t="s">
        <v>2616</v>
      </c>
      <c r="C1861" s="649" t="s">
        <v>24</v>
      </c>
      <c r="D1861" s="1082">
        <v>3604</v>
      </c>
      <c r="E1861" s="303" t="s">
        <v>4671</v>
      </c>
      <c r="F1861" s="649" t="s">
        <v>4672</v>
      </c>
      <c r="G1861" s="679">
        <v>2503</v>
      </c>
      <c r="H1861" s="649" t="s">
        <v>4647</v>
      </c>
      <c r="I1861" s="649" t="s">
        <v>4463</v>
      </c>
      <c r="J1861" s="692" t="s">
        <v>58</v>
      </c>
      <c r="K1861" s="692" t="s">
        <v>57</v>
      </c>
      <c r="L1861" s="1687">
        <v>0.7</v>
      </c>
      <c r="M1861" s="1774" t="s">
        <v>4675</v>
      </c>
      <c r="N1861" s="1536"/>
      <c r="O1861" s="1479"/>
      <c r="P1861" s="1536">
        <v>1</v>
      </c>
      <c r="Q1861" s="1069">
        <v>0.05</v>
      </c>
      <c r="R1861" s="1536"/>
      <c r="S1861" s="206">
        <f t="shared" si="58"/>
        <v>0</v>
      </c>
      <c r="T1861" s="207">
        <f t="shared" si="59"/>
        <v>0</v>
      </c>
      <c r="U1861" s="208" t="s">
        <v>34</v>
      </c>
      <c r="V1861" s="1203"/>
      <c r="W1861" s="799"/>
    </row>
    <row r="1862" spans="1:23" ht="22.95" customHeight="1" x14ac:dyDescent="0.4">
      <c r="A1862" s="788">
        <v>1861</v>
      </c>
      <c r="B1862" s="649" t="s">
        <v>2616</v>
      </c>
      <c r="C1862" s="649" t="s">
        <v>24</v>
      </c>
      <c r="D1862" s="1082">
        <v>3604</v>
      </c>
      <c r="E1862" s="303" t="s">
        <v>4671</v>
      </c>
      <c r="F1862" s="649" t="s">
        <v>4672</v>
      </c>
      <c r="G1862" s="679">
        <v>2503</v>
      </c>
      <c r="H1862" s="649" t="s">
        <v>4647</v>
      </c>
      <c r="I1862" s="649" t="s">
        <v>4463</v>
      </c>
      <c r="J1862" s="692" t="s">
        <v>58</v>
      </c>
      <c r="K1862" s="692" t="s">
        <v>57</v>
      </c>
      <c r="L1862" s="1687">
        <v>0.7</v>
      </c>
      <c r="M1862" s="1774" t="s">
        <v>4483</v>
      </c>
      <c r="N1862" s="1536"/>
      <c r="O1862" s="1479"/>
      <c r="P1862" s="1536">
        <v>1</v>
      </c>
      <c r="Q1862" s="1069">
        <v>0.1</v>
      </c>
      <c r="R1862" s="1536"/>
      <c r="S1862" s="206">
        <f t="shared" si="58"/>
        <v>0</v>
      </c>
      <c r="T1862" s="207">
        <f t="shared" si="59"/>
        <v>0</v>
      </c>
      <c r="U1862" s="208" t="s">
        <v>34</v>
      </c>
      <c r="V1862" s="1203"/>
      <c r="W1862" s="799"/>
    </row>
    <row r="1863" spans="1:23" ht="22.95" customHeight="1" x14ac:dyDescent="0.4">
      <c r="A1863" s="788">
        <v>1862</v>
      </c>
      <c r="B1863" s="649" t="s">
        <v>2616</v>
      </c>
      <c r="C1863" s="649" t="s">
        <v>24</v>
      </c>
      <c r="D1863" s="1082">
        <v>3604</v>
      </c>
      <c r="E1863" s="303" t="s">
        <v>4671</v>
      </c>
      <c r="F1863" s="649" t="s">
        <v>4672</v>
      </c>
      <c r="G1863" s="679">
        <v>2503</v>
      </c>
      <c r="H1863" s="649" t="s">
        <v>4647</v>
      </c>
      <c r="I1863" s="649" t="s">
        <v>4463</v>
      </c>
      <c r="J1863" s="692" t="s">
        <v>58</v>
      </c>
      <c r="K1863" s="692" t="s">
        <v>57</v>
      </c>
      <c r="L1863" s="1687">
        <v>0.7</v>
      </c>
      <c r="M1863" s="1774" t="s">
        <v>4676</v>
      </c>
      <c r="N1863" s="1536"/>
      <c r="O1863" s="1479"/>
      <c r="P1863" s="1536">
        <v>1</v>
      </c>
      <c r="Q1863" s="1069">
        <v>0.1</v>
      </c>
      <c r="R1863" s="1536"/>
      <c r="S1863" s="206">
        <f t="shared" si="58"/>
        <v>0</v>
      </c>
      <c r="T1863" s="207">
        <f t="shared" si="59"/>
        <v>0</v>
      </c>
      <c r="U1863" s="208" t="s">
        <v>34</v>
      </c>
      <c r="V1863" s="1203"/>
      <c r="W1863" s="799"/>
    </row>
    <row r="1864" spans="1:23" ht="22.95" customHeight="1" x14ac:dyDescent="0.4">
      <c r="A1864" s="788">
        <v>1863</v>
      </c>
      <c r="B1864" s="649" t="s">
        <v>2616</v>
      </c>
      <c r="C1864" s="649" t="s">
        <v>24</v>
      </c>
      <c r="D1864" s="1082">
        <v>3604</v>
      </c>
      <c r="E1864" s="303" t="s">
        <v>4671</v>
      </c>
      <c r="F1864" s="649" t="s">
        <v>4672</v>
      </c>
      <c r="G1864" s="679">
        <v>2503</v>
      </c>
      <c r="H1864" s="649" t="s">
        <v>4647</v>
      </c>
      <c r="I1864" s="649" t="s">
        <v>4463</v>
      </c>
      <c r="J1864" s="692" t="s">
        <v>58</v>
      </c>
      <c r="K1864" s="692" t="s">
        <v>57</v>
      </c>
      <c r="L1864" s="1687">
        <v>0.7</v>
      </c>
      <c r="M1864" s="1774" t="s">
        <v>4677</v>
      </c>
      <c r="N1864" s="1536"/>
      <c r="O1864" s="1479"/>
      <c r="P1864" s="1536">
        <v>1</v>
      </c>
      <c r="Q1864" s="1069">
        <v>0.1</v>
      </c>
      <c r="R1864" s="1536"/>
      <c r="S1864" s="206">
        <f t="shared" si="58"/>
        <v>0</v>
      </c>
      <c r="T1864" s="207">
        <f t="shared" si="59"/>
        <v>0</v>
      </c>
      <c r="U1864" s="208" t="s">
        <v>34</v>
      </c>
      <c r="V1864" s="1203"/>
      <c r="W1864" s="799"/>
    </row>
    <row r="1865" spans="1:23" ht="22.95" customHeight="1" x14ac:dyDescent="0.4">
      <c r="A1865" s="788">
        <v>1864</v>
      </c>
      <c r="B1865" s="649" t="s">
        <v>2616</v>
      </c>
      <c r="C1865" s="649" t="s">
        <v>24</v>
      </c>
      <c r="D1865" s="1082">
        <v>3604</v>
      </c>
      <c r="E1865" s="303" t="s">
        <v>4671</v>
      </c>
      <c r="F1865" s="649" t="s">
        <v>4672</v>
      </c>
      <c r="G1865" s="679">
        <v>2503</v>
      </c>
      <c r="H1865" s="649" t="s">
        <v>4647</v>
      </c>
      <c r="I1865" s="649" t="s">
        <v>4463</v>
      </c>
      <c r="J1865" s="692" t="s">
        <v>58</v>
      </c>
      <c r="K1865" s="692" t="s">
        <v>57</v>
      </c>
      <c r="L1865" s="1687">
        <v>0.7</v>
      </c>
      <c r="M1865" s="1774" t="s">
        <v>4678</v>
      </c>
      <c r="N1865" s="1536"/>
      <c r="O1865" s="1479"/>
      <c r="P1865" s="1712">
        <v>1</v>
      </c>
      <c r="Q1865" s="1069">
        <v>0.1</v>
      </c>
      <c r="R1865" s="1712"/>
      <c r="S1865" s="206">
        <f t="shared" si="58"/>
        <v>0</v>
      </c>
      <c r="T1865" s="207">
        <f t="shared" si="59"/>
        <v>0</v>
      </c>
      <c r="U1865" s="208" t="s">
        <v>34</v>
      </c>
      <c r="V1865" s="1203"/>
      <c r="W1865" s="799"/>
    </row>
    <row r="1866" spans="1:23" ht="22.95" customHeight="1" x14ac:dyDescent="0.4">
      <c r="A1866" s="788">
        <v>1865</v>
      </c>
      <c r="B1866" s="649" t="s">
        <v>2616</v>
      </c>
      <c r="C1866" s="649" t="s">
        <v>24</v>
      </c>
      <c r="D1866" s="1082">
        <v>3604</v>
      </c>
      <c r="E1866" s="303" t="s">
        <v>4671</v>
      </c>
      <c r="F1866" s="649" t="s">
        <v>4672</v>
      </c>
      <c r="G1866" s="679">
        <v>2503</v>
      </c>
      <c r="H1866" s="649" t="s">
        <v>4647</v>
      </c>
      <c r="I1866" s="649" t="s">
        <v>4463</v>
      </c>
      <c r="J1866" s="692" t="s">
        <v>58</v>
      </c>
      <c r="K1866" s="692" t="s">
        <v>57</v>
      </c>
      <c r="L1866" s="1687">
        <v>0.7</v>
      </c>
      <c r="M1866" s="1774" t="s">
        <v>4679</v>
      </c>
      <c r="N1866" s="1536"/>
      <c r="O1866" s="1479"/>
      <c r="P1866" s="1712">
        <v>1</v>
      </c>
      <c r="Q1866" s="1069">
        <v>0.1</v>
      </c>
      <c r="R1866" s="1712"/>
      <c r="S1866" s="206">
        <f t="shared" si="58"/>
        <v>0</v>
      </c>
      <c r="T1866" s="207">
        <f t="shared" si="59"/>
        <v>0</v>
      </c>
      <c r="U1866" s="208" t="s">
        <v>34</v>
      </c>
      <c r="V1866" s="1203"/>
      <c r="W1866" s="799"/>
    </row>
    <row r="1867" spans="1:23" ht="22.95" customHeight="1" x14ac:dyDescent="0.4">
      <c r="A1867" s="788">
        <v>1866</v>
      </c>
      <c r="B1867" s="649" t="s">
        <v>2616</v>
      </c>
      <c r="C1867" s="649" t="s">
        <v>24</v>
      </c>
      <c r="D1867" s="1082">
        <v>3604</v>
      </c>
      <c r="E1867" s="303" t="s">
        <v>4671</v>
      </c>
      <c r="F1867" s="649" t="s">
        <v>4672</v>
      </c>
      <c r="G1867" s="679">
        <v>2503</v>
      </c>
      <c r="H1867" s="649" t="s">
        <v>4647</v>
      </c>
      <c r="I1867" s="649" t="s">
        <v>4463</v>
      </c>
      <c r="J1867" s="692" t="s">
        <v>58</v>
      </c>
      <c r="K1867" s="692" t="s">
        <v>57</v>
      </c>
      <c r="L1867" s="1687">
        <v>0.7</v>
      </c>
      <c r="M1867" s="1774" t="s">
        <v>4680</v>
      </c>
      <c r="N1867" s="1536"/>
      <c r="O1867" s="1479"/>
      <c r="P1867" s="1712">
        <v>1</v>
      </c>
      <c r="Q1867" s="1069">
        <v>0.1</v>
      </c>
      <c r="R1867" s="1712"/>
      <c r="S1867" s="206">
        <f t="shared" si="58"/>
        <v>0</v>
      </c>
      <c r="T1867" s="207">
        <f t="shared" si="59"/>
        <v>0</v>
      </c>
      <c r="U1867" s="208" t="s">
        <v>34</v>
      </c>
      <c r="V1867" s="1203"/>
      <c r="W1867" s="799"/>
    </row>
    <row r="1868" spans="1:23" ht="22.95" customHeight="1" x14ac:dyDescent="0.4">
      <c r="A1868" s="788">
        <v>1867</v>
      </c>
      <c r="B1868" s="649" t="s">
        <v>2616</v>
      </c>
      <c r="C1868" s="649" t="s">
        <v>24</v>
      </c>
      <c r="D1868" s="1082">
        <v>3604</v>
      </c>
      <c r="E1868" s="303" t="s">
        <v>4671</v>
      </c>
      <c r="F1868" s="649" t="s">
        <v>4672</v>
      </c>
      <c r="G1868" s="679">
        <v>2503</v>
      </c>
      <c r="H1868" s="649" t="s">
        <v>4647</v>
      </c>
      <c r="I1868" s="649" t="s">
        <v>4463</v>
      </c>
      <c r="J1868" s="692" t="s">
        <v>58</v>
      </c>
      <c r="K1868" s="692" t="s">
        <v>57</v>
      </c>
      <c r="L1868" s="1687">
        <v>0.7</v>
      </c>
      <c r="M1868" s="1774" t="s">
        <v>4681</v>
      </c>
      <c r="N1868" s="1536"/>
      <c r="O1868" s="1479"/>
      <c r="P1868" s="1712">
        <v>1</v>
      </c>
      <c r="Q1868" s="1069">
        <v>0.1</v>
      </c>
      <c r="R1868" s="1712"/>
      <c r="S1868" s="206">
        <f t="shared" si="58"/>
        <v>0</v>
      </c>
      <c r="T1868" s="207">
        <f t="shared" si="59"/>
        <v>0</v>
      </c>
      <c r="U1868" s="208" t="s">
        <v>34</v>
      </c>
      <c r="V1868" s="1203"/>
      <c r="W1868" s="799"/>
    </row>
    <row r="1869" spans="1:23" ht="22.95" customHeight="1" x14ac:dyDescent="0.4">
      <c r="A1869" s="788">
        <v>1868</v>
      </c>
      <c r="B1869" s="649" t="s">
        <v>2616</v>
      </c>
      <c r="C1869" s="649" t="s">
        <v>24</v>
      </c>
      <c r="D1869" s="1082">
        <v>3604</v>
      </c>
      <c r="E1869" s="303" t="s">
        <v>4671</v>
      </c>
      <c r="F1869" s="649" t="s">
        <v>4672</v>
      </c>
      <c r="G1869" s="679">
        <v>2503</v>
      </c>
      <c r="H1869" s="649" t="s">
        <v>4647</v>
      </c>
      <c r="I1869" s="649" t="s">
        <v>4463</v>
      </c>
      <c r="J1869" s="692" t="s">
        <v>58</v>
      </c>
      <c r="K1869" s="692" t="s">
        <v>57</v>
      </c>
      <c r="L1869" s="1687">
        <v>0.7</v>
      </c>
      <c r="M1869" s="1774" t="s">
        <v>4682</v>
      </c>
      <c r="N1869" s="1536"/>
      <c r="O1869" s="1479"/>
      <c r="P1869" s="1712">
        <v>1</v>
      </c>
      <c r="Q1869" s="1069">
        <v>0.05</v>
      </c>
      <c r="R1869" s="1712"/>
      <c r="S1869" s="206">
        <f t="shared" si="58"/>
        <v>0</v>
      </c>
      <c r="T1869" s="207">
        <f t="shared" si="59"/>
        <v>0</v>
      </c>
      <c r="U1869" s="208" t="s">
        <v>34</v>
      </c>
      <c r="V1869" s="1203"/>
      <c r="W1869" s="799"/>
    </row>
    <row r="1870" spans="1:23" ht="22.95" customHeight="1" x14ac:dyDescent="0.4">
      <c r="A1870" s="788">
        <v>1869</v>
      </c>
      <c r="B1870" s="649" t="s">
        <v>2616</v>
      </c>
      <c r="C1870" s="649" t="s">
        <v>24</v>
      </c>
      <c r="D1870" s="1082">
        <v>3604</v>
      </c>
      <c r="E1870" s="303" t="s">
        <v>4671</v>
      </c>
      <c r="F1870" s="649" t="s">
        <v>4672</v>
      </c>
      <c r="G1870" s="679">
        <v>2503</v>
      </c>
      <c r="H1870" s="649" t="s">
        <v>4647</v>
      </c>
      <c r="I1870" s="649" t="s">
        <v>4463</v>
      </c>
      <c r="J1870" s="692" t="s">
        <v>58</v>
      </c>
      <c r="K1870" s="692" t="s">
        <v>57</v>
      </c>
      <c r="L1870" s="1687">
        <v>0.7</v>
      </c>
      <c r="M1870" s="1774" t="s">
        <v>4683</v>
      </c>
      <c r="N1870" s="1536"/>
      <c r="O1870" s="1479"/>
      <c r="P1870" s="1712">
        <v>1</v>
      </c>
      <c r="Q1870" s="1069">
        <v>0.05</v>
      </c>
      <c r="R1870" s="1712"/>
      <c r="S1870" s="206">
        <f t="shared" si="58"/>
        <v>0</v>
      </c>
      <c r="T1870" s="207">
        <f t="shared" si="59"/>
        <v>0</v>
      </c>
      <c r="U1870" s="208" t="s">
        <v>34</v>
      </c>
      <c r="V1870" s="1203"/>
      <c r="W1870" s="799"/>
    </row>
    <row r="1871" spans="1:23" ht="22.95" customHeight="1" x14ac:dyDescent="0.4">
      <c r="A1871" s="788">
        <v>1870</v>
      </c>
      <c r="B1871" s="649" t="s">
        <v>2616</v>
      </c>
      <c r="C1871" s="649" t="s">
        <v>24</v>
      </c>
      <c r="D1871" s="1082">
        <v>3604</v>
      </c>
      <c r="E1871" s="303" t="s">
        <v>4671</v>
      </c>
      <c r="F1871" s="649" t="s">
        <v>4672</v>
      </c>
      <c r="G1871" s="679">
        <v>2503</v>
      </c>
      <c r="H1871" s="649" t="s">
        <v>4647</v>
      </c>
      <c r="I1871" s="649" t="s">
        <v>4463</v>
      </c>
      <c r="J1871" s="692" t="s">
        <v>58</v>
      </c>
      <c r="K1871" s="692" t="s">
        <v>57</v>
      </c>
      <c r="L1871" s="1687">
        <v>0.7</v>
      </c>
      <c r="M1871" s="1774" t="s">
        <v>4684</v>
      </c>
      <c r="N1871" s="1536"/>
      <c r="O1871" s="1479"/>
      <c r="P1871" s="1712">
        <v>1</v>
      </c>
      <c r="Q1871" s="1069">
        <v>0.05</v>
      </c>
      <c r="R1871" s="1712"/>
      <c r="S1871" s="206">
        <f t="shared" si="58"/>
        <v>0</v>
      </c>
      <c r="T1871" s="207">
        <f t="shared" si="59"/>
        <v>0</v>
      </c>
      <c r="U1871" s="208" t="s">
        <v>34</v>
      </c>
      <c r="V1871" s="1203"/>
      <c r="W1871" s="799"/>
    </row>
    <row r="1872" spans="1:23" ht="22.95" customHeight="1" x14ac:dyDescent="0.4">
      <c r="A1872" s="788">
        <v>1871</v>
      </c>
      <c r="B1872" s="649" t="s">
        <v>2616</v>
      </c>
      <c r="C1872" s="649" t="s">
        <v>24</v>
      </c>
      <c r="D1872" s="1082">
        <v>3604</v>
      </c>
      <c r="E1872" s="303" t="s">
        <v>4671</v>
      </c>
      <c r="F1872" s="649" t="s">
        <v>4672</v>
      </c>
      <c r="G1872" s="679">
        <v>2503</v>
      </c>
      <c r="H1872" s="649" t="s">
        <v>4647</v>
      </c>
      <c r="I1872" s="649" t="s">
        <v>4463</v>
      </c>
      <c r="J1872" s="199" t="s">
        <v>111</v>
      </c>
      <c r="K1872" s="199" t="s">
        <v>110</v>
      </c>
      <c r="L1872" s="1739">
        <v>0.3</v>
      </c>
      <c r="M1872" s="1775" t="s">
        <v>4656</v>
      </c>
      <c r="N1872" s="1655"/>
      <c r="O1872" s="1557"/>
      <c r="P1872" s="1337">
        <v>1</v>
      </c>
      <c r="Q1872" s="1148">
        <v>0.35</v>
      </c>
      <c r="R1872" s="1337"/>
      <c r="S1872" s="262">
        <f t="shared" si="58"/>
        <v>0</v>
      </c>
      <c r="T1872" s="263">
        <f t="shared" si="59"/>
        <v>0</v>
      </c>
      <c r="U1872" s="687" t="s">
        <v>34</v>
      </c>
      <c r="V1872" s="1228"/>
      <c r="W1872" s="799"/>
    </row>
    <row r="1873" spans="1:23" ht="22.95" customHeight="1" x14ac:dyDescent="0.4">
      <c r="A1873" s="788">
        <v>1872</v>
      </c>
      <c r="B1873" s="649" t="s">
        <v>2616</v>
      </c>
      <c r="C1873" s="649" t="s">
        <v>24</v>
      </c>
      <c r="D1873" s="1082">
        <v>3604</v>
      </c>
      <c r="E1873" s="303" t="s">
        <v>4671</v>
      </c>
      <c r="F1873" s="649" t="s">
        <v>4672</v>
      </c>
      <c r="G1873" s="679">
        <v>2503</v>
      </c>
      <c r="H1873" s="649" t="s">
        <v>4647</v>
      </c>
      <c r="I1873" s="649" t="s">
        <v>4463</v>
      </c>
      <c r="J1873" s="199" t="s">
        <v>111</v>
      </c>
      <c r="K1873" s="199" t="s">
        <v>110</v>
      </c>
      <c r="L1873" s="1739">
        <v>0.3</v>
      </c>
      <c r="M1873" s="1775" t="s">
        <v>4587</v>
      </c>
      <c r="N1873" s="1655"/>
      <c r="O1873" s="1557"/>
      <c r="P1873" s="1337">
        <v>1</v>
      </c>
      <c r="Q1873" s="1148">
        <v>0.35</v>
      </c>
      <c r="R1873" s="1337"/>
      <c r="S1873" s="262">
        <f t="shared" si="58"/>
        <v>0</v>
      </c>
      <c r="T1873" s="263">
        <f t="shared" si="59"/>
        <v>0</v>
      </c>
      <c r="U1873" s="687" t="s">
        <v>34</v>
      </c>
      <c r="V1873" s="1228"/>
      <c r="W1873" s="799"/>
    </row>
    <row r="1874" spans="1:23" ht="22.95" customHeight="1" x14ac:dyDescent="0.4">
      <c r="A1874" s="788">
        <v>1873</v>
      </c>
      <c r="B1874" s="649" t="s">
        <v>2616</v>
      </c>
      <c r="C1874" s="649" t="s">
        <v>24</v>
      </c>
      <c r="D1874" s="1082">
        <v>3604</v>
      </c>
      <c r="E1874" s="303" t="s">
        <v>4671</v>
      </c>
      <c r="F1874" s="649" t="s">
        <v>4672</v>
      </c>
      <c r="G1874" s="679">
        <v>2503</v>
      </c>
      <c r="H1874" s="649" t="s">
        <v>4647</v>
      </c>
      <c r="I1874" s="649" t="s">
        <v>4463</v>
      </c>
      <c r="J1874" s="199" t="s">
        <v>111</v>
      </c>
      <c r="K1874" s="199" t="s">
        <v>110</v>
      </c>
      <c r="L1874" s="1739">
        <v>0.3</v>
      </c>
      <c r="M1874" s="1775" t="s">
        <v>4491</v>
      </c>
      <c r="N1874" s="1655"/>
      <c r="O1874" s="1557"/>
      <c r="P1874" s="1337">
        <v>1</v>
      </c>
      <c r="Q1874" s="1148">
        <v>0.3</v>
      </c>
      <c r="R1874" s="1337"/>
      <c r="S1874" s="262">
        <f t="shared" si="58"/>
        <v>0</v>
      </c>
      <c r="T1874" s="263">
        <f t="shared" si="59"/>
        <v>0</v>
      </c>
      <c r="U1874" s="687" t="s">
        <v>34</v>
      </c>
      <c r="V1874" s="1228"/>
      <c r="W1874" s="799"/>
    </row>
    <row r="1875" spans="1:23" ht="22.95" customHeight="1" x14ac:dyDescent="0.4">
      <c r="A1875" s="788">
        <v>1874</v>
      </c>
      <c r="B1875" s="653" t="s">
        <v>2616</v>
      </c>
      <c r="C1875" s="653" t="s">
        <v>24</v>
      </c>
      <c r="D1875" s="1200">
        <v>2382</v>
      </c>
      <c r="E1875" s="295" t="s">
        <v>4685</v>
      </c>
      <c r="F1875" s="653" t="s">
        <v>4686</v>
      </c>
      <c r="G1875" s="674">
        <v>2471</v>
      </c>
      <c r="H1875" s="653" t="s">
        <v>4504</v>
      </c>
      <c r="I1875" s="653" t="s">
        <v>4463</v>
      </c>
      <c r="J1875" s="187" t="s">
        <v>58</v>
      </c>
      <c r="K1875" s="187" t="s">
        <v>57</v>
      </c>
      <c r="L1875" s="1684">
        <v>0.6</v>
      </c>
      <c r="M1875" s="1773" t="s">
        <v>4687</v>
      </c>
      <c r="N1875" s="1532" t="s">
        <v>4688</v>
      </c>
      <c r="O1875" s="1532"/>
      <c r="P1875" s="1532">
        <v>36</v>
      </c>
      <c r="Q1875" s="1191">
        <v>0.2</v>
      </c>
      <c r="R1875" s="1532"/>
      <c r="S1875" s="195">
        <f t="shared" si="58"/>
        <v>0</v>
      </c>
      <c r="T1875" s="196">
        <f t="shared" si="59"/>
        <v>0</v>
      </c>
      <c r="U1875" s="197" t="s">
        <v>34</v>
      </c>
      <c r="V1875" s="1724">
        <f>SUM(T1875:T1890)%</f>
        <v>0</v>
      </c>
      <c r="W1875" s="791"/>
    </row>
    <row r="1876" spans="1:23" ht="22.95" customHeight="1" x14ac:dyDescent="0.4">
      <c r="A1876" s="788">
        <v>1875</v>
      </c>
      <c r="B1876" s="303" t="s">
        <v>2616</v>
      </c>
      <c r="C1876" s="303" t="s">
        <v>24</v>
      </c>
      <c r="D1876" s="1082">
        <v>2382</v>
      </c>
      <c r="E1876" s="303" t="s">
        <v>4685</v>
      </c>
      <c r="F1876" s="649" t="s">
        <v>4686</v>
      </c>
      <c r="G1876" s="679">
        <v>2471</v>
      </c>
      <c r="H1876" s="649" t="s">
        <v>4504</v>
      </c>
      <c r="I1876" s="649" t="s">
        <v>4463</v>
      </c>
      <c r="J1876" s="692" t="s">
        <v>58</v>
      </c>
      <c r="K1876" s="692" t="s">
        <v>57</v>
      </c>
      <c r="L1876" s="1687">
        <v>0.6</v>
      </c>
      <c r="M1876" s="1774" t="s">
        <v>4689</v>
      </c>
      <c r="N1876" s="1536" t="s">
        <v>4690</v>
      </c>
      <c r="O1876" s="1536"/>
      <c r="P1876" s="1536">
        <v>2</v>
      </c>
      <c r="Q1876" s="1069">
        <v>0.05</v>
      </c>
      <c r="R1876" s="1536"/>
      <c r="S1876" s="206">
        <f t="shared" si="58"/>
        <v>0</v>
      </c>
      <c r="T1876" s="207">
        <f t="shared" si="59"/>
        <v>0</v>
      </c>
      <c r="U1876" s="208" t="s">
        <v>34</v>
      </c>
      <c r="V1876" s="1203"/>
      <c r="W1876" s="799"/>
    </row>
    <row r="1877" spans="1:23" ht="22.95" customHeight="1" x14ac:dyDescent="0.4">
      <c r="A1877" s="788">
        <v>1876</v>
      </c>
      <c r="B1877" s="303" t="s">
        <v>2616</v>
      </c>
      <c r="C1877" s="303" t="s">
        <v>24</v>
      </c>
      <c r="D1877" s="1082">
        <v>2382</v>
      </c>
      <c r="E1877" s="303" t="s">
        <v>4685</v>
      </c>
      <c r="F1877" s="649" t="s">
        <v>4686</v>
      </c>
      <c r="G1877" s="679">
        <v>2471</v>
      </c>
      <c r="H1877" s="649" t="s">
        <v>4504</v>
      </c>
      <c r="I1877" s="649" t="s">
        <v>4463</v>
      </c>
      <c r="J1877" s="692" t="s">
        <v>58</v>
      </c>
      <c r="K1877" s="692" t="s">
        <v>57</v>
      </c>
      <c r="L1877" s="1687">
        <v>0.6</v>
      </c>
      <c r="M1877" s="1774" t="s">
        <v>4691</v>
      </c>
      <c r="N1877" s="1536" t="s">
        <v>4692</v>
      </c>
      <c r="O1877" s="1536"/>
      <c r="P1877" s="1536">
        <v>10</v>
      </c>
      <c r="Q1877" s="1069">
        <v>0.1</v>
      </c>
      <c r="R1877" s="1536"/>
      <c r="S1877" s="206">
        <f t="shared" si="58"/>
        <v>0</v>
      </c>
      <c r="T1877" s="207">
        <f t="shared" si="59"/>
        <v>0</v>
      </c>
      <c r="U1877" s="208" t="s">
        <v>34</v>
      </c>
      <c r="V1877" s="1203"/>
      <c r="W1877" s="799"/>
    </row>
    <row r="1878" spans="1:23" ht="22.95" customHeight="1" x14ac:dyDescent="0.4">
      <c r="A1878" s="788">
        <v>1877</v>
      </c>
      <c r="B1878" s="303" t="s">
        <v>2616</v>
      </c>
      <c r="C1878" s="303" t="s">
        <v>24</v>
      </c>
      <c r="D1878" s="1082">
        <v>2382</v>
      </c>
      <c r="E1878" s="303" t="s">
        <v>4685</v>
      </c>
      <c r="F1878" s="649" t="s">
        <v>4686</v>
      </c>
      <c r="G1878" s="679">
        <v>2471</v>
      </c>
      <c r="H1878" s="649" t="s">
        <v>4504</v>
      </c>
      <c r="I1878" s="649" t="s">
        <v>4463</v>
      </c>
      <c r="J1878" s="692" t="s">
        <v>58</v>
      </c>
      <c r="K1878" s="692" t="s">
        <v>57</v>
      </c>
      <c r="L1878" s="1687">
        <v>0.6</v>
      </c>
      <c r="M1878" s="1774" t="s">
        <v>4693</v>
      </c>
      <c r="N1878" s="1536" t="s">
        <v>4694</v>
      </c>
      <c r="O1878" s="1536"/>
      <c r="P1878" s="1536">
        <v>1</v>
      </c>
      <c r="Q1878" s="1069">
        <v>0.05</v>
      </c>
      <c r="R1878" s="1536"/>
      <c r="S1878" s="206">
        <f t="shared" si="58"/>
        <v>0</v>
      </c>
      <c r="T1878" s="207">
        <f t="shared" si="59"/>
        <v>0</v>
      </c>
      <c r="U1878" s="208" t="s">
        <v>34</v>
      </c>
      <c r="V1878" s="1203"/>
      <c r="W1878" s="799"/>
    </row>
    <row r="1879" spans="1:23" ht="22.95" customHeight="1" x14ac:dyDescent="0.4">
      <c r="A1879" s="788">
        <v>1878</v>
      </c>
      <c r="B1879" s="303" t="s">
        <v>2616</v>
      </c>
      <c r="C1879" s="303" t="s">
        <v>24</v>
      </c>
      <c r="D1879" s="1082">
        <v>2382</v>
      </c>
      <c r="E1879" s="303" t="s">
        <v>4685</v>
      </c>
      <c r="F1879" s="649" t="s">
        <v>4686</v>
      </c>
      <c r="G1879" s="679">
        <v>2471</v>
      </c>
      <c r="H1879" s="649" t="s">
        <v>4504</v>
      </c>
      <c r="I1879" s="649" t="s">
        <v>4463</v>
      </c>
      <c r="J1879" s="692" t="s">
        <v>58</v>
      </c>
      <c r="K1879" s="692" t="s">
        <v>57</v>
      </c>
      <c r="L1879" s="1687">
        <v>0.6</v>
      </c>
      <c r="M1879" s="1774" t="s">
        <v>4695</v>
      </c>
      <c r="N1879" s="1536" t="s">
        <v>4696</v>
      </c>
      <c r="O1879" s="1536"/>
      <c r="P1879" s="1536">
        <v>10</v>
      </c>
      <c r="Q1879" s="1069">
        <v>0.1</v>
      </c>
      <c r="R1879" s="1536"/>
      <c r="S1879" s="206">
        <f t="shared" si="58"/>
        <v>0</v>
      </c>
      <c r="T1879" s="207">
        <f t="shared" si="59"/>
        <v>0</v>
      </c>
      <c r="U1879" s="208" t="s">
        <v>34</v>
      </c>
      <c r="V1879" s="1203"/>
      <c r="W1879" s="799"/>
    </row>
    <row r="1880" spans="1:23" ht="22.95" customHeight="1" x14ac:dyDescent="0.4">
      <c r="A1880" s="788">
        <v>1879</v>
      </c>
      <c r="B1880" s="303" t="s">
        <v>2616</v>
      </c>
      <c r="C1880" s="303" t="s">
        <v>24</v>
      </c>
      <c r="D1880" s="1082">
        <v>2382</v>
      </c>
      <c r="E1880" s="303" t="s">
        <v>4685</v>
      </c>
      <c r="F1880" s="649" t="s">
        <v>4686</v>
      </c>
      <c r="G1880" s="679">
        <v>2471</v>
      </c>
      <c r="H1880" s="649" t="s">
        <v>4504</v>
      </c>
      <c r="I1880" s="649" t="s">
        <v>4463</v>
      </c>
      <c r="J1880" s="692" t="s">
        <v>58</v>
      </c>
      <c r="K1880" s="692" t="s">
        <v>57</v>
      </c>
      <c r="L1880" s="1687">
        <v>0.6</v>
      </c>
      <c r="M1880" s="1774" t="s">
        <v>4697</v>
      </c>
      <c r="N1880" s="1536" t="s">
        <v>4698</v>
      </c>
      <c r="O1880" s="1536"/>
      <c r="P1880" s="1536">
        <v>3</v>
      </c>
      <c r="Q1880" s="1069">
        <v>0.1</v>
      </c>
      <c r="R1880" s="1536"/>
      <c r="S1880" s="206">
        <f t="shared" si="58"/>
        <v>0</v>
      </c>
      <c r="T1880" s="207">
        <f t="shared" si="59"/>
        <v>0</v>
      </c>
      <c r="U1880" s="208" t="s">
        <v>34</v>
      </c>
      <c r="V1880" s="1203"/>
      <c r="W1880" s="799"/>
    </row>
    <row r="1881" spans="1:23" ht="22.95" customHeight="1" x14ac:dyDescent="0.4">
      <c r="A1881" s="788">
        <v>1880</v>
      </c>
      <c r="B1881" s="303" t="s">
        <v>2616</v>
      </c>
      <c r="C1881" s="303" t="s">
        <v>24</v>
      </c>
      <c r="D1881" s="1082">
        <v>2382</v>
      </c>
      <c r="E1881" s="303" t="s">
        <v>4685</v>
      </c>
      <c r="F1881" s="649" t="s">
        <v>4686</v>
      </c>
      <c r="G1881" s="679">
        <v>2471</v>
      </c>
      <c r="H1881" s="649" t="s">
        <v>4504</v>
      </c>
      <c r="I1881" s="649" t="s">
        <v>4463</v>
      </c>
      <c r="J1881" s="692" t="s">
        <v>58</v>
      </c>
      <c r="K1881" s="692" t="s">
        <v>57</v>
      </c>
      <c r="L1881" s="1687">
        <v>0.6</v>
      </c>
      <c r="M1881" s="1774" t="s">
        <v>4699</v>
      </c>
      <c r="N1881" s="1536" t="s">
        <v>4700</v>
      </c>
      <c r="O1881" s="1536"/>
      <c r="P1881" s="1536">
        <v>10</v>
      </c>
      <c r="Q1881" s="1069">
        <v>0.05</v>
      </c>
      <c r="R1881" s="1536"/>
      <c r="S1881" s="206">
        <f t="shared" si="58"/>
        <v>0</v>
      </c>
      <c r="T1881" s="207">
        <f t="shared" si="59"/>
        <v>0</v>
      </c>
      <c r="U1881" s="208" t="s">
        <v>34</v>
      </c>
      <c r="V1881" s="1203"/>
      <c r="W1881" s="799"/>
    </row>
    <row r="1882" spans="1:23" ht="22.95" customHeight="1" x14ac:dyDescent="0.4">
      <c r="A1882" s="788">
        <v>1881</v>
      </c>
      <c r="B1882" s="303" t="s">
        <v>2616</v>
      </c>
      <c r="C1882" s="303" t="s">
        <v>24</v>
      </c>
      <c r="D1882" s="1082">
        <v>2382</v>
      </c>
      <c r="E1882" s="303" t="s">
        <v>4685</v>
      </c>
      <c r="F1882" s="649" t="s">
        <v>4686</v>
      </c>
      <c r="G1882" s="679">
        <v>2471</v>
      </c>
      <c r="H1882" s="649" t="s">
        <v>4504</v>
      </c>
      <c r="I1882" s="649" t="s">
        <v>4463</v>
      </c>
      <c r="J1882" s="692" t="s">
        <v>58</v>
      </c>
      <c r="K1882" s="692" t="s">
        <v>57</v>
      </c>
      <c r="L1882" s="1687">
        <v>0.6</v>
      </c>
      <c r="M1882" s="1774" t="s">
        <v>4701</v>
      </c>
      <c r="N1882" s="1536" t="s">
        <v>4702</v>
      </c>
      <c r="O1882" s="1536"/>
      <c r="P1882" s="1536">
        <v>9</v>
      </c>
      <c r="Q1882" s="1069">
        <v>0.05</v>
      </c>
      <c r="R1882" s="1536"/>
      <c r="S1882" s="206">
        <f t="shared" si="58"/>
        <v>0</v>
      </c>
      <c r="T1882" s="207">
        <f t="shared" si="59"/>
        <v>0</v>
      </c>
      <c r="U1882" s="208" t="s">
        <v>34</v>
      </c>
      <c r="V1882" s="1203"/>
      <c r="W1882" s="799"/>
    </row>
    <row r="1883" spans="1:23" ht="22.95" customHeight="1" x14ac:dyDescent="0.4">
      <c r="A1883" s="788">
        <v>1882</v>
      </c>
      <c r="B1883" s="303" t="s">
        <v>2616</v>
      </c>
      <c r="C1883" s="303" t="s">
        <v>24</v>
      </c>
      <c r="D1883" s="1082">
        <v>2382</v>
      </c>
      <c r="E1883" s="303" t="s">
        <v>4685</v>
      </c>
      <c r="F1883" s="649" t="s">
        <v>4686</v>
      </c>
      <c r="G1883" s="679">
        <v>2471</v>
      </c>
      <c r="H1883" s="649" t="s">
        <v>4504</v>
      </c>
      <c r="I1883" s="649" t="s">
        <v>4463</v>
      </c>
      <c r="J1883" s="692" t="s">
        <v>58</v>
      </c>
      <c r="K1883" s="692" t="s">
        <v>57</v>
      </c>
      <c r="L1883" s="1687">
        <v>0.6</v>
      </c>
      <c r="M1883" s="1774" t="s">
        <v>4593</v>
      </c>
      <c r="N1883" s="1536" t="s">
        <v>4594</v>
      </c>
      <c r="O1883" s="1536"/>
      <c r="P1883" s="1536">
        <v>10</v>
      </c>
      <c r="Q1883" s="1069">
        <v>0.1</v>
      </c>
      <c r="R1883" s="1536"/>
      <c r="S1883" s="206">
        <f t="shared" si="58"/>
        <v>0</v>
      </c>
      <c r="T1883" s="207">
        <f t="shared" si="59"/>
        <v>0</v>
      </c>
      <c r="U1883" s="208" t="s">
        <v>34</v>
      </c>
      <c r="V1883" s="1203"/>
      <c r="W1883" s="799"/>
    </row>
    <row r="1884" spans="1:23" ht="22.95" customHeight="1" x14ac:dyDescent="0.4">
      <c r="A1884" s="788">
        <v>1883</v>
      </c>
      <c r="B1884" s="303" t="s">
        <v>2616</v>
      </c>
      <c r="C1884" s="303" t="s">
        <v>24</v>
      </c>
      <c r="D1884" s="1082">
        <v>2382</v>
      </c>
      <c r="E1884" s="303" t="s">
        <v>4685</v>
      </c>
      <c r="F1884" s="649" t="s">
        <v>4686</v>
      </c>
      <c r="G1884" s="679">
        <v>2471</v>
      </c>
      <c r="H1884" s="649" t="s">
        <v>4504</v>
      </c>
      <c r="I1884" s="649" t="s">
        <v>4463</v>
      </c>
      <c r="J1884" s="692" t="s">
        <v>58</v>
      </c>
      <c r="K1884" s="692" t="s">
        <v>57</v>
      </c>
      <c r="L1884" s="1687">
        <v>0.6</v>
      </c>
      <c r="M1884" s="1774" t="s">
        <v>4703</v>
      </c>
      <c r="N1884" s="1536" t="s">
        <v>4602</v>
      </c>
      <c r="O1884" s="1536"/>
      <c r="P1884" s="1536">
        <v>2</v>
      </c>
      <c r="Q1884" s="1069">
        <v>0.1</v>
      </c>
      <c r="R1884" s="1536"/>
      <c r="S1884" s="206">
        <f t="shared" si="58"/>
        <v>0</v>
      </c>
      <c r="T1884" s="207">
        <f t="shared" si="59"/>
        <v>0</v>
      </c>
      <c r="U1884" s="208" t="s">
        <v>34</v>
      </c>
      <c r="V1884" s="1203"/>
      <c r="W1884" s="799"/>
    </row>
    <row r="1885" spans="1:23" ht="22.95" customHeight="1" x14ac:dyDescent="0.4">
      <c r="A1885" s="788">
        <v>1884</v>
      </c>
      <c r="B1885" s="303" t="s">
        <v>2616</v>
      </c>
      <c r="C1885" s="303" t="s">
        <v>24</v>
      </c>
      <c r="D1885" s="1082">
        <v>2382</v>
      </c>
      <c r="E1885" s="303" t="s">
        <v>4685</v>
      </c>
      <c r="F1885" s="649" t="s">
        <v>4686</v>
      </c>
      <c r="G1885" s="679">
        <v>2471</v>
      </c>
      <c r="H1885" s="649" t="s">
        <v>4504</v>
      </c>
      <c r="I1885" s="649" t="s">
        <v>4463</v>
      </c>
      <c r="J1885" s="692" t="s">
        <v>58</v>
      </c>
      <c r="K1885" s="692" t="s">
        <v>57</v>
      </c>
      <c r="L1885" s="1687">
        <v>0.6</v>
      </c>
      <c r="M1885" s="1774" t="s">
        <v>4511</v>
      </c>
      <c r="N1885" s="1536" t="s">
        <v>4512</v>
      </c>
      <c r="O1885" s="1536"/>
      <c r="P1885" s="1536">
        <v>1</v>
      </c>
      <c r="Q1885" s="1069">
        <v>0.1</v>
      </c>
      <c r="R1885" s="1536"/>
      <c r="S1885" s="206">
        <f t="shared" si="58"/>
        <v>0</v>
      </c>
      <c r="T1885" s="207">
        <f t="shared" si="59"/>
        <v>0</v>
      </c>
      <c r="U1885" s="208" t="s">
        <v>34</v>
      </c>
      <c r="V1885" s="1203"/>
      <c r="W1885" s="799"/>
    </row>
    <row r="1886" spans="1:23" ht="22.95" customHeight="1" x14ac:dyDescent="0.4">
      <c r="A1886" s="788">
        <v>1885</v>
      </c>
      <c r="B1886" s="303" t="s">
        <v>2616</v>
      </c>
      <c r="C1886" s="303" t="s">
        <v>24</v>
      </c>
      <c r="D1886" s="1082">
        <v>2382</v>
      </c>
      <c r="E1886" s="303" t="s">
        <v>4685</v>
      </c>
      <c r="F1886" s="649" t="s">
        <v>4686</v>
      </c>
      <c r="G1886" s="679">
        <v>2471</v>
      </c>
      <c r="H1886" s="649" t="s">
        <v>4504</v>
      </c>
      <c r="I1886" s="649" t="s">
        <v>4463</v>
      </c>
      <c r="J1886" s="199" t="s">
        <v>111</v>
      </c>
      <c r="K1886" s="199" t="s">
        <v>110</v>
      </c>
      <c r="L1886" s="1739">
        <v>0.4</v>
      </c>
      <c r="M1886" s="1775" t="s">
        <v>4704</v>
      </c>
      <c r="N1886" s="1726" t="s">
        <v>4705</v>
      </c>
      <c r="O1886" s="1726"/>
      <c r="P1886" s="1726">
        <v>5</v>
      </c>
      <c r="Q1886" s="1240">
        <v>0.05</v>
      </c>
      <c r="R1886" s="1726"/>
      <c r="S1886" s="262">
        <f t="shared" si="58"/>
        <v>0</v>
      </c>
      <c r="T1886" s="263">
        <f t="shared" si="59"/>
        <v>0</v>
      </c>
      <c r="U1886" s="687" t="s">
        <v>34</v>
      </c>
      <c r="V1886" s="1228"/>
      <c r="W1886" s="799"/>
    </row>
    <row r="1887" spans="1:23" ht="22.95" customHeight="1" x14ac:dyDescent="0.4">
      <c r="A1887" s="788">
        <v>1886</v>
      </c>
      <c r="B1887" s="303" t="s">
        <v>2616</v>
      </c>
      <c r="C1887" s="303" t="s">
        <v>24</v>
      </c>
      <c r="D1887" s="1082">
        <v>2382</v>
      </c>
      <c r="E1887" s="303" t="s">
        <v>4685</v>
      </c>
      <c r="F1887" s="649" t="s">
        <v>4686</v>
      </c>
      <c r="G1887" s="679">
        <v>2471</v>
      </c>
      <c r="H1887" s="649" t="s">
        <v>4504</v>
      </c>
      <c r="I1887" s="649" t="s">
        <v>4463</v>
      </c>
      <c r="J1887" s="199" t="s">
        <v>111</v>
      </c>
      <c r="K1887" s="199" t="s">
        <v>110</v>
      </c>
      <c r="L1887" s="1739">
        <v>0.4</v>
      </c>
      <c r="M1887" s="1775" t="s">
        <v>4519</v>
      </c>
      <c r="N1887" s="1726" t="s">
        <v>4520</v>
      </c>
      <c r="O1887" s="1726"/>
      <c r="P1887" s="1726">
        <v>1</v>
      </c>
      <c r="Q1887" s="1240">
        <v>0.35</v>
      </c>
      <c r="R1887" s="1726"/>
      <c r="S1887" s="262">
        <f t="shared" si="58"/>
        <v>0</v>
      </c>
      <c r="T1887" s="263">
        <f t="shared" si="59"/>
        <v>0</v>
      </c>
      <c r="U1887" s="687" t="s">
        <v>34</v>
      </c>
      <c r="V1887" s="1228"/>
      <c r="W1887" s="799"/>
    </row>
    <row r="1888" spans="1:23" ht="22.95" customHeight="1" x14ac:dyDescent="0.4">
      <c r="A1888" s="788">
        <v>1887</v>
      </c>
      <c r="B1888" s="303" t="s">
        <v>2616</v>
      </c>
      <c r="C1888" s="303" t="s">
        <v>24</v>
      </c>
      <c r="D1888" s="1082">
        <v>2382</v>
      </c>
      <c r="E1888" s="303" t="s">
        <v>4685</v>
      </c>
      <c r="F1888" s="649" t="s">
        <v>4686</v>
      </c>
      <c r="G1888" s="679">
        <v>2471</v>
      </c>
      <c r="H1888" s="649" t="s">
        <v>4504</v>
      </c>
      <c r="I1888" s="649" t="s">
        <v>4463</v>
      </c>
      <c r="J1888" s="199" t="s">
        <v>111</v>
      </c>
      <c r="K1888" s="199" t="s">
        <v>110</v>
      </c>
      <c r="L1888" s="1739">
        <v>0.4</v>
      </c>
      <c r="M1888" s="1775" t="s">
        <v>4706</v>
      </c>
      <c r="N1888" s="1726" t="s">
        <v>4707</v>
      </c>
      <c r="O1888" s="1726"/>
      <c r="P1888" s="1726">
        <v>4</v>
      </c>
      <c r="Q1888" s="1240">
        <v>0.1</v>
      </c>
      <c r="R1888" s="1726"/>
      <c r="S1888" s="262">
        <f t="shared" si="58"/>
        <v>0</v>
      </c>
      <c r="T1888" s="263">
        <f t="shared" si="59"/>
        <v>0</v>
      </c>
      <c r="U1888" s="687" t="s">
        <v>34</v>
      </c>
      <c r="V1888" s="1228"/>
      <c r="W1888" s="799"/>
    </row>
    <row r="1889" spans="1:23" ht="22.95" customHeight="1" x14ac:dyDescent="0.4">
      <c r="A1889" s="788">
        <v>1888</v>
      </c>
      <c r="B1889" s="303" t="s">
        <v>2616</v>
      </c>
      <c r="C1889" s="303" t="s">
        <v>24</v>
      </c>
      <c r="D1889" s="1082">
        <v>2382</v>
      </c>
      <c r="E1889" s="303" t="s">
        <v>4685</v>
      </c>
      <c r="F1889" s="649" t="s">
        <v>4686</v>
      </c>
      <c r="G1889" s="679">
        <v>2471</v>
      </c>
      <c r="H1889" s="649" t="s">
        <v>4504</v>
      </c>
      <c r="I1889" s="649" t="s">
        <v>4463</v>
      </c>
      <c r="J1889" s="199" t="s">
        <v>111</v>
      </c>
      <c r="K1889" s="199" t="s">
        <v>110</v>
      </c>
      <c r="L1889" s="1739">
        <v>0.4</v>
      </c>
      <c r="M1889" s="1775" t="s">
        <v>4708</v>
      </c>
      <c r="N1889" s="1726" t="s">
        <v>4709</v>
      </c>
      <c r="O1889" s="1726"/>
      <c r="P1889" s="1726">
        <v>1</v>
      </c>
      <c r="Q1889" s="1240">
        <v>0.35</v>
      </c>
      <c r="R1889" s="1726"/>
      <c r="S1889" s="262">
        <f t="shared" si="58"/>
        <v>0</v>
      </c>
      <c r="T1889" s="263">
        <f t="shared" si="59"/>
        <v>0</v>
      </c>
      <c r="U1889" s="687" t="s">
        <v>34</v>
      </c>
      <c r="V1889" s="1228"/>
      <c r="W1889" s="799"/>
    </row>
    <row r="1890" spans="1:23" ht="22.95" customHeight="1" x14ac:dyDescent="0.4">
      <c r="A1890" s="788">
        <v>1889</v>
      </c>
      <c r="B1890" s="303" t="s">
        <v>2616</v>
      </c>
      <c r="C1890" s="303" t="s">
        <v>24</v>
      </c>
      <c r="D1890" s="1082">
        <v>2382</v>
      </c>
      <c r="E1890" s="303" t="s">
        <v>4685</v>
      </c>
      <c r="F1890" s="649" t="s">
        <v>4686</v>
      </c>
      <c r="G1890" s="679">
        <v>2471</v>
      </c>
      <c r="H1890" s="1001" t="s">
        <v>4504</v>
      </c>
      <c r="I1890" s="649" t="s">
        <v>4463</v>
      </c>
      <c r="J1890" s="1752" t="s">
        <v>111</v>
      </c>
      <c r="K1890" s="1752" t="s">
        <v>110</v>
      </c>
      <c r="L1890" s="1753">
        <v>0.4</v>
      </c>
      <c r="M1890" s="1776" t="s">
        <v>4710</v>
      </c>
      <c r="N1890" s="1777" t="s">
        <v>4711</v>
      </c>
      <c r="O1890" s="1777"/>
      <c r="P1890" s="1777">
        <v>20</v>
      </c>
      <c r="Q1890" s="1778">
        <v>0.15</v>
      </c>
      <c r="R1890" s="1777"/>
      <c r="S1890" s="1447">
        <f t="shared" si="58"/>
        <v>0</v>
      </c>
      <c r="T1890" s="1779">
        <f t="shared" si="59"/>
        <v>0</v>
      </c>
      <c r="U1890" s="1780" t="s">
        <v>34</v>
      </c>
      <c r="V1890" s="1781"/>
      <c r="W1890" s="1476"/>
    </row>
    <row r="1891" spans="1:23" ht="22.95" customHeight="1" x14ac:dyDescent="0.4">
      <c r="A1891" s="788">
        <v>1890</v>
      </c>
      <c r="B1891" s="295" t="s">
        <v>2616</v>
      </c>
      <c r="C1891" s="295" t="s">
        <v>24</v>
      </c>
      <c r="D1891" s="1334">
        <v>5145</v>
      </c>
      <c r="E1891" s="295" t="s">
        <v>4712</v>
      </c>
      <c r="F1891" s="653" t="s">
        <v>4713</v>
      </c>
      <c r="G1891" s="674">
        <v>2471</v>
      </c>
      <c r="H1891" s="653" t="s">
        <v>4504</v>
      </c>
      <c r="I1891" s="653" t="s">
        <v>4463</v>
      </c>
      <c r="J1891" s="187" t="s">
        <v>58</v>
      </c>
      <c r="K1891" s="187" t="s">
        <v>57</v>
      </c>
      <c r="L1891" s="1684">
        <v>0.6</v>
      </c>
      <c r="M1891" s="791" t="s">
        <v>4714</v>
      </c>
      <c r="N1891" s="1532" t="s">
        <v>4715</v>
      </c>
      <c r="O1891" s="1532"/>
      <c r="P1891" s="1532">
        <v>5</v>
      </c>
      <c r="Q1891" s="1191">
        <v>0.1</v>
      </c>
      <c r="R1891" s="1532"/>
      <c r="S1891" s="195">
        <f t="shared" si="58"/>
        <v>0</v>
      </c>
      <c r="T1891" s="196">
        <f t="shared" si="59"/>
        <v>0</v>
      </c>
      <c r="U1891" s="197" t="s">
        <v>34</v>
      </c>
      <c r="V1891" s="1724">
        <f>SUM(T1891:T1910)%</f>
        <v>0</v>
      </c>
      <c r="W1891" s="791"/>
    </row>
    <row r="1892" spans="1:23" ht="22.95" customHeight="1" x14ac:dyDescent="0.4">
      <c r="A1892" s="788">
        <v>1891</v>
      </c>
      <c r="B1892" s="303" t="s">
        <v>2616</v>
      </c>
      <c r="C1892" s="649" t="s">
        <v>24</v>
      </c>
      <c r="D1892" s="1082">
        <v>5145</v>
      </c>
      <c r="E1892" s="303" t="s">
        <v>4712</v>
      </c>
      <c r="F1892" s="649" t="s">
        <v>4713</v>
      </c>
      <c r="G1892" s="679">
        <v>2471</v>
      </c>
      <c r="H1892" s="649" t="s">
        <v>4504</v>
      </c>
      <c r="I1892" s="649" t="s">
        <v>4463</v>
      </c>
      <c r="J1892" s="692" t="s">
        <v>58</v>
      </c>
      <c r="K1892" s="692" t="s">
        <v>57</v>
      </c>
      <c r="L1892" s="1687">
        <v>0.6</v>
      </c>
      <c r="M1892" s="840" t="s">
        <v>4716</v>
      </c>
      <c r="N1892" s="1536" t="s">
        <v>4717</v>
      </c>
      <c r="O1892" s="1536"/>
      <c r="P1892" s="1536">
        <v>4</v>
      </c>
      <c r="Q1892" s="1069">
        <v>0.15</v>
      </c>
      <c r="R1892" s="1536"/>
      <c r="S1892" s="206">
        <f t="shared" si="58"/>
        <v>0</v>
      </c>
      <c r="T1892" s="207">
        <f t="shared" si="59"/>
        <v>0</v>
      </c>
      <c r="U1892" s="208" t="s">
        <v>34</v>
      </c>
      <c r="V1892" s="1203"/>
      <c r="W1892" s="799"/>
    </row>
    <row r="1893" spans="1:23" ht="22.95" customHeight="1" x14ac:dyDescent="0.4">
      <c r="A1893" s="788">
        <v>1892</v>
      </c>
      <c r="B1893" s="303" t="s">
        <v>2616</v>
      </c>
      <c r="C1893" s="649" t="s">
        <v>24</v>
      </c>
      <c r="D1893" s="1082">
        <v>5145</v>
      </c>
      <c r="E1893" s="303" t="s">
        <v>4712</v>
      </c>
      <c r="F1893" s="649" t="s">
        <v>4713</v>
      </c>
      <c r="G1893" s="679">
        <v>2471</v>
      </c>
      <c r="H1893" s="649" t="s">
        <v>4504</v>
      </c>
      <c r="I1893" s="649" t="s">
        <v>4463</v>
      </c>
      <c r="J1893" s="692" t="s">
        <v>58</v>
      </c>
      <c r="K1893" s="692" t="s">
        <v>57</v>
      </c>
      <c r="L1893" s="1687">
        <v>0.6</v>
      </c>
      <c r="M1893" s="840" t="s">
        <v>4718</v>
      </c>
      <c r="N1893" s="1536" t="s">
        <v>4719</v>
      </c>
      <c r="O1893" s="1536"/>
      <c r="P1893" s="1536">
        <v>5</v>
      </c>
      <c r="Q1893" s="1069">
        <v>0.1</v>
      </c>
      <c r="R1893" s="1536"/>
      <c r="S1893" s="206">
        <f t="shared" si="58"/>
        <v>0</v>
      </c>
      <c r="T1893" s="207">
        <f t="shared" si="59"/>
        <v>0</v>
      </c>
      <c r="U1893" s="208" t="s">
        <v>34</v>
      </c>
      <c r="V1893" s="1203"/>
      <c r="W1893" s="799"/>
    </row>
    <row r="1894" spans="1:23" ht="22.95" customHeight="1" x14ac:dyDescent="0.4">
      <c r="A1894" s="788">
        <v>1893</v>
      </c>
      <c r="B1894" s="303" t="s">
        <v>2616</v>
      </c>
      <c r="C1894" s="649" t="s">
        <v>24</v>
      </c>
      <c r="D1894" s="1082">
        <v>5145</v>
      </c>
      <c r="E1894" s="303" t="s">
        <v>4712</v>
      </c>
      <c r="F1894" s="649" t="s">
        <v>4713</v>
      </c>
      <c r="G1894" s="679">
        <v>2471</v>
      </c>
      <c r="H1894" s="649" t="s">
        <v>4504</v>
      </c>
      <c r="I1894" s="649" t="s">
        <v>4463</v>
      </c>
      <c r="J1894" s="692" t="s">
        <v>58</v>
      </c>
      <c r="K1894" s="692" t="s">
        <v>57</v>
      </c>
      <c r="L1894" s="1687">
        <v>0.6</v>
      </c>
      <c r="M1894" s="840" t="s">
        <v>4720</v>
      </c>
      <c r="N1894" s="1536" t="s">
        <v>4721</v>
      </c>
      <c r="O1894" s="1536"/>
      <c r="P1894" s="1536">
        <v>2</v>
      </c>
      <c r="Q1894" s="1069">
        <v>0.05</v>
      </c>
      <c r="R1894" s="1536"/>
      <c r="S1894" s="1782">
        <f t="shared" si="58"/>
        <v>0</v>
      </c>
      <c r="T1894" s="1783">
        <f t="shared" si="59"/>
        <v>0</v>
      </c>
      <c r="U1894" s="1784" t="s">
        <v>34</v>
      </c>
      <c r="V1894" s="1203"/>
      <c r="W1894" s="799"/>
    </row>
    <row r="1895" spans="1:23" ht="22.95" customHeight="1" x14ac:dyDescent="0.4">
      <c r="A1895" s="788">
        <v>1894</v>
      </c>
      <c r="B1895" s="303" t="s">
        <v>2616</v>
      </c>
      <c r="C1895" s="649" t="s">
        <v>24</v>
      </c>
      <c r="D1895" s="1082">
        <v>5145</v>
      </c>
      <c r="E1895" s="303" t="s">
        <v>4712</v>
      </c>
      <c r="F1895" s="649" t="s">
        <v>4713</v>
      </c>
      <c r="G1895" s="679">
        <v>2471</v>
      </c>
      <c r="H1895" s="649" t="s">
        <v>4504</v>
      </c>
      <c r="I1895" s="649" t="s">
        <v>4463</v>
      </c>
      <c r="J1895" s="692" t="s">
        <v>58</v>
      </c>
      <c r="K1895" s="692" t="s">
        <v>57</v>
      </c>
      <c r="L1895" s="1687">
        <v>0.6</v>
      </c>
      <c r="M1895" s="840" t="s">
        <v>4722</v>
      </c>
      <c r="N1895" s="1536" t="s">
        <v>4723</v>
      </c>
      <c r="O1895" s="1536"/>
      <c r="P1895" s="1536">
        <v>2</v>
      </c>
      <c r="Q1895" s="1069">
        <v>0.05</v>
      </c>
      <c r="R1895" s="1536"/>
      <c r="S1895" s="206">
        <f t="shared" si="58"/>
        <v>0</v>
      </c>
      <c r="T1895" s="207">
        <f t="shared" si="59"/>
        <v>0</v>
      </c>
      <c r="U1895" s="208" t="s">
        <v>34</v>
      </c>
      <c r="V1895" s="1203"/>
      <c r="W1895" s="799"/>
    </row>
    <row r="1896" spans="1:23" ht="22.95" customHeight="1" x14ac:dyDescent="0.4">
      <c r="A1896" s="788">
        <v>1895</v>
      </c>
      <c r="B1896" s="303" t="s">
        <v>2616</v>
      </c>
      <c r="C1896" s="649" t="s">
        <v>24</v>
      </c>
      <c r="D1896" s="1082">
        <v>5145</v>
      </c>
      <c r="E1896" s="303" t="s">
        <v>4712</v>
      </c>
      <c r="F1896" s="649" t="s">
        <v>4713</v>
      </c>
      <c r="G1896" s="679">
        <v>2471</v>
      </c>
      <c r="H1896" s="649" t="s">
        <v>4504</v>
      </c>
      <c r="I1896" s="649" t="s">
        <v>4463</v>
      </c>
      <c r="J1896" s="692" t="s">
        <v>58</v>
      </c>
      <c r="K1896" s="692" t="s">
        <v>57</v>
      </c>
      <c r="L1896" s="1687">
        <v>0.6</v>
      </c>
      <c r="M1896" s="840" t="s">
        <v>4724</v>
      </c>
      <c r="N1896" s="1536" t="s">
        <v>4725</v>
      </c>
      <c r="O1896" s="1536"/>
      <c r="P1896" s="1536">
        <v>1</v>
      </c>
      <c r="Q1896" s="1069">
        <v>0.1</v>
      </c>
      <c r="R1896" s="1536"/>
      <c r="S1896" s="206">
        <f t="shared" si="58"/>
        <v>0</v>
      </c>
      <c r="T1896" s="207">
        <f t="shared" si="59"/>
        <v>0</v>
      </c>
      <c r="U1896" s="208" t="s">
        <v>34</v>
      </c>
      <c r="V1896" s="1203"/>
      <c r="W1896" s="799"/>
    </row>
    <row r="1897" spans="1:23" ht="22.95" customHeight="1" x14ac:dyDescent="0.4">
      <c r="A1897" s="788">
        <v>1896</v>
      </c>
      <c r="B1897" s="303" t="s">
        <v>2616</v>
      </c>
      <c r="C1897" s="649" t="s">
        <v>24</v>
      </c>
      <c r="D1897" s="1082">
        <v>5145</v>
      </c>
      <c r="E1897" s="303" t="s">
        <v>4712</v>
      </c>
      <c r="F1897" s="649" t="s">
        <v>4713</v>
      </c>
      <c r="G1897" s="679">
        <v>2471</v>
      </c>
      <c r="H1897" s="649" t="s">
        <v>4504</v>
      </c>
      <c r="I1897" s="649" t="s">
        <v>4463</v>
      </c>
      <c r="J1897" s="692" t="s">
        <v>58</v>
      </c>
      <c r="K1897" s="692" t="s">
        <v>57</v>
      </c>
      <c r="L1897" s="1687">
        <v>0.6</v>
      </c>
      <c r="M1897" s="840" t="s">
        <v>4726</v>
      </c>
      <c r="N1897" s="1536" t="s">
        <v>4727</v>
      </c>
      <c r="O1897" s="1536"/>
      <c r="P1897" s="1536">
        <v>25</v>
      </c>
      <c r="Q1897" s="1069">
        <v>0.05</v>
      </c>
      <c r="R1897" s="1536"/>
      <c r="S1897" s="206">
        <f t="shared" si="58"/>
        <v>0</v>
      </c>
      <c r="T1897" s="207">
        <f t="shared" si="59"/>
        <v>0</v>
      </c>
      <c r="U1897" s="208" t="s">
        <v>34</v>
      </c>
      <c r="V1897" s="1203"/>
      <c r="W1897" s="799"/>
    </row>
    <row r="1898" spans="1:23" ht="22.95" customHeight="1" x14ac:dyDescent="0.4">
      <c r="A1898" s="788">
        <v>1897</v>
      </c>
      <c r="B1898" s="303" t="s">
        <v>2616</v>
      </c>
      <c r="C1898" s="649" t="s">
        <v>24</v>
      </c>
      <c r="D1898" s="1082">
        <v>5145</v>
      </c>
      <c r="E1898" s="303" t="s">
        <v>4712</v>
      </c>
      <c r="F1898" s="649" t="s">
        <v>4713</v>
      </c>
      <c r="G1898" s="679">
        <v>2471</v>
      </c>
      <c r="H1898" s="649" t="s">
        <v>4504</v>
      </c>
      <c r="I1898" s="649" t="s">
        <v>4463</v>
      </c>
      <c r="J1898" s="692" t="s">
        <v>58</v>
      </c>
      <c r="K1898" s="692" t="s">
        <v>57</v>
      </c>
      <c r="L1898" s="1687">
        <v>0.6</v>
      </c>
      <c r="M1898" s="840" t="s">
        <v>4728</v>
      </c>
      <c r="N1898" s="1536" t="s">
        <v>4729</v>
      </c>
      <c r="O1898" s="1536"/>
      <c r="P1898" s="1536">
        <v>20</v>
      </c>
      <c r="Q1898" s="1069">
        <v>0.1</v>
      </c>
      <c r="R1898" s="1536"/>
      <c r="S1898" s="1782">
        <f t="shared" si="58"/>
        <v>0</v>
      </c>
      <c r="T1898" s="1783">
        <f t="shared" si="59"/>
        <v>0</v>
      </c>
      <c r="U1898" s="1784" t="s">
        <v>34</v>
      </c>
      <c r="V1898" s="1203"/>
      <c r="W1898" s="799"/>
    </row>
    <row r="1899" spans="1:23" ht="22.95" customHeight="1" x14ac:dyDescent="0.4">
      <c r="A1899" s="788">
        <v>1898</v>
      </c>
      <c r="B1899" s="303" t="s">
        <v>2616</v>
      </c>
      <c r="C1899" s="649" t="s">
        <v>24</v>
      </c>
      <c r="D1899" s="1082">
        <v>5145</v>
      </c>
      <c r="E1899" s="303" t="s">
        <v>4712</v>
      </c>
      <c r="F1899" s="649" t="s">
        <v>4713</v>
      </c>
      <c r="G1899" s="679">
        <v>2471</v>
      </c>
      <c r="H1899" s="649" t="s">
        <v>4504</v>
      </c>
      <c r="I1899" s="649" t="s">
        <v>4463</v>
      </c>
      <c r="J1899" s="692" t="s">
        <v>58</v>
      </c>
      <c r="K1899" s="692" t="s">
        <v>57</v>
      </c>
      <c r="L1899" s="1687">
        <v>0.6</v>
      </c>
      <c r="M1899" s="840" t="s">
        <v>4730</v>
      </c>
      <c r="N1899" s="1536" t="s">
        <v>4731</v>
      </c>
      <c r="O1899" s="1536"/>
      <c r="P1899" s="1536">
        <v>3</v>
      </c>
      <c r="Q1899" s="1069">
        <v>0.05</v>
      </c>
      <c r="R1899" s="1536"/>
      <c r="S1899" s="206">
        <f t="shared" si="58"/>
        <v>0</v>
      </c>
      <c r="T1899" s="207">
        <f t="shared" si="59"/>
        <v>0</v>
      </c>
      <c r="U1899" s="208" t="s">
        <v>34</v>
      </c>
      <c r="V1899" s="1203"/>
      <c r="W1899" s="799"/>
    </row>
    <row r="1900" spans="1:23" ht="22.95" customHeight="1" x14ac:dyDescent="0.4">
      <c r="A1900" s="788">
        <v>1899</v>
      </c>
      <c r="B1900" s="303" t="s">
        <v>2616</v>
      </c>
      <c r="C1900" s="649" t="s">
        <v>24</v>
      </c>
      <c r="D1900" s="1082">
        <v>5145</v>
      </c>
      <c r="E1900" s="303" t="s">
        <v>4712</v>
      </c>
      <c r="F1900" s="649" t="s">
        <v>4713</v>
      </c>
      <c r="G1900" s="679">
        <v>2471</v>
      </c>
      <c r="H1900" s="649" t="s">
        <v>4504</v>
      </c>
      <c r="I1900" s="649" t="s">
        <v>4463</v>
      </c>
      <c r="J1900" s="692" t="s">
        <v>58</v>
      </c>
      <c r="K1900" s="692" t="s">
        <v>57</v>
      </c>
      <c r="L1900" s="1687">
        <v>0.6</v>
      </c>
      <c r="M1900" s="840" t="s">
        <v>4732</v>
      </c>
      <c r="N1900" s="1536" t="s">
        <v>4733</v>
      </c>
      <c r="O1900" s="1536"/>
      <c r="P1900" s="1536">
        <v>3</v>
      </c>
      <c r="Q1900" s="1069">
        <v>0.05</v>
      </c>
      <c r="R1900" s="1536"/>
      <c r="S1900" s="206">
        <f t="shared" si="58"/>
        <v>0</v>
      </c>
      <c r="T1900" s="207">
        <f t="shared" si="59"/>
        <v>0</v>
      </c>
      <c r="U1900" s="208" t="s">
        <v>34</v>
      </c>
      <c r="V1900" s="1203"/>
      <c r="W1900" s="799"/>
    </row>
    <row r="1901" spans="1:23" ht="22.95" customHeight="1" x14ac:dyDescent="0.4">
      <c r="A1901" s="788">
        <v>1900</v>
      </c>
      <c r="B1901" s="303" t="s">
        <v>2616</v>
      </c>
      <c r="C1901" s="649" t="s">
        <v>24</v>
      </c>
      <c r="D1901" s="1082">
        <v>5145</v>
      </c>
      <c r="E1901" s="303" t="s">
        <v>4712</v>
      </c>
      <c r="F1901" s="649" t="s">
        <v>4713</v>
      </c>
      <c r="G1901" s="679">
        <v>2471</v>
      </c>
      <c r="H1901" s="649" t="s">
        <v>4504</v>
      </c>
      <c r="I1901" s="649" t="s">
        <v>4463</v>
      </c>
      <c r="J1901" s="692" t="s">
        <v>58</v>
      </c>
      <c r="K1901" s="692" t="s">
        <v>57</v>
      </c>
      <c r="L1901" s="1687">
        <v>0.6</v>
      </c>
      <c r="M1901" s="840" t="s">
        <v>4734</v>
      </c>
      <c r="N1901" s="1536" t="s">
        <v>4735</v>
      </c>
      <c r="O1901" s="1536"/>
      <c r="P1901" s="1536">
        <v>1</v>
      </c>
      <c r="Q1901" s="1069">
        <v>0.15</v>
      </c>
      <c r="R1901" s="1536"/>
      <c r="S1901" s="206">
        <f t="shared" si="58"/>
        <v>0</v>
      </c>
      <c r="T1901" s="207">
        <f t="shared" si="59"/>
        <v>0</v>
      </c>
      <c r="U1901" s="208" t="s">
        <v>34</v>
      </c>
      <c r="V1901" s="1203"/>
      <c r="W1901" s="799"/>
    </row>
    <row r="1902" spans="1:23" ht="22.95" customHeight="1" x14ac:dyDescent="0.4">
      <c r="A1902" s="788">
        <v>1901</v>
      </c>
      <c r="B1902" s="303" t="s">
        <v>2616</v>
      </c>
      <c r="C1902" s="649" t="s">
        <v>24</v>
      </c>
      <c r="D1902" s="1082">
        <v>5145</v>
      </c>
      <c r="E1902" s="303" t="s">
        <v>4712</v>
      </c>
      <c r="F1902" s="649" t="s">
        <v>4713</v>
      </c>
      <c r="G1902" s="679">
        <v>2471</v>
      </c>
      <c r="H1902" s="649" t="s">
        <v>4504</v>
      </c>
      <c r="I1902" s="649" t="s">
        <v>4463</v>
      </c>
      <c r="J1902" s="692" t="s">
        <v>58</v>
      </c>
      <c r="K1902" s="692" t="s">
        <v>57</v>
      </c>
      <c r="L1902" s="1687">
        <v>0.6</v>
      </c>
      <c r="M1902" s="840" t="s">
        <v>4736</v>
      </c>
      <c r="N1902" s="1536" t="s">
        <v>4737</v>
      </c>
      <c r="O1902" s="1536"/>
      <c r="P1902" s="1536">
        <v>5</v>
      </c>
      <c r="Q1902" s="1069">
        <v>0.05</v>
      </c>
      <c r="R1902" s="1536"/>
      <c r="S1902" s="1782">
        <f t="shared" si="58"/>
        <v>0</v>
      </c>
      <c r="T1902" s="1783">
        <f t="shared" si="59"/>
        <v>0</v>
      </c>
      <c r="U1902" s="1784" t="s">
        <v>34</v>
      </c>
      <c r="V1902" s="1203"/>
      <c r="W1902" s="799"/>
    </row>
    <row r="1903" spans="1:23" ht="22.95" customHeight="1" x14ac:dyDescent="0.4">
      <c r="A1903" s="788">
        <v>1902</v>
      </c>
      <c r="B1903" s="303" t="s">
        <v>2616</v>
      </c>
      <c r="C1903" s="649" t="s">
        <v>24</v>
      </c>
      <c r="D1903" s="1082">
        <v>5145</v>
      </c>
      <c r="E1903" s="303" t="s">
        <v>4712</v>
      </c>
      <c r="F1903" s="649" t="s">
        <v>4713</v>
      </c>
      <c r="G1903" s="679">
        <v>2471</v>
      </c>
      <c r="H1903" s="649" t="s">
        <v>4504</v>
      </c>
      <c r="I1903" s="649" t="s">
        <v>4463</v>
      </c>
      <c r="J1903" s="199" t="s">
        <v>111</v>
      </c>
      <c r="K1903" s="199" t="s">
        <v>110</v>
      </c>
      <c r="L1903" s="1739">
        <v>0.4</v>
      </c>
      <c r="M1903" s="799" t="s">
        <v>4738</v>
      </c>
      <c r="N1903" s="1726" t="s">
        <v>4739</v>
      </c>
      <c r="O1903" s="1726"/>
      <c r="P1903" s="1726">
        <v>1</v>
      </c>
      <c r="Q1903" s="1240">
        <v>0.2</v>
      </c>
      <c r="R1903" s="1726"/>
      <c r="S1903" s="262">
        <f t="shared" si="58"/>
        <v>0</v>
      </c>
      <c r="T1903" s="263">
        <f t="shared" si="59"/>
        <v>0</v>
      </c>
      <c r="U1903" s="687" t="s">
        <v>34</v>
      </c>
      <c r="V1903" s="1228"/>
      <c r="W1903" s="799"/>
    </row>
    <row r="1904" spans="1:23" ht="22.95" customHeight="1" x14ac:dyDescent="0.4">
      <c r="A1904" s="788">
        <v>1903</v>
      </c>
      <c r="B1904" s="303" t="s">
        <v>2616</v>
      </c>
      <c r="C1904" s="649" t="s">
        <v>24</v>
      </c>
      <c r="D1904" s="1082">
        <v>5145</v>
      </c>
      <c r="E1904" s="303" t="s">
        <v>4712</v>
      </c>
      <c r="F1904" s="649" t="s">
        <v>4713</v>
      </c>
      <c r="G1904" s="679">
        <v>2471</v>
      </c>
      <c r="H1904" s="649" t="s">
        <v>4504</v>
      </c>
      <c r="I1904" s="649" t="s">
        <v>4463</v>
      </c>
      <c r="J1904" s="199" t="s">
        <v>111</v>
      </c>
      <c r="K1904" s="199" t="s">
        <v>110</v>
      </c>
      <c r="L1904" s="1739">
        <v>0.4</v>
      </c>
      <c r="M1904" s="799" t="s">
        <v>4740</v>
      </c>
      <c r="N1904" s="1726" t="s">
        <v>4741</v>
      </c>
      <c r="O1904" s="1726"/>
      <c r="P1904" s="1726">
        <v>1</v>
      </c>
      <c r="Q1904" s="1240">
        <v>0.05</v>
      </c>
      <c r="R1904" s="1726"/>
      <c r="S1904" s="262">
        <f t="shared" si="58"/>
        <v>0</v>
      </c>
      <c r="T1904" s="263">
        <f t="shared" si="59"/>
        <v>0</v>
      </c>
      <c r="U1904" s="687" t="s">
        <v>34</v>
      </c>
      <c r="V1904" s="1228"/>
      <c r="W1904" s="799"/>
    </row>
    <row r="1905" spans="1:23" ht="22.95" customHeight="1" x14ac:dyDescent="0.4">
      <c r="A1905" s="788">
        <v>1904</v>
      </c>
      <c r="B1905" s="1785" t="s">
        <v>2616</v>
      </c>
      <c r="C1905" s="1001" t="s">
        <v>24</v>
      </c>
      <c r="D1905" s="1786">
        <v>5145</v>
      </c>
      <c r="E1905" s="1785" t="s">
        <v>4712</v>
      </c>
      <c r="F1905" s="1001" t="s">
        <v>4713</v>
      </c>
      <c r="G1905" s="1152">
        <v>2471</v>
      </c>
      <c r="H1905" s="649" t="s">
        <v>4504</v>
      </c>
      <c r="I1905" s="649" t="s">
        <v>4463</v>
      </c>
      <c r="J1905" s="199" t="s">
        <v>111</v>
      </c>
      <c r="K1905" s="199" t="s">
        <v>110</v>
      </c>
      <c r="L1905" s="1739">
        <v>0.4</v>
      </c>
      <c r="M1905" s="799" t="s">
        <v>4742</v>
      </c>
      <c r="N1905" s="1726" t="s">
        <v>4743</v>
      </c>
      <c r="O1905" s="1726"/>
      <c r="P1905" s="1726">
        <v>1</v>
      </c>
      <c r="Q1905" s="1240">
        <v>0.1</v>
      </c>
      <c r="R1905" s="1726"/>
      <c r="S1905" s="262">
        <f t="shared" si="58"/>
        <v>0</v>
      </c>
      <c r="T1905" s="263">
        <f t="shared" si="59"/>
        <v>0</v>
      </c>
      <c r="U1905" s="687" t="s">
        <v>34</v>
      </c>
      <c r="V1905" s="1228"/>
      <c r="W1905" s="799"/>
    </row>
    <row r="1906" spans="1:23" ht="22.95" customHeight="1" x14ac:dyDescent="0.4">
      <c r="A1906" s="788">
        <v>1905</v>
      </c>
      <c r="B1906" s="799" t="s">
        <v>2616</v>
      </c>
      <c r="C1906" s="649" t="s">
        <v>24</v>
      </c>
      <c r="D1906" s="1485">
        <v>5145</v>
      </c>
      <c r="E1906" s="303" t="s">
        <v>4712</v>
      </c>
      <c r="F1906" s="649" t="s">
        <v>4713</v>
      </c>
      <c r="G1906" s="679">
        <v>2471</v>
      </c>
      <c r="H1906" s="303" t="s">
        <v>4504</v>
      </c>
      <c r="I1906" s="649" t="s">
        <v>4463</v>
      </c>
      <c r="J1906" s="199" t="s">
        <v>111</v>
      </c>
      <c r="K1906" s="199" t="s">
        <v>110</v>
      </c>
      <c r="L1906" s="1739">
        <v>0.4</v>
      </c>
      <c r="M1906" s="799" t="s">
        <v>4744</v>
      </c>
      <c r="N1906" s="1726" t="s">
        <v>4745</v>
      </c>
      <c r="O1906" s="1726"/>
      <c r="P1906" s="1726">
        <v>1</v>
      </c>
      <c r="Q1906" s="1240">
        <v>0.05</v>
      </c>
      <c r="R1906" s="1726"/>
      <c r="S1906" s="1447">
        <f t="shared" si="58"/>
        <v>0</v>
      </c>
      <c r="T1906" s="1779">
        <f t="shared" si="59"/>
        <v>0</v>
      </c>
      <c r="U1906" s="1780" t="s">
        <v>34</v>
      </c>
      <c r="V1906" s="1228"/>
      <c r="W1906" s="799"/>
    </row>
    <row r="1907" spans="1:23" ht="22.95" customHeight="1" x14ac:dyDescent="0.4">
      <c r="A1907" s="788">
        <v>1906</v>
      </c>
      <c r="B1907" s="799" t="s">
        <v>2616</v>
      </c>
      <c r="C1907" s="649" t="s">
        <v>24</v>
      </c>
      <c r="D1907" s="1485">
        <v>5145</v>
      </c>
      <c r="E1907" s="303" t="s">
        <v>4712</v>
      </c>
      <c r="F1907" s="649" t="s">
        <v>4713</v>
      </c>
      <c r="G1907" s="679">
        <v>2471</v>
      </c>
      <c r="H1907" s="303" t="s">
        <v>4504</v>
      </c>
      <c r="I1907" s="649" t="s">
        <v>4463</v>
      </c>
      <c r="J1907" s="199" t="s">
        <v>111</v>
      </c>
      <c r="K1907" s="199" t="s">
        <v>110</v>
      </c>
      <c r="L1907" s="1739">
        <v>0.4</v>
      </c>
      <c r="M1907" s="799" t="s">
        <v>4746</v>
      </c>
      <c r="N1907" s="1726" t="s">
        <v>4747</v>
      </c>
      <c r="O1907" s="1726"/>
      <c r="P1907" s="1726">
        <v>1</v>
      </c>
      <c r="Q1907" s="1240">
        <v>0.05</v>
      </c>
      <c r="R1907" s="1726"/>
      <c r="S1907" s="262">
        <f t="shared" si="58"/>
        <v>0</v>
      </c>
      <c r="T1907" s="263">
        <f t="shared" si="59"/>
        <v>0</v>
      </c>
      <c r="U1907" s="687" t="s">
        <v>34</v>
      </c>
      <c r="V1907" s="1228"/>
      <c r="W1907" s="799"/>
    </row>
    <row r="1908" spans="1:23" ht="22.95" customHeight="1" x14ac:dyDescent="0.4">
      <c r="A1908" s="788">
        <v>1907</v>
      </c>
      <c r="B1908" s="799" t="s">
        <v>2616</v>
      </c>
      <c r="C1908" s="649" t="s">
        <v>24</v>
      </c>
      <c r="D1908" s="1485">
        <v>5145</v>
      </c>
      <c r="E1908" s="303" t="s">
        <v>4712</v>
      </c>
      <c r="F1908" s="649" t="s">
        <v>4713</v>
      </c>
      <c r="G1908" s="679">
        <v>2471</v>
      </c>
      <c r="H1908" s="303" t="s">
        <v>4504</v>
      </c>
      <c r="I1908" s="649" t="s">
        <v>4463</v>
      </c>
      <c r="J1908" s="199" t="s">
        <v>111</v>
      </c>
      <c r="K1908" s="199" t="s">
        <v>110</v>
      </c>
      <c r="L1908" s="1739">
        <v>0.4</v>
      </c>
      <c r="M1908" s="799" t="s">
        <v>4748</v>
      </c>
      <c r="N1908" s="1726" t="s">
        <v>4749</v>
      </c>
      <c r="O1908" s="1726"/>
      <c r="P1908" s="1726">
        <v>1</v>
      </c>
      <c r="Q1908" s="1240">
        <v>0.1</v>
      </c>
      <c r="R1908" s="1726"/>
      <c r="S1908" s="262">
        <f t="shared" si="58"/>
        <v>0</v>
      </c>
      <c r="T1908" s="263">
        <f t="shared" si="59"/>
        <v>0</v>
      </c>
      <c r="U1908" s="687" t="s">
        <v>34</v>
      </c>
      <c r="V1908" s="1228"/>
      <c r="W1908" s="799"/>
    </row>
    <row r="1909" spans="1:23" ht="22.95" customHeight="1" x14ac:dyDescent="0.4">
      <c r="A1909" s="788">
        <v>1908</v>
      </c>
      <c r="B1909" s="799" t="s">
        <v>2616</v>
      </c>
      <c r="C1909" s="649" t="s">
        <v>24</v>
      </c>
      <c r="D1909" s="1485">
        <v>5145</v>
      </c>
      <c r="E1909" s="303" t="s">
        <v>4712</v>
      </c>
      <c r="F1909" s="649" t="s">
        <v>4713</v>
      </c>
      <c r="G1909" s="679">
        <v>2471</v>
      </c>
      <c r="H1909" s="303" t="s">
        <v>4504</v>
      </c>
      <c r="I1909" s="649" t="s">
        <v>4463</v>
      </c>
      <c r="J1909" s="199" t="s">
        <v>111</v>
      </c>
      <c r="K1909" s="199" t="s">
        <v>110</v>
      </c>
      <c r="L1909" s="1739">
        <v>0.4</v>
      </c>
      <c r="M1909" s="799" t="s">
        <v>4750</v>
      </c>
      <c r="N1909" s="1726" t="s">
        <v>4751</v>
      </c>
      <c r="O1909" s="1726"/>
      <c r="P1909" s="1726">
        <v>2</v>
      </c>
      <c r="Q1909" s="1240">
        <v>0.15</v>
      </c>
      <c r="R1909" s="1726"/>
      <c r="S1909" s="262">
        <f t="shared" si="58"/>
        <v>0</v>
      </c>
      <c r="T1909" s="263">
        <f t="shared" si="59"/>
        <v>0</v>
      </c>
      <c r="U1909" s="687" t="s">
        <v>34</v>
      </c>
      <c r="V1909" s="1228"/>
      <c r="W1909" s="799"/>
    </row>
    <row r="1910" spans="1:23" ht="22.95" customHeight="1" x14ac:dyDescent="0.4">
      <c r="A1910" s="788">
        <v>1909</v>
      </c>
      <c r="B1910" s="799" t="s">
        <v>2616</v>
      </c>
      <c r="C1910" s="649" t="s">
        <v>24</v>
      </c>
      <c r="D1910" s="1485">
        <v>5145</v>
      </c>
      <c r="E1910" s="303" t="s">
        <v>4712</v>
      </c>
      <c r="F1910" s="649" t="s">
        <v>4713</v>
      </c>
      <c r="G1910" s="679">
        <v>2471</v>
      </c>
      <c r="H1910" s="303" t="s">
        <v>4504</v>
      </c>
      <c r="I1910" s="649" t="s">
        <v>4463</v>
      </c>
      <c r="J1910" s="199" t="s">
        <v>111</v>
      </c>
      <c r="K1910" s="199" t="s">
        <v>110</v>
      </c>
      <c r="L1910" s="1739">
        <v>0.4</v>
      </c>
      <c r="M1910" s="799" t="s">
        <v>4752</v>
      </c>
      <c r="N1910" s="1726" t="s">
        <v>4753</v>
      </c>
      <c r="O1910" s="1726"/>
      <c r="P1910" s="1726">
        <v>1</v>
      </c>
      <c r="Q1910" s="1240">
        <v>0.3</v>
      </c>
      <c r="R1910" s="1726"/>
      <c r="S1910" s="262">
        <f t="shared" si="58"/>
        <v>0</v>
      </c>
      <c r="T1910" s="263">
        <f t="shared" si="59"/>
        <v>0</v>
      </c>
      <c r="U1910" s="687" t="s">
        <v>34</v>
      </c>
      <c r="V1910" s="1228"/>
      <c r="W1910" s="799"/>
    </row>
    <row r="1911" spans="1:23" ht="22.95" customHeight="1" x14ac:dyDescent="0.4">
      <c r="A1911" s="788">
        <v>1910</v>
      </c>
      <c r="B1911" s="791" t="s">
        <v>2616</v>
      </c>
      <c r="C1911" s="653" t="s">
        <v>24</v>
      </c>
      <c r="D1911" s="1787">
        <v>2516</v>
      </c>
      <c r="E1911" s="295" t="s">
        <v>4754</v>
      </c>
      <c r="F1911" s="653" t="s">
        <v>4572</v>
      </c>
      <c r="G1911" s="674">
        <v>2410</v>
      </c>
      <c r="H1911" s="653" t="s">
        <v>4551</v>
      </c>
      <c r="I1911" s="653" t="s">
        <v>4463</v>
      </c>
      <c r="J1911" s="692" t="s">
        <v>58</v>
      </c>
      <c r="K1911" s="692" t="s">
        <v>57</v>
      </c>
      <c r="L1911" s="1684">
        <v>1</v>
      </c>
      <c r="M1911" s="791" t="s">
        <v>4563</v>
      </c>
      <c r="N1911" s="1532" t="s">
        <v>4564</v>
      </c>
      <c r="O1911" s="1532"/>
      <c r="P1911" s="790">
        <v>1</v>
      </c>
      <c r="Q1911" s="1727">
        <v>0.5</v>
      </c>
      <c r="R1911" s="790"/>
      <c r="S1911" s="195">
        <f t="shared" si="58"/>
        <v>0</v>
      </c>
      <c r="T1911" s="196">
        <f t="shared" si="59"/>
        <v>0</v>
      </c>
      <c r="U1911" s="197" t="s">
        <v>34</v>
      </c>
      <c r="V1911" s="1724">
        <f>SUM(T1911:T1912)%</f>
        <v>0</v>
      </c>
      <c r="W1911" s="791"/>
    </row>
    <row r="1912" spans="1:23" ht="22.95" customHeight="1" x14ac:dyDescent="0.4">
      <c r="A1912" s="788">
        <v>1911</v>
      </c>
      <c r="B1912" s="799" t="s">
        <v>2616</v>
      </c>
      <c r="C1912" s="649" t="s">
        <v>24</v>
      </c>
      <c r="D1912" s="1485">
        <v>2516</v>
      </c>
      <c r="E1912" s="303" t="s">
        <v>4754</v>
      </c>
      <c r="F1912" s="649" t="s">
        <v>4572</v>
      </c>
      <c r="G1912" s="679">
        <v>2410</v>
      </c>
      <c r="H1912" s="649" t="s">
        <v>4551</v>
      </c>
      <c r="I1912" s="649" t="s">
        <v>4463</v>
      </c>
      <c r="J1912" s="692" t="s">
        <v>58</v>
      </c>
      <c r="K1912" s="692" t="s">
        <v>57</v>
      </c>
      <c r="L1912" s="1739">
        <v>1</v>
      </c>
      <c r="M1912" s="799" t="s">
        <v>4755</v>
      </c>
      <c r="N1912" s="1726" t="s">
        <v>4756</v>
      </c>
      <c r="O1912" s="1726"/>
      <c r="P1912" s="798">
        <v>1</v>
      </c>
      <c r="Q1912" s="1430">
        <v>0.5</v>
      </c>
      <c r="R1912" s="798"/>
      <c r="S1912" s="262">
        <f t="shared" si="58"/>
        <v>0</v>
      </c>
      <c r="T1912" s="263">
        <f t="shared" si="59"/>
        <v>0</v>
      </c>
      <c r="U1912" s="687" t="s">
        <v>34</v>
      </c>
      <c r="V1912" s="1228"/>
      <c r="W1912" s="799"/>
    </row>
    <row r="1913" spans="1:23" ht="22.95" customHeight="1" x14ac:dyDescent="0.4">
      <c r="A1913" s="788">
        <v>1912</v>
      </c>
      <c r="B1913" s="1541" t="s">
        <v>2616</v>
      </c>
      <c r="C1913" s="1541" t="s">
        <v>24</v>
      </c>
      <c r="D1913" s="1788">
        <v>6585</v>
      </c>
      <c r="E1913" s="187" t="s">
        <v>4757</v>
      </c>
      <c r="F1913" s="187" t="s">
        <v>4758</v>
      </c>
      <c r="G1913" s="187">
        <v>3192</v>
      </c>
      <c r="H1913" s="187" t="s">
        <v>2619</v>
      </c>
      <c r="I1913" s="187" t="s">
        <v>4759</v>
      </c>
      <c r="J1913" s="1789" t="s">
        <v>30</v>
      </c>
      <c r="K1913" s="653" t="s">
        <v>29</v>
      </c>
      <c r="L1913" s="1790">
        <v>0.6</v>
      </c>
      <c r="M1913" s="748" t="s">
        <v>2620</v>
      </c>
      <c r="N1913" s="749" t="s">
        <v>2621</v>
      </c>
      <c r="O1913" s="1053"/>
      <c r="P1913" s="1053">
        <v>1856910.8756204764</v>
      </c>
      <c r="Q1913" s="1054">
        <v>0.15</v>
      </c>
      <c r="R1913" s="1053"/>
      <c r="S1913" s="195">
        <f t="shared" si="58"/>
        <v>0</v>
      </c>
      <c r="T1913" s="196">
        <f t="shared" si="59"/>
        <v>0</v>
      </c>
      <c r="U1913" s="794" t="s">
        <v>34</v>
      </c>
      <c r="V1913" s="1791">
        <f>SUM(T1913:T1947)%</f>
        <v>0</v>
      </c>
      <c r="W1913" s="1541"/>
    </row>
    <row r="1914" spans="1:23" ht="22.95" customHeight="1" x14ac:dyDescent="0.4">
      <c r="A1914" s="788">
        <v>1913</v>
      </c>
      <c r="B1914" s="1543" t="s">
        <v>2616</v>
      </c>
      <c r="C1914" s="1543" t="s">
        <v>24</v>
      </c>
      <c r="D1914" s="1792">
        <v>6585</v>
      </c>
      <c r="E1914" s="246" t="s">
        <v>4757</v>
      </c>
      <c r="F1914" s="246" t="s">
        <v>4758</v>
      </c>
      <c r="G1914" s="246">
        <v>3192</v>
      </c>
      <c r="H1914" s="246" t="s">
        <v>2619</v>
      </c>
      <c r="I1914" s="246" t="s">
        <v>4759</v>
      </c>
      <c r="J1914" s="303" t="s">
        <v>30</v>
      </c>
      <c r="K1914" s="648" t="s">
        <v>29</v>
      </c>
      <c r="L1914" s="1217">
        <v>0.6</v>
      </c>
      <c r="M1914" s="1060" t="s">
        <v>2622</v>
      </c>
      <c r="N1914" s="1061" t="s">
        <v>2623</v>
      </c>
      <c r="O1914" s="1062"/>
      <c r="P1914" s="1062">
        <v>621419.69473720191</v>
      </c>
      <c r="Q1914" s="1063">
        <v>0.1</v>
      </c>
      <c r="R1914" s="1062"/>
      <c r="S1914" s="262">
        <f t="shared" si="58"/>
        <v>0</v>
      </c>
      <c r="T1914" s="263">
        <f t="shared" si="59"/>
        <v>0</v>
      </c>
      <c r="U1914" s="708" t="s">
        <v>34</v>
      </c>
      <c r="V1914" s="1793"/>
      <c r="W1914" s="1543"/>
    </row>
    <row r="1915" spans="1:23" ht="22.95" customHeight="1" x14ac:dyDescent="0.4">
      <c r="A1915" s="788">
        <v>1914</v>
      </c>
      <c r="B1915" s="1543" t="s">
        <v>2616</v>
      </c>
      <c r="C1915" s="1543" t="s">
        <v>24</v>
      </c>
      <c r="D1915" s="1792">
        <v>6585</v>
      </c>
      <c r="E1915" s="246" t="s">
        <v>4757</v>
      </c>
      <c r="F1915" s="246" t="s">
        <v>4758</v>
      </c>
      <c r="G1915" s="246">
        <v>3192</v>
      </c>
      <c r="H1915" s="246" t="s">
        <v>2619</v>
      </c>
      <c r="I1915" s="246" t="s">
        <v>4759</v>
      </c>
      <c r="J1915" s="303" t="s">
        <v>30</v>
      </c>
      <c r="K1915" s="648" t="s">
        <v>29</v>
      </c>
      <c r="L1915" s="1217">
        <v>0.6</v>
      </c>
      <c r="M1915" s="1060" t="s">
        <v>2624</v>
      </c>
      <c r="N1915" s="1061" t="s">
        <v>2625</v>
      </c>
      <c r="O1915" s="1062"/>
      <c r="P1915" s="1062">
        <v>789737.85000000009</v>
      </c>
      <c r="Q1915" s="1063">
        <v>0.1</v>
      </c>
      <c r="R1915" s="1062"/>
      <c r="S1915" s="262">
        <f t="shared" si="58"/>
        <v>0</v>
      </c>
      <c r="T1915" s="263">
        <f t="shared" si="59"/>
        <v>0</v>
      </c>
      <c r="U1915" s="708" t="s">
        <v>34</v>
      </c>
      <c r="V1915" s="1793"/>
      <c r="W1915" s="1543"/>
    </row>
    <row r="1916" spans="1:23" ht="22.95" customHeight="1" x14ac:dyDescent="0.4">
      <c r="A1916" s="788">
        <v>1915</v>
      </c>
      <c r="B1916" s="1543" t="s">
        <v>2616</v>
      </c>
      <c r="C1916" s="1543" t="s">
        <v>24</v>
      </c>
      <c r="D1916" s="1792">
        <v>6585</v>
      </c>
      <c r="E1916" s="246" t="s">
        <v>4757</v>
      </c>
      <c r="F1916" s="246" t="s">
        <v>4758</v>
      </c>
      <c r="G1916" s="246">
        <v>3192</v>
      </c>
      <c r="H1916" s="246" t="s">
        <v>2619</v>
      </c>
      <c r="I1916" s="246" t="s">
        <v>4759</v>
      </c>
      <c r="J1916" s="303" t="s">
        <v>30</v>
      </c>
      <c r="K1916" s="648" t="s">
        <v>29</v>
      </c>
      <c r="L1916" s="1217">
        <v>0.6</v>
      </c>
      <c r="M1916" s="1060" t="s">
        <v>2626</v>
      </c>
      <c r="N1916" s="1061" t="s">
        <v>2627</v>
      </c>
      <c r="O1916" s="1062"/>
      <c r="P1916" s="1062">
        <v>1406879.4938896229</v>
      </c>
      <c r="Q1916" s="1063">
        <v>0.05</v>
      </c>
      <c r="R1916" s="1062"/>
      <c r="S1916" s="262">
        <f t="shared" si="58"/>
        <v>0</v>
      </c>
      <c r="T1916" s="263">
        <f t="shared" si="59"/>
        <v>0</v>
      </c>
      <c r="U1916" s="708" t="s">
        <v>34</v>
      </c>
      <c r="V1916" s="1793"/>
      <c r="W1916" s="1543"/>
    </row>
    <row r="1917" spans="1:23" ht="22.95" customHeight="1" x14ac:dyDescent="0.4">
      <c r="A1917" s="788">
        <v>1916</v>
      </c>
      <c r="B1917" s="1543" t="s">
        <v>2616</v>
      </c>
      <c r="C1917" s="1543" t="s">
        <v>24</v>
      </c>
      <c r="D1917" s="1792">
        <v>6585</v>
      </c>
      <c r="E1917" s="246" t="s">
        <v>4757</v>
      </c>
      <c r="F1917" s="246" t="s">
        <v>4758</v>
      </c>
      <c r="G1917" s="246">
        <v>3192</v>
      </c>
      <c r="H1917" s="246" t="s">
        <v>2619</v>
      </c>
      <c r="I1917" s="246" t="s">
        <v>4759</v>
      </c>
      <c r="J1917" s="303" t="s">
        <v>30</v>
      </c>
      <c r="K1917" s="648" t="s">
        <v>29</v>
      </c>
      <c r="L1917" s="1217">
        <v>0.6</v>
      </c>
      <c r="M1917" s="1060" t="s">
        <v>2628</v>
      </c>
      <c r="N1917" s="1061" t="s">
        <v>2629</v>
      </c>
      <c r="O1917" s="1062"/>
      <c r="P1917" s="1062">
        <v>48608.249727263406</v>
      </c>
      <c r="Q1917" s="1063">
        <v>0.01</v>
      </c>
      <c r="R1917" s="1062"/>
      <c r="S1917" s="262">
        <f t="shared" si="58"/>
        <v>0</v>
      </c>
      <c r="T1917" s="263">
        <f t="shared" si="59"/>
        <v>0</v>
      </c>
      <c r="U1917" s="708" t="s">
        <v>34</v>
      </c>
      <c r="V1917" s="1793"/>
      <c r="W1917" s="1543"/>
    </row>
    <row r="1918" spans="1:23" ht="22.95" customHeight="1" x14ac:dyDescent="0.4">
      <c r="A1918" s="788">
        <v>1917</v>
      </c>
      <c r="B1918" s="1543" t="s">
        <v>2616</v>
      </c>
      <c r="C1918" s="1543" t="s">
        <v>24</v>
      </c>
      <c r="D1918" s="1792">
        <v>6585</v>
      </c>
      <c r="E1918" s="246" t="s">
        <v>4757</v>
      </c>
      <c r="F1918" s="246" t="s">
        <v>4758</v>
      </c>
      <c r="G1918" s="246">
        <v>3192</v>
      </c>
      <c r="H1918" s="246" t="s">
        <v>2619</v>
      </c>
      <c r="I1918" s="246" t="s">
        <v>4759</v>
      </c>
      <c r="J1918" s="303" t="s">
        <v>30</v>
      </c>
      <c r="K1918" s="648" t="s">
        <v>29</v>
      </c>
      <c r="L1918" s="1217">
        <v>0.6</v>
      </c>
      <c r="M1918" s="1060" t="s">
        <v>2630</v>
      </c>
      <c r="N1918" s="1061" t="s">
        <v>2631</v>
      </c>
      <c r="O1918" s="1062"/>
      <c r="P1918" s="1062">
        <v>48600000</v>
      </c>
      <c r="Q1918" s="1063">
        <v>0.03</v>
      </c>
      <c r="R1918" s="1062"/>
      <c r="S1918" s="262">
        <f t="shared" si="58"/>
        <v>0</v>
      </c>
      <c r="T1918" s="263">
        <f t="shared" si="59"/>
        <v>0</v>
      </c>
      <c r="U1918" s="708" t="s">
        <v>34</v>
      </c>
      <c r="V1918" s="1793"/>
      <c r="W1918" s="1543"/>
    </row>
    <row r="1919" spans="1:23" ht="22.95" customHeight="1" x14ac:dyDescent="0.4">
      <c r="A1919" s="788">
        <v>1918</v>
      </c>
      <c r="B1919" s="1543" t="s">
        <v>2616</v>
      </c>
      <c r="C1919" s="1543" t="s">
        <v>24</v>
      </c>
      <c r="D1919" s="1792">
        <v>6585</v>
      </c>
      <c r="E1919" s="246" t="s">
        <v>4757</v>
      </c>
      <c r="F1919" s="246" t="s">
        <v>4758</v>
      </c>
      <c r="G1919" s="246">
        <v>3192</v>
      </c>
      <c r="H1919" s="246" t="s">
        <v>2619</v>
      </c>
      <c r="I1919" s="246" t="s">
        <v>4759</v>
      </c>
      <c r="J1919" s="303" t="s">
        <v>30</v>
      </c>
      <c r="K1919" s="648" t="s">
        <v>29</v>
      </c>
      <c r="L1919" s="1217">
        <v>0.6</v>
      </c>
      <c r="M1919" s="1060" t="s">
        <v>41</v>
      </c>
      <c r="N1919" s="1061" t="s">
        <v>2632</v>
      </c>
      <c r="O1919" s="1062"/>
      <c r="P1919" s="1062">
        <v>98000</v>
      </c>
      <c r="Q1919" s="1063">
        <v>0.01</v>
      </c>
      <c r="R1919" s="1062"/>
      <c r="S1919" s="262">
        <f t="shared" si="58"/>
        <v>0</v>
      </c>
      <c r="T1919" s="263">
        <f t="shared" si="59"/>
        <v>0</v>
      </c>
      <c r="U1919" s="708" t="s">
        <v>34</v>
      </c>
      <c r="V1919" s="1793"/>
      <c r="W1919" s="1543"/>
    </row>
    <row r="1920" spans="1:23" ht="22.95" customHeight="1" x14ac:dyDescent="0.4">
      <c r="A1920" s="788">
        <v>1919</v>
      </c>
      <c r="B1920" s="1543" t="s">
        <v>2616</v>
      </c>
      <c r="C1920" s="1543" t="s">
        <v>24</v>
      </c>
      <c r="D1920" s="1792">
        <v>6585</v>
      </c>
      <c r="E1920" s="246" t="s">
        <v>4757</v>
      </c>
      <c r="F1920" s="246" t="s">
        <v>4758</v>
      </c>
      <c r="G1920" s="246">
        <v>3192</v>
      </c>
      <c r="H1920" s="246" t="s">
        <v>2619</v>
      </c>
      <c r="I1920" s="246" t="s">
        <v>4759</v>
      </c>
      <c r="J1920" s="303" t="s">
        <v>30</v>
      </c>
      <c r="K1920" s="648" t="s">
        <v>29</v>
      </c>
      <c r="L1920" s="1217">
        <v>0.6</v>
      </c>
      <c r="M1920" s="1060" t="s">
        <v>2633</v>
      </c>
      <c r="N1920" s="1061" t="s">
        <v>2634</v>
      </c>
      <c r="O1920" s="1062"/>
      <c r="P1920" s="1062">
        <v>42860.330649873424</v>
      </c>
      <c r="Q1920" s="1063">
        <v>0.02</v>
      </c>
      <c r="R1920" s="1062"/>
      <c r="S1920" s="262">
        <f t="shared" si="58"/>
        <v>0</v>
      </c>
      <c r="T1920" s="263">
        <f t="shared" si="59"/>
        <v>0</v>
      </c>
      <c r="U1920" s="708" t="s">
        <v>34</v>
      </c>
      <c r="V1920" s="1793"/>
      <c r="W1920" s="1543"/>
    </row>
    <row r="1921" spans="1:23" ht="22.95" customHeight="1" x14ac:dyDescent="0.4">
      <c r="A1921" s="788">
        <v>1920</v>
      </c>
      <c r="B1921" s="1543" t="s">
        <v>2616</v>
      </c>
      <c r="C1921" s="1543" t="s">
        <v>24</v>
      </c>
      <c r="D1921" s="1792">
        <v>6585</v>
      </c>
      <c r="E1921" s="246" t="s">
        <v>4757</v>
      </c>
      <c r="F1921" s="246" t="s">
        <v>4758</v>
      </c>
      <c r="G1921" s="246">
        <v>3192</v>
      </c>
      <c r="H1921" s="246" t="s">
        <v>2619</v>
      </c>
      <c r="I1921" s="246" t="s">
        <v>4759</v>
      </c>
      <c r="J1921" s="303" t="s">
        <v>30</v>
      </c>
      <c r="K1921" s="648" t="s">
        <v>29</v>
      </c>
      <c r="L1921" s="1217">
        <v>0.6</v>
      </c>
      <c r="M1921" s="1060" t="s">
        <v>2635</v>
      </c>
      <c r="N1921" s="1061" t="s">
        <v>2636</v>
      </c>
      <c r="O1921" s="1062"/>
      <c r="P1921" s="1062">
        <v>1822851.8475738494</v>
      </c>
      <c r="Q1921" s="1063">
        <v>0.15</v>
      </c>
      <c r="R1921" s="1062"/>
      <c r="S1921" s="262">
        <f t="shared" si="58"/>
        <v>0</v>
      </c>
      <c r="T1921" s="263">
        <f t="shared" si="59"/>
        <v>0</v>
      </c>
      <c r="U1921" s="708" t="s">
        <v>34</v>
      </c>
      <c r="V1921" s="1793"/>
      <c r="W1921" s="1543"/>
    </row>
    <row r="1922" spans="1:23" ht="22.95" customHeight="1" x14ac:dyDescent="0.4">
      <c r="A1922" s="788">
        <v>1921</v>
      </c>
      <c r="B1922" s="1543" t="s">
        <v>2616</v>
      </c>
      <c r="C1922" s="1543" t="s">
        <v>24</v>
      </c>
      <c r="D1922" s="1792">
        <v>6585</v>
      </c>
      <c r="E1922" s="246" t="s">
        <v>4757</v>
      </c>
      <c r="F1922" s="246" t="s">
        <v>4758</v>
      </c>
      <c r="G1922" s="246">
        <v>3192</v>
      </c>
      <c r="H1922" s="246" t="s">
        <v>2619</v>
      </c>
      <c r="I1922" s="246" t="s">
        <v>4759</v>
      </c>
      <c r="J1922" s="303" t="s">
        <v>30</v>
      </c>
      <c r="K1922" s="648" t="s">
        <v>29</v>
      </c>
      <c r="L1922" s="1217">
        <v>0.6</v>
      </c>
      <c r="M1922" s="1060" t="s">
        <v>2637</v>
      </c>
      <c r="N1922" s="1061" t="s">
        <v>2638</v>
      </c>
      <c r="O1922" s="1062"/>
      <c r="P1922" s="1062">
        <v>632149.86058619968</v>
      </c>
      <c r="Q1922" s="1063">
        <v>0.1</v>
      </c>
      <c r="R1922" s="1062"/>
      <c r="S1922" s="262">
        <f t="shared" ref="S1922:S1985" si="60">ROUND(IF(OR(P1922="",R1922=""),0,IF(AND(P1922=0,R1922=0),1,IF(U1922="+",R1922/P1922,P1922/R1922))),2)</f>
        <v>0</v>
      </c>
      <c r="T1922" s="263">
        <f t="shared" ref="T1922:T1985" si="61">IF(AND(S1922&gt;=60%,S1922&lt;100%),S1922*((Q1922*L1922)),IF(S1922=100%,((Q1922*L1922)*S1922)*100%,IF(S1922&gt;100%,((L1922*Q1922)*100%)*100%,0)))*100</f>
        <v>0</v>
      </c>
      <c r="U1922" s="708" t="s">
        <v>34</v>
      </c>
      <c r="V1922" s="1793"/>
      <c r="W1922" s="1543"/>
    </row>
    <row r="1923" spans="1:23" ht="22.95" customHeight="1" x14ac:dyDescent="0.4">
      <c r="A1923" s="788">
        <v>1922</v>
      </c>
      <c r="B1923" s="1543" t="s">
        <v>2616</v>
      </c>
      <c r="C1923" s="1543" t="s">
        <v>24</v>
      </c>
      <c r="D1923" s="1792">
        <v>6585</v>
      </c>
      <c r="E1923" s="246" t="s">
        <v>4757</v>
      </c>
      <c r="F1923" s="246" t="s">
        <v>4758</v>
      </c>
      <c r="G1923" s="246">
        <v>3192</v>
      </c>
      <c r="H1923" s="246" t="s">
        <v>2619</v>
      </c>
      <c r="I1923" s="246" t="s">
        <v>4759</v>
      </c>
      <c r="J1923" s="303" t="s">
        <v>30</v>
      </c>
      <c r="K1923" s="648" t="s">
        <v>29</v>
      </c>
      <c r="L1923" s="1217">
        <v>0.6</v>
      </c>
      <c r="M1923" s="1060" t="s">
        <v>2639</v>
      </c>
      <c r="N1923" s="1061" t="s">
        <v>2640</v>
      </c>
      <c r="O1923" s="1062"/>
      <c r="P1923" s="1062">
        <v>1582673.167066941</v>
      </c>
      <c r="Q1923" s="1063">
        <v>0.05</v>
      </c>
      <c r="R1923" s="1062"/>
      <c r="S1923" s="262">
        <f t="shared" si="60"/>
        <v>0</v>
      </c>
      <c r="T1923" s="263">
        <f t="shared" si="61"/>
        <v>0</v>
      </c>
      <c r="U1923" s="708" t="s">
        <v>34</v>
      </c>
      <c r="V1923" s="1793"/>
      <c r="W1923" s="1543"/>
    </row>
    <row r="1924" spans="1:23" ht="22.95" customHeight="1" x14ac:dyDescent="0.4">
      <c r="A1924" s="788">
        <v>1923</v>
      </c>
      <c r="B1924" s="1543" t="s">
        <v>2616</v>
      </c>
      <c r="C1924" s="1543" t="s">
        <v>24</v>
      </c>
      <c r="D1924" s="1792">
        <v>6585</v>
      </c>
      <c r="E1924" s="246" t="s">
        <v>4757</v>
      </c>
      <c r="F1924" s="246" t="s">
        <v>4758</v>
      </c>
      <c r="G1924" s="246">
        <v>3192</v>
      </c>
      <c r="H1924" s="246" t="s">
        <v>2619</v>
      </c>
      <c r="I1924" s="246" t="s">
        <v>4759</v>
      </c>
      <c r="J1924" s="303" t="s">
        <v>30</v>
      </c>
      <c r="K1924" s="648" t="s">
        <v>29</v>
      </c>
      <c r="L1924" s="1794">
        <v>0.6</v>
      </c>
      <c r="M1924" s="1060" t="s">
        <v>2641</v>
      </c>
      <c r="N1924" s="1061" t="s">
        <v>2642</v>
      </c>
      <c r="O1924" s="1062"/>
      <c r="P1924" s="1062">
        <v>52500</v>
      </c>
      <c r="Q1924" s="1063">
        <v>0.01</v>
      </c>
      <c r="R1924" s="1062"/>
      <c r="S1924" s="262">
        <f t="shared" si="60"/>
        <v>0</v>
      </c>
      <c r="T1924" s="263">
        <f t="shared" si="61"/>
        <v>0</v>
      </c>
      <c r="U1924" s="708" t="s">
        <v>34</v>
      </c>
      <c r="V1924" s="1793"/>
      <c r="W1924" s="1543"/>
    </row>
    <row r="1925" spans="1:23" ht="22.95" customHeight="1" x14ac:dyDescent="0.4">
      <c r="A1925" s="788">
        <v>1924</v>
      </c>
      <c r="B1925" s="1543" t="s">
        <v>2616</v>
      </c>
      <c r="C1925" s="1543" t="s">
        <v>24</v>
      </c>
      <c r="D1925" s="1792">
        <v>6585</v>
      </c>
      <c r="E1925" s="246" t="s">
        <v>4757</v>
      </c>
      <c r="F1925" s="246" t="s">
        <v>4758</v>
      </c>
      <c r="G1925" s="246">
        <v>3192</v>
      </c>
      <c r="H1925" s="246" t="s">
        <v>2619</v>
      </c>
      <c r="I1925" s="246" t="s">
        <v>4759</v>
      </c>
      <c r="J1925" s="303" t="s">
        <v>30</v>
      </c>
      <c r="K1925" s="648" t="s">
        <v>29</v>
      </c>
      <c r="L1925" s="1794">
        <v>0.6</v>
      </c>
      <c r="M1925" s="1060" t="s">
        <v>2643</v>
      </c>
      <c r="N1925" s="1061" t="s">
        <v>2644</v>
      </c>
      <c r="O1925" s="1062"/>
      <c r="P1925" s="1062">
        <v>28325616.5089917</v>
      </c>
      <c r="Q1925" s="1063">
        <v>0.03</v>
      </c>
      <c r="R1925" s="1062"/>
      <c r="S1925" s="262">
        <f t="shared" si="60"/>
        <v>0</v>
      </c>
      <c r="T1925" s="263">
        <f t="shared" si="61"/>
        <v>0</v>
      </c>
      <c r="U1925" s="708" t="s">
        <v>34</v>
      </c>
      <c r="V1925" s="1793"/>
      <c r="W1925" s="1543"/>
    </row>
    <row r="1926" spans="1:23" ht="22.95" customHeight="1" x14ac:dyDescent="0.4">
      <c r="A1926" s="788">
        <v>1925</v>
      </c>
      <c r="B1926" s="1543" t="s">
        <v>2616</v>
      </c>
      <c r="C1926" s="1543" t="s">
        <v>24</v>
      </c>
      <c r="D1926" s="1792">
        <v>6585</v>
      </c>
      <c r="E1926" s="246" t="s">
        <v>4757</v>
      </c>
      <c r="F1926" s="246" t="s">
        <v>4758</v>
      </c>
      <c r="G1926" s="246">
        <v>3192</v>
      </c>
      <c r="H1926" s="246" t="s">
        <v>2619</v>
      </c>
      <c r="I1926" s="246" t="s">
        <v>4759</v>
      </c>
      <c r="J1926" s="303" t="s">
        <v>30</v>
      </c>
      <c r="K1926" s="648" t="s">
        <v>29</v>
      </c>
      <c r="L1926" s="1794">
        <v>0.6</v>
      </c>
      <c r="M1926" s="1060" t="s">
        <v>51</v>
      </c>
      <c r="N1926" s="1061" t="s">
        <v>2645</v>
      </c>
      <c r="O1926" s="1062"/>
      <c r="P1926" s="1062">
        <v>350000</v>
      </c>
      <c r="Q1926" s="1063">
        <v>0.01</v>
      </c>
      <c r="R1926" s="1062"/>
      <c r="S1926" s="262">
        <f t="shared" si="60"/>
        <v>0</v>
      </c>
      <c r="T1926" s="263">
        <f t="shared" si="61"/>
        <v>0</v>
      </c>
      <c r="U1926" s="708" t="s">
        <v>34</v>
      </c>
      <c r="V1926" s="1793"/>
      <c r="W1926" s="1543"/>
    </row>
    <row r="1927" spans="1:23" ht="22.95" customHeight="1" x14ac:dyDescent="0.4">
      <c r="A1927" s="788">
        <v>1926</v>
      </c>
      <c r="B1927" s="1543" t="s">
        <v>2616</v>
      </c>
      <c r="C1927" s="1543" t="s">
        <v>24</v>
      </c>
      <c r="D1927" s="1792">
        <v>6585</v>
      </c>
      <c r="E1927" s="246" t="s">
        <v>4757</v>
      </c>
      <c r="F1927" s="246" t="s">
        <v>4758</v>
      </c>
      <c r="G1927" s="246">
        <v>3192</v>
      </c>
      <c r="H1927" s="246" t="s">
        <v>2619</v>
      </c>
      <c r="I1927" s="246" t="s">
        <v>4759</v>
      </c>
      <c r="J1927" s="303" t="s">
        <v>30</v>
      </c>
      <c r="K1927" s="648" t="s">
        <v>29</v>
      </c>
      <c r="L1927" s="1794">
        <v>0.6</v>
      </c>
      <c r="M1927" s="1060" t="s">
        <v>2646</v>
      </c>
      <c r="N1927" s="1061" t="s">
        <v>2647</v>
      </c>
      <c r="O1927" s="1062"/>
      <c r="P1927" s="1062">
        <v>12008.568758934001</v>
      </c>
      <c r="Q1927" s="1063">
        <v>0.01</v>
      </c>
      <c r="R1927" s="1062"/>
      <c r="S1927" s="262">
        <f t="shared" si="60"/>
        <v>0</v>
      </c>
      <c r="T1927" s="263">
        <f t="shared" si="61"/>
        <v>0</v>
      </c>
      <c r="U1927" s="708" t="s">
        <v>34</v>
      </c>
      <c r="V1927" s="1793"/>
      <c r="W1927" s="1543"/>
    </row>
    <row r="1928" spans="1:23" ht="22.95" customHeight="1" x14ac:dyDescent="0.4">
      <c r="A1928" s="788">
        <v>1927</v>
      </c>
      <c r="B1928" s="1543" t="s">
        <v>2616</v>
      </c>
      <c r="C1928" s="1543" t="s">
        <v>24</v>
      </c>
      <c r="D1928" s="1792">
        <v>6585</v>
      </c>
      <c r="E1928" s="246" t="s">
        <v>4757</v>
      </c>
      <c r="F1928" s="246" t="s">
        <v>4758</v>
      </c>
      <c r="G1928" s="246">
        <v>3192</v>
      </c>
      <c r="H1928" s="246" t="s">
        <v>2619</v>
      </c>
      <c r="I1928" s="246" t="s">
        <v>4759</v>
      </c>
      <c r="J1928" s="303" t="s">
        <v>30</v>
      </c>
      <c r="K1928" s="648" t="s">
        <v>29</v>
      </c>
      <c r="L1928" s="1794">
        <v>0.6</v>
      </c>
      <c r="M1928" s="1060" t="s">
        <v>2648</v>
      </c>
      <c r="N1928" s="1061" t="s">
        <v>2649</v>
      </c>
      <c r="O1928" s="799"/>
      <c r="P1928" s="1065">
        <v>0.25021096971668699</v>
      </c>
      <c r="Q1928" s="1063">
        <v>0.1</v>
      </c>
      <c r="R1928" s="1065"/>
      <c r="S1928" s="262">
        <f t="shared" si="60"/>
        <v>0</v>
      </c>
      <c r="T1928" s="263">
        <f t="shared" si="61"/>
        <v>0</v>
      </c>
      <c r="U1928" s="708" t="s">
        <v>34</v>
      </c>
      <c r="V1928" s="1793"/>
      <c r="W1928" s="1543"/>
    </row>
    <row r="1929" spans="1:23" ht="22.95" customHeight="1" x14ac:dyDescent="0.4">
      <c r="A1929" s="788">
        <v>1928</v>
      </c>
      <c r="B1929" s="1543" t="s">
        <v>2616</v>
      </c>
      <c r="C1929" s="1543" t="s">
        <v>24</v>
      </c>
      <c r="D1929" s="1792">
        <v>6585</v>
      </c>
      <c r="E1929" s="246" t="s">
        <v>4757</v>
      </c>
      <c r="F1929" s="246" t="s">
        <v>4758</v>
      </c>
      <c r="G1929" s="246">
        <v>3192</v>
      </c>
      <c r="H1929" s="246" t="s">
        <v>2619</v>
      </c>
      <c r="I1929" s="246" t="s">
        <v>4759</v>
      </c>
      <c r="J1929" s="303" t="s">
        <v>30</v>
      </c>
      <c r="K1929" s="648" t="s">
        <v>29</v>
      </c>
      <c r="L1929" s="1794">
        <v>0.6</v>
      </c>
      <c r="M1929" s="1060" t="s">
        <v>2650</v>
      </c>
      <c r="N1929" s="1061" t="s">
        <v>2651</v>
      </c>
      <c r="O1929" s="799"/>
      <c r="P1929" s="1065">
        <v>0.12657225245499898</v>
      </c>
      <c r="Q1929" s="1063">
        <v>7.0000000000000007E-2</v>
      </c>
      <c r="R1929" s="1065"/>
      <c r="S1929" s="262">
        <f t="shared" si="60"/>
        <v>0</v>
      </c>
      <c r="T1929" s="263">
        <f t="shared" si="61"/>
        <v>0</v>
      </c>
      <c r="U1929" s="708" t="s">
        <v>34</v>
      </c>
      <c r="V1929" s="1793"/>
      <c r="W1929" s="1543"/>
    </row>
    <row r="1930" spans="1:23" ht="22.95" customHeight="1" x14ac:dyDescent="0.4">
      <c r="A1930" s="788">
        <v>1929</v>
      </c>
      <c r="B1930" s="1543" t="s">
        <v>2616</v>
      </c>
      <c r="C1930" s="1543" t="s">
        <v>24</v>
      </c>
      <c r="D1930" s="1792">
        <v>6585</v>
      </c>
      <c r="E1930" s="199" t="s">
        <v>4757</v>
      </c>
      <c r="F1930" s="199" t="s">
        <v>4758</v>
      </c>
      <c r="G1930" s="199">
        <v>3192</v>
      </c>
      <c r="H1930" s="199" t="s">
        <v>2619</v>
      </c>
      <c r="I1930" s="199" t="s">
        <v>4759</v>
      </c>
      <c r="J1930" s="1795" t="s">
        <v>111</v>
      </c>
      <c r="K1930" s="649" t="s">
        <v>110</v>
      </c>
      <c r="L1930" s="1796">
        <v>0.4</v>
      </c>
      <c r="M1930" s="829" t="s">
        <v>4760</v>
      </c>
      <c r="N1930" s="827" t="s">
        <v>4761</v>
      </c>
      <c r="O1930" s="799"/>
      <c r="P1930" s="222">
        <v>1</v>
      </c>
      <c r="Q1930" s="1147">
        <v>0.05</v>
      </c>
      <c r="R1930" s="222"/>
      <c r="S1930" s="216">
        <f t="shared" si="60"/>
        <v>0</v>
      </c>
      <c r="T1930" s="1797">
        <f t="shared" si="61"/>
        <v>0</v>
      </c>
      <c r="U1930" s="803" t="s">
        <v>34</v>
      </c>
      <c r="V1930" s="1798"/>
      <c r="W1930" s="1543"/>
    </row>
    <row r="1931" spans="1:23" ht="22.95" customHeight="1" x14ac:dyDescent="0.4">
      <c r="A1931" s="788">
        <v>1930</v>
      </c>
      <c r="B1931" s="1543" t="s">
        <v>2616</v>
      </c>
      <c r="C1931" s="1543" t="s">
        <v>24</v>
      </c>
      <c r="D1931" s="1792">
        <v>6585</v>
      </c>
      <c r="E1931" s="199" t="s">
        <v>4757</v>
      </c>
      <c r="F1931" s="199" t="s">
        <v>4758</v>
      </c>
      <c r="G1931" s="199">
        <v>3192</v>
      </c>
      <c r="H1931" s="199" t="s">
        <v>2619</v>
      </c>
      <c r="I1931" s="199" t="s">
        <v>4759</v>
      </c>
      <c r="J1931" s="1795" t="s">
        <v>111</v>
      </c>
      <c r="K1931" s="649" t="s">
        <v>110</v>
      </c>
      <c r="L1931" s="1796">
        <v>0.4</v>
      </c>
      <c r="M1931" s="829" t="s">
        <v>4762</v>
      </c>
      <c r="N1931" s="766" t="s">
        <v>4763</v>
      </c>
      <c r="O1931" s="799"/>
      <c r="P1931" s="222">
        <v>1</v>
      </c>
      <c r="Q1931" s="1147">
        <v>0.05</v>
      </c>
      <c r="R1931" s="222"/>
      <c r="S1931" s="216">
        <f t="shared" si="60"/>
        <v>0</v>
      </c>
      <c r="T1931" s="1797">
        <f t="shared" si="61"/>
        <v>0</v>
      </c>
      <c r="U1931" s="803" t="s">
        <v>34</v>
      </c>
      <c r="V1931" s="1799"/>
      <c r="W1931" s="1543"/>
    </row>
    <row r="1932" spans="1:23" ht="22.95" customHeight="1" x14ac:dyDescent="0.4">
      <c r="A1932" s="788">
        <v>1931</v>
      </c>
      <c r="B1932" s="1543" t="s">
        <v>2616</v>
      </c>
      <c r="C1932" s="1543" t="s">
        <v>24</v>
      </c>
      <c r="D1932" s="1792">
        <v>6585</v>
      </c>
      <c r="E1932" s="199" t="s">
        <v>4757</v>
      </c>
      <c r="F1932" s="199" t="s">
        <v>4758</v>
      </c>
      <c r="G1932" s="199">
        <v>3192</v>
      </c>
      <c r="H1932" s="199" t="s">
        <v>2619</v>
      </c>
      <c r="I1932" s="199" t="s">
        <v>4759</v>
      </c>
      <c r="J1932" s="1795" t="s">
        <v>111</v>
      </c>
      <c r="K1932" s="649" t="s">
        <v>110</v>
      </c>
      <c r="L1932" s="1796">
        <v>0.4</v>
      </c>
      <c r="M1932" s="829" t="s">
        <v>4764</v>
      </c>
      <c r="N1932" s="767" t="s">
        <v>4765</v>
      </c>
      <c r="O1932" s="799"/>
      <c r="P1932" s="222">
        <v>1</v>
      </c>
      <c r="Q1932" s="1147">
        <v>0.05</v>
      </c>
      <c r="R1932" s="222"/>
      <c r="S1932" s="216">
        <f t="shared" si="60"/>
        <v>0</v>
      </c>
      <c r="T1932" s="1797">
        <f t="shared" si="61"/>
        <v>0</v>
      </c>
      <c r="U1932" s="803" t="s">
        <v>34</v>
      </c>
      <c r="V1932" s="1799"/>
      <c r="W1932" s="1543"/>
    </row>
    <row r="1933" spans="1:23" ht="22.95" customHeight="1" x14ac:dyDescent="0.4">
      <c r="A1933" s="788">
        <v>1932</v>
      </c>
      <c r="B1933" s="1543" t="s">
        <v>2616</v>
      </c>
      <c r="C1933" s="1543" t="s">
        <v>24</v>
      </c>
      <c r="D1933" s="1792">
        <v>6585</v>
      </c>
      <c r="E1933" s="199" t="s">
        <v>4757</v>
      </c>
      <c r="F1933" s="199" t="s">
        <v>4758</v>
      </c>
      <c r="G1933" s="199">
        <v>3192</v>
      </c>
      <c r="H1933" s="199" t="s">
        <v>2619</v>
      </c>
      <c r="I1933" s="199" t="s">
        <v>4759</v>
      </c>
      <c r="J1933" s="1795" t="s">
        <v>111</v>
      </c>
      <c r="K1933" s="649" t="s">
        <v>110</v>
      </c>
      <c r="L1933" s="1796">
        <v>0.4</v>
      </c>
      <c r="M1933" s="829" t="s">
        <v>4766</v>
      </c>
      <c r="N1933" s="767" t="s">
        <v>4767</v>
      </c>
      <c r="O1933" s="799"/>
      <c r="P1933" s="222">
        <v>1</v>
      </c>
      <c r="Q1933" s="1147">
        <v>0.02</v>
      </c>
      <c r="R1933" s="222"/>
      <c r="S1933" s="216">
        <f t="shared" si="60"/>
        <v>0</v>
      </c>
      <c r="T1933" s="1797">
        <f t="shared" si="61"/>
        <v>0</v>
      </c>
      <c r="U1933" s="803" t="s">
        <v>34</v>
      </c>
      <c r="V1933" s="1799"/>
      <c r="W1933" s="1543"/>
    </row>
    <row r="1934" spans="1:23" ht="22.95" customHeight="1" x14ac:dyDescent="0.4">
      <c r="A1934" s="788">
        <v>1933</v>
      </c>
      <c r="B1934" s="1543" t="s">
        <v>2616</v>
      </c>
      <c r="C1934" s="1543" t="s">
        <v>24</v>
      </c>
      <c r="D1934" s="1792">
        <v>6585</v>
      </c>
      <c r="E1934" s="199" t="s">
        <v>4757</v>
      </c>
      <c r="F1934" s="199" t="s">
        <v>4758</v>
      </c>
      <c r="G1934" s="199">
        <v>3192</v>
      </c>
      <c r="H1934" s="199" t="s">
        <v>2619</v>
      </c>
      <c r="I1934" s="199" t="s">
        <v>4759</v>
      </c>
      <c r="J1934" s="1795" t="s">
        <v>111</v>
      </c>
      <c r="K1934" s="649" t="s">
        <v>110</v>
      </c>
      <c r="L1934" s="1796">
        <v>0.4</v>
      </c>
      <c r="M1934" s="829" t="s">
        <v>4768</v>
      </c>
      <c r="N1934" s="767" t="s">
        <v>4769</v>
      </c>
      <c r="O1934" s="799"/>
      <c r="P1934" s="222">
        <v>1</v>
      </c>
      <c r="Q1934" s="1147">
        <v>0.05</v>
      </c>
      <c r="R1934" s="222"/>
      <c r="S1934" s="216">
        <f t="shared" si="60"/>
        <v>0</v>
      </c>
      <c r="T1934" s="1797">
        <f t="shared" si="61"/>
        <v>0</v>
      </c>
      <c r="U1934" s="803" t="s">
        <v>34</v>
      </c>
      <c r="V1934" s="1799"/>
      <c r="W1934" s="1543"/>
    </row>
    <row r="1935" spans="1:23" ht="22.95" customHeight="1" x14ac:dyDescent="0.4">
      <c r="A1935" s="788">
        <v>1934</v>
      </c>
      <c r="B1935" s="1543" t="s">
        <v>2616</v>
      </c>
      <c r="C1935" s="1543" t="s">
        <v>24</v>
      </c>
      <c r="D1935" s="1792">
        <v>6585</v>
      </c>
      <c r="E1935" s="199" t="s">
        <v>4757</v>
      </c>
      <c r="F1935" s="199" t="s">
        <v>4758</v>
      </c>
      <c r="G1935" s="199">
        <v>3192</v>
      </c>
      <c r="H1935" s="199" t="s">
        <v>2619</v>
      </c>
      <c r="I1935" s="199" t="s">
        <v>4759</v>
      </c>
      <c r="J1935" s="1795" t="s">
        <v>111</v>
      </c>
      <c r="K1935" s="649" t="s">
        <v>110</v>
      </c>
      <c r="L1935" s="1796">
        <v>0.4</v>
      </c>
      <c r="M1935" s="829" t="s">
        <v>4770</v>
      </c>
      <c r="N1935" s="1309" t="s">
        <v>4771</v>
      </c>
      <c r="O1935" s="799" t="s">
        <v>4772</v>
      </c>
      <c r="P1935" s="222">
        <v>1</v>
      </c>
      <c r="Q1935" s="1147">
        <v>0.05</v>
      </c>
      <c r="R1935" s="222"/>
      <c r="S1935" s="216">
        <f t="shared" si="60"/>
        <v>0</v>
      </c>
      <c r="T1935" s="1797">
        <f t="shared" si="61"/>
        <v>0</v>
      </c>
      <c r="U1935" s="803" t="s">
        <v>34</v>
      </c>
      <c r="V1935" s="1799"/>
      <c r="W1935" s="1543"/>
    </row>
    <row r="1936" spans="1:23" ht="22.95" customHeight="1" x14ac:dyDescent="0.4">
      <c r="A1936" s="788">
        <v>1935</v>
      </c>
      <c r="B1936" s="1543" t="s">
        <v>2616</v>
      </c>
      <c r="C1936" s="1543" t="s">
        <v>24</v>
      </c>
      <c r="D1936" s="1792">
        <v>6585</v>
      </c>
      <c r="E1936" s="199" t="s">
        <v>4757</v>
      </c>
      <c r="F1936" s="199" t="s">
        <v>4758</v>
      </c>
      <c r="G1936" s="199">
        <v>3192</v>
      </c>
      <c r="H1936" s="199" t="s">
        <v>2619</v>
      </c>
      <c r="I1936" s="199" t="s">
        <v>4759</v>
      </c>
      <c r="J1936" s="1795" t="s">
        <v>111</v>
      </c>
      <c r="K1936" s="649" t="s">
        <v>110</v>
      </c>
      <c r="L1936" s="1796">
        <v>0.4</v>
      </c>
      <c r="M1936" s="829" t="s">
        <v>4773</v>
      </c>
      <c r="N1936" s="1309" t="s">
        <v>4774</v>
      </c>
      <c r="O1936" s="799" t="s">
        <v>4775</v>
      </c>
      <c r="P1936" s="222">
        <v>1</v>
      </c>
      <c r="Q1936" s="1147">
        <v>0.05</v>
      </c>
      <c r="R1936" s="222"/>
      <c r="S1936" s="216">
        <f t="shared" si="60"/>
        <v>0</v>
      </c>
      <c r="T1936" s="1797">
        <f t="shared" si="61"/>
        <v>0</v>
      </c>
      <c r="U1936" s="803" t="s">
        <v>34</v>
      </c>
      <c r="V1936" s="1799"/>
      <c r="W1936" s="1543"/>
    </row>
    <row r="1937" spans="1:23" ht="22.95" customHeight="1" x14ac:dyDescent="0.4">
      <c r="A1937" s="788">
        <v>1936</v>
      </c>
      <c r="B1937" s="1543" t="s">
        <v>2616</v>
      </c>
      <c r="C1937" s="1543" t="s">
        <v>24</v>
      </c>
      <c r="D1937" s="1792">
        <v>6585</v>
      </c>
      <c r="E1937" s="199" t="s">
        <v>4757</v>
      </c>
      <c r="F1937" s="199" t="s">
        <v>4758</v>
      </c>
      <c r="G1937" s="199">
        <v>3192</v>
      </c>
      <c r="H1937" s="199" t="s">
        <v>2619</v>
      </c>
      <c r="I1937" s="199" t="s">
        <v>4759</v>
      </c>
      <c r="J1937" s="1795" t="s">
        <v>111</v>
      </c>
      <c r="K1937" s="649" t="s">
        <v>110</v>
      </c>
      <c r="L1937" s="1796">
        <v>0.4</v>
      </c>
      <c r="M1937" s="829" t="s">
        <v>4776</v>
      </c>
      <c r="N1937" s="1309" t="s">
        <v>4777</v>
      </c>
      <c r="O1937" s="799" t="s">
        <v>4778</v>
      </c>
      <c r="P1937" s="222">
        <v>1</v>
      </c>
      <c r="Q1937" s="1147">
        <v>0.05</v>
      </c>
      <c r="R1937" s="222"/>
      <c r="S1937" s="216">
        <f t="shared" si="60"/>
        <v>0</v>
      </c>
      <c r="T1937" s="1797">
        <f t="shared" si="61"/>
        <v>0</v>
      </c>
      <c r="U1937" s="803" t="s">
        <v>34</v>
      </c>
      <c r="V1937" s="1799"/>
      <c r="W1937" s="1543"/>
    </row>
    <row r="1938" spans="1:23" ht="22.95" customHeight="1" x14ac:dyDescent="0.4">
      <c r="A1938" s="788">
        <v>1937</v>
      </c>
      <c r="B1938" s="1543" t="s">
        <v>2616</v>
      </c>
      <c r="C1938" s="1543" t="s">
        <v>24</v>
      </c>
      <c r="D1938" s="1792">
        <v>6585</v>
      </c>
      <c r="E1938" s="199" t="s">
        <v>4757</v>
      </c>
      <c r="F1938" s="199" t="s">
        <v>4758</v>
      </c>
      <c r="G1938" s="199">
        <v>3192</v>
      </c>
      <c r="H1938" s="199" t="s">
        <v>2619</v>
      </c>
      <c r="I1938" s="199" t="s">
        <v>4759</v>
      </c>
      <c r="J1938" s="1795" t="s">
        <v>111</v>
      </c>
      <c r="K1938" s="649" t="s">
        <v>110</v>
      </c>
      <c r="L1938" s="1796">
        <v>0.4</v>
      </c>
      <c r="M1938" s="829" t="s">
        <v>4779</v>
      </c>
      <c r="N1938" s="1309" t="s">
        <v>4780</v>
      </c>
      <c r="O1938" s="799" t="s">
        <v>4781</v>
      </c>
      <c r="P1938" s="222">
        <v>1</v>
      </c>
      <c r="Q1938" s="1147">
        <v>0.25</v>
      </c>
      <c r="R1938" s="222"/>
      <c r="S1938" s="216">
        <f t="shared" si="60"/>
        <v>0</v>
      </c>
      <c r="T1938" s="1797">
        <f t="shared" si="61"/>
        <v>0</v>
      </c>
      <c r="U1938" s="803" t="s">
        <v>34</v>
      </c>
      <c r="V1938" s="1799"/>
      <c r="W1938" s="1543"/>
    </row>
    <row r="1939" spans="1:23" ht="22.95" customHeight="1" x14ac:dyDescent="0.4">
      <c r="A1939" s="788">
        <v>1938</v>
      </c>
      <c r="B1939" s="1543" t="s">
        <v>2616</v>
      </c>
      <c r="C1939" s="1543" t="s">
        <v>24</v>
      </c>
      <c r="D1939" s="1792">
        <v>6585</v>
      </c>
      <c r="E1939" s="199" t="s">
        <v>4757</v>
      </c>
      <c r="F1939" s="199" t="s">
        <v>4758</v>
      </c>
      <c r="G1939" s="199">
        <v>3192</v>
      </c>
      <c r="H1939" s="199" t="s">
        <v>2619</v>
      </c>
      <c r="I1939" s="199" t="s">
        <v>4759</v>
      </c>
      <c r="J1939" s="1795" t="s">
        <v>111</v>
      </c>
      <c r="K1939" s="649" t="s">
        <v>110</v>
      </c>
      <c r="L1939" s="1796">
        <v>0.4</v>
      </c>
      <c r="M1939" s="829" t="s">
        <v>4782</v>
      </c>
      <c r="N1939" s="1309" t="s">
        <v>4783</v>
      </c>
      <c r="O1939" s="799" t="s">
        <v>4784</v>
      </c>
      <c r="P1939" s="222">
        <v>1</v>
      </c>
      <c r="Q1939" s="1147">
        <v>0.05</v>
      </c>
      <c r="R1939" s="222"/>
      <c r="S1939" s="216">
        <f t="shared" si="60"/>
        <v>0</v>
      </c>
      <c r="T1939" s="1797">
        <f t="shared" si="61"/>
        <v>0</v>
      </c>
      <c r="U1939" s="803" t="s">
        <v>34</v>
      </c>
      <c r="V1939" s="1799"/>
      <c r="W1939" s="1543"/>
    </row>
    <row r="1940" spans="1:23" ht="22.95" customHeight="1" x14ac:dyDescent="0.4">
      <c r="A1940" s="788">
        <v>1939</v>
      </c>
      <c r="B1940" s="1543" t="s">
        <v>2616</v>
      </c>
      <c r="C1940" s="1543" t="s">
        <v>24</v>
      </c>
      <c r="D1940" s="1792">
        <v>6585</v>
      </c>
      <c r="E1940" s="199" t="s">
        <v>4757</v>
      </c>
      <c r="F1940" s="199" t="s">
        <v>4758</v>
      </c>
      <c r="G1940" s="199">
        <v>3192</v>
      </c>
      <c r="H1940" s="199" t="s">
        <v>2619</v>
      </c>
      <c r="I1940" s="199" t="s">
        <v>4759</v>
      </c>
      <c r="J1940" s="1795" t="s">
        <v>111</v>
      </c>
      <c r="K1940" s="649" t="s">
        <v>110</v>
      </c>
      <c r="L1940" s="1796">
        <v>0.4</v>
      </c>
      <c r="M1940" s="829" t="s">
        <v>4785</v>
      </c>
      <c r="N1940" s="1309" t="s">
        <v>4786</v>
      </c>
      <c r="O1940" s="799" t="s">
        <v>4787</v>
      </c>
      <c r="P1940" s="222">
        <v>1</v>
      </c>
      <c r="Q1940" s="1147">
        <v>0.05</v>
      </c>
      <c r="R1940" s="222"/>
      <c r="S1940" s="216">
        <f t="shared" si="60"/>
        <v>0</v>
      </c>
      <c r="T1940" s="1797">
        <f t="shared" si="61"/>
        <v>0</v>
      </c>
      <c r="U1940" s="803" t="s">
        <v>34</v>
      </c>
      <c r="V1940" s="1799"/>
      <c r="W1940" s="1543"/>
    </row>
    <row r="1941" spans="1:23" ht="22.95" customHeight="1" x14ac:dyDescent="0.4">
      <c r="A1941" s="788">
        <v>1940</v>
      </c>
      <c r="B1941" s="1543" t="s">
        <v>2616</v>
      </c>
      <c r="C1941" s="1543" t="s">
        <v>24</v>
      </c>
      <c r="D1941" s="1792">
        <v>6585</v>
      </c>
      <c r="E1941" s="199" t="s">
        <v>4757</v>
      </c>
      <c r="F1941" s="199" t="s">
        <v>4758</v>
      </c>
      <c r="G1941" s="199">
        <v>3192</v>
      </c>
      <c r="H1941" s="199" t="s">
        <v>2619</v>
      </c>
      <c r="I1941" s="199" t="s">
        <v>4759</v>
      </c>
      <c r="J1941" s="1795" t="s">
        <v>111</v>
      </c>
      <c r="K1941" s="649" t="s">
        <v>110</v>
      </c>
      <c r="L1941" s="1796">
        <v>0.4</v>
      </c>
      <c r="M1941" s="829" t="s">
        <v>4788</v>
      </c>
      <c r="N1941" s="1309" t="s">
        <v>4789</v>
      </c>
      <c r="O1941" s="799" t="s">
        <v>4790</v>
      </c>
      <c r="P1941" s="222">
        <v>1</v>
      </c>
      <c r="Q1941" s="1147">
        <v>0.1</v>
      </c>
      <c r="R1941" s="222"/>
      <c r="S1941" s="216">
        <f t="shared" si="60"/>
        <v>0</v>
      </c>
      <c r="T1941" s="1797">
        <f t="shared" si="61"/>
        <v>0</v>
      </c>
      <c r="U1941" s="803" t="s">
        <v>34</v>
      </c>
      <c r="V1941" s="1799"/>
      <c r="W1941" s="1543"/>
    </row>
    <row r="1942" spans="1:23" ht="22.95" customHeight="1" x14ac:dyDescent="0.4">
      <c r="A1942" s="788">
        <v>1941</v>
      </c>
      <c r="B1942" s="1543" t="s">
        <v>2616</v>
      </c>
      <c r="C1942" s="1543" t="s">
        <v>24</v>
      </c>
      <c r="D1942" s="1792">
        <v>6585</v>
      </c>
      <c r="E1942" s="199" t="s">
        <v>4757</v>
      </c>
      <c r="F1942" s="199" t="s">
        <v>4758</v>
      </c>
      <c r="G1942" s="199">
        <v>3192</v>
      </c>
      <c r="H1942" s="199" t="s">
        <v>2619</v>
      </c>
      <c r="I1942" s="199" t="s">
        <v>4759</v>
      </c>
      <c r="J1942" s="1795" t="s">
        <v>111</v>
      </c>
      <c r="K1942" s="649" t="s">
        <v>110</v>
      </c>
      <c r="L1942" s="1796">
        <v>0.4</v>
      </c>
      <c r="M1942" s="829" t="s">
        <v>4791</v>
      </c>
      <c r="N1942" s="1309" t="s">
        <v>4792</v>
      </c>
      <c r="O1942" s="799" t="s">
        <v>4793</v>
      </c>
      <c r="P1942" s="222">
        <v>1</v>
      </c>
      <c r="Q1942" s="1147">
        <v>0.01</v>
      </c>
      <c r="R1942" s="222"/>
      <c r="S1942" s="216">
        <f t="shared" si="60"/>
        <v>0</v>
      </c>
      <c r="T1942" s="1797">
        <f t="shared" si="61"/>
        <v>0</v>
      </c>
      <c r="U1942" s="803" t="s">
        <v>34</v>
      </c>
      <c r="V1942" s="1799"/>
      <c r="W1942" s="1543"/>
    </row>
    <row r="1943" spans="1:23" ht="22.95" customHeight="1" x14ac:dyDescent="0.4">
      <c r="A1943" s="788">
        <v>1942</v>
      </c>
      <c r="B1943" s="1543" t="s">
        <v>2616</v>
      </c>
      <c r="C1943" s="1543" t="s">
        <v>24</v>
      </c>
      <c r="D1943" s="1792">
        <v>6585</v>
      </c>
      <c r="E1943" s="199" t="s">
        <v>4757</v>
      </c>
      <c r="F1943" s="199" t="s">
        <v>4758</v>
      </c>
      <c r="G1943" s="199">
        <v>3192</v>
      </c>
      <c r="H1943" s="199" t="s">
        <v>2619</v>
      </c>
      <c r="I1943" s="199" t="s">
        <v>4759</v>
      </c>
      <c r="J1943" s="1795" t="s">
        <v>111</v>
      </c>
      <c r="K1943" s="649" t="s">
        <v>110</v>
      </c>
      <c r="L1943" s="1796">
        <v>0.4</v>
      </c>
      <c r="M1943" s="829" t="s">
        <v>4794</v>
      </c>
      <c r="N1943" s="1309" t="s">
        <v>4795</v>
      </c>
      <c r="O1943" s="799" t="s">
        <v>4793</v>
      </c>
      <c r="P1943" s="222">
        <v>1</v>
      </c>
      <c r="Q1943" s="1147">
        <v>0.01</v>
      </c>
      <c r="R1943" s="222"/>
      <c r="S1943" s="216">
        <f t="shared" si="60"/>
        <v>0</v>
      </c>
      <c r="T1943" s="1797">
        <f t="shared" si="61"/>
        <v>0</v>
      </c>
      <c r="U1943" s="803" t="s">
        <v>34</v>
      </c>
      <c r="V1943" s="1799"/>
      <c r="W1943" s="1543"/>
    </row>
    <row r="1944" spans="1:23" ht="22.95" customHeight="1" x14ac:dyDescent="0.4">
      <c r="A1944" s="788">
        <v>1943</v>
      </c>
      <c r="B1944" s="1543" t="s">
        <v>2616</v>
      </c>
      <c r="C1944" s="1543" t="s">
        <v>24</v>
      </c>
      <c r="D1944" s="1792">
        <v>6585</v>
      </c>
      <c r="E1944" s="199" t="s">
        <v>4757</v>
      </c>
      <c r="F1944" s="199" t="s">
        <v>4758</v>
      </c>
      <c r="G1944" s="199">
        <v>3192</v>
      </c>
      <c r="H1944" s="199" t="s">
        <v>2619</v>
      </c>
      <c r="I1944" s="199" t="s">
        <v>4759</v>
      </c>
      <c r="J1944" s="1795" t="s">
        <v>111</v>
      </c>
      <c r="K1944" s="649" t="s">
        <v>110</v>
      </c>
      <c r="L1944" s="1796">
        <v>0.4</v>
      </c>
      <c r="M1944" s="829" t="s">
        <v>4796</v>
      </c>
      <c r="N1944" s="1309" t="s">
        <v>4797</v>
      </c>
      <c r="O1944" s="799" t="s">
        <v>4793</v>
      </c>
      <c r="P1944" s="222">
        <v>1</v>
      </c>
      <c r="Q1944" s="1147">
        <v>0.01</v>
      </c>
      <c r="R1944" s="222"/>
      <c r="S1944" s="216">
        <f t="shared" si="60"/>
        <v>0</v>
      </c>
      <c r="T1944" s="1797">
        <f t="shared" si="61"/>
        <v>0</v>
      </c>
      <c r="U1944" s="803" t="s">
        <v>34</v>
      </c>
      <c r="V1944" s="1799"/>
      <c r="W1944" s="1543"/>
    </row>
    <row r="1945" spans="1:23" ht="22.95" customHeight="1" x14ac:dyDescent="0.4">
      <c r="A1945" s="788">
        <v>1944</v>
      </c>
      <c r="B1945" s="1543" t="s">
        <v>2616</v>
      </c>
      <c r="C1945" s="1543" t="s">
        <v>24</v>
      </c>
      <c r="D1945" s="1792">
        <v>6585</v>
      </c>
      <c r="E1945" s="199" t="s">
        <v>4757</v>
      </c>
      <c r="F1945" s="199" t="s">
        <v>4758</v>
      </c>
      <c r="G1945" s="199">
        <v>3192</v>
      </c>
      <c r="H1945" s="199" t="s">
        <v>2619</v>
      </c>
      <c r="I1945" s="199" t="s">
        <v>4759</v>
      </c>
      <c r="J1945" s="1795" t="s">
        <v>111</v>
      </c>
      <c r="K1945" s="649" t="s">
        <v>110</v>
      </c>
      <c r="L1945" s="1796">
        <v>0.4</v>
      </c>
      <c r="M1945" s="829" t="s">
        <v>4798</v>
      </c>
      <c r="N1945" s="1309" t="s">
        <v>4799</v>
      </c>
      <c r="O1945" s="799" t="s">
        <v>4800</v>
      </c>
      <c r="P1945" s="222">
        <v>0.8</v>
      </c>
      <c r="Q1945" s="1147">
        <v>0.05</v>
      </c>
      <c r="R1945" s="222"/>
      <c r="S1945" s="216">
        <f t="shared" si="60"/>
        <v>0</v>
      </c>
      <c r="T1945" s="1797">
        <f t="shared" si="61"/>
        <v>0</v>
      </c>
      <c r="U1945" s="803" t="s">
        <v>34</v>
      </c>
      <c r="V1945" s="1799"/>
      <c r="W1945" s="1543"/>
    </row>
    <row r="1946" spans="1:23" ht="22.95" customHeight="1" x14ac:dyDescent="0.4">
      <c r="A1946" s="788">
        <v>1945</v>
      </c>
      <c r="B1946" s="1543" t="s">
        <v>2616</v>
      </c>
      <c r="C1946" s="1543" t="s">
        <v>24</v>
      </c>
      <c r="D1946" s="1792">
        <v>6585</v>
      </c>
      <c r="E1946" s="199" t="s">
        <v>4757</v>
      </c>
      <c r="F1946" s="199" t="s">
        <v>4758</v>
      </c>
      <c r="G1946" s="199">
        <v>3192</v>
      </c>
      <c r="H1946" s="199" t="s">
        <v>2619</v>
      </c>
      <c r="I1946" s="199" t="s">
        <v>4759</v>
      </c>
      <c r="J1946" s="1795" t="s">
        <v>111</v>
      </c>
      <c r="K1946" s="649" t="s">
        <v>110</v>
      </c>
      <c r="L1946" s="1796">
        <v>0.4</v>
      </c>
      <c r="M1946" s="829" t="s">
        <v>4801</v>
      </c>
      <c r="N1946" s="1309" t="s">
        <v>4802</v>
      </c>
      <c r="O1946" s="799" t="s">
        <v>4803</v>
      </c>
      <c r="P1946" s="222">
        <v>1</v>
      </c>
      <c r="Q1946" s="1147">
        <v>0.05</v>
      </c>
      <c r="R1946" s="222"/>
      <c r="S1946" s="216">
        <f t="shared" si="60"/>
        <v>0</v>
      </c>
      <c r="T1946" s="1797">
        <f t="shared" si="61"/>
        <v>0</v>
      </c>
      <c r="U1946" s="803" t="s">
        <v>34</v>
      </c>
      <c r="V1946" s="1799"/>
      <c r="W1946" s="1543"/>
    </row>
    <row r="1947" spans="1:23" ht="22.95" customHeight="1" x14ac:dyDescent="0.4">
      <c r="A1947" s="788">
        <v>1946</v>
      </c>
      <c r="B1947" s="1543" t="s">
        <v>2616</v>
      </c>
      <c r="C1947" s="1543" t="s">
        <v>24</v>
      </c>
      <c r="D1947" s="1792">
        <v>6585</v>
      </c>
      <c r="E1947" s="199" t="s">
        <v>4757</v>
      </c>
      <c r="F1947" s="199" t="s">
        <v>4758</v>
      </c>
      <c r="G1947" s="199">
        <v>3192</v>
      </c>
      <c r="H1947" s="199" t="s">
        <v>2619</v>
      </c>
      <c r="I1947" s="199" t="s">
        <v>4759</v>
      </c>
      <c r="J1947" s="1795" t="s">
        <v>111</v>
      </c>
      <c r="K1947" s="649" t="s">
        <v>110</v>
      </c>
      <c r="L1947" s="1796">
        <v>0.4</v>
      </c>
      <c r="M1947" s="829" t="s">
        <v>4804</v>
      </c>
      <c r="N1947" s="1309" t="s">
        <v>4805</v>
      </c>
      <c r="O1947" s="799" t="s">
        <v>4806</v>
      </c>
      <c r="P1947" s="222">
        <v>1</v>
      </c>
      <c r="Q1947" s="1147">
        <v>0.05</v>
      </c>
      <c r="R1947" s="222"/>
      <c r="S1947" s="216">
        <f t="shared" si="60"/>
        <v>0</v>
      </c>
      <c r="T1947" s="1797">
        <f t="shared" si="61"/>
        <v>0</v>
      </c>
      <c r="U1947" s="803" t="s">
        <v>34</v>
      </c>
      <c r="V1947" s="1799"/>
      <c r="W1947" s="1543"/>
    </row>
    <row r="1948" spans="1:23" ht="22.95" customHeight="1" x14ac:dyDescent="0.4">
      <c r="A1948" s="788">
        <v>1947</v>
      </c>
      <c r="B1948" s="243" t="s">
        <v>2616</v>
      </c>
      <c r="C1948" s="187" t="s">
        <v>24</v>
      </c>
      <c r="D1948" s="1200">
        <v>5590</v>
      </c>
      <c r="E1948" s="653" t="s">
        <v>4807</v>
      </c>
      <c r="F1948" s="653" t="s">
        <v>4808</v>
      </c>
      <c r="G1948" s="790">
        <v>3252</v>
      </c>
      <c r="H1948" s="1800" t="s">
        <v>4809</v>
      </c>
      <c r="I1948" s="187" t="s">
        <v>4759</v>
      </c>
      <c r="J1948" s="653" t="s">
        <v>111</v>
      </c>
      <c r="K1948" s="653" t="s">
        <v>110</v>
      </c>
      <c r="L1948" s="1790">
        <v>1</v>
      </c>
      <c r="M1948" s="644" t="s">
        <v>4810</v>
      </c>
      <c r="N1948" s="644"/>
      <c r="O1948" s="644" t="s">
        <v>4811</v>
      </c>
      <c r="P1948" s="644">
        <v>1</v>
      </c>
      <c r="Q1948" s="1790">
        <v>0.2</v>
      </c>
      <c r="R1948" s="644"/>
      <c r="S1948" s="195">
        <f t="shared" si="60"/>
        <v>0</v>
      </c>
      <c r="T1948" s="1354">
        <f t="shared" si="61"/>
        <v>0</v>
      </c>
      <c r="U1948" s="794" t="s">
        <v>34</v>
      </c>
      <c r="V1948" s="1214">
        <f>SUM(T1948:T1953)%</f>
        <v>0</v>
      </c>
      <c r="W1948" s="644"/>
    </row>
    <row r="1949" spans="1:23" ht="22.95" customHeight="1" x14ac:dyDescent="0.4">
      <c r="A1949" s="788">
        <v>1948</v>
      </c>
      <c r="B1949" s="253" t="s">
        <v>2616</v>
      </c>
      <c r="C1949" s="246" t="s">
        <v>24</v>
      </c>
      <c r="D1949" s="1306">
        <v>5590</v>
      </c>
      <c r="E1949" s="648" t="s">
        <v>4807</v>
      </c>
      <c r="F1949" s="648" t="s">
        <v>4808</v>
      </c>
      <c r="G1949" s="1609">
        <v>3252</v>
      </c>
      <c r="H1949" s="1801" t="s">
        <v>4809</v>
      </c>
      <c r="I1949" s="246" t="s">
        <v>4759</v>
      </c>
      <c r="J1949" s="648" t="s">
        <v>111</v>
      </c>
      <c r="K1949" s="648" t="s">
        <v>110</v>
      </c>
      <c r="L1949" s="1802">
        <v>1</v>
      </c>
      <c r="M1949" s="1010" t="s">
        <v>4812</v>
      </c>
      <c r="N1949" s="1010"/>
      <c r="O1949" s="1010" t="s">
        <v>4813</v>
      </c>
      <c r="P1949" s="874">
        <v>0.95</v>
      </c>
      <c r="Q1949" s="1802">
        <v>0.2</v>
      </c>
      <c r="R1949" s="874"/>
      <c r="S1949" s="874">
        <f t="shared" si="60"/>
        <v>0</v>
      </c>
      <c r="T1949" s="1803">
        <f t="shared" si="61"/>
        <v>0</v>
      </c>
      <c r="U1949" s="1012" t="s">
        <v>34</v>
      </c>
      <c r="V1949" s="1804"/>
      <c r="W1949" s="1010"/>
    </row>
    <row r="1950" spans="1:23" ht="22.95" customHeight="1" x14ac:dyDescent="0.4">
      <c r="A1950" s="788">
        <v>1949</v>
      </c>
      <c r="B1950" s="253" t="s">
        <v>2616</v>
      </c>
      <c r="C1950" s="246" t="s">
        <v>24</v>
      </c>
      <c r="D1950" s="1306">
        <v>5590</v>
      </c>
      <c r="E1950" s="648" t="s">
        <v>4807</v>
      </c>
      <c r="F1950" s="648" t="s">
        <v>4808</v>
      </c>
      <c r="G1950" s="1609">
        <v>3252</v>
      </c>
      <c r="H1950" s="1801" t="s">
        <v>4809</v>
      </c>
      <c r="I1950" s="246" t="s">
        <v>4759</v>
      </c>
      <c r="J1950" s="648" t="s">
        <v>111</v>
      </c>
      <c r="K1950" s="648" t="s">
        <v>110</v>
      </c>
      <c r="L1950" s="1802">
        <v>1</v>
      </c>
      <c r="M1950" s="1010" t="s">
        <v>4814</v>
      </c>
      <c r="N1950" s="1010"/>
      <c r="O1950" s="1010" t="s">
        <v>4815</v>
      </c>
      <c r="P1950" s="874">
        <v>1</v>
      </c>
      <c r="Q1950" s="1802">
        <v>0.2</v>
      </c>
      <c r="R1950" s="874"/>
      <c r="S1950" s="874">
        <f t="shared" si="60"/>
        <v>0</v>
      </c>
      <c r="T1950" s="1803">
        <f t="shared" si="61"/>
        <v>0</v>
      </c>
      <c r="U1950" s="1012" t="s">
        <v>34</v>
      </c>
      <c r="V1950" s="1804"/>
      <c r="W1950" s="1010"/>
    </row>
    <row r="1951" spans="1:23" ht="22.95" customHeight="1" x14ac:dyDescent="0.4">
      <c r="A1951" s="788">
        <v>1950</v>
      </c>
      <c r="B1951" s="210" t="s">
        <v>2616</v>
      </c>
      <c r="C1951" s="199" t="s">
        <v>24</v>
      </c>
      <c r="D1951" s="1082">
        <v>5590</v>
      </c>
      <c r="E1951" s="649" t="s">
        <v>4807</v>
      </c>
      <c r="F1951" s="649" t="s">
        <v>4808</v>
      </c>
      <c r="G1951" s="798">
        <v>3252</v>
      </c>
      <c r="H1951" s="1805" t="s">
        <v>4809</v>
      </c>
      <c r="I1951" s="199" t="s">
        <v>4759</v>
      </c>
      <c r="J1951" s="649" t="s">
        <v>111</v>
      </c>
      <c r="K1951" s="649" t="s">
        <v>110</v>
      </c>
      <c r="L1951" s="1806">
        <v>1</v>
      </c>
      <c r="M1951" s="1655" t="s">
        <v>4816</v>
      </c>
      <c r="N1951" s="1655"/>
      <c r="O1951" s="1655" t="s">
        <v>4817</v>
      </c>
      <c r="P1951" s="874">
        <v>1</v>
      </c>
      <c r="Q1951" s="1802">
        <v>0.15</v>
      </c>
      <c r="R1951" s="874"/>
      <c r="S1951" s="874">
        <f t="shared" si="60"/>
        <v>0</v>
      </c>
      <c r="T1951" s="1803">
        <f t="shared" si="61"/>
        <v>0</v>
      </c>
      <c r="U1951" s="803" t="s">
        <v>34</v>
      </c>
      <c r="V1951" s="1807"/>
      <c r="W1951" s="1655"/>
    </row>
    <row r="1952" spans="1:23" ht="22.95" customHeight="1" x14ac:dyDescent="0.4">
      <c r="A1952" s="788">
        <v>1951</v>
      </c>
      <c r="B1952" s="210" t="s">
        <v>2616</v>
      </c>
      <c r="C1952" s="199" t="s">
        <v>24</v>
      </c>
      <c r="D1952" s="1082">
        <v>5590</v>
      </c>
      <c r="E1952" s="649" t="s">
        <v>4807</v>
      </c>
      <c r="F1952" s="649" t="s">
        <v>4808</v>
      </c>
      <c r="G1952" s="798">
        <v>3252</v>
      </c>
      <c r="H1952" s="1805" t="s">
        <v>4809</v>
      </c>
      <c r="I1952" s="199" t="s">
        <v>4759</v>
      </c>
      <c r="J1952" s="649" t="s">
        <v>111</v>
      </c>
      <c r="K1952" s="649" t="s">
        <v>110</v>
      </c>
      <c r="L1952" s="1806">
        <v>1</v>
      </c>
      <c r="M1952" s="1655" t="s">
        <v>4818</v>
      </c>
      <c r="N1952" s="1655"/>
      <c r="O1952" s="1655" t="s">
        <v>4819</v>
      </c>
      <c r="P1952" s="874">
        <v>1</v>
      </c>
      <c r="Q1952" s="1802">
        <v>0.15</v>
      </c>
      <c r="R1952" s="874"/>
      <c r="S1952" s="874">
        <f t="shared" si="60"/>
        <v>0</v>
      </c>
      <c r="T1952" s="1803">
        <f t="shared" si="61"/>
        <v>0</v>
      </c>
      <c r="U1952" s="803" t="s">
        <v>34</v>
      </c>
      <c r="V1952" s="1807"/>
      <c r="W1952" s="1655"/>
    </row>
    <row r="1953" spans="1:23" ht="22.95" customHeight="1" x14ac:dyDescent="0.4">
      <c r="A1953" s="788">
        <v>1952</v>
      </c>
      <c r="B1953" s="210" t="s">
        <v>2616</v>
      </c>
      <c r="C1953" s="199" t="s">
        <v>24</v>
      </c>
      <c r="D1953" s="1082">
        <v>5590</v>
      </c>
      <c r="E1953" s="649" t="s">
        <v>4807</v>
      </c>
      <c r="F1953" s="649" t="s">
        <v>4808</v>
      </c>
      <c r="G1953" s="798">
        <v>3252</v>
      </c>
      <c r="H1953" s="1805" t="s">
        <v>4809</v>
      </c>
      <c r="I1953" s="199" t="s">
        <v>4759</v>
      </c>
      <c r="J1953" s="649" t="s">
        <v>111</v>
      </c>
      <c r="K1953" s="649" t="s">
        <v>110</v>
      </c>
      <c r="L1953" s="1806">
        <v>1</v>
      </c>
      <c r="M1953" s="1655" t="s">
        <v>4820</v>
      </c>
      <c r="N1953" s="1655"/>
      <c r="O1953" s="1655" t="s">
        <v>4821</v>
      </c>
      <c r="P1953" s="874">
        <v>1</v>
      </c>
      <c r="Q1953" s="1802">
        <v>0.1</v>
      </c>
      <c r="R1953" s="874"/>
      <c r="S1953" s="874">
        <f t="shared" si="60"/>
        <v>0</v>
      </c>
      <c r="T1953" s="1803">
        <f t="shared" si="61"/>
        <v>0</v>
      </c>
      <c r="U1953" s="803" t="s">
        <v>34</v>
      </c>
      <c r="V1953" s="1807"/>
      <c r="W1953" s="1655"/>
    </row>
    <row r="1954" spans="1:23" ht="22.95" customHeight="1" x14ac:dyDescent="0.4">
      <c r="A1954" s="788">
        <v>1953</v>
      </c>
      <c r="B1954" s="243" t="s">
        <v>2616</v>
      </c>
      <c r="C1954" s="187" t="s">
        <v>24</v>
      </c>
      <c r="D1954" s="1200">
        <v>3366</v>
      </c>
      <c r="E1954" s="653" t="s">
        <v>4822</v>
      </c>
      <c r="F1954" s="653" t="s">
        <v>4823</v>
      </c>
      <c r="G1954" s="790">
        <v>3252</v>
      </c>
      <c r="H1954" s="1800" t="s">
        <v>4809</v>
      </c>
      <c r="I1954" s="187" t="s">
        <v>4759</v>
      </c>
      <c r="J1954" s="653" t="s">
        <v>111</v>
      </c>
      <c r="K1954" s="653" t="s">
        <v>110</v>
      </c>
      <c r="L1954" s="1790">
        <v>1</v>
      </c>
      <c r="M1954" s="187" t="s">
        <v>4824</v>
      </c>
      <c r="N1954" s="187"/>
      <c r="O1954" s="187" t="s">
        <v>4825</v>
      </c>
      <c r="P1954" s="644">
        <v>1</v>
      </c>
      <c r="Q1954" s="1790">
        <v>0.1</v>
      </c>
      <c r="R1954" s="644"/>
      <c r="S1954" s="644">
        <f t="shared" si="60"/>
        <v>0</v>
      </c>
      <c r="T1954" s="1354">
        <f t="shared" si="61"/>
        <v>0</v>
      </c>
      <c r="U1954" s="794" t="s">
        <v>34</v>
      </c>
      <c r="V1954" s="1214">
        <f>SUM(T1954:T1963)%</f>
        <v>0</v>
      </c>
      <c r="W1954" s="187"/>
    </row>
    <row r="1955" spans="1:23" ht="22.95" customHeight="1" x14ac:dyDescent="0.4">
      <c r="A1955" s="788">
        <v>1954</v>
      </c>
      <c r="B1955" s="210" t="s">
        <v>2616</v>
      </c>
      <c r="C1955" s="199" t="s">
        <v>24</v>
      </c>
      <c r="D1955" s="1082">
        <v>3366</v>
      </c>
      <c r="E1955" s="649" t="s">
        <v>4822</v>
      </c>
      <c r="F1955" s="649" t="s">
        <v>4823</v>
      </c>
      <c r="G1955" s="798">
        <v>3252</v>
      </c>
      <c r="H1955" s="1805" t="s">
        <v>4809</v>
      </c>
      <c r="I1955" s="199" t="s">
        <v>4759</v>
      </c>
      <c r="J1955" s="649" t="s">
        <v>111</v>
      </c>
      <c r="K1955" s="649" t="s">
        <v>110</v>
      </c>
      <c r="L1955" s="1806">
        <v>1</v>
      </c>
      <c r="M1955" s="1655" t="s">
        <v>4826</v>
      </c>
      <c r="N1955" s="1655"/>
      <c r="O1955" s="1655" t="s">
        <v>4827</v>
      </c>
      <c r="P1955" s="874">
        <v>1</v>
      </c>
      <c r="Q1955" s="1802">
        <v>0.15</v>
      </c>
      <c r="R1955" s="874"/>
      <c r="S1955" s="874">
        <f t="shared" si="60"/>
        <v>0</v>
      </c>
      <c r="T1955" s="1803">
        <f t="shared" si="61"/>
        <v>0</v>
      </c>
      <c r="U1955" s="803" t="s">
        <v>34</v>
      </c>
      <c r="V1955" s="1807"/>
      <c r="W1955" s="1655"/>
    </row>
    <row r="1956" spans="1:23" ht="22.95" customHeight="1" x14ac:dyDescent="0.4">
      <c r="A1956" s="788">
        <v>1955</v>
      </c>
      <c r="B1956" s="210" t="s">
        <v>2616</v>
      </c>
      <c r="C1956" s="199" t="s">
        <v>24</v>
      </c>
      <c r="D1956" s="1082">
        <v>3366</v>
      </c>
      <c r="E1956" s="649" t="s">
        <v>4822</v>
      </c>
      <c r="F1956" s="649" t="s">
        <v>4823</v>
      </c>
      <c r="G1956" s="798">
        <v>3253</v>
      </c>
      <c r="H1956" s="1805" t="s">
        <v>4809</v>
      </c>
      <c r="I1956" s="199" t="s">
        <v>4759</v>
      </c>
      <c r="J1956" s="649" t="s">
        <v>111</v>
      </c>
      <c r="K1956" s="649" t="s">
        <v>110</v>
      </c>
      <c r="L1956" s="1806">
        <v>1</v>
      </c>
      <c r="M1956" s="1655" t="s">
        <v>4828</v>
      </c>
      <c r="N1956" s="1655"/>
      <c r="O1956" s="1655" t="s">
        <v>4829</v>
      </c>
      <c r="P1956" s="874">
        <v>1</v>
      </c>
      <c r="Q1956" s="1802">
        <v>0.2</v>
      </c>
      <c r="R1956" s="874"/>
      <c r="S1956" s="874">
        <f t="shared" si="60"/>
        <v>0</v>
      </c>
      <c r="T1956" s="1803">
        <f t="shared" si="61"/>
        <v>0</v>
      </c>
      <c r="U1956" s="803" t="s">
        <v>34</v>
      </c>
      <c r="V1956" s="1807"/>
      <c r="W1956" s="1655"/>
    </row>
    <row r="1957" spans="1:23" ht="22.95" customHeight="1" x14ac:dyDescent="0.4">
      <c r="A1957" s="788">
        <v>1956</v>
      </c>
      <c r="B1957" s="210" t="s">
        <v>2616</v>
      </c>
      <c r="C1957" s="199" t="s">
        <v>24</v>
      </c>
      <c r="D1957" s="1082">
        <v>3366</v>
      </c>
      <c r="E1957" s="649" t="s">
        <v>4822</v>
      </c>
      <c r="F1957" s="649" t="s">
        <v>4823</v>
      </c>
      <c r="G1957" s="798">
        <v>3252</v>
      </c>
      <c r="H1957" s="1805" t="s">
        <v>4809</v>
      </c>
      <c r="I1957" s="199" t="s">
        <v>4759</v>
      </c>
      <c r="J1957" s="649" t="s">
        <v>111</v>
      </c>
      <c r="K1957" s="649" t="s">
        <v>110</v>
      </c>
      <c r="L1957" s="1806">
        <v>1</v>
      </c>
      <c r="M1957" s="1655" t="s">
        <v>4830</v>
      </c>
      <c r="N1957" s="1655"/>
      <c r="O1957" s="1655" t="s">
        <v>4831</v>
      </c>
      <c r="P1957" s="874">
        <v>1</v>
      </c>
      <c r="Q1957" s="1802">
        <v>0.1</v>
      </c>
      <c r="R1957" s="874"/>
      <c r="S1957" s="874">
        <f t="shared" si="60"/>
        <v>0</v>
      </c>
      <c r="T1957" s="1803">
        <f t="shared" si="61"/>
        <v>0</v>
      </c>
      <c r="U1957" s="803" t="s">
        <v>34</v>
      </c>
      <c r="V1957" s="1807"/>
      <c r="W1957" s="1655"/>
    </row>
    <row r="1958" spans="1:23" ht="22.95" customHeight="1" x14ac:dyDescent="0.4">
      <c r="A1958" s="788">
        <v>1957</v>
      </c>
      <c r="B1958" s="210" t="s">
        <v>2616</v>
      </c>
      <c r="C1958" s="199" t="s">
        <v>24</v>
      </c>
      <c r="D1958" s="1082">
        <v>3366</v>
      </c>
      <c r="E1958" s="649" t="s">
        <v>4822</v>
      </c>
      <c r="F1958" s="649" t="s">
        <v>4823</v>
      </c>
      <c r="G1958" s="798">
        <v>3252</v>
      </c>
      <c r="H1958" s="1805" t="s">
        <v>4809</v>
      </c>
      <c r="I1958" s="199" t="s">
        <v>4759</v>
      </c>
      <c r="J1958" s="649" t="s">
        <v>111</v>
      </c>
      <c r="K1958" s="649" t="s">
        <v>110</v>
      </c>
      <c r="L1958" s="1806">
        <v>1</v>
      </c>
      <c r="M1958" s="1655" t="s">
        <v>4832</v>
      </c>
      <c r="N1958" s="1655"/>
      <c r="O1958" s="1655" t="s">
        <v>4833</v>
      </c>
      <c r="P1958" s="874">
        <v>0.95</v>
      </c>
      <c r="Q1958" s="1802">
        <v>0.05</v>
      </c>
      <c r="R1958" s="874"/>
      <c r="S1958" s="874">
        <f t="shared" si="60"/>
        <v>0</v>
      </c>
      <c r="T1958" s="1803">
        <f t="shared" si="61"/>
        <v>0</v>
      </c>
      <c r="U1958" s="803" t="s">
        <v>34</v>
      </c>
      <c r="V1958" s="1807"/>
      <c r="W1958" s="1655"/>
    </row>
    <row r="1959" spans="1:23" ht="22.95" customHeight="1" x14ac:dyDescent="0.4">
      <c r="A1959" s="788">
        <v>1958</v>
      </c>
      <c r="B1959" s="210" t="s">
        <v>2616</v>
      </c>
      <c r="C1959" s="199" t="s">
        <v>24</v>
      </c>
      <c r="D1959" s="1082">
        <v>3366</v>
      </c>
      <c r="E1959" s="649" t="s">
        <v>4822</v>
      </c>
      <c r="F1959" s="649" t="s">
        <v>4823</v>
      </c>
      <c r="G1959" s="798">
        <v>3252</v>
      </c>
      <c r="H1959" s="1805" t="s">
        <v>4809</v>
      </c>
      <c r="I1959" s="199" t="s">
        <v>4759</v>
      </c>
      <c r="J1959" s="649" t="s">
        <v>111</v>
      </c>
      <c r="K1959" s="649" t="s">
        <v>110</v>
      </c>
      <c r="L1959" s="1806">
        <v>1</v>
      </c>
      <c r="M1959" s="1655" t="s">
        <v>4834</v>
      </c>
      <c r="N1959" s="1655"/>
      <c r="O1959" s="1655" t="s">
        <v>4835</v>
      </c>
      <c r="P1959" s="874">
        <v>1</v>
      </c>
      <c r="Q1959" s="1802">
        <v>0.2</v>
      </c>
      <c r="R1959" s="874"/>
      <c r="S1959" s="874">
        <f t="shared" si="60"/>
        <v>0</v>
      </c>
      <c r="T1959" s="1803">
        <f t="shared" si="61"/>
        <v>0</v>
      </c>
      <c r="U1959" s="803" t="s">
        <v>34</v>
      </c>
      <c r="V1959" s="1807"/>
      <c r="W1959" s="1655"/>
    </row>
    <row r="1960" spans="1:23" ht="22.95" customHeight="1" x14ac:dyDescent="0.4">
      <c r="A1960" s="788">
        <v>1959</v>
      </c>
      <c r="B1960" s="210" t="s">
        <v>2616</v>
      </c>
      <c r="C1960" s="199" t="s">
        <v>24</v>
      </c>
      <c r="D1960" s="1082">
        <v>3366</v>
      </c>
      <c r="E1960" s="649" t="s">
        <v>4822</v>
      </c>
      <c r="F1960" s="649" t="s">
        <v>4823</v>
      </c>
      <c r="G1960" s="798">
        <v>3252</v>
      </c>
      <c r="H1960" s="1805" t="s">
        <v>4809</v>
      </c>
      <c r="I1960" s="199" t="s">
        <v>4759</v>
      </c>
      <c r="J1960" s="649" t="s">
        <v>111</v>
      </c>
      <c r="K1960" s="649" t="s">
        <v>110</v>
      </c>
      <c r="L1960" s="1806">
        <v>1</v>
      </c>
      <c r="M1960" s="1655" t="s">
        <v>4762</v>
      </c>
      <c r="N1960" s="1655"/>
      <c r="O1960" s="1655"/>
      <c r="P1960" s="874">
        <v>1</v>
      </c>
      <c r="Q1960" s="1802">
        <v>0.05</v>
      </c>
      <c r="R1960" s="874"/>
      <c r="S1960" s="874">
        <f t="shared" si="60"/>
        <v>0</v>
      </c>
      <c r="T1960" s="1803">
        <f t="shared" si="61"/>
        <v>0</v>
      </c>
      <c r="U1960" s="803" t="s">
        <v>34</v>
      </c>
      <c r="V1960" s="1807"/>
      <c r="W1960" s="1655"/>
    </row>
    <row r="1961" spans="1:23" ht="22.95" customHeight="1" x14ac:dyDescent="0.4">
      <c r="A1961" s="788">
        <v>1960</v>
      </c>
      <c r="B1961" s="210" t="s">
        <v>2616</v>
      </c>
      <c r="C1961" s="199" t="s">
        <v>24</v>
      </c>
      <c r="D1961" s="1082">
        <v>3366</v>
      </c>
      <c r="E1961" s="649" t="s">
        <v>4822</v>
      </c>
      <c r="F1961" s="649" t="s">
        <v>4823</v>
      </c>
      <c r="G1961" s="798">
        <v>3252</v>
      </c>
      <c r="H1961" s="1805" t="s">
        <v>4809</v>
      </c>
      <c r="I1961" s="199" t="s">
        <v>4759</v>
      </c>
      <c r="J1961" s="649" t="s">
        <v>111</v>
      </c>
      <c r="K1961" s="649" t="s">
        <v>110</v>
      </c>
      <c r="L1961" s="1806">
        <v>1</v>
      </c>
      <c r="M1961" s="1655" t="s">
        <v>4764</v>
      </c>
      <c r="N1961" s="1655"/>
      <c r="O1961" s="1655"/>
      <c r="P1961" s="874">
        <v>1</v>
      </c>
      <c r="Q1961" s="1802">
        <v>0.05</v>
      </c>
      <c r="R1961" s="874"/>
      <c r="S1961" s="874">
        <f t="shared" si="60"/>
        <v>0</v>
      </c>
      <c r="T1961" s="1803">
        <f t="shared" si="61"/>
        <v>0</v>
      </c>
      <c r="U1961" s="803" t="s">
        <v>34</v>
      </c>
      <c r="V1961" s="1807"/>
      <c r="W1961" s="1655"/>
    </row>
    <row r="1962" spans="1:23" ht="22.95" customHeight="1" x14ac:dyDescent="0.4">
      <c r="A1962" s="788">
        <v>1961</v>
      </c>
      <c r="B1962" s="210" t="s">
        <v>2616</v>
      </c>
      <c r="C1962" s="199" t="s">
        <v>24</v>
      </c>
      <c r="D1962" s="1082">
        <v>3366</v>
      </c>
      <c r="E1962" s="649" t="s">
        <v>4822</v>
      </c>
      <c r="F1962" s="649" t="s">
        <v>4823</v>
      </c>
      <c r="G1962" s="798">
        <v>3252</v>
      </c>
      <c r="H1962" s="1805" t="s">
        <v>4809</v>
      </c>
      <c r="I1962" s="199" t="s">
        <v>4759</v>
      </c>
      <c r="J1962" s="649" t="s">
        <v>111</v>
      </c>
      <c r="K1962" s="649" t="s">
        <v>110</v>
      </c>
      <c r="L1962" s="1806">
        <v>1</v>
      </c>
      <c r="M1962" s="1655" t="s">
        <v>4836</v>
      </c>
      <c r="N1962" s="1655"/>
      <c r="O1962" s="1655"/>
      <c r="P1962" s="874">
        <v>1</v>
      </c>
      <c r="Q1962" s="1802">
        <v>0.05</v>
      </c>
      <c r="R1962" s="874"/>
      <c r="S1962" s="874">
        <f t="shared" si="60"/>
        <v>0</v>
      </c>
      <c r="T1962" s="1803">
        <f t="shared" si="61"/>
        <v>0</v>
      </c>
      <c r="U1962" s="803" t="s">
        <v>34</v>
      </c>
      <c r="V1962" s="1807"/>
      <c r="W1962" s="1655"/>
    </row>
    <row r="1963" spans="1:23" ht="22.95" customHeight="1" x14ac:dyDescent="0.4">
      <c r="A1963" s="788">
        <v>1962</v>
      </c>
      <c r="B1963" s="210" t="s">
        <v>2616</v>
      </c>
      <c r="C1963" s="199" t="s">
        <v>24</v>
      </c>
      <c r="D1963" s="1082">
        <v>3366</v>
      </c>
      <c r="E1963" s="649" t="s">
        <v>4822</v>
      </c>
      <c r="F1963" s="649" t="s">
        <v>4823</v>
      </c>
      <c r="G1963" s="798">
        <v>3252</v>
      </c>
      <c r="H1963" s="1805" t="s">
        <v>4809</v>
      </c>
      <c r="I1963" s="199" t="s">
        <v>4759</v>
      </c>
      <c r="J1963" s="649" t="s">
        <v>111</v>
      </c>
      <c r="K1963" s="649" t="s">
        <v>110</v>
      </c>
      <c r="L1963" s="1806">
        <v>1</v>
      </c>
      <c r="M1963" s="1655" t="s">
        <v>4837</v>
      </c>
      <c r="N1963" s="1655"/>
      <c r="O1963" s="1655"/>
      <c r="P1963" s="874">
        <v>1</v>
      </c>
      <c r="Q1963" s="1802">
        <v>0.05</v>
      </c>
      <c r="R1963" s="874"/>
      <c r="S1963" s="874">
        <f t="shared" si="60"/>
        <v>0</v>
      </c>
      <c r="T1963" s="1803">
        <f t="shared" si="61"/>
        <v>0</v>
      </c>
      <c r="U1963" s="803" t="s">
        <v>34</v>
      </c>
      <c r="V1963" s="1807"/>
      <c r="W1963" s="1655"/>
    </row>
    <row r="1964" spans="1:23" ht="22.95" customHeight="1" x14ac:dyDescent="0.4">
      <c r="A1964" s="788">
        <v>1963</v>
      </c>
      <c r="B1964" s="243" t="s">
        <v>2616</v>
      </c>
      <c r="C1964" s="187" t="s">
        <v>24</v>
      </c>
      <c r="D1964" s="1200">
        <v>5996</v>
      </c>
      <c r="E1964" s="653" t="s">
        <v>4838</v>
      </c>
      <c r="F1964" s="653" t="s">
        <v>4839</v>
      </c>
      <c r="G1964" s="790">
        <v>3252</v>
      </c>
      <c r="H1964" s="1800" t="s">
        <v>4809</v>
      </c>
      <c r="I1964" s="187" t="s">
        <v>4759</v>
      </c>
      <c r="J1964" s="653" t="s">
        <v>111</v>
      </c>
      <c r="K1964" s="653" t="s">
        <v>110</v>
      </c>
      <c r="L1964" s="1790">
        <v>1</v>
      </c>
      <c r="M1964" s="187" t="s">
        <v>4840</v>
      </c>
      <c r="N1964" s="187"/>
      <c r="O1964" s="187" t="s">
        <v>4825</v>
      </c>
      <c r="P1964" s="644">
        <v>1</v>
      </c>
      <c r="Q1964" s="1790">
        <v>0.1</v>
      </c>
      <c r="R1964" s="644"/>
      <c r="S1964" s="644">
        <f t="shared" si="60"/>
        <v>0</v>
      </c>
      <c r="T1964" s="1354">
        <f t="shared" si="61"/>
        <v>0</v>
      </c>
      <c r="U1964" s="794" t="s">
        <v>34</v>
      </c>
      <c r="V1964" s="1214">
        <f>SUM(T1964:T1973)%</f>
        <v>0</v>
      </c>
      <c r="W1964" s="187"/>
    </row>
    <row r="1965" spans="1:23" ht="22.95" customHeight="1" x14ac:dyDescent="0.4">
      <c r="A1965" s="788">
        <v>1964</v>
      </c>
      <c r="B1965" s="210" t="s">
        <v>2616</v>
      </c>
      <c r="C1965" s="199" t="s">
        <v>24</v>
      </c>
      <c r="D1965" s="1082">
        <v>5996</v>
      </c>
      <c r="E1965" s="649" t="s">
        <v>4838</v>
      </c>
      <c r="F1965" s="649" t="s">
        <v>4839</v>
      </c>
      <c r="G1965" s="798">
        <v>3252</v>
      </c>
      <c r="H1965" s="1805" t="s">
        <v>4809</v>
      </c>
      <c r="I1965" s="199" t="s">
        <v>4759</v>
      </c>
      <c r="J1965" s="649" t="s">
        <v>111</v>
      </c>
      <c r="K1965" s="649" t="s">
        <v>110</v>
      </c>
      <c r="L1965" s="1806">
        <v>1</v>
      </c>
      <c r="M1965" s="1655" t="s">
        <v>4841</v>
      </c>
      <c r="N1965" s="1655"/>
      <c r="O1965" s="1655" t="s">
        <v>4827</v>
      </c>
      <c r="P1965" s="874">
        <v>1</v>
      </c>
      <c r="Q1965" s="1802">
        <v>0.15</v>
      </c>
      <c r="R1965" s="874"/>
      <c r="S1965" s="874">
        <f t="shared" si="60"/>
        <v>0</v>
      </c>
      <c r="T1965" s="1803">
        <f t="shared" si="61"/>
        <v>0</v>
      </c>
      <c r="U1965" s="803" t="s">
        <v>34</v>
      </c>
      <c r="V1965" s="1807"/>
      <c r="W1965" s="1655"/>
    </row>
    <row r="1966" spans="1:23" ht="22.95" customHeight="1" x14ac:dyDescent="0.4">
      <c r="A1966" s="788">
        <v>1965</v>
      </c>
      <c r="B1966" s="210" t="s">
        <v>2616</v>
      </c>
      <c r="C1966" s="199" t="s">
        <v>24</v>
      </c>
      <c r="D1966" s="1082">
        <v>5996</v>
      </c>
      <c r="E1966" s="649" t="s">
        <v>4838</v>
      </c>
      <c r="F1966" s="649" t="s">
        <v>4839</v>
      </c>
      <c r="G1966" s="798">
        <v>3252</v>
      </c>
      <c r="H1966" s="1805" t="s">
        <v>4809</v>
      </c>
      <c r="I1966" s="199" t="s">
        <v>4759</v>
      </c>
      <c r="J1966" s="649" t="s">
        <v>111</v>
      </c>
      <c r="K1966" s="649" t="s">
        <v>110</v>
      </c>
      <c r="L1966" s="1806">
        <v>1</v>
      </c>
      <c r="M1966" s="1655" t="s">
        <v>4842</v>
      </c>
      <c r="N1966" s="1655"/>
      <c r="O1966" s="1655" t="s">
        <v>4829</v>
      </c>
      <c r="P1966" s="874">
        <v>1</v>
      </c>
      <c r="Q1966" s="1802">
        <v>0.2</v>
      </c>
      <c r="R1966" s="874"/>
      <c r="S1966" s="874">
        <f t="shared" si="60"/>
        <v>0</v>
      </c>
      <c r="T1966" s="1803">
        <f t="shared" si="61"/>
        <v>0</v>
      </c>
      <c r="U1966" s="803" t="s">
        <v>34</v>
      </c>
      <c r="V1966" s="1807"/>
      <c r="W1966" s="1655"/>
    </row>
    <row r="1967" spans="1:23" ht="22.95" customHeight="1" x14ac:dyDescent="0.4">
      <c r="A1967" s="788">
        <v>1966</v>
      </c>
      <c r="B1967" s="210" t="s">
        <v>2616</v>
      </c>
      <c r="C1967" s="199" t="s">
        <v>24</v>
      </c>
      <c r="D1967" s="1082">
        <v>5996</v>
      </c>
      <c r="E1967" s="649" t="s">
        <v>4838</v>
      </c>
      <c r="F1967" s="649" t="s">
        <v>4839</v>
      </c>
      <c r="G1967" s="798">
        <v>3252</v>
      </c>
      <c r="H1967" s="1805" t="s">
        <v>4809</v>
      </c>
      <c r="I1967" s="199" t="s">
        <v>4759</v>
      </c>
      <c r="J1967" s="649" t="s">
        <v>111</v>
      </c>
      <c r="K1967" s="649" t="s">
        <v>110</v>
      </c>
      <c r="L1967" s="1806">
        <v>1</v>
      </c>
      <c r="M1967" s="1655" t="s">
        <v>4830</v>
      </c>
      <c r="N1967" s="1655"/>
      <c r="O1967" s="1655" t="s">
        <v>4831</v>
      </c>
      <c r="P1967" s="874">
        <v>1</v>
      </c>
      <c r="Q1967" s="1802">
        <v>0.1</v>
      </c>
      <c r="R1967" s="874"/>
      <c r="S1967" s="874">
        <f t="shared" si="60"/>
        <v>0</v>
      </c>
      <c r="T1967" s="1803">
        <f t="shared" si="61"/>
        <v>0</v>
      </c>
      <c r="U1967" s="803" t="s">
        <v>34</v>
      </c>
      <c r="V1967" s="1807"/>
      <c r="W1967" s="1655"/>
    </row>
    <row r="1968" spans="1:23" ht="22.95" customHeight="1" x14ac:dyDescent="0.4">
      <c r="A1968" s="788">
        <v>1967</v>
      </c>
      <c r="B1968" s="210" t="s">
        <v>2616</v>
      </c>
      <c r="C1968" s="199" t="s">
        <v>24</v>
      </c>
      <c r="D1968" s="1082">
        <v>5996</v>
      </c>
      <c r="E1968" s="649" t="s">
        <v>4838</v>
      </c>
      <c r="F1968" s="649" t="s">
        <v>4839</v>
      </c>
      <c r="G1968" s="798">
        <v>3252</v>
      </c>
      <c r="H1968" s="1805" t="s">
        <v>4809</v>
      </c>
      <c r="I1968" s="199" t="s">
        <v>4759</v>
      </c>
      <c r="J1968" s="649" t="s">
        <v>111</v>
      </c>
      <c r="K1968" s="649" t="s">
        <v>110</v>
      </c>
      <c r="L1968" s="1806">
        <v>1</v>
      </c>
      <c r="M1968" s="1655" t="s">
        <v>4832</v>
      </c>
      <c r="N1968" s="1655"/>
      <c r="O1968" s="1655" t="s">
        <v>4833</v>
      </c>
      <c r="P1968" s="874">
        <v>0.95</v>
      </c>
      <c r="Q1968" s="1802">
        <v>0.05</v>
      </c>
      <c r="R1968" s="874"/>
      <c r="S1968" s="874">
        <f t="shared" si="60"/>
        <v>0</v>
      </c>
      <c r="T1968" s="1803">
        <f t="shared" si="61"/>
        <v>0</v>
      </c>
      <c r="U1968" s="803" t="s">
        <v>34</v>
      </c>
      <c r="V1968" s="1807"/>
      <c r="W1968" s="1655"/>
    </row>
    <row r="1969" spans="1:23" ht="22.95" customHeight="1" x14ac:dyDescent="0.4">
      <c r="A1969" s="788">
        <v>1968</v>
      </c>
      <c r="B1969" s="210" t="s">
        <v>2616</v>
      </c>
      <c r="C1969" s="199" t="s">
        <v>24</v>
      </c>
      <c r="D1969" s="1082">
        <v>5996</v>
      </c>
      <c r="E1969" s="649" t="s">
        <v>4838</v>
      </c>
      <c r="F1969" s="649" t="s">
        <v>4839</v>
      </c>
      <c r="G1969" s="798">
        <v>3252</v>
      </c>
      <c r="H1969" s="1805" t="s">
        <v>4809</v>
      </c>
      <c r="I1969" s="199" t="s">
        <v>4759</v>
      </c>
      <c r="J1969" s="649" t="s">
        <v>111</v>
      </c>
      <c r="K1969" s="649" t="s">
        <v>110</v>
      </c>
      <c r="L1969" s="1806">
        <v>1</v>
      </c>
      <c r="M1969" s="1655" t="s">
        <v>4843</v>
      </c>
      <c r="N1969" s="1655"/>
      <c r="O1969" s="1655" t="s">
        <v>4835</v>
      </c>
      <c r="P1969" s="874">
        <v>1</v>
      </c>
      <c r="Q1969" s="1802">
        <v>0.2</v>
      </c>
      <c r="R1969" s="874"/>
      <c r="S1969" s="874">
        <f t="shared" si="60"/>
        <v>0</v>
      </c>
      <c r="T1969" s="1803">
        <f t="shared" si="61"/>
        <v>0</v>
      </c>
      <c r="U1969" s="803" t="s">
        <v>34</v>
      </c>
      <c r="V1969" s="1807"/>
      <c r="W1969" s="1655"/>
    </row>
    <row r="1970" spans="1:23" ht="22.95" customHeight="1" x14ac:dyDescent="0.4">
      <c r="A1970" s="788">
        <v>1969</v>
      </c>
      <c r="B1970" s="210" t="s">
        <v>2616</v>
      </c>
      <c r="C1970" s="199" t="s">
        <v>24</v>
      </c>
      <c r="D1970" s="1082">
        <v>5996</v>
      </c>
      <c r="E1970" s="649" t="s">
        <v>4838</v>
      </c>
      <c r="F1970" s="649" t="s">
        <v>4839</v>
      </c>
      <c r="G1970" s="798">
        <v>3253</v>
      </c>
      <c r="H1970" s="1805" t="s">
        <v>4809</v>
      </c>
      <c r="I1970" s="199" t="s">
        <v>4759</v>
      </c>
      <c r="J1970" s="649" t="s">
        <v>111</v>
      </c>
      <c r="K1970" s="649" t="s">
        <v>110</v>
      </c>
      <c r="L1970" s="1806">
        <v>1</v>
      </c>
      <c r="M1970" s="1655" t="s">
        <v>4762</v>
      </c>
      <c r="N1970" s="1655"/>
      <c r="O1970" s="799"/>
      <c r="P1970" s="874">
        <v>1</v>
      </c>
      <c r="Q1970" s="1802">
        <v>0.05</v>
      </c>
      <c r="R1970" s="874"/>
      <c r="S1970" s="874">
        <f t="shared" si="60"/>
        <v>0</v>
      </c>
      <c r="T1970" s="1803">
        <f t="shared" si="61"/>
        <v>0</v>
      </c>
      <c r="U1970" s="803" t="s">
        <v>34</v>
      </c>
      <c r="V1970" s="1799"/>
      <c r="W1970" s="1655"/>
    </row>
    <row r="1971" spans="1:23" ht="22.95" customHeight="1" x14ac:dyDescent="0.4">
      <c r="A1971" s="788">
        <v>1970</v>
      </c>
      <c r="B1971" s="210" t="s">
        <v>2616</v>
      </c>
      <c r="C1971" s="199" t="s">
        <v>24</v>
      </c>
      <c r="D1971" s="1082">
        <v>5996</v>
      </c>
      <c r="E1971" s="649" t="s">
        <v>4838</v>
      </c>
      <c r="F1971" s="649" t="s">
        <v>4839</v>
      </c>
      <c r="G1971" s="798">
        <v>3254</v>
      </c>
      <c r="H1971" s="1805" t="s">
        <v>4809</v>
      </c>
      <c r="I1971" s="199" t="s">
        <v>4759</v>
      </c>
      <c r="J1971" s="649" t="s">
        <v>111</v>
      </c>
      <c r="K1971" s="649" t="s">
        <v>110</v>
      </c>
      <c r="L1971" s="1806">
        <v>1</v>
      </c>
      <c r="M1971" s="1655" t="s">
        <v>4764</v>
      </c>
      <c r="N1971" s="1655"/>
      <c r="O1971" s="799"/>
      <c r="P1971" s="874">
        <v>1</v>
      </c>
      <c r="Q1971" s="1802">
        <v>0.05</v>
      </c>
      <c r="R1971" s="874"/>
      <c r="S1971" s="874">
        <f t="shared" si="60"/>
        <v>0</v>
      </c>
      <c r="T1971" s="1803">
        <f t="shared" si="61"/>
        <v>0</v>
      </c>
      <c r="U1971" s="803" t="s">
        <v>34</v>
      </c>
      <c r="V1971" s="1799"/>
      <c r="W1971" s="1655"/>
    </row>
    <row r="1972" spans="1:23" ht="22.95" customHeight="1" x14ac:dyDescent="0.4">
      <c r="A1972" s="788">
        <v>1971</v>
      </c>
      <c r="B1972" s="210" t="s">
        <v>2616</v>
      </c>
      <c r="C1972" s="199" t="s">
        <v>24</v>
      </c>
      <c r="D1972" s="1082">
        <v>5996</v>
      </c>
      <c r="E1972" s="649" t="s">
        <v>4838</v>
      </c>
      <c r="F1972" s="649" t="s">
        <v>4839</v>
      </c>
      <c r="G1972" s="798">
        <v>3255</v>
      </c>
      <c r="H1972" s="1805" t="s">
        <v>4809</v>
      </c>
      <c r="I1972" s="199" t="s">
        <v>4759</v>
      </c>
      <c r="J1972" s="649" t="s">
        <v>111</v>
      </c>
      <c r="K1972" s="649" t="s">
        <v>110</v>
      </c>
      <c r="L1972" s="1806">
        <v>1</v>
      </c>
      <c r="M1972" s="1655" t="s">
        <v>4836</v>
      </c>
      <c r="N1972" s="1655"/>
      <c r="O1972" s="799"/>
      <c r="P1972" s="874">
        <v>1</v>
      </c>
      <c r="Q1972" s="1802">
        <v>0.05</v>
      </c>
      <c r="R1972" s="874"/>
      <c r="S1972" s="874">
        <f t="shared" si="60"/>
        <v>0</v>
      </c>
      <c r="T1972" s="1803">
        <f t="shared" si="61"/>
        <v>0</v>
      </c>
      <c r="U1972" s="803" t="s">
        <v>34</v>
      </c>
      <c r="V1972" s="1799"/>
      <c r="W1972" s="1655"/>
    </row>
    <row r="1973" spans="1:23" ht="22.95" customHeight="1" x14ac:dyDescent="0.4">
      <c r="A1973" s="788">
        <v>1972</v>
      </c>
      <c r="B1973" s="210" t="s">
        <v>2616</v>
      </c>
      <c r="C1973" s="199" t="s">
        <v>24</v>
      </c>
      <c r="D1973" s="1082">
        <v>5996</v>
      </c>
      <c r="E1973" s="649" t="s">
        <v>4838</v>
      </c>
      <c r="F1973" s="649" t="s">
        <v>4839</v>
      </c>
      <c r="G1973" s="798">
        <v>3256</v>
      </c>
      <c r="H1973" s="1805" t="s">
        <v>4809</v>
      </c>
      <c r="I1973" s="199" t="s">
        <v>4759</v>
      </c>
      <c r="J1973" s="649" t="s">
        <v>111</v>
      </c>
      <c r="K1973" s="649" t="s">
        <v>110</v>
      </c>
      <c r="L1973" s="1806">
        <v>1</v>
      </c>
      <c r="M1973" s="1655" t="s">
        <v>4837</v>
      </c>
      <c r="N1973" s="1655"/>
      <c r="O1973" s="799"/>
      <c r="P1973" s="874">
        <v>1</v>
      </c>
      <c r="Q1973" s="1802">
        <v>0.05</v>
      </c>
      <c r="R1973" s="874"/>
      <c r="S1973" s="874">
        <f t="shared" si="60"/>
        <v>0</v>
      </c>
      <c r="T1973" s="1803">
        <f t="shared" si="61"/>
        <v>0</v>
      </c>
      <c r="U1973" s="803" t="s">
        <v>34</v>
      </c>
      <c r="V1973" s="1799"/>
      <c r="W1973" s="1655"/>
    </row>
    <row r="1974" spans="1:23" ht="22.95" customHeight="1" x14ac:dyDescent="0.4">
      <c r="A1974" s="788">
        <v>1973</v>
      </c>
      <c r="B1974" s="243" t="s">
        <v>2616</v>
      </c>
      <c r="C1974" s="236" t="s">
        <v>24</v>
      </c>
      <c r="D1974" s="1226">
        <v>3252</v>
      </c>
      <c r="E1974" s="243" t="s">
        <v>4809</v>
      </c>
      <c r="F1974" s="243" t="s">
        <v>4844</v>
      </c>
      <c r="G1974" s="243">
        <v>6585</v>
      </c>
      <c r="H1974" s="243" t="s">
        <v>4757</v>
      </c>
      <c r="I1974" s="1808" t="s">
        <v>4759</v>
      </c>
      <c r="J1974" s="243" t="s">
        <v>111</v>
      </c>
      <c r="K1974" s="243" t="s">
        <v>110</v>
      </c>
      <c r="L1974" s="1809">
        <v>1</v>
      </c>
      <c r="M1974" s="1810" t="s">
        <v>4845</v>
      </c>
      <c r="N1974" s="1810"/>
      <c r="O1974" s="1810" t="s">
        <v>4846</v>
      </c>
      <c r="P1974" s="1811">
        <v>1</v>
      </c>
      <c r="Q1974" s="1191">
        <v>0.05</v>
      </c>
      <c r="R1974" s="1811"/>
      <c r="S1974" s="713">
        <f t="shared" si="60"/>
        <v>0</v>
      </c>
      <c r="T1974" s="854">
        <f t="shared" si="61"/>
        <v>0</v>
      </c>
      <c r="U1974" s="243" t="s">
        <v>34</v>
      </c>
      <c r="V1974" s="1055">
        <f>SUM(T1974:T1986)%</f>
        <v>0</v>
      </c>
      <c r="W1974" s="1008"/>
    </row>
    <row r="1975" spans="1:23" ht="22.95" customHeight="1" x14ac:dyDescent="0.4">
      <c r="A1975" s="788">
        <v>1974</v>
      </c>
      <c r="B1975" s="253" t="s">
        <v>2616</v>
      </c>
      <c r="C1975" s="246" t="s">
        <v>24</v>
      </c>
      <c r="D1975" s="1306">
        <v>3252</v>
      </c>
      <c r="E1975" s="648" t="s">
        <v>4809</v>
      </c>
      <c r="F1975" s="648" t="s">
        <v>4844</v>
      </c>
      <c r="G1975" s="648">
        <v>6585</v>
      </c>
      <c r="H1975" s="648" t="s">
        <v>4757</v>
      </c>
      <c r="I1975" s="1812" t="s">
        <v>4759</v>
      </c>
      <c r="J1975" s="648" t="s">
        <v>111</v>
      </c>
      <c r="K1975" s="648" t="s">
        <v>110</v>
      </c>
      <c r="L1975" s="1813">
        <v>1</v>
      </c>
      <c r="M1975" s="1814" t="s">
        <v>4847</v>
      </c>
      <c r="N1975" s="1815"/>
      <c r="O1975" s="1814" t="s">
        <v>4848</v>
      </c>
      <c r="P1975" s="1816">
        <v>1</v>
      </c>
      <c r="Q1975" s="1316">
        <v>0.05</v>
      </c>
      <c r="R1975" s="1816"/>
      <c r="S1975" s="731">
        <f t="shared" si="60"/>
        <v>0</v>
      </c>
      <c r="T1975" s="962">
        <f t="shared" si="61"/>
        <v>0</v>
      </c>
      <c r="U1975" s="648" t="s">
        <v>34</v>
      </c>
      <c r="V1975" s="1817"/>
      <c r="W1975" s="1655"/>
    </row>
    <row r="1976" spans="1:23" ht="22.95" customHeight="1" x14ac:dyDescent="0.4">
      <c r="A1976" s="788">
        <v>1975</v>
      </c>
      <c r="B1976" s="253" t="s">
        <v>2616</v>
      </c>
      <c r="C1976" s="246" t="s">
        <v>24</v>
      </c>
      <c r="D1976" s="1306">
        <v>3252</v>
      </c>
      <c r="E1976" s="648" t="s">
        <v>4809</v>
      </c>
      <c r="F1976" s="648" t="s">
        <v>4844</v>
      </c>
      <c r="G1976" s="648">
        <v>6585</v>
      </c>
      <c r="H1976" s="648" t="s">
        <v>4757</v>
      </c>
      <c r="I1976" s="1812" t="s">
        <v>4759</v>
      </c>
      <c r="J1976" s="648" t="s">
        <v>111</v>
      </c>
      <c r="K1976" s="648" t="s">
        <v>110</v>
      </c>
      <c r="L1976" s="1813">
        <v>1</v>
      </c>
      <c r="M1976" s="1814" t="s">
        <v>4849</v>
      </c>
      <c r="N1976" s="1815"/>
      <c r="O1976" s="1814" t="s">
        <v>4850</v>
      </c>
      <c r="P1976" s="1816">
        <v>1</v>
      </c>
      <c r="Q1976" s="1316">
        <v>0.05</v>
      </c>
      <c r="R1976" s="1816"/>
      <c r="S1976" s="731">
        <f t="shared" si="60"/>
        <v>0</v>
      </c>
      <c r="T1976" s="962">
        <f t="shared" si="61"/>
        <v>0</v>
      </c>
      <c r="U1976" s="648" t="s">
        <v>34</v>
      </c>
      <c r="V1976" s="1817"/>
      <c r="W1976" s="1655"/>
    </row>
    <row r="1977" spans="1:23" ht="22.95" customHeight="1" x14ac:dyDescent="0.4">
      <c r="A1977" s="788">
        <v>1976</v>
      </c>
      <c r="B1977" s="253" t="s">
        <v>2616</v>
      </c>
      <c r="C1977" s="246" t="s">
        <v>24</v>
      </c>
      <c r="D1977" s="1306">
        <v>3252</v>
      </c>
      <c r="E1977" s="648" t="s">
        <v>4809</v>
      </c>
      <c r="F1977" s="648" t="s">
        <v>4844</v>
      </c>
      <c r="G1977" s="648">
        <v>6585</v>
      </c>
      <c r="H1977" s="648" t="s">
        <v>4757</v>
      </c>
      <c r="I1977" s="1812" t="s">
        <v>4759</v>
      </c>
      <c r="J1977" s="648" t="s">
        <v>111</v>
      </c>
      <c r="K1977" s="648" t="s">
        <v>110</v>
      </c>
      <c r="L1977" s="1813">
        <v>1</v>
      </c>
      <c r="M1977" s="1814" t="s">
        <v>4851</v>
      </c>
      <c r="N1977" s="1815"/>
      <c r="O1977" s="1814" t="s">
        <v>4852</v>
      </c>
      <c r="P1977" s="1816">
        <v>1</v>
      </c>
      <c r="Q1977" s="1316">
        <v>0.05</v>
      </c>
      <c r="R1977" s="1816"/>
      <c r="S1977" s="731">
        <f t="shared" si="60"/>
        <v>0</v>
      </c>
      <c r="T1977" s="962">
        <f t="shared" si="61"/>
        <v>0</v>
      </c>
      <c r="U1977" s="648" t="s">
        <v>34</v>
      </c>
      <c r="V1977" s="1817"/>
      <c r="W1977" s="1655"/>
    </row>
    <row r="1978" spans="1:23" ht="22.95" customHeight="1" x14ac:dyDescent="0.4">
      <c r="A1978" s="788">
        <v>1977</v>
      </c>
      <c r="B1978" s="253" t="s">
        <v>2616</v>
      </c>
      <c r="C1978" s="246" t="s">
        <v>24</v>
      </c>
      <c r="D1978" s="1306">
        <v>3252</v>
      </c>
      <c r="E1978" s="648" t="s">
        <v>4809</v>
      </c>
      <c r="F1978" s="648" t="s">
        <v>4844</v>
      </c>
      <c r="G1978" s="648">
        <v>6585</v>
      </c>
      <c r="H1978" s="648" t="s">
        <v>4757</v>
      </c>
      <c r="I1978" s="1812" t="s">
        <v>4759</v>
      </c>
      <c r="J1978" s="648" t="s">
        <v>111</v>
      </c>
      <c r="K1978" s="648" t="s">
        <v>110</v>
      </c>
      <c r="L1978" s="1813">
        <v>1</v>
      </c>
      <c r="M1978" s="1814" t="s">
        <v>4853</v>
      </c>
      <c r="N1978" s="1815"/>
      <c r="O1978" s="1814" t="s">
        <v>4854</v>
      </c>
      <c r="P1978" s="1816">
        <v>1</v>
      </c>
      <c r="Q1978" s="1316">
        <v>0.05</v>
      </c>
      <c r="R1978" s="1816"/>
      <c r="S1978" s="731">
        <f t="shared" si="60"/>
        <v>0</v>
      </c>
      <c r="T1978" s="962">
        <f t="shared" si="61"/>
        <v>0</v>
      </c>
      <c r="U1978" s="648" t="s">
        <v>34</v>
      </c>
      <c r="V1978" s="1817"/>
      <c r="W1978" s="1655"/>
    </row>
    <row r="1979" spans="1:23" ht="22.95" customHeight="1" x14ac:dyDescent="0.4">
      <c r="A1979" s="788">
        <v>1978</v>
      </c>
      <c r="B1979" s="210" t="s">
        <v>2616</v>
      </c>
      <c r="C1979" s="246" t="s">
        <v>24</v>
      </c>
      <c r="D1979" s="1082">
        <v>3252</v>
      </c>
      <c r="E1979" s="649" t="s">
        <v>4809</v>
      </c>
      <c r="F1979" s="649" t="s">
        <v>4844</v>
      </c>
      <c r="G1979" s="649">
        <v>6585</v>
      </c>
      <c r="H1979" s="649" t="s">
        <v>4757</v>
      </c>
      <c r="I1979" s="1818" t="s">
        <v>4759</v>
      </c>
      <c r="J1979" s="649" t="s">
        <v>111</v>
      </c>
      <c r="K1979" s="649" t="s">
        <v>110</v>
      </c>
      <c r="L1979" s="1819">
        <v>1</v>
      </c>
      <c r="M1979" s="1814" t="s">
        <v>4855</v>
      </c>
      <c r="N1979" s="1814"/>
      <c r="O1979" s="1820" t="s">
        <v>4856</v>
      </c>
      <c r="P1979" s="1816">
        <v>1</v>
      </c>
      <c r="Q1979" s="1304">
        <v>0.1</v>
      </c>
      <c r="R1979" s="1816"/>
      <c r="S1979" s="846">
        <f t="shared" si="60"/>
        <v>0</v>
      </c>
      <c r="T1979" s="701">
        <f t="shared" si="61"/>
        <v>0</v>
      </c>
      <c r="U1979" s="649" t="s">
        <v>34</v>
      </c>
      <c r="V1979" s="1817"/>
      <c r="W1979" s="1655"/>
    </row>
    <row r="1980" spans="1:23" ht="22.95" customHeight="1" x14ac:dyDescent="0.4">
      <c r="A1980" s="788">
        <v>1979</v>
      </c>
      <c r="B1980" s="210" t="s">
        <v>2616</v>
      </c>
      <c r="C1980" s="246" t="s">
        <v>24</v>
      </c>
      <c r="D1980" s="1082">
        <v>3252</v>
      </c>
      <c r="E1980" s="649" t="s">
        <v>4809</v>
      </c>
      <c r="F1980" s="649" t="s">
        <v>4844</v>
      </c>
      <c r="G1980" s="649">
        <v>6585</v>
      </c>
      <c r="H1980" s="649" t="s">
        <v>4757</v>
      </c>
      <c r="I1980" s="1818" t="s">
        <v>4759</v>
      </c>
      <c r="J1980" s="649" t="s">
        <v>111</v>
      </c>
      <c r="K1980" s="649" t="s">
        <v>110</v>
      </c>
      <c r="L1980" s="1819">
        <v>1</v>
      </c>
      <c r="M1980" s="1814" t="s">
        <v>4857</v>
      </c>
      <c r="N1980" s="1814"/>
      <c r="O1980" s="1820" t="s">
        <v>4856</v>
      </c>
      <c r="P1980" s="1816">
        <v>1</v>
      </c>
      <c r="Q1980" s="1304">
        <v>0.2</v>
      </c>
      <c r="R1980" s="1816"/>
      <c r="S1980" s="846">
        <f t="shared" si="60"/>
        <v>0</v>
      </c>
      <c r="T1980" s="701">
        <f t="shared" si="61"/>
        <v>0</v>
      </c>
      <c r="U1980" s="649" t="s">
        <v>34</v>
      </c>
      <c r="V1980" s="1817"/>
      <c r="W1980" s="1655"/>
    </row>
    <row r="1981" spans="1:23" ht="22.95" customHeight="1" x14ac:dyDescent="0.4">
      <c r="A1981" s="788">
        <v>1980</v>
      </c>
      <c r="B1981" s="210" t="s">
        <v>2616</v>
      </c>
      <c r="C1981" s="246" t="s">
        <v>24</v>
      </c>
      <c r="D1981" s="1082">
        <v>3252</v>
      </c>
      <c r="E1981" s="649" t="s">
        <v>4809</v>
      </c>
      <c r="F1981" s="649" t="s">
        <v>4844</v>
      </c>
      <c r="G1981" s="649">
        <v>6585</v>
      </c>
      <c r="H1981" s="649" t="s">
        <v>4757</v>
      </c>
      <c r="I1981" s="1818" t="s">
        <v>4759</v>
      </c>
      <c r="J1981" s="649" t="s">
        <v>111</v>
      </c>
      <c r="K1981" s="649" t="s">
        <v>110</v>
      </c>
      <c r="L1981" s="1819">
        <v>1</v>
      </c>
      <c r="M1981" s="1814" t="s">
        <v>4858</v>
      </c>
      <c r="N1981" s="1814"/>
      <c r="O1981" s="1820" t="s">
        <v>4859</v>
      </c>
      <c r="P1981" s="1816">
        <v>0.5</v>
      </c>
      <c r="Q1981" s="1304">
        <v>0.2</v>
      </c>
      <c r="R1981" s="1816"/>
      <c r="S1981" s="846">
        <f t="shared" si="60"/>
        <v>0</v>
      </c>
      <c r="T1981" s="701">
        <f t="shared" si="61"/>
        <v>0</v>
      </c>
      <c r="U1981" s="649" t="s">
        <v>34</v>
      </c>
      <c r="V1981" s="1817"/>
      <c r="W1981" s="1655"/>
    </row>
    <row r="1982" spans="1:23" ht="22.95" customHeight="1" x14ac:dyDescent="0.4">
      <c r="A1982" s="788">
        <v>1981</v>
      </c>
      <c r="B1982" s="210" t="s">
        <v>2616</v>
      </c>
      <c r="C1982" s="246" t="s">
        <v>24</v>
      </c>
      <c r="D1982" s="1082">
        <v>3252</v>
      </c>
      <c r="E1982" s="649" t="s">
        <v>4809</v>
      </c>
      <c r="F1982" s="649" t="s">
        <v>4844</v>
      </c>
      <c r="G1982" s="649">
        <v>6586</v>
      </c>
      <c r="H1982" s="649" t="s">
        <v>4757</v>
      </c>
      <c r="I1982" s="1818" t="s">
        <v>4759</v>
      </c>
      <c r="J1982" s="649" t="s">
        <v>111</v>
      </c>
      <c r="K1982" s="649" t="s">
        <v>110</v>
      </c>
      <c r="L1982" s="1819">
        <v>1</v>
      </c>
      <c r="M1982" s="1814" t="s">
        <v>4860</v>
      </c>
      <c r="N1982" s="1814"/>
      <c r="O1982" s="1820" t="s">
        <v>4861</v>
      </c>
      <c r="P1982" s="1816">
        <v>1</v>
      </c>
      <c r="Q1982" s="1304">
        <v>0.05</v>
      </c>
      <c r="R1982" s="1816"/>
      <c r="S1982" s="846">
        <f t="shared" si="60"/>
        <v>0</v>
      </c>
      <c r="T1982" s="701">
        <f t="shared" si="61"/>
        <v>0</v>
      </c>
      <c r="U1982" s="649" t="s">
        <v>34</v>
      </c>
      <c r="V1982" s="1799"/>
      <c r="W1982" s="1655"/>
    </row>
    <row r="1983" spans="1:23" ht="22.95" customHeight="1" x14ac:dyDescent="0.4">
      <c r="A1983" s="788">
        <v>1982</v>
      </c>
      <c r="B1983" s="210" t="s">
        <v>2616</v>
      </c>
      <c r="C1983" s="246" t="s">
        <v>24</v>
      </c>
      <c r="D1983" s="1082">
        <v>3252</v>
      </c>
      <c r="E1983" s="649" t="s">
        <v>4809</v>
      </c>
      <c r="F1983" s="649" t="s">
        <v>4844</v>
      </c>
      <c r="G1983" s="649">
        <v>6587</v>
      </c>
      <c r="H1983" s="649" t="s">
        <v>4757</v>
      </c>
      <c r="I1983" s="1818" t="s">
        <v>4759</v>
      </c>
      <c r="J1983" s="649" t="s">
        <v>111</v>
      </c>
      <c r="K1983" s="649" t="s">
        <v>110</v>
      </c>
      <c r="L1983" s="1819">
        <v>1</v>
      </c>
      <c r="M1983" s="1814" t="s">
        <v>4862</v>
      </c>
      <c r="N1983" s="1814"/>
      <c r="O1983" s="1820" t="s">
        <v>4863</v>
      </c>
      <c r="P1983" s="1816">
        <v>1</v>
      </c>
      <c r="Q1983" s="1304">
        <v>0.05</v>
      </c>
      <c r="R1983" s="1816"/>
      <c r="S1983" s="846">
        <f t="shared" si="60"/>
        <v>0</v>
      </c>
      <c r="T1983" s="701">
        <f t="shared" si="61"/>
        <v>0</v>
      </c>
      <c r="U1983" s="649" t="s">
        <v>34</v>
      </c>
      <c r="V1983" s="1799"/>
      <c r="W1983" s="1655"/>
    </row>
    <row r="1984" spans="1:23" ht="22.95" customHeight="1" x14ac:dyDescent="0.4">
      <c r="A1984" s="788">
        <v>1983</v>
      </c>
      <c r="B1984" s="210" t="s">
        <v>2616</v>
      </c>
      <c r="C1984" s="246" t="s">
        <v>24</v>
      </c>
      <c r="D1984" s="1082">
        <v>3252</v>
      </c>
      <c r="E1984" s="649" t="s">
        <v>4809</v>
      </c>
      <c r="F1984" s="649" t="s">
        <v>4844</v>
      </c>
      <c r="G1984" s="649">
        <v>6588</v>
      </c>
      <c r="H1984" s="649" t="s">
        <v>4757</v>
      </c>
      <c r="I1984" s="1818" t="s">
        <v>4759</v>
      </c>
      <c r="J1984" s="649" t="s">
        <v>111</v>
      </c>
      <c r="K1984" s="649" t="s">
        <v>110</v>
      </c>
      <c r="L1984" s="1819">
        <v>1</v>
      </c>
      <c r="M1984" s="1814" t="s">
        <v>4864</v>
      </c>
      <c r="N1984" s="1814"/>
      <c r="O1984" s="1820"/>
      <c r="P1984" s="1816">
        <v>1</v>
      </c>
      <c r="Q1984" s="1304">
        <v>0.05</v>
      </c>
      <c r="R1984" s="1816"/>
      <c r="S1984" s="846">
        <f t="shared" si="60"/>
        <v>0</v>
      </c>
      <c r="T1984" s="701">
        <f t="shared" si="61"/>
        <v>0</v>
      </c>
      <c r="U1984" s="649" t="s">
        <v>34</v>
      </c>
      <c r="V1984" s="1799"/>
      <c r="W1984" s="1655"/>
    </row>
    <row r="1985" spans="1:23" ht="22.95" customHeight="1" x14ac:dyDescent="0.4">
      <c r="A1985" s="788">
        <v>1984</v>
      </c>
      <c r="B1985" s="210" t="s">
        <v>2616</v>
      </c>
      <c r="C1985" s="246" t="s">
        <v>24</v>
      </c>
      <c r="D1985" s="1082">
        <v>3252</v>
      </c>
      <c r="E1985" s="649" t="s">
        <v>4809</v>
      </c>
      <c r="F1985" s="649" t="s">
        <v>4844</v>
      </c>
      <c r="G1985" s="649">
        <v>6590</v>
      </c>
      <c r="H1985" s="649" t="s">
        <v>4757</v>
      </c>
      <c r="I1985" s="1818" t="s">
        <v>4759</v>
      </c>
      <c r="J1985" s="649" t="s">
        <v>111</v>
      </c>
      <c r="K1985" s="649" t="s">
        <v>110</v>
      </c>
      <c r="L1985" s="1819">
        <v>1</v>
      </c>
      <c r="M1985" s="1814" t="s">
        <v>4865</v>
      </c>
      <c r="N1985" s="1814"/>
      <c r="O1985" s="1820" t="s">
        <v>4866</v>
      </c>
      <c r="P1985" s="1816">
        <v>1</v>
      </c>
      <c r="Q1985" s="1304">
        <v>0.05</v>
      </c>
      <c r="R1985" s="1816"/>
      <c r="S1985" s="846">
        <f t="shared" si="60"/>
        <v>0</v>
      </c>
      <c r="T1985" s="701">
        <f t="shared" si="61"/>
        <v>0</v>
      </c>
      <c r="U1985" s="649" t="s">
        <v>34</v>
      </c>
      <c r="V1985" s="1799"/>
      <c r="W1985" s="1655"/>
    </row>
    <row r="1986" spans="1:23" ht="22.95" customHeight="1" x14ac:dyDescent="0.4">
      <c r="A1986" s="788">
        <v>1985</v>
      </c>
      <c r="B1986" s="210" t="s">
        <v>2616</v>
      </c>
      <c r="C1986" s="246" t="s">
        <v>24</v>
      </c>
      <c r="D1986" s="1082">
        <v>3252</v>
      </c>
      <c r="E1986" s="649" t="s">
        <v>4809</v>
      </c>
      <c r="F1986" s="649" t="s">
        <v>4844</v>
      </c>
      <c r="G1986" s="649">
        <v>6591</v>
      </c>
      <c r="H1986" s="649" t="s">
        <v>4757</v>
      </c>
      <c r="I1986" s="1818" t="s">
        <v>4759</v>
      </c>
      <c r="J1986" s="649" t="s">
        <v>111</v>
      </c>
      <c r="K1986" s="649" t="s">
        <v>110</v>
      </c>
      <c r="L1986" s="1819">
        <v>1</v>
      </c>
      <c r="M1986" s="1814" t="s">
        <v>4867</v>
      </c>
      <c r="N1986" s="1814"/>
      <c r="O1986" s="1820" t="s">
        <v>4868</v>
      </c>
      <c r="P1986" s="1816">
        <v>0.3</v>
      </c>
      <c r="Q1986" s="1304">
        <v>0.05</v>
      </c>
      <c r="R1986" s="1816"/>
      <c r="S1986" s="846">
        <f t="shared" ref="S1986:S2049" si="62">ROUND(IF(OR(P1986="",R1986=""),0,IF(AND(P1986=0,R1986=0),1,IF(U1986="+",R1986/P1986,P1986/R1986))),2)</f>
        <v>0</v>
      </c>
      <c r="T1986" s="701">
        <f t="shared" ref="T1986:T2049" si="63">IF(AND(S1986&gt;=60%,S1986&lt;100%),S1986*((Q1986*L1986)),IF(S1986=100%,((Q1986*L1986)*S1986)*100%,IF(S1986&gt;100%,((L1986*Q1986)*100%)*100%,0)))*100</f>
        <v>0</v>
      </c>
      <c r="U1986" s="649" t="s">
        <v>34</v>
      </c>
      <c r="V1986" s="1799"/>
      <c r="W1986" s="1655"/>
    </row>
    <row r="1987" spans="1:23" ht="22.95" customHeight="1" x14ac:dyDescent="0.4">
      <c r="A1987" s="788">
        <v>1986</v>
      </c>
      <c r="B1987" s="243" t="s">
        <v>2616</v>
      </c>
      <c r="C1987" s="187" t="s">
        <v>24</v>
      </c>
      <c r="D1987" s="1200">
        <v>5411</v>
      </c>
      <c r="E1987" s="187" t="s">
        <v>4869</v>
      </c>
      <c r="F1987" s="187" t="s">
        <v>4870</v>
      </c>
      <c r="G1987" s="653">
        <v>6585</v>
      </c>
      <c r="H1987" s="187" t="s">
        <v>4871</v>
      </c>
      <c r="I1987" s="653" t="s">
        <v>4759</v>
      </c>
      <c r="J1987" s="187" t="s">
        <v>111</v>
      </c>
      <c r="K1987" s="653" t="s">
        <v>110</v>
      </c>
      <c r="L1987" s="1790">
        <v>1</v>
      </c>
      <c r="M1987" s="1431" t="s">
        <v>4760</v>
      </c>
      <c r="N1987" s="1131" t="s">
        <v>4761</v>
      </c>
      <c r="O1987" s="225"/>
      <c r="P1987" s="197">
        <v>1</v>
      </c>
      <c r="Q1987" s="1821">
        <v>0.1</v>
      </c>
      <c r="R1987" s="197"/>
      <c r="S1987" s="195">
        <f t="shared" si="62"/>
        <v>0</v>
      </c>
      <c r="T1987" s="1354">
        <f t="shared" si="63"/>
        <v>0</v>
      </c>
      <c r="U1987" s="794" t="s">
        <v>34</v>
      </c>
      <c r="V1987" s="1214">
        <f>SUM(T1987:T1998)%</f>
        <v>0</v>
      </c>
      <c r="W1987" s="1008"/>
    </row>
    <row r="1988" spans="1:23" ht="22.95" customHeight="1" x14ac:dyDescent="0.4">
      <c r="A1988" s="788">
        <v>1987</v>
      </c>
      <c r="B1988" s="210" t="s">
        <v>2616</v>
      </c>
      <c r="C1988" s="199" t="s">
        <v>24</v>
      </c>
      <c r="D1988" s="1306">
        <v>5411</v>
      </c>
      <c r="E1988" s="246" t="s">
        <v>4869</v>
      </c>
      <c r="F1988" s="246" t="s">
        <v>4870</v>
      </c>
      <c r="G1988" s="648">
        <v>6585</v>
      </c>
      <c r="H1988" s="246" t="s">
        <v>4871</v>
      </c>
      <c r="I1988" s="649" t="s">
        <v>4759</v>
      </c>
      <c r="J1988" s="246" t="s">
        <v>111</v>
      </c>
      <c r="K1988" s="648" t="s">
        <v>110</v>
      </c>
      <c r="L1988" s="1802">
        <v>1</v>
      </c>
      <c r="M1988" s="1010" t="s">
        <v>4872</v>
      </c>
      <c r="N1988" s="1436" t="s">
        <v>4873</v>
      </c>
      <c r="O1988" s="1822"/>
      <c r="P1988" s="687">
        <v>1</v>
      </c>
      <c r="Q1988" s="1823">
        <v>0.1</v>
      </c>
      <c r="R1988" s="687"/>
      <c r="S1988" s="262">
        <f t="shared" si="62"/>
        <v>0</v>
      </c>
      <c r="T1988" s="1803">
        <f t="shared" si="63"/>
        <v>0</v>
      </c>
      <c r="U1988" s="1012" t="s">
        <v>34</v>
      </c>
      <c r="V1988" s="1824"/>
      <c r="W1988" s="1655"/>
    </row>
    <row r="1989" spans="1:23" ht="22.95" customHeight="1" x14ac:dyDescent="0.4">
      <c r="A1989" s="788">
        <v>1988</v>
      </c>
      <c r="B1989" s="210" t="s">
        <v>2616</v>
      </c>
      <c r="C1989" s="199" t="s">
        <v>24</v>
      </c>
      <c r="D1989" s="1306">
        <v>5411</v>
      </c>
      <c r="E1989" s="246" t="s">
        <v>4869</v>
      </c>
      <c r="F1989" s="246" t="s">
        <v>4870</v>
      </c>
      <c r="G1989" s="648">
        <v>6585</v>
      </c>
      <c r="H1989" s="246" t="s">
        <v>4871</v>
      </c>
      <c r="I1989" s="649" t="s">
        <v>4759</v>
      </c>
      <c r="J1989" s="246" t="s">
        <v>111</v>
      </c>
      <c r="K1989" s="648" t="s">
        <v>110</v>
      </c>
      <c r="L1989" s="1802">
        <v>1</v>
      </c>
      <c r="M1989" s="1435" t="s">
        <v>4874</v>
      </c>
      <c r="N1989" s="1436" t="s">
        <v>4875</v>
      </c>
      <c r="O1989" s="1822"/>
      <c r="P1989" s="687">
        <v>1</v>
      </c>
      <c r="Q1989" s="1823">
        <v>0.08</v>
      </c>
      <c r="R1989" s="687"/>
      <c r="S1989" s="262">
        <f t="shared" si="62"/>
        <v>0</v>
      </c>
      <c r="T1989" s="1803">
        <f t="shared" si="63"/>
        <v>0</v>
      </c>
      <c r="U1989" s="1012" t="s">
        <v>34</v>
      </c>
      <c r="V1989" s="1824"/>
      <c r="W1989" s="1655"/>
    </row>
    <row r="1990" spans="1:23" ht="22.95" customHeight="1" thickBot="1" x14ac:dyDescent="0.45">
      <c r="A1990" s="788">
        <v>1989</v>
      </c>
      <c r="B1990" s="210" t="s">
        <v>2616</v>
      </c>
      <c r="C1990" s="199" t="s">
        <v>24</v>
      </c>
      <c r="D1990" s="1306">
        <v>5411</v>
      </c>
      <c r="E1990" s="246" t="s">
        <v>4869</v>
      </c>
      <c r="F1990" s="246" t="s">
        <v>4870</v>
      </c>
      <c r="G1990" s="648">
        <v>6585</v>
      </c>
      <c r="H1990" s="246" t="s">
        <v>4871</v>
      </c>
      <c r="I1990" s="649" t="s">
        <v>4759</v>
      </c>
      <c r="J1990" s="246" t="s">
        <v>111</v>
      </c>
      <c r="K1990" s="648" t="s">
        <v>110</v>
      </c>
      <c r="L1990" s="1802">
        <v>1</v>
      </c>
      <c r="M1990" s="1825" t="s">
        <v>4876</v>
      </c>
      <c r="N1990" s="1436" t="s">
        <v>4877</v>
      </c>
      <c r="O1990" s="1822"/>
      <c r="P1990" s="687">
        <v>1</v>
      </c>
      <c r="Q1990" s="1823">
        <v>0.08</v>
      </c>
      <c r="R1990" s="687"/>
      <c r="S1990" s="262">
        <f t="shared" si="62"/>
        <v>0</v>
      </c>
      <c r="T1990" s="1803">
        <f t="shared" si="63"/>
        <v>0</v>
      </c>
      <c r="U1990" s="1012" t="s">
        <v>34</v>
      </c>
      <c r="V1990" s="1824"/>
      <c r="W1990" s="1655"/>
    </row>
    <row r="1991" spans="1:23" ht="22.95" customHeight="1" x14ac:dyDescent="0.4">
      <c r="A1991" s="788">
        <v>1990</v>
      </c>
      <c r="B1991" s="210" t="s">
        <v>2616</v>
      </c>
      <c r="C1991" s="199" t="s">
        <v>24</v>
      </c>
      <c r="D1991" s="1306">
        <v>5411</v>
      </c>
      <c r="E1991" s="246" t="s">
        <v>4869</v>
      </c>
      <c r="F1991" s="246" t="s">
        <v>4870</v>
      </c>
      <c r="G1991" s="648">
        <v>6585</v>
      </c>
      <c r="H1991" s="246" t="s">
        <v>4871</v>
      </c>
      <c r="I1991" s="649" t="s">
        <v>4759</v>
      </c>
      <c r="J1991" s="246" t="s">
        <v>111</v>
      </c>
      <c r="K1991" s="648" t="s">
        <v>110</v>
      </c>
      <c r="L1991" s="1802">
        <v>1</v>
      </c>
      <c r="M1991" s="1435" t="s">
        <v>4768</v>
      </c>
      <c r="N1991" s="1436" t="s">
        <v>4878</v>
      </c>
      <c r="O1991" s="949"/>
      <c r="P1991" s="1650">
        <v>1</v>
      </c>
      <c r="Q1991" s="1823">
        <v>0.08</v>
      </c>
      <c r="R1991" s="1650"/>
      <c r="S1991" s="262">
        <f t="shared" si="62"/>
        <v>0</v>
      </c>
      <c r="T1991" s="1803">
        <f t="shared" si="63"/>
        <v>0</v>
      </c>
      <c r="U1991" s="1012" t="s">
        <v>34</v>
      </c>
      <c r="V1991" s="1824"/>
      <c r="W1991" s="1655"/>
    </row>
    <row r="1992" spans="1:23" ht="22.95" customHeight="1" x14ac:dyDescent="0.4">
      <c r="A1992" s="788">
        <v>1991</v>
      </c>
      <c r="B1992" s="210" t="s">
        <v>2616</v>
      </c>
      <c r="C1992" s="199" t="s">
        <v>24</v>
      </c>
      <c r="D1992" s="1306">
        <v>5411</v>
      </c>
      <c r="E1992" s="246" t="s">
        <v>4869</v>
      </c>
      <c r="F1992" s="246" t="s">
        <v>4870</v>
      </c>
      <c r="G1992" s="648">
        <v>6585</v>
      </c>
      <c r="H1992" s="246" t="s">
        <v>4871</v>
      </c>
      <c r="I1992" s="649" t="s">
        <v>4759</v>
      </c>
      <c r="J1992" s="246" t="s">
        <v>111</v>
      </c>
      <c r="K1992" s="648" t="s">
        <v>110</v>
      </c>
      <c r="L1992" s="1802">
        <v>1</v>
      </c>
      <c r="M1992" s="1435" t="s">
        <v>4766</v>
      </c>
      <c r="N1992" s="1436" t="s">
        <v>4879</v>
      </c>
      <c r="O1992" s="949"/>
      <c r="P1992" s="1650">
        <v>1</v>
      </c>
      <c r="Q1992" s="1823">
        <v>0.1</v>
      </c>
      <c r="R1992" s="1650"/>
      <c r="S1992" s="262">
        <f t="shared" si="62"/>
        <v>0</v>
      </c>
      <c r="T1992" s="1803">
        <f t="shared" si="63"/>
        <v>0</v>
      </c>
      <c r="U1992" s="1012" t="s">
        <v>34</v>
      </c>
      <c r="V1992" s="1824"/>
      <c r="W1992" s="1655"/>
    </row>
    <row r="1993" spans="1:23" ht="22.95" customHeight="1" x14ac:dyDescent="0.4">
      <c r="A1993" s="788">
        <v>1992</v>
      </c>
      <c r="B1993" s="210" t="s">
        <v>2616</v>
      </c>
      <c r="C1993" s="199" t="s">
        <v>24</v>
      </c>
      <c r="D1993" s="1306">
        <v>5411</v>
      </c>
      <c r="E1993" s="246" t="s">
        <v>4869</v>
      </c>
      <c r="F1993" s="246" t="s">
        <v>4870</v>
      </c>
      <c r="G1993" s="648">
        <v>6585</v>
      </c>
      <c r="H1993" s="246" t="s">
        <v>4871</v>
      </c>
      <c r="I1993" s="649" t="s">
        <v>4759</v>
      </c>
      <c r="J1993" s="246" t="s">
        <v>111</v>
      </c>
      <c r="K1993" s="648" t="s">
        <v>110</v>
      </c>
      <c r="L1993" s="1802">
        <v>1</v>
      </c>
      <c r="M1993" s="1435" t="s">
        <v>4880</v>
      </c>
      <c r="N1993" s="1436" t="s">
        <v>4881</v>
      </c>
      <c r="O1993" s="949"/>
      <c r="P1993" s="1650">
        <v>1</v>
      </c>
      <c r="Q1993" s="1823">
        <v>0.05</v>
      </c>
      <c r="R1993" s="1650"/>
      <c r="S1993" s="262">
        <f t="shared" si="62"/>
        <v>0</v>
      </c>
      <c r="T1993" s="1803">
        <f t="shared" si="63"/>
        <v>0</v>
      </c>
      <c r="U1993" s="1012" t="s">
        <v>34</v>
      </c>
      <c r="V1993" s="1824"/>
      <c r="W1993" s="1655"/>
    </row>
    <row r="1994" spans="1:23" ht="22.95" customHeight="1" x14ac:dyDescent="0.4">
      <c r="A1994" s="788">
        <v>1993</v>
      </c>
      <c r="B1994" s="210" t="s">
        <v>2616</v>
      </c>
      <c r="C1994" s="199" t="s">
        <v>24</v>
      </c>
      <c r="D1994" s="1306">
        <v>5411</v>
      </c>
      <c r="E1994" s="246" t="s">
        <v>4869</v>
      </c>
      <c r="F1994" s="246" t="s">
        <v>4870</v>
      </c>
      <c r="G1994" s="648">
        <v>6585</v>
      </c>
      <c r="H1994" s="246" t="s">
        <v>4871</v>
      </c>
      <c r="I1994" s="649" t="s">
        <v>4759</v>
      </c>
      <c r="J1994" s="246" t="s">
        <v>111</v>
      </c>
      <c r="K1994" s="648" t="s">
        <v>110</v>
      </c>
      <c r="L1994" s="1802">
        <v>1</v>
      </c>
      <c r="M1994" s="1435" t="s">
        <v>4882</v>
      </c>
      <c r="N1994" s="1436" t="s">
        <v>4883</v>
      </c>
      <c r="O1994" s="949"/>
      <c r="P1994" s="1650">
        <v>1</v>
      </c>
      <c r="Q1994" s="1823">
        <v>0.08</v>
      </c>
      <c r="R1994" s="1650"/>
      <c r="S1994" s="262">
        <f t="shared" si="62"/>
        <v>0</v>
      </c>
      <c r="T1994" s="1803">
        <f t="shared" si="63"/>
        <v>0</v>
      </c>
      <c r="U1994" s="1012" t="s">
        <v>34</v>
      </c>
      <c r="V1994" s="1824"/>
      <c r="W1994" s="1655"/>
    </row>
    <row r="1995" spans="1:23" ht="22.95" customHeight="1" x14ac:dyDescent="0.4">
      <c r="A1995" s="788">
        <v>1994</v>
      </c>
      <c r="B1995" s="210" t="s">
        <v>2616</v>
      </c>
      <c r="C1995" s="199" t="s">
        <v>24</v>
      </c>
      <c r="D1995" s="1306">
        <v>5411</v>
      </c>
      <c r="E1995" s="246" t="s">
        <v>4869</v>
      </c>
      <c r="F1995" s="246" t="s">
        <v>4870</v>
      </c>
      <c r="G1995" s="648">
        <v>6585</v>
      </c>
      <c r="H1995" s="246" t="s">
        <v>4871</v>
      </c>
      <c r="I1995" s="649" t="s">
        <v>4759</v>
      </c>
      <c r="J1995" s="246" t="s">
        <v>111</v>
      </c>
      <c r="K1995" s="648" t="s">
        <v>110</v>
      </c>
      <c r="L1995" s="1802">
        <v>1</v>
      </c>
      <c r="M1995" s="1435" t="s">
        <v>4884</v>
      </c>
      <c r="N1995" s="1436" t="s">
        <v>4885</v>
      </c>
      <c r="O1995" s="949"/>
      <c r="P1995" s="1650">
        <v>1</v>
      </c>
      <c r="Q1995" s="1823">
        <v>0.08</v>
      </c>
      <c r="R1995" s="1650"/>
      <c r="S1995" s="262">
        <f t="shared" si="62"/>
        <v>0</v>
      </c>
      <c r="T1995" s="1803">
        <f t="shared" si="63"/>
        <v>0</v>
      </c>
      <c r="U1995" s="1012" t="s">
        <v>34</v>
      </c>
      <c r="V1995" s="1824"/>
      <c r="W1995" s="1655"/>
    </row>
    <row r="1996" spans="1:23" ht="22.95" customHeight="1" x14ac:dyDescent="0.4">
      <c r="A1996" s="788">
        <v>1995</v>
      </c>
      <c r="B1996" s="210" t="s">
        <v>2616</v>
      </c>
      <c r="C1996" s="199" t="s">
        <v>24</v>
      </c>
      <c r="D1996" s="1306">
        <v>5411</v>
      </c>
      <c r="E1996" s="246" t="s">
        <v>4869</v>
      </c>
      <c r="F1996" s="246" t="s">
        <v>4870</v>
      </c>
      <c r="G1996" s="648">
        <v>6585</v>
      </c>
      <c r="H1996" s="246" t="s">
        <v>4871</v>
      </c>
      <c r="I1996" s="649" t="s">
        <v>4759</v>
      </c>
      <c r="J1996" s="246" t="s">
        <v>111</v>
      </c>
      <c r="K1996" s="648" t="s">
        <v>110</v>
      </c>
      <c r="L1996" s="1802">
        <v>1</v>
      </c>
      <c r="M1996" s="1435" t="s">
        <v>4837</v>
      </c>
      <c r="N1996" s="1436" t="s">
        <v>4789</v>
      </c>
      <c r="O1996" s="949"/>
      <c r="P1996" s="1650">
        <v>1</v>
      </c>
      <c r="Q1996" s="1823">
        <v>7.0000000000000007E-2</v>
      </c>
      <c r="R1996" s="1650"/>
      <c r="S1996" s="262">
        <f t="shared" si="62"/>
        <v>0</v>
      </c>
      <c r="T1996" s="1803">
        <f t="shared" si="63"/>
        <v>0</v>
      </c>
      <c r="U1996" s="1012" t="s">
        <v>34</v>
      </c>
      <c r="V1996" s="1824"/>
      <c r="W1996" s="1655"/>
    </row>
    <row r="1997" spans="1:23" ht="22.95" customHeight="1" x14ac:dyDescent="0.4">
      <c r="A1997" s="788">
        <v>1996</v>
      </c>
      <c r="B1997" s="210" t="s">
        <v>2616</v>
      </c>
      <c r="C1997" s="199" t="s">
        <v>24</v>
      </c>
      <c r="D1997" s="1306">
        <v>5411</v>
      </c>
      <c r="E1997" s="246" t="s">
        <v>4869</v>
      </c>
      <c r="F1997" s="246" t="s">
        <v>4870</v>
      </c>
      <c r="G1997" s="648">
        <v>6585</v>
      </c>
      <c r="H1997" s="246" t="s">
        <v>4871</v>
      </c>
      <c r="I1997" s="649" t="s">
        <v>4759</v>
      </c>
      <c r="J1997" s="246" t="s">
        <v>111</v>
      </c>
      <c r="K1997" s="648" t="s">
        <v>110</v>
      </c>
      <c r="L1997" s="1802">
        <v>1</v>
      </c>
      <c r="M1997" s="1435" t="s">
        <v>4886</v>
      </c>
      <c r="N1997" s="1826" t="s">
        <v>4887</v>
      </c>
      <c r="O1997" s="949"/>
      <c r="P1997" s="1650">
        <v>1</v>
      </c>
      <c r="Q1997" s="1823">
        <v>0.1</v>
      </c>
      <c r="R1997" s="1650"/>
      <c r="S1997" s="262">
        <f t="shared" si="62"/>
        <v>0</v>
      </c>
      <c r="T1997" s="1803">
        <f t="shared" si="63"/>
        <v>0</v>
      </c>
      <c r="U1997" s="1012" t="s">
        <v>34</v>
      </c>
      <c r="V1997" s="1824"/>
      <c r="W1997" s="1655"/>
    </row>
    <row r="1998" spans="1:23" ht="22.95" customHeight="1" x14ac:dyDescent="0.4">
      <c r="A1998" s="788">
        <v>1997</v>
      </c>
      <c r="B1998" s="210" t="s">
        <v>2616</v>
      </c>
      <c r="C1998" s="199" t="s">
        <v>24</v>
      </c>
      <c r="D1998" s="1306">
        <v>5411</v>
      </c>
      <c r="E1998" s="246" t="s">
        <v>4869</v>
      </c>
      <c r="F1998" s="246" t="s">
        <v>4870</v>
      </c>
      <c r="G1998" s="648">
        <v>6585</v>
      </c>
      <c r="H1998" s="246" t="s">
        <v>4871</v>
      </c>
      <c r="I1998" s="649" t="s">
        <v>4759</v>
      </c>
      <c r="J1998" s="246" t="s">
        <v>111</v>
      </c>
      <c r="K1998" s="648" t="s">
        <v>110</v>
      </c>
      <c r="L1998" s="1802">
        <v>1</v>
      </c>
      <c r="M1998" s="1435" t="s">
        <v>4888</v>
      </c>
      <c r="N1998" s="1436" t="s">
        <v>4889</v>
      </c>
      <c r="O1998" s="949"/>
      <c r="P1998" s="1650">
        <v>1</v>
      </c>
      <c r="Q1998" s="1823">
        <v>0.08</v>
      </c>
      <c r="R1998" s="1650"/>
      <c r="S1998" s="262">
        <f t="shared" si="62"/>
        <v>0</v>
      </c>
      <c r="T1998" s="1803">
        <f t="shared" si="63"/>
        <v>0</v>
      </c>
      <c r="U1998" s="1012" t="s">
        <v>34</v>
      </c>
      <c r="V1998" s="1824"/>
      <c r="W1998" s="1655"/>
    </row>
    <row r="1999" spans="1:23" ht="22.95" customHeight="1" x14ac:dyDescent="0.4">
      <c r="A1999" s="788">
        <v>1998</v>
      </c>
      <c r="B1999" s="243" t="s">
        <v>2616</v>
      </c>
      <c r="C1999" s="187" t="s">
        <v>24</v>
      </c>
      <c r="D1999" s="1200">
        <v>5222</v>
      </c>
      <c r="E1999" s="187" t="s">
        <v>4890</v>
      </c>
      <c r="F1999" s="187" t="s">
        <v>4870</v>
      </c>
      <c r="G1999" s="653">
        <v>6585</v>
      </c>
      <c r="H1999" s="187" t="s">
        <v>4891</v>
      </c>
      <c r="I1999" s="653" t="s">
        <v>4759</v>
      </c>
      <c r="J1999" s="187" t="s">
        <v>111</v>
      </c>
      <c r="K1999" s="653" t="s">
        <v>110</v>
      </c>
      <c r="L1999" s="1790">
        <v>1</v>
      </c>
      <c r="M1999" s="1008" t="s">
        <v>4760</v>
      </c>
      <c r="N1999" s="1131" t="s">
        <v>4761</v>
      </c>
      <c r="O1999" s="225"/>
      <c r="P1999" s="197">
        <v>1</v>
      </c>
      <c r="Q1999" s="1821">
        <v>0.08</v>
      </c>
      <c r="R1999" s="197"/>
      <c r="S1999" s="195">
        <f t="shared" si="62"/>
        <v>0</v>
      </c>
      <c r="T1999" s="1354">
        <f t="shared" si="63"/>
        <v>0</v>
      </c>
      <c r="U1999" s="794" t="s">
        <v>34</v>
      </c>
      <c r="V1999" s="1214">
        <f>SUM(T1999:T2011)%</f>
        <v>0</v>
      </c>
      <c r="W1999" s="1008"/>
    </row>
    <row r="2000" spans="1:23" ht="22.95" customHeight="1" x14ac:dyDescent="0.4">
      <c r="A2000" s="788">
        <v>1999</v>
      </c>
      <c r="B2000" s="210" t="s">
        <v>2616</v>
      </c>
      <c r="C2000" s="246" t="s">
        <v>24</v>
      </c>
      <c r="D2000" s="1306">
        <v>5222</v>
      </c>
      <c r="E2000" s="246" t="s">
        <v>4890</v>
      </c>
      <c r="F2000" s="246" t="s">
        <v>4870</v>
      </c>
      <c r="G2000" s="648">
        <v>6585</v>
      </c>
      <c r="H2000" s="246" t="s">
        <v>4891</v>
      </c>
      <c r="I2000" s="649" t="s">
        <v>4759</v>
      </c>
      <c r="J2000" s="246" t="s">
        <v>111</v>
      </c>
      <c r="K2000" s="648" t="s">
        <v>110</v>
      </c>
      <c r="L2000" s="1802">
        <v>1</v>
      </c>
      <c r="M2000" s="1010" t="s">
        <v>4872</v>
      </c>
      <c r="N2000" s="1436" t="s">
        <v>4873</v>
      </c>
      <c r="O2000" s="1822"/>
      <c r="P2000" s="864">
        <v>1</v>
      </c>
      <c r="Q2000" s="1827">
        <v>7.0000000000000007E-2</v>
      </c>
      <c r="R2000" s="864"/>
      <c r="S2000" s="234">
        <f t="shared" si="62"/>
        <v>0</v>
      </c>
      <c r="T2000" s="867">
        <f t="shared" si="63"/>
        <v>0</v>
      </c>
      <c r="U2000" s="803" t="s">
        <v>34</v>
      </c>
      <c r="V2000" s="1799"/>
      <c r="W2000" s="1655"/>
    </row>
    <row r="2001" spans="1:23" ht="22.95" customHeight="1" x14ac:dyDescent="0.4">
      <c r="A2001" s="788">
        <v>2000</v>
      </c>
      <c r="B2001" s="210" t="s">
        <v>2616</v>
      </c>
      <c r="C2001" s="246" t="s">
        <v>24</v>
      </c>
      <c r="D2001" s="1306">
        <v>5222</v>
      </c>
      <c r="E2001" s="246" t="s">
        <v>4890</v>
      </c>
      <c r="F2001" s="246" t="s">
        <v>4870</v>
      </c>
      <c r="G2001" s="648">
        <v>6585</v>
      </c>
      <c r="H2001" s="246" t="s">
        <v>4891</v>
      </c>
      <c r="I2001" s="649" t="s">
        <v>4759</v>
      </c>
      <c r="J2001" s="246" t="s">
        <v>111</v>
      </c>
      <c r="K2001" s="648" t="s">
        <v>110</v>
      </c>
      <c r="L2001" s="1802">
        <v>1</v>
      </c>
      <c r="M2001" s="1010" t="s">
        <v>4874</v>
      </c>
      <c r="N2001" s="1436" t="s">
        <v>4875</v>
      </c>
      <c r="O2001" s="1822"/>
      <c r="P2001" s="864">
        <v>1</v>
      </c>
      <c r="Q2001" s="1827">
        <v>0.09</v>
      </c>
      <c r="R2001" s="864"/>
      <c r="S2001" s="234">
        <f t="shared" si="62"/>
        <v>0</v>
      </c>
      <c r="T2001" s="867">
        <f t="shared" si="63"/>
        <v>0</v>
      </c>
      <c r="U2001" s="803" t="s">
        <v>34</v>
      </c>
      <c r="V2001" s="1799"/>
      <c r="W2001" s="1655"/>
    </row>
    <row r="2002" spans="1:23" ht="22.95" customHeight="1" x14ac:dyDescent="0.4">
      <c r="A2002" s="788">
        <v>2001</v>
      </c>
      <c r="B2002" s="210" t="s">
        <v>2616</v>
      </c>
      <c r="C2002" s="246" t="s">
        <v>24</v>
      </c>
      <c r="D2002" s="1306">
        <v>5222</v>
      </c>
      <c r="E2002" s="246" t="s">
        <v>4890</v>
      </c>
      <c r="F2002" s="246" t="s">
        <v>4870</v>
      </c>
      <c r="G2002" s="648">
        <v>6585</v>
      </c>
      <c r="H2002" s="246" t="s">
        <v>4891</v>
      </c>
      <c r="I2002" s="649" t="s">
        <v>4759</v>
      </c>
      <c r="J2002" s="246" t="s">
        <v>111</v>
      </c>
      <c r="K2002" s="648" t="s">
        <v>110</v>
      </c>
      <c r="L2002" s="1802">
        <v>1</v>
      </c>
      <c r="M2002" s="1010" t="s">
        <v>4876</v>
      </c>
      <c r="N2002" s="1436" t="s">
        <v>4877</v>
      </c>
      <c r="O2002" s="1822"/>
      <c r="P2002" s="864">
        <v>1</v>
      </c>
      <c r="Q2002" s="1827">
        <v>0.1</v>
      </c>
      <c r="R2002" s="864"/>
      <c r="S2002" s="234">
        <f t="shared" si="62"/>
        <v>0</v>
      </c>
      <c r="T2002" s="867">
        <f t="shared" si="63"/>
        <v>0</v>
      </c>
      <c r="U2002" s="803" t="s">
        <v>34</v>
      </c>
      <c r="V2002" s="1799"/>
      <c r="W2002" s="1655"/>
    </row>
    <row r="2003" spans="1:23" ht="22.95" customHeight="1" x14ac:dyDescent="0.4">
      <c r="A2003" s="788">
        <v>2002</v>
      </c>
      <c r="B2003" s="210" t="s">
        <v>2616</v>
      </c>
      <c r="C2003" s="246" t="s">
        <v>24</v>
      </c>
      <c r="D2003" s="1306">
        <v>5222</v>
      </c>
      <c r="E2003" s="246" t="s">
        <v>4890</v>
      </c>
      <c r="F2003" s="246" t="s">
        <v>4870</v>
      </c>
      <c r="G2003" s="648">
        <v>6585</v>
      </c>
      <c r="H2003" s="246" t="s">
        <v>4891</v>
      </c>
      <c r="I2003" s="649" t="s">
        <v>4759</v>
      </c>
      <c r="J2003" s="246" t="s">
        <v>111</v>
      </c>
      <c r="K2003" s="648" t="s">
        <v>110</v>
      </c>
      <c r="L2003" s="1802">
        <v>1</v>
      </c>
      <c r="M2003" s="1010" t="s">
        <v>4768</v>
      </c>
      <c r="N2003" s="1436" t="s">
        <v>4878</v>
      </c>
      <c r="O2003" s="949"/>
      <c r="P2003" s="1650">
        <v>1</v>
      </c>
      <c r="Q2003" s="1823">
        <v>0.08</v>
      </c>
      <c r="R2003" s="1650"/>
      <c r="S2003" s="234">
        <f t="shared" si="62"/>
        <v>0</v>
      </c>
      <c r="T2003" s="867">
        <f t="shared" si="63"/>
        <v>0</v>
      </c>
      <c r="U2003" s="803" t="s">
        <v>34</v>
      </c>
      <c r="V2003" s="1799"/>
      <c r="W2003" s="1655"/>
    </row>
    <row r="2004" spans="1:23" ht="22.95" customHeight="1" x14ac:dyDescent="0.4">
      <c r="A2004" s="788">
        <v>2003</v>
      </c>
      <c r="B2004" s="210" t="s">
        <v>2616</v>
      </c>
      <c r="C2004" s="246" t="s">
        <v>24</v>
      </c>
      <c r="D2004" s="1306">
        <v>5222</v>
      </c>
      <c r="E2004" s="246" t="s">
        <v>4890</v>
      </c>
      <c r="F2004" s="246" t="s">
        <v>4870</v>
      </c>
      <c r="G2004" s="648">
        <v>6585</v>
      </c>
      <c r="H2004" s="246" t="s">
        <v>4891</v>
      </c>
      <c r="I2004" s="649" t="s">
        <v>4759</v>
      </c>
      <c r="J2004" s="246" t="s">
        <v>111</v>
      </c>
      <c r="K2004" s="648" t="s">
        <v>110</v>
      </c>
      <c r="L2004" s="1802">
        <v>1</v>
      </c>
      <c r="M2004" s="1010" t="s">
        <v>4766</v>
      </c>
      <c r="N2004" s="1436" t="s">
        <v>4879</v>
      </c>
      <c r="O2004" s="949"/>
      <c r="P2004" s="1650">
        <v>1</v>
      </c>
      <c r="Q2004" s="1823">
        <v>7.0000000000000007E-2</v>
      </c>
      <c r="R2004" s="1650"/>
      <c r="S2004" s="234">
        <f t="shared" si="62"/>
        <v>0</v>
      </c>
      <c r="T2004" s="867">
        <f t="shared" si="63"/>
        <v>0</v>
      </c>
      <c r="U2004" s="803" t="s">
        <v>34</v>
      </c>
      <c r="V2004" s="1799"/>
      <c r="W2004" s="1655"/>
    </row>
    <row r="2005" spans="1:23" ht="22.95" customHeight="1" x14ac:dyDescent="0.4">
      <c r="A2005" s="788">
        <v>2004</v>
      </c>
      <c r="B2005" s="210" t="s">
        <v>2616</v>
      </c>
      <c r="C2005" s="246" t="s">
        <v>24</v>
      </c>
      <c r="D2005" s="1306">
        <v>5222</v>
      </c>
      <c r="E2005" s="246" t="s">
        <v>4890</v>
      </c>
      <c r="F2005" s="246" t="s">
        <v>4870</v>
      </c>
      <c r="G2005" s="648">
        <v>6585</v>
      </c>
      <c r="H2005" s="246" t="s">
        <v>4891</v>
      </c>
      <c r="I2005" s="649" t="s">
        <v>4759</v>
      </c>
      <c r="J2005" s="246" t="s">
        <v>111</v>
      </c>
      <c r="K2005" s="648" t="s">
        <v>110</v>
      </c>
      <c r="L2005" s="1802">
        <v>1</v>
      </c>
      <c r="M2005" s="1010" t="s">
        <v>4880</v>
      </c>
      <c r="N2005" s="1436" t="s">
        <v>4881</v>
      </c>
      <c r="O2005" s="949"/>
      <c r="P2005" s="1650">
        <v>1</v>
      </c>
      <c r="Q2005" s="1823">
        <v>0.08</v>
      </c>
      <c r="R2005" s="1650"/>
      <c r="S2005" s="234">
        <f t="shared" si="62"/>
        <v>0</v>
      </c>
      <c r="T2005" s="867">
        <f t="shared" si="63"/>
        <v>0</v>
      </c>
      <c r="U2005" s="803" t="s">
        <v>34</v>
      </c>
      <c r="V2005" s="1799"/>
      <c r="W2005" s="1655"/>
    </row>
    <row r="2006" spans="1:23" ht="22.95" customHeight="1" x14ac:dyDescent="0.4">
      <c r="A2006" s="788">
        <v>2005</v>
      </c>
      <c r="B2006" s="210" t="s">
        <v>2616</v>
      </c>
      <c r="C2006" s="246" t="s">
        <v>24</v>
      </c>
      <c r="D2006" s="1306">
        <v>5222</v>
      </c>
      <c r="E2006" s="246" t="s">
        <v>4890</v>
      </c>
      <c r="F2006" s="246" t="s">
        <v>4870</v>
      </c>
      <c r="G2006" s="648">
        <v>6585</v>
      </c>
      <c r="H2006" s="246" t="s">
        <v>4891</v>
      </c>
      <c r="I2006" s="649" t="s">
        <v>4759</v>
      </c>
      <c r="J2006" s="246" t="s">
        <v>111</v>
      </c>
      <c r="K2006" s="648" t="s">
        <v>110</v>
      </c>
      <c r="L2006" s="1802">
        <v>1</v>
      </c>
      <c r="M2006" s="1010" t="s">
        <v>4882</v>
      </c>
      <c r="N2006" s="1436" t="s">
        <v>4883</v>
      </c>
      <c r="O2006" s="949"/>
      <c r="P2006" s="1650">
        <v>1</v>
      </c>
      <c r="Q2006" s="1823">
        <v>0.08</v>
      </c>
      <c r="R2006" s="1650"/>
      <c r="S2006" s="234">
        <f t="shared" si="62"/>
        <v>0</v>
      </c>
      <c r="T2006" s="867">
        <f t="shared" si="63"/>
        <v>0</v>
      </c>
      <c r="U2006" s="803" t="s">
        <v>34</v>
      </c>
      <c r="V2006" s="1799"/>
      <c r="W2006" s="1655"/>
    </row>
    <row r="2007" spans="1:23" ht="22.95" customHeight="1" x14ac:dyDescent="0.4">
      <c r="A2007" s="788">
        <v>2006</v>
      </c>
      <c r="B2007" s="210" t="s">
        <v>2616</v>
      </c>
      <c r="C2007" s="246" t="s">
        <v>24</v>
      </c>
      <c r="D2007" s="1306">
        <v>5222</v>
      </c>
      <c r="E2007" s="246" t="s">
        <v>4890</v>
      </c>
      <c r="F2007" s="246" t="s">
        <v>4870</v>
      </c>
      <c r="G2007" s="648">
        <v>6585</v>
      </c>
      <c r="H2007" s="246" t="s">
        <v>4891</v>
      </c>
      <c r="I2007" s="649" t="s">
        <v>4759</v>
      </c>
      <c r="J2007" s="246" t="s">
        <v>111</v>
      </c>
      <c r="K2007" s="648" t="s">
        <v>110</v>
      </c>
      <c r="L2007" s="1802">
        <v>1</v>
      </c>
      <c r="M2007" s="1010" t="s">
        <v>4884</v>
      </c>
      <c r="N2007" s="1436" t="s">
        <v>4885</v>
      </c>
      <c r="O2007" s="949"/>
      <c r="P2007" s="1650">
        <v>1</v>
      </c>
      <c r="Q2007" s="1823">
        <v>0.08</v>
      </c>
      <c r="R2007" s="1650"/>
      <c r="S2007" s="234">
        <f t="shared" si="62"/>
        <v>0</v>
      </c>
      <c r="T2007" s="867">
        <f t="shared" si="63"/>
        <v>0</v>
      </c>
      <c r="U2007" s="803" t="s">
        <v>34</v>
      </c>
      <c r="V2007" s="1799"/>
      <c r="W2007" s="1655"/>
    </row>
    <row r="2008" spans="1:23" ht="22.95" customHeight="1" x14ac:dyDescent="0.4">
      <c r="A2008" s="788">
        <v>2007</v>
      </c>
      <c r="B2008" s="210" t="s">
        <v>2616</v>
      </c>
      <c r="C2008" s="246" t="s">
        <v>24</v>
      </c>
      <c r="D2008" s="1306">
        <v>5222</v>
      </c>
      <c r="E2008" s="246" t="s">
        <v>4890</v>
      </c>
      <c r="F2008" s="246" t="s">
        <v>4870</v>
      </c>
      <c r="G2008" s="648">
        <v>6585</v>
      </c>
      <c r="H2008" s="246" t="s">
        <v>4891</v>
      </c>
      <c r="I2008" s="649" t="s">
        <v>4759</v>
      </c>
      <c r="J2008" s="246" t="s">
        <v>111</v>
      </c>
      <c r="K2008" s="648" t="s">
        <v>110</v>
      </c>
      <c r="L2008" s="1802">
        <v>1</v>
      </c>
      <c r="M2008" s="1010" t="s">
        <v>4837</v>
      </c>
      <c r="N2008" s="1436" t="s">
        <v>4789</v>
      </c>
      <c r="O2008" s="949"/>
      <c r="P2008" s="1650">
        <v>1</v>
      </c>
      <c r="Q2008" s="1823">
        <v>0.08</v>
      </c>
      <c r="R2008" s="1650"/>
      <c r="S2008" s="234">
        <f t="shared" si="62"/>
        <v>0</v>
      </c>
      <c r="T2008" s="867">
        <f t="shared" si="63"/>
        <v>0</v>
      </c>
      <c r="U2008" s="803" t="s">
        <v>34</v>
      </c>
      <c r="V2008" s="1799"/>
      <c r="W2008" s="1655"/>
    </row>
    <row r="2009" spans="1:23" ht="22.95" customHeight="1" x14ac:dyDescent="0.4">
      <c r="A2009" s="788">
        <v>2008</v>
      </c>
      <c r="B2009" s="210" t="s">
        <v>2616</v>
      </c>
      <c r="C2009" s="246" t="s">
        <v>24</v>
      </c>
      <c r="D2009" s="1306">
        <v>5222</v>
      </c>
      <c r="E2009" s="246" t="s">
        <v>4890</v>
      </c>
      <c r="F2009" s="246" t="s">
        <v>4870</v>
      </c>
      <c r="G2009" s="648">
        <v>6585</v>
      </c>
      <c r="H2009" s="246" t="s">
        <v>4891</v>
      </c>
      <c r="I2009" s="649" t="s">
        <v>4759</v>
      </c>
      <c r="J2009" s="246" t="s">
        <v>111</v>
      </c>
      <c r="K2009" s="648" t="s">
        <v>110</v>
      </c>
      <c r="L2009" s="1802">
        <v>1</v>
      </c>
      <c r="M2009" s="1010" t="s">
        <v>4886</v>
      </c>
      <c r="N2009" s="1826" t="s">
        <v>4887</v>
      </c>
      <c r="O2009" s="949"/>
      <c r="P2009" s="1650">
        <v>1</v>
      </c>
      <c r="Q2009" s="1823">
        <v>0.05</v>
      </c>
      <c r="R2009" s="1650"/>
      <c r="S2009" s="234">
        <f t="shared" si="62"/>
        <v>0</v>
      </c>
      <c r="T2009" s="867">
        <f t="shared" si="63"/>
        <v>0</v>
      </c>
      <c r="U2009" s="803" t="s">
        <v>34</v>
      </c>
      <c r="V2009" s="1799"/>
      <c r="W2009" s="1655"/>
    </row>
    <row r="2010" spans="1:23" ht="22.95" customHeight="1" x14ac:dyDescent="0.4">
      <c r="A2010" s="788">
        <v>2009</v>
      </c>
      <c r="B2010" s="210" t="s">
        <v>2616</v>
      </c>
      <c r="C2010" s="246" t="s">
        <v>24</v>
      </c>
      <c r="D2010" s="1306">
        <v>5222</v>
      </c>
      <c r="E2010" s="246" t="s">
        <v>4890</v>
      </c>
      <c r="F2010" s="246" t="s">
        <v>4870</v>
      </c>
      <c r="G2010" s="648">
        <v>6585</v>
      </c>
      <c r="H2010" s="246" t="s">
        <v>4891</v>
      </c>
      <c r="I2010" s="649" t="s">
        <v>4759</v>
      </c>
      <c r="J2010" s="246" t="s">
        <v>111</v>
      </c>
      <c r="K2010" s="648" t="s">
        <v>110</v>
      </c>
      <c r="L2010" s="1802">
        <v>1</v>
      </c>
      <c r="M2010" s="1010" t="s">
        <v>4888</v>
      </c>
      <c r="N2010" s="1436" t="s">
        <v>4889</v>
      </c>
      <c r="O2010" s="949"/>
      <c r="P2010" s="1650">
        <v>1</v>
      </c>
      <c r="Q2010" s="1823">
        <v>7.0000000000000007E-2</v>
      </c>
      <c r="R2010" s="1650"/>
      <c r="S2010" s="234">
        <f t="shared" si="62"/>
        <v>0</v>
      </c>
      <c r="T2010" s="867">
        <f t="shared" si="63"/>
        <v>0</v>
      </c>
      <c r="U2010" s="803" t="s">
        <v>34</v>
      </c>
      <c r="V2010" s="1799"/>
      <c r="W2010" s="1655"/>
    </row>
    <row r="2011" spans="1:23" ht="22.95" customHeight="1" x14ac:dyDescent="0.4">
      <c r="A2011" s="788">
        <v>2010</v>
      </c>
      <c r="B2011" s="210" t="s">
        <v>2616</v>
      </c>
      <c r="C2011" s="246" t="s">
        <v>24</v>
      </c>
      <c r="D2011" s="1306">
        <v>5222</v>
      </c>
      <c r="E2011" s="246" t="s">
        <v>4890</v>
      </c>
      <c r="F2011" s="246" t="s">
        <v>4870</v>
      </c>
      <c r="G2011" s="648">
        <v>6586</v>
      </c>
      <c r="H2011" s="246" t="s">
        <v>4891</v>
      </c>
      <c r="I2011" s="649" t="s">
        <v>4759</v>
      </c>
      <c r="J2011" s="246" t="s">
        <v>111</v>
      </c>
      <c r="K2011" s="648" t="s">
        <v>110</v>
      </c>
      <c r="L2011" s="1802">
        <v>1</v>
      </c>
      <c r="M2011" s="1435" t="s">
        <v>4892</v>
      </c>
      <c r="N2011" s="1436" t="s">
        <v>4893</v>
      </c>
      <c r="O2011" s="949"/>
      <c r="P2011" s="1650">
        <v>1</v>
      </c>
      <c r="Q2011" s="1823">
        <v>7.0000000000000007E-2</v>
      </c>
      <c r="R2011" s="1650"/>
      <c r="S2011" s="234">
        <f t="shared" si="62"/>
        <v>0</v>
      </c>
      <c r="T2011" s="867">
        <f t="shared" si="63"/>
        <v>0</v>
      </c>
      <c r="U2011" s="803" t="s">
        <v>34</v>
      </c>
      <c r="V2011" s="1799"/>
      <c r="W2011" s="1655"/>
    </row>
    <row r="2012" spans="1:23" ht="22.95" customHeight="1" x14ac:dyDescent="0.4">
      <c r="A2012" s="788">
        <v>2011</v>
      </c>
      <c r="B2012" s="243" t="s">
        <v>2616</v>
      </c>
      <c r="C2012" s="236" t="s">
        <v>24</v>
      </c>
      <c r="D2012" s="1226">
        <v>3649</v>
      </c>
      <c r="E2012" s="243" t="s">
        <v>4894</v>
      </c>
      <c r="F2012" s="243" t="s">
        <v>4895</v>
      </c>
      <c r="G2012" s="243">
        <v>6585</v>
      </c>
      <c r="H2012" s="243" t="s">
        <v>4757</v>
      </c>
      <c r="I2012" s="1808" t="s">
        <v>4759</v>
      </c>
      <c r="J2012" s="243" t="s">
        <v>111</v>
      </c>
      <c r="K2012" s="243" t="s">
        <v>110</v>
      </c>
      <c r="L2012" s="1809">
        <v>1</v>
      </c>
      <c r="M2012" s="1828" t="s">
        <v>4845</v>
      </c>
      <c r="N2012" s="1829"/>
      <c r="O2012" s="1829" t="s">
        <v>4846</v>
      </c>
      <c r="P2012" s="1258">
        <v>1</v>
      </c>
      <c r="Q2012" s="1191">
        <v>0.05</v>
      </c>
      <c r="R2012" s="1258"/>
      <c r="S2012" s="713">
        <f t="shared" si="62"/>
        <v>0</v>
      </c>
      <c r="T2012" s="854">
        <f t="shared" si="63"/>
        <v>0</v>
      </c>
      <c r="U2012" s="243" t="s">
        <v>34</v>
      </c>
      <c r="V2012" s="1055">
        <f>SUM(T2012:T2025)%</f>
        <v>0</v>
      </c>
      <c r="W2012" s="713"/>
    </row>
    <row r="2013" spans="1:23" ht="22.95" customHeight="1" x14ac:dyDescent="0.4">
      <c r="A2013" s="788">
        <v>2012</v>
      </c>
      <c r="B2013" s="253" t="s">
        <v>2616</v>
      </c>
      <c r="C2013" s="246" t="s">
        <v>24</v>
      </c>
      <c r="D2013" s="1306">
        <v>3649</v>
      </c>
      <c r="E2013" s="253" t="s">
        <v>4894</v>
      </c>
      <c r="F2013" s="253" t="s">
        <v>4895</v>
      </c>
      <c r="G2013" s="648">
        <v>6585</v>
      </c>
      <c r="H2013" s="648" t="s">
        <v>4757</v>
      </c>
      <c r="I2013" s="1812" t="s">
        <v>4759</v>
      </c>
      <c r="J2013" s="648" t="s">
        <v>111</v>
      </c>
      <c r="K2013" s="648" t="s">
        <v>110</v>
      </c>
      <c r="L2013" s="1813">
        <v>1</v>
      </c>
      <c r="M2013" s="1830" t="s">
        <v>4847</v>
      </c>
      <c r="N2013" s="1831"/>
      <c r="O2013" s="1832" t="s">
        <v>4848</v>
      </c>
      <c r="P2013" s="1012">
        <v>1</v>
      </c>
      <c r="Q2013" s="1813">
        <v>0.05</v>
      </c>
      <c r="R2013" s="1012"/>
      <c r="S2013" s="964">
        <f t="shared" si="62"/>
        <v>0</v>
      </c>
      <c r="T2013" s="962">
        <f t="shared" si="63"/>
        <v>0</v>
      </c>
      <c r="U2013" s="648" t="s">
        <v>34</v>
      </c>
      <c r="V2013" s="1817"/>
      <c r="W2013" s="648"/>
    </row>
    <row r="2014" spans="1:23" ht="22.95" customHeight="1" x14ac:dyDescent="0.4">
      <c r="A2014" s="788">
        <v>2013</v>
      </c>
      <c r="B2014" s="253" t="s">
        <v>2616</v>
      </c>
      <c r="C2014" s="246" t="s">
        <v>24</v>
      </c>
      <c r="D2014" s="1306">
        <v>3649</v>
      </c>
      <c r="E2014" s="253" t="s">
        <v>4894</v>
      </c>
      <c r="F2014" s="253" t="s">
        <v>4895</v>
      </c>
      <c r="G2014" s="648">
        <v>6585</v>
      </c>
      <c r="H2014" s="648" t="s">
        <v>4757</v>
      </c>
      <c r="I2014" s="1812" t="s">
        <v>4759</v>
      </c>
      <c r="J2014" s="648" t="s">
        <v>111</v>
      </c>
      <c r="K2014" s="648" t="s">
        <v>110</v>
      </c>
      <c r="L2014" s="1813">
        <v>1</v>
      </c>
      <c r="M2014" s="1830" t="s">
        <v>4849</v>
      </c>
      <c r="N2014" s="1831"/>
      <c r="O2014" s="1832" t="s">
        <v>4850</v>
      </c>
      <c r="P2014" s="1012">
        <v>1</v>
      </c>
      <c r="Q2014" s="1813">
        <v>0.05</v>
      </c>
      <c r="R2014" s="1012"/>
      <c r="S2014" s="964">
        <f t="shared" si="62"/>
        <v>0</v>
      </c>
      <c r="T2014" s="962">
        <f t="shared" si="63"/>
        <v>0</v>
      </c>
      <c r="U2014" s="648" t="s">
        <v>34</v>
      </c>
      <c r="V2014" s="1817"/>
      <c r="W2014" s="648"/>
    </row>
    <row r="2015" spans="1:23" ht="22.95" customHeight="1" x14ac:dyDescent="0.4">
      <c r="A2015" s="788">
        <v>2014</v>
      </c>
      <c r="B2015" s="253" t="s">
        <v>2616</v>
      </c>
      <c r="C2015" s="246" t="s">
        <v>24</v>
      </c>
      <c r="D2015" s="1306">
        <v>3649</v>
      </c>
      <c r="E2015" s="253" t="s">
        <v>4894</v>
      </c>
      <c r="F2015" s="253" t="s">
        <v>4895</v>
      </c>
      <c r="G2015" s="648">
        <v>6585</v>
      </c>
      <c r="H2015" s="648" t="s">
        <v>4757</v>
      </c>
      <c r="I2015" s="1812" t="s">
        <v>4759</v>
      </c>
      <c r="J2015" s="648" t="s">
        <v>111</v>
      </c>
      <c r="K2015" s="648" t="s">
        <v>110</v>
      </c>
      <c r="L2015" s="1813">
        <v>1</v>
      </c>
      <c r="M2015" s="1830" t="s">
        <v>4851</v>
      </c>
      <c r="N2015" s="1831"/>
      <c r="O2015" s="1832" t="s">
        <v>4852</v>
      </c>
      <c r="P2015" s="1012">
        <v>1</v>
      </c>
      <c r="Q2015" s="1813">
        <v>0.05</v>
      </c>
      <c r="R2015" s="1012"/>
      <c r="S2015" s="964">
        <f t="shared" si="62"/>
        <v>0</v>
      </c>
      <c r="T2015" s="962">
        <f t="shared" si="63"/>
        <v>0</v>
      </c>
      <c r="U2015" s="648" t="s">
        <v>34</v>
      </c>
      <c r="V2015" s="1817"/>
      <c r="W2015" s="648"/>
    </row>
    <row r="2016" spans="1:23" ht="22.95" customHeight="1" x14ac:dyDescent="0.4">
      <c r="A2016" s="788">
        <v>2015</v>
      </c>
      <c r="B2016" s="253" t="s">
        <v>2616</v>
      </c>
      <c r="C2016" s="246" t="s">
        <v>24</v>
      </c>
      <c r="D2016" s="1306">
        <v>3649</v>
      </c>
      <c r="E2016" s="253" t="s">
        <v>4894</v>
      </c>
      <c r="F2016" s="253" t="s">
        <v>4895</v>
      </c>
      <c r="G2016" s="648">
        <v>6585</v>
      </c>
      <c r="H2016" s="648" t="s">
        <v>4757</v>
      </c>
      <c r="I2016" s="1812" t="s">
        <v>4759</v>
      </c>
      <c r="J2016" s="648" t="s">
        <v>111</v>
      </c>
      <c r="K2016" s="648" t="s">
        <v>110</v>
      </c>
      <c r="L2016" s="1813">
        <v>1</v>
      </c>
      <c r="M2016" s="1830" t="s">
        <v>4853</v>
      </c>
      <c r="N2016" s="1831"/>
      <c r="O2016" s="1832" t="s">
        <v>4854</v>
      </c>
      <c r="P2016" s="1012">
        <v>1</v>
      </c>
      <c r="Q2016" s="1813">
        <v>0.05</v>
      </c>
      <c r="R2016" s="1012"/>
      <c r="S2016" s="964">
        <f t="shared" si="62"/>
        <v>0</v>
      </c>
      <c r="T2016" s="962">
        <f t="shared" si="63"/>
        <v>0</v>
      </c>
      <c r="U2016" s="648" t="s">
        <v>34</v>
      </c>
      <c r="V2016" s="1817"/>
      <c r="W2016" s="648"/>
    </row>
    <row r="2017" spans="1:23" ht="22.95" customHeight="1" x14ac:dyDescent="0.4">
      <c r="A2017" s="788">
        <v>2016</v>
      </c>
      <c r="B2017" s="210" t="s">
        <v>2616</v>
      </c>
      <c r="C2017" s="246" t="s">
        <v>24</v>
      </c>
      <c r="D2017" s="1082">
        <v>3649</v>
      </c>
      <c r="E2017" s="253" t="s">
        <v>4894</v>
      </c>
      <c r="F2017" s="210" t="s">
        <v>4895</v>
      </c>
      <c r="G2017" s="649">
        <v>6585</v>
      </c>
      <c r="H2017" s="649" t="s">
        <v>4757</v>
      </c>
      <c r="I2017" s="1818" t="s">
        <v>4759</v>
      </c>
      <c r="J2017" s="649" t="s">
        <v>111</v>
      </c>
      <c r="K2017" s="649" t="s">
        <v>110</v>
      </c>
      <c r="L2017" s="1819">
        <v>1</v>
      </c>
      <c r="M2017" s="1830" t="s">
        <v>4857</v>
      </c>
      <c r="N2017" s="1832"/>
      <c r="O2017" s="1833" t="s">
        <v>4856</v>
      </c>
      <c r="P2017" s="1012">
        <v>1</v>
      </c>
      <c r="Q2017" s="1819">
        <v>0.2</v>
      </c>
      <c r="R2017" s="1012"/>
      <c r="S2017" s="650">
        <f t="shared" si="62"/>
        <v>0</v>
      </c>
      <c r="T2017" s="701">
        <f t="shared" si="63"/>
        <v>0</v>
      </c>
      <c r="U2017" s="649" t="s">
        <v>34</v>
      </c>
      <c r="V2017" s="1834"/>
      <c r="W2017" s="649"/>
    </row>
    <row r="2018" spans="1:23" ht="22.95" customHeight="1" x14ac:dyDescent="0.4">
      <c r="A2018" s="788">
        <v>2017</v>
      </c>
      <c r="B2018" s="210" t="s">
        <v>2616</v>
      </c>
      <c r="C2018" s="246" t="s">
        <v>24</v>
      </c>
      <c r="D2018" s="1082">
        <v>3649</v>
      </c>
      <c r="E2018" s="253" t="s">
        <v>4894</v>
      </c>
      <c r="F2018" s="210" t="s">
        <v>4895</v>
      </c>
      <c r="G2018" s="649">
        <v>6585</v>
      </c>
      <c r="H2018" s="649" t="s">
        <v>4757</v>
      </c>
      <c r="I2018" s="1818" t="s">
        <v>4759</v>
      </c>
      <c r="J2018" s="649" t="s">
        <v>111</v>
      </c>
      <c r="K2018" s="649" t="s">
        <v>110</v>
      </c>
      <c r="L2018" s="1819">
        <v>1</v>
      </c>
      <c r="M2018" s="1830" t="s">
        <v>4858</v>
      </c>
      <c r="N2018" s="1832"/>
      <c r="O2018" s="1833" t="s">
        <v>4859</v>
      </c>
      <c r="P2018" s="803">
        <v>0.5</v>
      </c>
      <c r="Q2018" s="1819">
        <v>0.2</v>
      </c>
      <c r="R2018" s="803"/>
      <c r="S2018" s="650">
        <f t="shared" si="62"/>
        <v>0</v>
      </c>
      <c r="T2018" s="701">
        <f t="shared" si="63"/>
        <v>0</v>
      </c>
      <c r="U2018" s="649" t="s">
        <v>34</v>
      </c>
      <c r="V2018" s="1834"/>
      <c r="W2018" s="649"/>
    </row>
    <row r="2019" spans="1:23" ht="22.95" customHeight="1" x14ac:dyDescent="0.4">
      <c r="A2019" s="788">
        <v>2018</v>
      </c>
      <c r="B2019" s="210" t="s">
        <v>2616</v>
      </c>
      <c r="C2019" s="246" t="s">
        <v>24</v>
      </c>
      <c r="D2019" s="1082">
        <v>3649</v>
      </c>
      <c r="E2019" s="253" t="s">
        <v>4894</v>
      </c>
      <c r="F2019" s="210" t="s">
        <v>4895</v>
      </c>
      <c r="G2019" s="649">
        <v>6586</v>
      </c>
      <c r="H2019" s="649" t="s">
        <v>4757</v>
      </c>
      <c r="I2019" s="1818" t="s">
        <v>4759</v>
      </c>
      <c r="J2019" s="649" t="s">
        <v>111</v>
      </c>
      <c r="K2019" s="649" t="s">
        <v>110</v>
      </c>
      <c r="L2019" s="1819">
        <v>1</v>
      </c>
      <c r="M2019" s="1830" t="s">
        <v>4860</v>
      </c>
      <c r="N2019" s="1832"/>
      <c r="O2019" s="1833" t="s">
        <v>4861</v>
      </c>
      <c r="P2019" s="1012">
        <v>1</v>
      </c>
      <c r="Q2019" s="1819">
        <v>0.05</v>
      </c>
      <c r="R2019" s="1012"/>
      <c r="S2019" s="650">
        <f t="shared" si="62"/>
        <v>0</v>
      </c>
      <c r="T2019" s="701">
        <f t="shared" si="63"/>
        <v>0</v>
      </c>
      <c r="U2019" s="649" t="s">
        <v>34</v>
      </c>
      <c r="V2019" s="1799"/>
      <c r="W2019" s="1835"/>
    </row>
    <row r="2020" spans="1:23" ht="22.95" customHeight="1" x14ac:dyDescent="0.4">
      <c r="A2020" s="788">
        <v>2019</v>
      </c>
      <c r="B2020" s="210" t="s">
        <v>2616</v>
      </c>
      <c r="C2020" s="246" t="s">
        <v>24</v>
      </c>
      <c r="D2020" s="1082">
        <v>3649</v>
      </c>
      <c r="E2020" s="253" t="s">
        <v>4894</v>
      </c>
      <c r="F2020" s="210" t="s">
        <v>4895</v>
      </c>
      <c r="G2020" s="649">
        <v>6588</v>
      </c>
      <c r="H2020" s="649" t="s">
        <v>4757</v>
      </c>
      <c r="I2020" s="1818" t="s">
        <v>4759</v>
      </c>
      <c r="J2020" s="649" t="s">
        <v>111</v>
      </c>
      <c r="K2020" s="649" t="s">
        <v>110</v>
      </c>
      <c r="L2020" s="1819">
        <v>1</v>
      </c>
      <c r="M2020" s="1830" t="s">
        <v>4864</v>
      </c>
      <c r="N2020" s="1832"/>
      <c r="O2020" s="1832"/>
      <c r="P2020" s="803">
        <v>1</v>
      </c>
      <c r="Q2020" s="1819">
        <v>0.05</v>
      </c>
      <c r="R2020" s="803"/>
      <c r="S2020" s="650">
        <f t="shared" si="62"/>
        <v>0</v>
      </c>
      <c r="T2020" s="701">
        <f t="shared" si="63"/>
        <v>0</v>
      </c>
      <c r="U2020" s="649" t="s">
        <v>34</v>
      </c>
      <c r="V2020" s="1799"/>
      <c r="W2020" s="1835"/>
    </row>
    <row r="2021" spans="1:23" ht="22.95" customHeight="1" x14ac:dyDescent="0.4">
      <c r="A2021" s="788">
        <v>2020</v>
      </c>
      <c r="B2021" s="210" t="s">
        <v>2616</v>
      </c>
      <c r="C2021" s="246" t="s">
        <v>24</v>
      </c>
      <c r="D2021" s="1082">
        <v>3649</v>
      </c>
      <c r="E2021" s="253" t="s">
        <v>4894</v>
      </c>
      <c r="F2021" s="210" t="s">
        <v>4895</v>
      </c>
      <c r="G2021" s="649">
        <v>6590</v>
      </c>
      <c r="H2021" s="649" t="s">
        <v>4757</v>
      </c>
      <c r="I2021" s="1818" t="s">
        <v>4759</v>
      </c>
      <c r="J2021" s="649" t="s">
        <v>111</v>
      </c>
      <c r="K2021" s="649" t="s">
        <v>110</v>
      </c>
      <c r="L2021" s="1819">
        <v>1</v>
      </c>
      <c r="M2021" s="1830" t="s">
        <v>4865</v>
      </c>
      <c r="N2021" s="1832"/>
      <c r="O2021" s="1832" t="s">
        <v>4866</v>
      </c>
      <c r="P2021" s="803">
        <v>1</v>
      </c>
      <c r="Q2021" s="1819">
        <v>0.05</v>
      </c>
      <c r="R2021" s="803"/>
      <c r="S2021" s="650">
        <f t="shared" si="62"/>
        <v>0</v>
      </c>
      <c r="T2021" s="701">
        <f t="shared" si="63"/>
        <v>0</v>
      </c>
      <c r="U2021" s="649" t="s">
        <v>34</v>
      </c>
      <c r="V2021" s="1799"/>
      <c r="W2021" s="1835"/>
    </row>
    <row r="2022" spans="1:23" ht="22.95" customHeight="1" x14ac:dyDescent="0.4">
      <c r="A2022" s="788">
        <v>2021</v>
      </c>
      <c r="B2022" s="210" t="s">
        <v>2616</v>
      </c>
      <c r="C2022" s="246" t="s">
        <v>24</v>
      </c>
      <c r="D2022" s="1082">
        <v>3649</v>
      </c>
      <c r="E2022" s="253" t="s">
        <v>4894</v>
      </c>
      <c r="F2022" s="210" t="s">
        <v>4895</v>
      </c>
      <c r="G2022" s="649">
        <v>6591</v>
      </c>
      <c r="H2022" s="649" t="s">
        <v>4757</v>
      </c>
      <c r="I2022" s="1818" t="s">
        <v>4759</v>
      </c>
      <c r="J2022" s="649" t="s">
        <v>111</v>
      </c>
      <c r="K2022" s="649" t="s">
        <v>110</v>
      </c>
      <c r="L2022" s="1819">
        <v>1</v>
      </c>
      <c r="M2022" s="1830" t="s">
        <v>4867</v>
      </c>
      <c r="N2022" s="1832"/>
      <c r="O2022" s="1832" t="s">
        <v>4868</v>
      </c>
      <c r="P2022" s="803">
        <v>0.3</v>
      </c>
      <c r="Q2022" s="1819">
        <v>0.05</v>
      </c>
      <c r="R2022" s="803"/>
      <c r="S2022" s="650">
        <f t="shared" si="62"/>
        <v>0</v>
      </c>
      <c r="T2022" s="701">
        <f t="shared" si="63"/>
        <v>0</v>
      </c>
      <c r="U2022" s="649" t="s">
        <v>34</v>
      </c>
      <c r="V2022" s="1799"/>
      <c r="W2022" s="1835"/>
    </row>
    <row r="2023" spans="1:23" ht="22.95" customHeight="1" x14ac:dyDescent="0.4">
      <c r="A2023" s="788">
        <v>2022</v>
      </c>
      <c r="B2023" s="210" t="s">
        <v>2616</v>
      </c>
      <c r="C2023" s="246" t="s">
        <v>24</v>
      </c>
      <c r="D2023" s="1082">
        <v>3649</v>
      </c>
      <c r="E2023" s="253" t="s">
        <v>4894</v>
      </c>
      <c r="F2023" s="210" t="s">
        <v>4895</v>
      </c>
      <c r="G2023" s="649">
        <v>6591</v>
      </c>
      <c r="H2023" s="649" t="s">
        <v>4757</v>
      </c>
      <c r="I2023" s="1818" t="s">
        <v>4759</v>
      </c>
      <c r="J2023" s="649" t="s">
        <v>111</v>
      </c>
      <c r="K2023" s="649" t="s">
        <v>110</v>
      </c>
      <c r="L2023" s="1819">
        <v>1</v>
      </c>
      <c r="M2023" s="1830" t="s">
        <v>4896</v>
      </c>
      <c r="N2023" s="1832"/>
      <c r="O2023" s="1832"/>
      <c r="P2023" s="803">
        <v>1</v>
      </c>
      <c r="Q2023" s="1819">
        <v>0.05</v>
      </c>
      <c r="R2023" s="803"/>
      <c r="S2023" s="650">
        <f t="shared" si="62"/>
        <v>0</v>
      </c>
      <c r="T2023" s="701">
        <f t="shared" si="63"/>
        <v>0</v>
      </c>
      <c r="U2023" s="649" t="s">
        <v>34</v>
      </c>
      <c r="V2023" s="1799"/>
      <c r="W2023" s="1835"/>
    </row>
    <row r="2024" spans="1:23" ht="22.95" customHeight="1" x14ac:dyDescent="0.4">
      <c r="A2024" s="788">
        <v>2023</v>
      </c>
      <c r="B2024" s="210" t="s">
        <v>2616</v>
      </c>
      <c r="C2024" s="246" t="s">
        <v>24</v>
      </c>
      <c r="D2024" s="1082">
        <v>3649</v>
      </c>
      <c r="E2024" s="253" t="s">
        <v>4894</v>
      </c>
      <c r="F2024" s="210" t="s">
        <v>4895</v>
      </c>
      <c r="G2024" s="649">
        <v>6591</v>
      </c>
      <c r="H2024" s="649" t="s">
        <v>4757</v>
      </c>
      <c r="I2024" s="1818" t="s">
        <v>4759</v>
      </c>
      <c r="J2024" s="649" t="s">
        <v>111</v>
      </c>
      <c r="K2024" s="649" t="s">
        <v>110</v>
      </c>
      <c r="L2024" s="1819">
        <v>1</v>
      </c>
      <c r="M2024" s="1830" t="s">
        <v>4897</v>
      </c>
      <c r="N2024" s="1832"/>
      <c r="O2024" s="1832"/>
      <c r="P2024" s="803">
        <v>1</v>
      </c>
      <c r="Q2024" s="1819">
        <v>0.05</v>
      </c>
      <c r="R2024" s="803"/>
      <c r="S2024" s="650">
        <f t="shared" si="62"/>
        <v>0</v>
      </c>
      <c r="T2024" s="701">
        <f t="shared" si="63"/>
        <v>0</v>
      </c>
      <c r="U2024" s="649" t="s">
        <v>34</v>
      </c>
      <c r="V2024" s="1799"/>
      <c r="W2024" s="1835"/>
    </row>
    <row r="2025" spans="1:23" ht="22.95" customHeight="1" x14ac:dyDescent="0.4">
      <c r="A2025" s="788">
        <v>2024</v>
      </c>
      <c r="B2025" s="210" t="s">
        <v>2616</v>
      </c>
      <c r="C2025" s="246" t="s">
        <v>24</v>
      </c>
      <c r="D2025" s="1082">
        <v>3649</v>
      </c>
      <c r="E2025" s="253" t="s">
        <v>4894</v>
      </c>
      <c r="F2025" s="210" t="s">
        <v>4895</v>
      </c>
      <c r="G2025" s="649">
        <v>6591</v>
      </c>
      <c r="H2025" s="649" t="s">
        <v>4757</v>
      </c>
      <c r="I2025" s="1818" t="s">
        <v>4759</v>
      </c>
      <c r="J2025" s="649" t="s">
        <v>111</v>
      </c>
      <c r="K2025" s="649" t="s">
        <v>110</v>
      </c>
      <c r="L2025" s="1819">
        <v>1</v>
      </c>
      <c r="M2025" s="1830" t="s">
        <v>4768</v>
      </c>
      <c r="N2025" s="1832"/>
      <c r="O2025" s="1832"/>
      <c r="P2025" s="803">
        <v>1</v>
      </c>
      <c r="Q2025" s="1819">
        <v>0.05</v>
      </c>
      <c r="R2025" s="803"/>
      <c r="S2025" s="650">
        <f t="shared" si="62"/>
        <v>0</v>
      </c>
      <c r="T2025" s="701">
        <f t="shared" si="63"/>
        <v>0</v>
      </c>
      <c r="U2025" s="649" t="s">
        <v>34</v>
      </c>
      <c r="V2025" s="1799"/>
      <c r="W2025" s="1835"/>
    </row>
    <row r="2026" spans="1:23" ht="22.95" customHeight="1" x14ac:dyDescent="0.4">
      <c r="A2026" s="788">
        <v>2025</v>
      </c>
      <c r="B2026" s="1836" t="s">
        <v>2616</v>
      </c>
      <c r="C2026" s="1837" t="s">
        <v>24</v>
      </c>
      <c r="D2026" s="1200">
        <v>2499</v>
      </c>
      <c r="E2026" s="1838" t="s">
        <v>4898</v>
      </c>
      <c r="F2026" s="1838" t="s">
        <v>4899</v>
      </c>
      <c r="G2026" s="1839">
        <v>6585</v>
      </c>
      <c r="H2026" s="1838" t="s">
        <v>4900</v>
      </c>
      <c r="I2026" s="1838" t="s">
        <v>4759</v>
      </c>
      <c r="J2026" s="1838" t="s">
        <v>111</v>
      </c>
      <c r="K2026" s="1837" t="s">
        <v>110</v>
      </c>
      <c r="L2026" s="1790">
        <v>1</v>
      </c>
      <c r="M2026" s="1840" t="s">
        <v>4901</v>
      </c>
      <c r="N2026" s="1841"/>
      <c r="O2026" s="1842"/>
      <c r="P2026" s="644">
        <v>1</v>
      </c>
      <c r="Q2026" s="1843">
        <v>0.3</v>
      </c>
      <c r="R2026" s="644"/>
      <c r="S2026" s="195">
        <f t="shared" si="62"/>
        <v>0</v>
      </c>
      <c r="T2026" s="1354">
        <f t="shared" si="63"/>
        <v>0</v>
      </c>
      <c r="U2026" s="1844" t="s">
        <v>34</v>
      </c>
      <c r="V2026" s="1214">
        <f>SUM(T2026:T2036)%</f>
        <v>0</v>
      </c>
      <c r="W2026" s="1845"/>
    </row>
    <row r="2027" spans="1:23" ht="22.95" customHeight="1" x14ac:dyDescent="0.4">
      <c r="A2027" s="788">
        <v>2026</v>
      </c>
      <c r="B2027" s="1846" t="s">
        <v>2616</v>
      </c>
      <c r="C2027" s="1847" t="s">
        <v>24</v>
      </c>
      <c r="D2027" s="1082">
        <v>2499</v>
      </c>
      <c r="E2027" s="1848" t="s">
        <v>4898</v>
      </c>
      <c r="F2027" s="1848" t="s">
        <v>4899</v>
      </c>
      <c r="G2027" s="1849">
        <v>6585</v>
      </c>
      <c r="H2027" s="1848" t="s">
        <v>4900</v>
      </c>
      <c r="I2027" s="1848" t="s">
        <v>4759</v>
      </c>
      <c r="J2027" s="1848" t="s">
        <v>111</v>
      </c>
      <c r="K2027" s="1847" t="s">
        <v>110</v>
      </c>
      <c r="L2027" s="1850">
        <v>1</v>
      </c>
      <c r="M2027" s="1851" t="s">
        <v>4902</v>
      </c>
      <c r="N2027" s="1852"/>
      <c r="O2027" s="1853"/>
      <c r="P2027" s="222">
        <v>1</v>
      </c>
      <c r="Q2027" s="1854">
        <v>0.1</v>
      </c>
      <c r="R2027" s="222"/>
      <c r="S2027" s="216">
        <f t="shared" si="62"/>
        <v>0</v>
      </c>
      <c r="T2027" s="1797">
        <f t="shared" si="63"/>
        <v>0</v>
      </c>
      <c r="U2027" s="1855" t="s">
        <v>34</v>
      </c>
      <c r="V2027" s="1799"/>
      <c r="W2027" s="1856"/>
    </row>
    <row r="2028" spans="1:23" ht="22.95" customHeight="1" x14ac:dyDescent="0.4">
      <c r="A2028" s="788">
        <v>2027</v>
      </c>
      <c r="B2028" s="1846" t="s">
        <v>2616</v>
      </c>
      <c r="C2028" s="1847" t="s">
        <v>24</v>
      </c>
      <c r="D2028" s="1082">
        <v>2499</v>
      </c>
      <c r="E2028" s="1848" t="s">
        <v>4898</v>
      </c>
      <c r="F2028" s="1848" t="s">
        <v>4899</v>
      </c>
      <c r="G2028" s="1849">
        <v>6585</v>
      </c>
      <c r="H2028" s="1848" t="s">
        <v>4900</v>
      </c>
      <c r="I2028" s="1848" t="s">
        <v>4759</v>
      </c>
      <c r="J2028" s="1848" t="s">
        <v>111</v>
      </c>
      <c r="K2028" s="1847" t="s">
        <v>110</v>
      </c>
      <c r="L2028" s="1850">
        <v>1</v>
      </c>
      <c r="M2028" s="1851" t="s">
        <v>4903</v>
      </c>
      <c r="N2028" s="1852"/>
      <c r="O2028" s="1853"/>
      <c r="P2028" s="222">
        <v>1</v>
      </c>
      <c r="Q2028" s="1854">
        <v>0.1</v>
      </c>
      <c r="R2028" s="222"/>
      <c r="S2028" s="216">
        <f t="shared" si="62"/>
        <v>0</v>
      </c>
      <c r="T2028" s="1797">
        <f t="shared" si="63"/>
        <v>0</v>
      </c>
      <c r="U2028" s="1855" t="s">
        <v>34</v>
      </c>
      <c r="V2028" s="1799"/>
      <c r="W2028" s="1856"/>
    </row>
    <row r="2029" spans="1:23" ht="22.95" customHeight="1" x14ac:dyDescent="0.4">
      <c r="A2029" s="788">
        <v>2028</v>
      </c>
      <c r="B2029" s="1846" t="s">
        <v>2616</v>
      </c>
      <c r="C2029" s="1847" t="s">
        <v>24</v>
      </c>
      <c r="D2029" s="1082">
        <v>2499</v>
      </c>
      <c r="E2029" s="1848" t="s">
        <v>4898</v>
      </c>
      <c r="F2029" s="1848" t="s">
        <v>4899</v>
      </c>
      <c r="G2029" s="1849">
        <v>6585</v>
      </c>
      <c r="H2029" s="1848" t="s">
        <v>4900</v>
      </c>
      <c r="I2029" s="1848" t="s">
        <v>4759</v>
      </c>
      <c r="J2029" s="1848" t="s">
        <v>111</v>
      </c>
      <c r="K2029" s="1847" t="s">
        <v>110</v>
      </c>
      <c r="L2029" s="1850">
        <v>1</v>
      </c>
      <c r="M2029" s="1851" t="s">
        <v>4904</v>
      </c>
      <c r="N2029" s="1852"/>
      <c r="O2029" s="1853"/>
      <c r="P2029" s="222">
        <v>1</v>
      </c>
      <c r="Q2029" s="1854">
        <v>0.1</v>
      </c>
      <c r="R2029" s="222"/>
      <c r="S2029" s="216">
        <f t="shared" si="62"/>
        <v>0</v>
      </c>
      <c r="T2029" s="1797">
        <f t="shared" si="63"/>
        <v>0</v>
      </c>
      <c r="U2029" s="1855" t="s">
        <v>34</v>
      </c>
      <c r="V2029" s="1799"/>
      <c r="W2029" s="1856"/>
    </row>
    <row r="2030" spans="1:23" ht="22.95" customHeight="1" x14ac:dyDescent="0.4">
      <c r="A2030" s="788">
        <v>2029</v>
      </c>
      <c r="B2030" s="1846" t="s">
        <v>2616</v>
      </c>
      <c r="C2030" s="1847" t="s">
        <v>24</v>
      </c>
      <c r="D2030" s="1082">
        <v>2499</v>
      </c>
      <c r="E2030" s="1848" t="s">
        <v>4898</v>
      </c>
      <c r="F2030" s="1848" t="s">
        <v>4899</v>
      </c>
      <c r="G2030" s="1849">
        <v>6585</v>
      </c>
      <c r="H2030" s="1848" t="s">
        <v>4900</v>
      </c>
      <c r="I2030" s="1848" t="s">
        <v>4759</v>
      </c>
      <c r="J2030" s="1848" t="s">
        <v>111</v>
      </c>
      <c r="K2030" s="1847" t="s">
        <v>110</v>
      </c>
      <c r="L2030" s="1850">
        <v>1</v>
      </c>
      <c r="M2030" s="1851" t="s">
        <v>3394</v>
      </c>
      <c r="N2030" s="1852"/>
      <c r="O2030" s="1853"/>
      <c r="P2030" s="222">
        <v>1</v>
      </c>
      <c r="Q2030" s="1854">
        <v>0.1</v>
      </c>
      <c r="R2030" s="222"/>
      <c r="S2030" s="216">
        <f t="shared" si="62"/>
        <v>0</v>
      </c>
      <c r="T2030" s="1797">
        <f t="shared" si="63"/>
        <v>0</v>
      </c>
      <c r="U2030" s="1855" t="s">
        <v>34</v>
      </c>
      <c r="V2030" s="1799"/>
      <c r="W2030" s="1856"/>
    </row>
    <row r="2031" spans="1:23" ht="22.95" customHeight="1" x14ac:dyDescent="0.4">
      <c r="A2031" s="788">
        <v>2030</v>
      </c>
      <c r="B2031" s="1846" t="s">
        <v>2616</v>
      </c>
      <c r="C2031" s="1847" t="s">
        <v>24</v>
      </c>
      <c r="D2031" s="1082">
        <v>2499</v>
      </c>
      <c r="E2031" s="1848" t="s">
        <v>4898</v>
      </c>
      <c r="F2031" s="1848" t="s">
        <v>4899</v>
      </c>
      <c r="G2031" s="1849">
        <v>6585</v>
      </c>
      <c r="H2031" s="1848" t="s">
        <v>4900</v>
      </c>
      <c r="I2031" s="1848" t="s">
        <v>4759</v>
      </c>
      <c r="J2031" s="1848" t="s">
        <v>111</v>
      </c>
      <c r="K2031" s="1847" t="s">
        <v>110</v>
      </c>
      <c r="L2031" s="1850">
        <v>1</v>
      </c>
      <c r="M2031" s="1851" t="s">
        <v>4905</v>
      </c>
      <c r="N2031" s="1857"/>
      <c r="O2031" s="1853"/>
      <c r="P2031" s="222">
        <v>1</v>
      </c>
      <c r="Q2031" s="1854">
        <v>0.05</v>
      </c>
      <c r="R2031" s="222"/>
      <c r="S2031" s="216">
        <f t="shared" si="62"/>
        <v>0</v>
      </c>
      <c r="T2031" s="1797">
        <f t="shared" si="63"/>
        <v>0</v>
      </c>
      <c r="U2031" s="1855" t="s">
        <v>34</v>
      </c>
      <c r="V2031" s="1799"/>
      <c r="W2031" s="1856"/>
    </row>
    <row r="2032" spans="1:23" ht="22.95" customHeight="1" x14ac:dyDescent="0.4">
      <c r="A2032" s="788">
        <v>2031</v>
      </c>
      <c r="B2032" s="1846" t="s">
        <v>2616</v>
      </c>
      <c r="C2032" s="1847" t="s">
        <v>24</v>
      </c>
      <c r="D2032" s="1082">
        <v>2499</v>
      </c>
      <c r="E2032" s="1848" t="s">
        <v>4898</v>
      </c>
      <c r="F2032" s="1848" t="s">
        <v>4899</v>
      </c>
      <c r="G2032" s="1849">
        <v>6585</v>
      </c>
      <c r="H2032" s="1848" t="s">
        <v>4900</v>
      </c>
      <c r="I2032" s="1848" t="s">
        <v>4759</v>
      </c>
      <c r="J2032" s="1848" t="s">
        <v>111</v>
      </c>
      <c r="K2032" s="1847" t="s">
        <v>110</v>
      </c>
      <c r="L2032" s="1850">
        <v>1</v>
      </c>
      <c r="M2032" s="1851" t="s">
        <v>1021</v>
      </c>
      <c r="N2032" s="1858"/>
      <c r="O2032" s="1853"/>
      <c r="P2032" s="222">
        <v>1</v>
      </c>
      <c r="Q2032" s="1854">
        <v>0.05</v>
      </c>
      <c r="R2032" s="222"/>
      <c r="S2032" s="216">
        <f t="shared" si="62"/>
        <v>0</v>
      </c>
      <c r="T2032" s="1797">
        <f t="shared" si="63"/>
        <v>0</v>
      </c>
      <c r="U2032" s="1855" t="s">
        <v>34</v>
      </c>
      <c r="V2032" s="1799"/>
      <c r="W2032" s="1856"/>
    </row>
    <row r="2033" spans="1:23" ht="22.95" customHeight="1" x14ac:dyDescent="0.4">
      <c r="A2033" s="788">
        <v>2032</v>
      </c>
      <c r="B2033" s="1846" t="s">
        <v>2616</v>
      </c>
      <c r="C2033" s="1847" t="s">
        <v>24</v>
      </c>
      <c r="D2033" s="1082">
        <v>2499</v>
      </c>
      <c r="E2033" s="1848" t="s">
        <v>4898</v>
      </c>
      <c r="F2033" s="1848" t="s">
        <v>4899</v>
      </c>
      <c r="G2033" s="1849">
        <v>6585</v>
      </c>
      <c r="H2033" s="1848" t="s">
        <v>4900</v>
      </c>
      <c r="I2033" s="1848" t="s">
        <v>4759</v>
      </c>
      <c r="J2033" s="1848" t="s">
        <v>111</v>
      </c>
      <c r="K2033" s="1847" t="s">
        <v>110</v>
      </c>
      <c r="L2033" s="1850">
        <v>1</v>
      </c>
      <c r="M2033" s="1851" t="s">
        <v>4906</v>
      </c>
      <c r="N2033" s="1858"/>
      <c r="O2033" s="1853"/>
      <c r="P2033" s="222">
        <v>1</v>
      </c>
      <c r="Q2033" s="1854">
        <v>0.05</v>
      </c>
      <c r="R2033" s="222"/>
      <c r="S2033" s="216">
        <f t="shared" si="62"/>
        <v>0</v>
      </c>
      <c r="T2033" s="1797">
        <f t="shared" si="63"/>
        <v>0</v>
      </c>
      <c r="U2033" s="1855" t="s">
        <v>34</v>
      </c>
      <c r="V2033" s="1799"/>
      <c r="W2033" s="1856"/>
    </row>
    <row r="2034" spans="1:23" ht="22.95" customHeight="1" x14ac:dyDescent="0.4">
      <c r="A2034" s="788">
        <v>2033</v>
      </c>
      <c r="B2034" s="1846" t="s">
        <v>2616</v>
      </c>
      <c r="C2034" s="1847" t="s">
        <v>24</v>
      </c>
      <c r="D2034" s="1082">
        <v>2499</v>
      </c>
      <c r="E2034" s="1848" t="s">
        <v>4898</v>
      </c>
      <c r="F2034" s="1848" t="s">
        <v>4899</v>
      </c>
      <c r="G2034" s="1849">
        <v>6585</v>
      </c>
      <c r="H2034" s="1848" t="s">
        <v>4900</v>
      </c>
      <c r="I2034" s="1848" t="s">
        <v>4759</v>
      </c>
      <c r="J2034" s="1848" t="s">
        <v>111</v>
      </c>
      <c r="K2034" s="1847" t="s">
        <v>110</v>
      </c>
      <c r="L2034" s="1850">
        <v>1</v>
      </c>
      <c r="M2034" s="1851" t="s">
        <v>4907</v>
      </c>
      <c r="N2034" s="1858"/>
      <c r="O2034" s="1853"/>
      <c r="P2034" s="222">
        <v>1</v>
      </c>
      <c r="Q2034" s="1854">
        <v>0.05</v>
      </c>
      <c r="R2034" s="222"/>
      <c r="S2034" s="216">
        <f t="shared" si="62"/>
        <v>0</v>
      </c>
      <c r="T2034" s="1797">
        <f t="shared" si="63"/>
        <v>0</v>
      </c>
      <c r="U2034" s="1855" t="s">
        <v>34</v>
      </c>
      <c r="V2034" s="1799"/>
      <c r="W2034" s="1856"/>
    </row>
    <row r="2035" spans="1:23" ht="22.95" customHeight="1" x14ac:dyDescent="0.4">
      <c r="A2035" s="788">
        <v>2034</v>
      </c>
      <c r="B2035" s="1846" t="s">
        <v>2616</v>
      </c>
      <c r="C2035" s="1847" t="s">
        <v>24</v>
      </c>
      <c r="D2035" s="1082">
        <v>2499</v>
      </c>
      <c r="E2035" s="1848" t="s">
        <v>4898</v>
      </c>
      <c r="F2035" s="1848" t="s">
        <v>4899</v>
      </c>
      <c r="G2035" s="1849">
        <v>6585</v>
      </c>
      <c r="H2035" s="1848" t="s">
        <v>4900</v>
      </c>
      <c r="I2035" s="1848" t="s">
        <v>4759</v>
      </c>
      <c r="J2035" s="1848" t="s">
        <v>111</v>
      </c>
      <c r="K2035" s="1847" t="s">
        <v>110</v>
      </c>
      <c r="L2035" s="1850">
        <v>1</v>
      </c>
      <c r="M2035" s="1851" t="s">
        <v>4908</v>
      </c>
      <c r="N2035" s="1858"/>
      <c r="O2035" s="1853"/>
      <c r="P2035" s="222">
        <v>1</v>
      </c>
      <c r="Q2035" s="1854">
        <v>0.05</v>
      </c>
      <c r="R2035" s="222"/>
      <c r="S2035" s="216">
        <f t="shared" si="62"/>
        <v>0</v>
      </c>
      <c r="T2035" s="1797">
        <f t="shared" si="63"/>
        <v>0</v>
      </c>
      <c r="U2035" s="1855" t="s">
        <v>34</v>
      </c>
      <c r="V2035" s="1799"/>
      <c r="W2035" s="1856"/>
    </row>
    <row r="2036" spans="1:23" ht="22.95" customHeight="1" x14ac:dyDescent="0.4">
      <c r="A2036" s="788">
        <v>2035</v>
      </c>
      <c r="B2036" s="1846" t="s">
        <v>2616</v>
      </c>
      <c r="C2036" s="1847" t="s">
        <v>24</v>
      </c>
      <c r="D2036" s="1082">
        <v>2499</v>
      </c>
      <c r="E2036" s="1848" t="s">
        <v>4898</v>
      </c>
      <c r="F2036" s="1848" t="s">
        <v>4899</v>
      </c>
      <c r="G2036" s="1849">
        <v>6585</v>
      </c>
      <c r="H2036" s="1848" t="s">
        <v>4900</v>
      </c>
      <c r="I2036" s="1848" t="s">
        <v>4759</v>
      </c>
      <c r="J2036" s="1848" t="s">
        <v>111</v>
      </c>
      <c r="K2036" s="1847" t="s">
        <v>110</v>
      </c>
      <c r="L2036" s="1850">
        <v>1</v>
      </c>
      <c r="M2036" s="1851" t="s">
        <v>4909</v>
      </c>
      <c r="N2036" s="1858"/>
      <c r="O2036" s="1853"/>
      <c r="P2036" s="222">
        <v>1</v>
      </c>
      <c r="Q2036" s="1854">
        <v>0.05</v>
      </c>
      <c r="R2036" s="222"/>
      <c r="S2036" s="216">
        <f t="shared" si="62"/>
        <v>0</v>
      </c>
      <c r="T2036" s="1797">
        <f t="shared" si="63"/>
        <v>0</v>
      </c>
      <c r="U2036" s="1855" t="s">
        <v>34</v>
      </c>
      <c r="V2036" s="1799"/>
      <c r="W2036" s="1856"/>
    </row>
    <row r="2037" spans="1:23" ht="22.95" customHeight="1" x14ac:dyDescent="0.4">
      <c r="A2037" s="788">
        <v>2036</v>
      </c>
      <c r="B2037" s="1836" t="s">
        <v>2616</v>
      </c>
      <c r="C2037" s="1838" t="s">
        <v>24</v>
      </c>
      <c r="D2037" s="1200">
        <v>2497</v>
      </c>
      <c r="E2037" s="1838" t="s">
        <v>4910</v>
      </c>
      <c r="F2037" s="1838" t="s">
        <v>4911</v>
      </c>
      <c r="G2037" s="1839">
        <v>6585</v>
      </c>
      <c r="H2037" s="1838" t="s">
        <v>4757</v>
      </c>
      <c r="I2037" s="1838" t="s">
        <v>4759</v>
      </c>
      <c r="J2037" s="1838" t="s">
        <v>111</v>
      </c>
      <c r="K2037" s="1837" t="s">
        <v>110</v>
      </c>
      <c r="L2037" s="1790">
        <v>1</v>
      </c>
      <c r="M2037" s="1840" t="s">
        <v>4901</v>
      </c>
      <c r="N2037" s="1841"/>
      <c r="O2037" s="1842"/>
      <c r="P2037" s="644">
        <v>1</v>
      </c>
      <c r="Q2037" s="1859">
        <v>0.3</v>
      </c>
      <c r="R2037" s="644"/>
      <c r="S2037" s="195">
        <f t="shared" si="62"/>
        <v>0</v>
      </c>
      <c r="T2037" s="1354">
        <f t="shared" si="63"/>
        <v>0</v>
      </c>
      <c r="U2037" s="1844" t="s">
        <v>34</v>
      </c>
      <c r="V2037" s="1214">
        <f>SUM(T2037:T2047)%</f>
        <v>0</v>
      </c>
      <c r="W2037" s="1845"/>
    </row>
    <row r="2038" spans="1:23" ht="22.95" customHeight="1" x14ac:dyDescent="0.4">
      <c r="A2038" s="788">
        <v>2037</v>
      </c>
      <c r="B2038" s="1846" t="s">
        <v>2616</v>
      </c>
      <c r="C2038" s="1848" t="s">
        <v>24</v>
      </c>
      <c r="D2038" s="1082">
        <v>2497</v>
      </c>
      <c r="E2038" s="1848" t="s">
        <v>4910</v>
      </c>
      <c r="F2038" s="1848" t="s">
        <v>4911</v>
      </c>
      <c r="G2038" s="1849">
        <v>6585</v>
      </c>
      <c r="H2038" s="1848" t="s">
        <v>4757</v>
      </c>
      <c r="I2038" s="1848" t="s">
        <v>4759</v>
      </c>
      <c r="J2038" s="1848" t="s">
        <v>111</v>
      </c>
      <c r="K2038" s="1847" t="s">
        <v>110</v>
      </c>
      <c r="L2038" s="1850">
        <v>1</v>
      </c>
      <c r="M2038" s="1851" t="s">
        <v>4902</v>
      </c>
      <c r="N2038" s="1852"/>
      <c r="O2038" s="1853"/>
      <c r="P2038" s="222">
        <v>1</v>
      </c>
      <c r="Q2038" s="1860">
        <v>0.1</v>
      </c>
      <c r="R2038" s="222"/>
      <c r="S2038" s="216">
        <f t="shared" si="62"/>
        <v>0</v>
      </c>
      <c r="T2038" s="1797">
        <f t="shared" si="63"/>
        <v>0</v>
      </c>
      <c r="U2038" s="1855" t="s">
        <v>34</v>
      </c>
      <c r="V2038" s="1799"/>
      <c r="W2038" s="1856"/>
    </row>
    <row r="2039" spans="1:23" ht="22.95" customHeight="1" x14ac:dyDescent="0.4">
      <c r="A2039" s="788">
        <v>2038</v>
      </c>
      <c r="B2039" s="1846" t="s">
        <v>2616</v>
      </c>
      <c r="C2039" s="1848" t="s">
        <v>24</v>
      </c>
      <c r="D2039" s="1082">
        <v>2497</v>
      </c>
      <c r="E2039" s="1848" t="s">
        <v>4910</v>
      </c>
      <c r="F2039" s="1848" t="s">
        <v>4911</v>
      </c>
      <c r="G2039" s="1849">
        <v>6585</v>
      </c>
      <c r="H2039" s="1848" t="s">
        <v>4757</v>
      </c>
      <c r="I2039" s="1848" t="s">
        <v>4759</v>
      </c>
      <c r="J2039" s="1848" t="s">
        <v>111</v>
      </c>
      <c r="K2039" s="1847" t="s">
        <v>110</v>
      </c>
      <c r="L2039" s="1850">
        <v>1</v>
      </c>
      <c r="M2039" s="1851" t="s">
        <v>4903</v>
      </c>
      <c r="N2039" s="1852"/>
      <c r="O2039" s="1853"/>
      <c r="P2039" s="222">
        <v>1</v>
      </c>
      <c r="Q2039" s="1860">
        <v>0.1</v>
      </c>
      <c r="R2039" s="222"/>
      <c r="S2039" s="216">
        <f t="shared" si="62"/>
        <v>0</v>
      </c>
      <c r="T2039" s="1797">
        <f t="shared" si="63"/>
        <v>0</v>
      </c>
      <c r="U2039" s="1855" t="s">
        <v>34</v>
      </c>
      <c r="V2039" s="1799"/>
      <c r="W2039" s="1856"/>
    </row>
    <row r="2040" spans="1:23" ht="22.95" customHeight="1" x14ac:dyDescent="0.4">
      <c r="A2040" s="788">
        <v>2039</v>
      </c>
      <c r="B2040" s="1846" t="s">
        <v>2616</v>
      </c>
      <c r="C2040" s="1848" t="s">
        <v>24</v>
      </c>
      <c r="D2040" s="1082">
        <v>2497</v>
      </c>
      <c r="E2040" s="1848" t="s">
        <v>4910</v>
      </c>
      <c r="F2040" s="1848" t="s">
        <v>4911</v>
      </c>
      <c r="G2040" s="1849">
        <v>6585</v>
      </c>
      <c r="H2040" s="1848" t="s">
        <v>4757</v>
      </c>
      <c r="I2040" s="1848" t="s">
        <v>4759</v>
      </c>
      <c r="J2040" s="1848" t="s">
        <v>111</v>
      </c>
      <c r="K2040" s="1847" t="s">
        <v>110</v>
      </c>
      <c r="L2040" s="1850">
        <v>1</v>
      </c>
      <c r="M2040" s="1851" t="s">
        <v>4904</v>
      </c>
      <c r="N2040" s="1852"/>
      <c r="O2040" s="1853"/>
      <c r="P2040" s="222">
        <v>1</v>
      </c>
      <c r="Q2040" s="1860">
        <v>0.1</v>
      </c>
      <c r="R2040" s="222"/>
      <c r="S2040" s="216">
        <f t="shared" si="62"/>
        <v>0</v>
      </c>
      <c r="T2040" s="1797">
        <f t="shared" si="63"/>
        <v>0</v>
      </c>
      <c r="U2040" s="1855" t="s">
        <v>34</v>
      </c>
      <c r="V2040" s="1799"/>
      <c r="W2040" s="1856"/>
    </row>
    <row r="2041" spans="1:23" ht="22.95" customHeight="1" x14ac:dyDescent="0.4">
      <c r="A2041" s="788">
        <v>2040</v>
      </c>
      <c r="B2041" s="1846" t="s">
        <v>2616</v>
      </c>
      <c r="C2041" s="1848" t="s">
        <v>24</v>
      </c>
      <c r="D2041" s="1082">
        <v>2497</v>
      </c>
      <c r="E2041" s="1848" t="s">
        <v>4910</v>
      </c>
      <c r="F2041" s="1848" t="s">
        <v>4911</v>
      </c>
      <c r="G2041" s="1849">
        <v>6585</v>
      </c>
      <c r="H2041" s="1848" t="s">
        <v>4757</v>
      </c>
      <c r="I2041" s="1848" t="s">
        <v>4759</v>
      </c>
      <c r="J2041" s="1848" t="s">
        <v>111</v>
      </c>
      <c r="K2041" s="1847" t="s">
        <v>110</v>
      </c>
      <c r="L2041" s="1850">
        <v>1</v>
      </c>
      <c r="M2041" s="1851" t="s">
        <v>3394</v>
      </c>
      <c r="N2041" s="1852"/>
      <c r="O2041" s="1853"/>
      <c r="P2041" s="222">
        <v>1</v>
      </c>
      <c r="Q2041" s="1860">
        <v>0.1</v>
      </c>
      <c r="R2041" s="222"/>
      <c r="S2041" s="216">
        <f t="shared" si="62"/>
        <v>0</v>
      </c>
      <c r="T2041" s="1797">
        <f t="shared" si="63"/>
        <v>0</v>
      </c>
      <c r="U2041" s="1855" t="s">
        <v>34</v>
      </c>
      <c r="V2041" s="1799"/>
      <c r="W2041" s="1856"/>
    </row>
    <row r="2042" spans="1:23" ht="22.95" customHeight="1" x14ac:dyDescent="0.4">
      <c r="A2042" s="788">
        <v>2041</v>
      </c>
      <c r="B2042" s="1846" t="s">
        <v>2616</v>
      </c>
      <c r="C2042" s="1848" t="s">
        <v>24</v>
      </c>
      <c r="D2042" s="1082">
        <v>2497</v>
      </c>
      <c r="E2042" s="1848" t="s">
        <v>4910</v>
      </c>
      <c r="F2042" s="1848" t="s">
        <v>4911</v>
      </c>
      <c r="G2042" s="1849">
        <v>6585</v>
      </c>
      <c r="H2042" s="1848" t="s">
        <v>4757</v>
      </c>
      <c r="I2042" s="1848" t="s">
        <v>4759</v>
      </c>
      <c r="J2042" s="1848" t="s">
        <v>111</v>
      </c>
      <c r="K2042" s="1847" t="s">
        <v>110</v>
      </c>
      <c r="L2042" s="1850">
        <v>1</v>
      </c>
      <c r="M2042" s="1851" t="s">
        <v>4905</v>
      </c>
      <c r="N2042" s="1857"/>
      <c r="O2042" s="1853"/>
      <c r="P2042" s="222">
        <v>1</v>
      </c>
      <c r="Q2042" s="1860">
        <v>0.05</v>
      </c>
      <c r="R2042" s="222"/>
      <c r="S2042" s="216">
        <f t="shared" si="62"/>
        <v>0</v>
      </c>
      <c r="T2042" s="1797">
        <f t="shared" si="63"/>
        <v>0</v>
      </c>
      <c r="U2042" s="1855" t="s">
        <v>34</v>
      </c>
      <c r="V2042" s="1799"/>
      <c r="W2042" s="1856"/>
    </row>
    <row r="2043" spans="1:23" ht="22.95" customHeight="1" x14ac:dyDescent="0.4">
      <c r="A2043" s="788">
        <v>2042</v>
      </c>
      <c r="B2043" s="1846" t="s">
        <v>2616</v>
      </c>
      <c r="C2043" s="1848" t="s">
        <v>24</v>
      </c>
      <c r="D2043" s="1082">
        <v>2497</v>
      </c>
      <c r="E2043" s="1848" t="s">
        <v>4910</v>
      </c>
      <c r="F2043" s="1848" t="s">
        <v>4911</v>
      </c>
      <c r="G2043" s="1849">
        <v>6585</v>
      </c>
      <c r="H2043" s="1848" t="s">
        <v>4757</v>
      </c>
      <c r="I2043" s="1848" t="s">
        <v>4759</v>
      </c>
      <c r="J2043" s="1848" t="s">
        <v>111</v>
      </c>
      <c r="K2043" s="1847" t="s">
        <v>110</v>
      </c>
      <c r="L2043" s="1850">
        <v>1</v>
      </c>
      <c r="M2043" s="1861" t="s">
        <v>1021</v>
      </c>
      <c r="N2043" s="1858"/>
      <c r="O2043" s="1853"/>
      <c r="P2043" s="222">
        <v>1</v>
      </c>
      <c r="Q2043" s="1860">
        <v>0.05</v>
      </c>
      <c r="R2043" s="222"/>
      <c r="S2043" s="216">
        <f t="shared" si="62"/>
        <v>0</v>
      </c>
      <c r="T2043" s="1797">
        <f t="shared" si="63"/>
        <v>0</v>
      </c>
      <c r="U2043" s="1855" t="s">
        <v>34</v>
      </c>
      <c r="V2043" s="1799"/>
      <c r="W2043" s="1856"/>
    </row>
    <row r="2044" spans="1:23" ht="22.95" customHeight="1" x14ac:dyDescent="0.4">
      <c r="A2044" s="788">
        <v>2043</v>
      </c>
      <c r="B2044" s="1846" t="s">
        <v>2616</v>
      </c>
      <c r="C2044" s="1848" t="s">
        <v>24</v>
      </c>
      <c r="D2044" s="1082">
        <v>2497</v>
      </c>
      <c r="E2044" s="1848" t="s">
        <v>4910</v>
      </c>
      <c r="F2044" s="1848" t="s">
        <v>4911</v>
      </c>
      <c r="G2044" s="1849">
        <v>6585</v>
      </c>
      <c r="H2044" s="1848" t="s">
        <v>4757</v>
      </c>
      <c r="I2044" s="1848" t="s">
        <v>4759</v>
      </c>
      <c r="J2044" s="1848" t="s">
        <v>111</v>
      </c>
      <c r="K2044" s="1847" t="s">
        <v>110</v>
      </c>
      <c r="L2044" s="1850">
        <v>1</v>
      </c>
      <c r="M2044" s="1862" t="s">
        <v>4906</v>
      </c>
      <c r="N2044" s="1858"/>
      <c r="O2044" s="1853"/>
      <c r="P2044" s="222">
        <v>1</v>
      </c>
      <c r="Q2044" s="1860">
        <v>0.05</v>
      </c>
      <c r="R2044" s="222"/>
      <c r="S2044" s="216">
        <f t="shared" si="62"/>
        <v>0</v>
      </c>
      <c r="T2044" s="1797">
        <f t="shared" si="63"/>
        <v>0</v>
      </c>
      <c r="U2044" s="1855" t="s">
        <v>34</v>
      </c>
      <c r="V2044" s="1799"/>
      <c r="W2044" s="1856"/>
    </row>
    <row r="2045" spans="1:23" ht="22.95" customHeight="1" x14ac:dyDescent="0.4">
      <c r="A2045" s="788">
        <v>2044</v>
      </c>
      <c r="B2045" s="1846" t="s">
        <v>2616</v>
      </c>
      <c r="C2045" s="1848" t="s">
        <v>24</v>
      </c>
      <c r="D2045" s="1082">
        <v>2497</v>
      </c>
      <c r="E2045" s="1848" t="s">
        <v>4910</v>
      </c>
      <c r="F2045" s="1848" t="s">
        <v>4911</v>
      </c>
      <c r="G2045" s="1849">
        <v>6585</v>
      </c>
      <c r="H2045" s="1848" t="s">
        <v>4757</v>
      </c>
      <c r="I2045" s="1848" t="s">
        <v>4759</v>
      </c>
      <c r="J2045" s="1848" t="s">
        <v>111</v>
      </c>
      <c r="K2045" s="1847" t="s">
        <v>110</v>
      </c>
      <c r="L2045" s="1850">
        <v>1</v>
      </c>
      <c r="M2045" s="1862" t="s">
        <v>4907</v>
      </c>
      <c r="N2045" s="1858"/>
      <c r="O2045" s="1853"/>
      <c r="P2045" s="222">
        <v>1</v>
      </c>
      <c r="Q2045" s="1860">
        <v>0.05</v>
      </c>
      <c r="R2045" s="222"/>
      <c r="S2045" s="216">
        <f t="shared" si="62"/>
        <v>0</v>
      </c>
      <c r="T2045" s="1797">
        <f t="shared" si="63"/>
        <v>0</v>
      </c>
      <c r="U2045" s="1855" t="s">
        <v>34</v>
      </c>
      <c r="V2045" s="1799"/>
      <c r="W2045" s="1856"/>
    </row>
    <row r="2046" spans="1:23" ht="22.95" customHeight="1" x14ac:dyDescent="0.4">
      <c r="A2046" s="788">
        <v>2045</v>
      </c>
      <c r="B2046" s="1846" t="s">
        <v>2616</v>
      </c>
      <c r="C2046" s="1848" t="s">
        <v>24</v>
      </c>
      <c r="D2046" s="1082">
        <v>2497</v>
      </c>
      <c r="E2046" s="1848" t="s">
        <v>4910</v>
      </c>
      <c r="F2046" s="1848" t="s">
        <v>4911</v>
      </c>
      <c r="G2046" s="1849">
        <v>6585</v>
      </c>
      <c r="H2046" s="1848" t="s">
        <v>4757</v>
      </c>
      <c r="I2046" s="1848" t="s">
        <v>4759</v>
      </c>
      <c r="J2046" s="1848" t="s">
        <v>111</v>
      </c>
      <c r="K2046" s="1847" t="s">
        <v>110</v>
      </c>
      <c r="L2046" s="1850">
        <v>1</v>
      </c>
      <c r="M2046" s="1862" t="s">
        <v>4908</v>
      </c>
      <c r="N2046" s="1858"/>
      <c r="O2046" s="1853"/>
      <c r="P2046" s="222">
        <v>1</v>
      </c>
      <c r="Q2046" s="1860">
        <v>0.05</v>
      </c>
      <c r="R2046" s="222"/>
      <c r="S2046" s="216">
        <f t="shared" si="62"/>
        <v>0</v>
      </c>
      <c r="T2046" s="1797">
        <f t="shared" si="63"/>
        <v>0</v>
      </c>
      <c r="U2046" s="1855" t="s">
        <v>34</v>
      </c>
      <c r="V2046" s="1799"/>
      <c r="W2046" s="1856"/>
    </row>
    <row r="2047" spans="1:23" ht="22.95" customHeight="1" x14ac:dyDescent="0.4">
      <c r="A2047" s="788">
        <v>2046</v>
      </c>
      <c r="B2047" s="1846" t="s">
        <v>2616</v>
      </c>
      <c r="C2047" s="1848" t="s">
        <v>24</v>
      </c>
      <c r="D2047" s="1082">
        <v>2497</v>
      </c>
      <c r="E2047" s="1848" t="s">
        <v>4910</v>
      </c>
      <c r="F2047" s="1848" t="s">
        <v>4911</v>
      </c>
      <c r="G2047" s="1849">
        <v>6585</v>
      </c>
      <c r="H2047" s="1848" t="s">
        <v>4757</v>
      </c>
      <c r="I2047" s="1848" t="s">
        <v>4759</v>
      </c>
      <c r="J2047" s="1848" t="s">
        <v>111</v>
      </c>
      <c r="K2047" s="1847" t="s">
        <v>110</v>
      </c>
      <c r="L2047" s="1850">
        <v>1</v>
      </c>
      <c r="M2047" s="1862" t="s">
        <v>4909</v>
      </c>
      <c r="N2047" s="1858"/>
      <c r="O2047" s="1853"/>
      <c r="P2047" s="222">
        <v>1</v>
      </c>
      <c r="Q2047" s="1860">
        <v>0.05</v>
      </c>
      <c r="R2047" s="222"/>
      <c r="S2047" s="216">
        <f t="shared" si="62"/>
        <v>0</v>
      </c>
      <c r="T2047" s="1797">
        <f t="shared" si="63"/>
        <v>0</v>
      </c>
      <c r="U2047" s="1855" t="s">
        <v>34</v>
      </c>
      <c r="V2047" s="1799"/>
      <c r="W2047" s="1856"/>
    </row>
    <row r="2048" spans="1:23" ht="22.95" customHeight="1" x14ac:dyDescent="0.4">
      <c r="A2048" s="788">
        <v>2047</v>
      </c>
      <c r="B2048" s="1836" t="s">
        <v>2616</v>
      </c>
      <c r="C2048" s="1837" t="s">
        <v>24</v>
      </c>
      <c r="D2048" s="1200">
        <v>2496</v>
      </c>
      <c r="E2048" s="1838" t="s">
        <v>4912</v>
      </c>
      <c r="F2048" s="1837" t="s">
        <v>4823</v>
      </c>
      <c r="G2048" s="1839">
        <v>6585</v>
      </c>
      <c r="H2048" s="1838" t="s">
        <v>4757</v>
      </c>
      <c r="I2048" s="1838" t="s">
        <v>4759</v>
      </c>
      <c r="J2048" s="1838" t="s">
        <v>111</v>
      </c>
      <c r="K2048" s="1837" t="s">
        <v>110</v>
      </c>
      <c r="L2048" s="1790">
        <v>1</v>
      </c>
      <c r="M2048" s="1840" t="s">
        <v>4901</v>
      </c>
      <c r="N2048" s="1863"/>
      <c r="O2048" s="1839"/>
      <c r="P2048" s="644">
        <v>1</v>
      </c>
      <c r="Q2048" s="1859">
        <v>0.1</v>
      </c>
      <c r="R2048" s="644"/>
      <c r="S2048" s="195">
        <f t="shared" si="62"/>
        <v>0</v>
      </c>
      <c r="T2048" s="1354">
        <f t="shared" si="63"/>
        <v>0</v>
      </c>
      <c r="U2048" s="1844" t="s">
        <v>34</v>
      </c>
      <c r="V2048" s="1214">
        <f>SUM(T2048:T2059)%</f>
        <v>0</v>
      </c>
      <c r="W2048" s="1845"/>
    </row>
    <row r="2049" spans="1:23" ht="22.95" customHeight="1" x14ac:dyDescent="0.4">
      <c r="A2049" s="788">
        <v>2048</v>
      </c>
      <c r="B2049" s="1846" t="s">
        <v>2616</v>
      </c>
      <c r="C2049" s="1847" t="s">
        <v>24</v>
      </c>
      <c r="D2049" s="1082">
        <v>2496</v>
      </c>
      <c r="E2049" s="1848" t="s">
        <v>4912</v>
      </c>
      <c r="F2049" s="1847" t="s">
        <v>4823</v>
      </c>
      <c r="G2049" s="1849">
        <v>6585</v>
      </c>
      <c r="H2049" s="1848" t="s">
        <v>4757</v>
      </c>
      <c r="I2049" s="1848" t="s">
        <v>4759</v>
      </c>
      <c r="J2049" s="1848" t="s">
        <v>111</v>
      </c>
      <c r="K2049" s="1847" t="s">
        <v>110</v>
      </c>
      <c r="L2049" s="1850">
        <v>1</v>
      </c>
      <c r="M2049" s="1851" t="s">
        <v>4902</v>
      </c>
      <c r="N2049" s="1858"/>
      <c r="O2049" s="1849"/>
      <c r="P2049" s="222">
        <v>1</v>
      </c>
      <c r="Q2049" s="1860">
        <v>0.1</v>
      </c>
      <c r="R2049" s="222"/>
      <c r="S2049" s="216">
        <f t="shared" si="62"/>
        <v>0</v>
      </c>
      <c r="T2049" s="1797">
        <f t="shared" si="63"/>
        <v>0</v>
      </c>
      <c r="U2049" s="1855" t="s">
        <v>34</v>
      </c>
      <c r="V2049" s="1799"/>
      <c r="W2049" s="1856"/>
    </row>
    <row r="2050" spans="1:23" ht="22.95" customHeight="1" x14ac:dyDescent="0.4">
      <c r="A2050" s="788">
        <v>2049</v>
      </c>
      <c r="B2050" s="1846" t="s">
        <v>2616</v>
      </c>
      <c r="C2050" s="1847" t="s">
        <v>24</v>
      </c>
      <c r="D2050" s="1082">
        <v>2496</v>
      </c>
      <c r="E2050" s="1848" t="s">
        <v>4912</v>
      </c>
      <c r="F2050" s="1847" t="s">
        <v>4823</v>
      </c>
      <c r="G2050" s="1849">
        <v>6585</v>
      </c>
      <c r="H2050" s="1848" t="s">
        <v>4757</v>
      </c>
      <c r="I2050" s="1848" t="s">
        <v>4759</v>
      </c>
      <c r="J2050" s="1848" t="s">
        <v>111</v>
      </c>
      <c r="K2050" s="1847" t="s">
        <v>110</v>
      </c>
      <c r="L2050" s="1850">
        <v>1</v>
      </c>
      <c r="M2050" s="1851" t="s">
        <v>4905</v>
      </c>
      <c r="N2050" s="1858"/>
      <c r="O2050" s="1849"/>
      <c r="P2050" s="222">
        <v>1</v>
      </c>
      <c r="Q2050" s="1860">
        <v>0.1</v>
      </c>
      <c r="R2050" s="222"/>
      <c r="S2050" s="216">
        <f t="shared" ref="S2050:S2113" si="64">ROUND(IF(OR(P2050="",R2050=""),0,IF(AND(P2050=0,R2050=0),1,IF(U2050="+",R2050/P2050,P2050/R2050))),2)</f>
        <v>0</v>
      </c>
      <c r="T2050" s="1797">
        <f t="shared" ref="T2050:T2113" si="65">IF(AND(S2050&gt;=60%,S2050&lt;100%),S2050*((Q2050*L2050)),IF(S2050=100%,((Q2050*L2050)*S2050)*100%,IF(S2050&gt;100%,((L2050*Q2050)*100%)*100%,0)))*100</f>
        <v>0</v>
      </c>
      <c r="U2050" s="1855" t="s">
        <v>34</v>
      </c>
      <c r="V2050" s="1799"/>
      <c r="W2050" s="1856"/>
    </row>
    <row r="2051" spans="1:23" ht="22.95" customHeight="1" x14ac:dyDescent="0.4">
      <c r="A2051" s="788">
        <v>2050</v>
      </c>
      <c r="B2051" s="1846" t="s">
        <v>2616</v>
      </c>
      <c r="C2051" s="1847" t="s">
        <v>24</v>
      </c>
      <c r="D2051" s="1082">
        <v>2496</v>
      </c>
      <c r="E2051" s="1848" t="s">
        <v>4912</v>
      </c>
      <c r="F2051" s="1847" t="s">
        <v>4823</v>
      </c>
      <c r="G2051" s="1849">
        <v>6585</v>
      </c>
      <c r="H2051" s="1848" t="s">
        <v>4757</v>
      </c>
      <c r="I2051" s="1848" t="s">
        <v>4759</v>
      </c>
      <c r="J2051" s="1848" t="s">
        <v>111</v>
      </c>
      <c r="K2051" s="1847" t="s">
        <v>110</v>
      </c>
      <c r="L2051" s="1850">
        <v>1</v>
      </c>
      <c r="M2051" s="1851" t="s">
        <v>4903</v>
      </c>
      <c r="N2051" s="1858"/>
      <c r="O2051" s="1849"/>
      <c r="P2051" s="222">
        <v>1</v>
      </c>
      <c r="Q2051" s="1860">
        <v>0.1</v>
      </c>
      <c r="R2051" s="222"/>
      <c r="S2051" s="216">
        <f t="shared" si="64"/>
        <v>0</v>
      </c>
      <c r="T2051" s="1797">
        <f t="shared" si="65"/>
        <v>0</v>
      </c>
      <c r="U2051" s="1855" t="s">
        <v>34</v>
      </c>
      <c r="V2051" s="1799"/>
      <c r="W2051" s="1856"/>
    </row>
    <row r="2052" spans="1:23" ht="22.95" customHeight="1" x14ac:dyDescent="0.4">
      <c r="A2052" s="788">
        <v>2051</v>
      </c>
      <c r="B2052" s="1846" t="s">
        <v>2616</v>
      </c>
      <c r="C2052" s="1847" t="s">
        <v>24</v>
      </c>
      <c r="D2052" s="1082">
        <v>2496</v>
      </c>
      <c r="E2052" s="1848" t="s">
        <v>4912</v>
      </c>
      <c r="F2052" s="1847" t="s">
        <v>4823</v>
      </c>
      <c r="G2052" s="1849">
        <v>6585</v>
      </c>
      <c r="H2052" s="1848" t="s">
        <v>4757</v>
      </c>
      <c r="I2052" s="1848" t="s">
        <v>4759</v>
      </c>
      <c r="J2052" s="1848" t="s">
        <v>111</v>
      </c>
      <c r="K2052" s="1847" t="s">
        <v>110</v>
      </c>
      <c r="L2052" s="1850">
        <v>1</v>
      </c>
      <c r="M2052" s="1851" t="s">
        <v>4904</v>
      </c>
      <c r="N2052" s="1858"/>
      <c r="O2052" s="1849"/>
      <c r="P2052" s="222">
        <v>1</v>
      </c>
      <c r="Q2052" s="1860">
        <v>0.1</v>
      </c>
      <c r="R2052" s="222"/>
      <c r="S2052" s="216">
        <f t="shared" si="64"/>
        <v>0</v>
      </c>
      <c r="T2052" s="1797">
        <f t="shared" si="65"/>
        <v>0</v>
      </c>
      <c r="U2052" s="1855" t="s">
        <v>34</v>
      </c>
      <c r="V2052" s="1799"/>
      <c r="W2052" s="1856"/>
    </row>
    <row r="2053" spans="1:23" ht="22.95" customHeight="1" x14ac:dyDescent="0.4">
      <c r="A2053" s="788">
        <v>2052</v>
      </c>
      <c r="B2053" s="1846" t="s">
        <v>2616</v>
      </c>
      <c r="C2053" s="1847" t="s">
        <v>24</v>
      </c>
      <c r="D2053" s="1082">
        <v>2496</v>
      </c>
      <c r="E2053" s="1848" t="s">
        <v>4912</v>
      </c>
      <c r="F2053" s="1847" t="s">
        <v>4823</v>
      </c>
      <c r="G2053" s="1849">
        <v>6585</v>
      </c>
      <c r="H2053" s="1848" t="s">
        <v>4757</v>
      </c>
      <c r="I2053" s="1848" t="s">
        <v>4759</v>
      </c>
      <c r="J2053" s="1848" t="s">
        <v>111</v>
      </c>
      <c r="K2053" s="1847" t="s">
        <v>110</v>
      </c>
      <c r="L2053" s="1850">
        <v>1</v>
      </c>
      <c r="M2053" s="1851" t="s">
        <v>3394</v>
      </c>
      <c r="N2053" s="1858"/>
      <c r="O2053" s="1849"/>
      <c r="P2053" s="222">
        <v>1</v>
      </c>
      <c r="Q2053" s="1860">
        <v>0.1</v>
      </c>
      <c r="R2053" s="222"/>
      <c r="S2053" s="216">
        <f t="shared" si="64"/>
        <v>0</v>
      </c>
      <c r="T2053" s="1797">
        <f t="shared" si="65"/>
        <v>0</v>
      </c>
      <c r="U2053" s="1855" t="s">
        <v>34</v>
      </c>
      <c r="V2053" s="1799"/>
      <c r="W2053" s="1856"/>
    </row>
    <row r="2054" spans="1:23" ht="22.95" customHeight="1" x14ac:dyDescent="0.4">
      <c r="A2054" s="788">
        <v>2053</v>
      </c>
      <c r="B2054" s="1846" t="s">
        <v>2616</v>
      </c>
      <c r="C2054" s="1847" t="s">
        <v>24</v>
      </c>
      <c r="D2054" s="1082">
        <v>2496</v>
      </c>
      <c r="E2054" s="1848" t="s">
        <v>4912</v>
      </c>
      <c r="F2054" s="1847" t="s">
        <v>4823</v>
      </c>
      <c r="G2054" s="1849">
        <v>6585</v>
      </c>
      <c r="H2054" s="1848" t="s">
        <v>4757</v>
      </c>
      <c r="I2054" s="1848" t="s">
        <v>4759</v>
      </c>
      <c r="J2054" s="1848" t="s">
        <v>111</v>
      </c>
      <c r="K2054" s="1847" t="s">
        <v>110</v>
      </c>
      <c r="L2054" s="1850">
        <v>1</v>
      </c>
      <c r="M2054" s="1851" t="s">
        <v>4905</v>
      </c>
      <c r="N2054" s="1858"/>
      <c r="O2054" s="1849"/>
      <c r="P2054" s="222">
        <v>1</v>
      </c>
      <c r="Q2054" s="1860">
        <v>0.1</v>
      </c>
      <c r="R2054" s="222"/>
      <c r="S2054" s="216">
        <f t="shared" si="64"/>
        <v>0</v>
      </c>
      <c r="T2054" s="1797">
        <f t="shared" si="65"/>
        <v>0</v>
      </c>
      <c r="U2054" s="1855" t="s">
        <v>34</v>
      </c>
      <c r="V2054" s="1799"/>
      <c r="W2054" s="1856"/>
    </row>
    <row r="2055" spans="1:23" ht="22.95" customHeight="1" x14ac:dyDescent="0.4">
      <c r="A2055" s="788">
        <v>2054</v>
      </c>
      <c r="B2055" s="1846" t="s">
        <v>2616</v>
      </c>
      <c r="C2055" s="1847" t="s">
        <v>24</v>
      </c>
      <c r="D2055" s="1082">
        <v>2496</v>
      </c>
      <c r="E2055" s="1848" t="s">
        <v>4912</v>
      </c>
      <c r="F2055" s="1847" t="s">
        <v>4823</v>
      </c>
      <c r="G2055" s="1849">
        <v>6585</v>
      </c>
      <c r="H2055" s="1848" t="s">
        <v>4757</v>
      </c>
      <c r="I2055" s="1848" t="s">
        <v>4759</v>
      </c>
      <c r="J2055" s="1848" t="s">
        <v>111</v>
      </c>
      <c r="K2055" s="1847" t="s">
        <v>110</v>
      </c>
      <c r="L2055" s="1850">
        <v>1</v>
      </c>
      <c r="M2055" s="1861" t="s">
        <v>1021</v>
      </c>
      <c r="N2055" s="1858"/>
      <c r="O2055" s="1849"/>
      <c r="P2055" s="222">
        <v>1</v>
      </c>
      <c r="Q2055" s="1860">
        <v>0.1</v>
      </c>
      <c r="R2055" s="222"/>
      <c r="S2055" s="216">
        <f t="shared" si="64"/>
        <v>0</v>
      </c>
      <c r="T2055" s="1797">
        <f t="shared" si="65"/>
        <v>0</v>
      </c>
      <c r="U2055" s="1855" t="s">
        <v>34</v>
      </c>
      <c r="V2055" s="1799"/>
      <c r="W2055" s="1856"/>
    </row>
    <row r="2056" spans="1:23" ht="22.95" customHeight="1" x14ac:dyDescent="0.4">
      <c r="A2056" s="788">
        <v>2055</v>
      </c>
      <c r="B2056" s="1846" t="s">
        <v>2616</v>
      </c>
      <c r="C2056" s="1847" t="s">
        <v>24</v>
      </c>
      <c r="D2056" s="1082">
        <v>2496</v>
      </c>
      <c r="E2056" s="1848" t="s">
        <v>4912</v>
      </c>
      <c r="F2056" s="1847" t="s">
        <v>4823</v>
      </c>
      <c r="G2056" s="1849">
        <v>6585</v>
      </c>
      <c r="H2056" s="1848" t="s">
        <v>4757</v>
      </c>
      <c r="I2056" s="1848" t="s">
        <v>4759</v>
      </c>
      <c r="J2056" s="1848" t="s">
        <v>111</v>
      </c>
      <c r="K2056" s="1847" t="s">
        <v>110</v>
      </c>
      <c r="L2056" s="1850">
        <v>1</v>
      </c>
      <c r="M2056" s="1861" t="s">
        <v>4906</v>
      </c>
      <c r="N2056" s="1858"/>
      <c r="O2056" s="1849"/>
      <c r="P2056" s="222">
        <v>1</v>
      </c>
      <c r="Q2056" s="1860">
        <v>0.05</v>
      </c>
      <c r="R2056" s="222"/>
      <c r="S2056" s="216">
        <f t="shared" si="64"/>
        <v>0</v>
      </c>
      <c r="T2056" s="1797">
        <f t="shared" si="65"/>
        <v>0</v>
      </c>
      <c r="U2056" s="1855" t="s">
        <v>34</v>
      </c>
      <c r="V2056" s="1799"/>
      <c r="W2056" s="1856"/>
    </row>
    <row r="2057" spans="1:23" ht="22.95" customHeight="1" x14ac:dyDescent="0.4">
      <c r="A2057" s="788">
        <v>2056</v>
      </c>
      <c r="B2057" s="1846" t="s">
        <v>2616</v>
      </c>
      <c r="C2057" s="1847" t="s">
        <v>24</v>
      </c>
      <c r="D2057" s="1082">
        <v>2496</v>
      </c>
      <c r="E2057" s="1848" t="s">
        <v>4912</v>
      </c>
      <c r="F2057" s="1847" t="s">
        <v>4823</v>
      </c>
      <c r="G2057" s="1849">
        <v>6585</v>
      </c>
      <c r="H2057" s="1848" t="s">
        <v>4757</v>
      </c>
      <c r="I2057" s="1848" t="s">
        <v>4759</v>
      </c>
      <c r="J2057" s="1848" t="s">
        <v>111</v>
      </c>
      <c r="K2057" s="1847" t="s">
        <v>110</v>
      </c>
      <c r="L2057" s="1850">
        <v>1</v>
      </c>
      <c r="M2057" s="1861" t="s">
        <v>4907</v>
      </c>
      <c r="N2057" s="1858"/>
      <c r="O2057" s="1849"/>
      <c r="P2057" s="222">
        <v>1</v>
      </c>
      <c r="Q2057" s="1860">
        <v>0.05</v>
      </c>
      <c r="R2057" s="222"/>
      <c r="S2057" s="216">
        <f t="shared" si="64"/>
        <v>0</v>
      </c>
      <c r="T2057" s="1797">
        <f t="shared" si="65"/>
        <v>0</v>
      </c>
      <c r="U2057" s="1855" t="s">
        <v>34</v>
      </c>
      <c r="V2057" s="1799"/>
      <c r="W2057" s="1856"/>
    </row>
    <row r="2058" spans="1:23" ht="22.95" customHeight="1" x14ac:dyDescent="0.4">
      <c r="A2058" s="788">
        <v>2057</v>
      </c>
      <c r="B2058" s="1846" t="s">
        <v>2616</v>
      </c>
      <c r="C2058" s="1847" t="s">
        <v>24</v>
      </c>
      <c r="D2058" s="1082">
        <v>2496</v>
      </c>
      <c r="E2058" s="1848" t="s">
        <v>4912</v>
      </c>
      <c r="F2058" s="1847" t="s">
        <v>4823</v>
      </c>
      <c r="G2058" s="1849">
        <v>6585</v>
      </c>
      <c r="H2058" s="1848" t="s">
        <v>4757</v>
      </c>
      <c r="I2058" s="1848" t="s">
        <v>4759</v>
      </c>
      <c r="J2058" s="1848" t="s">
        <v>111</v>
      </c>
      <c r="K2058" s="1847" t="s">
        <v>110</v>
      </c>
      <c r="L2058" s="1850">
        <v>1</v>
      </c>
      <c r="M2058" s="1861" t="s">
        <v>4908</v>
      </c>
      <c r="N2058" s="1858"/>
      <c r="O2058" s="1849"/>
      <c r="P2058" s="222">
        <v>1</v>
      </c>
      <c r="Q2058" s="1860">
        <v>0.05</v>
      </c>
      <c r="R2058" s="222"/>
      <c r="S2058" s="216">
        <f t="shared" si="64"/>
        <v>0</v>
      </c>
      <c r="T2058" s="1797">
        <f t="shared" si="65"/>
        <v>0</v>
      </c>
      <c r="U2058" s="1855" t="s">
        <v>34</v>
      </c>
      <c r="V2058" s="1799"/>
      <c r="W2058" s="1856"/>
    </row>
    <row r="2059" spans="1:23" ht="22.95" customHeight="1" x14ac:dyDescent="0.4">
      <c r="A2059" s="788">
        <v>2058</v>
      </c>
      <c r="B2059" s="1846" t="s">
        <v>2616</v>
      </c>
      <c r="C2059" s="1847" t="s">
        <v>24</v>
      </c>
      <c r="D2059" s="1082">
        <v>2496</v>
      </c>
      <c r="E2059" s="1848" t="s">
        <v>4912</v>
      </c>
      <c r="F2059" s="1847" t="s">
        <v>4823</v>
      </c>
      <c r="G2059" s="1849">
        <v>6585</v>
      </c>
      <c r="H2059" s="1848" t="s">
        <v>4757</v>
      </c>
      <c r="I2059" s="1848" t="s">
        <v>4759</v>
      </c>
      <c r="J2059" s="1848" t="s">
        <v>111</v>
      </c>
      <c r="K2059" s="1847" t="s">
        <v>110</v>
      </c>
      <c r="L2059" s="1850">
        <v>1</v>
      </c>
      <c r="M2059" s="1861" t="s">
        <v>4909</v>
      </c>
      <c r="N2059" s="1858"/>
      <c r="O2059" s="1849"/>
      <c r="P2059" s="222">
        <v>1</v>
      </c>
      <c r="Q2059" s="1860">
        <v>0.05</v>
      </c>
      <c r="R2059" s="222"/>
      <c r="S2059" s="216">
        <f t="shared" si="64"/>
        <v>0</v>
      </c>
      <c r="T2059" s="1797">
        <f t="shared" si="65"/>
        <v>0</v>
      </c>
      <c r="U2059" s="1855" t="s">
        <v>34</v>
      </c>
      <c r="V2059" s="1799"/>
      <c r="W2059" s="1856"/>
    </row>
    <row r="2060" spans="1:23" ht="22.95" customHeight="1" x14ac:dyDescent="0.4">
      <c r="A2060" s="788">
        <v>2059</v>
      </c>
      <c r="B2060" s="1836" t="s">
        <v>2616</v>
      </c>
      <c r="C2060" s="1838" t="s">
        <v>24</v>
      </c>
      <c r="D2060" s="1200">
        <v>2498</v>
      </c>
      <c r="E2060" s="1838" t="s">
        <v>4913</v>
      </c>
      <c r="F2060" s="1838" t="s">
        <v>4823</v>
      </c>
      <c r="G2060" s="1839">
        <v>6585</v>
      </c>
      <c r="H2060" s="1864" t="s">
        <v>4900</v>
      </c>
      <c r="I2060" s="1865" t="s">
        <v>4759</v>
      </c>
      <c r="J2060" s="1865" t="s">
        <v>111</v>
      </c>
      <c r="K2060" s="1837" t="s">
        <v>110</v>
      </c>
      <c r="L2060" s="1866">
        <v>1</v>
      </c>
      <c r="M2060" s="1840" t="s">
        <v>4901</v>
      </c>
      <c r="N2060" s="1841"/>
      <c r="O2060" s="1842"/>
      <c r="P2060" s="644">
        <v>1</v>
      </c>
      <c r="Q2060" s="1859">
        <v>0.3</v>
      </c>
      <c r="R2060" s="644"/>
      <c r="S2060" s="195">
        <f t="shared" si="64"/>
        <v>0</v>
      </c>
      <c r="T2060" s="1354">
        <f t="shared" si="65"/>
        <v>0</v>
      </c>
      <c r="U2060" s="1844" t="s">
        <v>34</v>
      </c>
      <c r="V2060" s="1214">
        <f>SUM(T2060:T2070)%</f>
        <v>0</v>
      </c>
      <c r="W2060" s="1845"/>
    </row>
    <row r="2061" spans="1:23" ht="22.95" customHeight="1" x14ac:dyDescent="0.4">
      <c r="A2061" s="788">
        <v>2060</v>
      </c>
      <c r="B2061" s="1846" t="s">
        <v>2616</v>
      </c>
      <c r="C2061" s="1848" t="s">
        <v>24</v>
      </c>
      <c r="D2061" s="1082">
        <v>2498</v>
      </c>
      <c r="E2061" s="1848" t="s">
        <v>4913</v>
      </c>
      <c r="F2061" s="1848" t="s">
        <v>4823</v>
      </c>
      <c r="G2061" s="1849">
        <v>6585</v>
      </c>
      <c r="H2061" s="1867" t="s">
        <v>4900</v>
      </c>
      <c r="I2061" s="1868" t="s">
        <v>4759</v>
      </c>
      <c r="J2061" s="1868" t="s">
        <v>111</v>
      </c>
      <c r="K2061" s="1847" t="s">
        <v>110</v>
      </c>
      <c r="L2061" s="1869">
        <v>1</v>
      </c>
      <c r="M2061" s="1851" t="s">
        <v>4902</v>
      </c>
      <c r="N2061" s="1852"/>
      <c r="O2061" s="1853"/>
      <c r="P2061" s="222">
        <v>1</v>
      </c>
      <c r="Q2061" s="1860">
        <v>0.1</v>
      </c>
      <c r="R2061" s="222"/>
      <c r="S2061" s="216">
        <f t="shared" si="64"/>
        <v>0</v>
      </c>
      <c r="T2061" s="1797">
        <f t="shared" si="65"/>
        <v>0</v>
      </c>
      <c r="U2061" s="1855" t="s">
        <v>34</v>
      </c>
      <c r="V2061" s="1799"/>
      <c r="W2061" s="1856"/>
    </row>
    <row r="2062" spans="1:23" ht="22.95" customHeight="1" x14ac:dyDescent="0.4">
      <c r="A2062" s="788">
        <v>2061</v>
      </c>
      <c r="B2062" s="1846" t="s">
        <v>2616</v>
      </c>
      <c r="C2062" s="1848" t="s">
        <v>24</v>
      </c>
      <c r="D2062" s="1082">
        <v>2498</v>
      </c>
      <c r="E2062" s="1848" t="s">
        <v>4913</v>
      </c>
      <c r="F2062" s="1848" t="s">
        <v>4823</v>
      </c>
      <c r="G2062" s="1849">
        <v>6585</v>
      </c>
      <c r="H2062" s="1867" t="s">
        <v>4900</v>
      </c>
      <c r="I2062" s="1868" t="s">
        <v>4759</v>
      </c>
      <c r="J2062" s="1868" t="s">
        <v>111</v>
      </c>
      <c r="K2062" s="1847" t="s">
        <v>110</v>
      </c>
      <c r="L2062" s="1869">
        <v>1</v>
      </c>
      <c r="M2062" s="1851" t="s">
        <v>4903</v>
      </c>
      <c r="N2062" s="1852"/>
      <c r="O2062" s="1853"/>
      <c r="P2062" s="222">
        <v>1</v>
      </c>
      <c r="Q2062" s="1860">
        <v>0.1</v>
      </c>
      <c r="R2062" s="222"/>
      <c r="S2062" s="216">
        <f t="shared" si="64"/>
        <v>0</v>
      </c>
      <c r="T2062" s="1797">
        <f t="shared" si="65"/>
        <v>0</v>
      </c>
      <c r="U2062" s="1855" t="s">
        <v>34</v>
      </c>
      <c r="V2062" s="1799"/>
      <c r="W2062" s="1856"/>
    </row>
    <row r="2063" spans="1:23" ht="22.95" customHeight="1" x14ac:dyDescent="0.4">
      <c r="A2063" s="788">
        <v>2062</v>
      </c>
      <c r="B2063" s="1846" t="s">
        <v>2616</v>
      </c>
      <c r="C2063" s="1848" t="s">
        <v>24</v>
      </c>
      <c r="D2063" s="1082">
        <v>2498</v>
      </c>
      <c r="E2063" s="1848" t="s">
        <v>4913</v>
      </c>
      <c r="F2063" s="1848" t="s">
        <v>4823</v>
      </c>
      <c r="G2063" s="1849">
        <v>6585</v>
      </c>
      <c r="H2063" s="1867" t="s">
        <v>4900</v>
      </c>
      <c r="I2063" s="1868" t="s">
        <v>4759</v>
      </c>
      <c r="J2063" s="1868" t="s">
        <v>111</v>
      </c>
      <c r="K2063" s="1847" t="s">
        <v>110</v>
      </c>
      <c r="L2063" s="1869">
        <v>1</v>
      </c>
      <c r="M2063" s="1851" t="s">
        <v>4904</v>
      </c>
      <c r="N2063" s="1852"/>
      <c r="O2063" s="1853"/>
      <c r="P2063" s="222">
        <v>1</v>
      </c>
      <c r="Q2063" s="1860">
        <v>0.1</v>
      </c>
      <c r="R2063" s="222"/>
      <c r="S2063" s="216">
        <f t="shared" si="64"/>
        <v>0</v>
      </c>
      <c r="T2063" s="1797">
        <f t="shared" si="65"/>
        <v>0</v>
      </c>
      <c r="U2063" s="1855" t="s">
        <v>34</v>
      </c>
      <c r="V2063" s="1799"/>
      <c r="W2063" s="1856"/>
    </row>
    <row r="2064" spans="1:23" ht="22.95" customHeight="1" x14ac:dyDescent="0.4">
      <c r="A2064" s="788">
        <v>2063</v>
      </c>
      <c r="B2064" s="1846" t="s">
        <v>2616</v>
      </c>
      <c r="C2064" s="1848" t="s">
        <v>24</v>
      </c>
      <c r="D2064" s="1082">
        <v>2498</v>
      </c>
      <c r="E2064" s="1848" t="s">
        <v>4913</v>
      </c>
      <c r="F2064" s="1848" t="s">
        <v>4823</v>
      </c>
      <c r="G2064" s="1849">
        <v>6585</v>
      </c>
      <c r="H2064" s="1867" t="s">
        <v>4900</v>
      </c>
      <c r="I2064" s="1868" t="s">
        <v>4759</v>
      </c>
      <c r="J2064" s="1868" t="s">
        <v>111</v>
      </c>
      <c r="K2064" s="1847" t="s">
        <v>110</v>
      </c>
      <c r="L2064" s="1869">
        <v>1</v>
      </c>
      <c r="M2064" s="1851" t="s">
        <v>3394</v>
      </c>
      <c r="N2064" s="1852"/>
      <c r="O2064" s="1853"/>
      <c r="P2064" s="222">
        <v>1</v>
      </c>
      <c r="Q2064" s="1860">
        <v>0.1</v>
      </c>
      <c r="R2064" s="222"/>
      <c r="S2064" s="216">
        <f t="shared" si="64"/>
        <v>0</v>
      </c>
      <c r="T2064" s="1797">
        <f t="shared" si="65"/>
        <v>0</v>
      </c>
      <c r="U2064" s="1855" t="s">
        <v>34</v>
      </c>
      <c r="V2064" s="1799"/>
      <c r="W2064" s="1856"/>
    </row>
    <row r="2065" spans="1:23" ht="22.95" customHeight="1" x14ac:dyDescent="0.4">
      <c r="A2065" s="788">
        <v>2064</v>
      </c>
      <c r="B2065" s="1846" t="s">
        <v>2616</v>
      </c>
      <c r="C2065" s="1848" t="s">
        <v>24</v>
      </c>
      <c r="D2065" s="1082">
        <v>2498</v>
      </c>
      <c r="E2065" s="1848" t="s">
        <v>4913</v>
      </c>
      <c r="F2065" s="1848" t="s">
        <v>4823</v>
      </c>
      <c r="G2065" s="1849">
        <v>6585</v>
      </c>
      <c r="H2065" s="1867" t="s">
        <v>4900</v>
      </c>
      <c r="I2065" s="1868" t="s">
        <v>4759</v>
      </c>
      <c r="J2065" s="1868" t="s">
        <v>111</v>
      </c>
      <c r="K2065" s="1847" t="s">
        <v>110</v>
      </c>
      <c r="L2065" s="1869">
        <v>1</v>
      </c>
      <c r="M2065" s="1851" t="s">
        <v>4905</v>
      </c>
      <c r="N2065" s="1857"/>
      <c r="O2065" s="1853"/>
      <c r="P2065" s="222">
        <v>1</v>
      </c>
      <c r="Q2065" s="1860">
        <v>0.05</v>
      </c>
      <c r="R2065" s="222"/>
      <c r="S2065" s="216">
        <f t="shared" si="64"/>
        <v>0</v>
      </c>
      <c r="T2065" s="1797">
        <f t="shared" si="65"/>
        <v>0</v>
      </c>
      <c r="U2065" s="1855" t="s">
        <v>34</v>
      </c>
      <c r="V2065" s="1799"/>
      <c r="W2065" s="1856"/>
    </row>
    <row r="2066" spans="1:23" ht="22.95" customHeight="1" x14ac:dyDescent="0.4">
      <c r="A2066" s="788">
        <v>2065</v>
      </c>
      <c r="B2066" s="1846" t="s">
        <v>2616</v>
      </c>
      <c r="C2066" s="1848" t="s">
        <v>24</v>
      </c>
      <c r="D2066" s="1082">
        <v>2498</v>
      </c>
      <c r="E2066" s="1848" t="s">
        <v>4913</v>
      </c>
      <c r="F2066" s="1848" t="s">
        <v>4823</v>
      </c>
      <c r="G2066" s="1849">
        <v>6585</v>
      </c>
      <c r="H2066" s="1867" t="s">
        <v>4900</v>
      </c>
      <c r="I2066" s="1868" t="s">
        <v>4759</v>
      </c>
      <c r="J2066" s="1868" t="s">
        <v>111</v>
      </c>
      <c r="K2066" s="1847" t="s">
        <v>110</v>
      </c>
      <c r="L2066" s="1869">
        <v>1</v>
      </c>
      <c r="M2066" s="1851" t="s">
        <v>1021</v>
      </c>
      <c r="N2066" s="1852"/>
      <c r="O2066" s="1853"/>
      <c r="P2066" s="222">
        <v>1</v>
      </c>
      <c r="Q2066" s="1860">
        <v>0.05</v>
      </c>
      <c r="R2066" s="222"/>
      <c r="S2066" s="216">
        <f t="shared" si="64"/>
        <v>0</v>
      </c>
      <c r="T2066" s="1797">
        <f t="shared" si="65"/>
        <v>0</v>
      </c>
      <c r="U2066" s="1855" t="s">
        <v>34</v>
      </c>
      <c r="V2066" s="1799"/>
      <c r="W2066" s="1856"/>
    </row>
    <row r="2067" spans="1:23" ht="22.95" customHeight="1" x14ac:dyDescent="0.4">
      <c r="A2067" s="788">
        <v>2066</v>
      </c>
      <c r="B2067" s="1846" t="s">
        <v>2616</v>
      </c>
      <c r="C2067" s="1848" t="s">
        <v>24</v>
      </c>
      <c r="D2067" s="1082">
        <v>2498</v>
      </c>
      <c r="E2067" s="1848" t="s">
        <v>4913</v>
      </c>
      <c r="F2067" s="1848" t="s">
        <v>4823</v>
      </c>
      <c r="G2067" s="1849">
        <v>6585</v>
      </c>
      <c r="H2067" s="1867" t="s">
        <v>4900</v>
      </c>
      <c r="I2067" s="1868" t="s">
        <v>4759</v>
      </c>
      <c r="J2067" s="1868" t="s">
        <v>111</v>
      </c>
      <c r="K2067" s="1847" t="s">
        <v>110</v>
      </c>
      <c r="L2067" s="1869">
        <v>1</v>
      </c>
      <c r="M2067" s="1851" t="s">
        <v>4906</v>
      </c>
      <c r="N2067" s="1852"/>
      <c r="O2067" s="1853"/>
      <c r="P2067" s="222">
        <v>1</v>
      </c>
      <c r="Q2067" s="1860">
        <v>0.05</v>
      </c>
      <c r="R2067" s="222"/>
      <c r="S2067" s="216">
        <f t="shared" si="64"/>
        <v>0</v>
      </c>
      <c r="T2067" s="1797">
        <f t="shared" si="65"/>
        <v>0</v>
      </c>
      <c r="U2067" s="1855" t="s">
        <v>34</v>
      </c>
      <c r="V2067" s="1799"/>
      <c r="W2067" s="1856"/>
    </row>
    <row r="2068" spans="1:23" ht="22.95" customHeight="1" x14ac:dyDescent="0.4">
      <c r="A2068" s="788">
        <v>2067</v>
      </c>
      <c r="B2068" s="1846" t="s">
        <v>2616</v>
      </c>
      <c r="C2068" s="1848" t="s">
        <v>24</v>
      </c>
      <c r="D2068" s="1082">
        <v>2498</v>
      </c>
      <c r="E2068" s="1848" t="s">
        <v>4913</v>
      </c>
      <c r="F2068" s="1848" t="s">
        <v>4823</v>
      </c>
      <c r="G2068" s="1849">
        <v>6585</v>
      </c>
      <c r="H2068" s="1867" t="s">
        <v>4900</v>
      </c>
      <c r="I2068" s="1868" t="s">
        <v>4759</v>
      </c>
      <c r="J2068" s="1868" t="s">
        <v>111</v>
      </c>
      <c r="K2068" s="1847" t="s">
        <v>110</v>
      </c>
      <c r="L2068" s="1869">
        <v>1</v>
      </c>
      <c r="M2068" s="1851" t="s">
        <v>4907</v>
      </c>
      <c r="N2068" s="1857"/>
      <c r="O2068" s="1853"/>
      <c r="P2068" s="222">
        <v>1</v>
      </c>
      <c r="Q2068" s="1860">
        <v>0.05</v>
      </c>
      <c r="R2068" s="222"/>
      <c r="S2068" s="216">
        <f t="shared" si="64"/>
        <v>0</v>
      </c>
      <c r="T2068" s="1797">
        <f t="shared" si="65"/>
        <v>0</v>
      </c>
      <c r="U2068" s="1855" t="s">
        <v>34</v>
      </c>
      <c r="V2068" s="1799"/>
      <c r="W2068" s="1856"/>
    </row>
    <row r="2069" spans="1:23" ht="22.95" customHeight="1" x14ac:dyDescent="0.4">
      <c r="A2069" s="788">
        <v>2068</v>
      </c>
      <c r="B2069" s="1846" t="s">
        <v>2616</v>
      </c>
      <c r="C2069" s="1848" t="s">
        <v>24</v>
      </c>
      <c r="D2069" s="1082">
        <v>2498</v>
      </c>
      <c r="E2069" s="1848" t="s">
        <v>4913</v>
      </c>
      <c r="F2069" s="1848" t="s">
        <v>4823</v>
      </c>
      <c r="G2069" s="1849">
        <v>6585</v>
      </c>
      <c r="H2069" s="1867" t="s">
        <v>4900</v>
      </c>
      <c r="I2069" s="1868" t="s">
        <v>4759</v>
      </c>
      <c r="J2069" s="1868" t="s">
        <v>111</v>
      </c>
      <c r="K2069" s="1847" t="s">
        <v>110</v>
      </c>
      <c r="L2069" s="1869">
        <v>1</v>
      </c>
      <c r="M2069" s="1851" t="s">
        <v>4908</v>
      </c>
      <c r="N2069" s="1852"/>
      <c r="O2069" s="1853"/>
      <c r="P2069" s="222">
        <v>1</v>
      </c>
      <c r="Q2069" s="1860">
        <v>0.05</v>
      </c>
      <c r="R2069" s="222"/>
      <c r="S2069" s="216">
        <f t="shared" si="64"/>
        <v>0</v>
      </c>
      <c r="T2069" s="1797">
        <f t="shared" si="65"/>
        <v>0</v>
      </c>
      <c r="U2069" s="1855" t="s">
        <v>34</v>
      </c>
      <c r="V2069" s="1799"/>
      <c r="W2069" s="1856"/>
    </row>
    <row r="2070" spans="1:23" ht="22.95" customHeight="1" x14ac:dyDescent="0.4">
      <c r="A2070" s="788">
        <v>2069</v>
      </c>
      <c r="B2070" s="1846" t="s">
        <v>2616</v>
      </c>
      <c r="C2070" s="1848" t="s">
        <v>24</v>
      </c>
      <c r="D2070" s="1082">
        <v>2498</v>
      </c>
      <c r="E2070" s="1848" t="s">
        <v>4913</v>
      </c>
      <c r="F2070" s="1848" t="s">
        <v>4823</v>
      </c>
      <c r="G2070" s="1849">
        <v>6585</v>
      </c>
      <c r="H2070" s="1867" t="s">
        <v>4900</v>
      </c>
      <c r="I2070" s="1868" t="s">
        <v>4759</v>
      </c>
      <c r="J2070" s="1868" t="s">
        <v>111</v>
      </c>
      <c r="K2070" s="1847" t="s">
        <v>110</v>
      </c>
      <c r="L2070" s="1869">
        <v>1</v>
      </c>
      <c r="M2070" s="1851" t="s">
        <v>4909</v>
      </c>
      <c r="N2070" s="1852"/>
      <c r="O2070" s="1853"/>
      <c r="P2070" s="222">
        <v>1</v>
      </c>
      <c r="Q2070" s="1860">
        <v>0.05</v>
      </c>
      <c r="R2070" s="222"/>
      <c r="S2070" s="216">
        <f t="shared" si="64"/>
        <v>0</v>
      </c>
      <c r="T2070" s="1797">
        <f t="shared" si="65"/>
        <v>0</v>
      </c>
      <c r="U2070" s="1855" t="s">
        <v>34</v>
      </c>
      <c r="V2070" s="1799"/>
      <c r="W2070" s="1856"/>
    </row>
    <row r="2071" spans="1:23" ht="22.95" customHeight="1" x14ac:dyDescent="0.4">
      <c r="A2071" s="788">
        <v>2070</v>
      </c>
      <c r="B2071" s="1836" t="s">
        <v>2616</v>
      </c>
      <c r="C2071" s="1838" t="s">
        <v>24</v>
      </c>
      <c r="D2071" s="1200">
        <v>2495</v>
      </c>
      <c r="E2071" s="1838" t="s">
        <v>4914</v>
      </c>
      <c r="F2071" s="1838" t="s">
        <v>4823</v>
      </c>
      <c r="G2071" s="1839">
        <v>6585</v>
      </c>
      <c r="H2071" s="1838" t="s">
        <v>4900</v>
      </c>
      <c r="I2071" s="1838" t="s">
        <v>4759</v>
      </c>
      <c r="J2071" s="1838" t="s">
        <v>111</v>
      </c>
      <c r="K2071" s="1837" t="s">
        <v>110</v>
      </c>
      <c r="L2071" s="1790">
        <v>1</v>
      </c>
      <c r="M2071" s="1840" t="s">
        <v>4901</v>
      </c>
      <c r="N2071" s="1841"/>
      <c r="O2071" s="1842"/>
      <c r="P2071" s="644">
        <v>1</v>
      </c>
      <c r="Q2071" s="1859">
        <v>0.3</v>
      </c>
      <c r="R2071" s="644"/>
      <c r="S2071" s="195">
        <f t="shared" si="64"/>
        <v>0</v>
      </c>
      <c r="T2071" s="1354">
        <f t="shared" si="65"/>
        <v>0</v>
      </c>
      <c r="U2071" s="1844" t="s">
        <v>34</v>
      </c>
      <c r="V2071" s="1214">
        <f>SUM(T2071:T2081)%</f>
        <v>0</v>
      </c>
      <c r="W2071" s="1845"/>
    </row>
    <row r="2072" spans="1:23" ht="22.95" customHeight="1" x14ac:dyDescent="0.4">
      <c r="A2072" s="788">
        <v>2071</v>
      </c>
      <c r="B2072" s="1846" t="s">
        <v>2616</v>
      </c>
      <c r="C2072" s="1848" t="s">
        <v>24</v>
      </c>
      <c r="D2072" s="1082">
        <v>2495</v>
      </c>
      <c r="E2072" s="1848" t="s">
        <v>4914</v>
      </c>
      <c r="F2072" s="1848" t="s">
        <v>4823</v>
      </c>
      <c r="G2072" s="1849">
        <v>6585</v>
      </c>
      <c r="H2072" s="1848" t="s">
        <v>4900</v>
      </c>
      <c r="I2072" s="1848" t="s">
        <v>4759</v>
      </c>
      <c r="J2072" s="1848" t="s">
        <v>111</v>
      </c>
      <c r="K2072" s="1847" t="s">
        <v>110</v>
      </c>
      <c r="L2072" s="1850">
        <v>1</v>
      </c>
      <c r="M2072" s="1851" t="s">
        <v>4902</v>
      </c>
      <c r="N2072" s="1852"/>
      <c r="O2072" s="1853"/>
      <c r="P2072" s="222">
        <v>1</v>
      </c>
      <c r="Q2072" s="1860">
        <v>0.1</v>
      </c>
      <c r="R2072" s="222"/>
      <c r="S2072" s="216">
        <f t="shared" si="64"/>
        <v>0</v>
      </c>
      <c r="T2072" s="1797">
        <f t="shared" si="65"/>
        <v>0</v>
      </c>
      <c r="U2072" s="1855" t="s">
        <v>34</v>
      </c>
      <c r="V2072" s="1799"/>
      <c r="W2072" s="1856"/>
    </row>
    <row r="2073" spans="1:23" ht="22.95" customHeight="1" x14ac:dyDescent="0.4">
      <c r="A2073" s="788">
        <v>2072</v>
      </c>
      <c r="B2073" s="1846" t="s">
        <v>2616</v>
      </c>
      <c r="C2073" s="1848" t="s">
        <v>24</v>
      </c>
      <c r="D2073" s="1082">
        <v>2495</v>
      </c>
      <c r="E2073" s="1848" t="s">
        <v>4914</v>
      </c>
      <c r="F2073" s="1848" t="s">
        <v>4823</v>
      </c>
      <c r="G2073" s="1849">
        <v>6585</v>
      </c>
      <c r="H2073" s="1848" t="s">
        <v>4900</v>
      </c>
      <c r="I2073" s="1848" t="s">
        <v>4759</v>
      </c>
      <c r="J2073" s="1848" t="s">
        <v>111</v>
      </c>
      <c r="K2073" s="1847" t="s">
        <v>110</v>
      </c>
      <c r="L2073" s="1850">
        <v>1</v>
      </c>
      <c r="M2073" s="1851" t="s">
        <v>4903</v>
      </c>
      <c r="N2073" s="1852"/>
      <c r="O2073" s="1853"/>
      <c r="P2073" s="222">
        <v>1</v>
      </c>
      <c r="Q2073" s="1860">
        <v>0.1</v>
      </c>
      <c r="R2073" s="222"/>
      <c r="S2073" s="216">
        <f t="shared" si="64"/>
        <v>0</v>
      </c>
      <c r="T2073" s="1797">
        <f t="shared" si="65"/>
        <v>0</v>
      </c>
      <c r="U2073" s="1855" t="s">
        <v>34</v>
      </c>
      <c r="V2073" s="1799"/>
      <c r="W2073" s="1856"/>
    </row>
    <row r="2074" spans="1:23" ht="22.95" customHeight="1" x14ac:dyDescent="0.4">
      <c r="A2074" s="788">
        <v>2073</v>
      </c>
      <c r="B2074" s="1846" t="s">
        <v>2616</v>
      </c>
      <c r="C2074" s="1848" t="s">
        <v>24</v>
      </c>
      <c r="D2074" s="1082">
        <v>2495</v>
      </c>
      <c r="E2074" s="1848" t="s">
        <v>4914</v>
      </c>
      <c r="F2074" s="1848" t="s">
        <v>4823</v>
      </c>
      <c r="G2074" s="1849">
        <v>6585</v>
      </c>
      <c r="H2074" s="1848" t="s">
        <v>4900</v>
      </c>
      <c r="I2074" s="1848" t="s">
        <v>4759</v>
      </c>
      <c r="J2074" s="1848" t="s">
        <v>111</v>
      </c>
      <c r="K2074" s="1847" t="s">
        <v>110</v>
      </c>
      <c r="L2074" s="1850">
        <v>1</v>
      </c>
      <c r="M2074" s="1851" t="s">
        <v>4904</v>
      </c>
      <c r="N2074" s="1852"/>
      <c r="O2074" s="1853"/>
      <c r="P2074" s="222">
        <v>1</v>
      </c>
      <c r="Q2074" s="1860">
        <v>0.1</v>
      </c>
      <c r="R2074" s="222"/>
      <c r="S2074" s="216">
        <f t="shared" si="64"/>
        <v>0</v>
      </c>
      <c r="T2074" s="1797">
        <f t="shared" si="65"/>
        <v>0</v>
      </c>
      <c r="U2074" s="1855" t="s">
        <v>34</v>
      </c>
      <c r="V2074" s="1799"/>
      <c r="W2074" s="1856"/>
    </row>
    <row r="2075" spans="1:23" ht="22.95" customHeight="1" x14ac:dyDescent="0.4">
      <c r="A2075" s="788">
        <v>2074</v>
      </c>
      <c r="B2075" s="1846" t="s">
        <v>2616</v>
      </c>
      <c r="C2075" s="1848" t="s">
        <v>24</v>
      </c>
      <c r="D2075" s="1082">
        <v>2495</v>
      </c>
      <c r="E2075" s="1848" t="s">
        <v>4914</v>
      </c>
      <c r="F2075" s="1848" t="s">
        <v>4823</v>
      </c>
      <c r="G2075" s="1849">
        <v>6585</v>
      </c>
      <c r="H2075" s="1848" t="s">
        <v>4900</v>
      </c>
      <c r="I2075" s="1848" t="s">
        <v>4759</v>
      </c>
      <c r="J2075" s="1848" t="s">
        <v>111</v>
      </c>
      <c r="K2075" s="1847" t="s">
        <v>110</v>
      </c>
      <c r="L2075" s="1850">
        <v>1</v>
      </c>
      <c r="M2075" s="1851" t="s">
        <v>3394</v>
      </c>
      <c r="N2075" s="1852"/>
      <c r="O2075" s="1853"/>
      <c r="P2075" s="222">
        <v>1</v>
      </c>
      <c r="Q2075" s="1860">
        <v>0.1</v>
      </c>
      <c r="R2075" s="222"/>
      <c r="S2075" s="216">
        <f t="shared" si="64"/>
        <v>0</v>
      </c>
      <c r="T2075" s="1797">
        <f t="shared" si="65"/>
        <v>0</v>
      </c>
      <c r="U2075" s="1855" t="s">
        <v>34</v>
      </c>
      <c r="V2075" s="1799"/>
      <c r="W2075" s="1856"/>
    </row>
    <row r="2076" spans="1:23" ht="22.95" customHeight="1" x14ac:dyDescent="0.4">
      <c r="A2076" s="788">
        <v>2075</v>
      </c>
      <c r="B2076" s="1846" t="s">
        <v>2616</v>
      </c>
      <c r="C2076" s="1848" t="s">
        <v>24</v>
      </c>
      <c r="D2076" s="1082">
        <v>2495</v>
      </c>
      <c r="E2076" s="1848" t="s">
        <v>4914</v>
      </c>
      <c r="F2076" s="1848" t="s">
        <v>4823</v>
      </c>
      <c r="G2076" s="1849">
        <v>6585</v>
      </c>
      <c r="H2076" s="1848" t="s">
        <v>4900</v>
      </c>
      <c r="I2076" s="1848" t="s">
        <v>4759</v>
      </c>
      <c r="J2076" s="1848" t="s">
        <v>111</v>
      </c>
      <c r="K2076" s="1847" t="s">
        <v>110</v>
      </c>
      <c r="L2076" s="1850">
        <v>1</v>
      </c>
      <c r="M2076" s="1851" t="s">
        <v>4905</v>
      </c>
      <c r="N2076" s="1857"/>
      <c r="O2076" s="1853"/>
      <c r="P2076" s="222">
        <v>1</v>
      </c>
      <c r="Q2076" s="1860">
        <v>0.05</v>
      </c>
      <c r="R2076" s="222"/>
      <c r="S2076" s="216">
        <f t="shared" si="64"/>
        <v>0</v>
      </c>
      <c r="T2076" s="1797">
        <f t="shared" si="65"/>
        <v>0</v>
      </c>
      <c r="U2076" s="1855" t="s">
        <v>34</v>
      </c>
      <c r="V2076" s="1799"/>
      <c r="W2076" s="1856"/>
    </row>
    <row r="2077" spans="1:23" ht="22.95" customHeight="1" x14ac:dyDescent="0.75">
      <c r="A2077" s="788">
        <v>2076</v>
      </c>
      <c r="B2077" s="1846" t="s">
        <v>2616</v>
      </c>
      <c r="C2077" s="1848" t="s">
        <v>24</v>
      </c>
      <c r="D2077" s="1082">
        <v>2495</v>
      </c>
      <c r="E2077" s="1848" t="s">
        <v>4914</v>
      </c>
      <c r="F2077" s="1848" t="s">
        <v>4823</v>
      </c>
      <c r="G2077" s="1849">
        <v>6585</v>
      </c>
      <c r="H2077" s="1848" t="s">
        <v>4900</v>
      </c>
      <c r="I2077" s="1848" t="s">
        <v>4759</v>
      </c>
      <c r="J2077" s="1848" t="s">
        <v>111</v>
      </c>
      <c r="K2077" s="1847" t="s">
        <v>110</v>
      </c>
      <c r="L2077" s="1850">
        <v>1</v>
      </c>
      <c r="M2077" s="1851" t="s">
        <v>1021</v>
      </c>
      <c r="N2077" s="1858"/>
      <c r="O2077" s="1853"/>
      <c r="P2077" s="222">
        <v>1</v>
      </c>
      <c r="Q2077" s="1870">
        <v>0.05</v>
      </c>
      <c r="R2077" s="222"/>
      <c r="S2077" s="216">
        <f t="shared" si="64"/>
        <v>0</v>
      </c>
      <c r="T2077" s="1797">
        <f t="shared" si="65"/>
        <v>0</v>
      </c>
      <c r="U2077" s="1855" t="s">
        <v>34</v>
      </c>
      <c r="V2077" s="1799"/>
      <c r="W2077" s="1856"/>
    </row>
    <row r="2078" spans="1:23" ht="22.95" customHeight="1" x14ac:dyDescent="0.75">
      <c r="A2078" s="788">
        <v>2077</v>
      </c>
      <c r="B2078" s="1846" t="s">
        <v>2616</v>
      </c>
      <c r="C2078" s="1848" t="s">
        <v>24</v>
      </c>
      <c r="D2078" s="1082">
        <v>2495</v>
      </c>
      <c r="E2078" s="1848" t="s">
        <v>4914</v>
      </c>
      <c r="F2078" s="1848" t="s">
        <v>4823</v>
      </c>
      <c r="G2078" s="1849">
        <v>6585</v>
      </c>
      <c r="H2078" s="1848" t="s">
        <v>4900</v>
      </c>
      <c r="I2078" s="1848" t="s">
        <v>4759</v>
      </c>
      <c r="J2078" s="1848" t="s">
        <v>111</v>
      </c>
      <c r="K2078" s="1847" t="s">
        <v>110</v>
      </c>
      <c r="L2078" s="1850">
        <v>1</v>
      </c>
      <c r="M2078" s="1851" t="s">
        <v>4906</v>
      </c>
      <c r="N2078" s="1858"/>
      <c r="O2078" s="1853"/>
      <c r="P2078" s="222">
        <v>1</v>
      </c>
      <c r="Q2078" s="1870">
        <v>0.05</v>
      </c>
      <c r="R2078" s="222"/>
      <c r="S2078" s="216">
        <f t="shared" si="64"/>
        <v>0</v>
      </c>
      <c r="T2078" s="1797">
        <f t="shared" si="65"/>
        <v>0</v>
      </c>
      <c r="U2078" s="1855" t="s">
        <v>34</v>
      </c>
      <c r="V2078" s="1799"/>
      <c r="W2078" s="1856"/>
    </row>
    <row r="2079" spans="1:23" ht="22.95" customHeight="1" x14ac:dyDescent="0.75">
      <c r="A2079" s="788">
        <v>2078</v>
      </c>
      <c r="B2079" s="1846" t="s">
        <v>2616</v>
      </c>
      <c r="C2079" s="1848" t="s">
        <v>24</v>
      </c>
      <c r="D2079" s="1082">
        <v>2495</v>
      </c>
      <c r="E2079" s="1848" t="s">
        <v>4914</v>
      </c>
      <c r="F2079" s="1848" t="s">
        <v>4823</v>
      </c>
      <c r="G2079" s="1849">
        <v>6585</v>
      </c>
      <c r="H2079" s="1848" t="s">
        <v>4900</v>
      </c>
      <c r="I2079" s="1848" t="s">
        <v>4759</v>
      </c>
      <c r="J2079" s="1848" t="s">
        <v>111</v>
      </c>
      <c r="K2079" s="1847" t="s">
        <v>110</v>
      </c>
      <c r="L2079" s="1850">
        <v>1</v>
      </c>
      <c r="M2079" s="1851" t="s">
        <v>4907</v>
      </c>
      <c r="N2079" s="1858"/>
      <c r="O2079" s="1853"/>
      <c r="P2079" s="222">
        <v>1</v>
      </c>
      <c r="Q2079" s="1870">
        <v>0.05</v>
      </c>
      <c r="R2079" s="222"/>
      <c r="S2079" s="216">
        <f t="shared" si="64"/>
        <v>0</v>
      </c>
      <c r="T2079" s="1797">
        <f t="shared" si="65"/>
        <v>0</v>
      </c>
      <c r="U2079" s="1855" t="s">
        <v>34</v>
      </c>
      <c r="V2079" s="1799"/>
      <c r="W2079" s="1856"/>
    </row>
    <row r="2080" spans="1:23" ht="22.95" customHeight="1" x14ac:dyDescent="0.75">
      <c r="A2080" s="788">
        <v>2079</v>
      </c>
      <c r="B2080" s="1846" t="s">
        <v>2616</v>
      </c>
      <c r="C2080" s="1848" t="s">
        <v>24</v>
      </c>
      <c r="D2080" s="1082">
        <v>2495</v>
      </c>
      <c r="E2080" s="1848" t="s">
        <v>4914</v>
      </c>
      <c r="F2080" s="1848" t="s">
        <v>4823</v>
      </c>
      <c r="G2080" s="1849">
        <v>6585</v>
      </c>
      <c r="H2080" s="1848" t="s">
        <v>4900</v>
      </c>
      <c r="I2080" s="1848" t="s">
        <v>4759</v>
      </c>
      <c r="J2080" s="1848" t="s">
        <v>111</v>
      </c>
      <c r="K2080" s="1847" t="s">
        <v>110</v>
      </c>
      <c r="L2080" s="1850">
        <v>1</v>
      </c>
      <c r="M2080" s="1851" t="s">
        <v>4908</v>
      </c>
      <c r="N2080" s="1858"/>
      <c r="O2080" s="1853"/>
      <c r="P2080" s="222">
        <v>1</v>
      </c>
      <c r="Q2080" s="1870">
        <v>0.05</v>
      </c>
      <c r="R2080" s="222"/>
      <c r="S2080" s="216">
        <f t="shared" si="64"/>
        <v>0</v>
      </c>
      <c r="T2080" s="1797">
        <f t="shared" si="65"/>
        <v>0</v>
      </c>
      <c r="U2080" s="1855" t="s">
        <v>34</v>
      </c>
      <c r="V2080" s="1799"/>
      <c r="W2080" s="1856"/>
    </row>
    <row r="2081" spans="1:23" ht="22.95" customHeight="1" x14ac:dyDescent="0.75">
      <c r="A2081" s="788">
        <v>2080</v>
      </c>
      <c r="B2081" s="1846" t="s">
        <v>2616</v>
      </c>
      <c r="C2081" s="1848" t="s">
        <v>24</v>
      </c>
      <c r="D2081" s="1082">
        <v>2495</v>
      </c>
      <c r="E2081" s="1848" t="s">
        <v>4914</v>
      </c>
      <c r="F2081" s="1848" t="s">
        <v>4823</v>
      </c>
      <c r="G2081" s="1849">
        <v>6585</v>
      </c>
      <c r="H2081" s="1848" t="s">
        <v>4900</v>
      </c>
      <c r="I2081" s="1848" t="s">
        <v>4759</v>
      </c>
      <c r="J2081" s="1848" t="s">
        <v>111</v>
      </c>
      <c r="K2081" s="1847" t="s">
        <v>110</v>
      </c>
      <c r="L2081" s="1850">
        <v>1</v>
      </c>
      <c r="M2081" s="1851" t="s">
        <v>4909</v>
      </c>
      <c r="N2081" s="1858"/>
      <c r="O2081" s="1853"/>
      <c r="P2081" s="222">
        <v>1</v>
      </c>
      <c r="Q2081" s="1870">
        <v>0.05</v>
      </c>
      <c r="R2081" s="222"/>
      <c r="S2081" s="216">
        <f t="shared" si="64"/>
        <v>0</v>
      </c>
      <c r="T2081" s="1797">
        <f t="shared" si="65"/>
        <v>0</v>
      </c>
      <c r="U2081" s="1855" t="s">
        <v>34</v>
      </c>
      <c r="V2081" s="1799"/>
      <c r="W2081" s="1856"/>
    </row>
    <row r="2082" spans="1:23" ht="22.95" customHeight="1" x14ac:dyDescent="0.4">
      <c r="A2082" s="788">
        <v>2081</v>
      </c>
      <c r="B2082" s="1836" t="s">
        <v>2616</v>
      </c>
      <c r="C2082" s="1838" t="s">
        <v>24</v>
      </c>
      <c r="D2082" s="1200">
        <v>5385</v>
      </c>
      <c r="E2082" s="244" t="s">
        <v>4915</v>
      </c>
      <c r="F2082" s="1837" t="s">
        <v>4916</v>
      </c>
      <c r="G2082" s="1871">
        <v>3649</v>
      </c>
      <c r="H2082" s="1872" t="s">
        <v>4894</v>
      </c>
      <c r="I2082" s="1838" t="s">
        <v>4759</v>
      </c>
      <c r="J2082" s="1838" t="s">
        <v>111</v>
      </c>
      <c r="K2082" s="1837" t="s">
        <v>110</v>
      </c>
      <c r="L2082" s="1790">
        <v>1</v>
      </c>
      <c r="M2082" s="1873" t="s">
        <v>4917</v>
      </c>
      <c r="N2082" s="1873"/>
      <c r="O2082" s="1842"/>
      <c r="P2082" s="1874">
        <v>1</v>
      </c>
      <c r="Q2082" s="1875">
        <v>0.3</v>
      </c>
      <c r="R2082" s="1874"/>
      <c r="S2082" s="1876">
        <f t="shared" si="64"/>
        <v>0</v>
      </c>
      <c r="T2082" s="1877">
        <f t="shared" si="65"/>
        <v>0</v>
      </c>
      <c r="U2082" s="1878" t="s">
        <v>34</v>
      </c>
      <c r="V2082" s="1214">
        <f>SUM(T2082:T2085)%</f>
        <v>0</v>
      </c>
      <c r="W2082" s="1845"/>
    </row>
    <row r="2083" spans="1:23" ht="22.95" customHeight="1" x14ac:dyDescent="0.4">
      <c r="A2083" s="788">
        <v>2082</v>
      </c>
      <c r="B2083" s="1879" t="s">
        <v>2616</v>
      </c>
      <c r="C2083" s="1880" t="s">
        <v>24</v>
      </c>
      <c r="D2083" s="1306">
        <v>5385</v>
      </c>
      <c r="E2083" s="1831" t="s">
        <v>4915</v>
      </c>
      <c r="F2083" s="1881" t="s">
        <v>4916</v>
      </c>
      <c r="G2083" s="1882">
        <v>3649</v>
      </c>
      <c r="H2083" s="1883" t="s">
        <v>4894</v>
      </c>
      <c r="I2083" s="1880" t="s">
        <v>4759</v>
      </c>
      <c r="J2083" s="1848" t="s">
        <v>111</v>
      </c>
      <c r="K2083" s="1881" t="s">
        <v>110</v>
      </c>
      <c r="L2083" s="1802">
        <v>1</v>
      </c>
      <c r="M2083" s="1884" t="s">
        <v>4918</v>
      </c>
      <c r="N2083" s="1884"/>
      <c r="O2083" s="1853"/>
      <c r="P2083" s="1885">
        <v>1</v>
      </c>
      <c r="Q2083" s="1886">
        <v>0.3</v>
      </c>
      <c r="R2083" s="1885"/>
      <c r="S2083" s="1885">
        <f t="shared" si="64"/>
        <v>0</v>
      </c>
      <c r="T2083" s="1887">
        <f t="shared" si="65"/>
        <v>0</v>
      </c>
      <c r="U2083" s="1888" t="s">
        <v>34</v>
      </c>
      <c r="V2083" s="1804"/>
      <c r="W2083" s="1856"/>
    </row>
    <row r="2084" spans="1:23" ht="22.95" customHeight="1" x14ac:dyDescent="0.4">
      <c r="A2084" s="788">
        <v>2083</v>
      </c>
      <c r="B2084" s="1879" t="s">
        <v>2616</v>
      </c>
      <c r="C2084" s="1880" t="s">
        <v>24</v>
      </c>
      <c r="D2084" s="1306">
        <v>5385</v>
      </c>
      <c r="E2084" s="1831" t="s">
        <v>4915</v>
      </c>
      <c r="F2084" s="1881" t="s">
        <v>4916</v>
      </c>
      <c r="G2084" s="1882">
        <v>3649</v>
      </c>
      <c r="H2084" s="1883" t="s">
        <v>4894</v>
      </c>
      <c r="I2084" s="1880" t="s">
        <v>4759</v>
      </c>
      <c r="J2084" s="1848" t="s">
        <v>111</v>
      </c>
      <c r="K2084" s="1881" t="s">
        <v>110</v>
      </c>
      <c r="L2084" s="1802">
        <v>1</v>
      </c>
      <c r="M2084" s="1884" t="s">
        <v>4919</v>
      </c>
      <c r="N2084" s="1884"/>
      <c r="O2084" s="1853"/>
      <c r="P2084" s="1885">
        <v>1</v>
      </c>
      <c r="Q2084" s="1886">
        <v>0.2</v>
      </c>
      <c r="R2084" s="1885"/>
      <c r="S2084" s="1885">
        <f t="shared" si="64"/>
        <v>0</v>
      </c>
      <c r="T2084" s="1887">
        <f t="shared" si="65"/>
        <v>0</v>
      </c>
      <c r="U2084" s="1888" t="s">
        <v>34</v>
      </c>
      <c r="V2084" s="1804"/>
      <c r="W2084" s="1856"/>
    </row>
    <row r="2085" spans="1:23" ht="22.95" customHeight="1" x14ac:dyDescent="0.4">
      <c r="A2085" s="788">
        <v>2084</v>
      </c>
      <c r="B2085" s="1879" t="s">
        <v>2616</v>
      </c>
      <c r="C2085" s="1880" t="s">
        <v>24</v>
      </c>
      <c r="D2085" s="1306">
        <v>5385</v>
      </c>
      <c r="E2085" s="1831" t="s">
        <v>4915</v>
      </c>
      <c r="F2085" s="1881" t="s">
        <v>4916</v>
      </c>
      <c r="G2085" s="1882">
        <v>3649</v>
      </c>
      <c r="H2085" s="1883" t="s">
        <v>4894</v>
      </c>
      <c r="I2085" s="1880" t="s">
        <v>4759</v>
      </c>
      <c r="J2085" s="1848" t="s">
        <v>111</v>
      </c>
      <c r="K2085" s="1881" t="s">
        <v>110</v>
      </c>
      <c r="L2085" s="1802">
        <v>1</v>
      </c>
      <c r="M2085" s="1832" t="s">
        <v>4920</v>
      </c>
      <c r="N2085" s="1832"/>
      <c r="O2085" s="1853"/>
      <c r="P2085" s="1885">
        <v>1</v>
      </c>
      <c r="Q2085" s="1886">
        <v>0.2</v>
      </c>
      <c r="R2085" s="1885"/>
      <c r="S2085" s="1885">
        <f t="shared" si="64"/>
        <v>0</v>
      </c>
      <c r="T2085" s="1887">
        <f t="shared" si="65"/>
        <v>0</v>
      </c>
      <c r="U2085" s="1888" t="s">
        <v>34</v>
      </c>
      <c r="V2085" s="1804"/>
      <c r="W2085" s="1856"/>
    </row>
    <row r="2086" spans="1:23" ht="22.95" customHeight="1" x14ac:dyDescent="0.4">
      <c r="A2086" s="788">
        <v>2085</v>
      </c>
      <c r="B2086" s="1836" t="s">
        <v>2616</v>
      </c>
      <c r="C2086" s="1838" t="s">
        <v>24</v>
      </c>
      <c r="D2086" s="1200">
        <v>5696</v>
      </c>
      <c r="E2086" s="244" t="s">
        <v>4921</v>
      </c>
      <c r="F2086" s="1837" t="s">
        <v>4922</v>
      </c>
      <c r="G2086" s="1871">
        <v>3649</v>
      </c>
      <c r="H2086" s="1872" t="s">
        <v>4894</v>
      </c>
      <c r="I2086" s="1838" t="s">
        <v>4759</v>
      </c>
      <c r="J2086" s="1838" t="s">
        <v>111</v>
      </c>
      <c r="K2086" s="1837" t="s">
        <v>110</v>
      </c>
      <c r="L2086" s="1790">
        <v>1</v>
      </c>
      <c r="M2086" s="1873" t="s">
        <v>4917</v>
      </c>
      <c r="N2086" s="1829"/>
      <c r="O2086" s="1842"/>
      <c r="P2086" s="1874">
        <v>1</v>
      </c>
      <c r="Q2086" s="1875">
        <v>0.3</v>
      </c>
      <c r="R2086" s="1874"/>
      <c r="S2086" s="1874">
        <f t="shared" si="64"/>
        <v>0</v>
      </c>
      <c r="T2086" s="1877">
        <f t="shared" si="65"/>
        <v>0</v>
      </c>
      <c r="U2086" s="1878" t="s">
        <v>34</v>
      </c>
      <c r="V2086" s="1214">
        <f>SUM(T2086:T2089)%</f>
        <v>0</v>
      </c>
      <c r="W2086" s="1845"/>
    </row>
    <row r="2087" spans="1:23" ht="22.95" customHeight="1" x14ac:dyDescent="0.4">
      <c r="A2087" s="788">
        <v>2086</v>
      </c>
      <c r="B2087" s="1846" t="s">
        <v>2616</v>
      </c>
      <c r="C2087" s="1848" t="s">
        <v>24</v>
      </c>
      <c r="D2087" s="1306">
        <v>5696</v>
      </c>
      <c r="E2087" s="1889" t="s">
        <v>4921</v>
      </c>
      <c r="F2087" s="1847" t="s">
        <v>4922</v>
      </c>
      <c r="G2087" s="1882">
        <v>3649</v>
      </c>
      <c r="H2087" s="1883" t="s">
        <v>4894</v>
      </c>
      <c r="I2087" s="1848" t="s">
        <v>4759</v>
      </c>
      <c r="J2087" s="1848" t="s">
        <v>111</v>
      </c>
      <c r="K2087" s="1847" t="s">
        <v>110</v>
      </c>
      <c r="L2087" s="1806">
        <v>1</v>
      </c>
      <c r="M2087" s="1884" t="s">
        <v>4918</v>
      </c>
      <c r="N2087" s="1833"/>
      <c r="O2087" s="1853"/>
      <c r="P2087" s="1885">
        <v>1</v>
      </c>
      <c r="Q2087" s="1886">
        <v>0.2</v>
      </c>
      <c r="R2087" s="1885"/>
      <c r="S2087" s="1885">
        <f t="shared" si="64"/>
        <v>0</v>
      </c>
      <c r="T2087" s="1887">
        <f t="shared" si="65"/>
        <v>0</v>
      </c>
      <c r="U2087" s="1890" t="s">
        <v>34</v>
      </c>
      <c r="V2087" s="1807"/>
      <c r="W2087" s="1856"/>
    </row>
    <row r="2088" spans="1:23" ht="22.95" customHeight="1" x14ac:dyDescent="0.4">
      <c r="A2088" s="788">
        <v>2087</v>
      </c>
      <c r="B2088" s="1846" t="s">
        <v>2616</v>
      </c>
      <c r="C2088" s="1848" t="s">
        <v>24</v>
      </c>
      <c r="D2088" s="1306">
        <v>5696</v>
      </c>
      <c r="E2088" s="1889" t="s">
        <v>4921</v>
      </c>
      <c r="F2088" s="1847" t="s">
        <v>4922</v>
      </c>
      <c r="G2088" s="1882">
        <v>3649</v>
      </c>
      <c r="H2088" s="1883" t="s">
        <v>4894</v>
      </c>
      <c r="I2088" s="1848" t="s">
        <v>4759</v>
      </c>
      <c r="J2088" s="1848" t="s">
        <v>111</v>
      </c>
      <c r="K2088" s="1847" t="s">
        <v>110</v>
      </c>
      <c r="L2088" s="1806">
        <v>1</v>
      </c>
      <c r="M2088" s="1884" t="s">
        <v>4919</v>
      </c>
      <c r="N2088" s="1833"/>
      <c r="O2088" s="1853"/>
      <c r="P2088" s="1885">
        <v>1</v>
      </c>
      <c r="Q2088" s="1886">
        <v>0.2</v>
      </c>
      <c r="R2088" s="1885"/>
      <c r="S2088" s="1885">
        <f t="shared" si="64"/>
        <v>0</v>
      </c>
      <c r="T2088" s="1887">
        <f t="shared" si="65"/>
        <v>0</v>
      </c>
      <c r="U2088" s="1890" t="s">
        <v>34</v>
      </c>
      <c r="V2088" s="1807"/>
      <c r="W2088" s="1856"/>
    </row>
    <row r="2089" spans="1:23" ht="22.95" customHeight="1" x14ac:dyDescent="0.4">
      <c r="A2089" s="788">
        <v>2088</v>
      </c>
      <c r="B2089" s="1879" t="s">
        <v>2616</v>
      </c>
      <c r="C2089" s="1880" t="s">
        <v>24</v>
      </c>
      <c r="D2089" s="1306">
        <v>5696</v>
      </c>
      <c r="E2089" s="1831" t="s">
        <v>4921</v>
      </c>
      <c r="F2089" s="1881" t="s">
        <v>4922</v>
      </c>
      <c r="G2089" s="1882">
        <v>3649</v>
      </c>
      <c r="H2089" s="1883" t="s">
        <v>4894</v>
      </c>
      <c r="I2089" s="1880" t="s">
        <v>4759</v>
      </c>
      <c r="J2089" s="1848" t="s">
        <v>111</v>
      </c>
      <c r="K2089" s="1881" t="s">
        <v>110</v>
      </c>
      <c r="L2089" s="1802">
        <v>1</v>
      </c>
      <c r="M2089" s="1832" t="s">
        <v>4920</v>
      </c>
      <c r="N2089" s="1891"/>
      <c r="O2089" s="1853"/>
      <c r="P2089" s="1885">
        <v>1</v>
      </c>
      <c r="Q2089" s="1886">
        <v>0.3</v>
      </c>
      <c r="R2089" s="1885"/>
      <c r="S2089" s="1885">
        <f t="shared" si="64"/>
        <v>0</v>
      </c>
      <c r="T2089" s="1887">
        <f t="shared" si="65"/>
        <v>0</v>
      </c>
      <c r="U2089" s="1888" t="s">
        <v>34</v>
      </c>
      <c r="V2089" s="1807"/>
      <c r="W2089" s="1856"/>
    </row>
    <row r="2090" spans="1:23" ht="22.95" customHeight="1" x14ac:dyDescent="0.4">
      <c r="A2090" s="788">
        <v>2089</v>
      </c>
      <c r="B2090" s="1836" t="s">
        <v>2616</v>
      </c>
      <c r="C2090" s="1838" t="s">
        <v>24</v>
      </c>
      <c r="D2090" s="1200">
        <v>5189</v>
      </c>
      <c r="E2090" s="244" t="s">
        <v>4923</v>
      </c>
      <c r="F2090" s="1837" t="s">
        <v>4808</v>
      </c>
      <c r="G2090" s="1871">
        <v>3649</v>
      </c>
      <c r="H2090" s="1872" t="s">
        <v>4894</v>
      </c>
      <c r="I2090" s="1838" t="s">
        <v>4759</v>
      </c>
      <c r="J2090" s="1838" t="s">
        <v>111</v>
      </c>
      <c r="K2090" s="1837" t="s">
        <v>110</v>
      </c>
      <c r="L2090" s="1790">
        <v>1</v>
      </c>
      <c r="M2090" s="1873" t="s">
        <v>4924</v>
      </c>
      <c r="N2090" s="1829"/>
      <c r="O2090" s="1842"/>
      <c r="P2090" s="1874">
        <v>1</v>
      </c>
      <c r="Q2090" s="1875">
        <v>0.25</v>
      </c>
      <c r="R2090" s="1874"/>
      <c r="S2090" s="1874">
        <f t="shared" si="64"/>
        <v>0</v>
      </c>
      <c r="T2090" s="1877">
        <f t="shared" si="65"/>
        <v>0</v>
      </c>
      <c r="U2090" s="1878" t="s">
        <v>34</v>
      </c>
      <c r="V2090" s="1214">
        <f>SUM(T2090:T2093)%</f>
        <v>0</v>
      </c>
      <c r="W2090" s="1845"/>
    </row>
    <row r="2091" spans="1:23" ht="22.95" customHeight="1" x14ac:dyDescent="0.4">
      <c r="A2091" s="788">
        <v>2090</v>
      </c>
      <c r="B2091" s="1846" t="s">
        <v>2616</v>
      </c>
      <c r="C2091" s="1848" t="s">
        <v>24</v>
      </c>
      <c r="D2091" s="1082">
        <v>5189</v>
      </c>
      <c r="E2091" s="1889" t="s">
        <v>4923</v>
      </c>
      <c r="F2091" s="1847" t="s">
        <v>4808</v>
      </c>
      <c r="G2091" s="1882">
        <v>3649</v>
      </c>
      <c r="H2091" s="1883" t="s">
        <v>4894</v>
      </c>
      <c r="I2091" s="1848" t="s">
        <v>4759</v>
      </c>
      <c r="J2091" s="1848" t="s">
        <v>111</v>
      </c>
      <c r="K2091" s="1847" t="s">
        <v>110</v>
      </c>
      <c r="L2091" s="1806">
        <v>1</v>
      </c>
      <c r="M2091" s="1833" t="s">
        <v>4925</v>
      </c>
      <c r="N2091" s="1833"/>
      <c r="O2091" s="1853"/>
      <c r="P2091" s="1885">
        <v>1</v>
      </c>
      <c r="Q2091" s="1886">
        <v>0.25</v>
      </c>
      <c r="R2091" s="1885"/>
      <c r="S2091" s="1885">
        <f t="shared" si="64"/>
        <v>0</v>
      </c>
      <c r="T2091" s="1887">
        <f t="shared" si="65"/>
        <v>0</v>
      </c>
      <c r="U2091" s="1890" t="s">
        <v>34</v>
      </c>
      <c r="V2091" s="1807"/>
      <c r="W2091" s="1856"/>
    </row>
    <row r="2092" spans="1:23" ht="22.95" customHeight="1" x14ac:dyDescent="0.4">
      <c r="A2092" s="788">
        <v>2091</v>
      </c>
      <c r="B2092" s="1846" t="s">
        <v>2616</v>
      </c>
      <c r="C2092" s="1848" t="s">
        <v>24</v>
      </c>
      <c r="D2092" s="1082">
        <v>5189</v>
      </c>
      <c r="E2092" s="1889" t="s">
        <v>4923</v>
      </c>
      <c r="F2092" s="1847" t="s">
        <v>4808</v>
      </c>
      <c r="G2092" s="1882">
        <v>3649</v>
      </c>
      <c r="H2092" s="1883" t="s">
        <v>4894</v>
      </c>
      <c r="I2092" s="1848" t="s">
        <v>4759</v>
      </c>
      <c r="J2092" s="1848" t="s">
        <v>111</v>
      </c>
      <c r="K2092" s="1847" t="s">
        <v>110</v>
      </c>
      <c r="L2092" s="1806">
        <v>1</v>
      </c>
      <c r="M2092" s="1833" t="s">
        <v>4926</v>
      </c>
      <c r="N2092" s="1833"/>
      <c r="O2092" s="1853"/>
      <c r="P2092" s="1885">
        <v>1</v>
      </c>
      <c r="Q2092" s="1886">
        <v>0.25</v>
      </c>
      <c r="R2092" s="1885"/>
      <c r="S2092" s="1885">
        <f t="shared" si="64"/>
        <v>0</v>
      </c>
      <c r="T2092" s="1887">
        <f t="shared" si="65"/>
        <v>0</v>
      </c>
      <c r="U2092" s="1890" t="s">
        <v>34</v>
      </c>
      <c r="V2092" s="1807"/>
      <c r="W2092" s="1856"/>
    </row>
    <row r="2093" spans="1:23" ht="22.95" customHeight="1" x14ac:dyDescent="0.4">
      <c r="A2093" s="788">
        <v>2092</v>
      </c>
      <c r="B2093" s="1846" t="s">
        <v>2616</v>
      </c>
      <c r="C2093" s="1848" t="s">
        <v>24</v>
      </c>
      <c r="D2093" s="1082">
        <v>5189</v>
      </c>
      <c r="E2093" s="1889" t="s">
        <v>4923</v>
      </c>
      <c r="F2093" s="1847" t="s">
        <v>4808</v>
      </c>
      <c r="G2093" s="1882">
        <v>3649</v>
      </c>
      <c r="H2093" s="1883" t="s">
        <v>4894</v>
      </c>
      <c r="I2093" s="1848" t="s">
        <v>4759</v>
      </c>
      <c r="J2093" s="1848" t="s">
        <v>111</v>
      </c>
      <c r="K2093" s="1847" t="s">
        <v>110</v>
      </c>
      <c r="L2093" s="1806">
        <v>1</v>
      </c>
      <c r="M2093" s="1833" t="s">
        <v>4927</v>
      </c>
      <c r="N2093" s="1833"/>
      <c r="O2093" s="1853"/>
      <c r="P2093" s="1885">
        <v>1</v>
      </c>
      <c r="Q2093" s="1886">
        <v>0.25</v>
      </c>
      <c r="R2093" s="1885"/>
      <c r="S2093" s="1885">
        <f t="shared" si="64"/>
        <v>0</v>
      </c>
      <c r="T2093" s="1887">
        <f t="shared" si="65"/>
        <v>0</v>
      </c>
      <c r="U2093" s="1890" t="s">
        <v>34</v>
      </c>
      <c r="V2093" s="1807"/>
      <c r="W2093" s="1856"/>
    </row>
    <row r="2094" spans="1:23" ht="22.95" customHeight="1" x14ac:dyDescent="0.4">
      <c r="A2094" s="788">
        <v>2093</v>
      </c>
      <c r="B2094" s="1836" t="s">
        <v>2616</v>
      </c>
      <c r="C2094" s="1838" t="s">
        <v>24</v>
      </c>
      <c r="D2094" s="1200">
        <v>5220</v>
      </c>
      <c r="E2094" s="244" t="s">
        <v>4928</v>
      </c>
      <c r="F2094" s="1837" t="s">
        <v>4808</v>
      </c>
      <c r="G2094" s="1871">
        <v>3649</v>
      </c>
      <c r="H2094" s="1872" t="s">
        <v>4894</v>
      </c>
      <c r="I2094" s="1838" t="s">
        <v>4759</v>
      </c>
      <c r="J2094" s="1838" t="s">
        <v>111</v>
      </c>
      <c r="K2094" s="1837" t="s">
        <v>110</v>
      </c>
      <c r="L2094" s="1790">
        <v>1</v>
      </c>
      <c r="M2094" s="1873" t="s">
        <v>4929</v>
      </c>
      <c r="N2094" s="1829"/>
      <c r="O2094" s="1842"/>
      <c r="P2094" s="1874">
        <v>1</v>
      </c>
      <c r="Q2094" s="1875">
        <v>0.2</v>
      </c>
      <c r="R2094" s="1874"/>
      <c r="S2094" s="1874">
        <f t="shared" si="64"/>
        <v>0</v>
      </c>
      <c r="T2094" s="1877">
        <f t="shared" si="65"/>
        <v>0</v>
      </c>
      <c r="U2094" s="1878" t="s">
        <v>34</v>
      </c>
      <c r="V2094" s="1214">
        <f>SUM(T2094:T2099)%</f>
        <v>0</v>
      </c>
      <c r="W2094" s="1845"/>
    </row>
    <row r="2095" spans="1:23" ht="22.95" customHeight="1" x14ac:dyDescent="0.4">
      <c r="A2095" s="788">
        <v>2094</v>
      </c>
      <c r="B2095" s="1846" t="s">
        <v>2616</v>
      </c>
      <c r="C2095" s="1848" t="s">
        <v>24</v>
      </c>
      <c r="D2095" s="1082">
        <v>5220</v>
      </c>
      <c r="E2095" s="1889" t="s">
        <v>4928</v>
      </c>
      <c r="F2095" s="1847" t="s">
        <v>4808</v>
      </c>
      <c r="G2095" s="1882">
        <v>3649</v>
      </c>
      <c r="H2095" s="1883" t="s">
        <v>4894</v>
      </c>
      <c r="I2095" s="1848" t="s">
        <v>4759</v>
      </c>
      <c r="J2095" s="1848" t="s">
        <v>111</v>
      </c>
      <c r="K2095" s="1847" t="s">
        <v>110</v>
      </c>
      <c r="L2095" s="1806">
        <v>1</v>
      </c>
      <c r="M2095" s="1833" t="s">
        <v>4812</v>
      </c>
      <c r="N2095" s="1833"/>
      <c r="O2095" s="1853"/>
      <c r="P2095" s="1885">
        <v>1</v>
      </c>
      <c r="Q2095" s="1886">
        <v>0.2</v>
      </c>
      <c r="R2095" s="1885"/>
      <c r="S2095" s="1885">
        <f t="shared" si="64"/>
        <v>0</v>
      </c>
      <c r="T2095" s="1887">
        <f t="shared" si="65"/>
        <v>0</v>
      </c>
      <c r="U2095" s="1890" t="s">
        <v>34</v>
      </c>
      <c r="V2095" s="1807"/>
      <c r="W2095" s="1856"/>
    </row>
    <row r="2096" spans="1:23" ht="22.95" customHeight="1" x14ac:dyDescent="0.4">
      <c r="A2096" s="788">
        <v>2095</v>
      </c>
      <c r="B2096" s="1846" t="s">
        <v>2616</v>
      </c>
      <c r="C2096" s="1848" t="s">
        <v>24</v>
      </c>
      <c r="D2096" s="1082">
        <v>5220</v>
      </c>
      <c r="E2096" s="1889" t="s">
        <v>4928</v>
      </c>
      <c r="F2096" s="1847" t="s">
        <v>4808</v>
      </c>
      <c r="G2096" s="1882">
        <v>3649</v>
      </c>
      <c r="H2096" s="1883" t="s">
        <v>4894</v>
      </c>
      <c r="I2096" s="1848" t="s">
        <v>4759</v>
      </c>
      <c r="J2096" s="1848" t="s">
        <v>111</v>
      </c>
      <c r="K2096" s="1847" t="s">
        <v>110</v>
      </c>
      <c r="L2096" s="1806">
        <v>1</v>
      </c>
      <c r="M2096" s="1833" t="s">
        <v>4814</v>
      </c>
      <c r="N2096" s="1833"/>
      <c r="O2096" s="1853"/>
      <c r="P2096" s="1885">
        <v>1</v>
      </c>
      <c r="Q2096" s="1886">
        <v>0.15</v>
      </c>
      <c r="R2096" s="1885"/>
      <c r="S2096" s="1885">
        <f t="shared" si="64"/>
        <v>0</v>
      </c>
      <c r="T2096" s="1887">
        <f t="shared" si="65"/>
        <v>0</v>
      </c>
      <c r="U2096" s="1890" t="s">
        <v>34</v>
      </c>
      <c r="V2096" s="1807"/>
      <c r="W2096" s="1856"/>
    </row>
    <row r="2097" spans="1:23" ht="22.95" customHeight="1" x14ac:dyDescent="0.4">
      <c r="A2097" s="788">
        <v>2096</v>
      </c>
      <c r="B2097" s="1846" t="s">
        <v>2616</v>
      </c>
      <c r="C2097" s="1848" t="s">
        <v>24</v>
      </c>
      <c r="D2097" s="1082">
        <v>5220</v>
      </c>
      <c r="E2097" s="1889" t="s">
        <v>4928</v>
      </c>
      <c r="F2097" s="1847" t="s">
        <v>4808</v>
      </c>
      <c r="G2097" s="1882">
        <v>3649</v>
      </c>
      <c r="H2097" s="1883" t="s">
        <v>4894</v>
      </c>
      <c r="I2097" s="1848" t="s">
        <v>4759</v>
      </c>
      <c r="J2097" s="1848" t="s">
        <v>111</v>
      </c>
      <c r="K2097" s="1847" t="s">
        <v>110</v>
      </c>
      <c r="L2097" s="1806">
        <v>1</v>
      </c>
      <c r="M2097" s="1833" t="s">
        <v>4816</v>
      </c>
      <c r="N2097" s="1833"/>
      <c r="O2097" s="1853"/>
      <c r="P2097" s="1885">
        <v>1</v>
      </c>
      <c r="Q2097" s="1886">
        <v>0.15</v>
      </c>
      <c r="R2097" s="1885"/>
      <c r="S2097" s="1885">
        <f t="shared" si="64"/>
        <v>0</v>
      </c>
      <c r="T2097" s="1887">
        <f t="shared" si="65"/>
        <v>0</v>
      </c>
      <c r="U2097" s="1890" t="s">
        <v>34</v>
      </c>
      <c r="V2097" s="1807"/>
      <c r="W2097" s="1856"/>
    </row>
    <row r="2098" spans="1:23" ht="22.95" customHeight="1" x14ac:dyDescent="0.4">
      <c r="A2098" s="788">
        <v>2097</v>
      </c>
      <c r="B2098" s="1846" t="s">
        <v>2616</v>
      </c>
      <c r="C2098" s="1848" t="s">
        <v>24</v>
      </c>
      <c r="D2098" s="1082">
        <v>5220</v>
      </c>
      <c r="E2098" s="1889" t="s">
        <v>4928</v>
      </c>
      <c r="F2098" s="1847" t="s">
        <v>4808</v>
      </c>
      <c r="G2098" s="1882">
        <v>3649</v>
      </c>
      <c r="H2098" s="1883" t="s">
        <v>4894</v>
      </c>
      <c r="I2098" s="1848" t="s">
        <v>4759</v>
      </c>
      <c r="J2098" s="1848" t="s">
        <v>111</v>
      </c>
      <c r="K2098" s="1847" t="s">
        <v>110</v>
      </c>
      <c r="L2098" s="1806">
        <v>1</v>
      </c>
      <c r="M2098" s="1833" t="s">
        <v>4818</v>
      </c>
      <c r="N2098" s="1833"/>
      <c r="O2098" s="1853"/>
      <c r="P2098" s="1885">
        <v>1</v>
      </c>
      <c r="Q2098" s="1886">
        <v>0.15</v>
      </c>
      <c r="R2098" s="1885"/>
      <c r="S2098" s="1885">
        <f t="shared" si="64"/>
        <v>0</v>
      </c>
      <c r="T2098" s="1887">
        <f t="shared" si="65"/>
        <v>0</v>
      </c>
      <c r="U2098" s="1890" t="s">
        <v>34</v>
      </c>
      <c r="V2098" s="1807"/>
      <c r="W2098" s="1856"/>
    </row>
    <row r="2099" spans="1:23" ht="22.95" customHeight="1" x14ac:dyDescent="0.4">
      <c r="A2099" s="788">
        <v>2098</v>
      </c>
      <c r="B2099" s="1846" t="s">
        <v>2616</v>
      </c>
      <c r="C2099" s="1848" t="s">
        <v>24</v>
      </c>
      <c r="D2099" s="1082">
        <v>5220</v>
      </c>
      <c r="E2099" s="1889" t="s">
        <v>4928</v>
      </c>
      <c r="F2099" s="1847" t="s">
        <v>4808</v>
      </c>
      <c r="G2099" s="1882">
        <v>3649</v>
      </c>
      <c r="H2099" s="1883" t="s">
        <v>4894</v>
      </c>
      <c r="I2099" s="1848" t="s">
        <v>4759</v>
      </c>
      <c r="J2099" s="1848" t="s">
        <v>111</v>
      </c>
      <c r="K2099" s="1847" t="s">
        <v>110</v>
      </c>
      <c r="L2099" s="1806">
        <v>1</v>
      </c>
      <c r="M2099" s="1833" t="s">
        <v>4820</v>
      </c>
      <c r="N2099" s="1833"/>
      <c r="O2099" s="1853"/>
      <c r="P2099" s="1885">
        <v>1</v>
      </c>
      <c r="Q2099" s="1886">
        <v>0.15</v>
      </c>
      <c r="R2099" s="1885"/>
      <c r="S2099" s="1885">
        <f t="shared" si="64"/>
        <v>0</v>
      </c>
      <c r="T2099" s="1887">
        <f t="shared" si="65"/>
        <v>0</v>
      </c>
      <c r="U2099" s="1890" t="s">
        <v>34</v>
      </c>
      <c r="V2099" s="1807"/>
      <c r="W2099" s="1856"/>
    </row>
    <row r="2100" spans="1:23" ht="22.95" customHeight="1" x14ac:dyDescent="0.4">
      <c r="A2100" s="788">
        <v>2099</v>
      </c>
      <c r="B2100" s="1836" t="s">
        <v>2616</v>
      </c>
      <c r="C2100" s="1838" t="s">
        <v>24</v>
      </c>
      <c r="D2100" s="1200">
        <v>5034</v>
      </c>
      <c r="E2100" s="244" t="s">
        <v>4930</v>
      </c>
      <c r="F2100" s="1837" t="s">
        <v>4931</v>
      </c>
      <c r="G2100" s="1871">
        <v>3649</v>
      </c>
      <c r="H2100" s="1872" t="s">
        <v>4894</v>
      </c>
      <c r="I2100" s="1838" t="s">
        <v>4759</v>
      </c>
      <c r="J2100" s="1838" t="s">
        <v>111</v>
      </c>
      <c r="K2100" s="1837" t="s">
        <v>110</v>
      </c>
      <c r="L2100" s="1790">
        <v>1</v>
      </c>
      <c r="M2100" s="1892" t="s">
        <v>4932</v>
      </c>
      <c r="N2100" s="1829"/>
      <c r="O2100" s="1842"/>
      <c r="P2100" s="1874">
        <v>1</v>
      </c>
      <c r="Q2100" s="1875">
        <v>0.25</v>
      </c>
      <c r="R2100" s="1874"/>
      <c r="S2100" s="1874">
        <f t="shared" si="64"/>
        <v>0</v>
      </c>
      <c r="T2100" s="1877">
        <f t="shared" si="65"/>
        <v>0</v>
      </c>
      <c r="U2100" s="1878" t="s">
        <v>34</v>
      </c>
      <c r="V2100" s="1214">
        <f>SUM(T2100:T2103)%</f>
        <v>0</v>
      </c>
      <c r="W2100" s="1845"/>
    </row>
    <row r="2101" spans="1:23" ht="22.95" customHeight="1" x14ac:dyDescent="0.4">
      <c r="A2101" s="788">
        <v>2100</v>
      </c>
      <c r="B2101" s="1846" t="s">
        <v>2616</v>
      </c>
      <c r="C2101" s="1848" t="s">
        <v>24</v>
      </c>
      <c r="D2101" s="1893">
        <v>5034</v>
      </c>
      <c r="E2101" s="1889" t="s">
        <v>4930</v>
      </c>
      <c r="F2101" s="1847" t="s">
        <v>4931</v>
      </c>
      <c r="G2101" s="1882">
        <v>3649</v>
      </c>
      <c r="H2101" s="1883" t="s">
        <v>4894</v>
      </c>
      <c r="I2101" s="1880" t="s">
        <v>4759</v>
      </c>
      <c r="J2101" s="1848" t="s">
        <v>111</v>
      </c>
      <c r="K2101" s="1881" t="s">
        <v>110</v>
      </c>
      <c r="L2101" s="1802">
        <v>1</v>
      </c>
      <c r="M2101" s="1884" t="s">
        <v>4933</v>
      </c>
      <c r="N2101" s="1833"/>
      <c r="O2101" s="1853"/>
      <c r="P2101" s="1885">
        <v>1</v>
      </c>
      <c r="Q2101" s="1886">
        <v>0.25</v>
      </c>
      <c r="R2101" s="1885"/>
      <c r="S2101" s="1885">
        <f t="shared" si="64"/>
        <v>0</v>
      </c>
      <c r="T2101" s="1887">
        <f t="shared" si="65"/>
        <v>0</v>
      </c>
      <c r="U2101" s="1888" t="s">
        <v>34</v>
      </c>
      <c r="V2101" s="1807"/>
      <c r="W2101" s="1856"/>
    </row>
    <row r="2102" spans="1:23" ht="22.95" customHeight="1" x14ac:dyDescent="0.4">
      <c r="A2102" s="788">
        <v>2101</v>
      </c>
      <c r="B2102" s="1846" t="s">
        <v>2616</v>
      </c>
      <c r="C2102" s="1848" t="s">
        <v>24</v>
      </c>
      <c r="D2102" s="1082">
        <v>5034</v>
      </c>
      <c r="E2102" s="1889" t="s">
        <v>4930</v>
      </c>
      <c r="F2102" s="1847" t="s">
        <v>4931</v>
      </c>
      <c r="G2102" s="1882">
        <v>3649</v>
      </c>
      <c r="H2102" s="1883" t="s">
        <v>4894</v>
      </c>
      <c r="I2102" s="1880" t="s">
        <v>4759</v>
      </c>
      <c r="J2102" s="1848" t="s">
        <v>111</v>
      </c>
      <c r="K2102" s="1881" t="s">
        <v>110</v>
      </c>
      <c r="L2102" s="1802">
        <v>1</v>
      </c>
      <c r="M2102" s="1833" t="s">
        <v>4934</v>
      </c>
      <c r="N2102" s="1833"/>
      <c r="O2102" s="1853"/>
      <c r="P2102" s="1885">
        <v>1</v>
      </c>
      <c r="Q2102" s="1886">
        <v>0.25</v>
      </c>
      <c r="R2102" s="1885"/>
      <c r="S2102" s="1885">
        <f t="shared" si="64"/>
        <v>0</v>
      </c>
      <c r="T2102" s="1887">
        <f t="shared" si="65"/>
        <v>0</v>
      </c>
      <c r="U2102" s="1888" t="s">
        <v>34</v>
      </c>
      <c r="V2102" s="1807"/>
      <c r="W2102" s="1856"/>
    </row>
    <row r="2103" spans="1:23" ht="22.95" customHeight="1" x14ac:dyDescent="0.4">
      <c r="A2103" s="788">
        <v>2102</v>
      </c>
      <c r="B2103" s="1846" t="s">
        <v>2616</v>
      </c>
      <c r="C2103" s="1848" t="s">
        <v>24</v>
      </c>
      <c r="D2103" s="1306">
        <v>5034</v>
      </c>
      <c r="E2103" s="1831" t="s">
        <v>4930</v>
      </c>
      <c r="F2103" s="1881" t="s">
        <v>4931</v>
      </c>
      <c r="G2103" s="1882">
        <v>3649</v>
      </c>
      <c r="H2103" s="1883" t="s">
        <v>4894</v>
      </c>
      <c r="I2103" s="1880" t="s">
        <v>4759</v>
      </c>
      <c r="J2103" s="1848" t="s">
        <v>111</v>
      </c>
      <c r="K2103" s="1881" t="s">
        <v>110</v>
      </c>
      <c r="L2103" s="1802">
        <v>1</v>
      </c>
      <c r="M2103" s="1833" t="s">
        <v>4935</v>
      </c>
      <c r="N2103" s="1833"/>
      <c r="O2103" s="1853"/>
      <c r="P2103" s="1885">
        <v>1</v>
      </c>
      <c r="Q2103" s="1886">
        <v>0.25</v>
      </c>
      <c r="R2103" s="1885"/>
      <c r="S2103" s="1885">
        <f t="shared" si="64"/>
        <v>0</v>
      </c>
      <c r="T2103" s="1887">
        <f t="shared" si="65"/>
        <v>0</v>
      </c>
      <c r="U2103" s="1888" t="s">
        <v>34</v>
      </c>
      <c r="V2103" s="1807"/>
      <c r="W2103" s="1856"/>
    </row>
    <row r="2104" spans="1:23" ht="22.95" customHeight="1" x14ac:dyDescent="0.4">
      <c r="A2104" s="788">
        <v>2103</v>
      </c>
      <c r="B2104" s="1836" t="s">
        <v>2616</v>
      </c>
      <c r="C2104" s="1838" t="s">
        <v>24</v>
      </c>
      <c r="D2104" s="1200">
        <v>5019</v>
      </c>
      <c r="E2104" s="244" t="s">
        <v>4936</v>
      </c>
      <c r="F2104" s="1837" t="s">
        <v>4931</v>
      </c>
      <c r="G2104" s="1871">
        <v>3649</v>
      </c>
      <c r="H2104" s="1872" t="s">
        <v>4894</v>
      </c>
      <c r="I2104" s="1838" t="s">
        <v>4759</v>
      </c>
      <c r="J2104" s="1838" t="s">
        <v>111</v>
      </c>
      <c r="K2104" s="1837" t="s">
        <v>110</v>
      </c>
      <c r="L2104" s="1790">
        <v>1</v>
      </c>
      <c r="M2104" s="1892" t="s">
        <v>4932</v>
      </c>
      <c r="N2104" s="1829"/>
      <c r="O2104" s="1842"/>
      <c r="P2104" s="1874">
        <v>1</v>
      </c>
      <c r="Q2104" s="1875">
        <v>0.25</v>
      </c>
      <c r="R2104" s="1874"/>
      <c r="S2104" s="1874">
        <f t="shared" si="64"/>
        <v>0</v>
      </c>
      <c r="T2104" s="1877">
        <f t="shared" si="65"/>
        <v>0</v>
      </c>
      <c r="U2104" s="1878" t="s">
        <v>34</v>
      </c>
      <c r="V2104" s="1214">
        <f>SUM(T2104:T2107)%</f>
        <v>0</v>
      </c>
      <c r="W2104" s="1845"/>
    </row>
    <row r="2105" spans="1:23" ht="22.95" customHeight="1" x14ac:dyDescent="0.4">
      <c r="A2105" s="788">
        <v>2104</v>
      </c>
      <c r="B2105" s="1846" t="s">
        <v>2616</v>
      </c>
      <c r="C2105" s="1848" t="s">
        <v>24</v>
      </c>
      <c r="D2105" s="1082">
        <v>5019</v>
      </c>
      <c r="E2105" s="1889" t="s">
        <v>4936</v>
      </c>
      <c r="F2105" s="1847" t="s">
        <v>4931</v>
      </c>
      <c r="G2105" s="1882">
        <v>3649</v>
      </c>
      <c r="H2105" s="1883" t="s">
        <v>4894</v>
      </c>
      <c r="I2105" s="1880" t="s">
        <v>4759</v>
      </c>
      <c r="J2105" s="1848" t="s">
        <v>111</v>
      </c>
      <c r="K2105" s="1881" t="s">
        <v>110</v>
      </c>
      <c r="L2105" s="1802">
        <v>1</v>
      </c>
      <c r="M2105" s="1884" t="s">
        <v>4933</v>
      </c>
      <c r="N2105" s="1833"/>
      <c r="O2105" s="1853"/>
      <c r="P2105" s="1885">
        <v>1</v>
      </c>
      <c r="Q2105" s="1886">
        <v>0.25</v>
      </c>
      <c r="R2105" s="1885"/>
      <c r="S2105" s="1885">
        <f t="shared" si="64"/>
        <v>0</v>
      </c>
      <c r="T2105" s="1887">
        <f t="shared" si="65"/>
        <v>0</v>
      </c>
      <c r="U2105" s="1888" t="s">
        <v>34</v>
      </c>
      <c r="V2105" s="1807"/>
      <c r="W2105" s="1856"/>
    </row>
    <row r="2106" spans="1:23" ht="22.95" customHeight="1" x14ac:dyDescent="0.4">
      <c r="A2106" s="788">
        <v>2105</v>
      </c>
      <c r="B2106" s="1846" t="s">
        <v>2616</v>
      </c>
      <c r="C2106" s="1848" t="s">
        <v>24</v>
      </c>
      <c r="D2106" s="1082">
        <v>5019</v>
      </c>
      <c r="E2106" s="1889" t="s">
        <v>4936</v>
      </c>
      <c r="F2106" s="1847" t="s">
        <v>4931</v>
      </c>
      <c r="G2106" s="1882">
        <v>3649</v>
      </c>
      <c r="H2106" s="1883" t="s">
        <v>4894</v>
      </c>
      <c r="I2106" s="1880" t="s">
        <v>4759</v>
      </c>
      <c r="J2106" s="1848" t="s">
        <v>111</v>
      </c>
      <c r="K2106" s="1881" t="s">
        <v>110</v>
      </c>
      <c r="L2106" s="1802">
        <v>1</v>
      </c>
      <c r="M2106" s="1833" t="s">
        <v>4934</v>
      </c>
      <c r="N2106" s="1833"/>
      <c r="O2106" s="1853"/>
      <c r="P2106" s="1885">
        <v>1</v>
      </c>
      <c r="Q2106" s="1886">
        <v>0.25</v>
      </c>
      <c r="R2106" s="1885"/>
      <c r="S2106" s="1885">
        <f t="shared" si="64"/>
        <v>0</v>
      </c>
      <c r="T2106" s="1887">
        <f t="shared" si="65"/>
        <v>0</v>
      </c>
      <c r="U2106" s="1888" t="s">
        <v>34</v>
      </c>
      <c r="V2106" s="1807"/>
      <c r="W2106" s="1856"/>
    </row>
    <row r="2107" spans="1:23" ht="22.95" customHeight="1" x14ac:dyDescent="0.4">
      <c r="A2107" s="788">
        <v>2106</v>
      </c>
      <c r="B2107" s="1846" t="s">
        <v>2616</v>
      </c>
      <c r="C2107" s="1848" t="s">
        <v>24</v>
      </c>
      <c r="D2107" s="1306">
        <v>5019</v>
      </c>
      <c r="E2107" s="1831" t="s">
        <v>4936</v>
      </c>
      <c r="F2107" s="1881" t="s">
        <v>4931</v>
      </c>
      <c r="G2107" s="1882">
        <v>3649</v>
      </c>
      <c r="H2107" s="1883" t="s">
        <v>4894</v>
      </c>
      <c r="I2107" s="1880" t="s">
        <v>4759</v>
      </c>
      <c r="J2107" s="1848" t="s">
        <v>111</v>
      </c>
      <c r="K2107" s="1881" t="s">
        <v>110</v>
      </c>
      <c r="L2107" s="1802">
        <v>1</v>
      </c>
      <c r="M2107" s="1833" t="s">
        <v>4935</v>
      </c>
      <c r="N2107" s="1833"/>
      <c r="O2107" s="1853"/>
      <c r="P2107" s="1885">
        <v>1</v>
      </c>
      <c r="Q2107" s="1886">
        <v>0.25</v>
      </c>
      <c r="R2107" s="1885"/>
      <c r="S2107" s="1885">
        <f t="shared" si="64"/>
        <v>0</v>
      </c>
      <c r="T2107" s="1887">
        <f t="shared" si="65"/>
        <v>0</v>
      </c>
      <c r="U2107" s="1888" t="s">
        <v>34</v>
      </c>
      <c r="V2107" s="1807"/>
      <c r="W2107" s="1856"/>
    </row>
    <row r="2108" spans="1:23" ht="22.95" customHeight="1" x14ac:dyDescent="0.4">
      <c r="A2108" s="788">
        <v>2107</v>
      </c>
      <c r="B2108" s="1836" t="s">
        <v>2616</v>
      </c>
      <c r="C2108" s="1838" t="s">
        <v>24</v>
      </c>
      <c r="D2108" s="1200">
        <v>5216</v>
      </c>
      <c r="E2108" s="244" t="s">
        <v>4937</v>
      </c>
      <c r="F2108" s="1837" t="s">
        <v>4938</v>
      </c>
      <c r="G2108" s="1871">
        <v>3649</v>
      </c>
      <c r="H2108" s="1872" t="s">
        <v>4894</v>
      </c>
      <c r="I2108" s="1838" t="s">
        <v>4759</v>
      </c>
      <c r="J2108" s="1838" t="s">
        <v>111</v>
      </c>
      <c r="K2108" s="1837" t="s">
        <v>110</v>
      </c>
      <c r="L2108" s="1790">
        <v>1</v>
      </c>
      <c r="M2108" s="1894" t="s">
        <v>4939</v>
      </c>
      <c r="N2108" s="1894"/>
      <c r="O2108" s="1842"/>
      <c r="P2108" s="1874">
        <v>1</v>
      </c>
      <c r="Q2108" s="1875">
        <v>0.6</v>
      </c>
      <c r="R2108" s="1874"/>
      <c r="S2108" s="1874">
        <f t="shared" si="64"/>
        <v>0</v>
      </c>
      <c r="T2108" s="1877">
        <f t="shared" si="65"/>
        <v>0</v>
      </c>
      <c r="U2108" s="1878" t="s">
        <v>34</v>
      </c>
      <c r="V2108" s="1214">
        <f>SUM(T2108:T2112)%</f>
        <v>0</v>
      </c>
      <c r="W2108" s="1845"/>
    </row>
    <row r="2109" spans="1:23" ht="22.95" customHeight="1" x14ac:dyDescent="0.4">
      <c r="A2109" s="788">
        <v>2108</v>
      </c>
      <c r="B2109" s="1846" t="s">
        <v>2616</v>
      </c>
      <c r="C2109" s="1848" t="s">
        <v>24</v>
      </c>
      <c r="D2109" s="1082">
        <v>5216</v>
      </c>
      <c r="E2109" s="1889" t="s">
        <v>4937</v>
      </c>
      <c r="F2109" s="1847" t="s">
        <v>4938</v>
      </c>
      <c r="G2109" s="1882">
        <v>3649</v>
      </c>
      <c r="H2109" s="1883" t="s">
        <v>4894</v>
      </c>
      <c r="I2109" s="1848" t="s">
        <v>4759</v>
      </c>
      <c r="J2109" s="1848" t="s">
        <v>111</v>
      </c>
      <c r="K2109" s="1847" t="s">
        <v>110</v>
      </c>
      <c r="L2109" s="1806">
        <v>1</v>
      </c>
      <c r="M2109" s="1833" t="s">
        <v>4940</v>
      </c>
      <c r="N2109" s="1833"/>
      <c r="O2109" s="1853"/>
      <c r="P2109" s="1885">
        <v>1</v>
      </c>
      <c r="Q2109" s="1886">
        <v>0.1</v>
      </c>
      <c r="R2109" s="1885"/>
      <c r="S2109" s="1885">
        <f t="shared" si="64"/>
        <v>0</v>
      </c>
      <c r="T2109" s="1887">
        <f t="shared" si="65"/>
        <v>0</v>
      </c>
      <c r="U2109" s="1890" t="s">
        <v>34</v>
      </c>
      <c r="V2109" s="1807"/>
      <c r="W2109" s="1856"/>
    </row>
    <row r="2110" spans="1:23" ht="22.95" customHeight="1" x14ac:dyDescent="0.4">
      <c r="A2110" s="788">
        <v>2109</v>
      </c>
      <c r="B2110" s="1846" t="s">
        <v>2616</v>
      </c>
      <c r="C2110" s="1848" t="s">
        <v>24</v>
      </c>
      <c r="D2110" s="1082">
        <v>5216</v>
      </c>
      <c r="E2110" s="1889" t="s">
        <v>4937</v>
      </c>
      <c r="F2110" s="1847" t="s">
        <v>4938</v>
      </c>
      <c r="G2110" s="1882">
        <v>3649</v>
      </c>
      <c r="H2110" s="1883" t="s">
        <v>4894</v>
      </c>
      <c r="I2110" s="1848" t="s">
        <v>4759</v>
      </c>
      <c r="J2110" s="1848" t="s">
        <v>111</v>
      </c>
      <c r="K2110" s="1847" t="s">
        <v>110</v>
      </c>
      <c r="L2110" s="1806">
        <v>1</v>
      </c>
      <c r="M2110" s="1833" t="s">
        <v>4941</v>
      </c>
      <c r="N2110" s="1833"/>
      <c r="O2110" s="1853"/>
      <c r="P2110" s="1885">
        <v>1</v>
      </c>
      <c r="Q2110" s="1886">
        <v>0.1</v>
      </c>
      <c r="R2110" s="1885"/>
      <c r="S2110" s="1885">
        <f t="shared" si="64"/>
        <v>0</v>
      </c>
      <c r="T2110" s="1887">
        <f t="shared" si="65"/>
        <v>0</v>
      </c>
      <c r="U2110" s="1890" t="s">
        <v>34</v>
      </c>
      <c r="V2110" s="1807"/>
      <c r="W2110" s="1856"/>
    </row>
    <row r="2111" spans="1:23" ht="22.95" customHeight="1" x14ac:dyDescent="0.4">
      <c r="A2111" s="788">
        <v>2110</v>
      </c>
      <c r="B2111" s="1846" t="s">
        <v>2616</v>
      </c>
      <c r="C2111" s="1848" t="s">
        <v>24</v>
      </c>
      <c r="D2111" s="1082">
        <v>5216</v>
      </c>
      <c r="E2111" s="1889" t="s">
        <v>4937</v>
      </c>
      <c r="F2111" s="1847" t="s">
        <v>4938</v>
      </c>
      <c r="G2111" s="1882">
        <v>3649</v>
      </c>
      <c r="H2111" s="1883" t="s">
        <v>4894</v>
      </c>
      <c r="I2111" s="1848" t="s">
        <v>4759</v>
      </c>
      <c r="J2111" s="1848" t="s">
        <v>111</v>
      </c>
      <c r="K2111" s="1847" t="s">
        <v>110</v>
      </c>
      <c r="L2111" s="1806">
        <v>1</v>
      </c>
      <c r="M2111" s="1833" t="s">
        <v>4942</v>
      </c>
      <c r="N2111" s="1833"/>
      <c r="O2111" s="1853"/>
      <c r="P2111" s="1885">
        <v>1</v>
      </c>
      <c r="Q2111" s="1886">
        <v>0.1</v>
      </c>
      <c r="R2111" s="1885"/>
      <c r="S2111" s="1885">
        <f t="shared" si="64"/>
        <v>0</v>
      </c>
      <c r="T2111" s="1887">
        <f t="shared" si="65"/>
        <v>0</v>
      </c>
      <c r="U2111" s="1890" t="s">
        <v>34</v>
      </c>
      <c r="V2111" s="1807"/>
      <c r="W2111" s="1856"/>
    </row>
    <row r="2112" spans="1:23" ht="22.95" customHeight="1" x14ac:dyDescent="0.4">
      <c r="A2112" s="788">
        <v>2111</v>
      </c>
      <c r="B2112" s="1846" t="s">
        <v>2616</v>
      </c>
      <c r="C2112" s="1848" t="s">
        <v>24</v>
      </c>
      <c r="D2112" s="1082">
        <v>5216</v>
      </c>
      <c r="E2112" s="1889" t="s">
        <v>4937</v>
      </c>
      <c r="F2112" s="1847" t="s">
        <v>4938</v>
      </c>
      <c r="G2112" s="1882">
        <v>3649</v>
      </c>
      <c r="H2112" s="1883" t="s">
        <v>4894</v>
      </c>
      <c r="I2112" s="1848" t="s">
        <v>4759</v>
      </c>
      <c r="J2112" s="1848" t="s">
        <v>111</v>
      </c>
      <c r="K2112" s="1847" t="s">
        <v>110</v>
      </c>
      <c r="L2112" s="1806">
        <v>1</v>
      </c>
      <c r="M2112" s="1833" t="s">
        <v>4943</v>
      </c>
      <c r="N2112" s="1833"/>
      <c r="O2112" s="1853"/>
      <c r="P2112" s="1885">
        <v>1</v>
      </c>
      <c r="Q2112" s="1886">
        <v>0.1</v>
      </c>
      <c r="R2112" s="1885"/>
      <c r="S2112" s="1885">
        <f t="shared" si="64"/>
        <v>0</v>
      </c>
      <c r="T2112" s="1887">
        <f t="shared" si="65"/>
        <v>0</v>
      </c>
      <c r="U2112" s="1890" t="s">
        <v>34</v>
      </c>
      <c r="V2112" s="1807"/>
      <c r="W2112" s="1856"/>
    </row>
    <row r="2113" spans="1:23" ht="22.95" customHeight="1" x14ac:dyDescent="0.4">
      <c r="A2113" s="788">
        <v>2112</v>
      </c>
      <c r="B2113" s="1836" t="s">
        <v>2616</v>
      </c>
      <c r="C2113" s="1838" t="s">
        <v>24</v>
      </c>
      <c r="D2113" s="1200">
        <v>5938</v>
      </c>
      <c r="E2113" s="244" t="s">
        <v>4944</v>
      </c>
      <c r="F2113" s="1837" t="s">
        <v>4938</v>
      </c>
      <c r="G2113" s="1871">
        <v>3649</v>
      </c>
      <c r="H2113" s="1872" t="s">
        <v>4894</v>
      </c>
      <c r="I2113" s="1838" t="s">
        <v>4759</v>
      </c>
      <c r="J2113" s="1838" t="s">
        <v>111</v>
      </c>
      <c r="K2113" s="1837" t="s">
        <v>110</v>
      </c>
      <c r="L2113" s="1790">
        <v>1</v>
      </c>
      <c r="M2113" s="1894" t="s">
        <v>4939</v>
      </c>
      <c r="N2113" s="1894"/>
      <c r="O2113" s="1842"/>
      <c r="P2113" s="1874">
        <v>1</v>
      </c>
      <c r="Q2113" s="1875">
        <v>0.6</v>
      </c>
      <c r="R2113" s="1874"/>
      <c r="S2113" s="1874">
        <f t="shared" si="64"/>
        <v>0</v>
      </c>
      <c r="T2113" s="1877">
        <f t="shared" si="65"/>
        <v>0</v>
      </c>
      <c r="U2113" s="1878" t="s">
        <v>34</v>
      </c>
      <c r="V2113" s="1214">
        <f>SUM(T2113:T2117)%</f>
        <v>0</v>
      </c>
      <c r="W2113" s="1845"/>
    </row>
    <row r="2114" spans="1:23" ht="22.95" customHeight="1" x14ac:dyDescent="0.4">
      <c r="A2114" s="788">
        <v>2113</v>
      </c>
      <c r="B2114" s="1846" t="s">
        <v>2616</v>
      </c>
      <c r="C2114" s="1848" t="s">
        <v>24</v>
      </c>
      <c r="D2114" s="1082">
        <v>5938</v>
      </c>
      <c r="E2114" s="1889" t="s">
        <v>4944</v>
      </c>
      <c r="F2114" s="1847" t="s">
        <v>4938</v>
      </c>
      <c r="G2114" s="1882">
        <v>3649</v>
      </c>
      <c r="H2114" s="1883" t="s">
        <v>4894</v>
      </c>
      <c r="I2114" s="1848" t="s">
        <v>4759</v>
      </c>
      <c r="J2114" s="1848" t="s">
        <v>111</v>
      </c>
      <c r="K2114" s="1847" t="s">
        <v>110</v>
      </c>
      <c r="L2114" s="1806">
        <v>1</v>
      </c>
      <c r="M2114" s="1833" t="s">
        <v>4940</v>
      </c>
      <c r="N2114" s="1833"/>
      <c r="O2114" s="1853"/>
      <c r="P2114" s="1885">
        <v>1</v>
      </c>
      <c r="Q2114" s="1886">
        <v>0.1</v>
      </c>
      <c r="R2114" s="1885"/>
      <c r="S2114" s="1885">
        <f t="shared" ref="S2114:S2162" si="66">ROUND(IF(OR(P2114="",R2114=""),0,IF(AND(P2114=0,R2114=0),1,IF(U2114="+",R2114/P2114,P2114/R2114))),2)</f>
        <v>0</v>
      </c>
      <c r="T2114" s="1887">
        <f t="shared" ref="T2114:T2162" si="67">IF(AND(S2114&gt;=60%,S2114&lt;100%),S2114*((Q2114*L2114)),IF(S2114=100%,((Q2114*L2114)*S2114)*100%,IF(S2114&gt;100%,((L2114*Q2114)*100%)*100%,0)))*100</f>
        <v>0</v>
      </c>
      <c r="U2114" s="1890" t="s">
        <v>34</v>
      </c>
      <c r="V2114" s="1807"/>
      <c r="W2114" s="1856"/>
    </row>
    <row r="2115" spans="1:23" ht="22.95" customHeight="1" x14ac:dyDescent="0.4">
      <c r="A2115" s="788">
        <v>2114</v>
      </c>
      <c r="B2115" s="1846" t="s">
        <v>2616</v>
      </c>
      <c r="C2115" s="1848" t="s">
        <v>24</v>
      </c>
      <c r="D2115" s="1082">
        <v>5938</v>
      </c>
      <c r="E2115" s="1889" t="s">
        <v>4944</v>
      </c>
      <c r="F2115" s="1847" t="s">
        <v>4938</v>
      </c>
      <c r="G2115" s="1882">
        <v>3649</v>
      </c>
      <c r="H2115" s="1883" t="s">
        <v>4894</v>
      </c>
      <c r="I2115" s="1848" t="s">
        <v>4759</v>
      </c>
      <c r="J2115" s="1848" t="s">
        <v>111</v>
      </c>
      <c r="K2115" s="1847" t="s">
        <v>110</v>
      </c>
      <c r="L2115" s="1806">
        <v>1</v>
      </c>
      <c r="M2115" s="1833" t="s">
        <v>4941</v>
      </c>
      <c r="N2115" s="1833"/>
      <c r="O2115" s="1853"/>
      <c r="P2115" s="1885">
        <v>1</v>
      </c>
      <c r="Q2115" s="1886">
        <v>0.1</v>
      </c>
      <c r="R2115" s="1885"/>
      <c r="S2115" s="1885">
        <f t="shared" si="66"/>
        <v>0</v>
      </c>
      <c r="T2115" s="1887">
        <f t="shared" si="67"/>
        <v>0</v>
      </c>
      <c r="U2115" s="1890" t="s">
        <v>34</v>
      </c>
      <c r="V2115" s="1807"/>
      <c r="W2115" s="1856"/>
    </row>
    <row r="2116" spans="1:23" ht="22.95" customHeight="1" x14ac:dyDescent="0.4">
      <c r="A2116" s="788">
        <v>2115</v>
      </c>
      <c r="B2116" s="1846" t="s">
        <v>2616</v>
      </c>
      <c r="C2116" s="1848" t="s">
        <v>24</v>
      </c>
      <c r="D2116" s="1082">
        <v>5938</v>
      </c>
      <c r="E2116" s="1889" t="s">
        <v>4944</v>
      </c>
      <c r="F2116" s="1847" t="s">
        <v>4938</v>
      </c>
      <c r="G2116" s="1882">
        <v>3649</v>
      </c>
      <c r="H2116" s="1883" t="s">
        <v>4894</v>
      </c>
      <c r="I2116" s="1848" t="s">
        <v>4759</v>
      </c>
      <c r="J2116" s="1848" t="s">
        <v>111</v>
      </c>
      <c r="K2116" s="1847" t="s">
        <v>110</v>
      </c>
      <c r="L2116" s="1806">
        <v>1</v>
      </c>
      <c r="M2116" s="1833" t="s">
        <v>4942</v>
      </c>
      <c r="N2116" s="1833"/>
      <c r="O2116" s="1853"/>
      <c r="P2116" s="1885">
        <v>1</v>
      </c>
      <c r="Q2116" s="1886">
        <v>0.1</v>
      </c>
      <c r="R2116" s="1885"/>
      <c r="S2116" s="1885">
        <f t="shared" si="66"/>
        <v>0</v>
      </c>
      <c r="T2116" s="1887">
        <f t="shared" si="67"/>
        <v>0</v>
      </c>
      <c r="U2116" s="1890" t="s">
        <v>34</v>
      </c>
      <c r="V2116" s="1807"/>
      <c r="W2116" s="1856"/>
    </row>
    <row r="2117" spans="1:23" ht="22.95" customHeight="1" x14ac:dyDescent="0.4">
      <c r="A2117" s="788">
        <v>2116</v>
      </c>
      <c r="B2117" s="1846" t="s">
        <v>2616</v>
      </c>
      <c r="C2117" s="1848" t="s">
        <v>24</v>
      </c>
      <c r="D2117" s="1082">
        <v>5938</v>
      </c>
      <c r="E2117" s="1889" t="s">
        <v>4944</v>
      </c>
      <c r="F2117" s="1847" t="s">
        <v>4938</v>
      </c>
      <c r="G2117" s="1882">
        <v>3649</v>
      </c>
      <c r="H2117" s="1883" t="s">
        <v>4894</v>
      </c>
      <c r="I2117" s="1848" t="s">
        <v>4759</v>
      </c>
      <c r="J2117" s="1848" t="s">
        <v>111</v>
      </c>
      <c r="K2117" s="1847" t="s">
        <v>110</v>
      </c>
      <c r="L2117" s="1806">
        <v>1</v>
      </c>
      <c r="M2117" s="1833" t="s">
        <v>4943</v>
      </c>
      <c r="N2117" s="1833"/>
      <c r="O2117" s="1853"/>
      <c r="P2117" s="1885">
        <v>1</v>
      </c>
      <c r="Q2117" s="1886">
        <v>0.1</v>
      </c>
      <c r="R2117" s="1885"/>
      <c r="S2117" s="1885">
        <f t="shared" si="66"/>
        <v>0</v>
      </c>
      <c r="T2117" s="1887">
        <f t="shared" si="67"/>
        <v>0</v>
      </c>
      <c r="U2117" s="1890" t="s">
        <v>34</v>
      </c>
      <c r="V2117" s="1807"/>
      <c r="W2117" s="1856"/>
    </row>
    <row r="2118" spans="1:23" ht="22.95" customHeight="1" x14ac:dyDescent="0.4">
      <c r="A2118" s="788">
        <v>2117</v>
      </c>
      <c r="B2118" s="1836" t="s">
        <v>2616</v>
      </c>
      <c r="C2118" s="1838" t="s">
        <v>24</v>
      </c>
      <c r="D2118" s="1200">
        <v>5481</v>
      </c>
      <c r="E2118" s="244" t="s">
        <v>4945</v>
      </c>
      <c r="F2118" s="1837" t="s">
        <v>4938</v>
      </c>
      <c r="G2118" s="1871">
        <v>3649</v>
      </c>
      <c r="H2118" s="1872" t="s">
        <v>4894</v>
      </c>
      <c r="I2118" s="1838" t="s">
        <v>4759</v>
      </c>
      <c r="J2118" s="1838" t="s">
        <v>111</v>
      </c>
      <c r="K2118" s="1837" t="s">
        <v>110</v>
      </c>
      <c r="L2118" s="1790">
        <v>1</v>
      </c>
      <c r="M2118" s="1894" t="s">
        <v>4939</v>
      </c>
      <c r="N2118" s="1894"/>
      <c r="O2118" s="1842"/>
      <c r="P2118" s="1874">
        <v>1</v>
      </c>
      <c r="Q2118" s="1875">
        <v>0.6</v>
      </c>
      <c r="R2118" s="1874"/>
      <c r="S2118" s="1874">
        <f t="shared" si="66"/>
        <v>0</v>
      </c>
      <c r="T2118" s="1877">
        <f t="shared" si="67"/>
        <v>0</v>
      </c>
      <c r="U2118" s="1878" t="s">
        <v>34</v>
      </c>
      <c r="V2118" s="1214">
        <f>SUM(T2118:T2122)%</f>
        <v>0</v>
      </c>
      <c r="W2118" s="1845"/>
    </row>
    <row r="2119" spans="1:23" ht="22.95" customHeight="1" x14ac:dyDescent="0.4">
      <c r="A2119" s="788">
        <v>2118</v>
      </c>
      <c r="B2119" s="1846" t="s">
        <v>2616</v>
      </c>
      <c r="C2119" s="1848" t="s">
        <v>24</v>
      </c>
      <c r="D2119" s="1082">
        <v>5481</v>
      </c>
      <c r="E2119" s="1889" t="s">
        <v>4945</v>
      </c>
      <c r="F2119" s="1847" t="s">
        <v>4938</v>
      </c>
      <c r="G2119" s="1882">
        <v>3649</v>
      </c>
      <c r="H2119" s="1883" t="s">
        <v>4894</v>
      </c>
      <c r="I2119" s="1848" t="s">
        <v>4759</v>
      </c>
      <c r="J2119" s="1848" t="s">
        <v>111</v>
      </c>
      <c r="K2119" s="1847" t="s">
        <v>110</v>
      </c>
      <c r="L2119" s="1806">
        <v>1</v>
      </c>
      <c r="M2119" s="1833" t="s">
        <v>4940</v>
      </c>
      <c r="N2119" s="1833"/>
      <c r="O2119" s="1853"/>
      <c r="P2119" s="1885">
        <v>1</v>
      </c>
      <c r="Q2119" s="1886">
        <v>0.1</v>
      </c>
      <c r="R2119" s="1885"/>
      <c r="S2119" s="1885">
        <f t="shared" si="66"/>
        <v>0</v>
      </c>
      <c r="T2119" s="1887">
        <f t="shared" si="67"/>
        <v>0</v>
      </c>
      <c r="U2119" s="1890" t="s">
        <v>34</v>
      </c>
      <c r="V2119" s="1807"/>
      <c r="W2119" s="1856"/>
    </row>
    <row r="2120" spans="1:23" ht="22.95" customHeight="1" x14ac:dyDescent="0.4">
      <c r="A2120" s="788">
        <v>2119</v>
      </c>
      <c r="B2120" s="1846" t="s">
        <v>2616</v>
      </c>
      <c r="C2120" s="1848" t="s">
        <v>24</v>
      </c>
      <c r="D2120" s="1082">
        <v>5481</v>
      </c>
      <c r="E2120" s="1889" t="s">
        <v>4945</v>
      </c>
      <c r="F2120" s="1847" t="s">
        <v>4938</v>
      </c>
      <c r="G2120" s="1882">
        <v>3649</v>
      </c>
      <c r="H2120" s="1883" t="s">
        <v>4894</v>
      </c>
      <c r="I2120" s="1848" t="s">
        <v>4759</v>
      </c>
      <c r="J2120" s="1848" t="s">
        <v>111</v>
      </c>
      <c r="K2120" s="1847" t="s">
        <v>110</v>
      </c>
      <c r="L2120" s="1806">
        <v>1</v>
      </c>
      <c r="M2120" s="1833" t="s">
        <v>4941</v>
      </c>
      <c r="N2120" s="1833"/>
      <c r="O2120" s="1853"/>
      <c r="P2120" s="1885">
        <v>1</v>
      </c>
      <c r="Q2120" s="1886">
        <v>0.1</v>
      </c>
      <c r="R2120" s="1885"/>
      <c r="S2120" s="1885">
        <f t="shared" si="66"/>
        <v>0</v>
      </c>
      <c r="T2120" s="1887">
        <f t="shared" si="67"/>
        <v>0</v>
      </c>
      <c r="U2120" s="1890" t="s">
        <v>34</v>
      </c>
      <c r="V2120" s="1807"/>
      <c r="W2120" s="1856"/>
    </row>
    <row r="2121" spans="1:23" ht="22.95" customHeight="1" x14ac:dyDescent="0.4">
      <c r="A2121" s="788">
        <v>2120</v>
      </c>
      <c r="B2121" s="1846" t="s">
        <v>2616</v>
      </c>
      <c r="C2121" s="1848" t="s">
        <v>24</v>
      </c>
      <c r="D2121" s="1082">
        <v>5481</v>
      </c>
      <c r="E2121" s="1889" t="s">
        <v>4945</v>
      </c>
      <c r="F2121" s="1847" t="s">
        <v>4938</v>
      </c>
      <c r="G2121" s="1882">
        <v>3649</v>
      </c>
      <c r="H2121" s="1883" t="s">
        <v>4894</v>
      </c>
      <c r="I2121" s="1848" t="s">
        <v>4759</v>
      </c>
      <c r="J2121" s="1848" t="s">
        <v>111</v>
      </c>
      <c r="K2121" s="1847" t="s">
        <v>110</v>
      </c>
      <c r="L2121" s="1806">
        <v>1</v>
      </c>
      <c r="M2121" s="1833" t="s">
        <v>4942</v>
      </c>
      <c r="N2121" s="1833"/>
      <c r="O2121" s="1853"/>
      <c r="P2121" s="1885">
        <v>1</v>
      </c>
      <c r="Q2121" s="1886">
        <v>0.1</v>
      </c>
      <c r="R2121" s="1885"/>
      <c r="S2121" s="1885">
        <f t="shared" si="66"/>
        <v>0</v>
      </c>
      <c r="T2121" s="1887">
        <f t="shared" si="67"/>
        <v>0</v>
      </c>
      <c r="U2121" s="1890" t="s">
        <v>34</v>
      </c>
      <c r="V2121" s="1807"/>
      <c r="W2121" s="1856"/>
    </row>
    <row r="2122" spans="1:23" ht="22.95" customHeight="1" x14ac:dyDescent="0.4">
      <c r="A2122" s="788">
        <v>2121</v>
      </c>
      <c r="B2122" s="1846" t="s">
        <v>2616</v>
      </c>
      <c r="C2122" s="1848" t="s">
        <v>24</v>
      </c>
      <c r="D2122" s="1082">
        <v>5481</v>
      </c>
      <c r="E2122" s="1889" t="s">
        <v>4945</v>
      </c>
      <c r="F2122" s="1847" t="s">
        <v>4938</v>
      </c>
      <c r="G2122" s="1882">
        <v>3649</v>
      </c>
      <c r="H2122" s="1883" t="s">
        <v>4894</v>
      </c>
      <c r="I2122" s="1848" t="s">
        <v>4759</v>
      </c>
      <c r="J2122" s="1848" t="s">
        <v>111</v>
      </c>
      <c r="K2122" s="1847" t="s">
        <v>110</v>
      </c>
      <c r="L2122" s="1806">
        <v>1</v>
      </c>
      <c r="M2122" s="1833" t="s">
        <v>4943</v>
      </c>
      <c r="N2122" s="1833"/>
      <c r="O2122" s="1853"/>
      <c r="P2122" s="1885">
        <v>1</v>
      </c>
      <c r="Q2122" s="1886">
        <v>0.1</v>
      </c>
      <c r="R2122" s="1885"/>
      <c r="S2122" s="1885">
        <f t="shared" si="66"/>
        <v>0</v>
      </c>
      <c r="T2122" s="1887">
        <f t="shared" si="67"/>
        <v>0</v>
      </c>
      <c r="U2122" s="1890" t="s">
        <v>34</v>
      </c>
      <c r="V2122" s="1807"/>
      <c r="W2122" s="1856"/>
    </row>
    <row r="2123" spans="1:23" ht="22.95" customHeight="1" x14ac:dyDescent="0.4">
      <c r="A2123" s="788">
        <v>2122</v>
      </c>
      <c r="B2123" s="1836" t="s">
        <v>2616</v>
      </c>
      <c r="C2123" s="1838" t="s">
        <v>24</v>
      </c>
      <c r="D2123" s="1200">
        <v>5215</v>
      </c>
      <c r="E2123" s="244" t="s">
        <v>4946</v>
      </c>
      <c r="F2123" s="1837" t="s">
        <v>4938</v>
      </c>
      <c r="G2123" s="1871">
        <v>3649</v>
      </c>
      <c r="H2123" s="1872" t="s">
        <v>4894</v>
      </c>
      <c r="I2123" s="1838" t="s">
        <v>4759</v>
      </c>
      <c r="J2123" s="1838" t="s">
        <v>111</v>
      </c>
      <c r="K2123" s="1837" t="s">
        <v>110</v>
      </c>
      <c r="L2123" s="1790">
        <v>1</v>
      </c>
      <c r="M2123" s="1894" t="s">
        <v>4939</v>
      </c>
      <c r="N2123" s="1894"/>
      <c r="O2123" s="1842"/>
      <c r="P2123" s="1874">
        <v>1</v>
      </c>
      <c r="Q2123" s="1875">
        <v>0.6</v>
      </c>
      <c r="R2123" s="1874"/>
      <c r="S2123" s="1874">
        <f t="shared" si="66"/>
        <v>0</v>
      </c>
      <c r="T2123" s="1877">
        <f t="shared" si="67"/>
        <v>0</v>
      </c>
      <c r="U2123" s="1878" t="s">
        <v>34</v>
      </c>
      <c r="V2123" s="1214">
        <f>SUM(T2123:T2127)%</f>
        <v>0</v>
      </c>
      <c r="W2123" s="1845"/>
    </row>
    <row r="2124" spans="1:23" ht="22.95" customHeight="1" x14ac:dyDescent="0.4">
      <c r="A2124" s="788">
        <v>2123</v>
      </c>
      <c r="B2124" s="1846" t="s">
        <v>2616</v>
      </c>
      <c r="C2124" s="1848" t="s">
        <v>24</v>
      </c>
      <c r="D2124" s="1082">
        <v>5215</v>
      </c>
      <c r="E2124" s="1889" t="s">
        <v>4946</v>
      </c>
      <c r="F2124" s="1847" t="s">
        <v>4938</v>
      </c>
      <c r="G2124" s="1882">
        <v>3649</v>
      </c>
      <c r="H2124" s="1883" t="s">
        <v>4894</v>
      </c>
      <c r="I2124" s="1848" t="s">
        <v>4759</v>
      </c>
      <c r="J2124" s="1848" t="s">
        <v>111</v>
      </c>
      <c r="K2124" s="1847" t="s">
        <v>110</v>
      </c>
      <c r="L2124" s="1806">
        <v>1</v>
      </c>
      <c r="M2124" s="1833" t="s">
        <v>4940</v>
      </c>
      <c r="N2124" s="1833"/>
      <c r="O2124" s="1853"/>
      <c r="P2124" s="1885">
        <v>1</v>
      </c>
      <c r="Q2124" s="1886">
        <v>0.1</v>
      </c>
      <c r="R2124" s="1885"/>
      <c r="S2124" s="1885">
        <f t="shared" si="66"/>
        <v>0</v>
      </c>
      <c r="T2124" s="1887">
        <f t="shared" si="67"/>
        <v>0</v>
      </c>
      <c r="U2124" s="1890" t="s">
        <v>34</v>
      </c>
      <c r="V2124" s="1807"/>
      <c r="W2124" s="1856"/>
    </row>
    <row r="2125" spans="1:23" ht="22.95" customHeight="1" x14ac:dyDescent="0.4">
      <c r="A2125" s="788">
        <v>2124</v>
      </c>
      <c r="B2125" s="1846" t="s">
        <v>2616</v>
      </c>
      <c r="C2125" s="1848" t="s">
        <v>24</v>
      </c>
      <c r="D2125" s="1082">
        <v>5215</v>
      </c>
      <c r="E2125" s="1889" t="s">
        <v>4946</v>
      </c>
      <c r="F2125" s="1847" t="s">
        <v>4938</v>
      </c>
      <c r="G2125" s="1882">
        <v>3649</v>
      </c>
      <c r="H2125" s="1883" t="s">
        <v>4894</v>
      </c>
      <c r="I2125" s="1848" t="s">
        <v>4759</v>
      </c>
      <c r="J2125" s="1848" t="s">
        <v>111</v>
      </c>
      <c r="K2125" s="1847" t="s">
        <v>110</v>
      </c>
      <c r="L2125" s="1806">
        <v>1</v>
      </c>
      <c r="M2125" s="1833" t="s">
        <v>4941</v>
      </c>
      <c r="N2125" s="1833"/>
      <c r="O2125" s="1853"/>
      <c r="P2125" s="1885">
        <v>1</v>
      </c>
      <c r="Q2125" s="1886">
        <v>0.1</v>
      </c>
      <c r="R2125" s="1885"/>
      <c r="S2125" s="1885">
        <f t="shared" si="66"/>
        <v>0</v>
      </c>
      <c r="T2125" s="1887">
        <f t="shared" si="67"/>
        <v>0</v>
      </c>
      <c r="U2125" s="1890" t="s">
        <v>34</v>
      </c>
      <c r="V2125" s="1807"/>
      <c r="W2125" s="1856"/>
    </row>
    <row r="2126" spans="1:23" ht="22.95" customHeight="1" x14ac:dyDescent="0.4">
      <c r="A2126" s="788">
        <v>2125</v>
      </c>
      <c r="B2126" s="1846" t="s">
        <v>2616</v>
      </c>
      <c r="C2126" s="1848" t="s">
        <v>24</v>
      </c>
      <c r="D2126" s="1082">
        <v>5215</v>
      </c>
      <c r="E2126" s="1889" t="s">
        <v>4946</v>
      </c>
      <c r="F2126" s="1847" t="s">
        <v>4938</v>
      </c>
      <c r="G2126" s="1882">
        <v>3649</v>
      </c>
      <c r="H2126" s="1883" t="s">
        <v>4894</v>
      </c>
      <c r="I2126" s="1848" t="s">
        <v>4759</v>
      </c>
      <c r="J2126" s="1848" t="s">
        <v>111</v>
      </c>
      <c r="K2126" s="1847" t="s">
        <v>110</v>
      </c>
      <c r="L2126" s="1806">
        <v>1</v>
      </c>
      <c r="M2126" s="1833" t="s">
        <v>4942</v>
      </c>
      <c r="N2126" s="1833"/>
      <c r="O2126" s="1853"/>
      <c r="P2126" s="1885">
        <v>1</v>
      </c>
      <c r="Q2126" s="1886">
        <v>0.1</v>
      </c>
      <c r="R2126" s="1885"/>
      <c r="S2126" s="1885">
        <f t="shared" si="66"/>
        <v>0</v>
      </c>
      <c r="T2126" s="1887">
        <f t="shared" si="67"/>
        <v>0</v>
      </c>
      <c r="U2126" s="1890" t="s">
        <v>34</v>
      </c>
      <c r="V2126" s="1807"/>
      <c r="W2126" s="1856"/>
    </row>
    <row r="2127" spans="1:23" ht="22.95" customHeight="1" x14ac:dyDescent="0.4">
      <c r="A2127" s="788">
        <v>2126</v>
      </c>
      <c r="B2127" s="1846" t="s">
        <v>2616</v>
      </c>
      <c r="C2127" s="1848" t="s">
        <v>24</v>
      </c>
      <c r="D2127" s="1082">
        <v>5215</v>
      </c>
      <c r="E2127" s="1889" t="s">
        <v>4946</v>
      </c>
      <c r="F2127" s="1847" t="s">
        <v>4938</v>
      </c>
      <c r="G2127" s="1882">
        <v>3649</v>
      </c>
      <c r="H2127" s="1883" t="s">
        <v>4894</v>
      </c>
      <c r="I2127" s="1848" t="s">
        <v>4759</v>
      </c>
      <c r="J2127" s="1848" t="s">
        <v>111</v>
      </c>
      <c r="K2127" s="1847" t="s">
        <v>110</v>
      </c>
      <c r="L2127" s="1806">
        <v>1</v>
      </c>
      <c r="M2127" s="1833" t="s">
        <v>4943</v>
      </c>
      <c r="N2127" s="1833"/>
      <c r="O2127" s="1853"/>
      <c r="P2127" s="1885">
        <v>1</v>
      </c>
      <c r="Q2127" s="1886">
        <v>0.1</v>
      </c>
      <c r="R2127" s="1885"/>
      <c r="S2127" s="1885">
        <f t="shared" si="66"/>
        <v>0</v>
      </c>
      <c r="T2127" s="1887">
        <f t="shared" si="67"/>
        <v>0</v>
      </c>
      <c r="U2127" s="1890" t="s">
        <v>34</v>
      </c>
      <c r="V2127" s="1807"/>
      <c r="W2127" s="1856"/>
    </row>
    <row r="2128" spans="1:23" ht="22.95" customHeight="1" x14ac:dyDescent="0.4">
      <c r="A2128" s="788">
        <v>2127</v>
      </c>
      <c r="B2128" s="653" t="s">
        <v>2616</v>
      </c>
      <c r="C2128" s="653" t="s">
        <v>24</v>
      </c>
      <c r="D2128" s="1200">
        <v>3617</v>
      </c>
      <c r="E2128" s="1838" t="s">
        <v>4947</v>
      </c>
      <c r="F2128" s="1838" t="s">
        <v>4948</v>
      </c>
      <c r="G2128" s="1165">
        <v>3616</v>
      </c>
      <c r="H2128" s="1838" t="s">
        <v>727</v>
      </c>
      <c r="I2128" s="1838" t="s">
        <v>729</v>
      </c>
      <c r="J2128" s="187" t="s">
        <v>58</v>
      </c>
      <c r="K2128" s="187" t="s">
        <v>57</v>
      </c>
      <c r="L2128" s="1790">
        <v>0.6</v>
      </c>
      <c r="M2128" s="791"/>
      <c r="N2128" s="1841" t="s">
        <v>4949</v>
      </c>
      <c r="O2128" s="791"/>
      <c r="P2128" s="644">
        <v>1</v>
      </c>
      <c r="Q2128" s="1875">
        <v>0.05</v>
      </c>
      <c r="R2128" s="644"/>
      <c r="S2128" s="644">
        <f t="shared" si="66"/>
        <v>0</v>
      </c>
      <c r="T2128" s="834">
        <f t="shared" si="67"/>
        <v>0</v>
      </c>
      <c r="U2128" s="1895" t="s">
        <v>34</v>
      </c>
      <c r="V2128" s="1214">
        <f>SUM(T2128:T2155)%</f>
        <v>0</v>
      </c>
      <c r="W2128" s="981" t="s">
        <v>4950</v>
      </c>
    </row>
    <row r="2129" spans="1:23" ht="22.95" customHeight="1" x14ac:dyDescent="0.4">
      <c r="A2129" s="788">
        <v>2128</v>
      </c>
      <c r="B2129" s="649" t="s">
        <v>2616</v>
      </c>
      <c r="C2129" s="649" t="s">
        <v>24</v>
      </c>
      <c r="D2129" s="1082">
        <v>3617</v>
      </c>
      <c r="E2129" s="1880" t="s">
        <v>4947</v>
      </c>
      <c r="F2129" s="1880" t="s">
        <v>4948</v>
      </c>
      <c r="G2129" s="1170">
        <v>3616</v>
      </c>
      <c r="H2129" s="1880" t="s">
        <v>727</v>
      </c>
      <c r="I2129" s="1880" t="s">
        <v>729</v>
      </c>
      <c r="J2129" s="692" t="s">
        <v>58</v>
      </c>
      <c r="K2129" s="692" t="s">
        <v>57</v>
      </c>
      <c r="L2129" s="1896">
        <v>0.6</v>
      </c>
      <c r="M2129" s="840"/>
      <c r="N2129" s="1897" t="s">
        <v>4951</v>
      </c>
      <c r="O2129" s="840"/>
      <c r="P2129" s="647">
        <v>1</v>
      </c>
      <c r="Q2129" s="1898">
        <v>0.05</v>
      </c>
      <c r="R2129" s="647"/>
      <c r="S2129" s="647">
        <f t="shared" si="66"/>
        <v>0</v>
      </c>
      <c r="T2129" s="764">
        <f t="shared" si="67"/>
        <v>0</v>
      </c>
      <c r="U2129" s="1899" t="s">
        <v>34</v>
      </c>
      <c r="V2129" s="1799"/>
      <c r="W2129" s="799"/>
    </row>
    <row r="2130" spans="1:23" ht="22.95" customHeight="1" x14ac:dyDescent="0.4">
      <c r="A2130" s="788">
        <v>2129</v>
      </c>
      <c r="B2130" s="649" t="s">
        <v>2616</v>
      </c>
      <c r="C2130" s="649" t="s">
        <v>24</v>
      </c>
      <c r="D2130" s="1082">
        <v>3617</v>
      </c>
      <c r="E2130" s="1880" t="s">
        <v>4947</v>
      </c>
      <c r="F2130" s="1880" t="s">
        <v>4948</v>
      </c>
      <c r="G2130" s="1170">
        <v>3616</v>
      </c>
      <c r="H2130" s="1880" t="s">
        <v>727</v>
      </c>
      <c r="I2130" s="1880" t="s">
        <v>729</v>
      </c>
      <c r="J2130" s="692" t="s">
        <v>58</v>
      </c>
      <c r="K2130" s="692" t="s">
        <v>57</v>
      </c>
      <c r="L2130" s="1896">
        <v>0.6</v>
      </c>
      <c r="M2130" s="840"/>
      <c r="N2130" s="1897" t="s">
        <v>4952</v>
      </c>
      <c r="O2130" s="840"/>
      <c r="P2130" s="647">
        <v>1</v>
      </c>
      <c r="Q2130" s="1898">
        <v>0.05</v>
      </c>
      <c r="R2130" s="647"/>
      <c r="S2130" s="647">
        <f t="shared" si="66"/>
        <v>0</v>
      </c>
      <c r="T2130" s="764">
        <f t="shared" si="67"/>
        <v>0</v>
      </c>
      <c r="U2130" s="1899" t="s">
        <v>34</v>
      </c>
      <c r="V2130" s="1799"/>
      <c r="W2130" s="799"/>
    </row>
    <row r="2131" spans="1:23" ht="22.95" customHeight="1" x14ac:dyDescent="0.4">
      <c r="A2131" s="788">
        <v>2130</v>
      </c>
      <c r="B2131" s="649" t="s">
        <v>2616</v>
      </c>
      <c r="C2131" s="649" t="s">
        <v>24</v>
      </c>
      <c r="D2131" s="1082">
        <v>3617</v>
      </c>
      <c r="E2131" s="1880" t="s">
        <v>4947</v>
      </c>
      <c r="F2131" s="1880" t="s">
        <v>4948</v>
      </c>
      <c r="G2131" s="1170">
        <v>3616</v>
      </c>
      <c r="H2131" s="1880" t="s">
        <v>727</v>
      </c>
      <c r="I2131" s="1880" t="s">
        <v>729</v>
      </c>
      <c r="J2131" s="692" t="s">
        <v>58</v>
      </c>
      <c r="K2131" s="692" t="s">
        <v>57</v>
      </c>
      <c r="L2131" s="1896">
        <v>0.6</v>
      </c>
      <c r="M2131" s="840"/>
      <c r="N2131" s="1897" t="s">
        <v>4953</v>
      </c>
      <c r="O2131" s="840"/>
      <c r="P2131" s="647">
        <v>1</v>
      </c>
      <c r="Q2131" s="1898">
        <v>0.05</v>
      </c>
      <c r="R2131" s="647"/>
      <c r="S2131" s="647">
        <f t="shared" si="66"/>
        <v>0</v>
      </c>
      <c r="T2131" s="764">
        <f t="shared" si="67"/>
        <v>0</v>
      </c>
      <c r="U2131" s="1899" t="s">
        <v>34</v>
      </c>
      <c r="V2131" s="1799"/>
      <c r="W2131" s="799"/>
    </row>
    <row r="2132" spans="1:23" ht="22.95" customHeight="1" x14ac:dyDescent="0.4">
      <c r="A2132" s="788">
        <v>2131</v>
      </c>
      <c r="B2132" s="649" t="s">
        <v>2616</v>
      </c>
      <c r="C2132" s="649" t="s">
        <v>24</v>
      </c>
      <c r="D2132" s="1082">
        <v>3617</v>
      </c>
      <c r="E2132" s="1880" t="s">
        <v>4947</v>
      </c>
      <c r="F2132" s="1880" t="s">
        <v>4948</v>
      </c>
      <c r="G2132" s="1170">
        <v>3616</v>
      </c>
      <c r="H2132" s="1880" t="s">
        <v>727</v>
      </c>
      <c r="I2132" s="1880" t="s">
        <v>729</v>
      </c>
      <c r="J2132" s="692" t="s">
        <v>58</v>
      </c>
      <c r="K2132" s="692" t="s">
        <v>57</v>
      </c>
      <c r="L2132" s="1896">
        <v>0.6</v>
      </c>
      <c r="M2132" s="840"/>
      <c r="N2132" s="1897" t="s">
        <v>4954</v>
      </c>
      <c r="O2132" s="840"/>
      <c r="P2132" s="647">
        <v>1</v>
      </c>
      <c r="Q2132" s="1898">
        <v>0.1</v>
      </c>
      <c r="R2132" s="647"/>
      <c r="S2132" s="647">
        <f t="shared" si="66"/>
        <v>0</v>
      </c>
      <c r="T2132" s="764">
        <f t="shared" si="67"/>
        <v>0</v>
      </c>
      <c r="U2132" s="1899" t="s">
        <v>34</v>
      </c>
      <c r="V2132" s="1799"/>
      <c r="W2132" s="799"/>
    </row>
    <row r="2133" spans="1:23" ht="22.95" customHeight="1" x14ac:dyDescent="0.4">
      <c r="A2133" s="788">
        <v>2132</v>
      </c>
      <c r="B2133" s="649" t="s">
        <v>2616</v>
      </c>
      <c r="C2133" s="649" t="s">
        <v>24</v>
      </c>
      <c r="D2133" s="1082">
        <v>3617</v>
      </c>
      <c r="E2133" s="1880" t="s">
        <v>4947</v>
      </c>
      <c r="F2133" s="1880" t="s">
        <v>4948</v>
      </c>
      <c r="G2133" s="1170">
        <v>3616</v>
      </c>
      <c r="H2133" s="1880" t="s">
        <v>727</v>
      </c>
      <c r="I2133" s="1880" t="s">
        <v>729</v>
      </c>
      <c r="J2133" s="692" t="s">
        <v>58</v>
      </c>
      <c r="K2133" s="692" t="s">
        <v>57</v>
      </c>
      <c r="L2133" s="1896">
        <v>0.6</v>
      </c>
      <c r="M2133" s="840"/>
      <c r="N2133" s="1897" t="s">
        <v>4955</v>
      </c>
      <c r="O2133" s="840"/>
      <c r="P2133" s="647">
        <v>1</v>
      </c>
      <c r="Q2133" s="1898">
        <v>0.2</v>
      </c>
      <c r="R2133" s="647"/>
      <c r="S2133" s="647">
        <f t="shared" si="66"/>
        <v>0</v>
      </c>
      <c r="T2133" s="764">
        <f t="shared" si="67"/>
        <v>0</v>
      </c>
      <c r="U2133" s="1899" t="s">
        <v>34</v>
      </c>
      <c r="V2133" s="1799"/>
      <c r="W2133" s="799"/>
    </row>
    <row r="2134" spans="1:23" ht="22.95" customHeight="1" x14ac:dyDescent="0.4">
      <c r="A2134" s="788">
        <v>2133</v>
      </c>
      <c r="B2134" s="649" t="s">
        <v>2616</v>
      </c>
      <c r="C2134" s="649" t="s">
        <v>24</v>
      </c>
      <c r="D2134" s="1082">
        <v>3617</v>
      </c>
      <c r="E2134" s="1880" t="s">
        <v>4947</v>
      </c>
      <c r="F2134" s="1880" t="s">
        <v>4948</v>
      </c>
      <c r="G2134" s="1170">
        <v>3616</v>
      </c>
      <c r="H2134" s="1880" t="s">
        <v>727</v>
      </c>
      <c r="I2134" s="1880" t="s">
        <v>729</v>
      </c>
      <c r="J2134" s="692" t="s">
        <v>58</v>
      </c>
      <c r="K2134" s="692" t="s">
        <v>57</v>
      </c>
      <c r="L2134" s="1896">
        <v>0.6</v>
      </c>
      <c r="M2134" s="840"/>
      <c r="N2134" s="1897" t="s">
        <v>4956</v>
      </c>
      <c r="O2134" s="840"/>
      <c r="P2134" s="647">
        <v>1</v>
      </c>
      <c r="Q2134" s="1898">
        <v>0.15</v>
      </c>
      <c r="R2134" s="647"/>
      <c r="S2134" s="647">
        <f t="shared" si="66"/>
        <v>0</v>
      </c>
      <c r="T2134" s="764">
        <f t="shared" si="67"/>
        <v>0</v>
      </c>
      <c r="U2134" s="1899" t="s">
        <v>34</v>
      </c>
      <c r="V2134" s="1799"/>
      <c r="W2134" s="799"/>
    </row>
    <row r="2135" spans="1:23" ht="22.95" customHeight="1" x14ac:dyDescent="0.4">
      <c r="A2135" s="788">
        <v>2134</v>
      </c>
      <c r="B2135" s="649" t="s">
        <v>2616</v>
      </c>
      <c r="C2135" s="649" t="s">
        <v>24</v>
      </c>
      <c r="D2135" s="1082">
        <v>3617</v>
      </c>
      <c r="E2135" s="1880" t="s">
        <v>4947</v>
      </c>
      <c r="F2135" s="1880" t="s">
        <v>4948</v>
      </c>
      <c r="G2135" s="1170">
        <v>3616</v>
      </c>
      <c r="H2135" s="1880" t="s">
        <v>727</v>
      </c>
      <c r="I2135" s="1880" t="s">
        <v>729</v>
      </c>
      <c r="J2135" s="692" t="s">
        <v>58</v>
      </c>
      <c r="K2135" s="692" t="s">
        <v>57</v>
      </c>
      <c r="L2135" s="1896">
        <v>0.6</v>
      </c>
      <c r="M2135" s="840"/>
      <c r="N2135" s="1897" t="s">
        <v>4957</v>
      </c>
      <c r="O2135" s="840"/>
      <c r="P2135" s="647">
        <v>1</v>
      </c>
      <c r="Q2135" s="1898">
        <v>0.05</v>
      </c>
      <c r="R2135" s="647"/>
      <c r="S2135" s="647">
        <f t="shared" si="66"/>
        <v>0</v>
      </c>
      <c r="T2135" s="764">
        <f t="shared" si="67"/>
        <v>0</v>
      </c>
      <c r="U2135" s="1899" t="s">
        <v>34</v>
      </c>
      <c r="V2135" s="1799"/>
      <c r="W2135" s="799"/>
    </row>
    <row r="2136" spans="1:23" ht="22.95" customHeight="1" x14ac:dyDescent="0.4">
      <c r="A2136" s="788">
        <v>2135</v>
      </c>
      <c r="B2136" s="649" t="s">
        <v>2616</v>
      </c>
      <c r="C2136" s="649" t="s">
        <v>24</v>
      </c>
      <c r="D2136" s="1082">
        <v>3617</v>
      </c>
      <c r="E2136" s="1880" t="s">
        <v>4947</v>
      </c>
      <c r="F2136" s="1880" t="s">
        <v>4948</v>
      </c>
      <c r="G2136" s="1170">
        <v>3616</v>
      </c>
      <c r="H2136" s="1880" t="s">
        <v>727</v>
      </c>
      <c r="I2136" s="1880" t="s">
        <v>729</v>
      </c>
      <c r="J2136" s="692" t="s">
        <v>58</v>
      </c>
      <c r="K2136" s="692" t="s">
        <v>57</v>
      </c>
      <c r="L2136" s="1896">
        <v>0.6</v>
      </c>
      <c r="M2136" s="840"/>
      <c r="N2136" s="1897" t="s">
        <v>4958</v>
      </c>
      <c r="O2136" s="840"/>
      <c r="P2136" s="647">
        <v>1</v>
      </c>
      <c r="Q2136" s="1898">
        <v>0.05</v>
      </c>
      <c r="R2136" s="647"/>
      <c r="S2136" s="647">
        <f t="shared" si="66"/>
        <v>0</v>
      </c>
      <c r="T2136" s="764">
        <f t="shared" si="67"/>
        <v>0</v>
      </c>
      <c r="U2136" s="1899" t="s">
        <v>34</v>
      </c>
      <c r="V2136" s="1799"/>
      <c r="W2136" s="799"/>
    </row>
    <row r="2137" spans="1:23" ht="22.95" customHeight="1" x14ac:dyDescent="0.4">
      <c r="A2137" s="788">
        <v>2136</v>
      </c>
      <c r="B2137" s="649" t="s">
        <v>2616</v>
      </c>
      <c r="C2137" s="649" t="s">
        <v>24</v>
      </c>
      <c r="D2137" s="1082">
        <v>3617</v>
      </c>
      <c r="E2137" s="1880" t="s">
        <v>4947</v>
      </c>
      <c r="F2137" s="1880" t="s">
        <v>4948</v>
      </c>
      <c r="G2137" s="1170">
        <v>3616</v>
      </c>
      <c r="H2137" s="1880" t="s">
        <v>727</v>
      </c>
      <c r="I2137" s="1880" t="s">
        <v>729</v>
      </c>
      <c r="J2137" s="692" t="s">
        <v>58</v>
      </c>
      <c r="K2137" s="692" t="s">
        <v>57</v>
      </c>
      <c r="L2137" s="1896">
        <v>0.6</v>
      </c>
      <c r="M2137" s="840"/>
      <c r="N2137" s="1897" t="s">
        <v>4959</v>
      </c>
      <c r="O2137" s="840"/>
      <c r="P2137" s="647">
        <v>1</v>
      </c>
      <c r="Q2137" s="1898">
        <v>0.05</v>
      </c>
      <c r="R2137" s="647"/>
      <c r="S2137" s="647">
        <f t="shared" si="66"/>
        <v>0</v>
      </c>
      <c r="T2137" s="764">
        <f t="shared" si="67"/>
        <v>0</v>
      </c>
      <c r="U2137" s="1899" t="s">
        <v>34</v>
      </c>
      <c r="V2137" s="1799"/>
      <c r="W2137" s="799"/>
    </row>
    <row r="2138" spans="1:23" ht="22.95" customHeight="1" x14ac:dyDescent="0.4">
      <c r="A2138" s="788">
        <v>2137</v>
      </c>
      <c r="B2138" s="649" t="s">
        <v>2616</v>
      </c>
      <c r="C2138" s="649" t="s">
        <v>24</v>
      </c>
      <c r="D2138" s="1082">
        <v>3617</v>
      </c>
      <c r="E2138" s="1880" t="s">
        <v>4947</v>
      </c>
      <c r="F2138" s="1880" t="s">
        <v>4948</v>
      </c>
      <c r="G2138" s="1170">
        <v>3616</v>
      </c>
      <c r="H2138" s="1880" t="s">
        <v>727</v>
      </c>
      <c r="I2138" s="1880" t="s">
        <v>729</v>
      </c>
      <c r="J2138" s="692" t="s">
        <v>58</v>
      </c>
      <c r="K2138" s="692" t="s">
        <v>57</v>
      </c>
      <c r="L2138" s="1896">
        <v>0.6</v>
      </c>
      <c r="M2138" s="840"/>
      <c r="N2138" s="1897" t="s">
        <v>4960</v>
      </c>
      <c r="O2138" s="840"/>
      <c r="P2138" s="647">
        <v>1</v>
      </c>
      <c r="Q2138" s="1898">
        <v>0.05</v>
      </c>
      <c r="R2138" s="647"/>
      <c r="S2138" s="647">
        <f t="shared" si="66"/>
        <v>0</v>
      </c>
      <c r="T2138" s="764">
        <f t="shared" si="67"/>
        <v>0</v>
      </c>
      <c r="U2138" s="1899" t="s">
        <v>34</v>
      </c>
      <c r="V2138" s="1799"/>
      <c r="W2138" s="799"/>
    </row>
    <row r="2139" spans="1:23" ht="22.95" customHeight="1" x14ac:dyDescent="0.4">
      <c r="A2139" s="788">
        <v>2138</v>
      </c>
      <c r="B2139" s="649" t="s">
        <v>2616</v>
      </c>
      <c r="C2139" s="649" t="s">
        <v>24</v>
      </c>
      <c r="D2139" s="1082">
        <v>3617</v>
      </c>
      <c r="E2139" s="1880" t="s">
        <v>4947</v>
      </c>
      <c r="F2139" s="1880" t="s">
        <v>4948</v>
      </c>
      <c r="G2139" s="1170">
        <v>3616</v>
      </c>
      <c r="H2139" s="1880" t="s">
        <v>727</v>
      </c>
      <c r="I2139" s="1880" t="s">
        <v>729</v>
      </c>
      <c r="J2139" s="692" t="s">
        <v>58</v>
      </c>
      <c r="K2139" s="692" t="s">
        <v>57</v>
      </c>
      <c r="L2139" s="1896">
        <v>0.6</v>
      </c>
      <c r="M2139" s="840"/>
      <c r="N2139" s="1897" t="s">
        <v>4961</v>
      </c>
      <c r="O2139" s="840"/>
      <c r="P2139" s="647">
        <v>1</v>
      </c>
      <c r="Q2139" s="1898">
        <v>0.1</v>
      </c>
      <c r="R2139" s="647"/>
      <c r="S2139" s="647">
        <f t="shared" si="66"/>
        <v>0</v>
      </c>
      <c r="T2139" s="764">
        <f t="shared" si="67"/>
        <v>0</v>
      </c>
      <c r="U2139" s="1899" t="s">
        <v>34</v>
      </c>
      <c r="V2139" s="1799"/>
      <c r="W2139" s="799"/>
    </row>
    <row r="2140" spans="1:23" ht="22.95" customHeight="1" x14ac:dyDescent="0.4">
      <c r="A2140" s="788">
        <v>2139</v>
      </c>
      <c r="B2140" s="649" t="s">
        <v>2616</v>
      </c>
      <c r="C2140" s="649" t="s">
        <v>24</v>
      </c>
      <c r="D2140" s="1082">
        <v>3617</v>
      </c>
      <c r="E2140" s="1880" t="s">
        <v>4947</v>
      </c>
      <c r="F2140" s="1880" t="s">
        <v>4948</v>
      </c>
      <c r="G2140" s="1170">
        <v>3616</v>
      </c>
      <c r="H2140" s="1880" t="s">
        <v>727</v>
      </c>
      <c r="I2140" s="1880" t="s">
        <v>729</v>
      </c>
      <c r="J2140" s="692" t="s">
        <v>58</v>
      </c>
      <c r="K2140" s="692" t="s">
        <v>57</v>
      </c>
      <c r="L2140" s="1896">
        <v>0.6</v>
      </c>
      <c r="M2140" s="840"/>
      <c r="N2140" s="1897" t="s">
        <v>4962</v>
      </c>
      <c r="O2140" s="840"/>
      <c r="P2140" s="647">
        <v>1</v>
      </c>
      <c r="Q2140" s="1898">
        <v>0.05</v>
      </c>
      <c r="R2140" s="647"/>
      <c r="S2140" s="647">
        <f t="shared" si="66"/>
        <v>0</v>
      </c>
      <c r="T2140" s="764">
        <f t="shared" si="67"/>
        <v>0</v>
      </c>
      <c r="U2140" s="1899" t="s">
        <v>34</v>
      </c>
      <c r="V2140" s="1799"/>
      <c r="W2140" s="799"/>
    </row>
    <row r="2141" spans="1:23" ht="22.95" customHeight="1" x14ac:dyDescent="0.4">
      <c r="A2141" s="788">
        <v>2140</v>
      </c>
      <c r="B2141" s="649" t="s">
        <v>2616</v>
      </c>
      <c r="C2141" s="649" t="s">
        <v>24</v>
      </c>
      <c r="D2141" s="1082">
        <v>3617</v>
      </c>
      <c r="E2141" s="1880" t="s">
        <v>4947</v>
      </c>
      <c r="F2141" s="1880" t="s">
        <v>4948</v>
      </c>
      <c r="G2141" s="1170">
        <v>3616</v>
      </c>
      <c r="H2141" s="1880" t="s">
        <v>727</v>
      </c>
      <c r="I2141" s="1880" t="s">
        <v>729</v>
      </c>
      <c r="J2141" s="303" t="s">
        <v>111</v>
      </c>
      <c r="K2141" s="303" t="s">
        <v>110</v>
      </c>
      <c r="L2141" s="1850">
        <v>0.4</v>
      </c>
      <c r="M2141" s="799"/>
      <c r="N2141" s="1852" t="s">
        <v>255</v>
      </c>
      <c r="O2141" s="799"/>
      <c r="P2141" s="222">
        <v>1</v>
      </c>
      <c r="Q2141" s="1900">
        <v>0.05</v>
      </c>
      <c r="R2141" s="222"/>
      <c r="S2141" s="222">
        <f t="shared" si="66"/>
        <v>0</v>
      </c>
      <c r="T2141" s="765">
        <f t="shared" si="67"/>
        <v>0</v>
      </c>
      <c r="U2141" s="1901" t="s">
        <v>34</v>
      </c>
      <c r="V2141" s="1799"/>
      <c r="W2141" s="799"/>
    </row>
    <row r="2142" spans="1:23" ht="22.95" customHeight="1" x14ac:dyDescent="0.4">
      <c r="A2142" s="788">
        <v>2141</v>
      </c>
      <c r="B2142" s="649" t="s">
        <v>2616</v>
      </c>
      <c r="C2142" s="649" t="s">
        <v>24</v>
      </c>
      <c r="D2142" s="1082">
        <v>3617</v>
      </c>
      <c r="E2142" s="1880" t="s">
        <v>4947</v>
      </c>
      <c r="F2142" s="1880" t="s">
        <v>4948</v>
      </c>
      <c r="G2142" s="1170">
        <v>3616</v>
      </c>
      <c r="H2142" s="1880" t="s">
        <v>727</v>
      </c>
      <c r="I2142" s="1880" t="s">
        <v>729</v>
      </c>
      <c r="J2142" s="303" t="s">
        <v>111</v>
      </c>
      <c r="K2142" s="303" t="s">
        <v>110</v>
      </c>
      <c r="L2142" s="1850">
        <v>0.4</v>
      </c>
      <c r="M2142" s="799"/>
      <c r="N2142" s="1852" t="s">
        <v>768</v>
      </c>
      <c r="O2142" s="799"/>
      <c r="P2142" s="222">
        <v>1</v>
      </c>
      <c r="Q2142" s="1900">
        <v>0.05</v>
      </c>
      <c r="R2142" s="222"/>
      <c r="S2142" s="222">
        <f t="shared" si="66"/>
        <v>0</v>
      </c>
      <c r="T2142" s="765">
        <f t="shared" si="67"/>
        <v>0</v>
      </c>
      <c r="U2142" s="1901" t="s">
        <v>34</v>
      </c>
      <c r="V2142" s="1799"/>
      <c r="W2142" s="799"/>
    </row>
    <row r="2143" spans="1:23" ht="22.95" customHeight="1" x14ac:dyDescent="0.4">
      <c r="A2143" s="788">
        <v>2142</v>
      </c>
      <c r="B2143" s="649" t="s">
        <v>2616</v>
      </c>
      <c r="C2143" s="649" t="s">
        <v>24</v>
      </c>
      <c r="D2143" s="1082">
        <v>3617</v>
      </c>
      <c r="E2143" s="1880" t="s">
        <v>4947</v>
      </c>
      <c r="F2143" s="1880" t="s">
        <v>4948</v>
      </c>
      <c r="G2143" s="1170">
        <v>3616</v>
      </c>
      <c r="H2143" s="1880" t="s">
        <v>727</v>
      </c>
      <c r="I2143" s="1880" t="s">
        <v>729</v>
      </c>
      <c r="J2143" s="303" t="s">
        <v>111</v>
      </c>
      <c r="K2143" s="303" t="s">
        <v>110</v>
      </c>
      <c r="L2143" s="1850">
        <v>0.4</v>
      </c>
      <c r="M2143" s="799"/>
      <c r="N2143" s="1852" t="s">
        <v>769</v>
      </c>
      <c r="O2143" s="799"/>
      <c r="P2143" s="222">
        <v>1</v>
      </c>
      <c r="Q2143" s="1900">
        <v>0.05</v>
      </c>
      <c r="R2143" s="222"/>
      <c r="S2143" s="222">
        <f t="shared" si="66"/>
        <v>0</v>
      </c>
      <c r="T2143" s="765">
        <f t="shared" si="67"/>
        <v>0</v>
      </c>
      <c r="U2143" s="1901" t="s">
        <v>34</v>
      </c>
      <c r="V2143" s="1799"/>
      <c r="W2143" s="799"/>
    </row>
    <row r="2144" spans="1:23" ht="22.95" customHeight="1" x14ac:dyDescent="0.4">
      <c r="A2144" s="788">
        <v>2143</v>
      </c>
      <c r="B2144" s="649" t="s">
        <v>2616</v>
      </c>
      <c r="C2144" s="649" t="s">
        <v>24</v>
      </c>
      <c r="D2144" s="1082">
        <v>3617</v>
      </c>
      <c r="E2144" s="1880" t="s">
        <v>4947</v>
      </c>
      <c r="F2144" s="1880" t="s">
        <v>4948</v>
      </c>
      <c r="G2144" s="1170">
        <v>3616</v>
      </c>
      <c r="H2144" s="1880" t="s">
        <v>727</v>
      </c>
      <c r="I2144" s="1880" t="s">
        <v>729</v>
      </c>
      <c r="J2144" s="303" t="s">
        <v>111</v>
      </c>
      <c r="K2144" s="303" t="s">
        <v>110</v>
      </c>
      <c r="L2144" s="1850">
        <v>0.4</v>
      </c>
      <c r="M2144" s="799"/>
      <c r="N2144" s="1852" t="s">
        <v>770</v>
      </c>
      <c r="O2144" s="799"/>
      <c r="P2144" s="222">
        <v>1</v>
      </c>
      <c r="Q2144" s="1900">
        <v>0.15</v>
      </c>
      <c r="R2144" s="222"/>
      <c r="S2144" s="222">
        <f t="shared" si="66"/>
        <v>0</v>
      </c>
      <c r="T2144" s="765">
        <f t="shared" si="67"/>
        <v>0</v>
      </c>
      <c r="U2144" s="1901" t="s">
        <v>34</v>
      </c>
      <c r="V2144" s="1799"/>
      <c r="W2144" s="799"/>
    </row>
    <row r="2145" spans="1:23" ht="22.95" customHeight="1" x14ac:dyDescent="0.4">
      <c r="A2145" s="788">
        <v>2144</v>
      </c>
      <c r="B2145" s="649" t="s">
        <v>2616</v>
      </c>
      <c r="C2145" s="649" t="s">
        <v>24</v>
      </c>
      <c r="D2145" s="1082">
        <v>3617</v>
      </c>
      <c r="E2145" s="1880" t="s">
        <v>4947</v>
      </c>
      <c r="F2145" s="1880" t="s">
        <v>4948</v>
      </c>
      <c r="G2145" s="1170">
        <v>3616</v>
      </c>
      <c r="H2145" s="1880" t="s">
        <v>727</v>
      </c>
      <c r="I2145" s="1880" t="s">
        <v>729</v>
      </c>
      <c r="J2145" s="303" t="s">
        <v>111</v>
      </c>
      <c r="K2145" s="303" t="s">
        <v>110</v>
      </c>
      <c r="L2145" s="1850">
        <v>0.4</v>
      </c>
      <c r="M2145" s="799"/>
      <c r="N2145" s="1852" t="s">
        <v>254</v>
      </c>
      <c r="O2145" s="799"/>
      <c r="P2145" s="222">
        <v>1</v>
      </c>
      <c r="Q2145" s="1900">
        <v>0.1</v>
      </c>
      <c r="R2145" s="222"/>
      <c r="S2145" s="222">
        <f t="shared" si="66"/>
        <v>0</v>
      </c>
      <c r="T2145" s="765">
        <f t="shared" si="67"/>
        <v>0</v>
      </c>
      <c r="U2145" s="1901" t="s">
        <v>34</v>
      </c>
      <c r="V2145" s="1799"/>
      <c r="W2145" s="799"/>
    </row>
    <row r="2146" spans="1:23" ht="22.95" customHeight="1" x14ac:dyDescent="0.4">
      <c r="A2146" s="788">
        <v>2145</v>
      </c>
      <c r="B2146" s="649" t="s">
        <v>2616</v>
      </c>
      <c r="C2146" s="649" t="s">
        <v>24</v>
      </c>
      <c r="D2146" s="1082">
        <v>3617</v>
      </c>
      <c r="E2146" s="1880" t="s">
        <v>4947</v>
      </c>
      <c r="F2146" s="1880" t="s">
        <v>4948</v>
      </c>
      <c r="G2146" s="1170">
        <v>3616</v>
      </c>
      <c r="H2146" s="1880" t="s">
        <v>727</v>
      </c>
      <c r="I2146" s="1880" t="s">
        <v>729</v>
      </c>
      <c r="J2146" s="303" t="s">
        <v>111</v>
      </c>
      <c r="K2146" s="303" t="s">
        <v>110</v>
      </c>
      <c r="L2146" s="1850">
        <v>0.4</v>
      </c>
      <c r="M2146" s="799"/>
      <c r="N2146" s="1852" t="s">
        <v>771</v>
      </c>
      <c r="O2146" s="799"/>
      <c r="P2146" s="222">
        <v>1</v>
      </c>
      <c r="Q2146" s="1900">
        <v>0.05</v>
      </c>
      <c r="R2146" s="222"/>
      <c r="S2146" s="222">
        <f t="shared" si="66"/>
        <v>0</v>
      </c>
      <c r="T2146" s="765">
        <f t="shared" si="67"/>
        <v>0</v>
      </c>
      <c r="U2146" s="1901" t="s">
        <v>34</v>
      </c>
      <c r="V2146" s="1799"/>
      <c r="W2146" s="799"/>
    </row>
    <row r="2147" spans="1:23" ht="22.95" customHeight="1" x14ac:dyDescent="0.4">
      <c r="A2147" s="788">
        <v>2146</v>
      </c>
      <c r="B2147" s="649" t="s">
        <v>2616</v>
      </c>
      <c r="C2147" s="649" t="s">
        <v>24</v>
      </c>
      <c r="D2147" s="1082">
        <v>3617</v>
      </c>
      <c r="E2147" s="1880" t="s">
        <v>4947</v>
      </c>
      <c r="F2147" s="1880" t="s">
        <v>4948</v>
      </c>
      <c r="G2147" s="1170">
        <v>3616</v>
      </c>
      <c r="H2147" s="1880" t="s">
        <v>727</v>
      </c>
      <c r="I2147" s="1880" t="s">
        <v>729</v>
      </c>
      <c r="J2147" s="303" t="s">
        <v>111</v>
      </c>
      <c r="K2147" s="303" t="s">
        <v>110</v>
      </c>
      <c r="L2147" s="1850">
        <v>0.4</v>
      </c>
      <c r="M2147" s="799"/>
      <c r="N2147" s="1852" t="s">
        <v>772</v>
      </c>
      <c r="O2147" s="799"/>
      <c r="P2147" s="222">
        <v>1</v>
      </c>
      <c r="Q2147" s="1900">
        <v>0.1</v>
      </c>
      <c r="R2147" s="222"/>
      <c r="S2147" s="222">
        <f t="shared" si="66"/>
        <v>0</v>
      </c>
      <c r="T2147" s="765">
        <f t="shared" si="67"/>
        <v>0</v>
      </c>
      <c r="U2147" s="1901" t="s">
        <v>34</v>
      </c>
      <c r="V2147" s="1799"/>
      <c r="W2147" s="799"/>
    </row>
    <row r="2148" spans="1:23" ht="22.95" customHeight="1" x14ac:dyDescent="0.4">
      <c r="A2148" s="788">
        <v>2147</v>
      </c>
      <c r="B2148" s="649" t="s">
        <v>2616</v>
      </c>
      <c r="C2148" s="649" t="s">
        <v>24</v>
      </c>
      <c r="D2148" s="1082">
        <v>3617</v>
      </c>
      <c r="E2148" s="1880" t="s">
        <v>4947</v>
      </c>
      <c r="F2148" s="1880" t="s">
        <v>4948</v>
      </c>
      <c r="G2148" s="1170">
        <v>3616</v>
      </c>
      <c r="H2148" s="1880" t="s">
        <v>727</v>
      </c>
      <c r="I2148" s="1880" t="s">
        <v>729</v>
      </c>
      <c r="J2148" s="303" t="s">
        <v>111</v>
      </c>
      <c r="K2148" s="303" t="s">
        <v>110</v>
      </c>
      <c r="L2148" s="1850">
        <v>0.4</v>
      </c>
      <c r="M2148" s="799"/>
      <c r="N2148" s="1852" t="s">
        <v>773</v>
      </c>
      <c r="O2148" s="799"/>
      <c r="P2148" s="222">
        <v>1</v>
      </c>
      <c r="Q2148" s="1900">
        <v>0.05</v>
      </c>
      <c r="R2148" s="222"/>
      <c r="S2148" s="222">
        <f t="shared" si="66"/>
        <v>0</v>
      </c>
      <c r="T2148" s="765">
        <f t="shared" si="67"/>
        <v>0</v>
      </c>
      <c r="U2148" s="1901" t="s">
        <v>34</v>
      </c>
      <c r="V2148" s="1799"/>
      <c r="W2148" s="799"/>
    </row>
    <row r="2149" spans="1:23" ht="22.95" customHeight="1" x14ac:dyDescent="0.4">
      <c r="A2149" s="788">
        <v>2148</v>
      </c>
      <c r="B2149" s="649" t="s">
        <v>2616</v>
      </c>
      <c r="C2149" s="649" t="s">
        <v>24</v>
      </c>
      <c r="D2149" s="1082">
        <v>3617</v>
      </c>
      <c r="E2149" s="1880" t="s">
        <v>4947</v>
      </c>
      <c r="F2149" s="1880" t="s">
        <v>4948</v>
      </c>
      <c r="G2149" s="1170">
        <v>3616</v>
      </c>
      <c r="H2149" s="1880" t="s">
        <v>727</v>
      </c>
      <c r="I2149" s="1880" t="s">
        <v>729</v>
      </c>
      <c r="J2149" s="303" t="s">
        <v>111</v>
      </c>
      <c r="K2149" s="303" t="s">
        <v>110</v>
      </c>
      <c r="L2149" s="1850">
        <v>0.4</v>
      </c>
      <c r="M2149" s="799"/>
      <c r="N2149" s="1852" t="s">
        <v>774</v>
      </c>
      <c r="O2149" s="799"/>
      <c r="P2149" s="222">
        <v>1</v>
      </c>
      <c r="Q2149" s="1900">
        <v>0.05</v>
      </c>
      <c r="R2149" s="222"/>
      <c r="S2149" s="222">
        <f t="shared" si="66"/>
        <v>0</v>
      </c>
      <c r="T2149" s="765">
        <f t="shared" si="67"/>
        <v>0</v>
      </c>
      <c r="U2149" s="1901" t="s">
        <v>34</v>
      </c>
      <c r="V2149" s="1799"/>
      <c r="W2149" s="799"/>
    </row>
    <row r="2150" spans="1:23" ht="22.95" customHeight="1" x14ac:dyDescent="0.4">
      <c r="A2150" s="788">
        <v>2149</v>
      </c>
      <c r="B2150" s="649" t="s">
        <v>2616</v>
      </c>
      <c r="C2150" s="649" t="s">
        <v>24</v>
      </c>
      <c r="D2150" s="1082">
        <v>3617</v>
      </c>
      <c r="E2150" s="1880" t="s">
        <v>4947</v>
      </c>
      <c r="F2150" s="1880" t="s">
        <v>4948</v>
      </c>
      <c r="G2150" s="1170">
        <v>3616</v>
      </c>
      <c r="H2150" s="1880" t="s">
        <v>727</v>
      </c>
      <c r="I2150" s="1880" t="s">
        <v>729</v>
      </c>
      <c r="J2150" s="303" t="s">
        <v>111</v>
      </c>
      <c r="K2150" s="303" t="s">
        <v>110</v>
      </c>
      <c r="L2150" s="1850">
        <v>0.4</v>
      </c>
      <c r="M2150" s="799"/>
      <c r="N2150" s="1852" t="s">
        <v>775</v>
      </c>
      <c r="O2150" s="799"/>
      <c r="P2150" s="222">
        <v>1</v>
      </c>
      <c r="Q2150" s="1900">
        <v>0.05</v>
      </c>
      <c r="R2150" s="222"/>
      <c r="S2150" s="222">
        <f t="shared" si="66"/>
        <v>0</v>
      </c>
      <c r="T2150" s="765">
        <f t="shared" si="67"/>
        <v>0</v>
      </c>
      <c r="U2150" s="1901" t="s">
        <v>34</v>
      </c>
      <c r="V2150" s="1799"/>
      <c r="W2150" s="799"/>
    </row>
    <row r="2151" spans="1:23" ht="22.95" customHeight="1" x14ac:dyDescent="0.4">
      <c r="A2151" s="788">
        <v>2150</v>
      </c>
      <c r="B2151" s="649" t="s">
        <v>2616</v>
      </c>
      <c r="C2151" s="649" t="s">
        <v>24</v>
      </c>
      <c r="D2151" s="1082">
        <v>3617</v>
      </c>
      <c r="E2151" s="1880" t="s">
        <v>4947</v>
      </c>
      <c r="F2151" s="1880" t="s">
        <v>4948</v>
      </c>
      <c r="G2151" s="1170">
        <v>3616</v>
      </c>
      <c r="H2151" s="1880" t="s">
        <v>727</v>
      </c>
      <c r="I2151" s="1880" t="s">
        <v>729</v>
      </c>
      <c r="J2151" s="303" t="s">
        <v>111</v>
      </c>
      <c r="K2151" s="303" t="s">
        <v>110</v>
      </c>
      <c r="L2151" s="1850">
        <v>0.4</v>
      </c>
      <c r="M2151" s="799"/>
      <c r="N2151" s="1852" t="s">
        <v>776</v>
      </c>
      <c r="O2151" s="799"/>
      <c r="P2151" s="222">
        <v>1</v>
      </c>
      <c r="Q2151" s="1900">
        <v>0.1</v>
      </c>
      <c r="R2151" s="222"/>
      <c r="S2151" s="222">
        <f t="shared" si="66"/>
        <v>0</v>
      </c>
      <c r="T2151" s="765">
        <f t="shared" si="67"/>
        <v>0</v>
      </c>
      <c r="U2151" s="1901" t="s">
        <v>34</v>
      </c>
      <c r="V2151" s="1799"/>
      <c r="W2151" s="799"/>
    </row>
    <row r="2152" spans="1:23" ht="22.95" customHeight="1" x14ac:dyDescent="0.4">
      <c r="A2152" s="788">
        <v>2151</v>
      </c>
      <c r="B2152" s="649" t="s">
        <v>2616</v>
      </c>
      <c r="C2152" s="649" t="s">
        <v>24</v>
      </c>
      <c r="D2152" s="1082">
        <v>3617</v>
      </c>
      <c r="E2152" s="1880" t="s">
        <v>4947</v>
      </c>
      <c r="F2152" s="1880" t="s">
        <v>4948</v>
      </c>
      <c r="G2152" s="1170">
        <v>3616</v>
      </c>
      <c r="H2152" s="1880" t="s">
        <v>727</v>
      </c>
      <c r="I2152" s="1880" t="s">
        <v>729</v>
      </c>
      <c r="J2152" s="303" t="s">
        <v>111</v>
      </c>
      <c r="K2152" s="303" t="s">
        <v>110</v>
      </c>
      <c r="L2152" s="1850">
        <v>0.4</v>
      </c>
      <c r="M2152" s="799"/>
      <c r="N2152" s="1852" t="s">
        <v>251</v>
      </c>
      <c r="O2152" s="799"/>
      <c r="P2152" s="222">
        <v>1</v>
      </c>
      <c r="Q2152" s="1900">
        <v>0.05</v>
      </c>
      <c r="R2152" s="222"/>
      <c r="S2152" s="222">
        <f t="shared" si="66"/>
        <v>0</v>
      </c>
      <c r="T2152" s="765">
        <f t="shared" si="67"/>
        <v>0</v>
      </c>
      <c r="U2152" s="1901" t="s">
        <v>34</v>
      </c>
      <c r="V2152" s="1799"/>
      <c r="W2152" s="799"/>
    </row>
    <row r="2153" spans="1:23" ht="22.95" customHeight="1" x14ac:dyDescent="0.4">
      <c r="A2153" s="788">
        <v>2152</v>
      </c>
      <c r="B2153" s="649" t="s">
        <v>2616</v>
      </c>
      <c r="C2153" s="649" t="s">
        <v>24</v>
      </c>
      <c r="D2153" s="1082">
        <v>3617</v>
      </c>
      <c r="E2153" s="1880" t="s">
        <v>4947</v>
      </c>
      <c r="F2153" s="1880" t="s">
        <v>4948</v>
      </c>
      <c r="G2153" s="1170">
        <v>3616</v>
      </c>
      <c r="H2153" s="1880" t="s">
        <v>727</v>
      </c>
      <c r="I2153" s="1880" t="s">
        <v>729</v>
      </c>
      <c r="J2153" s="303" t="s">
        <v>111</v>
      </c>
      <c r="K2153" s="303" t="s">
        <v>110</v>
      </c>
      <c r="L2153" s="1850">
        <v>0.4</v>
      </c>
      <c r="M2153" s="799"/>
      <c r="N2153" s="1852" t="s">
        <v>252</v>
      </c>
      <c r="O2153" s="799"/>
      <c r="P2153" s="222">
        <v>1</v>
      </c>
      <c r="Q2153" s="1900">
        <v>0.05</v>
      </c>
      <c r="R2153" s="222"/>
      <c r="S2153" s="222">
        <f t="shared" si="66"/>
        <v>0</v>
      </c>
      <c r="T2153" s="765">
        <f t="shared" si="67"/>
        <v>0</v>
      </c>
      <c r="U2153" s="1901" t="s">
        <v>34</v>
      </c>
      <c r="V2153" s="1799"/>
      <c r="W2153" s="799"/>
    </row>
    <row r="2154" spans="1:23" ht="22.95" customHeight="1" x14ac:dyDescent="0.4">
      <c r="A2154" s="788">
        <v>2153</v>
      </c>
      <c r="B2154" s="649" t="s">
        <v>2616</v>
      </c>
      <c r="C2154" s="649" t="s">
        <v>24</v>
      </c>
      <c r="D2154" s="1082">
        <v>3617</v>
      </c>
      <c r="E2154" s="1880" t="s">
        <v>4947</v>
      </c>
      <c r="F2154" s="1880" t="s">
        <v>4948</v>
      </c>
      <c r="G2154" s="1170">
        <v>3616</v>
      </c>
      <c r="H2154" s="1880" t="s">
        <v>727</v>
      </c>
      <c r="I2154" s="1880" t="s">
        <v>729</v>
      </c>
      <c r="J2154" s="303" t="s">
        <v>111</v>
      </c>
      <c r="K2154" s="303" t="s">
        <v>110</v>
      </c>
      <c r="L2154" s="1850">
        <v>0.4</v>
      </c>
      <c r="M2154" s="799"/>
      <c r="N2154" s="1852" t="s">
        <v>777</v>
      </c>
      <c r="O2154" s="799"/>
      <c r="P2154" s="222">
        <v>1</v>
      </c>
      <c r="Q2154" s="1900">
        <v>0.05</v>
      </c>
      <c r="R2154" s="222"/>
      <c r="S2154" s="222">
        <f t="shared" si="66"/>
        <v>0</v>
      </c>
      <c r="T2154" s="765">
        <f t="shared" si="67"/>
        <v>0</v>
      </c>
      <c r="U2154" s="1901" t="s">
        <v>34</v>
      </c>
      <c r="V2154" s="1799"/>
      <c r="W2154" s="799"/>
    </row>
    <row r="2155" spans="1:23" ht="22.95" customHeight="1" x14ac:dyDescent="0.4">
      <c r="A2155" s="788">
        <v>2154</v>
      </c>
      <c r="B2155" s="649" t="s">
        <v>2616</v>
      </c>
      <c r="C2155" s="649" t="s">
        <v>24</v>
      </c>
      <c r="D2155" s="1082">
        <v>3617</v>
      </c>
      <c r="E2155" s="1880" t="s">
        <v>4947</v>
      </c>
      <c r="F2155" s="1880" t="s">
        <v>4948</v>
      </c>
      <c r="G2155" s="1170">
        <v>3616</v>
      </c>
      <c r="H2155" s="1880" t="s">
        <v>727</v>
      </c>
      <c r="I2155" s="1880" t="s">
        <v>729</v>
      </c>
      <c r="J2155" s="303" t="s">
        <v>111</v>
      </c>
      <c r="K2155" s="303" t="s">
        <v>110</v>
      </c>
      <c r="L2155" s="1850">
        <v>0.4</v>
      </c>
      <c r="M2155" s="799"/>
      <c r="N2155" s="1852" t="s">
        <v>253</v>
      </c>
      <c r="O2155" s="799"/>
      <c r="P2155" s="222">
        <v>1</v>
      </c>
      <c r="Q2155" s="1900">
        <v>0.05</v>
      </c>
      <c r="R2155" s="222"/>
      <c r="S2155" s="222">
        <f t="shared" si="66"/>
        <v>0</v>
      </c>
      <c r="T2155" s="765">
        <f t="shared" si="67"/>
        <v>0</v>
      </c>
      <c r="U2155" s="1901" t="s">
        <v>34</v>
      </c>
      <c r="V2155" s="1799"/>
      <c r="W2155" s="799"/>
    </row>
    <row r="2156" spans="1:23" ht="22.95" customHeight="1" x14ac:dyDescent="0.4">
      <c r="A2156" s="788">
        <v>2155</v>
      </c>
      <c r="B2156" s="1902" t="s">
        <v>2616</v>
      </c>
      <c r="C2156" s="1903" t="s">
        <v>24</v>
      </c>
      <c r="D2156" s="275">
        <v>5509</v>
      </c>
      <c r="E2156" s="1904" t="s">
        <v>4963</v>
      </c>
      <c r="F2156" s="1904" t="s">
        <v>4964</v>
      </c>
      <c r="G2156" s="1904">
        <v>6014</v>
      </c>
      <c r="H2156" s="1905" t="s">
        <v>2617</v>
      </c>
      <c r="I2156" s="1905" t="s">
        <v>175</v>
      </c>
      <c r="J2156" s="1906" t="s">
        <v>58</v>
      </c>
      <c r="K2156" s="1906" t="s">
        <v>57</v>
      </c>
      <c r="L2156" s="1907">
        <v>0.6</v>
      </c>
      <c r="M2156" s="1908" t="s">
        <v>4965</v>
      </c>
      <c r="N2156" s="1909" t="s">
        <v>4966</v>
      </c>
      <c r="O2156" s="1910" t="s">
        <v>4967</v>
      </c>
      <c r="P2156" s="1911">
        <v>1</v>
      </c>
      <c r="Q2156" s="1912">
        <v>0.25</v>
      </c>
      <c r="R2156" s="1911"/>
      <c r="S2156" s="1913">
        <f t="shared" si="66"/>
        <v>0</v>
      </c>
      <c r="T2156" s="1914">
        <f t="shared" si="67"/>
        <v>0</v>
      </c>
      <c r="U2156" s="1915" t="s">
        <v>34</v>
      </c>
      <c r="V2156" s="1214">
        <f>SUM(T2156:T2162)%</f>
        <v>0</v>
      </c>
      <c r="W2156" s="1903"/>
    </row>
    <row r="2157" spans="1:23" ht="22.95" customHeight="1" x14ac:dyDescent="0.4">
      <c r="A2157" s="788">
        <v>2156</v>
      </c>
      <c r="B2157" s="1916" t="s">
        <v>2616</v>
      </c>
      <c r="C2157" s="1917" t="s">
        <v>24</v>
      </c>
      <c r="D2157" s="1082">
        <v>5509</v>
      </c>
      <c r="E2157" s="1917" t="s">
        <v>4963</v>
      </c>
      <c r="F2157" s="1917" t="s">
        <v>4964</v>
      </c>
      <c r="G2157" s="1918">
        <v>6014</v>
      </c>
      <c r="H2157" s="1917" t="s">
        <v>2617</v>
      </c>
      <c r="I2157" s="1917" t="s">
        <v>175</v>
      </c>
      <c r="J2157" s="1906" t="s">
        <v>58</v>
      </c>
      <c r="K2157" s="1906" t="s">
        <v>57</v>
      </c>
      <c r="L2157" s="1896">
        <v>0.6</v>
      </c>
      <c r="M2157" s="1919" t="s">
        <v>4968</v>
      </c>
      <c r="N2157" s="78" t="s">
        <v>4969</v>
      </c>
      <c r="O2157" s="1920" t="s">
        <v>4970</v>
      </c>
      <c r="P2157" s="1921">
        <v>1</v>
      </c>
      <c r="Q2157" s="1922">
        <v>0.25</v>
      </c>
      <c r="R2157" s="1921"/>
      <c r="S2157" s="1923">
        <f t="shared" si="66"/>
        <v>0</v>
      </c>
      <c r="T2157" s="1924">
        <f t="shared" si="67"/>
        <v>0</v>
      </c>
      <c r="U2157" s="1925" t="s">
        <v>34</v>
      </c>
      <c r="V2157" s="1925"/>
      <c r="W2157" s="1926"/>
    </row>
    <row r="2158" spans="1:23" ht="22.95" customHeight="1" x14ac:dyDescent="0.4">
      <c r="A2158" s="788">
        <v>2157</v>
      </c>
      <c r="B2158" s="1916" t="s">
        <v>2616</v>
      </c>
      <c r="C2158" s="1917" t="s">
        <v>24</v>
      </c>
      <c r="D2158" s="1082">
        <v>5509</v>
      </c>
      <c r="E2158" s="1917" t="s">
        <v>4963</v>
      </c>
      <c r="F2158" s="1917" t="s">
        <v>4964</v>
      </c>
      <c r="G2158" s="1918">
        <v>6014</v>
      </c>
      <c r="H2158" s="1917" t="s">
        <v>2617</v>
      </c>
      <c r="I2158" s="1917" t="s">
        <v>175</v>
      </c>
      <c r="J2158" s="1906" t="s">
        <v>58</v>
      </c>
      <c r="K2158" s="1906" t="s">
        <v>57</v>
      </c>
      <c r="L2158" s="1896">
        <v>0.6</v>
      </c>
      <c r="M2158" s="1919" t="s">
        <v>4971</v>
      </c>
      <c r="N2158" s="78" t="s">
        <v>4972</v>
      </c>
      <c r="O2158" s="1920" t="s">
        <v>4973</v>
      </c>
      <c r="P2158" s="1921">
        <v>1</v>
      </c>
      <c r="Q2158" s="1922">
        <v>0.25</v>
      </c>
      <c r="R2158" s="1921"/>
      <c r="S2158" s="1923">
        <f t="shared" si="66"/>
        <v>0</v>
      </c>
      <c r="T2158" s="1924">
        <f t="shared" si="67"/>
        <v>0</v>
      </c>
      <c r="U2158" s="1925" t="s">
        <v>34</v>
      </c>
      <c r="V2158" s="1925"/>
      <c r="W2158" s="1926"/>
    </row>
    <row r="2159" spans="1:23" ht="22.95" customHeight="1" x14ac:dyDescent="0.4">
      <c r="A2159" s="788">
        <v>2158</v>
      </c>
      <c r="B2159" s="1916" t="s">
        <v>2616</v>
      </c>
      <c r="C2159" s="1917" t="s">
        <v>24</v>
      </c>
      <c r="D2159" s="1082">
        <v>5509</v>
      </c>
      <c r="E2159" s="1917" t="s">
        <v>4963</v>
      </c>
      <c r="F2159" s="1917" t="s">
        <v>4964</v>
      </c>
      <c r="G2159" s="1918">
        <v>6014</v>
      </c>
      <c r="H2159" s="1917" t="s">
        <v>2617</v>
      </c>
      <c r="I2159" s="1917" t="s">
        <v>175</v>
      </c>
      <c r="J2159" s="1906" t="s">
        <v>58</v>
      </c>
      <c r="K2159" s="1906" t="s">
        <v>57</v>
      </c>
      <c r="L2159" s="1896">
        <v>0.6</v>
      </c>
      <c r="M2159" s="1919" t="s">
        <v>4974</v>
      </c>
      <c r="N2159" s="1927" t="s">
        <v>2813</v>
      </c>
      <c r="O2159" s="1928"/>
      <c r="P2159" s="1924">
        <v>3</v>
      </c>
      <c r="Q2159" s="1922">
        <v>0.25</v>
      </c>
      <c r="R2159" s="1924"/>
      <c r="S2159" s="1923">
        <f t="shared" si="66"/>
        <v>0</v>
      </c>
      <c r="T2159" s="1924">
        <f t="shared" si="67"/>
        <v>0</v>
      </c>
      <c r="U2159" s="1925" t="s">
        <v>34</v>
      </c>
      <c r="V2159" s="1925"/>
      <c r="W2159" s="1926"/>
    </row>
    <row r="2160" spans="1:23" ht="22.95" customHeight="1" x14ac:dyDescent="0.4">
      <c r="A2160" s="788">
        <v>2159</v>
      </c>
      <c r="B2160" s="1916" t="s">
        <v>2616</v>
      </c>
      <c r="C2160" s="1917" t="s">
        <v>24</v>
      </c>
      <c r="D2160" s="1082">
        <v>5509</v>
      </c>
      <c r="E2160" s="1917" t="s">
        <v>4963</v>
      </c>
      <c r="F2160" s="1917" t="s">
        <v>4964</v>
      </c>
      <c r="G2160" s="1918">
        <v>6014</v>
      </c>
      <c r="H2160" s="1917" t="s">
        <v>2617</v>
      </c>
      <c r="I2160" s="1917" t="s">
        <v>175</v>
      </c>
      <c r="J2160" s="1917" t="s">
        <v>111</v>
      </c>
      <c r="K2160" s="1917" t="s">
        <v>110</v>
      </c>
      <c r="L2160" s="1850">
        <v>0.4</v>
      </c>
      <c r="M2160" s="1929" t="s">
        <v>4975</v>
      </c>
      <c r="N2160" s="1930" t="s">
        <v>4976</v>
      </c>
      <c r="O2160" s="1931"/>
      <c r="P2160" s="1932">
        <v>1</v>
      </c>
      <c r="Q2160" s="686">
        <v>0.35</v>
      </c>
      <c r="R2160" s="1932"/>
      <c r="S2160" s="1933">
        <f t="shared" si="66"/>
        <v>0</v>
      </c>
      <c r="T2160" s="1934">
        <f t="shared" si="67"/>
        <v>0</v>
      </c>
      <c r="U2160" s="1935" t="s">
        <v>34</v>
      </c>
      <c r="V2160" s="1935"/>
      <c r="W2160" s="1926"/>
    </row>
    <row r="2161" spans="1:23" ht="22.95" customHeight="1" x14ac:dyDescent="0.5">
      <c r="A2161" s="788">
        <v>2160</v>
      </c>
      <c r="B2161" s="1929" t="s">
        <v>2616</v>
      </c>
      <c r="C2161" s="1918" t="s">
        <v>24</v>
      </c>
      <c r="D2161" s="1082">
        <v>5509</v>
      </c>
      <c r="E2161" s="1918" t="s">
        <v>4963</v>
      </c>
      <c r="F2161" s="1918" t="s">
        <v>4964</v>
      </c>
      <c r="G2161" s="1918">
        <v>6014</v>
      </c>
      <c r="H2161" s="1918" t="s">
        <v>2617</v>
      </c>
      <c r="I2161" s="1918" t="s">
        <v>175</v>
      </c>
      <c r="J2161" s="1917" t="s">
        <v>111</v>
      </c>
      <c r="K2161" s="1917" t="s">
        <v>110</v>
      </c>
      <c r="L2161" s="1850">
        <v>0.4</v>
      </c>
      <c r="M2161" s="1929" t="s">
        <v>4977</v>
      </c>
      <c r="N2161" s="1930" t="s">
        <v>4978</v>
      </c>
      <c r="O2161" s="1931" t="s">
        <v>4979</v>
      </c>
      <c r="P2161" s="1936">
        <v>1</v>
      </c>
      <c r="Q2161" s="283">
        <v>0.35</v>
      </c>
      <c r="R2161" s="1936"/>
      <c r="S2161" s="1933">
        <f t="shared" si="66"/>
        <v>0</v>
      </c>
      <c r="T2161" s="1934">
        <f t="shared" si="67"/>
        <v>0</v>
      </c>
      <c r="U2161" s="1935" t="s">
        <v>34</v>
      </c>
      <c r="V2161" s="1937"/>
      <c r="W2161" s="1937"/>
    </row>
    <row r="2162" spans="1:23" ht="22.95" customHeight="1" x14ac:dyDescent="0.5">
      <c r="A2162" s="788">
        <v>2161</v>
      </c>
      <c r="B2162" s="1916" t="s">
        <v>2616</v>
      </c>
      <c r="C2162" s="1917" t="s">
        <v>24</v>
      </c>
      <c r="D2162" s="1082">
        <v>5509</v>
      </c>
      <c r="E2162" s="1918" t="s">
        <v>4963</v>
      </c>
      <c r="F2162" s="1918" t="s">
        <v>4964</v>
      </c>
      <c r="G2162" s="1918">
        <v>6014</v>
      </c>
      <c r="H2162" s="1918" t="s">
        <v>2617</v>
      </c>
      <c r="I2162" s="1918" t="s">
        <v>175</v>
      </c>
      <c r="J2162" s="1917" t="s">
        <v>111</v>
      </c>
      <c r="K2162" s="1917" t="s">
        <v>110</v>
      </c>
      <c r="L2162" s="1850">
        <v>0.4</v>
      </c>
      <c r="M2162" s="1929" t="s">
        <v>4980</v>
      </c>
      <c r="N2162" s="1938" t="s">
        <v>4981</v>
      </c>
      <c r="O2162" s="1939" t="s">
        <v>4982</v>
      </c>
      <c r="P2162" s="1918">
        <v>1</v>
      </c>
      <c r="Q2162" s="283">
        <v>0.3</v>
      </c>
      <c r="R2162" s="1918"/>
      <c r="S2162" s="1933">
        <f t="shared" si="66"/>
        <v>0</v>
      </c>
      <c r="T2162" s="1934">
        <f t="shared" si="67"/>
        <v>0</v>
      </c>
      <c r="U2162" s="1935" t="s">
        <v>34</v>
      </c>
      <c r="V2162" s="1937"/>
      <c r="W2162" s="1937"/>
    </row>
  </sheetData>
  <autoFilter ref="A1:W2162" xr:uid="{7FBF308C-04B1-4570-A2EF-90F757664694}"/>
  <mergeCells count="8">
    <mergeCell ref="N528:O528"/>
    <mergeCell ref="N529:O529"/>
    <mergeCell ref="N522:O522"/>
    <mergeCell ref="N523:O523"/>
    <mergeCell ref="N524:O524"/>
    <mergeCell ref="N525:O525"/>
    <mergeCell ref="N526:O526"/>
    <mergeCell ref="N527:O527"/>
  </mergeCells>
  <conditionalFormatting sqref="A2:A2162">
    <cfRule type="dataBar" priority="5">
      <dataBar>
        <cfvo type="min"/>
        <cfvo type="max"/>
        <color rgb="FF638EC6"/>
      </dataBar>
      <extLst>
        <ext xmlns:x14="http://schemas.microsoft.com/office/spreadsheetml/2009/9/main" uri="{B025F937-C7B1-47D3-B67F-A62EFF666E3E}">
          <x14:id>{D57C3EF9-7E11-4FBA-8D59-6428CBB531CA}</x14:id>
        </ext>
      </extLst>
    </cfRule>
  </conditionalFormatting>
  <conditionalFormatting sqref="A2:A1048576">
    <cfRule type="dataBar" priority="1">
      <dataBar>
        <cfvo type="min"/>
        <cfvo type="max"/>
        <color rgb="FF638EC6"/>
      </dataBar>
      <extLst>
        <ext xmlns:x14="http://schemas.microsoft.com/office/spreadsheetml/2009/9/main" uri="{B025F937-C7B1-47D3-B67F-A62EFF666E3E}">
          <x14:id>{09BA4C35-7BF1-4DD1-94DC-01567A0B01FD}</x14:id>
        </ext>
      </extLst>
    </cfRule>
  </conditionalFormatting>
  <conditionalFormatting sqref="J1948:L1973 N2128:N2155">
    <cfRule type="cellIs" dxfId="26" priority="26" operator="equal">
      <formula>"maintasks"</formula>
    </cfRule>
  </conditionalFormatting>
  <conditionalFormatting sqref="K1:K1947 K2163:K1048576">
    <cfRule type="containsText" dxfId="25" priority="29" operator="containsText" text="Main Tasks">
      <formula>NOT(ISERROR(SEARCH("Main Tasks",K1)))</formula>
    </cfRule>
  </conditionalFormatting>
  <conditionalFormatting sqref="K1974:K1986">
    <cfRule type="containsText" dxfId="24" priority="24" operator="containsText" text="MainTasks">
      <formula>NOT(ISERROR(SEARCH("MainTasks",K1974)))</formula>
    </cfRule>
  </conditionalFormatting>
  <conditionalFormatting sqref="K1987:K2011">
    <cfRule type="cellIs" dxfId="23" priority="23" operator="equal">
      <formula>"maintasks"</formula>
    </cfRule>
  </conditionalFormatting>
  <conditionalFormatting sqref="K2012:K2081">
    <cfRule type="containsText" dxfId="22" priority="18" operator="containsText" text="MainTasks">
      <formula>NOT(ISERROR(SEARCH("MainTasks",K2012)))</formula>
    </cfRule>
  </conditionalFormatting>
  <conditionalFormatting sqref="K2128:K2140">
    <cfRule type="containsText" dxfId="21" priority="6" operator="containsText" text="Main Tasks">
      <formula>NOT(ISERROR(SEARCH("Main Tasks",K2128)))</formula>
    </cfRule>
  </conditionalFormatting>
  <conditionalFormatting sqref="K2082:L2127 P2083:Q2085 R2083:S2127 Q2086:Q2088 P2086:P2089 P2090:Q2127">
    <cfRule type="cellIs" dxfId="20" priority="10" operator="equal">
      <formula>"maintasks"</formula>
    </cfRule>
  </conditionalFormatting>
  <conditionalFormatting sqref="L2043:L2047">
    <cfRule type="cellIs" dxfId="19" priority="14" operator="equal">
      <formula>"maintasks"</formula>
    </cfRule>
  </conditionalFormatting>
  <conditionalFormatting sqref="L2055:L2059">
    <cfRule type="cellIs" dxfId="18" priority="15" operator="equal">
      <formula>"maintasks"</formula>
    </cfRule>
  </conditionalFormatting>
  <conditionalFormatting sqref="L1987:N1987 L1988 N1988 L1989:N1989 L1990 N1990">
    <cfRule type="cellIs" dxfId="17" priority="22" operator="equal">
      <formula>"maintasks"</formula>
    </cfRule>
  </conditionalFormatting>
  <conditionalFormatting sqref="L1991:N1999 L2000 N2000 L2001:N2001 L2002 N2002">
    <cfRule type="cellIs" dxfId="16" priority="21" operator="equal">
      <formula>"maintasks"</formula>
    </cfRule>
  </conditionalFormatting>
  <conditionalFormatting sqref="L2003:N2011">
    <cfRule type="cellIs" dxfId="15" priority="20" operator="equal">
      <formula>"maintasks"</formula>
    </cfRule>
  </conditionalFormatting>
  <conditionalFormatting sqref="M2032:M2037">
    <cfRule type="cellIs" dxfId="14" priority="11" operator="equal">
      <formula>"maintasks"</formula>
    </cfRule>
  </conditionalFormatting>
  <conditionalFormatting sqref="M2086">
    <cfRule type="cellIs" dxfId="13" priority="9" operator="equal">
      <formula>"maintasks"</formula>
    </cfRule>
  </conditionalFormatting>
  <conditionalFormatting sqref="M2090">
    <cfRule type="cellIs" dxfId="12" priority="8" operator="equal">
      <formula>"maintasks"</formula>
    </cfRule>
  </conditionalFormatting>
  <conditionalFormatting sqref="M2094">
    <cfRule type="cellIs" dxfId="11" priority="7" operator="equal">
      <formula>"maintasks"</formula>
    </cfRule>
  </conditionalFormatting>
  <conditionalFormatting sqref="M2026:N2031 L2026:L2037 L2038:N2042 O2038:O2047 L2048:M2054 M2060:N2070 L2071:N2075">
    <cfRule type="cellIs" dxfId="10" priority="13" operator="equal">
      <formula>"maintasks"</formula>
    </cfRule>
  </conditionalFormatting>
  <conditionalFormatting sqref="M2082:N2082 P2082">
    <cfRule type="cellIs" dxfId="9" priority="19" operator="equal">
      <formula>"maintasks"</formula>
    </cfRule>
  </conditionalFormatting>
  <conditionalFormatting sqref="M1948:P1948">
    <cfRule type="cellIs" dxfId="8" priority="28" operator="equal">
      <formula>"maintasks"</formula>
    </cfRule>
  </conditionalFormatting>
  <conditionalFormatting sqref="N2043:N2047">
    <cfRule type="cellIs" dxfId="7" priority="17" operator="equal">
      <formula>"maintasks"</formula>
    </cfRule>
  </conditionalFormatting>
  <conditionalFormatting sqref="N2076 L2076:M2081">
    <cfRule type="cellIs" dxfId="6" priority="12" operator="equal">
      <formula>"maintasks"</formula>
    </cfRule>
  </conditionalFormatting>
  <conditionalFormatting sqref="N2159">
    <cfRule type="cellIs" dxfId="5" priority="4" operator="equal">
      <formula>"maintasks"</formula>
    </cfRule>
  </conditionalFormatting>
  <conditionalFormatting sqref="N2037:O2037">
    <cfRule type="cellIs" dxfId="4" priority="16" operator="equal">
      <formula>"maintasks"</formula>
    </cfRule>
  </conditionalFormatting>
  <conditionalFormatting sqref="P1949:S1973">
    <cfRule type="cellIs" dxfId="3" priority="27" operator="equal">
      <formula>"maintasks"</formula>
    </cfRule>
  </conditionalFormatting>
  <conditionalFormatting sqref="R1948">
    <cfRule type="cellIs" dxfId="2" priority="3" operator="equal">
      <formula>"maintasks"</formula>
    </cfRule>
  </conditionalFormatting>
  <conditionalFormatting sqref="R2082">
    <cfRule type="cellIs" dxfId="1" priority="2" operator="equal">
      <formula>"maintasks"</formula>
    </cfRule>
  </conditionalFormatting>
  <conditionalFormatting sqref="W1948">
    <cfRule type="cellIs" dxfId="0" priority="25" operator="equal">
      <formula>"maintasks"</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D57C3EF9-7E11-4FBA-8D59-6428CBB531CA}">
            <x14:dataBar minLength="0" maxLength="100" border="1" negativeBarBorderColorSameAsPositive="0">
              <x14:cfvo type="autoMin"/>
              <x14:cfvo type="autoMax"/>
              <x14:borderColor rgb="FF638EC6"/>
              <x14:negativeFillColor rgb="FFFF0000"/>
              <x14:negativeBorderColor rgb="FFFF0000"/>
              <x14:axisColor rgb="FF000000"/>
            </x14:dataBar>
          </x14:cfRule>
          <xm:sqref>A2:A2162</xm:sqref>
        </x14:conditionalFormatting>
        <x14:conditionalFormatting xmlns:xm="http://schemas.microsoft.com/office/excel/2006/main">
          <x14:cfRule type="dataBar" id="{09BA4C35-7BF1-4DD1-94DC-01567A0B01FD}">
            <x14:dataBar minLength="0" maxLength="100" border="1" negativeBarBorderColorSameAsPositive="0">
              <x14:cfvo type="autoMin"/>
              <x14:cfvo type="autoMax"/>
              <x14:borderColor rgb="FF638EC6"/>
              <x14:negativeFillColor rgb="FFFF0000"/>
              <x14:negativeBorderColor rgb="FFFF0000"/>
              <x14:axisColor rgb="FF000000"/>
            </x14:dataBar>
          </x14:cfRule>
          <xm:sqref>A2:A1048576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پاک‌چوب خوزستان</vt:lpstr>
      <vt:lpstr>تخته فشرده </vt:lpstr>
      <vt:lpstr>خراسان</vt:lpstr>
      <vt:lpstr>ایرانیان</vt:lpstr>
      <vt:lpstr>گروه صنعتی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Mousavi, Golshan</dc:creator>
  <cp:lastModifiedBy>Pooya Payvar</cp:lastModifiedBy>
  <dcterms:created xsi:type="dcterms:W3CDTF">2025-12-07T15:11:16Z</dcterms:created>
  <dcterms:modified xsi:type="dcterms:W3CDTF">2025-12-08T04:51:46Z</dcterms:modified>
</cp:coreProperties>
</file>